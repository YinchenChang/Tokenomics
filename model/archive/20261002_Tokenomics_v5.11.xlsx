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L1" sheetId="29" state="visible" r:id="rId31"/>
    <sheet name="Energy" sheetId="30" state="visible" r:id="rId32"/>
    <sheet name="NonNV" sheetId="31" state="visible" r:id="rId33"/>
    <sheet name="Sensitivity" sheetId="32" state="visible" r:id="rId34"/>
    <sheet name="Checks" sheetId="33" state="visible" r:id="rId35"/>
    <sheet name="Gov_Map" sheetId="34" state="visible" r:id="rId36"/>
    <sheet name="Decisions" sheetId="35" state="visible" r:id="rId37"/>
    <sheet name="SRC_HW" sheetId="36" state="visible" r:id="rId38"/>
    <sheet name="SRC_DC" sheetId="37" state="visible" r:id="rId39"/>
    <sheet name="SRC_Model" sheetId="38" state="visible" r:id="rId40"/>
    <sheet name="SRC_Perf" sheetId="39" state="visible" r:id="rId41"/>
    <sheet name="Sources" sheetId="40" state="visible" r:id="rId42"/>
    <sheet name="DB_Evidence" sheetId="41" state="visible" r:id="rId43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Checks!$D$96</definedName>
    <definedName function="false" hidden="false" name="GOV_Info" vbProcedure="false">Checks!$D$98</definedName>
    <definedName function="false" hidden="false" name="GOV_Table" vbProcedure="false">Checks!$A$74:$D$95</definedName>
    <definedName function="false" hidden="false" name="GOV_Warnings" vbProcedure="false">Checks!$D$97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<sst xmlns="http://schemas.openxmlformats.org/spreadsheetml/2006/main" count="17536" uniqueCount="4815">
  <si>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</si>
  <si>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</si>
  <si>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</si>
  <si>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</si>
  <si>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</si>
  <si>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20261002_Tokenomics_v5.11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</si>
  <si>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</si>
  <si>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</si>
  <si>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</si>
  <si>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</si>
  <si>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</si>
  <si>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Q–AE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 </t>
    </r>
    <r>
      <rPr>
        <sz val="10"/>
        <color rgb="FF000000"/>
        <rFont val="Noto Sans CJK SC"/>
        <family val="2"/>
      </rPr>
      <t xml:space="preserve">具名範圍。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</si>
  <si>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</si>
  <si>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遷移完成後更名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</si>
  <si>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</si>
  <si>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</si>
  <si>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</si>
  <si>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</si>
  <si>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</si>
  <si>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</si>
  <si>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</si>
  <si>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</si>
  <si>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</si>
  <si>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</si>
  <si>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</si>
  <si>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</si>
  <si>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</si>
  <si>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</si>
  <si>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</si>
  <si>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</si>
  <si>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</si>
  <si>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</si>
  <si>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</si>
  <si>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</si>
  <si>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</si>
  <si>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</si>
  <si>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</si>
  <si>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</si>
  <si>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</si>
  <si>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</si>
  <si>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</si>
  <si>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</si>
  <si>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</si>
  <si>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</si>
  <si>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</si>
  <si>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</si>
  <si>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</si>
  <si>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</si>
  <si>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</si>
  <si>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</si>
  <si>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</si>
  <si>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</si>
  <si>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</si>
  <si>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</si>
  <si>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</si>
  <si>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</si>
  <si>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</si>
  <si>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</si>
  <si>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</si>
  <si>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</si>
  <si>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</si>
  <si>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</si>
  <si>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</si>
  <si>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</si>
  <si>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</si>
  <si>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</si>
  <si>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</si>
  <si>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</si>
  <si>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</si>
  <si>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</si>
  <si>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</si>
  <si>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</si>
  <si>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</si>
  <si>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</si>
  <si>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</si>
  <si>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</si>
  <si>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</si>
  <si>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</si>
  <si>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</si>
  <si>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</si>
  <si>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</si>
  <si>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</si>
  <si>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</si>
  <si>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</si>
  <si>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</si>
  <si>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</si>
  <si>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</si>
  <si>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</si>
  <si>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</si>
  <si>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</si>
  <si>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</si>
  <si>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</si>
  <si>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</si>
  <si>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</si>
  <si>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</si>
  <si>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</si>
  <si>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</si>
  <si>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</si>
  <si>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</si>
  <si>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</si>
  <si>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</si>
  <si>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</si>
  <si>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</si>
  <si>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</si>
  <si>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</si>
  <si>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</si>
  <si>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</si>
  <si>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</si>
  <si>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</si>
  <si>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</si>
  <si>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</si>
  <si>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</si>
  <si>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</si>
  <si>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</si>
  <si>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</si>
  <si>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</si>
  <si>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</si>
  <si>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</si>
  <si>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</si>
  <si>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</si>
  <si>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</si>
  <si>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</si>
  <si>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</si>
  <si>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</si>
  <si>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</si>
  <si>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</si>
  <si>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</si>
  <si>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</si>
  <si>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</si>
  <si>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</si>
  <si>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</si>
  <si>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</si>
  <si>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</si>
  <si>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</si>
  <si>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</si>
  <si>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</si>
  <si>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</si>
  <si>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</si>
  <si>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</si>
  <si>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</si>
  <si>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</si>
  <si>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</si>
  <si>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</si>
  <si>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</si>
  <si>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</si>
  <si>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</si>
  <si>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</si>
  <si>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</si>
  <si>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</si>
  <si>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</si>
  <si>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</si>
  <si>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</si>
  <si>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</si>
  <si>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</si>
  <si>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</si>
  <si>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</si>
  <si>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</si>
  <si>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</si>
  <si>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</si>
  <si>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</si>
  <si>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</si>
  <si>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</si>
  <si>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</si>
  <si>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</si>
  <si>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</si>
  <si>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</si>
  <si>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</si>
  <si>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</si>
  <si>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</si>
  <si>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</si>
  <si>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</si>
  <si>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</si>
  <si>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</si>
  <si>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</si>
  <si>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</si>
  <si>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</si>
  <si>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</si>
  <si>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</si>
  <si>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</si>
  <si>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</si>
  <si>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</si>
  <si>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</si>
  <si>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</si>
  <si>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</si>
  <si>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</si>
  <si>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</si>
  <si>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</si>
  <si>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</si>
  <si>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</si>
  <si>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</si>
  <si>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</si>
  <si>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</si>
  <si>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</si>
  <si>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</si>
  <si>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</si>
  <si>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</si>
  <si>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</si>
  <si>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</si>
  <si>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</si>
  <si>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</si>
  <si>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</si>
  <si>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</si>
  <si>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</si>
  <si>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</si>
  <si>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</si>
  <si>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</si>
  <si>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</si>
  <si>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</si>
  <si>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</si>
  <si>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</si>
  <si>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</si>
  <si>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</si>
  <si>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</si>
  <si>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</si>
  <si>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</si>
  <si>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</si>
  <si>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</si>
  <si>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</si>
  <si>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</si>
  <si>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</si>
  <si>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</si>
  <si>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</si>
  <si>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</si>
  <si>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</si>
  <si>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</si>
  <si>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</si>
  <si>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</si>
  <si>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</si>
  <si>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</si>
  <si>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</si>
  <si>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</si>
  <si>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</si>
  <si>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</si>
  <si>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</si>
  <si>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</si>
  <si>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</si>
  <si>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</si>
  <si>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</si>
  <si>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</si>
  <si>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</si>
  <si>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</si>
  <si>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</si>
  <si>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</si>
  <si>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</si>
  <si>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</si>
  <si>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</si>
  <si>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</si>
  <si>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</si>
  <si>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</si>
  <si>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</si>
  <si>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</si>
  <si>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</si>
  <si>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</si>
  <si>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</si>
  <si>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</si>
  <si>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</si>
  <si>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</si>
  <si>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</si>
  <si>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</si>
  <si>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</si>
  <si>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</si>
  <si>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</si>
  <si>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</si>
  <si>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</si>
  <si>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</si>
  <si>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</si>
  <si>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</si>
  <si>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</si>
  <si>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</si>
  <si>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</si>
  <si>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</si>
  <si>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</si>
  <si>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</si>
  <si>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</si>
  <si>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</si>
  <si>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</si>
  <si>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</si>
  <si>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</si>
  <si>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</si>
  <si>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</si>
  <si>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</si>
  <si>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</si>
  <si>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</si>
  <si>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</si>
  <si>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</si>
  <si>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</si>
  <si>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</si>
  <si>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</si>
  <si>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</si>
  <si>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</si>
  <si>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</si>
  <si>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</si>
  <si>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</si>
  <si>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</si>
  <si>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</si>
  <si>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</si>
  <si>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</si>
  <si>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</si>
  <si>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</si>
  <si>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</si>
  <si>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</si>
  <si>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</si>
  <si>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</si>
  <si>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</si>
  <si>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</si>
  <si>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</si>
  <si>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</si>
  <si>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</si>
  <si>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</si>
  <si>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</si>
  <si>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</si>
  <si>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</si>
  <si>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</si>
  <si>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</si>
  <si>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</si>
  <si>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</si>
  <si>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</si>
  <si>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</si>
  <si>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</si>
  <si>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</si>
  <si>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</si>
  <si>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</si>
  <si>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</si>
  <si>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</si>
  <si>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</si>
  <si>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</si>
  <si>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</si>
  <si>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</si>
  <si>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</si>
  <si>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</si>
  <si>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</si>
  <si>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</si>
  <si>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</si>
  <si>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</si>
  <si>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</si>
  <si>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</si>
  <si>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</si>
  <si>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</si>
  <si>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</si>
  <si>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</si>
  <si>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</si>
  <si>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</si>
  <si>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</si>
  <si>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</si>
  <si>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</si>
  <si>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</si>
  <si>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</si>
  <si>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</si>
  <si>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</si>
  <si>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</si>
  <si>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</si>
  <si>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</si>
  <si>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</si>
  <si>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</si>
  <si>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</si>
  <si>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</si>
  <si>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</si>
  <si>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</si>
  <si>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</si>
  <si>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</si>
  <si>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</si>
  <si>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</si>
  <si>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</si>
  <si>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</si>
  <si>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</si>
  <si>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</si>
  <si>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</si>
  <si>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</si>
  <si>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</si>
  <si>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</si>
  <si>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</si>
  <si>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</si>
  <si>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</si>
  <si>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</si>
  <si>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</si>
  <si>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</si>
  <si>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</si>
  <si>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</si>
  <si>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</si>
  <si>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</si>
  <si>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</si>
  <si>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</si>
  <si>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</si>
  <si>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</si>
  <si>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</si>
  <si>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</si>
  <si>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</si>
  <si>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</si>
  <si>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</si>
  <si>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</si>
  <si>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</si>
  <si>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</si>
  <si>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</si>
  <si>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</si>
  <si>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</si>
  <si>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</si>
  <si>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</si>
  <si>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</si>
  <si>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</si>
  <si>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</si>
  <si>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</si>
  <si>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</si>
  <si>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</si>
  <si>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</si>
  <si>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</si>
  <si>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</si>
  <si>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</si>
  <si>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</si>
  <si>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</si>
  <si>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</si>
  <si>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</si>
  <si>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</si>
  <si>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</si>
  <si>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</si>
  <si>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</si>
  <si>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</si>
  <si>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</si>
  <si>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</si>
  <si>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</si>
  <si>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</si>
  <si>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</si>
  <si>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</si>
  <si>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</si>
  <si>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</si>
  <si>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</si>
  <si>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</si>
  <si>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</si>
  <si>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</si>
  <si>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</si>
  <si>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</si>
  <si>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</si>
  <si>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</si>
  <si>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</si>
  <si>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</si>
  <si>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</si>
  <si>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</si>
  <si>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</si>
  <si>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</si>
  <si>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</si>
  <si>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</si>
  <si>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</si>
  <si>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</si>
  <si>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</si>
  <si>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</si>
  <si>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</si>
  <si>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</si>
  <si>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</si>
  <si>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</si>
  <si>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</si>
  <si>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</si>
  <si>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</si>
  <si>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</si>
  <si>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</si>
  <si>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</si>
  <si>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</si>
  <si>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</si>
  <si>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</si>
  <si>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</si>
  <si>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</si>
  <si>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</si>
  <si>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</si>
  <si>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</si>
  <si>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</si>
  <si>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</si>
  <si>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</si>
  <si>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</si>
  <si>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</si>
  <si>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</si>
  <si>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</si>
  <si>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</si>
  <si>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</si>
  <si>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</si>
  <si>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</si>
  <si>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</si>
  <si>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</si>
  <si>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</si>
  <si>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</si>
  <si>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</si>
  <si>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</si>
  <si>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</si>
  <si>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</si>
  <si>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</si>
  <si>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</si>
  <si>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</si>
  <si>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</si>
  <si>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</si>
  <si>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</si>
  <si>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</si>
  <si>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</si>
  <si>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</si>
  <si>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</si>
  <si>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</si>
  <si>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</si>
  <si>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</si>
  <si>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</si>
  <si>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</si>
  <si>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</si>
  <si>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</si>
  <si>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</si>
  <si>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</si>
  <si>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</si>
  <si>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</si>
  <si>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</si>
  <si>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</si>
  <si>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</si>
  <si>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</si>
  <si>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</si>
  <si>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</si>
  <si>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</si>
  <si>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</si>
  <si>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</si>
  <si>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</si>
  <si>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</si>
  <si>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</si>
  <si>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</si>
  <si>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</si>
  <si>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</si>
  <si>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</si>
  <si>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</si>
  <si>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</si>
  <si>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</si>
  <si>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</si>
  <si>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</si>
  <si>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</si>
  <si>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</si>
  <si>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</si>
  <si>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</si>
  <si>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</si>
  <si>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</si>
  <si>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</si>
  <si>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</si>
  <si>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</si>
  <si>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</si>
  <si>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</si>
  <si>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</si>
  <si>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</si>
  <si>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</si>
  <si>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</si>
  <si>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</si>
  <si>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</si>
  <si>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</si>
  <si>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</si>
  <si>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</si>
  <si>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</si>
  <si>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</si>
  <si>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</si>
  <si>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</si>
  <si>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</si>
  <si>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</si>
  <si>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</si>
  <si>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</si>
  <si>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</si>
  <si>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</si>
  <si>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</si>
  <si>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</si>
  <si>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</si>
  <si>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</si>
  <si>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</si>
  <si>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</si>
  <si>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</si>
  <si>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</si>
  <si>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</si>
  <si>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</si>
  <si>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</si>
  <si>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</si>
  <si>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</si>
  <si>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</si>
  <si>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</si>
  <si>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</si>
  <si>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</si>
  <si>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</si>
  <si>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</si>
  <si>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</si>
  <si>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</si>
  <si>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</si>
  <si>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</si>
  <si>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</si>
  <si>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</si>
  <si>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</si>
  <si>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</si>
  <si>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</si>
  <si>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</si>
  <si>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</si>
  <si>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</si>
  <si>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</si>
  <si>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</si>
  <si>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</si>
  <si>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</si>
  <si>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</si>
  <si>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</si>
  <si>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</si>
  <si>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</si>
  <si>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</si>
  <si>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</si>
  <si>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</si>
  <si>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</si>
  <si>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</si>
  <si>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</si>
  <si>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</si>
  <si>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</si>
  <si>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</si>
  <si>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</si>
  <si>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</si>
  <si>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</si>
  <si>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</si>
  <si>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</si>
  <si>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</si>
  <si>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</si>
  <si>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</si>
  <si>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</si>
  <si>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</si>
  <si>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</si>
  <si>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</si>
  <si>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</si>
  <si>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</si>
  <si>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</si>
  <si>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</si>
  <si>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</si>
  <si>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</si>
  <si>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</si>
  <si>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</si>
  <si>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</si>
  <si>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</si>
  <si>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</si>
  <si>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</si>
  <si>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</si>
  <si>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</si>
  <si>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</si>
  <si>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</si>
  <si>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</si>
  <si>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</si>
  <si>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</si>
  <si>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</si>
  <si>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</si>
  <si>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</si>
  <si>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</si>
  <si>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</si>
  <si>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</si>
  <si>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</si>
  <si>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</si>
  <si>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</si>
  <si>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</si>
  <si>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</si>
  <si>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</si>
  <si>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</si>
  <si>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</si>
  <si>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</si>
  <si>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</si>
  <si>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</si>
  <si>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</si>
  <si>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</si>
  <si>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</si>
  <si>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</si>
  <si>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</si>
  <si>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</si>
  <si>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</si>
  <si>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</si>
  <si>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</si>
  <si>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</si>
  <si>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</si>
  <si>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</si>
  <si>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</si>
  <si>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</si>
  <si>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</si>
  <si>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</si>
  <si>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</si>
  <si>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</si>
  <si>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</si>
  <si>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</si>
  <si>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</si>
  <si>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</si>
  <si>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</si>
  <si>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</si>
  <si>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</si>
  <si>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</si>
  <si>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</si>
  <si>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</si>
  <si>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</si>
  <si>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</si>
  <si>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</si>
  <si>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</si>
  <si>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</si>
  <si>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</si>
  <si>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</si>
  <si>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</si>
  <si>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</si>
  <si>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</si>
  <si>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</si>
  <si>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</si>
  <si>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</si>
  <si>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</si>
  <si>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</si>
  <si>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</si>
  <si>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</si>
  <si>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</si>
  <si>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</si>
  <si>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</si>
  <si>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</si>
  <si>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</si>
  <si>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</si>
  <si>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</si>
  <si>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</si>
  <si>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</si>
  <si>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</si>
  <si>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</si>
  <si>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</si>
  <si>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</si>
  <si>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</si>
  <si>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</si>
  <si>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</si>
  <si>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</si>
  <si>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</si>
  <si>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</si>
  <si>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</si>
  <si>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</si>
  <si>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</si>
  <si>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</si>
  <si>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</si>
  <si>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</si>
  <si>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</si>
  <si>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</si>
  <si>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</si>
  <si>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</si>
  <si>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</si>
  <si>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</si>
  <si>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</si>
  <si>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</si>
  <si>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</si>
  <si>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</si>
  <si>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</si>
  <si>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</si>
  <si>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</si>
  <si>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</si>
  <si>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</si>
  <si>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</si>
  <si>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</si>
  <si>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</si>
  <si>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</si>
  <si>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</si>
  <si>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</si>
  <si>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</si>
  <si>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</si>
  <si>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</si>
  <si>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</si>
  <si>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</si>
  <si>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</si>
  <si>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</si>
  <si>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</si>
  <si>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</si>
  <si>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</si>
  <si>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</si>
  <si>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</si>
  <si>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</si>
  <si>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</si>
  <si>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</si>
  <si>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</si>
  <si>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</si>
  <si>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</si>
  <si>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</si>
  <si>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</si>
  <si>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</si>
  <si>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</si>
  <si>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</si>
  <si>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</si>
  <si>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</si>
  <si>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</si>
  <si>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</si>
  <si>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</si>
  <si>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</si>
  <si>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</si>
  <si>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</si>
  <si>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</si>
  <si>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</si>
  <si>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</si>
  <si>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</si>
  <si>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</si>
  <si>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</si>
  <si>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</si>
  <si>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</si>
  <si>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</si>
  <si>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</si>
  <si>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</si>
  <si>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</si>
  <si>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</si>
  <si>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</si>
  <si>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</si>
  <si>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</si>
  <si>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</si>
  <si>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</si>
  <si>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</si>
  <si>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</si>
  <si>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</si>
  <si>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</si>
  <si>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</si>
  <si>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</si>
  <si>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</si>
  <si>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</si>
  <si>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</si>
  <si>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</si>
  <si>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</si>
  <si>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</si>
  <si>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</si>
  <si>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</si>
  <si>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</si>
  <si>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</si>
  <si>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</si>
  <si>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</si>
  <si>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</si>
  <si>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</si>
  <si>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</si>
  <si>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</si>
  <si>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</si>
  <si>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</si>
  <si>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</si>
  <si>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</si>
  <si>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</si>
  <si>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</si>
  <si>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</si>
  <si>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</si>
  <si>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</si>
  <si>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</si>
  <si>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</si>
  <si>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</si>
  <si>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</si>
  <si>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</si>
  <si>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</si>
  <si>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</si>
  <si>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</si>
  <si>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</si>
  <si>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</si>
  <si>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</si>
  <si>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</si>
  <si>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</si>
  <si>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</si>
  <si>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</si>
  <si>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</si>
  <si>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</si>
  <si>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</si>
  <si>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</si>
  <si>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</si>
  <si>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</si>
  <si>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</si>
  <si>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</si>
  <si>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</si>
  <si>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</si>
  <si>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</si>
  <si>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</si>
  <si>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</si>
  <si>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</si>
  <si>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</si>
  <si>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</si>
  <si>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</si>
  <si>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</si>
  <si>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</si>
  <si>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</si>
  <si>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</si>
  <si>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</si>
  <si>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</si>
  <si>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</si>
  <si>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</si>
  <si>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</si>
  <si>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</si>
  <si>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</si>
  <si>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</si>
  <si>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</si>
  <si>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</si>
  <si>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</si>
  <si>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</si>
  <si>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</si>
  <si>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</si>
  <si>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</si>
  <si>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</si>
  <si>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</si>
  <si>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</si>
  <si>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</si>
  <si>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</si>
  <si>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</si>
  <si>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</si>
  <si>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</si>
  <si>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</si>
  <si>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</si>
  <si>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</si>
  <si>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</si>
  <si>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</si>
  <si>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</si>
  <si>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</si>
  <si>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</si>
  <si>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</si>
  <si>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</si>
  <si>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</si>
  <si>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</si>
  <si>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</si>
  <si>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</si>
  <si>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</si>
  <si>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</si>
  <si>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</si>
  <si>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</si>
  <si>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</si>
  <si>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</si>
  <si>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</si>
  <si>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</si>
  <si>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</si>
  <si>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</si>
  <si>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</si>
  <si>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</si>
  <si>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</si>
  <si>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</si>
  <si>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</si>
  <si>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</si>
  <si>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</si>
  <si>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</si>
  <si>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</si>
  <si>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</si>
  <si>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</si>
  <si>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</si>
  <si>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</si>
  <si>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</si>
  <si>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</si>
  <si>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</si>
  <si>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</si>
  <si>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</si>
  <si>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</si>
  <si>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</si>
  <si>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</si>
  <si>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</si>
  <si>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</si>
  <si>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</si>
  <si>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</si>
  <si>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</si>
  <si>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</si>
  <si>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</si>
  <si>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</si>
  <si>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</si>
  <si>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</si>
  <si>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</si>
  <si>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</si>
  <si>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</si>
  <si>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</si>
  <si>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</si>
  <si>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</si>
  <si>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</si>
  <si>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</si>
  <si>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</si>
  <si>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</si>
  <si>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</si>
  <si>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</si>
  <si>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</si>
  <si>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</si>
  <si>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</si>
  <si>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</si>
  <si>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</si>
  <si>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</si>
  <si>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</si>
  <si>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</si>
  <si>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</si>
  <si>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</si>
  <si>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</si>
  <si>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</si>
  <si>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</si>
  <si>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</si>
  <si>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</si>
  <si>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</si>
  <si>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</si>
  <si>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</si>
  <si>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</si>
  <si>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</si>
  <si>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</si>
  <si>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</si>
  <si>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</si>
  <si>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</si>
  <si>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</si>
  <si>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</si>
  <si>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</si>
  <si>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</si>
  <si>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</si>
  <si>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</si>
  <si>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</si>
  <si>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</si>
  <si>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</si>
  <si>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</si>
  <si>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</si>
  <si>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</si>
  <si>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</si>
  <si>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</si>
  <si>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</si>
  <si>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</si>
  <si>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</si>
  <si>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</si>
  <si>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</si>
  <si>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</si>
  <si>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</si>
  <si>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</si>
  <si>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</si>
  <si>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</si>
  <si>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</si>
  <si>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</si>
  <si>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</si>
  <si>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</si>
  <si>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</si>
  <si>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</si>
  <si>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</si>
  <si>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</si>
  <si>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</si>
  <si>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</si>
  <si>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</si>
  <si>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</si>
  <si>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</si>
  <si>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</si>
  <si>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</si>
  <si>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</si>
  <si>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</si>
  <si>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</si>
  <si>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</si>
  <si>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</si>
  <si>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</si>
  <si>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</si>
  <si>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</si>
  <si>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</si>
  <si>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</si>
  <si>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</si>
  <si>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</si>
  <si>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</si>
  <si>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</si>
  <si>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</si>
  <si>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</si>
  <si>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</si>
  <si>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</si>
  <si>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</si>
  <si>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</si>
  <si>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</si>
  <si>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</si>
  <si>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</si>
  <si>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</si>
  <si>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</si>
  <si>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</si>
  <si>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</si>
  <si>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</si>
  <si>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</si>
  <si>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</si>
  <si>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</si>
  <si>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</si>
  <si>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</si>
  <si>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</si>
  <si>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</si>
  <si>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</si>
  <si>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</si>
  <si>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</si>
  <si>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</si>
  <si>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</si>
  <si>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</si>
  <si>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</si>
  <si>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</si>
  <si>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</si>
  <si>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</si>
  <si>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</si>
  <si>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</si>
  <si>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</si>
  <si>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</si>
  <si>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</si>
  <si>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</si>
  <si>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</si>
  <si>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</si>
  <si>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</si>
  <si>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</si>
  <si>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</si>
  <si>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</si>
  <si>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</si>
  <si>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</si>
  <si>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</si>
  <si>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</si>
  <si>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</si>
  <si>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</si>
  <si>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</si>
  <si>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</si>
  <si>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</si>
  <si>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</si>
  <si>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</si>
  <si>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</si>
  <si>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</si>
  <si>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</si>
  <si>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</si>
  <si>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</si>
  <si>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</si>
  <si>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</si>
  <si>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</si>
  <si>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</si>
  <si>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</si>
  <si>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</si>
  <si>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</si>
  <si>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</si>
  <si>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</si>
  <si>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</si>
  <si>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</si>
  <si>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</si>
  <si>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</si>
  <si>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</si>
  <si>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</si>
  <si>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</si>
  <si>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</si>
  <si>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</si>
  <si>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</si>
  <si>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</si>
  <si>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</si>
  <si>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</si>
  <si>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</si>
  <si>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</si>
  <si>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</si>
  <si>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</si>
  <si>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</si>
  <si>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</si>
  <si>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</si>
  <si>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</si>
  <si>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</si>
  <si>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</si>
  <si>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</si>
  <si>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</si>
  <si>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</si>
  <si>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</si>
  <si>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</si>
  <si>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</si>
  <si>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</si>
  <si>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</si>
  <si>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</si>
  <si>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</si>
  <si>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</si>
  <si>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</si>
  <si>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</si>
  <si>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</si>
  <si>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</si>
  <si>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</si>
  <si>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</si>
  <si>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</si>
  <si>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</si>
  <si>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</si>
  <si>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</si>
  <si>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</si>
  <si>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</si>
  <si>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</si>
  <si>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</si>
  <si>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</si>
  <si>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</si>
  <si>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</si>
  <si>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</si>
  <si>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</si>
  <si>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</si>
  <si>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</si>
  <si>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</si>
  <si>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</si>
  <si>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</si>
  <si>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</si>
  <si>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</si>
  <si>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</si>
  <si>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</si>
  <si>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</si>
  <si>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</si>
  <si>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</si>
  <si>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</si>
  <si>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</si>
  <si>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</si>
  <si>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</si>
  <si>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</si>
  <si>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</si>
  <si>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</si>
  <si>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</si>
  <si>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</si>
  <si>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</si>
  <si>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</si>
  <si>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</si>
  <si>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</si>
  <si>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</si>
  <si>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</si>
  <si>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</si>
  <si>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</si>
  <si>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</si>
  <si>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</si>
  <si>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</si>
  <si>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</si>
  <si>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</si>
  <si>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</si>
  <si>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</si>
  <si>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</si>
  <si>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</si>
  <si>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</si>
  <si>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</si>
  <si>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</si>
  <si>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</si>
  <si>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</si>
  <si>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</si>
  <si>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</si>
  <si>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</si>
  <si>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</si>
  <si>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</si>
  <si>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</si>
  <si>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</si>
  <si>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</si>
  <si>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</si>
  <si>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</si>
  <si>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</si>
  <si>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</si>
  <si>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</si>
  <si>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</si>
  <si>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</si>
  <si>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</si>
  <si>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</si>
  <si>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</si>
  <si>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</si>
  <si>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</si>
  <si>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</si>
  <si>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</si>
  <si>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</si>
  <si>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</si>
  <si>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</si>
  <si>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</si>
  <si>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</si>
  <si>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</si>
  <si>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</si>
  <si>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</si>
  <si>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</si>
  <si>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</si>
  <si>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</si>
  <si>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</si>
  <si>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</si>
  <si>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</si>
  <si>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</si>
  <si>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</si>
  <si>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</si>
  <si>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</si>
  <si>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</si>
  <si>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</si>
  <si>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</si>
  <si>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</si>
  <si>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</si>
  <si>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</si>
  <si>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</si>
  <si>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</si>
  <si>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</si>
  <si>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</si>
  <si>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</si>
  <si>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</si>
  <si>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</si>
  <si>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</si>
  <si>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</si>
  <si>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</si>
  <si>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</si>
  <si>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</si>
  <si>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</si>
  <si>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</si>
  <si>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</si>
  <si>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</si>
  <si>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</si>
  <si>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</si>
  <si>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</si>
  <si>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</si>
  <si>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</si>
  <si>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</si>
  <si>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</si>
  <si>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</si>
  <si>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</si>
  <si>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</si>
  <si>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</si>
  <si>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</si>
  <si>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</si>
  <si>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</si>
  <si>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</si>
  <si>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</si>
  <si>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</si>
  <si>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</si>
  <si>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</si>
  <si>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</si>
  <si>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</si>
  <si>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</si>
  <si>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</si>
  <si>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</si>
  <si>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</si>
  <si>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</si>
  <si>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</si>
  <si>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</si>
  <si>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</si>
  <si>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</si>
  <si>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</si>
  <si>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</si>
  <si>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</si>
  <si>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</si>
  <si>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</si>
  <si>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</si>
  <si>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</si>
  <si>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</si>
  <si>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</si>
  <si>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</si>
  <si>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</si>
  <si>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</si>
  <si>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</si>
  <si>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</si>
  <si>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</si>
  <si>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</si>
  <si>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</si>
  <si>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</si>
  <si>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</si>
  <si>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</si>
  <si>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</si>
  <si>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</si>
  <si>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</si>
  <si>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</si>
  <si>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</si>
  <si>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</si>
  <si>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</si>
  <si>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</si>
  <si>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</si>
  <si>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</si>
  <si>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</si>
  <si>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</si>
  <si>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</si>
  <si>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</si>
  <si>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</si>
  <si>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</si>
  <si>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</si>
  <si>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</si>
  <si>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</si>
  <si>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</si>
  <si>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</si>
  <si>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</si>
  <si>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</si>
  <si>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</si>
  <si>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</si>
  <si>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</si>
  <si>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</si>
  <si>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</si>
  <si>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</si>
  <si>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</si>
  <si>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</si>
  <si>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</si>
  <si>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</si>
  <si>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</si>
  <si>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</si>
  <si>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</si>
  <si>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</si>
  <si>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</si>
  <si>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</si>
  <si>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</si>
  <si>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</si>
  <si>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</si>
  <si>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</si>
  <si>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</si>
  <si>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</si>
  <si>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</si>
  <si>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</si>
  <si>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</si>
  <si>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</si>
  <si>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</si>
  <si>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</si>
  <si>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</si>
  <si>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</si>
  <si>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</si>
  <si>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</si>
  <si>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</si>
  <si>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</si>
  <si>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</si>
  <si>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</si>
  <si>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</si>
  <si>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</si>
  <si>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</si>
  <si>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</si>
  <si>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</si>
  <si>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</si>
  <si>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</si>
  <si>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</si>
  <si>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</si>
  <si>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</si>
  <si>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</si>
  <si>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</si>
  <si>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</si>
  <si>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</si>
  <si>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</si>
  <si>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</si>
  <si>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</si>
  <si>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</si>
  <si>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</si>
  <si>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</si>
  <si>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</si>
  <si>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</si>
  <si>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</si>
  <si>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</si>
  <si>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</si>
  <si>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</si>
  <si>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</si>
  <si>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</si>
  <si>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</si>
  <si>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</si>
  <si>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</si>
  <si>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</si>
  <si>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</si>
  <si>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</si>
  <si>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</si>
  <si>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</si>
  <si>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</si>
  <si>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</si>
  <si>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</si>
  <si>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</si>
  <si>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</si>
  <si>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</si>
  <si>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</si>
  <si>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</si>
  <si>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</si>
  <si>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</si>
  <si>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</si>
  <si>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</si>
  <si>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</si>
  <si>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</si>
  <si>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</si>
  <si>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</si>
  <si>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</si>
  <si>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</si>
  <si>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</si>
  <si>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</si>
  <si>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</si>
  <si>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</si>
  <si>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</si>
  <si>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</si>
  <si>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</si>
  <si>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</si>
  <si>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</si>
  <si>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</si>
  <si>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</si>
  <si>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</si>
  <si>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</si>
  <si>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</si>
  <si>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</si>
  <si>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</si>
  <si>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</si>
  <si>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</si>
  <si>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</si>
  <si>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</si>
  <si>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</si>
  <si>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</si>
  <si>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</si>
  <si>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</si>
  <si>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</si>
  <si>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</si>
  <si>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</si>
  <si>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</si>
  <si>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</si>
  <si>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</si>
  <si>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</si>
  <si>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</si>
  <si>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</si>
  <si>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</si>
  <si>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</si>
  <si>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</si>
  <si>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</si>
  <si>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</si>
  <si>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</si>
  <si>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</si>
  <si>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</si>
  <si>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</si>
  <si>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</si>
  <si>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</si>
  <si>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</si>
  <si>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</si>
  <si>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</si>
  <si>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</si>
  <si>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</si>
  <si>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</si>
  <si>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</si>
  <si>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</si>
  <si>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</si>
  <si>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</si>
  <si>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</si>
  <si>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</si>
  <si>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</si>
  <si>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</si>
  <si>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</si>
  <si>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</si>
  <si>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</si>
  <si>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</si>
  <si>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</si>
  <si>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</si>
  <si>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</si>
  <si>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</si>
  <si>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</si>
  <si>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</si>
  <si>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</si>
  <si>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</si>
  <si>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</si>
  <si>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</si>
  <si>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</si>
  <si>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</si>
  <si>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</si>
  <si>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</si>
  <si>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</si>
  <si>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</si>
  <si>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</si>
  <si>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</si>
  <si>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</si>
  <si>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</si>
  <si>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</si>
  <si>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</si>
  <si>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</si>
  <si>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</si>
  <si>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</si>
  <si>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</si>
  <si>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</si>
  <si>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</si>
  <si>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</si>
  <si>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</si>
  <si>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</si>
  <si>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</si>
  <si>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</si>
  <si>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</si>
  <si>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</si>
  <si>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</si>
  <si>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</si>
  <si>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</si>
  <si>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</si>
  <si>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</si>
  <si>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</si>
  <si>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</si>
  <si>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</si>
  <si>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</si>
  <si>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</si>
  <si>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</si>
  <si>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</si>
  <si>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</si>
  <si>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</si>
  <si>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</si>
  <si>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</si>
  <si>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</si>
  <si>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</si>
  <si>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</si>
  <si>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</si>
  <si>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</si>
  <si>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</si>
  <si>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</si>
  <si>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</si>
  <si>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</si>
  <si>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</si>
  <si>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</si>
  <si>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</si>
  <si>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</si>
  <si>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</si>
  <si>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</si>
  <si>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</si>
  <si>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</si>
  <si>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</si>
  <si>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</si>
  <si>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</si>
  <si>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</si>
  <si>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</si>
  <si>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</si>
  <si>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</si>
  <si>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</si>
  <si>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</si>
  <si>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</si>
  <si>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</si>
  <si>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</si>
  <si>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</si>
  <si>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</si>
  <si>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</si>
  <si>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</si>
  <si>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</si>
  <si>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</si>
  <si>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</si>
  <si>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</si>
  <si>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</si>
  <si>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</si>
  <si>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</si>
  <si>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</si>
  <si>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</si>
  <si>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</si>
  <si>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</si>
  <si>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</si>
  <si>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</si>
  <si>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</si>
  <si>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</si>
  <si>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</si>
  <si>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</si>
  <si>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</si>
  <si>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</si>
  <si>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</si>
  <si>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</si>
  <si>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</si>
  <si>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</si>
  <si>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</si>
  <si>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</si>
  <si>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</si>
  <si>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</si>
  <si>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</si>
  <si>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</si>
  <si>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</si>
  <si>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</si>
  <si>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</si>
  <si>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</si>
  <si>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</si>
  <si>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</si>
  <si>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</si>
  <si>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</si>
  <si>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</si>
  <si>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</si>
  <si>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</si>
  <si>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</si>
  <si>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</si>
  <si>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</si>
  <si>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</si>
  <si>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</si>
  <si>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</si>
  <si>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</si>
  <si>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</si>
  <si>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</si>
  <si>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</si>
  <si>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</si>
  <si>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</si>
  <si>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</si>
  <si>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</si>
  <si>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</si>
  <si>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</si>
  <si>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</si>
  <si>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</si>
  <si>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</si>
  <si>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</si>
  <si>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</si>
  <si>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</si>
  <si>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</si>
  <si>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</si>
  <si>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</si>
  <si>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</si>
  <si>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</si>
  <si>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</si>
  <si>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</si>
  <si>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</si>
  <si>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</si>
  <si>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</si>
  <si>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</si>
  <si>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</si>
  <si>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</si>
  <si>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</si>
  <si>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</si>
  <si>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</si>
  <si>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</si>
  <si>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</si>
  <si>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</si>
  <si>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</si>
  <si>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</si>
  <si>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</si>
  <si>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</si>
  <si>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</si>
  <si>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</si>
  <si>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</si>
  <si>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</si>
  <si>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</si>
  <si>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</si>
  <si>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</si>
  <si>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</si>
  <si>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</si>
  <si>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</si>
  <si>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</si>
  <si>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</si>
  <si>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</si>
  <si>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</si>
  <si>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</si>
  <si>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</si>
  <si>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</si>
  <si>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</si>
  <si>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</si>
  <si>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</si>
  <si>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</si>
  <si>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</si>
  <si>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</si>
  <si>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</si>
  <si>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</si>
  <si>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</si>
  <si>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</si>
  <si>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</si>
  <si>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</si>
  <si>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</si>
  <si>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</si>
  <si>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</si>
  <si>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</si>
  <si>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</si>
  <si>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</si>
  <si>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</si>
  <si>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</si>
  <si>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</si>
  <si>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</si>
  <si>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</si>
  <si>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</si>
  <si>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</si>
  <si>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</si>
  <si>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</si>
  <si>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</si>
  <si>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</si>
  <si>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</si>
  <si>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</si>
  <si>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</si>
  <si>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</si>
  <si>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</si>
  <si>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</si>
  <si>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</si>
  <si>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</si>
  <si>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</si>
  <si>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</si>
  <si>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</si>
  <si>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</si>
  <si>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</si>
  <si>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</si>
  <si>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</si>
  <si>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</si>
  <si>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</si>
  <si>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</si>
  <si>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</si>
  <si>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</si>
  <si>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</si>
  <si>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</si>
  <si>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</si>
  <si>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</si>
  <si>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</si>
  <si>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</si>
  <si>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</si>
  <si>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</si>
  <si>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</si>
  <si>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</si>
  <si>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</si>
  <si>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</si>
  <si>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</si>
  <si>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</si>
  <si>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</si>
  <si>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</si>
  <si>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</si>
  <si>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</si>
  <si>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</si>
  <si>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</si>
  <si>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</si>
  <si>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</si>
  <si>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</si>
  <si>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</si>
  <si>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</si>
  <si>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</si>
  <si>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</si>
  <si>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</si>
  <si>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</si>
  <si>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</si>
  <si>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</si>
  <si>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</si>
  <si>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</si>
  <si>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</si>
  <si>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</si>
  <si>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</si>
  <si>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</si>
  <si>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</si>
  <si>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</si>
  <si>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</si>
  <si>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</si>
  <si>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</si>
  <si>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</si>
  <si>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</si>
  <si>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</si>
  <si>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</si>
  <si>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</si>
  <si>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</si>
  <si>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</si>
  <si>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</si>
  <si>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</si>
  <si>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</si>
  <si>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</si>
  <si>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</si>
  <si>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</si>
  <si>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</si>
  <si>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</si>
  <si>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</si>
  <si>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</si>
  <si>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</si>
  <si>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</si>
  <si>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</si>
  <si>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</si>
  <si>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</si>
  <si>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</si>
  <si>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</si>
  <si>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</si>
  <si>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</si>
  <si>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</si>
  <si>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</si>
  <si>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</si>
  <si>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</si>
  <si>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</si>
  <si>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</si>
  <si>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</si>
  <si>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</si>
  <si>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</si>
  <si>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</si>
  <si>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</si>
  <si>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</si>
  <si>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</si>
  <si>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</si>
  <si>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</si>
  <si>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</si>
  <si>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</si>
  <si>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</si>
  <si>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</si>
  <si>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</si>
  <si>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</si>
  <si>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</si>
  <si>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</si>
  <si>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</si>
  <si>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</si>
  <si>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</si>
  <si>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</si>
  <si>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</si>
  <si>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</si>
  <si>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</si>
  <si>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</si>
  <si>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</si>
  <si>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</si>
  <si>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</si>
  <si>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</si>
  <si>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</si>
  <si>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</si>
  <si>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</si>
  <si>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</si>
  <si>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</si>
  <si>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</si>
  <si>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</si>
  <si>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</si>
  <si>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</si>
  <si>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</si>
  <si>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題於 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補入。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</si>
  <si>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</si>
  <si>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</si>
  <si>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</si>
  <si>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</si>
  <si>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</si>
  <si>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</si>
  <si>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</si>
  <si>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</si>
  <si>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</si>
  <si>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</si>
  <si>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</si>
  <si>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</si>
  <si>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</si>
  <si>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</si>
  <si>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</si>
  <si>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</si>
  <si>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</si>
  <si>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</si>
  <si>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</si>
  <si>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</si>
  <si>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</si>
  <si>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</si>
  <si>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</si>
  <si>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</si>
  <si>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</si>
  <si>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</si>
  <si>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</si>
  <si>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</si>
  <si>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</si>
  <si>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</si>
  <si>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</si>
  <si>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</si>
  <si>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</si>
  <si>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</si>
  <si>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</si>
  <si>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</si>
  <si>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</si>
  <si>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</si>
  <si>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</si>
  <si>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</si>
  <si>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</si>
  <si>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</si>
  <si>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</si>
  <si>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</si>
  <si>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</si>
  <si>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</si>
  <si>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</si>
  <si>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</si>
  <si>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</si>
  <si>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</si>
  <si>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</si>
  <si>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</si>
  <si>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</si>
  <si>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</si>
  <si>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</si>
  <si>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</si>
  <si>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</si>
  <si>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</si>
  <si>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</si>
  <si>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</si>
  <si>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</si>
  <si>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</si>
  <si>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</si>
  <si>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</si>
  <si>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</si>
  <si>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</si>
  <si>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</si>
  <si>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</si>
  <si>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</si>
  <si>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</si>
  <si>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</si>
  <si>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</si>
  <si>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</si>
  <si>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</si>
  <si>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</si>
  <si>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</si>
  <si>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</si>
  <si>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</si>
  <si>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</si>
  <si>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</si>
  <si>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</si>
  <si>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</si>
  <si>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</si>
  <si>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</si>
  <si>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</si>
  <si>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</si>
  <si>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</si>
  <si>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</si>
  <si>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</si>
  <si>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</si>
  <si>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</si>
  <si>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</si>
  <si>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</si>
  <si>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</si>
  <si>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</si>
  <si>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</si>
  <si>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</si>
  <si>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</si>
  <si>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</si>
  <si>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</si>
  <si>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</si>
  <si>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</si>
  <si>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</si>
  <si>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</si>
  <si>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</si>
  <si>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</si>
  <si>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</si>
  <si>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</si>
  <si>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</si>
  <si>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</si>
  <si>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</si>
  <si>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</si>
  <si>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</si>
  <si>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</si>
  <si>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</si>
  <si>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</si>
  <si>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</si>
  <si>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</si>
  <si>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</si>
  <si>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</si>
  <si>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</si>
  <si>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</si>
  <si>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</si>
  <si>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</si>
  <si>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</si>
  <si>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</si>
  <si>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</si>
  <si>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</si>
  <si>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</si>
  <si>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</si>
  <si>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</si>
  <si>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</si>
  <si>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</si>
  <si>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</si>
  <si>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</si>
  <si>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</si>
  <si>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</si>
  <si>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</si>
  <si>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</si>
  <si>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</si>
  <si>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</si>
  <si>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</si>
  <si>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</si>
  <si>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</si>
  <si>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</si>
  <si>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</si>
  <si>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</si>
  <si>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</si>
  <si>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</si>
  <si>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</si>
  <si>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</si>
  <si>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</si>
  <si>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</si>
  <si>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</si>
  <si>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</si>
  <si>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</si>
  <si>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</si>
  <si>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</si>
  <si>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</si>
  <si>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</si>
  <si>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</si>
  <si>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</si>
  <si>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</si>
  <si>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</si>
  <si>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</si>
  <si>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</si>
  <si>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</si>
  <si>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</si>
  <si>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</si>
  <si>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</si>
  <si>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</si>
  <si>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</si>
  <si>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</si>
  <si>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</si>
  <si>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</si>
  <si>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</si>
  <si>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</si>
  <si>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</si>
  <si>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</si>
  <si>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</si>
  <si>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</si>
  <si>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</si>
  <si>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</si>
  <si>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</si>
  <si>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</si>
  <si>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</si>
  <si>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</si>
  <si>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</si>
  <si>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</si>
  <si>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</si>
  <si>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</si>
  <si>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</si>
  <si>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</si>
  <si>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</si>
  <si>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</si>
  <si>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</si>
  <si>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</si>
  <si>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</si>
  <si>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</si>
  <si>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</si>
  <si>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</si>
  <si>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</si>
  <si>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</si>
  <si>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</si>
  <si>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</si>
  <si>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</si>
  <si>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</si>
  <si>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</si>
  <si>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</si>
  <si>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</si>
  <si>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</si>
  <si>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</si>
  <si>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</si>
  <si>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</si>
  <si>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</si>
  <si>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</si>
  <si>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</si>
  <si>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</si>
  <si>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</si>
  <si>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</si>
  <si>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</si>
  <si>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</si>
  <si>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</si>
  <si>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</si>
  <si>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</si>
  <si>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</si>
  <si>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</si>
  <si>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</si>
  <si>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</si>
  <si>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</si>
  <si>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</si>
  <si>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</si>
  <si>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</si>
  <si>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</si>
  <si>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</si>
  <si>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</si>
  <si>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</si>
  <si>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</si>
  <si>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</si>
  <si>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</si>
  <si>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</si>
  <si>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</si>
  <si>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</si>
  <si>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</si>
  <si>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</si>
  <si>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</si>
  <si>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</si>
  <si>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</si>
  <si>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</si>
  <si>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</si>
  <si>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</si>
  <si>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</si>
  <si>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</si>
  <si>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</si>
  <si>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</si>
  <si>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</si>
  <si>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</si>
  <si>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</si>
  <si>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</si>
  <si>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</si>
  <si>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</si>
  <si>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</si>
  <si>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</si>
  <si>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</si>
  <si>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</si>
  <si>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</si>
  <si>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</si>
  <si>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</si>
  <si>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</si>
  <si>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</si>
  <si>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</si>
  <si>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</si>
  <si>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</si>
  <si>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</si>
  <si>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</si>
  <si>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</si>
  <si>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</si>
  <si>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</si>
  <si>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</si>
  <si>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</si>
  <si>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</si>
  <si>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</si>
  <si>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</si>
  <si>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</si>
  <si>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</si>
  <si>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</si>
  <si>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</si>
  <si>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</si>
  <si>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</si>
  <si>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</si>
  <si>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</si>
  <si>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</si>
  <si>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</si>
  <si>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</si>
  <si>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</si>
  <si>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</si>
  <si>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</si>
  <si>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</si>
  <si>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</si>
  <si>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</si>
  <si>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</si>
  <si>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</si>
  <si>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</si>
  <si>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</si>
  <si>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</si>
  <si>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</si>
  <si>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</si>
  <si>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</si>
  <si>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</si>
  <si>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</si>
  <si>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</si>
  <si>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</si>
  <si>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</si>
  <si>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</si>
  <si>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</si>
  <si>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</si>
  <si>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</si>
  <si>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</si>
  <si>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</si>
  <si>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</si>
  <si>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</si>
  <si>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</si>
  <si>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</si>
  <si>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</si>
  <si>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</si>
  <si>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</si>
  <si>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</si>
  <si>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</si>
  <si>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</si>
  <si>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</si>
  <si>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</si>
  <si>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</si>
  <si>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</si>
  <si>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</si>
  <si>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</si>
  <si>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</si>
  <si>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</si>
  <si>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</si>
  <si>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</si>
  <si>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</si>
  <si>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</si>
  <si>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</si>
  <si>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</si>
  <si>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</si>
  <si>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</si>
  <si>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</si>
  <si>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</si>
  <si>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</si>
  <si>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</si>
  <si>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</si>
  <si>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</si>
  <si>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</si>
  <si>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</si>
  <si>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</si>
  <si>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</si>
  <si>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</si>
  <si>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</si>
  <si>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</si>
  <si>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</si>
  <si>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</si>
  <si>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</si>
  <si>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</si>
  <si>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</si>
  <si>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</si>
  <si>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</si>
  <si>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</si>
  <si>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</si>
  <si>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</si>
  <si>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</si>
  <si>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</si>
  <si>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</si>
  <si>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</si>
  <si>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</si>
  <si>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</si>
  <si>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</si>
  <si>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</si>
  <si>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</si>
  <si>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</si>
  <si>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</si>
  <si>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</si>
  <si>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</si>
  <si>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</si>
  <si>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</si>
  <si>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</si>
  <si>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</si>
  <si>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</si>
  <si>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</si>
  <si>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</si>
  <si>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</si>
  <si>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</si>
  <si>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</si>
  <si>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</si>
  <si>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</si>
  <si>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</si>
  <si>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</si>
  <si>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</si>
  <si>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</si>
  <si>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</si>
  <si>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</si>
  <si>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</si>
  <si>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</si>
  <si>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</si>
  <si>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</si>
  <si>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</si>
  <si>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</si>
  <si>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</si>
  <si>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</si>
  <si>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</si>
  <si>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</si>
  <si>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不存在（切片一）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</si>
  <si>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</si>
  <si>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</si>
  <si>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</si>
  <si>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</si>
  <si>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</si>
  <si>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</si>
  <si>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</si>
  <si>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</si>
  <si>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</si>
  <si>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</si>
  <si>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</si>
  <si>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</si>
  <si>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</si>
  <si>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</si>
  <si>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</si>
  <si>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</si>
  <si>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</si>
  <si>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</si>
  <si>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</si>
  <si>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</si>
  <si>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</si>
  <si>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I6</t>
  </si>
  <si>
    <t xml:space="preserve">結構選擇（無數值區間）</t>
  </si>
  <si>
    <t xml:space="preserve">I7</t>
  </si>
  <si>
    <t xml:space="preserve">原始數據待切片二連結</t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</si>
  <si>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Workload 40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等頁於 </t>
    </r>
    <r>
      <rPr>
        <sz val="9"/>
        <color rgb="FF595959"/>
        <rFont val="Arial"/>
        <family val="0"/>
        <charset val="1"/>
      </rPr>
      <t xml:space="preserve">v5.12 </t>
    </r>
    <r>
      <rPr>
        <sz val="9"/>
        <color rgb="FF595959"/>
        <rFont val="Noto Sans CJK SC"/>
        <family val="2"/>
      </rPr>
      <t xml:space="preserve">登錄）</t>
    </r>
  </si>
  <si>
    <t xml:space="preserve">I8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</si>
  <si>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</si>
  <si>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</si>
  <si>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</si>
  <si>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</si>
  <si>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</si>
  <si>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</si>
  <si>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</si>
  <si>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</si>
  <si>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</si>
  <si>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</si>
  <si>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</si>
  <si>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</si>
  <si>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</si>
  <si>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</si>
  <si>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</si>
  <si>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</si>
  <si>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</t>
    </r>
  </si>
  <si>
    <t xml:space="preserve">區間文字</t>
  </si>
  <si>
    <t xml:space="preserve">理由</t>
  </si>
  <si>
    <r>
      <rPr>
        <b val="true"/>
        <sz val="10"/>
        <rFont val="Noto Sans CJK SC"/>
        <family val="2"/>
      </rPr>
      <t xml:space="preserve">標記變更（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</si>
  <si>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</si>
  <si>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</si>
  <si>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</si>
  <si>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</si>
  <si>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</si>
  <si>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</si>
  <si>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</si>
  <si>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</si>
  <si>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</si>
  <si>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</si>
  <si>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</si>
  <si>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</si>
  <si>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</si>
  <si>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</si>
  <si>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</si>
  <si>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</si>
  <si>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</si>
  <si>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</si>
  <si>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</si>
  <si>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</si>
  <si>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</si>
  <si>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</t>
    </r>
  </si>
  <si>
    <t xml:space="preserve">藍字（常數）</t>
  </si>
  <si>
    <t xml:space="preserve">GM002</t>
  </si>
  <si>
    <r>
      <rPr>
        <sz val="10"/>
        <color rgb="FF000000"/>
        <rFont val="Noto Sans CJK SC"/>
        <family val="2"/>
      </rPr>
      <t xml:space="preserve">功率情境（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低／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高）</t>
    </r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</si>
  <si>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</si>
  <si>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</si>
  <si>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無</t>
  </si>
  <si>
    <t xml:space="preserve">GM003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</si>
  <si>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</t>
    </r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</si>
  <si>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</si>
  <si>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</si>
  <si>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</si>
  <si>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</si>
  <si>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</si>
  <si>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</si>
  <si>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</si>
  <si>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</si>
  <si>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</t>
    </r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</si>
  <si>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</si>
  <si>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</si>
  <si>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</si>
  <si>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</si>
  <si>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</si>
  <si>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</si>
  <si>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</si>
  <si>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</si>
  <si>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</si>
  <si>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</si>
  <si>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</si>
  <si>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</si>
  <si>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E13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</si>
  <si>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</si>
  <si>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</si>
  <si>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</si>
  <si>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</si>
  <si>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</si>
  <si>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原始數據</t>
  </si>
  <si>
    <t xml:space="preserve">SRC_DC_002</t>
  </si>
  <si>
    <t xml:space="preserve">直接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</si>
  <si>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</si>
  <si>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</si>
  <si>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</si>
  <si>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</si>
  <si>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</si>
  <si>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</si>
  <si>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</si>
  <si>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</si>
  <si>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</si>
  <si>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</si>
  <si>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</si>
  <si>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</si>
  <si>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</si>
  <si>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</si>
  <si>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</si>
  <si>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</si>
  <si>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</si>
  <si>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</si>
  <si>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</si>
  <si>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</si>
  <si>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</si>
  <si>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</si>
  <si>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r>
      <rPr>
        <sz val="10"/>
        <color rgb="FF000000"/>
        <rFont val="Noto Sans CJK SC"/>
        <family val="2"/>
      </rPr>
      <t xml:space="preserve">電力設施（變電、中壓、發電機、</t>
    </r>
    <r>
      <rPr>
        <sz val="10"/>
        <color rgb="FF000000"/>
        <rFont val="Arial"/>
        <family val="0"/>
        <charset val="1"/>
      </rPr>
      <t xml:space="preserve">UPS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</si>
  <si>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分項為假設；總額以 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S12 → SRC_DC_003</t>
    </r>
    <r>
      <rPr>
        <sz val="10"/>
        <color rgb="FF000000"/>
        <rFont val="Noto Sans CJK SC"/>
        <family val="2"/>
      </rPr>
      <t xml:space="preserve">）</t>
    </r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</si>
  <si>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</si>
  <si>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</si>
  <si>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</si>
  <si>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</si>
  <si>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</si>
  <si>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</si>
  <si>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</si>
  <si>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</si>
  <si>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</si>
  <si>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</si>
  <si>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</si>
  <si>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</si>
  <si>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</si>
  <si>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r>
      <rPr>
        <sz val="10"/>
        <color rgb="FF000000"/>
        <rFont val="Noto Sans CJK SC"/>
        <family val="2"/>
      </rPr>
      <t xml:space="preserve">光纖、佈線、保全、</t>
    </r>
    <r>
      <rPr>
        <sz val="10"/>
        <color rgb="FF000000"/>
        <rFont val="Arial"/>
        <family val="0"/>
        <charset val="1"/>
      </rPr>
      <t xml:space="preserve">BMS</t>
    </r>
  </si>
  <si>
    <r>
      <rPr>
        <sz val="10"/>
        <color rgb="FF000000"/>
        <rFont val="Noto Sans CJK SC"/>
        <family val="2"/>
      </rPr>
      <t xml:space="preserve">同第 </t>
    </r>
    <r>
      <rPr>
        <sz val="10"/>
        <color rgb="FF000000"/>
        <rFont val="Arial"/>
        <family val="0"/>
        <charset val="1"/>
      </rPr>
      <t xml:space="preserve">17–19 </t>
    </r>
    <r>
      <rPr>
        <sz val="10"/>
        <color rgb="FF000000"/>
        <rFont val="Noto Sans CJK SC"/>
        <family val="2"/>
      </rPr>
      <t xml:space="preserve">列：分項假設、總額以 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校準</t>
    </r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</si>
  <si>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</si>
  <si>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</si>
  <si>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</si>
  <si>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</si>
  <si>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</si>
  <si>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</si>
  <si>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</si>
  <si>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</si>
  <si>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</si>
  <si>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</si>
  <si>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</si>
  <si>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</si>
  <si>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</si>
  <si>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</si>
  <si>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</si>
  <si>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</si>
  <si>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</si>
  <si>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</si>
  <si>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</si>
  <si>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</si>
  <si>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</si>
  <si>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</si>
  <si>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</si>
  <si>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</si>
  <si>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</si>
  <si>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</si>
  <si>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</si>
  <si>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</si>
  <si>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</si>
  <si>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</si>
  <si>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</si>
  <si>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</si>
  <si>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</si>
  <si>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</si>
  <si>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</si>
  <si>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</si>
  <si>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</si>
  <si>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</si>
  <si>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</si>
  <si>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</si>
  <si>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</si>
  <si>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</si>
  <si>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</si>
  <si>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</si>
  <si>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</si>
  <si>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</si>
  <si>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</si>
  <si>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</si>
  <si>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</si>
  <si>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</si>
  <si>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</si>
  <si>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</si>
  <si>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</si>
  <si>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</si>
  <si>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</si>
  <si>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</si>
  <si>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</si>
  <si>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</si>
  <si>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</si>
  <si>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</si>
  <si>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</si>
  <si>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</si>
  <si>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</si>
  <si>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</si>
  <si>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</si>
  <si>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</si>
  <si>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</si>
  <si>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建物年限：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；一般商用建物 </t>
    </r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</si>
  <si>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</si>
  <si>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</si>
  <si>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</si>
  <si>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電力設施年限：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；變電與 </t>
    </r>
    <r>
      <rPr>
        <sz val="10"/>
        <color rgb="FF000000"/>
        <rFont val="Arial"/>
        <family val="0"/>
        <charset val="1"/>
      </rPr>
      <t xml:space="preserve">UPS 15–25 </t>
    </r>
    <r>
      <rPr>
        <sz val="10"/>
        <color rgb="FF000000"/>
        <rFont val="Noto Sans CJK SC"/>
        <family val="2"/>
      </rPr>
      <t xml:space="preserve">年</t>
    </r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</si>
  <si>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</si>
  <si>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</si>
  <si>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</si>
  <si>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機械與散熱年限：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；液冷設備 </t>
    </r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</t>
    </r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</si>
  <si>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</si>
  <si>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</si>
  <si>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</si>
  <si>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Noto Sans CJK SC"/>
        <family val="2"/>
      </rPr>
      <t xml:space="preserve">光纖與保全年限：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</t>
    </r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</si>
  <si>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</si>
  <si>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</si>
  <si>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</si>
  <si>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</si>
  <si>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</si>
  <si>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</si>
  <si>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</si>
  <si>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</si>
  <si>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</si>
  <si>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</si>
  <si>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</si>
  <si>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</si>
  <si>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</si>
  <si>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</si>
  <si>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</si>
  <si>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</si>
  <si>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Noto Sans CJK SC"/>
        <family val="2"/>
      </rPr>
      <t xml:space="preserve">配電設計功率 低（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</si>
  <si>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</si>
  <si>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</si>
  <si>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</si>
  <si>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</si>
  <si>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</si>
  <si>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</si>
  <si>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</si>
  <si>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</si>
  <si>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</si>
  <si>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</si>
  <si>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</si>
  <si>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</si>
  <si>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</si>
  <si>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</si>
  <si>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r>
      <rPr>
        <sz val="10"/>
        <color rgb="FF000000"/>
        <rFont val="Noto Sans CJK SC"/>
        <family val="2"/>
      </rPr>
      <t xml:space="preserve">配電設計功率 基準（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</si>
  <si>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</si>
  <si>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SRC_HW_001</t>
  </si>
  <si>
    <r>
      <rPr>
        <sz val="10"/>
        <color rgb="FF000000"/>
        <rFont val="Noto Sans CJK SC"/>
        <family val="2"/>
      </rPr>
      <t xml:space="preserve">取整（</t>
    </r>
    <r>
      <rPr>
        <sz val="10"/>
        <color rgb="FF000000"/>
        <rFont val="Arial"/>
        <family val="0"/>
        <charset val="1"/>
      </rPr>
      <t xml:space="preserve">10.2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→ 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</si>
  <si>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值與來源不等（取整（</t>
    </r>
    <r>
      <rPr>
        <sz val="10"/>
        <color rgb="FF000000"/>
        <rFont val="Arial"/>
        <family val="0"/>
        <charset val="1"/>
      </rPr>
      <t xml:space="preserve">10.2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→ 41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</si>
  <si>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GM076</t>
  </si>
  <si>
    <r>
      <rPr>
        <sz val="10"/>
        <color rgb="FF000000"/>
        <rFont val="Noto Sans CJK SC"/>
        <family val="2"/>
      </rPr>
      <t xml:space="preserve">選取（區間上緣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</si>
  <si>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值與來源不等（選取（區間上緣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</si>
  <si>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GM077</t>
  </si>
  <si>
    <t xml:space="preserve">區間中點</t>
  </si>
  <si>
    <r>
      <rPr>
        <sz val="10"/>
        <color rgb="FF000000"/>
        <rFont val="Noto Sans CJK SC"/>
        <family val="2"/>
      </rPr>
      <t xml:space="preserve">值與來源不等（區間中點）：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</si>
  <si>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</si>
  <si>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</si>
  <si>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</si>
  <si>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</si>
  <si>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</si>
  <si>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</si>
  <si>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</si>
  <si>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Noto Sans CJK SC"/>
        <family val="2"/>
      </rPr>
      <t xml:space="preserve">配電設計功率 高（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</si>
  <si>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</si>
  <si>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</si>
  <si>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</si>
  <si>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</si>
  <si>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</si>
  <si>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</si>
  <si>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</si>
  <si>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</si>
  <si>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</si>
  <si>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</si>
  <si>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r>
      <rPr>
        <sz val="10"/>
        <color rgb="FF000000"/>
        <rFont val="Noto Sans CJK SC"/>
        <family val="2"/>
      </rPr>
      <t xml:space="preserve">機架價格 低（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</si>
  <si>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t xml:space="preserve">SRC_HW_003</t>
  </si>
  <si>
    <r>
      <rPr>
        <sz val="10"/>
        <color rgb="FF000000"/>
        <rFont val="Noto Sans CJK SC"/>
        <family val="2"/>
      </rPr>
      <t xml:space="preserve">換算取整（</t>
    </r>
    <r>
      <rPr>
        <sz val="10"/>
        <color rgb="FF000000"/>
        <rFont val="Arial"/>
        <family val="0"/>
        <charset val="1"/>
      </rPr>
      <t xml:space="preserve">$220K × 4 → 0.9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</si>
  <si>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值與來源不等（換算取整（</t>
    </r>
    <r>
      <rPr>
        <sz val="10"/>
        <color rgb="FF000000"/>
        <rFont val="Arial"/>
        <family val="0"/>
        <charset val="1"/>
      </rPr>
      <t xml:space="preserve">$220K × 4 → 0.9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</si>
  <si>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</si>
  <si>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</si>
  <si>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</si>
  <si>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</si>
  <si>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</si>
  <si>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</si>
  <si>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r>
      <rPr>
        <sz val="10"/>
        <color rgb="FF000000"/>
        <rFont val="Noto Sans CJK SC"/>
        <family val="2"/>
      </rPr>
      <t xml:space="preserve">來源為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多家獨立估計，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決定）</t>
    </r>
  </si>
  <si>
    <r>
      <rPr>
        <sz val="10"/>
        <color rgb="FF000000"/>
        <rFont val="Noto Sans CJK SC"/>
        <family val="2"/>
      </rPr>
      <t xml:space="preserve">值與來源不等（來源為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多家獨立估計，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決定））：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</si>
  <si>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</si>
  <si>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</si>
  <si>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</si>
  <si>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</si>
  <si>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</si>
  <si>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r>
      <rPr>
        <sz val="10"/>
        <color rgb="FF000000"/>
        <rFont val="Noto Sans CJK SC"/>
        <family val="2"/>
      </rPr>
      <t xml:space="preserve">機架價格 基準（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</si>
  <si>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中值 → 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</si>
  <si>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值與來源不等（換算（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中值 → 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</si>
  <si>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</si>
  <si>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</si>
  <si>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</si>
  <si>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</si>
  <si>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</si>
  <si>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</si>
  <si>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</si>
  <si>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</si>
  <si>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</si>
  <si>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</si>
  <si>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</si>
  <si>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</si>
  <si>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r>
      <rPr>
        <sz val="10"/>
        <color rgb="FF000000"/>
        <rFont val="Noto Sans CJK SC"/>
        <family val="2"/>
      </rPr>
      <t xml:space="preserve">機架價格 高（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</si>
  <si>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換算取整（</t>
    </r>
    <r>
      <rPr>
        <sz val="10"/>
        <color rgb="FF000000"/>
        <rFont val="Arial"/>
        <family val="0"/>
        <charset val="1"/>
      </rPr>
      <t xml:space="preserve">$320K × 4 → 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</si>
  <si>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值與來源不等（換算取整（</t>
    </r>
    <r>
      <rPr>
        <sz val="10"/>
        <color rgb="FF000000"/>
        <rFont val="Arial"/>
        <family val="0"/>
        <charset val="1"/>
      </rPr>
      <t xml:space="preserve">$320K × 4 → 1.3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</si>
  <si>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</si>
  <si>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</si>
  <si>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</si>
  <si>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</si>
  <si>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</si>
  <si>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r>
      <rPr>
        <sz val="10"/>
        <color rgb="FF000000"/>
        <rFont val="Noto Sans CJK SC"/>
        <family val="2"/>
      </rPr>
      <t xml:space="preserve">取整（</t>
    </r>
    <r>
      <rPr>
        <sz val="10"/>
        <color rgb="FF000000"/>
        <rFont val="Arial"/>
        <family val="0"/>
        <charset val="1"/>
      </rPr>
      <t xml:space="preserve">Bernstein 9.09 → 9.1</t>
    </r>
    <r>
      <rPr>
        <sz val="10"/>
        <color rgb="FF000000"/>
        <rFont val="Noto Sans CJK SC"/>
        <family val="2"/>
      </rPr>
      <t xml:space="preserve">）；來源為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</si>
  <si>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值與來源不等（取整（</t>
    </r>
    <r>
      <rPr>
        <sz val="10"/>
        <color rgb="FF000000"/>
        <rFont val="Arial"/>
        <family val="0"/>
        <charset val="1"/>
      </rPr>
      <t xml:space="preserve">Bernstein 9.09 → 9.1</t>
    </r>
    <r>
      <rPr>
        <sz val="10"/>
        <color rgb="FF000000"/>
        <rFont val="Noto Sans CJK SC"/>
        <family val="2"/>
      </rPr>
      <t xml:space="preserve">）；來源為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</si>
  <si>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</si>
  <si>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</si>
  <si>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</si>
  <si>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</si>
  <si>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</si>
  <si>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</si>
  <si>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</si>
  <si>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</si>
  <si>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</si>
  <si>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</si>
  <si>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</si>
  <si>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</si>
  <si>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</si>
  <si>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</si>
  <si>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</si>
  <si>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</si>
  <si>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GM105</t>
  </si>
  <si>
    <t xml:space="preserve">C24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</si>
  <si>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</si>
  <si>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</si>
  <si>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</si>
  <si>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</si>
  <si>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</si>
  <si>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</si>
  <si>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</si>
  <si>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</si>
  <si>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</si>
  <si>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</si>
  <si>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</si>
  <si>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</si>
  <si>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r>
      <rPr>
        <sz val="10"/>
        <color rgb="FF000000"/>
        <rFont val="Noto Sans CJK SC"/>
        <family val="2"/>
      </rPr>
      <t xml:space="preserve">取整（</t>
    </r>
    <r>
      <rPr>
        <sz val="10"/>
        <color rgb="FF000000"/>
        <rFont val="Arial"/>
        <family val="0"/>
        <charset val="1"/>
      </rPr>
      <t xml:space="preserve">15,000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 → 104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</si>
  <si>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值與來源不等（取整（</t>
    </r>
    <r>
      <rPr>
        <sz val="10"/>
        <color rgb="FF000000"/>
        <rFont val="Arial"/>
        <family val="0"/>
        <charset val="1"/>
      </rPr>
      <t xml:space="preserve">15,000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 → 104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</si>
  <si>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</si>
  <si>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</si>
  <si>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</si>
  <si>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</si>
  <si>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</si>
  <si>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</si>
  <si>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r>
      <rPr>
        <sz val="10"/>
        <color rgb="FF000000"/>
        <rFont val="Noto Sans CJK SC"/>
        <family val="2"/>
      </rPr>
      <t xml:space="preserve">換算取整（</t>
    </r>
    <r>
      <rPr>
        <sz val="10"/>
        <color rgb="FF000000"/>
        <rFont val="Arial"/>
        <family val="0"/>
        <charset val="1"/>
      </rPr>
      <t xml:space="preserve">13.4 TB ÷ 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 → 186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</si>
  <si>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值與來源不等（換算取整（</t>
    </r>
    <r>
      <rPr>
        <sz val="10"/>
        <color rgb="FF000000"/>
        <rFont val="Arial"/>
        <family val="0"/>
        <charset val="1"/>
      </rPr>
      <t xml:space="preserve">13.4 TB ÷ 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 → 186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</si>
  <si>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</si>
  <si>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</si>
  <si>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</si>
  <si>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</si>
  <si>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</si>
  <si>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</si>
  <si>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</si>
  <si>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</si>
  <si>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</si>
  <si>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</si>
  <si>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</si>
  <si>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</si>
  <si>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</si>
  <si>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</si>
  <si>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</si>
  <si>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</si>
  <si>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</si>
  <si>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</si>
  <si>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</si>
  <si>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</si>
  <si>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</si>
  <si>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r>
      <rPr>
        <sz val="10"/>
        <color rgb="FF000000"/>
        <rFont val="Noto Sans CJK SC"/>
        <family val="2"/>
      </rPr>
      <t xml:space="preserve">取整（</t>
    </r>
    <r>
      <rPr>
        <sz val="10"/>
        <color rgb="FF000000"/>
        <rFont val="Arial"/>
        <family val="0"/>
        <charset val="1"/>
      </rPr>
      <t xml:space="preserve">4,600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 → 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</si>
  <si>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值與來源不等（取整（</t>
    </r>
    <r>
      <rPr>
        <sz val="10"/>
        <color rgb="FF000000"/>
        <rFont val="Arial"/>
        <family val="0"/>
        <charset val="1"/>
      </rPr>
      <t xml:space="preserve">4,600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 → 32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</si>
  <si>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</si>
  <si>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</si>
  <si>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</si>
  <si>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</si>
  <si>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</si>
  <si>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</si>
  <si>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</si>
  <si>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</si>
  <si>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</si>
  <si>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</si>
  <si>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</si>
  <si>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</si>
  <si>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</si>
  <si>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</si>
  <si>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</si>
  <si>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</si>
  <si>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</si>
  <si>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</si>
  <si>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</si>
  <si>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</si>
  <si>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</si>
  <si>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</si>
  <si>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</si>
  <si>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</si>
  <si>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</si>
  <si>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</si>
  <si>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；原標 </t>
    </r>
    <r>
      <rPr>
        <sz val="10"/>
        <color rgb="FF000000"/>
        <rFont val="Arial"/>
        <family val="0"/>
        <charset val="1"/>
      </rPr>
      <t xml:space="preserve">Analogy DeepSeek</t>
    </r>
    <r>
      <rPr>
        <sz val="10"/>
        <color rgb="FF000000"/>
        <rFont val="Noto Sans CJK SC"/>
        <family val="2"/>
      </rPr>
      <t xml:space="preserve">，但無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</si>
  <si>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</si>
  <si>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GM131</t>
  </si>
  <si>
    <t xml:space="preserve">D29</t>
  </si>
  <si>
    <t xml:space="preserve">SRC_PERF_008</t>
  </si>
  <si>
    <r>
      <rPr>
        <sz val="10"/>
        <color rgb="FF000000"/>
        <rFont val="Noto Sans CJK SC"/>
        <family val="2"/>
      </rPr>
      <t xml:space="preserve">可比（沿用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公開配方）</t>
    </r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</si>
  <si>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</si>
  <si>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</si>
  <si>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</si>
  <si>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</si>
  <si>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</si>
  <si>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</si>
  <si>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</si>
  <si>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</si>
  <si>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</si>
  <si>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</si>
  <si>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</si>
  <si>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</si>
  <si>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</si>
  <si>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</si>
  <si>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</si>
  <si>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</si>
  <si>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</si>
  <si>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</si>
  <si>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</si>
  <si>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</si>
  <si>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注意力、路由、</t>
    </r>
    <r>
      <rPr>
        <sz val="10"/>
        <color rgb="FF000000"/>
        <rFont val="Arial"/>
        <family val="0"/>
        <charset val="1"/>
      </rPr>
      <t xml:space="preserve">embedding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存放；原標 </t>
    </r>
    <r>
      <rPr>
        <sz val="10"/>
        <color rgb="FF000000"/>
        <rFont val="Arial"/>
        <family val="0"/>
        <charset val="1"/>
      </rPr>
      <t xml:space="preserve">Analogy V4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</si>
  <si>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</si>
  <si>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</si>
  <si>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</si>
  <si>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</si>
  <si>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</si>
  <si>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</si>
  <si>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</si>
  <si>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</si>
  <si>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</si>
  <si>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</si>
  <si>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</si>
  <si>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r>
      <rPr>
        <sz val="10"/>
        <color rgb="FF000000"/>
        <rFont val="Noto Sans CJK SC"/>
        <family val="2"/>
      </rPr>
      <t xml:space="preserve">可比（沿用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配方）</t>
    </r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</si>
  <si>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</si>
  <si>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</si>
  <si>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</si>
  <si>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</si>
  <si>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</si>
  <si>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</si>
  <si>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</si>
  <si>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</si>
  <si>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</si>
  <si>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</si>
  <si>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</si>
  <si>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</si>
  <si>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</si>
  <si>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</si>
  <si>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</si>
  <si>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</si>
  <si>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</si>
  <si>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</si>
  <si>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</si>
  <si>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</si>
  <si>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pJ/bit × 8</t>
    </r>
    <r>
      <rPr>
        <sz val="10"/>
        <color rgb="FF000000"/>
        <rFont val="Noto Sans CJK SC"/>
        <family val="2"/>
      </rPr>
      <t xml:space="preserve">，取整）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</si>
  <si>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</si>
  <si>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</si>
  <si>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</si>
  <si>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</si>
  <si>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</si>
  <si>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</si>
  <si>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</si>
  <si>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</si>
  <si>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</si>
  <si>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</si>
  <si>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</si>
  <si>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</si>
  <si>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</si>
  <si>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</si>
  <si>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</si>
  <si>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</si>
  <si>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</si>
  <si>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</si>
  <si>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</si>
  <si>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</si>
  <si>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</si>
  <si>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</si>
  <si>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</si>
  <si>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</si>
  <si>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</si>
  <si>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</si>
  <si>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</si>
  <si>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</si>
  <si>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</si>
  <si>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</si>
  <si>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</si>
  <si>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</si>
  <si>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</si>
  <si>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</si>
  <si>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r>
      <rPr>
        <sz val="10"/>
        <color rgb="FF000000"/>
        <rFont val="Noto Sans CJK SC"/>
        <family val="2"/>
      </rPr>
      <t xml:space="preserve">取整（</t>
    </r>
    <r>
      <rPr>
        <sz val="10"/>
        <color rgb="FF000000"/>
        <rFont val="Arial"/>
        <family val="0"/>
        <charset val="1"/>
      </rPr>
      <t xml:space="preserve">5,000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34.72 → 34.7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</si>
  <si>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值與來源不等（取整（</t>
    </r>
    <r>
      <rPr>
        <sz val="10"/>
        <color rgb="FF000000"/>
        <rFont val="Arial"/>
        <family val="0"/>
        <charset val="1"/>
      </rPr>
      <t xml:space="preserve">5,000 ÷ 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34.72 → 34.7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</si>
  <si>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</si>
  <si>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</si>
  <si>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</si>
  <si>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</si>
  <si>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</si>
  <si>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</si>
  <si>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Rubin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Blackwell 3.5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35 ÷ 3.5</t>
    </r>
    <r>
      <rPr>
        <sz val="10"/>
        <color rgb="FF000000"/>
        <rFont val="Noto Sans CJK SC"/>
        <family val="2"/>
      </rPr>
      <t xml:space="preserve">）</t>
    </r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</si>
  <si>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</si>
  <si>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</si>
  <si>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</si>
  <si>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</si>
  <si>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</si>
  <si>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</si>
  <si>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</si>
  <si>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</si>
  <si>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</si>
  <si>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</si>
  <si>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</si>
  <si>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</si>
  <si>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</si>
  <si>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</si>
  <si>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</si>
  <si>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</si>
  <si>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</si>
  <si>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</si>
  <si>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</si>
  <si>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</si>
  <si>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</si>
  <si>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</si>
  <si>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</si>
  <si>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</si>
  <si>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</si>
  <si>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</si>
  <si>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</si>
  <si>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</si>
  <si>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</si>
  <si>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</si>
  <si>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</si>
  <si>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</si>
  <si>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</si>
  <si>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</si>
  <si>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</si>
  <si>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</si>
  <si>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</si>
  <si>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</si>
  <si>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</si>
  <si>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</si>
  <si>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</si>
  <si>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</si>
  <si>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</si>
  <si>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</si>
  <si>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</si>
  <si>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</si>
  <si>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</si>
  <si>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</si>
  <si>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</si>
  <si>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</si>
  <si>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</si>
  <si>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</si>
  <si>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</si>
  <si>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</si>
  <si>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</si>
  <si>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</si>
  <si>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</si>
  <si>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</si>
  <si>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</si>
  <si>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（待改公式）</t>
    </r>
  </si>
  <si>
    <r>
      <rPr>
        <sz val="10"/>
        <color rgb="FF000000"/>
        <rFont val="Arial"/>
        <family val="0"/>
        <charset val="1"/>
      </rPr>
      <t xml:space="preserve">V4-Flash d_model </t>
    </r>
    <r>
      <rPr>
        <sz val="10"/>
        <color rgb="FF000000"/>
        <rFont val="Noto Sans CJK SC"/>
        <family val="2"/>
      </rPr>
      <t xml:space="preserve">由專家維度反推；反推所需原始參數未登錄，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</t>
    </r>
  </si>
  <si>
    <t xml:space="preserve">GM200</t>
  </si>
  <si>
    <r>
      <rPr>
        <sz val="10"/>
        <color rgb="FF000000"/>
        <rFont val="Noto Sans CJK SC"/>
        <family val="2"/>
      </rPr>
      <t xml:space="preserve">可比（取 </t>
    </r>
    <r>
      <rPr>
        <sz val="10"/>
        <color rgb="FF000000"/>
        <rFont val="Arial"/>
        <family val="0"/>
        <charset val="1"/>
      </rPr>
      <t xml:space="preserve">V4-Pro </t>
    </r>
    <r>
      <rPr>
        <sz val="10"/>
        <color rgb="FF000000"/>
        <rFont val="Noto Sans CJK SC"/>
        <family val="2"/>
      </rPr>
      <t xml:space="preserve">一半）</t>
    </r>
  </si>
  <si>
    <t xml:space="preserve">32–128</t>
  </si>
  <si>
    <t xml:space="preserve">GM201</t>
  </si>
  <si>
    <t xml:space="preserve">C17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</si>
  <si>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</si>
  <si>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</si>
  <si>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</si>
  <si>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</si>
  <si>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</si>
  <si>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</si>
  <si>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</si>
  <si>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</si>
  <si>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</si>
  <si>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</si>
  <si>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</si>
  <si>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</si>
  <si>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</si>
  <si>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</si>
  <si>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</si>
  <si>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</si>
  <si>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</si>
  <si>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</si>
  <si>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</si>
  <si>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</si>
  <si>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</si>
  <si>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</si>
  <si>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</si>
  <si>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</si>
  <si>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</si>
  <si>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</si>
  <si>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</si>
  <si>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</si>
  <si>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</si>
  <si>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</si>
  <si>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</si>
  <si>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</si>
  <si>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</si>
  <si>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</si>
  <si>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</si>
  <si>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</si>
  <si>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</si>
  <si>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</rPr>
      <t xml:space="preserve">由其他輸入算出（</t>
    </r>
    <r>
      <rPr>
        <sz val="10"/>
        <color rgb="FF000000"/>
        <rFont val="Arial"/>
        <family val="0"/>
        <charset val="1"/>
      </rPr>
      <t xml:space="preserve">65 B × </t>
    </r>
    <r>
      <rPr>
        <sz val="10"/>
        <color rgb="FF000000"/>
        <rFont val="Noto Sans CJK SC"/>
        <family val="2"/>
      </rPr>
      <t xml:space="preserve">層數；</t>
    </r>
    <r>
      <rPr>
        <sz val="10"/>
        <color rgb="FF000000"/>
        <rFont val="Arial"/>
        <family val="0"/>
        <charset val="1"/>
      </rPr>
      <t xml:space="preserve">26% × 576 × 100 </t>
    </r>
    <r>
      <rPr>
        <sz val="10"/>
        <color rgb="FF000000"/>
        <rFont val="Noto Sans CJK SC"/>
        <family val="2"/>
      </rPr>
      <t xml:space="preserve">等）；改公式需新增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輸入列（每層 </t>
    </r>
    <r>
      <rPr>
        <sz val="10"/>
        <color rgb="FF000000"/>
        <rFont val="Arial"/>
        <family val="0"/>
        <charset val="1"/>
      </rPr>
      <t xml:space="preserve">KV bytes</t>
    </r>
    <r>
      <rPr>
        <sz val="10"/>
        <color rgb="FF000000"/>
        <rFont val="Noto Sans CJK SC"/>
        <family val="2"/>
      </rPr>
      <t xml:space="preserve">、混合比例），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處理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</si>
  <si>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</si>
  <si>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</si>
  <si>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</si>
  <si>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</si>
  <si>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</si>
  <si>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</si>
  <si>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</si>
  <si>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</si>
  <si>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</si>
  <si>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</si>
  <si>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</si>
  <si>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</si>
  <si>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</si>
  <si>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</si>
  <si>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3 </t>
    </r>
    <r>
      <rPr>
        <sz val="10"/>
        <color rgb="FF000000"/>
        <rFont val="Noto Sans CJK SC"/>
        <family val="2"/>
      </rPr>
      <t xml:space="preserve">步）</t>
    </r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</si>
  <si>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</si>
  <si>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</si>
  <si>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</si>
  <si>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</si>
  <si>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</si>
  <si>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</si>
  <si>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</si>
  <si>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</si>
  <si>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</si>
  <si>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</si>
  <si>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</si>
  <si>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</si>
  <si>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</si>
  <si>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</si>
  <si>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</si>
  <si>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</si>
  <si>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</si>
  <si>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</si>
  <si>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</si>
  <si>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</si>
  <si>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</si>
  <si>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</si>
  <si>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</si>
  <si>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</si>
  <si>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</si>
  <si>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</si>
  <si>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</si>
  <si>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</si>
  <si>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</si>
  <si>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r>
      <rPr>
        <sz val="10"/>
        <color rgb="FF000000"/>
        <rFont val="Noto Sans CJK SC"/>
        <family val="2"/>
      </rPr>
      <t xml:space="preserve">選取（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；來源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</si>
  <si>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</si>
  <si>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</si>
  <si>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</si>
  <si>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r>
      <rPr>
        <sz val="10"/>
        <color rgb="FF000000"/>
        <rFont val="Noto Sans CJK SC"/>
        <family val="2"/>
      </rPr>
      <t xml:space="preserve">選取（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；來源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</si>
  <si>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</si>
  <si>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</si>
  <si>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</si>
  <si>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</si>
  <si>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</si>
  <si>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</si>
  <si>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</si>
  <si>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用於長任務；上下文敏感度見 </t>
    </r>
    <r>
      <rPr>
        <sz val="10"/>
        <color rgb="FF000000"/>
        <rFont val="Arial"/>
        <family val="0"/>
        <charset val="1"/>
      </rPr>
      <t xml:space="preserve">Sens_Perf</t>
    </r>
  </si>
  <si>
    <t xml:space="preserve">GM246</t>
  </si>
  <si>
    <t xml:space="preserve">GM247</t>
  </si>
  <si>
    <t xml:space="preserve">GM248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</si>
  <si>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</si>
  <si>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</si>
  <si>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</si>
  <si>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</si>
  <si>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</si>
  <si>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r>
      <rPr>
        <sz val="10"/>
        <color rgb="FF000000"/>
        <rFont val="Noto Sans CJK SC"/>
        <family val="2"/>
      </rPr>
      <t xml:space="preserve">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證據校準</t>
    </r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</si>
  <si>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</si>
  <si>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</si>
  <si>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</si>
  <si>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</si>
  <si>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</si>
  <si>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</si>
  <si>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</si>
  <si>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</si>
  <si>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</si>
  <si>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</si>
  <si>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</si>
  <si>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</si>
  <si>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</si>
  <si>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</si>
  <si>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</si>
  <si>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</si>
  <si>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</si>
  <si>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</si>
  <si>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</si>
  <si>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</si>
  <si>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</si>
  <si>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</si>
  <si>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</si>
  <si>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</si>
  <si>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</si>
  <si>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</si>
  <si>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</si>
  <si>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</si>
  <si>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</si>
  <si>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</si>
  <si>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</si>
  <si>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</si>
  <si>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</si>
  <si>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</si>
  <si>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</si>
  <si>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</si>
  <si>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r>
      <rPr>
        <sz val="10"/>
        <color rgb="FF000000"/>
        <rFont val="Arial"/>
        <family val="0"/>
        <charset val="1"/>
      </rPr>
      <t xml:space="preserve">30–95%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</si>
  <si>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</si>
  <si>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</si>
  <si>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t xml:space="preserve">GM284</t>
  </si>
  <si>
    <t xml:space="preserve">GM285</t>
  </si>
  <si>
    <t xml:space="preserve">GM286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</si>
  <si>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</si>
  <si>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</si>
  <si>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</si>
  <si>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</si>
  <si>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</si>
  <si>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</si>
  <si>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</si>
  <si>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</si>
  <si>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</si>
  <si>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L3</t>
  </si>
  <si>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</si>
  <si>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</si>
  <si>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</si>
  <si>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</si>
  <si>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</si>
  <si>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</si>
  <si>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</si>
  <si>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</si>
  <si>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</si>
  <si>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</si>
  <si>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</si>
  <si>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</t>
  </si>
  <si>
    <t xml:space="preserve">原始數據（切片二）</t>
  </si>
  <si>
    <t xml:space="preserve">SRC_HAR_001</t>
  </si>
  <si>
    <r>
      <rPr>
        <sz val="10"/>
        <color rgb="FF000000"/>
        <rFont val="Noto Sans CJK SC"/>
        <family val="2"/>
      </rPr>
      <t xml:space="preserve">直接（</t>
    </r>
    <r>
      <rPr>
        <sz val="10"/>
        <color rgb="FF000000"/>
        <rFont val="Arial"/>
        <family val="0"/>
        <charset val="1"/>
      </rPr>
      <t xml:space="preserve">SRC_Harness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建立）</t>
    </r>
  </si>
  <si>
    <r>
      <rPr>
        <sz val="10"/>
        <color rgb="FF000000"/>
        <rFont val="Noto Sans CJK SC"/>
        <family val="2"/>
      </rPr>
      <t xml:space="preserve">參照列；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連結</t>
    </r>
  </si>
  <si>
    <t xml:space="preserve">GM302</t>
  </si>
  <si>
    <t xml:space="preserve">GM303</t>
  </si>
  <si>
    <t xml:space="preserve">SRC_HAR_002</t>
  </si>
  <si>
    <t xml:space="preserve">GM304</t>
  </si>
  <si>
    <t xml:space="preserve">Calib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</si>
  <si>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</si>
  <si>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0.37 </t>
    </r>
    <r>
      <rPr>
        <sz val="10"/>
        <color rgb="FF000000"/>
        <rFont val="Noto Sans CJK SC"/>
        <family val="2"/>
      </rPr>
      <t xml:space="preserve">未登錄為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</si>
  <si>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</si>
  <si>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</si>
  <si>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</si>
  <si>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</si>
  <si>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</si>
  <si>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</si>
  <si>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</si>
  <si>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</si>
  <si>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</si>
  <si>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</si>
  <si>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</si>
  <si>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</si>
  <si>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</si>
  <si>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</si>
  <si>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</si>
  <si>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</si>
  <si>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</si>
  <si>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</si>
  <si>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</si>
  <si>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</si>
  <si>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</si>
  <si>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</si>
  <si>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</si>
  <si>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</si>
  <si>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</si>
  <si>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</si>
  <si>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</si>
  <si>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</si>
  <si>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</si>
  <si>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</si>
  <si>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</si>
  <si>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</si>
  <si>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</si>
  <si>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</si>
  <si>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</si>
  <si>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</si>
  <si>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</si>
  <si>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</si>
  <si>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</si>
  <si>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</si>
  <si>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</si>
  <si>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</si>
  <si>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</si>
  <si>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</si>
  <si>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</si>
  <si>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</si>
  <si>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</si>
  <si>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</si>
  <si>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</si>
  <si>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</si>
  <si>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</si>
  <si>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</si>
  <si>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</si>
  <si>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</si>
  <si>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</si>
  <si>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</si>
  <si>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</si>
  <si>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</si>
  <si>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</si>
  <si>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</si>
  <si>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</si>
  <si>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</si>
  <si>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</si>
  <si>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</si>
  <si>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未登錄數值）</t>
    </r>
  </si>
  <si>
    <t xml:space="preserve">GM342</t>
  </si>
  <si>
    <t xml:space="preserve">D67</t>
  </si>
  <si>
    <r>
      <rPr>
        <sz val="10"/>
        <color rgb="FF000000"/>
        <rFont val="Noto Sans CJK SC"/>
        <family val="2"/>
      </rPr>
      <t xml:space="preserve">可比（沿用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校準）</t>
    </r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</si>
  <si>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</si>
  <si>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擬合的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最大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</si>
  <si>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</si>
  <si>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</si>
  <si>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</si>
  <si>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</si>
  <si>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</si>
  <si>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</si>
  <si>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</si>
  <si>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</si>
  <si>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</si>
  <si>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</si>
  <si>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</si>
  <si>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</si>
  <si>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擬合的每層延遲</t>
    </r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</si>
  <si>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</si>
  <si>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</si>
  <si>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</si>
  <si>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</si>
  <si>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</si>
  <si>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</si>
  <si>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</si>
  <si>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</si>
  <si>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0.25–1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</si>
  <si>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</si>
  <si>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</si>
  <si>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</si>
  <si>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</si>
  <si>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</si>
  <si>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</si>
  <si>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</si>
  <si>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</si>
  <si>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</si>
  <si>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</si>
  <si>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</si>
  <si>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</si>
  <si>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</si>
  <si>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</si>
  <si>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</si>
  <si>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</si>
  <si>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</si>
  <si>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</si>
  <si>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</si>
  <si>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</si>
  <si>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</si>
  <si>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</si>
  <si>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</si>
  <si>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</si>
  <si>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</si>
  <si>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</si>
  <si>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</si>
  <si>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</si>
  <si>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</si>
  <si>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</si>
  <si>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</si>
  <si>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</si>
  <si>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</si>
  <si>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</si>
  <si>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</si>
  <si>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</si>
  <si>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</si>
  <si>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</si>
  <si>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</si>
  <si>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</si>
  <si>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</si>
  <si>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</si>
  <si>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</si>
  <si>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SRC_MOD_049</t>
  </si>
  <si>
    <t xml:space="preserve">GM367</t>
  </si>
  <si>
    <t xml:space="preserve">C110</t>
  </si>
  <si>
    <t xml:space="preserve">SRC_PERF_029</t>
  </si>
  <si>
    <t xml:space="preserve">GM368</t>
  </si>
  <si>
    <t xml:space="preserve">C111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</si>
  <si>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</si>
  <si>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</si>
  <si>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</si>
  <si>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</si>
  <si>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</si>
  <si>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</si>
  <si>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</si>
  <si>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</si>
  <si>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</si>
  <si>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</si>
  <si>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</si>
  <si>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</si>
  <si>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</si>
  <si>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</si>
  <si>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</si>
  <si>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</si>
  <si>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MTP 3 </t>
    </r>
    <r>
      <rPr>
        <sz val="10"/>
        <color rgb="FF000000"/>
        <rFont val="Noto Sans CJK SC"/>
        <family val="2"/>
      </rPr>
      <t xml:space="preserve">步 → 旗標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</si>
  <si>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值與來源不等（換算（</t>
    </r>
    <r>
      <rPr>
        <sz val="10"/>
        <color rgb="FF000000"/>
        <rFont val="Arial"/>
        <family val="0"/>
        <charset val="1"/>
      </rPr>
      <t xml:space="preserve">MTP 3 </t>
    </r>
    <r>
      <rPr>
        <sz val="10"/>
        <color rgb="FF000000"/>
        <rFont val="Noto Sans CJK SC"/>
        <family val="2"/>
      </rPr>
      <t xml:space="preserve">步 → 旗標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</si>
  <si>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</si>
  <si>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</si>
  <si>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</si>
  <si>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</si>
  <si>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</si>
  <si>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</si>
  <si>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r>
      <rPr>
        <sz val="10"/>
        <color rgb="FF000000"/>
        <rFont val="Noto Sans CJK SC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 </t>
    </r>
    <r>
      <rPr>
        <sz val="10"/>
        <color rgb="FF000000"/>
        <rFont val="Arial"/>
        <family val="0"/>
        <charset val="1"/>
      </rPr>
      <t xml:space="preserve">MTP → 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</si>
  <si>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值與來源不等（換算（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 </t>
    </r>
    <r>
      <rPr>
        <sz val="10"/>
        <color rgb="FF000000"/>
        <rFont val="Arial"/>
        <family val="0"/>
        <charset val="1"/>
      </rPr>
      <t xml:space="preserve">MTP → 0</t>
    </r>
    <r>
      <rPr>
        <sz val="10"/>
        <color rgb="FF000000"/>
        <rFont val="Noto Sans CJK SC"/>
        <family val="2"/>
      </rPr>
      <t xml:space="preserve">））：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逐筆決定（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</si>
  <si>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</si>
  <si>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</si>
  <si>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</si>
  <si>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</si>
  <si>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</si>
  <si>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</si>
  <si>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</si>
  <si>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</si>
  <si>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</si>
  <si>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</si>
  <si>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</si>
  <si>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</si>
  <si>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</si>
  <si>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</si>
  <si>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</si>
  <si>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</si>
  <si>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</si>
  <si>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SerDes 1–2 pJ/bit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</si>
  <si>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</si>
  <si>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</si>
  <si>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</si>
  <si>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</si>
  <si>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</si>
  <si>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</si>
  <si>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</si>
  <si>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</si>
  <si>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</si>
  <si>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</si>
  <si>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</si>
  <si>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</si>
  <si>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</si>
  <si>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</si>
  <si>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</si>
  <si>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</si>
  <si>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</si>
  <si>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</si>
  <si>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</si>
  <si>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</si>
  <si>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</si>
  <si>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</si>
  <si>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</si>
  <si>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</si>
  <si>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</si>
  <si>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</si>
  <si>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</si>
  <si>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</si>
  <si>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</si>
  <si>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</si>
  <si>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</si>
  <si>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</si>
  <si>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</si>
  <si>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</si>
  <si>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</si>
  <si>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</si>
  <si>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</si>
  <si>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</si>
  <si>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</si>
  <si>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</si>
  <si>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</si>
  <si>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</si>
  <si>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</si>
  <si>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</si>
  <si>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</si>
  <si>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</si>
  <si>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</si>
  <si>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</si>
  <si>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</si>
  <si>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</si>
  <si>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</si>
  <si>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</si>
  <si>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</si>
  <si>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</si>
  <si>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</si>
  <si>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</si>
  <si>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</si>
  <si>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</si>
  <si>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</si>
  <si>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</si>
  <si>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</si>
  <si>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</si>
  <si>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</si>
  <si>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</si>
  <si>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GM426</t>
  </si>
  <si>
    <t xml:space="preserve">Unit_Cost</t>
  </si>
  <si>
    <t xml:space="preserve">GM427</t>
  </si>
  <si>
    <r>
      <rPr>
        <sz val="10"/>
        <color rgb="FF000000"/>
        <rFont val="Noto Sans CJK SC"/>
        <family val="2"/>
      </rPr>
      <t xml:space="preserve">切片二頁（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只登錄已連結格）</t>
    </r>
  </si>
  <si>
    <t xml:space="preserve">Train_In</t>
  </si>
  <si>
    <t xml:space="preserve">SRC_MOD_029</t>
  </si>
  <si>
    <t xml:space="preserve">GM428</t>
  </si>
  <si>
    <t xml:space="preserve">SRC_MOD_030</t>
  </si>
  <si>
    <t xml:space="preserve">GM429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</si>
  <si>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</si>
  <si>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</si>
  <si>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</si>
  <si>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</si>
  <si>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</si>
  <si>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</si>
  <si>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</si>
  <si>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</si>
  <si>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</si>
  <si>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</si>
  <si>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</si>
  <si>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</si>
  <si>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SRC_MOD_036</t>
  </si>
  <si>
    <t xml:space="preserve">GM435</t>
  </si>
  <si>
    <t xml:space="preserve">J14</t>
  </si>
  <si>
    <t xml:space="preserve">SRC_MOD_043</t>
  </si>
  <si>
    <r>
      <rPr>
        <sz val="10"/>
        <color rgb="FF000000"/>
        <rFont val="Noto Sans CJK SC"/>
        <family val="2"/>
      </rPr>
      <t xml:space="preserve">計數（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採用紀錄，</t>
    </r>
    <r>
      <rPr>
        <sz val="10"/>
        <color rgb="FF000000"/>
        <rFont val="Arial"/>
        <family val="0"/>
        <charset val="1"/>
      </rPr>
      <t xml:space="preserve">G0-6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</si>
  <si>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</si>
  <si>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</si>
  <si>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</si>
  <si>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</si>
  <si>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</si>
  <si>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</si>
  <si>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</si>
  <si>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</si>
  <si>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r>
      <rPr>
        <b val="true"/>
        <sz val="10"/>
        <rFont val="Noto Sans CJK SC"/>
        <family val="2"/>
      </rPr>
      <t xml:space="preserve">原話待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</si>
  <si>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</si>
  <si>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</si>
  <si>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</si>
  <si>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</si>
  <si>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</si>
  <si>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</si>
  <si>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</si>
  <si>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</si>
  <si>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</si>
  <si>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Noto Sans CJK SC"/>
        <family val="2"/>
      </rPr>
      <t xml:space="preserve">做成情境：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227 kW</t>
    </r>
    <r>
      <rPr>
        <sz val="10"/>
        <color rgb="FF000000"/>
        <rFont val="Noto Sans CJK SC"/>
        <family val="2"/>
      </rPr>
      <t xml:space="preserve">。機架數由配電設計功率決定；運轉模式（</t>
    </r>
    <r>
      <rPr>
        <sz val="10"/>
        <color rgb="FF000000"/>
        <rFont val="Arial"/>
        <family val="0"/>
        <charset val="1"/>
      </rPr>
      <t xml:space="preserve">Max-Q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Max-P</t>
    </r>
    <r>
      <rPr>
        <sz val="10"/>
        <color rgb="FF000000"/>
        <rFont val="Noto Sans CJK SC"/>
        <family val="2"/>
      </rPr>
      <t xml:space="preserve">）只影響用電與產出</t>
    </r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</si>
  <si>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</si>
  <si>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</si>
  <si>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r>
      <rPr>
        <sz val="10"/>
        <color rgb="FF000000"/>
        <rFont val="Noto Sans CJK SC"/>
        <family val="2"/>
      </rPr>
      <t xml:space="preserve">會計口徑（直線折舊）與經濟口徑（資本回收年金）並列。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年，須與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模型一致</t>
    </r>
  </si>
  <si>
    <t xml:space="preserve">Inputs!D23:F23</t>
  </si>
  <si>
    <r>
      <rPr>
        <sz val="10"/>
        <color rgb="FF000000"/>
        <rFont val="Noto Sans CJK SC"/>
        <family val="2"/>
      </rPr>
      <t xml:space="preserve">三個層級（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類）各選一個代表架構</t>
    </r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</si>
  <si>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</si>
  <si>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</si>
  <si>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</si>
  <si>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</si>
  <si>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</si>
  <si>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</si>
  <si>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</si>
  <si>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r>
      <rPr>
        <sz val="10"/>
        <color rgb="FF000000"/>
        <rFont val="Noto Sans CJK SC"/>
        <family val="2"/>
      </rPr>
      <t xml:space="preserve">機架價格為輸入；另做 </t>
    </r>
    <r>
      <rPr>
        <sz val="10"/>
        <color rgb="FF000000"/>
        <rFont val="Arial"/>
        <family val="0"/>
        <charset val="1"/>
      </rPr>
      <t xml:space="preserve">BOM </t>
    </r>
    <r>
      <rPr>
        <sz val="10"/>
        <color rgb="FF000000"/>
        <rFont val="Noto Sans CJK SC"/>
        <family val="2"/>
      </rPr>
      <t xml:space="preserve">拆解作交叉檢查</t>
    </r>
  </si>
  <si>
    <r>
      <rPr>
        <sz val="10"/>
        <color rgb="FF000000"/>
        <rFont val="Noto Sans CJK SC"/>
        <family val="2"/>
      </rPr>
      <t xml:space="preserve">與擁有者無關的單一輸入：基準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8–13%</t>
    </r>
    <r>
      <rPr>
        <sz val="10"/>
        <color rgb="FF000000"/>
        <rFont val="Noto Sans CJK SC"/>
        <family val="2"/>
      </rPr>
      <t xml:space="preserve">。下游公司模型以自身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覆寫</t>
    </r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</si>
  <si>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</si>
  <si>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</si>
  <si>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</si>
  <si>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</si>
  <si>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</si>
  <si>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r>
      <rPr>
        <sz val="10"/>
        <color rgb="FF000000"/>
        <rFont val="Noto Sans CJK SC"/>
        <family val="2"/>
      </rPr>
      <t xml:space="preserve">情境：混合 </t>
    </r>
    <r>
      <rPr>
        <sz val="10"/>
        <color rgb="FF000000"/>
        <rFont val="Arial"/>
        <family val="0"/>
        <charset val="1"/>
      </rPr>
      <t xml:space="preserve">14,976</t>
    </r>
    <r>
      <rPr>
        <sz val="10"/>
        <color rgb="FF000000"/>
        <rFont val="Noto Sans CJK SC"/>
        <family val="2"/>
      </rPr>
      <t xml:space="preserve">／全層 </t>
    </r>
    <r>
      <rPr>
        <sz val="10"/>
        <color rgb="FF000000"/>
        <rFont val="Arial"/>
        <family val="0"/>
        <charset val="1"/>
      </rPr>
      <t xml:space="preserve">MLA 57,600</t>
    </r>
    <r>
      <rPr>
        <sz val="10"/>
        <color rgb="FF000000"/>
        <rFont val="Noto Sans CJK SC"/>
        <family val="2"/>
      </rPr>
      <t xml:space="preserve">（基準）／</t>
    </r>
    <r>
      <rPr>
        <sz val="10"/>
        <color rgb="FF000000"/>
        <rFont val="Arial"/>
        <family val="0"/>
        <charset val="1"/>
      </rPr>
      <t xml:space="preserve">GQA-8 204,800 B/token</t>
    </r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</si>
  <si>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</si>
  <si>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</si>
  <si>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dense 35 PF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 </t>
    </r>
    <r>
      <rPr>
        <sz val="10"/>
        <color rgb="FF000000"/>
        <rFont val="Noto Sans CJK SC"/>
        <family val="2"/>
      </rPr>
      <t xml:space="preserve">只作高情境</t>
    </r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</si>
  <si>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</si>
  <si>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</si>
  <si>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r>
      <rPr>
        <sz val="10"/>
        <color rgb="FF000000"/>
        <rFont val="Noto Sans CJK SC"/>
        <family val="2"/>
      </rPr>
      <t xml:space="preserve">採市場觀測輸出速度：</t>
    </r>
    <r>
      <rPr>
        <sz val="10"/>
        <color rgb="FF000000"/>
        <rFont val="Arial"/>
        <family val="0"/>
        <charset val="1"/>
      </rPr>
      <t xml:space="preserve">Luna 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55 tok/s/user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Artificial Analysis 2026-09</t>
    </r>
    <r>
      <rPr>
        <sz val="10"/>
        <color rgb="FF000000"/>
        <rFont val="Noto Sans CJK SC"/>
        <family val="2"/>
      </rPr>
      <t xml:space="preserve">）</t>
    </r>
  </si>
  <si>
    <t xml:space="preserve">Serving!C21:E21</t>
  </si>
  <si>
    <t xml:space="preserve">J4</t>
  </si>
  <si>
    <t xml:space="preserve">VR-eq</t>
  </si>
  <si>
    <r>
      <rPr>
        <sz val="10"/>
        <color rgb="FF000000"/>
        <rFont val="Noto Sans CJK SC"/>
        <family val="2"/>
      </rPr>
      <t xml:space="preserve">依層級分列；下游單一數字預設用 </t>
    </r>
    <r>
      <rPr>
        <sz val="10"/>
        <color rgb="FF000000"/>
        <rFont val="Arial"/>
        <family val="0"/>
        <charset val="1"/>
      </rPr>
      <t xml:space="preserve">Sol</t>
    </r>
  </si>
  <si>
    <t xml:space="preserve">J5</t>
  </si>
  <si>
    <t xml:space="preserve">任務組合</t>
  </si>
  <si>
    <r>
      <rPr>
        <sz val="10"/>
        <color rgb="FF000000"/>
        <rFont val="Noto Sans CJK SC"/>
        <family val="2"/>
      </rPr>
      <t xml:space="preserve">組合權重在下游；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只定義標準任務，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保留一組參考組合</t>
    </r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</si>
  <si>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</si>
  <si>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</si>
  <si>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</si>
  <si>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</si>
  <si>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</si>
  <si>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</si>
  <si>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</si>
  <si>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</si>
  <si>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</si>
  <si>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</si>
  <si>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</si>
  <si>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</si>
  <si>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</si>
  <si>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</si>
  <si>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</si>
  <si>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</si>
  <si>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</si>
  <si>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t xml:space="preserve">J8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</si>
  <si>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</si>
  <si>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× 60T token</t>
    </r>
    <r>
      <rPr>
        <sz val="10"/>
        <color rgb="FF000000"/>
        <rFont val="Noto Sans CJK SC"/>
        <family val="2"/>
      </rPr>
      <t xml:space="preserve">）為基準；前沿錨點（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）列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顯示差距</t>
    </r>
  </si>
  <si>
    <t xml:space="preserve">J9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</si>
  <si>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</si>
  <si>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r>
      <rPr>
        <sz val="10"/>
        <color rgb="FF000000"/>
        <rFont val="Noto Sans CJK SC"/>
        <family val="2"/>
      </rPr>
      <t xml:space="preserve">由下而上以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為輸入；基準校到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（外部錨點為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小時口徑，故效率改變時重校 </t>
    </r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、維持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Andy 2026-10-01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）</t>
    </r>
  </si>
  <si>
    <t xml:space="preserve">J10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</si>
  <si>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三家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）；乘在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小時上；家族合計、依最終訓練比例分攤</t>
    </r>
  </si>
  <si>
    <t xml:space="preserve">J11</t>
  </si>
  <si>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</si>
  <si>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</si>
  <si>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t xml:space="preserve">J12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</si>
  <si>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</si>
  <si>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</si>
  <si>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J13</t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</si>
  <si>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</si>
  <si>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</si>
  <si>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</si>
  <si>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</si>
  <si>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r>
      <rPr>
        <sz val="10"/>
        <color rgb="FF000000"/>
        <rFont val="Noto Sans CJK SC"/>
        <family val="2"/>
      </rPr>
      <t xml:space="preserve">至少兩家實驗室公開採用；</t>
    </r>
    <r>
      <rPr>
        <sz val="10"/>
        <color rgb="FF000000"/>
        <rFont val="Arial"/>
        <family val="0"/>
        <charset val="1"/>
      </rPr>
      <t xml:space="preserve">Tech_Registry L </t>
    </r>
    <r>
      <rPr>
        <sz val="10"/>
        <color rgb="FF000000"/>
        <rFont val="Noto Sans CJK SC"/>
        <family val="2"/>
      </rPr>
      <t xml:space="preserve">欄可由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覆寫</t>
    </r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</si>
  <si>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</si>
  <si>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</si>
  <si>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</si>
  <si>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</si>
  <si>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</si>
  <si>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</si>
  <si>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擁有（藍字格）；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重建公式頁時讀回輸入，程式預設只用於新增列。改輸入一律改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起，原始數據的藍字移到 </t>
    </r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頁，模型頁改以公式連結（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的藍字仍留在模型頁</t>
    </r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</si>
  <si>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</si>
  <si>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</si>
  <si>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判斷類（輸入值、機制、參數、來源標記、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判定）只在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端；工程類（具名範圍、標籤、格式、顯示列、不改數值的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重構）由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repo builder/ </t>
    </r>
    <r>
      <rPr>
        <sz val="10"/>
        <color rgb="FF000000"/>
        <rFont val="Noto Sans CJK SC"/>
        <family val="2"/>
      </rPr>
      <t xml:space="preserve">直接執行（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修訂四第 </t>
    </r>
    <r>
      <rPr>
        <sz val="10"/>
        <color rgb="FF000000"/>
        <rFont val="Arial"/>
        <family val="0"/>
        <charset val="1"/>
      </rPr>
      <t xml:space="preserve">4a </t>
    </r>
    <r>
      <rPr>
        <sz val="10"/>
        <color rgb="FF000000"/>
        <rFont val="Noto Sans CJK SC"/>
        <family val="2"/>
      </rPr>
      <t xml:space="preserve">節）。分不清時視為判斷類</t>
    </r>
  </si>
  <si>
    <t xml:space="preserve">P5</t>
  </si>
  <si>
    <r>
      <rPr>
        <sz val="10"/>
        <color rgb="FF000000"/>
        <rFont val="Noto Sans CJK SC"/>
        <family val="2"/>
      </rPr>
      <t xml:space="preserve">檔案存放（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</si>
  <si>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</si>
  <si>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</si>
  <si>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r>
      <rPr>
        <sz val="10"/>
        <color rgb="FF000000"/>
        <rFont val="Noto Sans CJK SC"/>
        <family val="2"/>
      </rPr>
      <t xml:space="preserve">具名公式（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</si>
  <si>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新公式的關鍵物理量以具名範圍引用，使公式可讀；</t>
    </r>
    <r>
      <rPr>
        <sz val="10"/>
        <color rgb="FF000000"/>
        <rFont val="Arial"/>
        <family val="0"/>
        <charset val="1"/>
      </rPr>
      <t xml:space="preserve">Block 1–3 </t>
    </r>
    <r>
      <rPr>
        <sz val="10"/>
        <color rgb="FF000000"/>
        <rFont val="Noto Sans CJK SC"/>
        <family val="2"/>
      </rPr>
      <t xml:space="preserve">既有公式不追溯</t>
    </r>
  </si>
  <si>
    <t xml:space="preserve">K1</t>
  </si>
  <si>
    <r>
      <rPr>
        <sz val="10"/>
        <color rgb="FF000000"/>
        <rFont val="Noto Sans CJK SC"/>
        <family val="2"/>
      </rPr>
      <t xml:space="preserve">單價基準（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</si>
  <si>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</si>
  <si>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</si>
  <si>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</si>
  <si>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</si>
  <si>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</si>
  <si>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</si>
  <si>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</si>
  <si>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K4</t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</si>
  <si>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</si>
  <si>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</si>
  <si>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</si>
  <si>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K5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</si>
  <si>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</si>
  <si>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</si>
  <si>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</si>
  <si>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</si>
  <si>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r>
      <rPr>
        <sz val="10"/>
        <color rgb="FF000000"/>
        <rFont val="Noto Sans CJK SC"/>
        <family val="2"/>
      </rPr>
      <t xml:space="preserve">自下而上與由上而下並列；下游預設採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：由上而下總額（機隊訓練＋研發支出）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自下而上權重（各層級研發計畫年化成本）分配（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）。另列 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營收權重分配；毛利率一律另列不含攤提的口徑，以便與公司揭露毛利率比較</t>
    </r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</si>
  <si>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</si>
  <si>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t xml:space="preserve">K7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</si>
  <si>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</si>
  <si>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支出校準：服務 </t>
    </r>
    <r>
      <rPr>
        <sz val="10"/>
        <color rgb="FF000000"/>
        <rFont val="Arial"/>
        <family val="0"/>
        <charset val="1"/>
      </rPr>
      <t xml:space="preserve">41%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30–60%</t>
    </r>
    <r>
      <rPr>
        <sz val="10"/>
        <color rgb="FF000000"/>
        <rFont val="Noto Sans CJK SC"/>
        <family val="2"/>
      </rPr>
      <t xml:space="preserve">）、免費占服務 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35–60%</t>
    </r>
    <r>
      <rPr>
        <sz val="10"/>
        <color rgb="FF000000"/>
        <rFont val="Noto Sans CJK SC"/>
        <family val="2"/>
      </rPr>
      <t xml:space="preserve">）；付費層級組合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</si>
  <si>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K8</t>
  </si>
  <si>
    <t xml:space="preserve">營收範圍</t>
  </si>
  <si>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計次單價；訂閱在下游</t>
    </r>
  </si>
  <si>
    <t xml:space="preserve">K9</t>
  </si>
  <si>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</si>
  <si>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單價快照；年降幅不入基準（中國廠商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年反而調漲，</t>
    </r>
    <r>
      <rPr>
        <sz val="10"/>
        <color rgb="FF000000"/>
        <rFont val="Arial"/>
        <family val="0"/>
        <charset val="1"/>
      </rPr>
      <t xml:space="preserve">E012</t>
    </r>
    <r>
      <rPr>
        <sz val="10"/>
        <color rgb="FF000000"/>
        <rFont val="Noto Sans CJK SC"/>
        <family val="2"/>
      </rPr>
      <t xml:space="preserve">）</t>
    </r>
  </si>
  <si>
    <t xml:space="preserve">K10</t>
  </si>
  <si>
    <t xml:space="preserve">快取儲存</t>
  </si>
  <si>
    <r>
      <rPr>
        <sz val="10"/>
        <color rgb="FF000000"/>
        <rFont val="Noto Sans CJK SC"/>
        <family val="2"/>
      </rPr>
      <t xml:space="preserve">比照公開快取條款：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、保留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分鐘（至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小時）、每次寫入命中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</si>
  <si>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利用率與折減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</si>
  <si>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暫用值；</t>
    </r>
    <r>
      <rPr>
        <sz val="10"/>
        <color rgb="FF000000"/>
        <rFont val="Arial"/>
        <family val="0"/>
        <charset val="1"/>
      </rPr>
      <t xml:space="preserve">Andy 2026-10-02 </t>
    </r>
    <r>
      <rPr>
        <sz val="10"/>
        <color rgb="FF000000"/>
        <rFont val="Noto Sans CJK SC"/>
        <family val="2"/>
      </rPr>
      <t xml:space="preserve">再確認「先維持暫用值」（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）：標記維持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，不以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級寫入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日後給值時再以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級登錄</t>
    </r>
  </si>
  <si>
    <t xml:space="preserve">2026-10-02</t>
  </si>
  <si>
    <t xml:space="preserve">「先維持暫用值」</t>
  </si>
  <si>
    <t xml:space="preserve">Serving!C17:C18</t>
  </si>
  <si>
    <t xml:space="preserve">K12</t>
  </si>
  <si>
    <t xml:space="preserve">尖峰離峰</t>
  </si>
  <si>
    <r>
      <rPr>
        <sz val="10"/>
        <color rgb="FF000000"/>
        <rFont val="Noto Sans CJK SC"/>
        <family val="2"/>
      </rPr>
      <t xml:space="preserve">兩者並列；前緣用依時數加權（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尖峰每週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小時，加權係數 </t>
    </r>
    <r>
      <rPr>
        <sz val="10"/>
        <color rgb="FF000000"/>
        <rFont val="Arial"/>
        <family val="0"/>
        <charset val="1"/>
      </rPr>
      <t xml:space="preserve">0.604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</si>
  <si>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</si>
  <si>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t xml:space="preserve">中國廠商</t>
  </si>
  <si>
    <t xml:space="preserve">全部納入（含閉源），以欄位標示開放權重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</si>
  <si>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</si>
  <si>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</si>
  <si>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</si>
  <si>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</si>
  <si>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</si>
  <si>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r>
      <rPr>
        <sz val="10"/>
        <color rgb="FF000000"/>
        <rFont val="Noto Sans CJK SC"/>
        <family val="2"/>
      </rPr>
      <t xml:space="preserve">依任務分列的參數組（輪數倍數、思考保留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、每輪思考倍數、歷史壓縮比、快取命中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、子代理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、狀態保留時間、供應商專屬標記），取代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：擴充其「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倍數：預設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」原話）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</si>
  <si>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倍數：預設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</si>
  <si>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</si>
  <si>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</si>
  <si>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</si>
  <si>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</si>
  <si>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r>
      <rPr>
        <sz val="10"/>
        <color rgb="FF000000"/>
        <rFont val="Noto Sans CJK SC"/>
        <family val="2"/>
      </rPr>
      <t xml:space="preserve">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</t>
    </r>
  </si>
  <si>
    <t xml:space="preserve">增強檔入基準</t>
  </si>
  <si>
    <r>
      <rPr>
        <sz val="10"/>
        <color rgb="FF000000"/>
        <rFont val="Noto Sans CJK SC"/>
        <family val="2"/>
      </rPr>
      <t xml:space="preserve">不入基準：開關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、能力提升倍數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參數同標準檔（沿用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「預設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」）；增強檔只作情境</t>
    </r>
  </si>
  <si>
    <r>
      <rPr>
        <sz val="10"/>
        <color rgb="FF000000"/>
        <rFont val="Noto Sans CJK SC"/>
        <family val="2"/>
      </rPr>
      <t xml:space="preserve">「預設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</si>
  <si>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</si>
  <si>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</si>
  <si>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</si>
  <si>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不影響：每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理論營收為產能上限，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只作用於每任務層（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頁）；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不動</t>
    </r>
  </si>
  <si>
    <t xml:space="preserve">L5</t>
  </si>
  <si>
    <t xml:space="preserve">每成功任務成本</t>
  </si>
  <si>
    <r>
      <rPr>
        <sz val="10"/>
        <color rgb="FF000000"/>
        <rFont val="Noto Sans CJK SC"/>
        <family val="2"/>
      </rPr>
      <t xml:space="preserve">每次嘗試成本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（重試獨立、失敗可偵測）；失敗可偵測比例留作敏感度</t>
    </r>
  </si>
  <si>
    <t xml:space="preserve">L6</t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</si>
  <si>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</si>
  <si>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Noto Sans CJK SC"/>
        <family val="2"/>
      </rPr>
      <t xml:space="preserve">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層，列待辦（缺每任務沙盒／</t>
    </r>
    <r>
      <rPr>
        <sz val="10"/>
        <color rgb="FF000000"/>
        <rFont val="Arial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成本公開數據）</t>
    </r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</si>
  <si>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</si>
  <si>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</si>
  <si>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r>
      <rPr>
        <sz val="10"/>
        <color rgb="FF000000"/>
        <rFont val="Noto Sans CJK SC"/>
        <family val="2"/>
      </rPr>
      <t xml:space="preserve">只有中立方（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等）在同條件測得者可作情境值；廠商自報一律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，只作對照</t>
    </r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</si>
  <si>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</si>
  <si>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</si>
  <si>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</si>
  <si>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</si>
  <si>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</si>
  <si>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主流、已在基準（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）：旗艦模型披露 </t>
    </r>
    <r>
      <rPr>
        <sz val="10"/>
        <color rgb="FF000000"/>
        <rFont val="Arial"/>
        <family val="0"/>
        <charset val="1"/>
      </rPr>
      <t xml:space="preserve">DeepSeek V4.1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Zhipu GLM-5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 Kimi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Meta Llama 3</t>
    </r>
    <r>
      <rPr>
        <sz val="10"/>
        <color rgb="FF000000"/>
        <rFont val="Noto Sans CJK SC"/>
        <family val="2"/>
      </rPr>
      <t xml:space="preserve">；閉源四家未找到披露。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0.6 → 0.85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token 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→ 2.36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9.6T</t>
    </r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</si>
  <si>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</si>
  <si>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</si>
  <si>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</si>
  <si>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</si>
  <si>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</si>
  <si>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</si>
  <si>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r>
      <rPr>
        <sz val="10"/>
        <color rgb="FF000000"/>
        <rFont val="Noto Sans CJK SC"/>
        <family val="2"/>
      </rPr>
      <t xml:space="preserve">需求出現 → 查 </t>
    </r>
    <r>
      <rPr>
        <sz val="10"/>
        <color rgb="FF000000"/>
        <rFont val="Arial"/>
        <family val="0"/>
        <charset val="1"/>
      </rPr>
      <t xml:space="preserve">Source → </t>
    </r>
    <r>
      <rPr>
        <sz val="10"/>
        <color rgb="FF000000"/>
        <rFont val="Noto Sans CJK SC"/>
        <family val="2"/>
      </rPr>
      <t xml:space="preserve">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（已看過或曾不採納者不重複處理）→ 候選逐筆登錄 </t>
    </r>
    <r>
      <rPr>
        <sz val="10"/>
        <color rgb="FF000000"/>
        <rFont val="Arial"/>
        <family val="0"/>
        <charset val="1"/>
      </rPr>
      <t xml:space="preserve">DB_Evidence → </t>
    </r>
    <r>
      <rPr>
        <sz val="10"/>
        <color rgb="FF000000"/>
        <rFont val="Noto Sans CJK SC"/>
        <family val="2"/>
      </rPr>
      <t xml:space="preserve">比較 → 取代／並列（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）／不採納／待 </t>
    </r>
    <r>
      <rPr>
        <sz val="10"/>
        <color rgb="FF000000"/>
        <rFont val="Arial"/>
        <family val="0"/>
        <charset val="1"/>
      </rPr>
      <t xml:space="preserve">Andy → </t>
    </r>
    <r>
      <rPr>
        <sz val="10"/>
        <color rgb="FF000000"/>
        <rFont val="Noto Sans CJK SC"/>
        <family val="2"/>
      </rPr>
      <t xml:space="preserve">寫入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、重算、</t>
    </r>
    <r>
      <rPr>
        <sz val="10"/>
        <color rgb="FF000000"/>
        <rFont val="Arial"/>
        <family val="0"/>
        <charset val="1"/>
      </rPr>
      <t xml:space="preserve">Checks ERROR 0 → </t>
    </r>
    <r>
      <rPr>
        <sz val="10"/>
        <color rgb="FF000000"/>
        <rFont val="Noto Sans CJK SC"/>
        <family val="2"/>
      </rPr>
      <t xml:space="preserve">登錄結果。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提供的訊息走同一流程。比較判定屬判斷類（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端）</t>
    </r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</si>
  <si>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</si>
  <si>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</si>
  <si>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</si>
  <si>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</si>
  <si>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</si>
  <si>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r>
      <rPr>
        <sz val="10"/>
        <color rgb="FF000000"/>
        <rFont val="Noto Sans CJK SC"/>
        <family val="2"/>
      </rPr>
      <t xml:space="preserve">只比同指標、同口徑；順序：等級 → 立場 → 口徑接近度 → 日期（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</si>
  <si>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舊資料保留</t>
  </si>
  <si>
    <r>
      <rPr>
        <sz val="10"/>
        <color rgb="FF000000"/>
        <rFont val="Noto Sans CJK SC"/>
        <family val="2"/>
      </rPr>
      <t xml:space="preserve">被取代者留在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，記取代者）；不採納者留在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作「已看過」清單（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</si>
  <si>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</si>
  <si>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</si>
  <si>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</si>
  <si>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</si>
  <si>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r>
      <rPr>
        <sz val="10"/>
        <color rgb="FF000000"/>
        <rFont val="Noto Sans CJK SC"/>
        <family val="2"/>
      </rPr>
      <t xml:space="preserve">依欄位結構拆頁，不看筆數：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；新增分頁屬工程類。現有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筆文字、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格數值）拆成數值紀錄後改名 </t>
    </r>
    <r>
      <rPr>
        <sz val="10"/>
        <color rgb="FF000000"/>
        <rFont val="Arial"/>
        <family val="0"/>
        <charset val="1"/>
      </rPr>
      <t xml:space="preserve">Sources_Legacy</t>
    </r>
  </si>
  <si>
    <t xml:space="preserve">下游取數與邊界</t>
  </si>
  <si>
    <r>
      <rPr>
        <sz val="10"/>
        <color rgb="FF000000"/>
        <rFont val="Noto Sans CJK SC"/>
        <family val="2"/>
      </rPr>
      <t xml:space="preserve">下游可直接取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、只取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技術、算力需求、供給、價格、成本數據屬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；公司特有的資本結構、合約條款、估值屬下游（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）。其他產業或個股用到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技術／算力數據，一律走 </t>
    </r>
    <r>
      <rPr>
        <sz val="10"/>
        <color rgb="FF000000"/>
        <rFont val="Arial"/>
        <family val="0"/>
        <charset val="1"/>
      </rPr>
      <t xml:space="preserve">G2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</si>
  <si>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L1</t>
    </r>
  </si>
  <si>
    <r>
      <rPr>
        <sz val="10"/>
        <color rgb="FF000000"/>
        <rFont val="Noto Sans CJK SC"/>
        <family val="2"/>
      </rPr>
      <t xml:space="preserve">常用推算值存為獨立頁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（前綴 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），即時公式、不貼值、不放進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Answers </t>
    </r>
    <r>
      <rPr>
        <sz val="10"/>
        <color rgb="FF000000"/>
        <rFont val="Noto Sans CJK SC"/>
        <family val="2"/>
      </rPr>
      <t xml:space="preserve">合併（取代第 </t>
    </r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Answers </t>
    </r>
    <r>
      <rPr>
        <sz val="10"/>
        <color rgb="FF000000"/>
        <rFont val="Noto Sans CJK SC"/>
        <family val="2"/>
      </rPr>
      <t xml:space="preserve">頁與 </t>
    </r>
    <r>
      <rPr>
        <sz val="10"/>
        <color rgb="FF000000"/>
        <rFont val="Arial"/>
        <family val="0"/>
        <charset val="1"/>
      </rPr>
      <t xml:space="preserve">AN_ </t>
    </r>
    <r>
      <rPr>
        <sz val="10"/>
        <color rgb="FF000000"/>
        <rFont val="Noto Sans CJK SC"/>
        <family val="2"/>
      </rPr>
      <t xml:space="preserve">前綴）；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，對照欄連結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。入選：兩個以上取用者、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提問或報告引用、或有對應外部主張（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「你的規劃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</si>
  <si>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Noto Sans CJK SC"/>
        <family val="2"/>
      </rPr>
      <t xml:space="preserve">「你的規劃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」</t>
    </r>
  </si>
  <si>
    <t xml:space="preserve">排序</t>
  </si>
  <si>
    <r>
      <rPr>
        <sz val="10"/>
        <color rgb="FF000000"/>
        <rFont val="Noto Sans CJK SC"/>
        <family val="2"/>
      </rPr>
      <t xml:space="preserve">方案甲：</t>
    </r>
    <r>
      <rPr>
        <sz val="10"/>
        <color rgb="FF000000"/>
        <rFont val="Arial"/>
        <family val="0"/>
        <charset val="1"/>
      </rPr>
      <t xml:space="preserve">PR #9 → Stage 0 → v5.11 </t>
    </r>
    <r>
      <rPr>
        <sz val="10"/>
        <color rgb="FF000000"/>
        <rFont val="Noto Sans CJK SC"/>
        <family val="2"/>
      </rPr>
      <t xml:space="preserve">切片一 → 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切片二 → </t>
    </r>
    <r>
      <rPr>
        <sz val="10"/>
        <color rgb="FF000000"/>
        <rFont val="Arial"/>
        <family val="0"/>
        <charset val="1"/>
      </rPr>
      <t xml:space="preserve">v5.13 Block 6 → OpenAI v0.6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</si>
  <si>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決策登錄</t>
  </si>
  <si>
    <r>
      <rPr>
        <sz val="10"/>
        <color rgb="FF000000"/>
        <rFont val="Noto Sans CJK SC"/>
        <family val="2"/>
      </rPr>
      <t xml:space="preserve">本表各項於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移入活頁簿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頁；之後本文件只保留決策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</si>
  <si>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資料範圍</t>
  </si>
  <si>
    <r>
      <rPr>
        <sz val="10"/>
        <color rgb="FF000000"/>
        <rFont val="Noto Sans CJK SC"/>
        <family val="2"/>
      </rPr>
      <t xml:space="preserve">公開資料＋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的資料，同存活頁簿與公開 </t>
    </r>
    <r>
      <rPr>
        <sz val="10"/>
        <color rgb="FF000000"/>
        <rFont val="Arial"/>
        <family val="0"/>
        <charset val="1"/>
      </rPr>
      <t xml:space="preserve">repo</t>
    </r>
    <r>
      <rPr>
        <sz val="10"/>
        <color rgb="FF000000"/>
        <rFont val="Noto Sans CJK SC"/>
        <family val="2"/>
      </rPr>
      <t xml:space="preserve">；不考慮法遵，不建機密分級（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：法遵由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自行處理）</t>
    </r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</si>
  <si>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</si>
  <si>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</si>
  <si>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</si>
  <si>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</si>
  <si>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r>
      <rPr>
        <sz val="10"/>
        <color rgb="FF000000"/>
        <rFont val="Noto Sans CJK SC"/>
        <family val="2"/>
      </rPr>
      <t xml:space="preserve">同口徑的多家獨立估計（例：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MS 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9.09</t>
    </r>
    <r>
      <rPr>
        <sz val="10"/>
        <color rgb="FF000000"/>
        <rFont val="Noto Sans CJK SC"/>
        <family val="2"/>
      </rPr>
      <t xml:space="preserve">）不套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「日期較新者勝」，全部並列；基準＝中位數、低＝最小、高＝最大；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可個別覆寫並登錄決策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。改值在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執行，不進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遷移版本（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「同意」；</t>
    </r>
    <r>
      <rPr>
        <sz val="10"/>
        <color rgb="FF000000"/>
        <rFont val="Arial"/>
        <family val="0"/>
        <charset val="1"/>
      </rPr>
      <t xml:space="preserve">Gate 0 G0-8</t>
    </r>
    <r>
      <rPr>
        <sz val="10"/>
        <color rgb="FF000000"/>
        <rFont val="Noto Sans CJK SC"/>
        <family val="2"/>
      </rPr>
      <t xml:space="preserve">）</t>
    </r>
  </si>
  <si>
    <t xml:space="preserve">「日期較新者勝」；「同意」</t>
  </si>
  <si>
    <t xml:space="preserve">M1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</si>
  <si>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</si>
  <si>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</si>
  <si>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</si>
  <si>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</si>
  <si>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r>
      <rPr>
        <sz val="10"/>
        <color rgb="FF000000"/>
        <rFont val="Noto Sans CJK SC"/>
        <family val="2"/>
      </rPr>
      <t xml:space="preserve">交接第 </t>
    </r>
    <r>
      <rPr>
        <sz val="10"/>
        <color rgb="FF000000"/>
        <rFont val="Arial"/>
        <family val="0"/>
        <charset val="1"/>
      </rPr>
      <t xml:space="preserve">8d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8e </t>
    </r>
    <r>
      <rPr>
        <sz val="10"/>
        <color rgb="FF000000"/>
        <rFont val="Noto Sans CJK SC"/>
        <family val="2"/>
      </rPr>
      <t xml:space="preserve">節</t>
    </r>
  </si>
  <si>
    <t xml:space="preserve">A1</t>
  </si>
  <si>
    <t xml:space="preserve">Block 6</t>
  </si>
  <si>
    <t xml:space="preserve">基準年度</t>
  </si>
  <si>
    <r>
      <rPr>
        <sz val="10"/>
        <color rgb="FF000000"/>
        <rFont val="Noto Sans CJK SC"/>
        <family val="2"/>
      </rPr>
      <t xml:space="preserve">穩態年度（研發＋服務）為基準；成長效應另列情境（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</si>
  <si>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」（全部依建議）</t>
    </r>
  </si>
  <si>
    <r>
      <rPr>
        <sz val="10"/>
        <color rgb="FF000000"/>
        <rFont val="Noto Sans CJK SC"/>
        <family val="2"/>
      </rPr>
      <t xml:space="preserve">生效（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建置）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</si>
  <si>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</si>
  <si>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交接第 </t>
    </r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節</t>
    </r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</si>
  <si>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</si>
  <si>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</si>
  <si>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</si>
  <si>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</si>
  <si>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</si>
  <si>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r>
      <rPr>
        <sz val="10"/>
        <color rgb="FF000000"/>
        <rFont val="Noto Sans CJK SC"/>
        <family val="2"/>
      </rPr>
      <t xml:space="preserve">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</si>
  <si>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A4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</si>
  <si>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</si>
  <si>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推導服務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；實驗室總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只作檢查</t>
    </r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</si>
  <si>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</si>
  <si>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</si>
  <si>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年持有成本；訓練用最新世代、服務用世代組合；利用率不影響成本占比；雲端與自有差異留在下游</t>
    </r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</si>
  <si>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</si>
  <si>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</si>
  <si>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</si>
  <si>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</si>
  <si>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</si>
  <si>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r>
      <rPr>
        <sz val="10"/>
        <color rgb="FF000000"/>
        <rFont val="Noto Sans CJK SC"/>
        <family val="2"/>
      </rPr>
      <t xml:space="preserve">基準輸出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R3 </t>
    </r>
    <r>
      <rPr>
        <sz val="10"/>
        <color rgb="FF000000"/>
        <rFont val="Noto Sans CJK SC"/>
        <family val="2"/>
      </rPr>
      <t xml:space="preserve">列為缺口、不設參數</t>
    </r>
  </si>
  <si>
    <t xml:space="preserve">A8</t>
  </si>
  <si>
    <t xml:space="preserve">實驗室選擇器</t>
  </si>
  <si>
    <r>
      <rPr>
        <sz val="10"/>
        <color rgb="FF000000"/>
        <rFont val="Noto Sans CJK SC"/>
        <family val="2"/>
      </rPr>
      <t xml:space="preserve">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</si>
  <si>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G0-1</t>
  </si>
  <si>
    <r>
      <rPr>
        <sz val="10"/>
        <color rgb="FF000000"/>
        <rFont val="Noto Sans CJK SC"/>
        <family val="2"/>
      </rPr>
      <t xml:space="preserve">治理（</t>
    </r>
    <r>
      <rPr>
        <sz val="10"/>
        <color rgb="FF000000"/>
        <rFont val="Arial"/>
        <family val="0"/>
        <charset val="1"/>
      </rPr>
      <t xml:space="preserve">Gate 0</t>
    </r>
    <r>
      <rPr>
        <sz val="10"/>
        <color rgb="FF000000"/>
        <rFont val="Noto Sans CJK SC"/>
        <family val="2"/>
      </rPr>
      <t xml:space="preserve">）</t>
    </r>
  </si>
  <si>
    <t xml:space="preserve">遷移粒度</t>
  </si>
  <si>
    <t xml:space="preserve">逐格遷移（不是逐列）</t>
  </si>
  <si>
    <r>
      <rPr>
        <sz val="10"/>
        <color rgb="FF000000"/>
        <rFont val="Noto Sans CJK SC"/>
        <family val="2"/>
      </rPr>
      <t xml:space="preserve">工程類：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直接定案</t>
    </r>
  </si>
  <si>
    <r>
      <rPr>
        <sz val="10"/>
        <color rgb="FF000000"/>
        <rFont val="Noto Sans CJK SC"/>
        <family val="2"/>
      </rPr>
      <t xml:space="preserve">交接第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審閱檔 </t>
    </r>
    <r>
      <rPr>
        <sz val="10"/>
        <color rgb="FF000000"/>
        <rFont val="Arial"/>
        <family val="0"/>
        <charset val="1"/>
      </rPr>
      <t xml:space="preserve">Gate0_</t>
    </r>
    <r>
      <rPr>
        <sz val="10"/>
        <color rgb="FF000000"/>
        <rFont val="Noto Sans CJK SC"/>
        <family val="2"/>
      </rPr>
      <t xml:space="preserve">決策</t>
    </r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</si>
  <si>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</si>
  <si>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</si>
  <si>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值者改連結；取整、區間中點、選取值、改公式會變值者，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再逐筆決定是否改連結（改值即升次版）</t>
    </r>
  </si>
  <si>
    <r>
      <rPr>
        <sz val="10"/>
        <color rgb="FF000000"/>
        <rFont val="Noto Sans CJK SC"/>
        <family val="2"/>
      </rPr>
      <t xml:space="preserve">依建議（</t>
    </r>
    <r>
      <rPr>
        <sz val="10"/>
        <color rgb="FF000000"/>
        <rFont val="Arial"/>
        <family val="0"/>
        <charset val="1"/>
      </rPr>
      <t xml:space="preserve">2026-10-02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</si>
  <si>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</si>
  <si>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</si>
  <si>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</si>
  <si>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</si>
  <si>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</si>
  <si>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</si>
  <si>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</si>
  <si>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r>
      <rPr>
        <sz val="10"/>
        <color rgb="FF000000"/>
        <rFont val="Noto Sans CJK SC"/>
        <family val="2"/>
      </rPr>
      <t xml:space="preserve">建議統一用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（較新）；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的七個值。統一前，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前緣判定附註「版本混用」</t>
    </r>
  </si>
  <si>
    <t xml:space="preserve">G0-5</t>
  </si>
  <si>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範圍</t>
    </r>
  </si>
  <si>
    <r>
      <rPr>
        <sz val="10"/>
        <color rgb="FF000000"/>
        <rFont val="Noto Sans CJK SC"/>
        <family val="2"/>
      </rPr>
      <t xml:space="preserve">納入；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輪加一項「公式內數值常數掃描」（排除單位換算常數），清單由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端判定</t>
    </r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</si>
  <si>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</si>
  <si>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t xml:space="preserve">G0-6</t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</si>
  <si>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</si>
  <si>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</si>
  <si>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</si>
  <si>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</si>
  <si>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</si>
  <si>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</si>
  <si>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</si>
  <si>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r>
      <rPr>
        <sz val="10"/>
        <color rgb="FF000000"/>
        <rFont val="Noto Sans CJK SC"/>
        <family val="2"/>
      </rPr>
      <t xml:space="preserve">同指標的多家獨立估計（例：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MS 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9.09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</si>
  <si>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固定規則：同口徑的多家獨立估計全部並列（</t>
    </r>
    <r>
      <rPr>
        <sz val="10"/>
        <color rgb="FF000000"/>
        <rFont val="Arial"/>
        <family val="0"/>
        <charset val="1"/>
      </rPr>
      <t xml:space="preserve">Alt </t>
    </r>
    <r>
      <rPr>
        <sz val="10"/>
        <color rgb="FF000000"/>
        <rFont val="Noto Sans CJK SC"/>
        <family val="2"/>
      </rPr>
      <t xml:space="preserve">不取代），基準＝中位數、低＝最小、高＝最大；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可個別覆寫（登錄決策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）。值的改變在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執行，不進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遷移版本</t>
    </r>
  </si>
  <si>
    <r>
      <rPr>
        <sz val="10"/>
        <color rgb="FF000000"/>
        <rFont val="Noto Sans CJK SC"/>
        <family val="2"/>
      </rPr>
      <t xml:space="preserve">同意（</t>
    </r>
    <r>
      <rPr>
        <sz val="10"/>
        <color rgb="FF000000"/>
        <rFont val="Arial"/>
        <family val="0"/>
        <charset val="1"/>
      </rPr>
      <t xml:space="preserve">2026-10-02</t>
    </r>
    <r>
      <rPr>
        <sz val="10"/>
        <color rgb="FF000000"/>
        <rFont val="Noto Sans CJK SC"/>
        <family val="2"/>
      </rPr>
      <t xml:space="preserve">）</t>
    </r>
  </si>
  <si>
    <t xml:space="preserve">G0-9</t>
  </si>
  <si>
    <r>
      <rPr>
        <sz val="10"/>
        <color rgb="FF000000"/>
        <rFont val="Noto Sans CJK SC"/>
        <family val="2"/>
      </rPr>
      <t xml:space="preserve">不遷入 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條目</t>
    </r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</si>
  <si>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</si>
  <si>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</si>
  <si>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</si>
  <si>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U-NV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U-PR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U-DS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級候選紀錄（</t>
    </r>
    <r>
      <rPr>
        <sz val="10"/>
        <color rgb="FF000000"/>
        <rFont val="Arial"/>
        <family val="0"/>
        <charset val="1"/>
      </rPr>
      <t xml:space="preserve">F06</t>
    </r>
    <r>
      <rPr>
        <sz val="10"/>
        <color rgb="FF000000"/>
        <rFont val="Noto Sans CJK SC"/>
        <family val="2"/>
      </rPr>
      <t xml:space="preserve">）</t>
    </r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</si>
  <si>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</si>
  <si>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</si>
  <si>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維持暫用值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），標記仍為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，不以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級寫入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日後給值時再以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級登錄</t>
    </r>
  </si>
  <si>
    <r>
      <rPr>
        <sz val="10"/>
        <color rgb="FF000000"/>
        <rFont val="Noto Sans CJK SC"/>
        <family val="2"/>
      </rPr>
      <t xml:space="preserve">先維持暫用值（</t>
    </r>
    <r>
      <rPr>
        <sz val="10"/>
        <color rgb="FF000000"/>
        <rFont val="Arial"/>
        <family val="0"/>
        <charset val="1"/>
      </rPr>
      <t xml:space="preserve">2026-10-02</t>
    </r>
    <r>
      <rPr>
        <sz val="10"/>
        <color rgb="FF000000"/>
        <rFont val="Noto Sans CJK SC"/>
        <family val="2"/>
      </rPr>
      <t xml:space="preserve">）</t>
    </r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</si>
  <si>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</si>
  <si>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</si>
  <si>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</si>
  <si>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</si>
  <si>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提出之建模慣例；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未明確表態）</t>
    </r>
  </si>
  <si>
    <r>
      <rPr>
        <sz val="10"/>
        <color rgb="FF000000"/>
        <rFont val="Noto Sans CJK SC"/>
        <family val="2"/>
      </rPr>
      <t xml:space="preserve">生效（待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</si>
  <si>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</si>
  <si>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</si>
  <si>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</si>
  <si>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G1</t>
    </r>
    <r>
      <rPr>
        <sz val="9"/>
        <color rgb="FF595959"/>
        <rFont val="Noto Sans CJK SC"/>
        <family val="2"/>
      </rPr>
      <t xml:space="preserve">）。藍字＝原始值，由本活頁簿擁有；模型頁以公式連結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具名範圍。新訊息先登錄 </t>
    </r>
    <r>
      <rPr>
        <sz val="9"/>
        <color rgb="FF595959"/>
        <rFont val="Arial"/>
        <family val="0"/>
        <charset val="1"/>
      </rPr>
      <t xml:space="preserve">DB_Evidence</t>
    </r>
    <r>
      <rPr>
        <sz val="9"/>
        <color rgb="FF595959"/>
        <rFont val="Noto Sans CJK SC"/>
        <family val="2"/>
      </rPr>
      <t xml:space="preserve">，比較後擇優寫入（</t>
    </r>
    <r>
      <rPr>
        <sz val="9"/>
        <color rgb="FF595959"/>
        <rFont val="Arial"/>
        <family val="0"/>
        <charset val="1"/>
      </rPr>
      <t xml:space="preserve">G2–G6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X–Z </t>
    </r>
    <r>
      <rPr>
        <sz val="9"/>
        <color rgb="FF595959"/>
        <rFont val="Noto Sans CJK SC"/>
        <family val="2"/>
      </rPr>
      <t xml:space="preserve">欄為檢查公式（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每次重建）。</t>
    </r>
  </si>
  <si>
    <r>
      <rPr>
        <sz val="9"/>
        <color rgb="FF595959"/>
        <rFont val="Noto Sans CJK SC"/>
        <family val="2"/>
      </rPr>
      <t xml:space="preserve">來源等級：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＝一手且已讀原文、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＝二手已讀或一手文件轉載、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＝模型內建知識、只見摘錄或待查核（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）。狀態：</t>
    </r>
    <r>
      <rPr>
        <sz val="9"/>
        <color rgb="FF595959"/>
        <rFont val="Arial"/>
        <family val="0"/>
        <charset val="1"/>
      </rPr>
      <t xml:space="preserve">Active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（口徑不同或多家獨立估計並列，</t>
    </r>
    <r>
      <rPr>
        <sz val="9"/>
        <color rgb="FF595959"/>
        <rFont val="Arial"/>
        <family val="0"/>
        <charset val="1"/>
      </rPr>
      <t xml:space="preserve">G13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Superseded</t>
    </r>
    <r>
      <rPr>
        <sz val="9"/>
        <color rgb="FF595959"/>
        <rFont val="Noto Sans CJK SC"/>
        <family val="2"/>
      </rPr>
      <t xml:space="preserve">。</t>
    </r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</si>
  <si>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</si>
  <si>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</si>
  <si>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</si>
  <si>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</si>
  <si>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</si>
  <si>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</si>
  <si>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</si>
  <si>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</si>
  <si>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r>
      <rPr>
        <b val="true"/>
        <sz val="10"/>
        <rFont val="Noto Sans CJK SC"/>
        <family val="2"/>
      </rPr>
      <t xml:space="preserve">第二來源 </t>
    </r>
    <r>
      <rPr>
        <b val="true"/>
        <sz val="10"/>
        <rFont val="Arial"/>
        <family val="0"/>
        <charset val="1"/>
      </rPr>
      <t xml:space="preserve">SRC_ID</t>
    </r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</si>
  <si>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</si>
  <si>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</si>
  <si>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r>
      <rPr>
        <b val="true"/>
        <sz val="10"/>
        <rFont val="Noto Sans CJK SC"/>
        <family val="2"/>
      </rPr>
      <t xml:space="preserve">原 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編號</t>
    </r>
  </si>
  <si>
    <t xml:space="preserve">模型使用位置</t>
  </si>
  <si>
    <t xml:space="preserve">備註</t>
  </si>
  <si>
    <r>
      <rPr>
        <b val="true"/>
        <sz val="10"/>
        <rFont val="Noto Sans CJK SC"/>
        <family val="2"/>
      </rPr>
      <t xml:space="preserve">同指標同口徑 </t>
    </r>
    <r>
      <rPr>
        <b val="true"/>
        <sz val="10"/>
        <rFont val="Arial"/>
        <family val="0"/>
        <charset val="1"/>
      </rPr>
      <t xml:space="preserve">Active </t>
    </r>
    <r>
      <rPr>
        <b val="true"/>
        <sz val="10"/>
        <rFont val="Noto Sans CJK SC"/>
        <family val="2"/>
      </rPr>
      <t xml:space="preserve">數（公式）</t>
    </r>
  </si>
  <si>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Evidence</t>
    </r>
    <r>
      <rPr>
        <b val="true"/>
        <sz val="10"/>
        <rFont val="Noto Sans CJK SC"/>
        <family val="2"/>
      </rPr>
      <t xml:space="preserve">（公式）</t>
    </r>
  </si>
  <si>
    <t xml:space="preserve">利害關係方缺第二來源（公式）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</si>
  <si>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</si>
  <si>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</si>
  <si>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</si>
  <si>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</si>
  <si>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</si>
  <si>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</si>
  <si>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</si>
  <si>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</si>
  <si>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</si>
  <si>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</si>
  <si>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</si>
  <si>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</si>
  <si>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</si>
  <si>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</si>
  <si>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</si>
  <si>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</si>
  <si>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</si>
  <si>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</si>
  <si>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</si>
  <si>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</si>
  <si>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</si>
  <si>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</si>
  <si>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</si>
  <si>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</si>
  <si>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</si>
  <si>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</si>
  <si>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</si>
  <si>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</si>
  <si>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</si>
  <si>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</si>
  <si>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</si>
  <si>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</si>
  <si>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</si>
  <si>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</si>
  <si>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</si>
  <si>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</si>
  <si>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</si>
  <si>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模型高值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</si>
  <si>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</si>
  <si>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</si>
  <si>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</si>
  <si>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模型基準 </t>
    </r>
    <r>
      <rPr>
        <sz val="10"/>
        <color rgb="FF000000"/>
        <rFont val="Arial"/>
        <family val="0"/>
        <charset val="1"/>
      </rPr>
      <t xml:space="preserve">137</t>
    </r>
    <r>
      <rPr>
        <sz val="10"/>
        <color rgb="FF000000"/>
        <rFont val="Noto Sans CJK SC"/>
        <family val="2"/>
      </rPr>
      <t xml:space="preserve">＝區間中點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</si>
  <si>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</si>
  <si>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</si>
  <si>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</si>
  <si>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</si>
  <si>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</si>
  <si>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供應鏈消息經媒體轉述（</t>
    </r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</si>
  <si>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</si>
  <si>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</si>
  <si>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</si>
  <si>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模型基準 </t>
    </r>
    <r>
      <rPr>
        <sz val="10"/>
        <color rgb="FF000000"/>
        <rFont val="Arial"/>
        <family val="0"/>
        <charset val="1"/>
      </rPr>
      <t xml:space="preserve">3.1</t>
    </r>
    <r>
      <rPr>
        <sz val="10"/>
        <color rgb="FF000000"/>
        <rFont val="Noto Sans CJK SC"/>
        <family val="2"/>
      </rPr>
      <t xml:space="preserve">＝中點（另載 </t>
    </r>
    <r>
      <rPr>
        <sz val="10"/>
        <color rgb="FF000000"/>
        <rFont val="Arial"/>
        <family val="0"/>
        <charset val="1"/>
      </rPr>
      <t xml:space="preserve">Barron's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</si>
  <si>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</si>
  <si>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</si>
  <si>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</si>
  <si>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</si>
  <si>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</si>
  <si>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S9 </t>
    </r>
    <r>
      <rPr>
        <sz val="10"/>
        <color rgb="FF000000"/>
        <rFont val="Noto Sans CJK SC"/>
        <family val="2"/>
      </rPr>
      <t xml:space="preserve">同指標但含 </t>
    </r>
    <r>
      <rPr>
        <sz val="10"/>
        <color rgb="FF000000"/>
        <rFont val="Arial"/>
        <family val="0"/>
        <charset val="1"/>
      </rPr>
      <t xml:space="preserve">NAND </t>
    </r>
    <r>
      <rPr>
        <sz val="10"/>
        <color rgb="FF000000"/>
        <rFont val="Noto Sans CJK SC"/>
        <family val="2"/>
      </rPr>
      <t xml:space="preserve">口徑不同 → </t>
    </r>
    <r>
      <rPr>
        <sz val="10"/>
        <color rgb="FF000000"/>
        <rFont val="Arial"/>
        <family val="0"/>
        <charset val="1"/>
      </rPr>
      <t xml:space="preserve">Alt</t>
    </r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</si>
  <si>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</si>
  <si>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</si>
  <si>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</si>
  <si>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</si>
  <si>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</si>
  <si>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</si>
  <si>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</si>
  <si>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</si>
  <si>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</si>
  <si>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</si>
  <si>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</si>
  <si>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未具名交易方（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</si>
  <si>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</si>
  <si>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</si>
  <si>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</si>
  <si>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</si>
  <si>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r>
      <rPr>
        <sz val="10"/>
        <color rgb="FF000000"/>
        <rFont val="Noto Sans CJK SC"/>
        <family val="2"/>
      </rPr>
      <t xml:space="preserve">運轉模式 </t>
    </r>
    <r>
      <rPr>
        <sz val="10"/>
        <color rgb="FF000000"/>
        <rFont val="Arial"/>
        <family val="0"/>
        <charset val="1"/>
      </rPr>
      <t xml:space="preserve">Max-Q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</si>
  <si>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</si>
  <si>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r>
      <rPr>
        <sz val="10"/>
        <color rgb="FF000000"/>
        <rFont val="Noto Sans CJK SC"/>
        <family val="2"/>
      </rPr>
      <t xml:space="preserve">郭明錤（供應鏈分析師）；</t>
    </r>
    <r>
      <rPr>
        <sz val="10"/>
        <color rgb="FF000000"/>
        <rFont val="Arial"/>
        <family val="0"/>
        <charset val="1"/>
      </rPr>
      <t xml:space="preserve">spheron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thundercompute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雲業者</t>
    </r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</si>
  <si>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</si>
  <si>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</si>
  <si>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</si>
  <si>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</si>
  <si>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r>
      <rPr>
        <sz val="10"/>
        <color rgb="FF000000"/>
        <rFont val="Noto Sans CJK SC"/>
        <family val="2"/>
      </rPr>
      <t xml:space="preserve">運轉模式 </t>
    </r>
    <r>
      <rPr>
        <sz val="10"/>
        <color rgb="FF000000"/>
        <rFont val="Arial"/>
        <family val="0"/>
        <charset val="1"/>
      </rPr>
      <t xml:space="preserve">Max-P</t>
    </r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</si>
  <si>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</si>
  <si>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</si>
  <si>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</si>
  <si>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</si>
  <si>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模型低／高 </t>
    </r>
    <r>
      <rPr>
        <sz val="10"/>
        <color rgb="FF000000"/>
        <rFont val="Arial"/>
        <family val="0"/>
        <charset val="1"/>
      </rPr>
      <t xml:space="preserve">550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±50</t>
    </r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</si>
  <si>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</si>
  <si>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</si>
  <si>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</si>
  <si>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</si>
  <si>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</si>
  <si>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</si>
  <si>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</si>
  <si>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</si>
  <si>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</si>
  <si>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</si>
  <si>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</si>
  <si>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</si>
  <si>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</si>
  <si>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</si>
  <si>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</si>
  <si>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</si>
  <si>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</si>
  <si>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</si>
  <si>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</si>
  <si>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</si>
  <si>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口徑不同（自購記憶體）→ </t>
    </r>
    <r>
      <rPr>
        <sz val="10"/>
        <color rgb="FF000000"/>
        <rFont val="Arial"/>
        <family val="0"/>
        <charset val="1"/>
      </rPr>
      <t xml:space="preserve">Alt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</si>
  <si>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</si>
  <si>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</si>
  <si>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Noto Sans CJK SC"/>
        <family val="2"/>
      </rPr>
      <t xml:space="preserve">模型取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MS </t>
    </r>
    <r>
      <rPr>
        <sz val="10"/>
        <color rgb="FF000000"/>
        <rFont val="Noto Sans CJK SC"/>
        <family val="2"/>
      </rPr>
      <t xml:space="preserve">同口徑，依 </t>
    </r>
    <r>
      <rPr>
        <sz val="10"/>
        <color rgb="FF000000"/>
        <rFont val="Arial"/>
        <family val="0"/>
        <charset val="1"/>
      </rPr>
      <t xml:space="preserve">G4 </t>
    </r>
    <r>
      <rPr>
        <sz val="10"/>
        <color rgb="FF000000"/>
        <rFont val="Noto Sans CJK SC"/>
        <family val="2"/>
      </rPr>
      <t xml:space="preserve">日期較新者勝 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判定（見 </t>
    </r>
    <r>
      <rPr>
        <sz val="10"/>
        <color rgb="FF000000"/>
        <rFont val="Arial"/>
        <family val="0"/>
        <charset val="1"/>
      </rPr>
      <t xml:space="preserve">Gate 0</t>
    </r>
    <r>
      <rPr>
        <sz val="10"/>
        <color rgb="FF000000"/>
        <rFont val="Noto Sans CJK SC"/>
        <family val="2"/>
      </rPr>
      <t xml:space="preserve">）</t>
    </r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</si>
  <si>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</si>
  <si>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</si>
  <si>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</si>
  <si>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</si>
  <si>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</si>
  <si>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</si>
  <si>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r>
      <rPr>
        <sz val="10"/>
        <color rgb="FF000000"/>
        <rFont val="Noto Sans CJK SC"/>
        <family val="2"/>
      </rPr>
      <t xml:space="preserve">可能與 </t>
    </r>
    <r>
      <rPr>
        <sz val="10"/>
        <color rgb="FF000000"/>
        <rFont val="Arial"/>
        <family val="0"/>
        <charset val="1"/>
      </rPr>
      <t xml:space="preserve">S4 NAND </t>
    </r>
    <r>
      <rPr>
        <sz val="10"/>
        <color rgb="FF000000"/>
        <rFont val="Noto Sans CJK SC"/>
        <family val="2"/>
      </rPr>
      <t xml:space="preserve">重複；未解</t>
    </r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</si>
  <si>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</si>
  <si>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</si>
  <si>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</si>
  <si>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</si>
  <si>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</si>
  <si>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</si>
  <si>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</si>
  <si>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</si>
  <si>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</si>
  <si>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</si>
  <si>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</si>
  <si>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</si>
  <si>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</si>
  <si>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</si>
  <si>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</si>
  <si>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HGX B200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9</t>
    </r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</si>
  <si>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</si>
  <si>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</si>
  <si>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</si>
  <si>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</si>
  <si>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186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13.4 TB ÷ 72 </t>
    </r>
    <r>
      <rPr>
        <sz val="10"/>
        <color rgb="FF000000"/>
        <rFont val="Noto Sans CJK SC"/>
        <family val="2"/>
      </rPr>
      <t xml:space="preserve">換算（見 </t>
    </r>
    <r>
      <rPr>
        <sz val="10"/>
        <color rgb="FF000000"/>
        <rFont val="Arial"/>
        <family val="0"/>
        <charset val="1"/>
      </rPr>
      <t xml:space="preserve">U-NV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計 → 口徑不同</t>
    </r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</si>
  <si>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</si>
  <si>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</si>
  <si>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</si>
  <si>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</si>
  <si>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</si>
  <si>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</si>
  <si>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</si>
  <si>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</si>
  <si>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</si>
  <si>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</si>
  <si>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</si>
  <si>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</si>
  <si>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</si>
  <si>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</si>
  <si>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</si>
  <si>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</si>
  <si>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</si>
  <si>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</si>
  <si>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</si>
  <si>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</si>
  <si>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</si>
  <si>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</si>
  <si>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</si>
  <si>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</si>
  <si>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</si>
  <si>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</si>
  <si>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</si>
  <si>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</si>
  <si>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</si>
  <si>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</si>
  <si>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</si>
  <si>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</si>
  <si>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</si>
  <si>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</si>
  <si>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</si>
  <si>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</si>
  <si>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</si>
  <si>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</si>
  <si>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</si>
  <si>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</si>
  <si>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</si>
  <si>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</si>
  <si>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</si>
  <si>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</si>
  <si>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</si>
  <si>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</si>
  <si>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</si>
  <si>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</si>
  <si>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</si>
  <si>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</si>
  <si>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</si>
  <si>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</si>
  <si>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</si>
  <si>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</si>
  <si>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</si>
  <si>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</si>
  <si>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</si>
  <si>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</si>
  <si>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</si>
  <si>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</si>
  <si>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</si>
  <si>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</si>
  <si>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</si>
  <si>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</si>
  <si>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</si>
  <si>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的錯誤標示</t>
    </r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</si>
  <si>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</si>
  <si>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</si>
  <si>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</si>
  <si>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</si>
  <si>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</si>
  <si>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</si>
  <si>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</si>
  <si>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</si>
  <si>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</si>
  <si>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</si>
  <si>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</si>
  <si>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</si>
  <si>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</si>
  <si>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</si>
  <si>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</si>
  <si>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</si>
  <si>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</si>
  <si>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</si>
  <si>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</si>
  <si>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</si>
  <si>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</si>
  <si>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</si>
  <si>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</si>
  <si>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t xml:space="preserve">VR200</t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</si>
  <si>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</si>
  <si>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1800 W</t>
    </r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</si>
  <si>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</si>
  <si>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</si>
  <si>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</si>
  <si>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</si>
  <si>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</si>
  <si>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</si>
  <si>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</si>
  <si>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</si>
  <si>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說明文字引 </t>
    </r>
    <r>
      <rPr>
        <sz val="10"/>
        <color rgb="FF000000"/>
        <rFont val="Arial"/>
        <family val="0"/>
        <charset val="1"/>
      </rPr>
      <t xml:space="preserve">S20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</si>
  <si>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</si>
  <si>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</si>
  <si>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</si>
  <si>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</si>
  <si>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</si>
  <si>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</si>
  <si>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</si>
  <si>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</si>
  <si>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分析師報價（模型頁說明文字引用，未登錄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</si>
  <si>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</si>
  <si>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</si>
  <si>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</si>
  <si>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r>
      <rPr>
        <sz val="10"/>
        <color rgb="FF000000"/>
        <rFont val="Noto Sans CJK SC"/>
        <family val="2"/>
      </rPr>
      <t xml:space="preserve">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；與模型基準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相近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</si>
  <si>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</si>
  <si>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</si>
  <si>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未登錄 </t>
    </r>
    <r>
      <rPr>
        <sz val="10"/>
        <color rgb="FF000000"/>
        <rFont val="Arial"/>
        <family val="0"/>
        <charset val="1"/>
      </rPr>
      <t xml:space="preserve">Sources</t>
    </r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</si>
  <si>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</si>
  <si>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</si>
  <si>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</si>
  <si>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</si>
  <si>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</si>
  <si>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</si>
  <si>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</si>
  <si>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</si>
  <si>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r>
      <rPr>
        <sz val="10"/>
        <color rgb="FF000000"/>
        <rFont val="Noto Sans CJK SC"/>
        <family val="2"/>
      </rPr>
      <t xml:space="preserve">封裝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</si>
  <si>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</si>
  <si>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</si>
  <si>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</si>
  <si>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r>
      <rPr>
        <sz val="10"/>
        <color rgb="FF000000"/>
        <rFont val="Noto Sans CJK SC"/>
        <family val="2"/>
      </rPr>
      <t xml:space="preserve">格式定義（</t>
    </r>
    <r>
      <rPr>
        <sz val="10"/>
        <color rgb="FF000000"/>
        <rFont val="Arial"/>
        <family val="0"/>
        <charset val="1"/>
      </rPr>
      <t xml:space="preserve">OCP 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</si>
  <si>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</si>
  <si>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</si>
  <si>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</si>
  <si>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</si>
  <si>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</si>
  <si>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</si>
  <si>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</si>
  <si>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</si>
  <si>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</si>
  <si>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r>
      <rPr>
        <sz val="10"/>
        <color rgb="FF000000"/>
        <rFont val="Noto Sans CJK SC"/>
        <family val="2"/>
      </rPr>
      <t xml:space="preserve">單向；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</si>
  <si>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</si>
  <si>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</si>
  <si>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</si>
  <si>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</si>
  <si>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</si>
  <si>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</si>
  <si>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</si>
  <si>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</si>
  <si>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5–15%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級外推（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</si>
  <si>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</si>
  <si>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</t>
    </r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</si>
  <si>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</si>
  <si>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</si>
  <si>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r>
      <rPr>
        <sz val="10"/>
        <color rgb="FF000000"/>
        <rFont val="Noto Sans CJK SC"/>
        <family val="2"/>
      </rPr>
      <t xml:space="preserve">全球平均資料中心建造成本（</t>
    </r>
    <r>
      <rPr>
        <sz val="10"/>
        <color rgb="FF000000"/>
        <rFont val="Arial"/>
        <family val="0"/>
        <charset val="1"/>
      </rPr>
      <t xml:space="preserve">JLL 2026</t>
    </r>
    <r>
      <rPr>
        <sz val="10"/>
        <color rgb="FF000000"/>
        <rFont val="Noto Sans CJK SC"/>
        <family val="2"/>
      </rPr>
      <t xml:space="preserve">）</t>
    </r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</si>
  <si>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</si>
  <si>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</si>
  <si>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</si>
  <si>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</si>
  <si>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</si>
  <si>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</si>
  <si>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</si>
  <si>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</si>
  <si>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r>
      <rPr>
        <sz val="10"/>
        <color rgb="FF000000"/>
        <rFont val="Noto Sans CJK SC"/>
        <family val="2"/>
      </rPr>
      <t xml:space="preserve">液冷溢價（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</si>
  <si>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建造成本加成</t>
  </si>
  <si>
    <t xml:space="preserve">液冷設施</t>
  </si>
  <si>
    <t xml:space="preserve">SRC_DC_005</t>
  </si>
  <si>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2026-03</t>
    </r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</si>
  <si>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</si>
  <si>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</si>
  <si>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</si>
  <si>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</si>
  <si>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</si>
  <si>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2026-05</t>
    </r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</si>
  <si>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</si>
  <si>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模型基準 </t>
    </r>
    <r>
      <rPr>
        <sz val="10"/>
        <color rgb="FF000000"/>
        <rFont val="Arial"/>
        <family val="0"/>
        <charset val="1"/>
      </rPr>
      <t xml:space="preserve">0.08 </t>
    </r>
    <r>
      <rPr>
        <sz val="10"/>
        <color rgb="FF000000"/>
        <rFont val="Noto Sans CJK SC"/>
        <family val="2"/>
      </rPr>
      <t xml:space="preserve">低於最新值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</si>
  <si>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</si>
  <si>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</si>
  <si>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</si>
  <si>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</si>
  <si>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</si>
  <si>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</si>
  <si>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</si>
  <si>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</si>
  <si>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</si>
  <si>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</si>
  <si>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</si>
  <si>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</si>
  <si>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</si>
  <si>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</si>
  <si>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建置成本（黃仁勳）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</si>
  <si>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</si>
  <si>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</si>
  <si>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</si>
  <si>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</si>
  <si>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</si>
  <si>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</si>
  <si>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</si>
  <si>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晶片與系統</t>
    </r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</si>
  <si>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</si>
  <si>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</si>
  <si>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</si>
  <si>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</si>
  <si>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</si>
  <si>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r>
      <rPr>
        <sz val="10"/>
        <color rgb="FF000000"/>
        <rFont val="Noto Sans CJK SC"/>
        <family val="2"/>
      </rPr>
      <t xml:space="preserve">一手（</t>
    </r>
    <r>
      <rPr>
        <sz val="10"/>
        <color rgb="FF000000"/>
        <rFont val="Arial"/>
        <family val="0"/>
        <charset val="1"/>
      </rPr>
      <t xml:space="preserve">SA </t>
    </r>
    <r>
      <rPr>
        <sz val="10"/>
        <color rgb="FF000000"/>
        <rFont val="Noto Sans CJK SC"/>
        <family val="2"/>
      </rPr>
      <t xml:space="preserve">自家部落格）</t>
    </r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</si>
  <si>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</si>
  <si>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</si>
  <si>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</si>
  <si>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</si>
  <si>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</si>
  <si>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</si>
  <si>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</si>
  <si>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</si>
  <si>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</si>
  <si>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</si>
  <si>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</si>
  <si>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</si>
  <si>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</si>
  <si>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</si>
  <si>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</si>
  <si>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</si>
  <si>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</si>
  <si>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</si>
  <si>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</si>
  <si>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</si>
  <si>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</si>
  <si>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</si>
  <si>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</si>
  <si>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</si>
  <si>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</si>
  <si>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</si>
  <si>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</si>
  <si>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</si>
  <si>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</si>
  <si>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</si>
  <si>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</si>
  <si>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</si>
  <si>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</si>
  <si>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</si>
  <si>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</si>
  <si>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</si>
  <si>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</si>
  <si>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</si>
  <si>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Noto Sans CJK SC"/>
        <family val="2"/>
      </rPr>
      <t xml:space="preserve">單一 </t>
    </r>
    <r>
      <rPr>
        <sz val="10"/>
        <color rgb="FF000000"/>
        <rFont val="Arial"/>
        <family val="0"/>
        <charset val="1"/>
      </rPr>
      <t xml:space="preserve">KV head</t>
    </r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</si>
  <si>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</si>
  <si>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</si>
  <si>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</si>
  <si>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</si>
  <si>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</si>
  <si>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</si>
  <si>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</si>
  <si>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</si>
  <si>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</si>
  <si>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</si>
  <si>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</si>
  <si>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</si>
  <si>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</si>
  <si>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</si>
  <si>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</si>
  <si>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</si>
  <si>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</si>
  <si>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</si>
  <si>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</si>
  <si>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</si>
  <si>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</si>
  <si>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</si>
  <si>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</si>
  <si>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</si>
  <si>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</si>
  <si>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</si>
  <si>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</si>
  <si>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</si>
  <si>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</si>
  <si>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</si>
  <si>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</si>
  <si>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</si>
  <si>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</si>
  <si>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</si>
  <si>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</si>
  <si>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</si>
  <si>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</si>
  <si>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</si>
  <si>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</si>
  <si>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</si>
  <si>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</si>
  <si>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</si>
  <si>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</si>
  <si>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</si>
  <si>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</si>
  <si>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</si>
  <si>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</si>
  <si>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</si>
  <si>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</si>
  <si>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</si>
  <si>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</si>
  <si>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</si>
  <si>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</si>
  <si>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</si>
  <si>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</si>
  <si>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</si>
  <si>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</si>
  <si>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</si>
  <si>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</si>
  <si>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</si>
  <si>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</si>
  <si>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</si>
  <si>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t xml:space="preserve">SRC_MOD_033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</si>
  <si>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</si>
  <si>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Noto Sans CJK SC"/>
        <family val="2"/>
      </rPr>
      <t xml:space="preserve">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</si>
  <si>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</si>
  <si>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</si>
  <si>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</si>
  <si>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</si>
  <si>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Noto Sans CJK SC"/>
        <family val="2"/>
      </rPr>
      <t xml:space="preserve">一手（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</si>
  <si>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</si>
  <si>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</si>
  <si>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錨點 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</si>
  <si>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</si>
  <si>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</si>
  <si>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</si>
  <si>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</si>
  <si>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</si>
  <si>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</si>
  <si>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</si>
  <si>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</si>
  <si>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</si>
  <si>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</si>
  <si>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</si>
  <si>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</si>
  <si>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</si>
  <si>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</si>
  <si>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r>
      <rPr>
        <sz val="10"/>
        <color rgb="FF000000"/>
        <rFont val="Noto Sans CJK SC"/>
        <family val="2"/>
      </rPr>
      <t xml:space="preserve">不到預訓練 </t>
    </r>
    <r>
      <rPr>
        <sz val="10"/>
        <color rgb="FF000000"/>
        <rFont val="Arial"/>
        <family val="0"/>
        <charset val="1"/>
      </rPr>
      <t xml:space="preserve">1%</t>
    </r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</si>
  <si>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</si>
  <si>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</si>
  <si>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</si>
  <si>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</si>
  <si>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</si>
  <si>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</si>
  <si>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</si>
  <si>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</si>
  <si>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</si>
  <si>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</si>
  <si>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</si>
  <si>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</si>
  <si>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</si>
  <si>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</si>
  <si>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「預訓練規模」量化為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屬解讀 → 建議模型格標 </t>
    </r>
    <r>
      <rPr>
        <sz val="10"/>
        <color rgb="FF000000"/>
        <rFont val="Arial"/>
        <family val="0"/>
        <charset val="1"/>
      </rPr>
      <t xml:space="preserve">Analogy</t>
    </r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</si>
  <si>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</si>
  <si>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</si>
  <si>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</si>
  <si>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</si>
  <si>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倍以上）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</si>
  <si>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</si>
  <si>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</si>
  <si>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</si>
  <si>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</si>
  <si>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</si>
  <si>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</si>
  <si>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</si>
  <si>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</si>
  <si>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</si>
  <si>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</si>
  <si>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</si>
  <si>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</si>
  <si>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</si>
  <si>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含長上下文 </t>
    </r>
    <r>
      <rPr>
        <sz val="10"/>
        <color rgb="FF000000"/>
        <rFont val="Arial"/>
        <family val="0"/>
        <charset val="1"/>
      </rPr>
      <t xml:space="preserve">0.119M</t>
    </r>
    <r>
      <rPr>
        <sz val="10"/>
        <color rgb="FF000000"/>
        <rFont val="Noto Sans CJK SC"/>
        <family val="2"/>
      </rPr>
      <t xml:space="preserve">、後訓練 </t>
    </r>
    <r>
      <rPr>
        <sz val="10"/>
        <color rgb="FF000000"/>
        <rFont val="Arial"/>
        <family val="0"/>
        <charset val="1"/>
      </rPr>
      <t xml:space="preserve">0.005M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</si>
  <si>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</si>
  <si>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</si>
  <si>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公開採用：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</si>
  <si>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</si>
  <si>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</si>
  <si>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</si>
  <si>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</si>
  <si>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</si>
  <si>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</si>
  <si>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</si>
  <si>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</si>
  <si>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公開採用：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）</t>
    </r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</si>
  <si>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</si>
  <si>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</si>
  <si>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</si>
  <si>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</si>
  <si>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</si>
  <si>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</si>
  <si>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</si>
  <si>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公開採用：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</si>
  <si>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</si>
  <si>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</si>
  <si>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</si>
  <si>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t xml:space="preserve">SRC_MOD_046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</si>
  <si>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</si>
  <si>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r>
      <rPr>
        <sz val="10"/>
        <color rgb="FF000000"/>
        <rFont val="Noto Sans CJK SC"/>
        <family val="2"/>
      </rPr>
      <t xml:space="preserve">下限（至少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倍）</t>
    </r>
  </si>
  <si>
    <t xml:space="preserve">SRC_MOD_047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</si>
  <si>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公開採用：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後訓練）</t>
    </r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</si>
  <si>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</si>
  <si>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</si>
  <si>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</si>
  <si>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</si>
  <si>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</si>
  <si>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</si>
  <si>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</si>
  <si>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</si>
  <si>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</si>
  <si>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</si>
  <si>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</si>
  <si>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</si>
  <si>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</si>
  <si>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</si>
  <si>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</si>
  <si>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</si>
  <si>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</si>
  <si>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r>
      <rPr>
        <b val="true"/>
        <sz val="10"/>
        <rFont val="Noto Sans CJK SC"/>
        <family val="2"/>
      </rPr>
      <t xml:space="preserve">每用戶速度 </t>
    </r>
    <r>
      <rPr>
        <b val="true"/>
        <sz val="10"/>
        <rFont val="Arial"/>
        <family val="0"/>
        <charset val="1"/>
      </rPr>
      <t xml:space="preserve">tok/s</t>
    </r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</si>
  <si>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</si>
  <si>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</si>
  <si>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</si>
  <si>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</si>
  <si>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</si>
  <si>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</si>
  <si>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</si>
  <si>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</si>
  <si>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</si>
  <si>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</si>
  <si>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</si>
  <si>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</si>
  <si>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</si>
  <si>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</si>
  <si>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</si>
  <si>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</si>
  <si>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</si>
  <si>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</si>
  <si>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</si>
  <si>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</si>
  <si>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</si>
  <si>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</si>
  <si>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</si>
  <si>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</si>
  <si>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</si>
  <si>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</si>
  <si>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</si>
  <si>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</si>
  <si>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</si>
  <si>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修正前 </t>
    </r>
    <r>
      <rPr>
        <sz val="10"/>
        <color rgb="FF000000"/>
        <rFont val="Arial"/>
        <family val="0"/>
        <charset val="1"/>
      </rPr>
      <t xml:space="preserve">0.57</t>
    </r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</si>
  <si>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</si>
  <si>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</si>
  <si>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</si>
  <si>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</si>
  <si>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</si>
  <si>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</si>
  <si>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</si>
  <si>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</si>
  <si>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</si>
  <si>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</si>
  <si>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</si>
  <si>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</si>
  <si>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</si>
  <si>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</si>
  <si>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</si>
  <si>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</si>
  <si>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</si>
  <si>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</si>
  <si>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</si>
  <si>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</si>
  <si>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文字取整為 </t>
    </r>
    <r>
      <rPr>
        <sz val="10"/>
        <color rgb="FF000000"/>
        <rFont val="Arial"/>
        <family val="0"/>
        <charset val="1"/>
      </rPr>
      <t xml:space="preserve">9,384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</si>
  <si>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</si>
  <si>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</si>
  <si>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</si>
  <si>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</si>
  <si>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</si>
  <si>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</si>
  <si>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</si>
  <si>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</si>
  <si>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</si>
  <si>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</si>
  <si>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</si>
  <si>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</si>
  <si>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</si>
  <si>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r>
      <rPr>
        <sz val="10"/>
        <color rgb="FF000000"/>
        <rFont val="Noto Sans CJK SC"/>
        <family val="2"/>
      </rPr>
      <t xml:space="preserve">頁面預設可能為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</si>
  <si>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</si>
  <si>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</si>
  <si>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</si>
  <si>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</si>
  <si>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</si>
  <si>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</si>
  <si>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</si>
  <si>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</si>
  <si>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</si>
  <si>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</si>
  <si>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</si>
  <si>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</si>
  <si>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</si>
  <si>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</si>
  <si>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</si>
  <si>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</si>
  <si>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</si>
  <si>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</si>
  <si>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r>
      <rPr>
        <sz val="10"/>
        <color rgb="FF000000"/>
        <rFont val="Noto Sans CJK SC"/>
        <family val="2"/>
      </rPr>
      <t xml:space="preserve">輸出速度：</t>
    </r>
    <r>
      <rPr>
        <sz val="10"/>
        <color rgb="FF000000"/>
        <rFont val="Arial"/>
        <family val="0"/>
        <charset val="1"/>
      </rPr>
      <t xml:space="preserve">GPT-5.6 Luna</t>
    </r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</si>
  <si>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</si>
  <si>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</si>
  <si>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</si>
  <si>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</si>
  <si>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</si>
  <si>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</si>
  <si>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</si>
  <si>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</si>
  <si>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Noto Sans CJK SC"/>
        <family val="2"/>
      </rPr>
      <t xml:space="preserve">輸出速度：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</si>
  <si>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</si>
  <si>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</si>
  <si>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</si>
  <si>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r>
      <rPr>
        <sz val="10"/>
        <color rgb="FF000000"/>
        <rFont val="Noto Sans CJK SC"/>
        <family val="2"/>
      </rPr>
      <t xml:space="preserve">輸出速度：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</si>
  <si>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</si>
  <si>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</si>
  <si>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</si>
  <si>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r>
      <rPr>
        <sz val="10"/>
        <color rgb="FF000000"/>
        <rFont val="Noto Sans CJK SC"/>
        <family val="2"/>
      </rPr>
      <t xml:space="preserve">輸出速度：</t>
    </r>
    <r>
      <rPr>
        <sz val="10"/>
        <color rgb="FF000000"/>
        <rFont val="Arial"/>
        <family val="0"/>
        <charset val="1"/>
      </rPr>
      <t xml:space="preserve">Claude Opus 5</t>
    </r>
  </si>
  <si>
    <t xml:space="preserve">SRC_PERF_022</t>
  </si>
  <si>
    <r>
      <rPr>
        <sz val="10"/>
        <color rgb="FF000000"/>
        <rFont val="Noto Sans CJK SC"/>
        <family val="2"/>
      </rPr>
      <t xml:space="preserve">輸出速度：</t>
    </r>
    <r>
      <rPr>
        <sz val="10"/>
        <color rgb="FF000000"/>
        <rFont val="Arial"/>
        <family val="0"/>
        <charset val="1"/>
      </rPr>
      <t xml:space="preserve">Gemini 3.8 Flash</t>
    </r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</si>
  <si>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</si>
  <si>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</si>
  <si>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</si>
  <si>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</si>
  <si>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</si>
  <si>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</si>
  <si>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</si>
  <si>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</si>
  <si>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</si>
  <si>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</si>
  <si>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r>
      <rPr>
        <sz val="10"/>
        <color rgb="FF000000"/>
        <rFont val="Noto Sans CJK SC"/>
        <family val="2"/>
      </rPr>
      <t xml:space="preserve">約值；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節點吞吐數值未載於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，待取得原文</t>
    </r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</si>
  <si>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</si>
  <si>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</si>
  <si>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</si>
  <si>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</si>
  <si>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</si>
  <si>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</si>
  <si>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</si>
  <si>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r>
      <rPr>
        <sz val="10"/>
        <color rgb="FF000000"/>
        <rFont val="Noto Sans CJK SC"/>
        <family val="2"/>
      </rPr>
      <t xml:space="preserve">二手（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頁面）</t>
    </r>
  </si>
  <si>
    <t xml:space="preserve">E142</t>
  </si>
  <si>
    <t xml:space="preserve">S31</t>
  </si>
  <si>
    <r>
      <rPr>
        <sz val="10"/>
        <color rgb="FF000000"/>
        <rFont val="Noto Sans CJK SC"/>
        <family val="2"/>
      </rPr>
      <t xml:space="preserve">模型改用 </t>
    </r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</si>
  <si>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</si>
  <si>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</si>
  <si>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模型以公式 </t>
    </r>
    <r>
      <rPr>
        <sz val="10"/>
        <color rgb="FF000000"/>
        <rFont val="Arial"/>
        <family val="0"/>
        <charset val="1"/>
      </rPr>
      <t xml:space="preserve">=240318/72 </t>
    </r>
    <r>
      <rPr>
        <sz val="10"/>
        <color rgb="FF000000"/>
        <rFont val="Noto Sans CJK SC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</si>
  <si>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</si>
  <si>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</si>
  <si>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</si>
  <si>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</si>
  <si>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</si>
  <si>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</si>
  <si>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</si>
  <si>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</si>
  <si>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</si>
  <si>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</si>
  <si>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</si>
  <si>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模型以公式 </t>
    </r>
    <r>
      <rPr>
        <sz val="10"/>
        <color rgb="FF000000"/>
        <rFont val="Arial"/>
        <family val="0"/>
        <charset val="1"/>
      </rPr>
      <t xml:space="preserve">=652750/72 </t>
    </r>
    <r>
      <rPr>
        <sz val="10"/>
        <color rgb="FF000000"/>
        <rFont val="Noto Sans CJK SC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</si>
  <si>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</si>
  <si>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</si>
  <si>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模型以公式 </t>
    </r>
    <r>
      <rPr>
        <sz val="10"/>
        <color rgb="FF000000"/>
        <rFont val="Arial"/>
        <family val="0"/>
        <charset val="1"/>
      </rPr>
      <t xml:space="preserve">=253506/72 </t>
    </r>
    <r>
      <rPr>
        <sz val="10"/>
        <color rgb="FF000000"/>
        <rFont val="Noto Sans CJK SC"/>
        <family val="2"/>
      </rPr>
      <t xml:space="preserve">內嵌常數；與 </t>
    </r>
    <r>
      <rPr>
        <sz val="10"/>
        <color rgb="FF000000"/>
        <rFont val="Arial"/>
        <family val="0"/>
        <charset val="1"/>
      </rPr>
      <t xml:space="preserve">S31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250,634 </t>
    </r>
    <r>
      <rPr>
        <sz val="10"/>
        <color rgb="FF000000"/>
        <rFont val="Noto Sans CJK SC"/>
        <family val="2"/>
      </rPr>
      <t xml:space="preserve">同指標不同輪次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</si>
  <si>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</si>
  <si>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</si>
  <si>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</si>
  <si>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</si>
  <si>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</si>
  <si>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</si>
  <si>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</si>
  <si>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</si>
  <si>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</si>
  <si>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</si>
  <si>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</si>
  <si>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</si>
  <si>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</si>
  <si>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模型以公式 </t>
    </r>
    <r>
      <rPr>
        <sz val="10"/>
        <color rgb="FF000000"/>
        <rFont val="Arial"/>
        <family val="0"/>
        <charset val="1"/>
      </rPr>
      <t xml:space="preserve">=1000/15 </t>
    </r>
    <r>
      <rPr>
        <sz val="10"/>
        <color rgb="FF000000"/>
        <rFont val="Noto Sans CJK SC"/>
        <family val="2"/>
      </rPr>
      <t xml:space="preserve">內嵌常數</t>
    </r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</si>
  <si>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</si>
  <si>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</si>
  <si>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模型以公式 </t>
    </r>
    <r>
      <rPr>
        <sz val="10"/>
        <color rgb="FF000000"/>
        <rFont val="Arial"/>
        <family val="0"/>
        <charset val="1"/>
      </rPr>
      <t xml:space="preserve">=1000/80 </t>
    </r>
    <r>
      <rPr>
        <sz val="10"/>
        <color rgb="FF000000"/>
        <rFont val="Noto Sans CJK SC"/>
        <family val="2"/>
      </rPr>
      <t xml:space="preserve">內嵌常數</t>
    </r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</si>
  <si>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</si>
  <si>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</si>
  <si>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</si>
  <si>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</si>
  <si>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</si>
  <si>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</si>
  <si>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</si>
  <si>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</si>
  <si>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Noto Sans CJK SC"/>
        <family val="2"/>
      </rPr>
      <t xml:space="preserve">模型以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旗標表示</t>
    </r>
  </si>
  <si>
    <t xml:space="preserve">SRC_PERF_036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</si>
  <si>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</si>
  <si>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</si>
  <si>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</si>
  <si>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</si>
  <si>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</si>
  <si>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</si>
  <si>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t xml:space="preserve">E145</t>
  </si>
  <si>
    <t xml:space="preserve">S37</t>
  </si>
  <si>
    <t xml:space="preserve">SRC_PERF_037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</si>
  <si>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</si>
  <si>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&gt;90%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</si>
  <si>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</si>
  <si>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goodput 0.9 → Analogy</t>
    </r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</si>
  <si>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</si>
  <si>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</si>
  <si>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</si>
  <si>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</si>
  <si>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</si>
  <si>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</si>
  <si>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</si>
  <si>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</si>
  <si>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r>
      <rPr>
        <sz val="10"/>
        <color rgb="FF000000"/>
        <rFont val="Noto Sans CJK SC"/>
        <family val="2"/>
      </rPr>
      <t xml:space="preserve">只用於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效率區間</t>
    </r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</si>
  <si>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</si>
  <si>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</si>
  <si>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</si>
  <si>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</si>
  <si>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</si>
  <si>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</si>
  <si>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</si>
  <si>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</si>
  <si>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</si>
  <si>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</si>
  <si>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</si>
  <si>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</si>
  <si>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</si>
  <si>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</si>
  <si>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</si>
  <si>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</si>
  <si>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</si>
  <si>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</si>
  <si>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</si>
  <si>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</si>
  <si>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</si>
  <si>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</si>
  <si>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</si>
  <si>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</si>
  <si>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</si>
  <si>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</si>
  <si>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</si>
  <si>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</si>
  <si>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</si>
  <si>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</si>
  <si>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</si>
  <si>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</si>
  <si>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</si>
  <si>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</si>
  <si>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</si>
  <si>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</si>
  <si>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</si>
  <si>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</si>
  <si>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</si>
  <si>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</si>
  <si>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</si>
  <si>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</si>
  <si>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</si>
  <si>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</si>
  <si>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</si>
  <si>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</si>
  <si>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</si>
  <si>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</si>
  <si>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</si>
  <si>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</si>
  <si>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</si>
  <si>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</si>
  <si>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</si>
  <si>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</si>
  <si>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</si>
  <si>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</si>
  <si>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</si>
  <si>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</si>
  <si>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</si>
  <si>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</si>
  <si>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</si>
  <si>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</si>
  <si>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</si>
  <si>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</si>
  <si>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</si>
  <si>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</si>
  <si>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</si>
  <si>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</si>
  <si>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</si>
  <si>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</si>
  <si>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</si>
  <si>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</si>
  <si>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</si>
  <si>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</si>
  <si>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</si>
  <si>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</si>
  <si>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</si>
  <si>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</si>
  <si>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</si>
  <si>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</si>
  <si>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</si>
  <si>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</si>
  <si>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</si>
  <si>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</si>
  <si>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</si>
  <si>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</si>
  <si>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</si>
  <si>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</si>
  <si>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</si>
  <si>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</si>
  <si>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</si>
  <si>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</si>
  <si>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</si>
  <si>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</si>
  <si>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</si>
  <si>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</si>
  <si>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</si>
  <si>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</si>
  <si>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</si>
  <si>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</si>
  <si>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</si>
  <si>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</si>
  <si>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</si>
  <si>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</si>
  <si>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</si>
  <si>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</si>
  <si>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</si>
  <si>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</si>
  <si>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</si>
  <si>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</si>
  <si>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</si>
  <si>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</si>
  <si>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</si>
  <si>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</si>
  <si>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</si>
  <si>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</si>
  <si>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</si>
  <si>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</si>
  <si>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</si>
  <si>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</si>
  <si>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</si>
  <si>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</si>
  <si>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</si>
  <si>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</si>
  <si>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</si>
  <si>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</si>
  <si>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</si>
  <si>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</si>
  <si>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</si>
  <si>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</si>
  <si>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</si>
  <si>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</si>
  <si>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</si>
  <si>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</si>
  <si>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</si>
  <si>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</si>
  <si>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</si>
  <si>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</si>
  <si>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</si>
  <si>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</si>
  <si>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</si>
  <si>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</si>
  <si>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</si>
  <si>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</si>
  <si>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</si>
  <si>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</si>
  <si>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</si>
  <si>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</si>
  <si>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</si>
  <si>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</si>
  <si>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</si>
  <si>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</si>
  <si>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</si>
  <si>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</si>
  <si>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</si>
  <si>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</si>
  <si>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</si>
  <si>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</si>
  <si>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</si>
  <si>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</si>
  <si>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</si>
  <si>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</si>
  <si>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</si>
  <si>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</si>
  <si>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</si>
  <si>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S50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</si>
  <si>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</si>
  <si>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</si>
  <si>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</si>
  <si>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t xml:space="preserve">S51</t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</si>
  <si>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</si>
  <si>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</si>
  <si>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</si>
  <si>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</si>
  <si>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</si>
  <si>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</si>
  <si>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</si>
  <si>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</si>
  <si>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api-docs.deepseek.com/quick_start/pricing</t>
  </si>
  <si>
    <t xml:space="preserve">已核對原文；第三方頁多為過時價</t>
  </si>
  <si>
    <t xml:space="preserve">S53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</si>
  <si>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</si>
  <si>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</si>
  <si>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t xml:space="preserve">docs.z.ai/guides/overview/pricing</t>
  </si>
  <si>
    <t xml:space="preserve">S54</t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</si>
  <si>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</si>
  <si>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</si>
  <si>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</si>
  <si>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</si>
  <si>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</si>
  <si>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t xml:space="preserve">S55</t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</si>
  <si>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</si>
  <si>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</si>
  <si>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</si>
  <si>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</si>
  <si>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t xml:space="preserve">已核對報導原文</t>
  </si>
  <si>
    <t xml:space="preserve">S56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</si>
  <si>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</si>
  <si>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</si>
  <si>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artificialanalysis.ai/models/releases/comparisons/…</t>
  </si>
  <si>
    <t xml:space="preserve">已核對搜尋摘錄</t>
  </si>
  <si>
    <t xml:space="preserve">S57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</si>
  <si>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</si>
  <si>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</si>
  <si>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</si>
  <si>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openai_token_revenue.json</t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</si>
  <si>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</si>
  <si>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</si>
  <si>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</si>
  <si>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</si>
  <si>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</si>
  <si>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</si>
  <si>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</si>
  <si>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</si>
  <si>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</si>
  <si>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</si>
  <si>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</si>
  <si>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</si>
  <si>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t xml:space="preserve">S60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</si>
  <si>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</si>
  <si>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</si>
  <si>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</si>
  <si>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</si>
  <si>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</si>
  <si>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S61</t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</si>
  <si>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</si>
  <si>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</si>
  <si>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</si>
  <si>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</si>
  <si>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</si>
  <si>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</si>
  <si>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</si>
  <si>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</si>
  <si>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</si>
  <si>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</si>
  <si>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</si>
  <si>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</si>
  <si>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</si>
  <si>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</si>
  <si>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</si>
  <si>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r>
      <rPr>
        <b val="true"/>
        <sz val="10"/>
        <rFont val="Noto Sans CJK SC"/>
        <family val="2"/>
      </rPr>
      <t xml:space="preserve">狀態（已處理／待判定／待 </t>
    </r>
    <r>
      <rPr>
        <b val="true"/>
        <sz val="10"/>
        <rFont val="Arial"/>
        <family val="0"/>
        <charset val="1"/>
      </rPr>
      <t xml:space="preserve">Andy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</si>
  <si>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SRC_ID</t>
    </r>
  </si>
  <si>
    <r>
      <rPr>
        <b val="true"/>
        <sz val="10"/>
        <rFont val="Noto Sans CJK SC"/>
        <family val="2"/>
      </rPr>
      <t xml:space="preserve">受影響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</si>
  <si>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</si>
  <si>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</si>
  <si>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</si>
  <si>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</si>
  <si>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</si>
  <si>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</si>
  <si>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</si>
  <si>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</si>
  <si>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</si>
  <si>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</si>
  <si>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</si>
  <si>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</si>
  <si>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</si>
  <si>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</si>
  <si>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</si>
  <si>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</si>
  <si>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</si>
  <si>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</si>
  <si>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</si>
  <si>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</si>
  <si>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</si>
  <si>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</si>
  <si>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</si>
  <si>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</si>
  <si>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</si>
  <si>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</si>
  <si>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</si>
  <si>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</si>
  <si>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</si>
  <si>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</si>
  <si>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</si>
  <si>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</si>
  <si>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</si>
  <si>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</si>
  <si>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</si>
  <si>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</si>
  <si>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</si>
  <si>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</si>
  <si>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</si>
  <si>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</si>
  <si>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</si>
  <si>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</si>
  <si>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</si>
  <si>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</si>
  <si>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</si>
  <si>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</si>
  <si>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</si>
  <si>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</si>
  <si>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</si>
  <si>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</si>
  <si>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</si>
  <si>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</si>
  <si>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</si>
  <si>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</si>
  <si>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</si>
  <si>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</si>
  <si>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</si>
  <si>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r>
      <rPr>
        <sz val="10"/>
        <color rgb="FF000000"/>
        <rFont val="Noto Sans CJK SC"/>
        <family val="2"/>
      </rPr>
      <t xml:space="preserve">相關來源不遷入（</t>
    </r>
    <r>
      <rPr>
        <sz val="10"/>
        <color rgb="FF000000"/>
        <rFont val="Arial"/>
        <family val="0"/>
        <charset val="1"/>
      </rPr>
      <t xml:space="preserve">G0-9</t>
    </r>
    <r>
      <rPr>
        <sz val="10"/>
        <color rgb="FF000000"/>
        <rFont val="Noto Sans CJK SC"/>
        <family val="2"/>
      </rPr>
      <t xml:space="preserve">）或無數值紀錄</t>
    </r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</si>
  <si>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</si>
  <si>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</si>
  <si>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</si>
  <si>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</si>
  <si>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</si>
  <si>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</si>
  <si>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</si>
  <si>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</si>
  <si>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</si>
  <si>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</si>
  <si>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</si>
  <si>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</si>
  <si>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</si>
  <si>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</si>
  <si>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</si>
  <si>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</si>
  <si>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</si>
  <si>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</si>
  <si>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</si>
  <si>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</si>
  <si>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</si>
  <si>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</si>
  <si>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</si>
  <si>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</si>
  <si>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</si>
  <si>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</si>
  <si>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</si>
  <si>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</si>
  <si>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</si>
  <si>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</si>
  <si>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</si>
  <si>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</si>
  <si>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</si>
  <si>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</si>
  <si>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</si>
  <si>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</si>
  <si>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</si>
  <si>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</si>
  <si>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</si>
  <si>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</si>
  <si>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</si>
  <si>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</si>
  <si>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</si>
  <si>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</si>
  <si>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</si>
  <si>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</si>
  <si>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</si>
  <si>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</si>
  <si>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</si>
  <si>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</si>
  <si>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</si>
  <si>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</si>
  <si>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</si>
  <si>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</si>
  <si>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</si>
  <si>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</si>
  <si>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</si>
  <si>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</si>
  <si>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</si>
  <si>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</si>
  <si>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</si>
  <si>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</si>
  <si>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</si>
  <si>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</si>
  <si>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</si>
  <si>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</si>
  <si>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</si>
  <si>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</si>
  <si>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</si>
  <si>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</si>
  <si>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</si>
  <si>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</si>
  <si>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</si>
  <si>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SRC_HAR_015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</si>
  <si>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</si>
  <si>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</si>
  <si>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r>
      <rPr>
        <sz val="10"/>
        <color rgb="FF0000FF"/>
        <rFont val="Noto Sans CJK SC"/>
        <family val="2"/>
      </rPr>
      <t xml:space="preserve">見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模型使用位置</t>
    </r>
  </si>
  <si>
    <r>
      <rPr>
        <sz val="10"/>
        <color rgb="FF0000FF"/>
        <rFont val="Noto Sans CJK SC"/>
        <family val="2"/>
      </rPr>
      <t xml:space="preserve">遷移（</t>
    </r>
    <r>
      <rPr>
        <sz val="10"/>
        <color rgb="FF0000FF"/>
        <rFont val="Arial"/>
        <family val="0"/>
        <charset val="1"/>
      </rPr>
      <t xml:space="preserve">G0-1</t>
    </r>
    <r>
      <rPr>
        <sz val="10"/>
        <color rgb="FF0000FF"/>
        <rFont val="Noto Sans CJK SC"/>
        <family val="2"/>
      </rPr>
      <t xml:space="preserve">）</t>
    </r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</si>
  <si>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</si>
  <si>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</si>
  <si>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</si>
  <si>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</si>
  <si>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</si>
  <si>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</si>
  <si>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</si>
  <si>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</si>
  <si>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</si>
  <si>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</si>
  <si>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</si>
  <si>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</si>
  <si>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</si>
  <si>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</si>
  <si>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</si>
  <si>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</si>
  <si>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</si>
  <si>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</si>
  <si>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</si>
  <si>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</si>
  <si>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</si>
  <si>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</si>
  <si>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</si>
  <si>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</si>
  <si>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</si>
  <si>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</si>
  <si>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</si>
  <si>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</si>
  <si>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</si>
  <si>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</si>
  <si>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</si>
  <si>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</si>
  <si>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</si>
  <si>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</si>
  <si>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</si>
  <si>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</si>
  <si>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</si>
  <si>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</si>
  <si>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</si>
  <si>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</si>
  <si>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</si>
  <si>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</si>
  <si>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</si>
  <si>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</si>
  <si>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</si>
  <si>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</si>
  <si>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</si>
  <si>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</si>
  <si>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</si>
  <si>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</si>
  <si>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</si>
  <si>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</si>
  <si>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</si>
  <si>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</si>
  <si>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</si>
  <si>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</si>
  <si>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</si>
  <si>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</si>
  <si>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</si>
  <si>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</si>
  <si>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</si>
  <si>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</si>
  <si>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</si>
  <si>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</si>
  <si>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</si>
  <si>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</si>
  <si>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</si>
  <si>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</si>
  <si>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</si>
  <si>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</si>
  <si>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</si>
  <si>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</si>
  <si>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</si>
  <si>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</si>
  <si>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</si>
  <si>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</si>
  <si>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</si>
  <si>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</si>
  <si>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</si>
  <si>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</si>
  <si>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</si>
  <si>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</si>
  <si>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</si>
  <si>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</si>
  <si>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</si>
  <si>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</si>
  <si>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</si>
  <si>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</si>
  <si>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</si>
  <si>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</si>
  <si>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</si>
  <si>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</si>
  <si>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r>
      <rPr>
        <sz val="10"/>
        <color rgb="FF0000FF"/>
        <rFont val="Noto Sans CJK SC"/>
        <family val="2"/>
      </rPr>
      <t xml:space="preserve">補登（</t>
    </r>
    <r>
      <rPr>
        <sz val="10"/>
        <color rgb="FF0000FF"/>
        <rFont val="Arial"/>
        <family val="0"/>
        <charset val="1"/>
      </rPr>
      <t xml:space="preserve">G2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級待查）</t>
    </r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</si>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</sst>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sz val="10"/>
      <color rgb="FF008000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9" t="s">
        <v>26</v>
      </c>
      <c r="B16" s="5" t="s">
        <v>27</v>
      </c>
    </row>
    <row r="17" customFormat="false" ht="15" hidden="false" customHeight="true" outlineLevel="0" collapsed="false">
      <c r="A17" s="9" t="s">
        <v>28</v>
      </c>
      <c r="B17" s="6" t="s">
        <v>29</v>
      </c>
    </row>
    <row r="18" customFormat="false" ht="29.25" hidden="false" customHeight="true" outlineLevel="0" collapsed="false">
      <c r="A18" s="9" t="s">
        <v>30</v>
      </c>
      <c r="B18" s="5" t="s">
        <v>31</v>
      </c>
    </row>
    <row r="19" customFormat="false" ht="72" hidden="false" customHeight="true" outlineLevel="0" collapsed="false">
      <c r="A19" s="9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8" t="s">
        <v>38</v>
      </c>
      <c r="B22" s="5" t="s">
        <v>39</v>
      </c>
    </row>
    <row r="23" customFormat="false" ht="100.5" hidden="false" customHeight="true" outlineLevel="0" collapsed="false">
      <c r="A23" s="8" t="s">
        <v>40</v>
      </c>
      <c r="B23" s="6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85" hidden="false" customHeight="false" outlineLevel="0" collapsed="false">
      <c r="A26" s="10" t="s">
        <v>46</v>
      </c>
      <c r="B26" s="6" t="s">
        <v>47</v>
      </c>
    </row>
    <row r="27" customFormat="false" ht="114.9" hidden="false" customHeight="false" outlineLevel="0" collapsed="false">
      <c r="A27" s="10" t="s">
        <v>48</v>
      </c>
      <c r="B27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50</v>
      </c>
    </row>
    <row r="2" customFormat="false" ht="15" hidden="false" customHeight="true" outlineLevel="0" collapsed="false">
      <c r="A2" s="11" t="s">
        <v>51</v>
      </c>
    </row>
    <row r="3" customFormat="false" ht="15" hidden="false" customHeight="true" outlineLevel="0" collapsed="false">
      <c r="A3" s="12" t="s">
        <v>52</v>
      </c>
      <c r="B3" s="12" t="s">
        <v>53</v>
      </c>
      <c r="C3" s="12"/>
      <c r="D3" s="12" t="s">
        <v>54</v>
      </c>
      <c r="E3" s="12" t="s">
        <v>55</v>
      </c>
      <c r="F3" s="12" t="s">
        <v>56</v>
      </c>
      <c r="G3" s="12" t="s">
        <v>57</v>
      </c>
      <c r="H3" s="12" t="s">
        <v>58</v>
      </c>
    </row>
    <row r="4" customFormat="false" ht="15" hidden="false" customHeight="true" outlineLevel="0" collapsed="false">
      <c r="A4" s="13" t="s">
        <v>59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60</v>
      </c>
      <c r="B5" s="16" t="s">
        <v>61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62</v>
      </c>
      <c r="H5" s="19" t="s">
        <v>63</v>
      </c>
    </row>
    <row r="6" customFormat="false" ht="15" hidden="false" customHeight="true" outlineLevel="0" collapsed="false">
      <c r="A6" s="20" t="s">
        <v>64</v>
      </c>
      <c r="B6" s="21" t="s">
        <v>65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62</v>
      </c>
      <c r="H6" s="19" t="s">
        <v>66</v>
      </c>
    </row>
    <row r="7" customFormat="false" ht="15" hidden="false" customHeight="true" outlineLevel="0" collapsed="false">
      <c r="A7" s="13" t="s">
        <v>67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68</v>
      </c>
      <c r="B8" s="16" t="s">
        <v>69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70</v>
      </c>
      <c r="H8" s="19" t="s">
        <v>71</v>
      </c>
    </row>
    <row r="9" customFormat="false" ht="15" hidden="false" customHeight="true" outlineLevel="0" collapsed="false">
      <c r="A9" s="15" t="s">
        <v>72</v>
      </c>
      <c r="B9" s="16" t="s">
        <v>73</v>
      </c>
      <c r="D9" s="24" t="n">
        <v>1.1</v>
      </c>
      <c r="E9" s="24" t="n">
        <v>1.2</v>
      </c>
      <c r="F9" s="24" t="n">
        <v>1.3</v>
      </c>
      <c r="G9" s="16" t="s">
        <v>74</v>
      </c>
      <c r="H9" s="19" t="s">
        <v>75</v>
      </c>
    </row>
    <row r="10" customFormat="false" ht="15" hidden="false" customHeight="true" outlineLevel="0" collapsed="false">
      <c r="A10" s="20" t="s">
        <v>76</v>
      </c>
      <c r="B10" s="16" t="s">
        <v>69</v>
      </c>
      <c r="D10" s="23" t="n">
        <v>0.7</v>
      </c>
      <c r="E10" s="23" t="n">
        <v>0.8</v>
      </c>
      <c r="F10" s="23" t="n">
        <v>0.9</v>
      </c>
      <c r="G10" s="16" t="s">
        <v>70</v>
      </c>
      <c r="H10" s="6" t="s">
        <v>77</v>
      </c>
    </row>
    <row r="11" customFormat="false" ht="15" hidden="false" customHeight="true" outlineLevel="0" collapsed="false">
      <c r="A11" s="20" t="s">
        <v>78</v>
      </c>
      <c r="B11" s="16" t="s">
        <v>79</v>
      </c>
      <c r="D11" s="24" t="n">
        <v>0.06</v>
      </c>
      <c r="E11" s="24" t="n">
        <v>0.08</v>
      </c>
      <c r="F11" s="24" t="n">
        <v>0.1</v>
      </c>
      <c r="G11" s="16" t="s">
        <v>80</v>
      </c>
      <c r="H11" s="6" t="s">
        <v>81</v>
      </c>
    </row>
    <row r="12" customFormat="false" ht="15" hidden="false" customHeight="true" outlineLevel="0" collapsed="false">
      <c r="A12" s="25" t="s">
        <v>82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83</v>
      </c>
      <c r="B13" s="16" t="s">
        <v>69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74</v>
      </c>
      <c r="H13" s="6" t="s">
        <v>84</v>
      </c>
    </row>
    <row r="14" customFormat="false" ht="15" hidden="false" customHeight="true" outlineLevel="0" collapsed="false">
      <c r="A14" s="20" t="s">
        <v>85</v>
      </c>
      <c r="B14" s="16" t="s">
        <v>86</v>
      </c>
      <c r="D14" s="18" t="n">
        <v>300</v>
      </c>
      <c r="E14" s="18" t="n">
        <v>500</v>
      </c>
      <c r="F14" s="18" t="n">
        <v>800</v>
      </c>
      <c r="G14" s="16" t="s">
        <v>70</v>
      </c>
      <c r="H14" s="6" t="s">
        <v>87</v>
      </c>
    </row>
    <row r="15" customFormat="false" ht="15" hidden="false" customHeight="true" outlineLevel="0" collapsed="false">
      <c r="A15" s="13" t="s">
        <v>88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89</v>
      </c>
      <c r="B16" s="16" t="s">
        <v>90</v>
      </c>
      <c r="D16" s="24" t="n">
        <v>0.02</v>
      </c>
      <c r="E16" s="24" t="n">
        <v>0.02</v>
      </c>
      <c r="F16" s="24" t="n">
        <v>0.02</v>
      </c>
      <c r="G16" s="16" t="s">
        <v>70</v>
      </c>
      <c r="H16" s="6" t="s">
        <v>91</v>
      </c>
    </row>
    <row r="17" customFormat="false" ht="15" hidden="false" customHeight="true" outlineLevel="0" collapsed="false">
      <c r="A17" s="20" t="s">
        <v>92</v>
      </c>
      <c r="B17" s="16" t="s">
        <v>90</v>
      </c>
      <c r="D17" s="24" t="n">
        <v>3</v>
      </c>
      <c r="E17" s="24" t="n">
        <v>3.6</v>
      </c>
      <c r="F17" s="24" t="n">
        <v>4.5</v>
      </c>
      <c r="G17" s="16" t="s">
        <v>70</v>
      </c>
      <c r="H17" s="19" t="s">
        <v>93</v>
      </c>
    </row>
    <row r="18" customFormat="false" ht="15" hidden="false" customHeight="true" outlineLevel="0" collapsed="false">
      <c r="A18" s="20" t="s">
        <v>94</v>
      </c>
      <c r="B18" s="16" t="s">
        <v>90</v>
      </c>
      <c r="D18" s="24" t="n">
        <v>3.8</v>
      </c>
      <c r="E18" s="24" t="n">
        <v>4.5</v>
      </c>
      <c r="F18" s="24" t="n">
        <v>5.5</v>
      </c>
      <c r="G18" s="16" t="s">
        <v>70</v>
      </c>
      <c r="H18" s="19" t="s">
        <v>95</v>
      </c>
    </row>
    <row r="19" customFormat="false" ht="15" hidden="false" customHeight="true" outlineLevel="0" collapsed="false">
      <c r="A19" s="20" t="s">
        <v>96</v>
      </c>
      <c r="B19" s="16" t="s">
        <v>90</v>
      </c>
      <c r="D19" s="24" t="n">
        <v>2</v>
      </c>
      <c r="E19" s="24" t="n">
        <v>2.5</v>
      </c>
      <c r="F19" s="24" t="n">
        <v>3.2</v>
      </c>
      <c r="G19" s="16" t="s">
        <v>70</v>
      </c>
      <c r="H19" s="19" t="s">
        <v>97</v>
      </c>
    </row>
    <row r="20" customFormat="false" ht="15" hidden="false" customHeight="true" outlineLevel="0" collapsed="false">
      <c r="A20" s="20" t="s">
        <v>98</v>
      </c>
      <c r="B20" s="16" t="s">
        <v>90</v>
      </c>
      <c r="D20" s="24" t="n">
        <v>0.3</v>
      </c>
      <c r="E20" s="24" t="n">
        <v>0.4</v>
      </c>
      <c r="F20" s="24" t="n">
        <v>0.5</v>
      </c>
      <c r="G20" s="16" t="s">
        <v>70</v>
      </c>
      <c r="H20" s="19" t="s">
        <v>95</v>
      </c>
    </row>
    <row r="21" customFormat="false" ht="15" hidden="false" customHeight="true" outlineLevel="0" collapsed="false">
      <c r="A21" s="20" t="s">
        <v>99</v>
      </c>
      <c r="B21" s="16" t="s">
        <v>100</v>
      </c>
      <c r="D21" s="23" t="n">
        <v>0.12</v>
      </c>
      <c r="E21" s="23" t="n">
        <v>0.15</v>
      </c>
      <c r="F21" s="23" t="n">
        <v>0.18</v>
      </c>
      <c r="G21" s="16" t="s">
        <v>70</v>
      </c>
      <c r="H21" s="6" t="s">
        <v>101</v>
      </c>
    </row>
    <row r="22" customFormat="false" ht="15" hidden="false" customHeight="true" outlineLevel="0" collapsed="false">
      <c r="A22" s="13" t="s">
        <v>102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103</v>
      </c>
      <c r="B23" s="21" t="s">
        <v>104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105</v>
      </c>
      <c r="H23" s="6" t="s">
        <v>106</v>
      </c>
    </row>
    <row r="24" customFormat="false" ht="15" hidden="false" customHeight="true" outlineLevel="0" collapsed="false">
      <c r="A24" s="20" t="s">
        <v>107</v>
      </c>
      <c r="B24" s="21" t="s">
        <v>104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74</v>
      </c>
      <c r="H24" s="6" t="s">
        <v>108</v>
      </c>
    </row>
    <row r="25" customFormat="false" ht="15" hidden="false" customHeight="true" outlineLevel="0" collapsed="false">
      <c r="A25" s="20" t="s">
        <v>109</v>
      </c>
      <c r="B25" s="21" t="s">
        <v>104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74</v>
      </c>
      <c r="H25" s="6" t="s">
        <v>108</v>
      </c>
    </row>
    <row r="26" customFormat="false" ht="15" hidden="false" customHeight="true" outlineLevel="0" collapsed="false">
      <c r="A26" s="20" t="s">
        <v>110</v>
      </c>
      <c r="B26" s="21" t="s">
        <v>104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74</v>
      </c>
      <c r="H26" s="6" t="s">
        <v>108</v>
      </c>
    </row>
    <row r="27" customFormat="false" ht="15" hidden="false" customHeight="true" outlineLevel="0" collapsed="false">
      <c r="A27" s="20" t="s">
        <v>111</v>
      </c>
      <c r="B27" s="21" t="s">
        <v>104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74</v>
      </c>
      <c r="H27" s="6" t="s">
        <v>108</v>
      </c>
    </row>
    <row r="28" customFormat="false" ht="15" hidden="false" customHeight="true" outlineLevel="0" collapsed="false">
      <c r="A28" s="15" t="s">
        <v>112</v>
      </c>
      <c r="B28" s="16" t="s">
        <v>69</v>
      </c>
      <c r="D28" s="23" t="n">
        <v>0.08</v>
      </c>
      <c r="E28" s="23" t="n">
        <v>0.1</v>
      </c>
      <c r="F28" s="23" t="n">
        <v>0.13</v>
      </c>
      <c r="G28" s="16" t="s">
        <v>70</v>
      </c>
      <c r="H28" s="19" t="s">
        <v>113</v>
      </c>
    </row>
    <row r="29" customFormat="false" ht="15" hidden="false" customHeight="true" outlineLevel="0" collapsed="false">
      <c r="A29" s="13" t="s">
        <v>114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115</v>
      </c>
      <c r="B30" s="16" t="s">
        <v>116</v>
      </c>
      <c r="D30" s="23" t="n">
        <v>0.02</v>
      </c>
      <c r="E30" s="23" t="n">
        <v>0.03</v>
      </c>
      <c r="F30" s="23" t="n">
        <v>0.04</v>
      </c>
      <c r="G30" s="16" t="s">
        <v>74</v>
      </c>
      <c r="H30" s="6" t="s">
        <v>117</v>
      </c>
    </row>
    <row r="31" customFormat="false" ht="15" hidden="false" customHeight="true" outlineLevel="0" collapsed="false">
      <c r="A31" s="20" t="s">
        <v>118</v>
      </c>
      <c r="B31" s="16" t="s">
        <v>119</v>
      </c>
      <c r="D31" s="23" t="n">
        <v>0.015</v>
      </c>
      <c r="E31" s="23" t="n">
        <v>0.02</v>
      </c>
      <c r="F31" s="23" t="n">
        <v>0.025</v>
      </c>
      <c r="G31" s="16" t="s">
        <v>74</v>
      </c>
      <c r="H31" s="6" t="s">
        <v>120</v>
      </c>
    </row>
    <row r="32" customFormat="false" ht="15" hidden="false" customHeight="true" outlineLevel="0" collapsed="false">
      <c r="A32" s="20" t="s">
        <v>121</v>
      </c>
      <c r="B32" s="16" t="s">
        <v>122</v>
      </c>
      <c r="D32" s="18" t="n">
        <v>50</v>
      </c>
      <c r="E32" s="18" t="n">
        <v>75</v>
      </c>
      <c r="F32" s="18" t="n">
        <v>100</v>
      </c>
      <c r="G32" s="16" t="s">
        <v>70</v>
      </c>
      <c r="H32" s="6" t="s">
        <v>123</v>
      </c>
    </row>
    <row r="33" customFormat="false" ht="15" hidden="false" customHeight="true" outlineLevel="0" collapsed="false">
      <c r="A33" s="20" t="s">
        <v>124</v>
      </c>
      <c r="B33" s="16" t="s">
        <v>122</v>
      </c>
      <c r="D33" s="18" t="n">
        <v>150</v>
      </c>
      <c r="E33" s="18" t="n">
        <v>200</v>
      </c>
      <c r="F33" s="18" t="n">
        <v>250</v>
      </c>
      <c r="G33" s="16" t="s">
        <v>70</v>
      </c>
      <c r="H33" s="6" t="s">
        <v>125</v>
      </c>
    </row>
    <row r="34" customFormat="false" ht="15" hidden="false" customHeight="true" outlineLevel="0" collapsed="false">
      <c r="A34" s="20" t="s">
        <v>126</v>
      </c>
      <c r="B34" s="16" t="s">
        <v>127</v>
      </c>
      <c r="D34" s="24" t="n">
        <v>0.04</v>
      </c>
      <c r="E34" s="24" t="n">
        <v>0.05</v>
      </c>
      <c r="F34" s="24" t="n">
        <v>0.06</v>
      </c>
      <c r="G34" s="16" t="s">
        <v>70</v>
      </c>
      <c r="H34" s="6" t="s">
        <v>128</v>
      </c>
    </row>
    <row r="35" customFormat="false" ht="15" hidden="false" customHeight="true" outlineLevel="0" collapsed="false">
      <c r="A35" s="20" t="s">
        <v>129</v>
      </c>
      <c r="B35" s="16" t="s">
        <v>130</v>
      </c>
      <c r="D35" s="23" t="n">
        <v>0.003</v>
      </c>
      <c r="E35" s="23" t="n">
        <v>0.005</v>
      </c>
      <c r="F35" s="23" t="n">
        <v>0.008</v>
      </c>
      <c r="G35" s="16" t="s">
        <v>74</v>
      </c>
      <c r="H35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132</v>
      </c>
    </row>
    <row r="2" customFormat="false" ht="15" hidden="false" customHeight="true" outlineLevel="0" collapsed="false">
      <c r="A2" s="11" t="s">
        <v>133</v>
      </c>
    </row>
    <row r="4" customFormat="false" ht="15" hidden="false" customHeight="true" outlineLevel="0" collapsed="false">
      <c r="A4" s="28" t="s">
        <v>134</v>
      </c>
      <c r="C4" s="25" t="s">
        <v>135</v>
      </c>
      <c r="D4" s="25" t="s">
        <v>136</v>
      </c>
      <c r="E4" s="25" t="s">
        <v>137</v>
      </c>
      <c r="F4" s="25" t="s">
        <v>138</v>
      </c>
      <c r="G4" s="25" t="s">
        <v>139</v>
      </c>
      <c r="H4" s="9" t="s">
        <v>140</v>
      </c>
    </row>
    <row r="5" customFormat="false" ht="15" hidden="false" customHeight="true" outlineLevel="0" collapsed="false">
      <c r="A5" s="20" t="s">
        <v>141</v>
      </c>
      <c r="C5" s="6" t="s">
        <v>142</v>
      </c>
      <c r="D5" s="6" t="s">
        <v>143</v>
      </c>
      <c r="E5" s="6" t="s">
        <v>144</v>
      </c>
      <c r="F5" s="6" t="s">
        <v>145</v>
      </c>
      <c r="G5" s="6" t="s">
        <v>146</v>
      </c>
    </row>
    <row r="6" customFormat="false" ht="15" hidden="false" customHeight="true" outlineLevel="0" collapsed="false">
      <c r="A6" s="15" t="s">
        <v>147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SRC_HW_054</f>
        <v>144</v>
      </c>
    </row>
    <row r="7" customFormat="false" ht="15" hidden="false" customHeight="true" outlineLevel="0" collapsed="false">
      <c r="A7" s="20" t="s">
        <v>148</v>
      </c>
      <c r="C7" s="19" t="s">
        <v>149</v>
      </c>
      <c r="D7" s="19" t="s">
        <v>150</v>
      </c>
      <c r="E7" s="19" t="s">
        <v>150</v>
      </c>
      <c r="F7" s="19" t="s">
        <v>151</v>
      </c>
      <c r="G7" s="19" t="s">
        <v>150</v>
      </c>
    </row>
    <row r="8" customFormat="false" ht="15" hidden="false" customHeight="true" outlineLevel="0" collapsed="false">
      <c r="A8" s="20" t="s">
        <v>152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190</v>
      </c>
      <c r="G8" s="18" t="n">
        <v>550</v>
      </c>
    </row>
    <row r="9" customFormat="false" ht="15" hidden="false" customHeight="true" outlineLevel="0" collapsed="false">
      <c r="A9" s="20" t="s">
        <v>153</v>
      </c>
      <c r="C9" s="18" t="n">
        <v>41</v>
      </c>
      <c r="D9" s="18" t="n">
        <v>130</v>
      </c>
      <c r="E9" s="18" t="n">
        <v>137</v>
      </c>
      <c r="F9" s="27" t="n">
        <f aca="false">SRC_HW_014</f>
        <v>227</v>
      </c>
      <c r="G9" s="27" t="n">
        <f aca="false">SRC_HW_013</f>
        <v>600</v>
      </c>
    </row>
    <row r="10" customFormat="false" ht="15" hidden="false" customHeight="true" outlineLevel="0" collapsed="false">
      <c r="A10" s="20" t="s">
        <v>154</v>
      </c>
      <c r="C10" s="18" t="n">
        <v>44</v>
      </c>
      <c r="D10" s="18" t="n">
        <v>140</v>
      </c>
      <c r="E10" s="27" t="n">
        <f aca="false">SRC_HW_005_Hi</f>
        <v>142</v>
      </c>
      <c r="F10" s="27" t="n">
        <f aca="false">SRC_HW_012</f>
        <v>230</v>
      </c>
      <c r="G10" s="18" t="n">
        <v>650</v>
      </c>
    </row>
    <row r="11" customFormat="false" ht="15" hidden="false" customHeight="true" outlineLevel="0" collapsed="false">
      <c r="A11" s="20" t="s">
        <v>155</v>
      </c>
      <c r="C11" s="29" t="n">
        <v>0.9</v>
      </c>
      <c r="D11" s="30" t="n">
        <f aca="false">SRC_HW_006_Lo</f>
        <v>2.8</v>
      </c>
      <c r="E11" s="30" t="n">
        <f aca="false">SRC_HW_052</f>
        <v>4</v>
      </c>
      <c r="F11" s="29" t="n">
        <v>6.7</v>
      </c>
      <c r="G11" s="29" t="n">
        <v>23.4</v>
      </c>
    </row>
    <row r="12" customFormat="false" ht="15" hidden="false" customHeight="true" outlineLevel="0" collapsed="false">
      <c r="A12" s="20" t="s">
        <v>156</v>
      </c>
      <c r="C12" s="29" t="n">
        <v>1.1</v>
      </c>
      <c r="D12" s="29" t="n">
        <v>3.1</v>
      </c>
      <c r="E12" s="30" t="n">
        <f aca="false">SRC_HW_010</f>
        <v>5</v>
      </c>
      <c r="F12" s="30" t="n">
        <f aca="false">SRC_HW_015</f>
        <v>7.8</v>
      </c>
      <c r="G12" s="29" t="n">
        <v>31.2</v>
      </c>
    </row>
    <row r="13" customFormat="false" ht="15" hidden="false" customHeight="true" outlineLevel="0" collapsed="false">
      <c r="A13" s="20" t="s">
        <v>157</v>
      </c>
      <c r="C13" s="29" t="n">
        <v>1.3</v>
      </c>
      <c r="D13" s="30" t="n">
        <f aca="false">SRC_HW_006_Hi</f>
        <v>3.4</v>
      </c>
      <c r="E13" s="30" t="n">
        <f aca="false">SRC_HW_007_Hi</f>
        <v>6.5</v>
      </c>
      <c r="F13" s="29" t="n">
        <v>9.1</v>
      </c>
      <c r="G13" s="29" t="n">
        <v>39</v>
      </c>
    </row>
    <row r="14" customFormat="false" ht="54" hidden="false" customHeight="true" outlineLevel="0" collapsed="false">
      <c r="A14" s="20" t="s">
        <v>158</v>
      </c>
      <c r="C14" s="31" t="s">
        <v>159</v>
      </c>
      <c r="D14" s="32" t="s">
        <v>160</v>
      </c>
      <c r="E14" s="32" t="s">
        <v>95</v>
      </c>
      <c r="F14" s="32" t="s">
        <v>161</v>
      </c>
      <c r="G14" s="31" t="s">
        <v>162</v>
      </c>
    </row>
    <row r="15" customFormat="false" ht="54" hidden="false" customHeight="true" outlineLevel="0" collapsed="false">
      <c r="A15" s="20" t="s">
        <v>163</v>
      </c>
      <c r="C15" s="31" t="s">
        <v>164</v>
      </c>
      <c r="D15" s="32" t="s">
        <v>165</v>
      </c>
      <c r="E15" s="31" t="s">
        <v>166</v>
      </c>
      <c r="F15" s="31" t="s">
        <v>167</v>
      </c>
      <c r="G15" s="32" t="s">
        <v>168</v>
      </c>
    </row>
    <row r="16" customFormat="false" ht="54" hidden="false" customHeight="true" outlineLevel="0" collapsed="false">
      <c r="A16" s="20" t="s">
        <v>169</v>
      </c>
      <c r="C16" s="31" t="s">
        <v>170</v>
      </c>
      <c r="D16" s="31" t="s">
        <v>171</v>
      </c>
      <c r="E16" s="31" t="s">
        <v>172</v>
      </c>
      <c r="F16" s="31" t="s">
        <v>173</v>
      </c>
      <c r="G16" s="32" t="s">
        <v>174</v>
      </c>
    </row>
    <row r="17" customFormat="false" ht="54" hidden="false" customHeight="true" outlineLevel="0" collapsed="false">
      <c r="A17" s="20" t="s">
        <v>57</v>
      </c>
      <c r="C17" s="31" t="s">
        <v>74</v>
      </c>
      <c r="D17" s="31" t="s">
        <v>175</v>
      </c>
      <c r="E17" s="31" t="s">
        <v>175</v>
      </c>
      <c r="F17" s="31" t="s">
        <v>175</v>
      </c>
      <c r="G17" s="31" t="s">
        <v>70</v>
      </c>
    </row>
    <row r="19" customFormat="false" ht="15" hidden="false" customHeight="true" outlineLevel="0" collapsed="false">
      <c r="A19" s="11" t="s">
        <v>176</v>
      </c>
    </row>
    <row r="21" customFormat="false" ht="15" hidden="false" customHeight="true" outlineLevel="0" collapsed="false">
      <c r="A21" s="33" t="s">
        <v>177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4" t="s">
        <v>178</v>
      </c>
      <c r="C22" s="35" t="s">
        <v>179</v>
      </c>
      <c r="D22" s="35" t="s">
        <v>180</v>
      </c>
      <c r="E22" s="35" t="s">
        <v>180</v>
      </c>
      <c r="F22" s="35" t="s">
        <v>180</v>
      </c>
      <c r="G22" s="35" t="s">
        <v>180</v>
      </c>
      <c r="H22" s="36" t="s">
        <v>181</v>
      </c>
    </row>
    <row r="23" customFormat="false" ht="15" hidden="false" customHeight="true" outlineLevel="0" collapsed="false">
      <c r="A23" s="34" t="s">
        <v>182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73</v>
      </c>
      <c r="H23" s="36" t="s">
        <v>183</v>
      </c>
    </row>
    <row r="24" customFormat="false" ht="15" hidden="false" customHeight="true" outlineLevel="0" collapsed="false">
      <c r="A24" s="34" t="s">
        <v>184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104</v>
      </c>
      <c r="H24" s="36" t="s">
        <v>185</v>
      </c>
    </row>
    <row r="25" customFormat="false" ht="15" hidden="false" customHeight="true" outlineLevel="0" collapsed="false">
      <c r="A25" s="35" t="s">
        <v>186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187</v>
      </c>
    </row>
    <row r="26" customFormat="false" ht="15" hidden="false" customHeight="true" outlineLevel="0" collapsed="false">
      <c r="A26" s="35" t="s">
        <v>188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189</v>
      </c>
    </row>
    <row r="27" customFormat="false" ht="15" hidden="false" customHeight="true" outlineLevel="0" collapsed="false">
      <c r="A27" s="35" t="s">
        <v>190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191</v>
      </c>
    </row>
    <row r="28" customFormat="false" ht="15" hidden="false" customHeight="true" outlineLevel="0" collapsed="false">
      <c r="A28" s="35" t="s">
        <v>192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SRC_HW_054</f>
        <v>144</v>
      </c>
      <c r="H28" s="36"/>
    </row>
    <row r="29" customFormat="false" ht="15" hidden="false" customHeight="true" outlineLevel="0" collapsed="false">
      <c r="A29" s="35" t="s">
        <v>193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194</v>
      </c>
    </row>
    <row r="30" customFormat="false" ht="15" hidden="false" customHeight="true" outlineLevel="0" collapsed="false">
      <c r="A30" s="34" t="s">
        <v>195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196</v>
      </c>
    </row>
    <row r="31" customFormat="false" ht="15" hidden="false" customHeight="true" outlineLevel="0" collapsed="false">
      <c r="A31" s="34" t="s">
        <v>197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198</v>
      </c>
    </row>
    <row r="32" customFormat="false" ht="15" hidden="false" customHeight="true" outlineLevel="0" collapsed="false">
      <c r="A32" s="34" t="s">
        <v>199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200</v>
      </c>
    </row>
    <row r="33" customFormat="false" ht="15" hidden="false" customHeight="true" outlineLevel="0" collapsed="false">
      <c r="A33" s="35" t="s">
        <v>201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202</v>
      </c>
    </row>
    <row r="34" customFormat="false" ht="15" hidden="false" customHeight="true" outlineLevel="0" collapsed="false">
      <c r="A34" s="35" t="s">
        <v>203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204</v>
      </c>
    </row>
    <row r="35" customFormat="false" ht="15" hidden="false" customHeight="true" outlineLevel="0" collapsed="false">
      <c r="A35" s="9" t="s">
        <v>205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73</v>
      </c>
    </row>
    <row r="36" customFormat="false" ht="15" hidden="false" customHeight="true" outlineLevel="0" collapsed="false">
      <c r="A36" s="35" t="s">
        <v>206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2281.25</v>
      </c>
    </row>
    <row r="38" customFormat="false" ht="15" hidden="false" customHeight="true" outlineLevel="0" collapsed="false">
      <c r="A38" s="33" t="s">
        <v>207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5" t="s">
        <v>208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209</v>
      </c>
    </row>
    <row r="40" customFormat="false" ht="15" hidden="false" customHeight="true" outlineLevel="0" collapsed="false">
      <c r="A40" s="35" t="s">
        <v>210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34.7</v>
      </c>
      <c r="H40" s="36" t="s">
        <v>211</v>
      </c>
    </row>
    <row r="41" customFormat="false" ht="15" hidden="false" customHeight="true" outlineLevel="0" collapsed="false">
      <c r="A41" s="35" t="s">
        <v>212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73</v>
      </c>
      <c r="H41" s="36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9" t="s">
        <v>214</v>
      </c>
    </row>
    <row r="2" customFormat="false" ht="15" hidden="false" customHeight="false" outlineLevel="0" collapsed="false">
      <c r="A2" s="50" t="s">
        <v>215</v>
      </c>
    </row>
    <row r="4" customFormat="false" ht="15" hidden="false" customHeight="false" outlineLevel="0" collapsed="false">
      <c r="A4" s="10" t="s">
        <v>52</v>
      </c>
      <c r="B4" s="10" t="s">
        <v>53</v>
      </c>
      <c r="C4" s="51" t="s">
        <v>216</v>
      </c>
      <c r="D4" s="51" t="s">
        <v>217</v>
      </c>
      <c r="E4" s="51" t="s">
        <v>218</v>
      </c>
      <c r="F4" s="10" t="s">
        <v>57</v>
      </c>
      <c r="G4" s="10" t="s">
        <v>58</v>
      </c>
    </row>
    <row r="5" customFormat="false" ht="15" hidden="false" customHeight="false" outlineLevel="0" collapsed="false">
      <c r="A5" s="52" t="s">
        <v>219</v>
      </c>
      <c r="B5" s="52"/>
      <c r="C5" s="53" t="s">
        <v>220</v>
      </c>
      <c r="D5" s="53" t="s">
        <v>221</v>
      </c>
      <c r="E5" s="52" t="s">
        <v>222</v>
      </c>
      <c r="F5" s="50" t="s">
        <v>62</v>
      </c>
      <c r="G5" s="50" t="s">
        <v>223</v>
      </c>
    </row>
    <row r="6" customFormat="false" ht="15" hidden="false" customHeight="false" outlineLevel="0" collapsed="false">
      <c r="A6" s="52" t="s">
        <v>224</v>
      </c>
      <c r="B6" s="53" t="s">
        <v>225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50" t="s">
        <v>226</v>
      </c>
      <c r="G6" s="50" t="s">
        <v>227</v>
      </c>
    </row>
    <row r="7" customFormat="false" ht="15" hidden="false" customHeight="false" outlineLevel="0" collapsed="false">
      <c r="A7" s="52" t="s">
        <v>228</v>
      </c>
      <c r="B7" s="53" t="s">
        <v>225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50" t="s">
        <v>226</v>
      </c>
      <c r="G7" s="50" t="s">
        <v>229</v>
      </c>
    </row>
    <row r="8" customFormat="false" ht="15" hidden="false" customHeight="false" outlineLevel="0" collapsed="false">
      <c r="A8" s="52" t="s">
        <v>230</v>
      </c>
      <c r="B8" s="52" t="s">
        <v>231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50" t="s">
        <v>226</v>
      </c>
      <c r="G8" s="50" t="s">
        <v>232</v>
      </c>
    </row>
    <row r="9" customFormat="false" ht="15" hidden="false" customHeight="false" outlineLevel="0" collapsed="false">
      <c r="A9" s="53" t="s">
        <v>233</v>
      </c>
      <c r="B9" s="52"/>
      <c r="C9" s="55" t="n">
        <v>4096</v>
      </c>
      <c r="D9" s="54" t="n">
        <f aca="false">SRC_MOD_004</f>
        <v>7168</v>
      </c>
      <c r="E9" s="55" t="n">
        <v>12288</v>
      </c>
      <c r="F9" s="50" t="s">
        <v>234</v>
      </c>
      <c r="G9" s="50" t="s">
        <v>235</v>
      </c>
    </row>
    <row r="10" customFormat="false" ht="15" hidden="false" customHeight="false" outlineLevel="0" collapsed="false">
      <c r="A10" s="53" t="s">
        <v>236</v>
      </c>
      <c r="B10" s="52"/>
      <c r="C10" s="55" t="n">
        <v>64</v>
      </c>
      <c r="D10" s="54" t="n">
        <f aca="false">SRC_MOD_008</f>
        <v>128</v>
      </c>
      <c r="E10" s="55" t="n">
        <v>96</v>
      </c>
      <c r="F10" s="50" t="s">
        <v>237</v>
      </c>
      <c r="G10" s="50" t="s">
        <v>238</v>
      </c>
    </row>
    <row r="11" customFormat="false" ht="15" hidden="false" customHeight="false" outlineLevel="0" collapsed="false">
      <c r="A11" s="53" t="s">
        <v>239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50" t="s">
        <v>226</v>
      </c>
      <c r="G11" s="50" t="s">
        <v>240</v>
      </c>
    </row>
    <row r="12" customFormat="false" ht="15" hidden="false" customHeight="false" outlineLevel="0" collapsed="false">
      <c r="A12" s="53" t="s">
        <v>241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50" t="s">
        <v>226</v>
      </c>
      <c r="G12" s="50"/>
    </row>
    <row r="13" customFormat="false" ht="15" hidden="false" customHeight="false" outlineLevel="0" collapsed="false">
      <c r="A13" s="52" t="s">
        <v>242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50" t="s">
        <v>226</v>
      </c>
      <c r="G13" s="50"/>
    </row>
    <row r="14" customFormat="false" ht="15" hidden="false" customHeight="false" outlineLevel="0" collapsed="false">
      <c r="A14" s="53" t="s">
        <v>243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50" t="s">
        <v>105</v>
      </c>
      <c r="G14" s="50"/>
    </row>
    <row r="15" customFormat="false" ht="15" hidden="false" customHeight="false" outlineLevel="0" collapsed="false">
      <c r="A15" s="53" t="s">
        <v>244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50" t="s">
        <v>226</v>
      </c>
      <c r="G15" s="50"/>
    </row>
    <row r="16" customFormat="false" ht="15" hidden="false" customHeight="false" outlineLevel="0" collapsed="false">
      <c r="A16" s="52" t="s">
        <v>245</v>
      </c>
      <c r="B16" s="53" t="s">
        <v>69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50" t="s">
        <v>226</v>
      </c>
      <c r="G16" s="50" t="s">
        <v>246</v>
      </c>
    </row>
    <row r="17" customFormat="false" ht="15" hidden="false" customHeight="false" outlineLevel="0" collapsed="false">
      <c r="A17" s="52" t="s">
        <v>247</v>
      </c>
      <c r="B17" s="53" t="s">
        <v>248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50" t="s">
        <v>249</v>
      </c>
      <c r="G17" s="50" t="s">
        <v>250</v>
      </c>
    </row>
    <row r="18" customFormat="false" ht="15" hidden="false" customHeight="false" outlineLevel="0" collapsed="false">
      <c r="A18" s="52" t="s">
        <v>251</v>
      </c>
      <c r="B18" s="53" t="s">
        <v>73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50" t="s">
        <v>105</v>
      </c>
      <c r="G18" s="50" t="s">
        <v>252</v>
      </c>
    </row>
    <row r="19" customFormat="false" ht="15" hidden="false" customHeight="false" outlineLevel="0" collapsed="false">
      <c r="A19" s="52" t="s">
        <v>253</v>
      </c>
      <c r="B19" s="53" t="s">
        <v>248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50" t="s">
        <v>105</v>
      </c>
      <c r="G19" s="50"/>
    </row>
    <row r="20" customFormat="false" ht="15" hidden="false" customHeight="false" outlineLevel="0" collapsed="false">
      <c r="A20" s="53" t="s">
        <v>254</v>
      </c>
      <c r="B20" s="52" t="s">
        <v>65</v>
      </c>
      <c r="E20" s="58" t="n">
        <v>2</v>
      </c>
      <c r="F20" s="50" t="s">
        <v>62</v>
      </c>
      <c r="G20" s="50" t="s">
        <v>255</v>
      </c>
    </row>
    <row r="21" customFormat="false" ht="15" hidden="false" customHeight="false" outlineLevel="0" collapsed="false">
      <c r="A21" s="53" t="s">
        <v>256</v>
      </c>
      <c r="B21" s="53" t="s">
        <v>225</v>
      </c>
      <c r="C21" s="55" t="n">
        <v>2795</v>
      </c>
      <c r="D21" s="55" t="n">
        <v>3965</v>
      </c>
      <c r="E21" s="55" t="n">
        <v>14976</v>
      </c>
      <c r="F21" s="50" t="s">
        <v>257</v>
      </c>
      <c r="G21" s="50" t="s">
        <v>258</v>
      </c>
    </row>
    <row r="22" customFormat="false" ht="15" hidden="false" customHeight="false" outlineLevel="0" collapsed="false">
      <c r="A22" s="53" t="s">
        <v>259</v>
      </c>
      <c r="B22" s="53" t="s">
        <v>225</v>
      </c>
      <c r="C22" s="55" t="n">
        <v>2795</v>
      </c>
      <c r="D22" s="55" t="n">
        <v>3965</v>
      </c>
      <c r="E22" s="55" t="n">
        <v>57600</v>
      </c>
      <c r="F22" s="50" t="s">
        <v>257</v>
      </c>
      <c r="G22" s="50" t="s">
        <v>260</v>
      </c>
    </row>
    <row r="23" customFormat="false" ht="15" hidden="false" customHeight="false" outlineLevel="0" collapsed="false">
      <c r="A23" s="53" t="s">
        <v>261</v>
      </c>
      <c r="B23" s="53" t="s">
        <v>225</v>
      </c>
      <c r="C23" s="55" t="n">
        <v>2795</v>
      </c>
      <c r="D23" s="55" t="n">
        <v>3965</v>
      </c>
      <c r="E23" s="55" t="n">
        <v>204800</v>
      </c>
      <c r="F23" s="50" t="s">
        <v>257</v>
      </c>
      <c r="G23" s="50" t="s">
        <v>262</v>
      </c>
    </row>
    <row r="24" customFormat="false" ht="15" hidden="false" customHeight="false" outlineLevel="0" collapsed="false">
      <c r="A24" s="59" t="s">
        <v>263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53" t="s">
        <v>264</v>
      </c>
      <c r="B25" s="53" t="s">
        <v>225</v>
      </c>
      <c r="C25" s="61" t="n">
        <f aca="false">CHOOSE(IF(C20="",1,C20),C21,C22,C23)</f>
        <v>2795</v>
      </c>
      <c r="D25" s="61" t="n">
        <f aca="false">CHOOSE(IF(D20="",1,D20),D21,D22,D23)</f>
        <v>3965</v>
      </c>
      <c r="E25" s="61" t="n">
        <f aca="false">CHOOSE(IF(E20="",1,E20),E21,E22,E23)</f>
        <v>57600</v>
      </c>
    </row>
    <row r="26" customFormat="false" ht="15" hidden="false" customHeight="false" outlineLevel="0" collapsed="false">
      <c r="A26" s="53" t="s">
        <v>265</v>
      </c>
      <c r="B26" s="53" t="s">
        <v>225</v>
      </c>
      <c r="C26" s="62" t="n">
        <f aca="false">C15*C9*2/1000000000</f>
        <v>1.05906176</v>
      </c>
      <c r="D26" s="62" t="n">
        <f aca="false">D15*D9*2/1000000000</f>
        <v>1.85335808</v>
      </c>
      <c r="E26" s="62" t="n">
        <f aca="false">E15*E9*2/1000000000</f>
        <v>4.9152</v>
      </c>
    </row>
    <row r="27" customFormat="false" ht="15" hidden="false" customHeight="false" outlineLevel="0" collapsed="false">
      <c r="A27" s="52" t="s">
        <v>266</v>
      </c>
      <c r="B27" s="53" t="s">
        <v>225</v>
      </c>
      <c r="C27" s="63" t="n">
        <f aca="false">(C6-C7)/(C8*(C12-C13))</f>
        <v>0.0252093023255814</v>
      </c>
      <c r="D27" s="63" t="n">
        <f aca="false">(D6-D7)/(D8*(D12-D13))</f>
        <v>0.0672651574290919</v>
      </c>
      <c r="E27" s="63" t="n">
        <f aca="false">(E6-E7)/(E8*(E12-E13))</f>
        <v>0.0770161290322581</v>
      </c>
      <c r="G27" s="64" t="s">
        <v>267</v>
      </c>
    </row>
    <row r="28" customFormat="false" ht="15" hidden="false" customHeight="false" outlineLevel="0" collapsed="false">
      <c r="A28" s="52" t="s">
        <v>268</v>
      </c>
      <c r="B28" s="53" t="s">
        <v>225</v>
      </c>
      <c r="C28" s="65" t="n">
        <f aca="false">C7-C8*(C13+C14)*C27</f>
        <v>5.412</v>
      </c>
      <c r="D28" s="65" t="n">
        <f aca="false">D7-D8*(D13+D14)*D27</f>
        <v>20.2777777777778</v>
      </c>
      <c r="E28" s="65" t="n">
        <f aca="false">E7-E8*(E13+E14)*E27</f>
        <v>49.0725806451613</v>
      </c>
    </row>
    <row r="29" customFormat="false" ht="15" hidden="false" customHeight="false" outlineLevel="0" collapsed="false">
      <c r="A29" s="52" t="s">
        <v>269</v>
      </c>
      <c r="B29" s="53" t="s">
        <v>225</v>
      </c>
      <c r="C29" s="65" t="n">
        <f aca="false">C6-C28</f>
        <v>278.588</v>
      </c>
      <c r="D29" s="65" t="n">
        <f aca="false">D6-D28</f>
        <v>1579.72222222222</v>
      </c>
      <c r="E29" s="65" t="n">
        <f aca="false">E6-E28</f>
        <v>3950.92741935484</v>
      </c>
    </row>
    <row r="30" customFormat="false" ht="15" hidden="false" customHeight="false" outlineLevel="0" collapsed="false">
      <c r="A30" s="52" t="s">
        <v>270</v>
      </c>
      <c r="B30" s="53" t="s">
        <v>271</v>
      </c>
      <c r="C30" s="66" t="n">
        <f aca="false">4*C10*C11*C8</f>
        <v>5636096</v>
      </c>
      <c r="D30" s="66" t="n">
        <f aca="false">4*D10*D11*D8</f>
        <v>15990784</v>
      </c>
      <c r="E30" s="66" t="n">
        <f aca="false">4*E10*E11*E8</f>
        <v>4915200</v>
      </c>
    </row>
    <row r="31" customFormat="false" ht="15" hidden="false" customHeight="false" outlineLevel="0" collapsed="false">
      <c r="A31" s="53" t="s">
        <v>272</v>
      </c>
      <c r="B31" s="53" t="s">
        <v>273</v>
      </c>
      <c r="C31" s="62" t="n">
        <f aca="false">C25*128000/1000000000</f>
        <v>0.35776</v>
      </c>
      <c r="D31" s="62" t="n">
        <f aca="false">D25*128000/1000000000</f>
        <v>0.50752</v>
      </c>
      <c r="E31" s="6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9" t="s">
        <v>274</v>
      </c>
    </row>
    <row r="2" customFormat="false" ht="15" hidden="false" customHeight="false" outlineLevel="0" collapsed="false">
      <c r="A2" s="64" t="s">
        <v>275</v>
      </c>
    </row>
    <row r="4" customFormat="false" ht="15" hidden="false" customHeight="false" outlineLevel="0" collapsed="false">
      <c r="A4" s="10" t="s">
        <v>276</v>
      </c>
      <c r="B4" s="10" t="s">
        <v>53</v>
      </c>
      <c r="C4" s="10" t="s">
        <v>277</v>
      </c>
      <c r="D4" s="10" t="s">
        <v>57</v>
      </c>
      <c r="E4" s="10"/>
      <c r="F4" s="10" t="s">
        <v>278</v>
      </c>
    </row>
    <row r="5" customFormat="false" ht="15" hidden="false" customHeight="false" outlineLevel="0" collapsed="false">
      <c r="A5" s="52" t="s">
        <v>279</v>
      </c>
      <c r="B5" s="52"/>
      <c r="C5" s="52" t="s">
        <v>280</v>
      </c>
      <c r="D5" s="50" t="s">
        <v>62</v>
      </c>
      <c r="F5" s="50" t="s">
        <v>281</v>
      </c>
    </row>
    <row r="6" customFormat="false" ht="15" hidden="false" customHeight="false" outlineLevel="0" collapsed="false">
      <c r="A6" s="53" t="s">
        <v>282</v>
      </c>
      <c r="B6" s="53" t="s">
        <v>248</v>
      </c>
      <c r="C6" s="58" t="n">
        <v>3</v>
      </c>
      <c r="D6" s="50" t="s">
        <v>74</v>
      </c>
      <c r="F6" s="50" t="s">
        <v>283</v>
      </c>
    </row>
    <row r="7" customFormat="false" ht="15" hidden="false" customHeight="false" outlineLevel="0" collapsed="false">
      <c r="A7" s="52" t="s">
        <v>284</v>
      </c>
      <c r="B7" s="53" t="s">
        <v>69</v>
      </c>
      <c r="C7" s="56" t="n">
        <f aca="false">SRC_PERF_005</f>
        <v>0.7</v>
      </c>
      <c r="D7" s="50" t="s">
        <v>285</v>
      </c>
      <c r="F7" s="50" t="s">
        <v>286</v>
      </c>
    </row>
    <row r="8" customFormat="false" ht="15" hidden="false" customHeight="false" outlineLevel="0" collapsed="false">
      <c r="A8" s="52" t="s">
        <v>287</v>
      </c>
      <c r="B8" s="53" t="s">
        <v>248</v>
      </c>
      <c r="C8" s="67" t="n">
        <f aca="false">(1-C7^(C6+1))/(1-C7)</f>
        <v>2.533</v>
      </c>
      <c r="D8" s="50" t="s">
        <v>249</v>
      </c>
      <c r="F8" s="50" t="s">
        <v>288</v>
      </c>
    </row>
    <row r="9" customFormat="false" ht="15" hidden="false" customHeight="false" outlineLevel="0" collapsed="false">
      <c r="A9" s="53" t="s">
        <v>289</v>
      </c>
      <c r="B9" s="53" t="s">
        <v>69</v>
      </c>
      <c r="C9" s="57" t="n">
        <v>0.1</v>
      </c>
      <c r="D9" s="50" t="s">
        <v>70</v>
      </c>
      <c r="F9" s="64" t="s">
        <v>290</v>
      </c>
    </row>
    <row r="10" customFormat="false" ht="15" hidden="false" customHeight="false" outlineLevel="0" collapsed="false">
      <c r="A10" s="52" t="s">
        <v>291</v>
      </c>
      <c r="B10" s="53" t="s">
        <v>69</v>
      </c>
      <c r="C10" s="57" t="n">
        <v>0.2</v>
      </c>
      <c r="D10" s="50" t="s">
        <v>70</v>
      </c>
      <c r="F10" s="64" t="s">
        <v>292</v>
      </c>
    </row>
    <row r="11" customFormat="false" ht="15" hidden="false" customHeight="false" outlineLevel="0" collapsed="false">
      <c r="A11" s="52" t="s">
        <v>293</v>
      </c>
      <c r="B11" s="53" t="s">
        <v>69</v>
      </c>
      <c r="C11" s="57" t="n">
        <v>0.4</v>
      </c>
      <c r="D11" s="50" t="s">
        <v>70</v>
      </c>
      <c r="F11" s="64" t="s">
        <v>294</v>
      </c>
    </row>
    <row r="12" customFormat="false" ht="15" hidden="false" customHeight="false" outlineLevel="0" collapsed="false">
      <c r="A12" s="53" t="s">
        <v>295</v>
      </c>
      <c r="B12" s="53" t="s">
        <v>225</v>
      </c>
      <c r="C12" s="68" t="n">
        <v>3</v>
      </c>
      <c r="D12" s="50" t="s">
        <v>74</v>
      </c>
      <c r="F12" s="50" t="s">
        <v>296</v>
      </c>
    </row>
    <row r="13" customFormat="false" ht="15" hidden="false" customHeight="false" outlineLevel="0" collapsed="false">
      <c r="A13" s="53" t="s">
        <v>297</v>
      </c>
      <c r="B13" s="53" t="s">
        <v>69</v>
      </c>
      <c r="C13" s="57" t="n">
        <v>0.7</v>
      </c>
      <c r="D13" s="50" t="s">
        <v>74</v>
      </c>
      <c r="F13" s="64" t="s">
        <v>298</v>
      </c>
    </row>
    <row r="14" customFormat="false" ht="15" hidden="false" customHeight="false" outlineLevel="0" collapsed="false">
      <c r="A14" s="53" t="s">
        <v>299</v>
      </c>
      <c r="B14" s="53" t="s">
        <v>69</v>
      </c>
      <c r="C14" s="57" t="n">
        <v>0.7</v>
      </c>
      <c r="D14" s="50" t="s">
        <v>74</v>
      </c>
      <c r="F14" s="64" t="s">
        <v>298</v>
      </c>
    </row>
    <row r="15" customFormat="false" ht="15" hidden="false" customHeight="false" outlineLevel="0" collapsed="false">
      <c r="A15" s="52" t="s">
        <v>300</v>
      </c>
      <c r="B15" s="53" t="s">
        <v>301</v>
      </c>
      <c r="C15" s="69" t="n">
        <v>0.1</v>
      </c>
      <c r="D15" s="50" t="s">
        <v>70</v>
      </c>
      <c r="F15" s="64" t="s">
        <v>302</v>
      </c>
    </row>
    <row r="16" customFormat="false" ht="15" hidden="false" customHeight="false" outlineLevel="0" collapsed="false">
      <c r="A16" s="52" t="s">
        <v>303</v>
      </c>
      <c r="B16" s="52" t="s">
        <v>65</v>
      </c>
      <c r="C16" s="58" t="n">
        <v>1</v>
      </c>
      <c r="D16" s="50" t="s">
        <v>62</v>
      </c>
      <c r="F16" s="50" t="s">
        <v>304</v>
      </c>
    </row>
    <row r="17" customFormat="false" ht="15" hidden="false" customHeight="false" outlineLevel="0" collapsed="false">
      <c r="A17" s="52" t="s">
        <v>305</v>
      </c>
      <c r="B17" s="53" t="s">
        <v>69</v>
      </c>
      <c r="C17" s="70" t="n">
        <v>0.6</v>
      </c>
      <c r="D17" s="50" t="s">
        <v>70</v>
      </c>
      <c r="F17" s="50" t="s">
        <v>306</v>
      </c>
    </row>
    <row r="18" customFormat="false" ht="15" hidden="false" customHeight="false" outlineLevel="0" collapsed="false">
      <c r="A18" s="52" t="s">
        <v>307</v>
      </c>
      <c r="B18" s="53" t="s">
        <v>73</v>
      </c>
      <c r="C18" s="71" t="n">
        <v>1</v>
      </c>
      <c r="D18" s="50" t="s">
        <v>70</v>
      </c>
      <c r="F18" s="64" t="s">
        <v>308</v>
      </c>
    </row>
    <row r="19" customFormat="false" ht="15" hidden="false" customHeight="false" outlineLevel="0" collapsed="false">
      <c r="A19" s="59" t="s">
        <v>309</v>
      </c>
      <c r="B19" s="60"/>
      <c r="C19" s="60"/>
      <c r="D19" s="60"/>
      <c r="E19" s="60"/>
      <c r="F19" s="60"/>
    </row>
    <row r="20" customFormat="false" ht="15" hidden="false" customHeight="false" outlineLevel="0" collapsed="false">
      <c r="A20" s="10" t="s">
        <v>310</v>
      </c>
      <c r="B20" s="10" t="s">
        <v>53</v>
      </c>
      <c r="C20" s="72" t="str">
        <f aca="false">Arch!C4</f>
        <v>Luna（低層）</v>
      </c>
      <c r="D20" s="72" t="str">
        <f aca="false">Arch!D4</f>
        <v>Sol（中層）</v>
      </c>
      <c r="E20" s="72" t="str">
        <f aca="false">Arch!E4</f>
        <v>Astra（頂層）</v>
      </c>
      <c r="F20" s="10" t="s">
        <v>278</v>
      </c>
    </row>
    <row r="21" customFormat="false" ht="15" hidden="false" customHeight="false" outlineLevel="0" collapsed="false">
      <c r="A21" s="53" t="s">
        <v>311</v>
      </c>
      <c r="B21" s="53" t="s">
        <v>312</v>
      </c>
      <c r="C21" s="54" t="n">
        <f aca="false">SRC_PERF_018</f>
        <v>120</v>
      </c>
      <c r="D21" s="73" t="n">
        <v>65</v>
      </c>
      <c r="E21" s="73" t="n">
        <v>55</v>
      </c>
      <c r="F21" s="50" t="s">
        <v>313</v>
      </c>
    </row>
    <row r="22" customFormat="false" ht="15" hidden="false" customHeight="false" outlineLevel="0" collapsed="false">
      <c r="A22" s="53" t="s">
        <v>314</v>
      </c>
      <c r="B22" s="53" t="s">
        <v>315</v>
      </c>
      <c r="C22" s="68" t="n">
        <v>2</v>
      </c>
      <c r="D22" s="68" t="n">
        <v>3</v>
      </c>
      <c r="E22" s="68" t="n">
        <v>5</v>
      </c>
      <c r="F22" s="50" t="s">
        <v>70</v>
      </c>
    </row>
    <row r="23" customFormat="false" ht="15" hidden="false" customHeight="false" outlineLevel="0" collapsed="false">
      <c r="A23" s="52" t="s">
        <v>316</v>
      </c>
      <c r="B23" s="53" t="s">
        <v>248</v>
      </c>
      <c r="C23" s="55" t="n">
        <v>8192</v>
      </c>
      <c r="D23" s="55" t="n">
        <v>16384</v>
      </c>
      <c r="E23" s="55" t="n">
        <v>32768</v>
      </c>
      <c r="F23" s="50" t="s">
        <v>317</v>
      </c>
    </row>
    <row r="24" customFormat="false" ht="15" hidden="false" customHeight="false" outlineLevel="0" collapsed="false">
      <c r="A24" s="52" t="s">
        <v>318</v>
      </c>
      <c r="B24" s="53" t="s">
        <v>248</v>
      </c>
      <c r="C24" s="55" t="n">
        <v>1024</v>
      </c>
      <c r="D24" s="55" t="n">
        <v>2048</v>
      </c>
      <c r="E24" s="55" t="n">
        <v>4096</v>
      </c>
      <c r="F24" s="50" t="s">
        <v>70</v>
      </c>
    </row>
    <row r="25" customFormat="false" ht="15" hidden="false" customHeight="false" outlineLevel="0" collapsed="false">
      <c r="A25" s="53" t="s">
        <v>319</v>
      </c>
      <c r="B25" s="53" t="s">
        <v>248</v>
      </c>
      <c r="C25" s="66" t="n">
        <f aca="false">C23+C24/2</f>
        <v>8704</v>
      </c>
      <c r="D25" s="66" t="n">
        <f aca="false">D23+D24/2</f>
        <v>17408</v>
      </c>
      <c r="E25" s="66" t="n">
        <f aca="false">E23+E24/2</f>
        <v>34816</v>
      </c>
      <c r="F25" s="50" t="s">
        <v>249</v>
      </c>
    </row>
    <row r="26" customFormat="false" ht="15" hidden="false" customHeight="false" outlineLevel="0" collapsed="false">
      <c r="A26" s="53" t="s">
        <v>320</v>
      </c>
      <c r="B26" s="53" t="s">
        <v>248</v>
      </c>
      <c r="C26" s="66" t="n">
        <f aca="false">C23/2</f>
        <v>4096</v>
      </c>
      <c r="D26" s="66" t="n">
        <f aca="false">D23/2</f>
        <v>8192</v>
      </c>
      <c r="E26" s="66" t="n">
        <f aca="false">E23/2</f>
        <v>16384</v>
      </c>
      <c r="F26" s="50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9" t="s">
        <v>321</v>
      </c>
    </row>
    <row r="2" customFormat="false" ht="15" hidden="false" customHeight="false" outlineLevel="0" collapsed="false">
      <c r="A2" s="64" t="s">
        <v>322</v>
      </c>
    </row>
    <row r="4" customFormat="false" ht="30" hidden="false" customHeight="true" outlineLevel="0" collapsed="false">
      <c r="A4" s="10" t="s">
        <v>52</v>
      </c>
      <c r="B4" s="10" t="s">
        <v>53</v>
      </c>
      <c r="C4" s="74" t="s">
        <v>323</v>
      </c>
      <c r="D4" s="74" t="s">
        <v>324</v>
      </c>
      <c r="E4" s="74" t="s">
        <v>325</v>
      </c>
      <c r="F4" s="74" t="s">
        <v>326</v>
      </c>
      <c r="G4" s="75" t="s">
        <v>327</v>
      </c>
      <c r="H4" s="10" t="s">
        <v>278</v>
      </c>
    </row>
    <row r="5" customFormat="false" ht="15" hidden="false" customHeight="false" outlineLevel="0" collapsed="false">
      <c r="A5" s="52" t="s">
        <v>328</v>
      </c>
      <c r="B5" s="52" t="s">
        <v>329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50" t="s">
        <v>70</v>
      </c>
    </row>
    <row r="6" customFormat="false" ht="15" hidden="false" customHeight="false" outlineLevel="0" collapsed="false">
      <c r="A6" s="52" t="s">
        <v>330</v>
      </c>
      <c r="B6" s="53" t="s">
        <v>248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50" t="s">
        <v>70</v>
      </c>
    </row>
    <row r="7" customFormat="false" ht="15" hidden="false" customHeight="false" outlineLevel="0" collapsed="false">
      <c r="A7" s="52" t="s">
        <v>331</v>
      </c>
      <c r="B7" s="53" t="s">
        <v>248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50" t="s">
        <v>70</v>
      </c>
    </row>
    <row r="8" customFormat="false" ht="15" hidden="false" customHeight="false" outlineLevel="0" collapsed="false">
      <c r="A8" s="52" t="s">
        <v>332</v>
      </c>
      <c r="B8" s="53" t="s">
        <v>248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50" t="s">
        <v>333</v>
      </c>
    </row>
    <row r="9" customFormat="false" ht="15" hidden="false" customHeight="false" outlineLevel="0" collapsed="false">
      <c r="A9" s="52" t="s">
        <v>334</v>
      </c>
      <c r="B9" s="53" t="s">
        <v>248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50" t="s">
        <v>70</v>
      </c>
    </row>
    <row r="10" customFormat="false" ht="15" hidden="false" customHeight="false" outlineLevel="0" collapsed="false">
      <c r="A10" s="52" t="s">
        <v>335</v>
      </c>
      <c r="B10" s="53" t="s">
        <v>69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50" t="s">
        <v>336</v>
      </c>
    </row>
    <row r="11" customFormat="false" ht="15" hidden="false" customHeight="false" outlineLevel="0" collapsed="false">
      <c r="A11" s="52" t="s">
        <v>337</v>
      </c>
      <c r="B11" s="53" t="s">
        <v>69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50" t="s">
        <v>338</v>
      </c>
    </row>
    <row r="12" customFormat="false" ht="15" hidden="false" customHeight="false" outlineLevel="0" collapsed="false">
      <c r="A12" s="52" t="s">
        <v>339</v>
      </c>
      <c r="B12" s="52" t="s">
        <v>340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50" t="s">
        <v>341</v>
      </c>
    </row>
    <row r="13" customFormat="false" ht="15" hidden="false" customHeight="false" outlineLevel="0" collapsed="false">
      <c r="A13" s="53" t="s">
        <v>342</v>
      </c>
      <c r="B13" s="53" t="s">
        <v>73</v>
      </c>
      <c r="C13" s="69" t="n">
        <v>1</v>
      </c>
      <c r="D13" s="69" t="n">
        <v>1</v>
      </c>
      <c r="E13" s="69" t="n">
        <v>1</v>
      </c>
      <c r="F13" s="69" t="n">
        <v>1</v>
      </c>
      <c r="G13" s="69" t="n">
        <v>1</v>
      </c>
      <c r="H13" s="50" t="s">
        <v>343</v>
      </c>
    </row>
    <row r="14" customFormat="false" ht="15" hidden="false" customHeight="false" outlineLevel="0" collapsed="false">
      <c r="A14" s="52" t="s">
        <v>344</v>
      </c>
      <c r="B14" s="53" t="s">
        <v>73</v>
      </c>
      <c r="C14" s="69" t="n">
        <v>1</v>
      </c>
      <c r="D14" s="69" t="n">
        <v>1</v>
      </c>
      <c r="E14" s="69" t="n">
        <v>1</v>
      </c>
      <c r="F14" s="69" t="n">
        <v>1</v>
      </c>
      <c r="G14" s="69" t="n">
        <v>1</v>
      </c>
      <c r="H14" s="64" t="s">
        <v>345</v>
      </c>
    </row>
    <row r="16" customFormat="false" ht="15" hidden="false" customHeight="false" outlineLevel="0" collapsed="false">
      <c r="A16" s="59" t="s">
        <v>346</v>
      </c>
      <c r="B16" s="60"/>
      <c r="C16" s="60"/>
      <c r="D16" s="60"/>
      <c r="E16" s="60"/>
      <c r="F16" s="60"/>
      <c r="G16" s="60"/>
      <c r="H16" s="60"/>
    </row>
    <row r="17" customFormat="false" ht="15" hidden="false" customHeight="false" outlineLevel="0" collapsed="false">
      <c r="A17" s="53" t="s">
        <v>347</v>
      </c>
      <c r="B17" s="53" t="s">
        <v>73</v>
      </c>
      <c r="C17" s="67" t="n">
        <f aca="false">B5_W</f>
        <v>0</v>
      </c>
      <c r="D17" s="67" t="n">
        <f aca="false">B5_W</f>
        <v>0</v>
      </c>
      <c r="E17" s="67" t="n">
        <f aca="false">B5_W</f>
        <v>0</v>
      </c>
      <c r="F17" s="67" t="n">
        <f aca="false">B5_W</f>
        <v>0</v>
      </c>
      <c r="G17" s="67" t="n">
        <f aca="false">B5_W</f>
        <v>0</v>
      </c>
    </row>
    <row r="18" customFormat="false" ht="15" hidden="false" customHeight="false" outlineLevel="0" collapsed="false">
      <c r="A18" s="52" t="s">
        <v>348</v>
      </c>
      <c r="B18" s="52" t="s">
        <v>329</v>
      </c>
      <c r="C18" s="65" t="n">
        <f aca="false">C5*(1+B5_W*(INDEX(B5_SelT,1,1)-1))</f>
        <v>1</v>
      </c>
      <c r="D18" s="65" t="n">
        <f aca="false">D5*(1+B5_W*(INDEX(B5_SelT,1,2)-1))</f>
        <v>1</v>
      </c>
      <c r="E18" s="65" t="n">
        <f aca="false">E5*(1+B5_W*(INDEX(B5_SelT,1,3)-1))</f>
        <v>4</v>
      </c>
      <c r="F18" s="65" t="n">
        <f aca="false">F5*(1+B5_W*(INDEX(B5_SelT,1,4)-1))</f>
        <v>4</v>
      </c>
      <c r="G18" s="65" t="n">
        <f aca="false">G5*(1+B5_W*(INDEX(B5_SelT,1,5)-1))</f>
        <v>30</v>
      </c>
    </row>
    <row r="19" customFormat="false" ht="15" hidden="false" customHeight="false" outlineLevel="0" collapsed="false">
      <c r="A19" s="52" t="s">
        <v>349</v>
      </c>
      <c r="B19" s="53" t="s">
        <v>248</v>
      </c>
      <c r="C19" s="66" t="n">
        <f aca="false">C8*(1+B5_W*(INDEX(B5_SelH,1,1)-1))</f>
        <v>0</v>
      </c>
      <c r="D19" s="66" t="n">
        <f aca="false">D8*(1+B5_W*(INDEX(B5_SelH,1,2)-1))</f>
        <v>3000</v>
      </c>
      <c r="E19" s="66" t="n">
        <f aca="false">E8*(1+B5_W*(INDEX(B5_SelH,1,3)-1))</f>
        <v>400</v>
      </c>
      <c r="F19" s="66" t="n">
        <f aca="false">F8*(1+B5_W*(INDEX(B5_SelH,1,4)-1))</f>
        <v>400</v>
      </c>
      <c r="G19" s="66" t="n">
        <f aca="false">G8*(1+B5_W*(INDEX(B5_SelH,1,5)-1))</f>
        <v>600</v>
      </c>
    </row>
    <row r="20" customFormat="false" ht="15" hidden="false" customHeight="false" outlineLevel="0" collapsed="false">
      <c r="A20" s="52" t="s">
        <v>350</v>
      </c>
      <c r="B20" s="53" t="s">
        <v>69</v>
      </c>
      <c r="C20" s="76" t="n">
        <f aca="false">C10+B5_W*(INDEX(B5_Selrho,1,1)-C10)</f>
        <v>0</v>
      </c>
      <c r="D20" s="76" t="n">
        <f aca="false">D10+B5_W*(INDEX(B5_Selrho,1,2)-D10)</f>
        <v>0</v>
      </c>
      <c r="E20" s="76" t="n">
        <f aca="false">E10+B5_W*(INDEX(B5_Selrho,1,3)-E10)</f>
        <v>0</v>
      </c>
      <c r="F20" s="76" t="n">
        <f aca="false">F10+B5_W*(INDEX(B5_Selrho,1,4)-F10)</f>
        <v>0</v>
      </c>
      <c r="G20" s="76" t="n">
        <f aca="false">G10+B5_W*(INDEX(B5_Selrho,1,5)-G10)</f>
        <v>0</v>
      </c>
    </row>
    <row r="21" customFormat="false" ht="15" hidden="false" customHeight="false" outlineLevel="0" collapsed="false">
      <c r="A21" s="52" t="s">
        <v>351</v>
      </c>
      <c r="B21" s="53" t="s">
        <v>69</v>
      </c>
      <c r="C21" s="76" t="n">
        <f aca="false">MIN(1,MAX(0,C11+B5_W*INDEX(B5_SelDChi,1,1)))</f>
        <v>0.5</v>
      </c>
      <c r="D21" s="76" t="n">
        <f aca="false">MIN(1,MAX(0,D11+B5_W*INDEX(B5_SelDChi,1,2)))</f>
        <v>0.5</v>
      </c>
      <c r="E21" s="76" t="n">
        <f aca="false">MIN(1,MAX(0,E11+B5_W*INDEX(B5_SelDChi,1,3)))</f>
        <v>0.9</v>
      </c>
      <c r="F21" s="76" t="n">
        <f aca="false">MIN(1,MAX(0,F11+B5_W*INDEX(B5_SelDChi,1,4)))</f>
        <v>0.9</v>
      </c>
      <c r="G21" s="76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352</v>
      </c>
      <c r="B22" s="52" t="s">
        <v>340</v>
      </c>
      <c r="C22" s="77" t="n">
        <f aca="false">C12+B5_W*INDEX(B5_SelDM,1,1)</f>
        <v>0</v>
      </c>
      <c r="D22" s="77" t="n">
        <f aca="false">D12+B5_W*INDEX(B5_SelDM,1,2)</f>
        <v>0</v>
      </c>
      <c r="E22" s="77" t="n">
        <f aca="false">E12+B5_W*INDEX(B5_SelDM,1,3)</f>
        <v>0</v>
      </c>
      <c r="F22" s="77" t="n">
        <f aca="false">F12+B5_W*INDEX(B5_SelDM,1,4)</f>
        <v>3</v>
      </c>
      <c r="G22" s="77" t="n">
        <f aca="false">G12+B5_W*INDEX(B5_SelDM,1,5)</f>
        <v>0</v>
      </c>
    </row>
    <row r="23" customFormat="false" ht="15" hidden="false" customHeight="false" outlineLevel="0" collapsed="false">
      <c r="A23" s="52" t="s">
        <v>353</v>
      </c>
      <c r="B23" s="53" t="s">
        <v>73</v>
      </c>
      <c r="C23" s="67" t="n">
        <f aca="false">C14+B5_W*(INDEX(B5_SelC,1,1)-C14)</f>
        <v>1</v>
      </c>
      <c r="D23" s="67" t="n">
        <f aca="false">D14+B5_W*(INDEX(B5_SelC,1,2)-D14)</f>
        <v>1</v>
      </c>
      <c r="E23" s="67" t="n">
        <f aca="false">E14+B5_W*(INDEX(B5_SelC,1,3)-E14)</f>
        <v>1</v>
      </c>
      <c r="F23" s="67" t="n">
        <f aca="false">F14+B5_W*(INDEX(B5_SelC,1,4)-F14)</f>
        <v>1</v>
      </c>
      <c r="G23" s="67" t="n">
        <f aca="false">G14+B5_W*(INDEX(B5_SelC,1,5)-G14)</f>
        <v>1</v>
      </c>
    </row>
    <row r="25" customFormat="false" ht="15" hidden="false" customHeight="false" outlineLevel="0" collapsed="false">
      <c r="A25" s="59" t="s">
        <v>354</v>
      </c>
      <c r="B25" s="60"/>
      <c r="C25" s="60"/>
      <c r="D25" s="60"/>
      <c r="E25" s="60"/>
      <c r="F25" s="60"/>
      <c r="G25" s="60"/>
      <c r="H25" s="60"/>
    </row>
    <row r="26" customFormat="false" ht="15" hidden="false" customHeight="false" outlineLevel="0" collapsed="false">
      <c r="A26" s="52" t="s">
        <v>355</v>
      </c>
      <c r="B26" s="53" t="s">
        <v>248</v>
      </c>
      <c r="C26" s="66" t="n">
        <f aca="false">C7+C9+C20*C19</f>
        <v>1000</v>
      </c>
      <c r="D26" s="66" t="n">
        <f aca="false">D7+D9+D20*D19</f>
        <v>1200</v>
      </c>
      <c r="E26" s="66" t="n">
        <f aca="false">E7+E9+E20*E19</f>
        <v>1400</v>
      </c>
      <c r="F26" s="66" t="n">
        <f aca="false">F7+F9+F20*F19</f>
        <v>1400</v>
      </c>
      <c r="G26" s="66" t="n">
        <f aca="false">G7+G9+G20*G19</f>
        <v>2400</v>
      </c>
    </row>
    <row r="27" customFormat="false" ht="15" hidden="false" customHeight="false" outlineLevel="0" collapsed="false">
      <c r="A27" s="52" t="s">
        <v>356</v>
      </c>
      <c r="B27" s="53" t="s">
        <v>248</v>
      </c>
      <c r="C27" s="66" t="n">
        <f aca="false">C18*(C6+C7)+C23*C26*C18*(C18-1)/2</f>
        <v>2500</v>
      </c>
      <c r="D27" s="66" t="n">
        <f aca="false">D18*(D6+D7)+D23*D26*D18*(D18-1)/2</f>
        <v>2500</v>
      </c>
      <c r="E27" s="66" t="n">
        <f aca="false">E18*(E6+E7)+E23*E26*E18*(E18-1)/2</f>
        <v>25200</v>
      </c>
      <c r="F27" s="66" t="n">
        <f aca="false">F18*(F6+F7)+F23*F26*F18*(F18-1)/2</f>
        <v>25200</v>
      </c>
      <c r="G27" s="66" t="n">
        <f aca="false">G18*(G6+G7)+G23*G26*G18*(G18-1)/2</f>
        <v>1464000</v>
      </c>
    </row>
    <row r="28" customFormat="false" ht="15" hidden="false" customHeight="false" outlineLevel="0" collapsed="false">
      <c r="A28" s="52" t="s">
        <v>357</v>
      </c>
      <c r="B28" s="53" t="s">
        <v>248</v>
      </c>
      <c r="C28" s="66" t="n">
        <f aca="false">C21*(C18*C6+C23*C26*C18*(C18-1)/2)</f>
        <v>1000</v>
      </c>
      <c r="D28" s="66" t="n">
        <f aca="false">D21*(D18*D6+D23*D26*D18*(D18-1)/2)</f>
        <v>1000</v>
      </c>
      <c r="E28" s="66" t="n">
        <f aca="false">E21*(E18*E6+E23*E26*E18*(E18-1)/2)</f>
        <v>18360</v>
      </c>
      <c r="F28" s="66" t="n">
        <f aca="false">F21*(F18*F6+F23*F26*F18*(F18-1)/2)</f>
        <v>18360</v>
      </c>
      <c r="G28" s="66" t="n">
        <f aca="false">G21*(G18*G6+G23*G26*G18*(G18-1)/2)</f>
        <v>1263600</v>
      </c>
    </row>
    <row r="29" customFormat="false" ht="15" hidden="false" customHeight="false" outlineLevel="0" collapsed="false">
      <c r="A29" s="52" t="s">
        <v>358</v>
      </c>
      <c r="B29" s="53" t="s">
        <v>248</v>
      </c>
      <c r="C29" s="66" t="n">
        <f aca="false">C27-C28</f>
        <v>1500</v>
      </c>
      <c r="D29" s="66" t="n">
        <f aca="false">D27-D28</f>
        <v>1500</v>
      </c>
      <c r="E29" s="66" t="n">
        <f aca="false">E27-E28</f>
        <v>6840</v>
      </c>
      <c r="F29" s="66" t="n">
        <f aca="false">F27-F28</f>
        <v>6840</v>
      </c>
      <c r="G29" s="66" t="n">
        <f aca="false">G27-G28</f>
        <v>200400</v>
      </c>
    </row>
    <row r="30" customFormat="false" ht="15" hidden="false" customHeight="false" outlineLevel="0" collapsed="false">
      <c r="A30" s="52" t="s">
        <v>359</v>
      </c>
      <c r="B30" s="53" t="s">
        <v>248</v>
      </c>
      <c r="C30" s="66" t="n">
        <f aca="false">C18*(C19+C9)</f>
        <v>500</v>
      </c>
      <c r="D30" s="66" t="n">
        <f aca="false">D18*(D19+D9)</f>
        <v>3700</v>
      </c>
      <c r="E30" s="66" t="n">
        <f aca="false">E18*(E19+E9)</f>
        <v>2400</v>
      </c>
      <c r="F30" s="66" t="n">
        <f aca="false">F18*(F19+F9)</f>
        <v>2400</v>
      </c>
      <c r="G30" s="66" t="n">
        <f aca="false">G18*(G19+G9)</f>
        <v>30000</v>
      </c>
    </row>
    <row r="31" customFormat="false" ht="15" hidden="false" customHeight="false" outlineLevel="0" collapsed="false">
      <c r="A31" s="52" t="s">
        <v>360</v>
      </c>
      <c r="B31" s="53" t="s">
        <v>73</v>
      </c>
      <c r="C31" s="67" t="n">
        <f aca="false">(1+C22)*C13</f>
        <v>1</v>
      </c>
      <c r="D31" s="67" t="n">
        <f aca="false">(1+D22)*D13</f>
        <v>1</v>
      </c>
      <c r="E31" s="67" t="n">
        <f aca="false">(1+E22)*E13</f>
        <v>1</v>
      </c>
      <c r="F31" s="67" t="n">
        <f aca="false">(1+F22)*F13</f>
        <v>4</v>
      </c>
      <c r="G31" s="67" t="n">
        <f aca="false">(1+G22)*G13</f>
        <v>1</v>
      </c>
    </row>
    <row r="32" customFormat="false" ht="15" hidden="false" customHeight="false" outlineLevel="0" collapsed="false">
      <c r="A32" s="52" t="s">
        <v>361</v>
      </c>
      <c r="B32" s="53" t="s">
        <v>248</v>
      </c>
      <c r="C32" s="66" t="n">
        <f aca="false">C29*C31</f>
        <v>1500</v>
      </c>
      <c r="D32" s="66" t="n">
        <f aca="false">D29*D31</f>
        <v>1500</v>
      </c>
      <c r="E32" s="66" t="n">
        <f aca="false">E29*E31</f>
        <v>6840</v>
      </c>
      <c r="F32" s="66" t="n">
        <f aca="false">F29*F31</f>
        <v>27360</v>
      </c>
      <c r="G32" s="66" t="n">
        <f aca="false">G29*G31</f>
        <v>200400</v>
      </c>
    </row>
    <row r="33" customFormat="false" ht="15" hidden="false" customHeight="false" outlineLevel="0" collapsed="false">
      <c r="A33" s="52" t="s">
        <v>362</v>
      </c>
      <c r="B33" s="53" t="s">
        <v>248</v>
      </c>
      <c r="C33" s="66" t="n">
        <f aca="false">C28*C31</f>
        <v>1000</v>
      </c>
      <c r="D33" s="66" t="n">
        <f aca="false">D28*D31</f>
        <v>1000</v>
      </c>
      <c r="E33" s="66" t="n">
        <f aca="false">E28*E31</f>
        <v>18360</v>
      </c>
      <c r="F33" s="66" t="n">
        <f aca="false">F28*F31</f>
        <v>73440</v>
      </c>
      <c r="G33" s="66" t="n">
        <f aca="false">G28*G31</f>
        <v>1263600</v>
      </c>
    </row>
    <row r="34" customFormat="false" ht="15" hidden="false" customHeight="false" outlineLevel="0" collapsed="false">
      <c r="A34" s="52" t="s">
        <v>363</v>
      </c>
      <c r="B34" s="53" t="s">
        <v>248</v>
      </c>
      <c r="C34" s="66" t="n">
        <f aca="false">C30*C31</f>
        <v>500</v>
      </c>
      <c r="D34" s="66" t="n">
        <f aca="false">D30*D31</f>
        <v>3700</v>
      </c>
      <c r="E34" s="66" t="n">
        <f aca="false">E30*E31</f>
        <v>2400</v>
      </c>
      <c r="F34" s="66" t="n">
        <f aca="false">F30*F31</f>
        <v>9600</v>
      </c>
      <c r="G34" s="66" t="n">
        <f aca="false">G30*G31</f>
        <v>30000</v>
      </c>
    </row>
    <row r="35" customFormat="false" ht="15" hidden="false" customHeight="false" outlineLevel="0" collapsed="false">
      <c r="A35" s="52" t="s">
        <v>364</v>
      </c>
      <c r="B35" s="53" t="s">
        <v>248</v>
      </c>
      <c r="C35" s="61" t="n">
        <f aca="false">C32+C33+C34</f>
        <v>3000</v>
      </c>
      <c r="D35" s="61" t="n">
        <f aca="false">D32+D33+D34</f>
        <v>6200</v>
      </c>
      <c r="E35" s="61" t="n">
        <f aca="false">E32+E33+E34</f>
        <v>27600</v>
      </c>
      <c r="F35" s="61" t="n">
        <f aca="false">F32+F33+F34</f>
        <v>110400</v>
      </c>
      <c r="G35" s="61" t="n">
        <f aca="false">G32+G33+G34</f>
        <v>1494000</v>
      </c>
    </row>
    <row r="36" customFormat="false" ht="26.85" hidden="false" customHeight="false" outlineLevel="0" collapsed="false">
      <c r="A36" s="53" t="s">
        <v>319</v>
      </c>
      <c r="B36" s="53" t="s">
        <v>248</v>
      </c>
      <c r="C36" s="66" t="n">
        <f aca="false">C6+C7+(C18-1)/2*C23*C26+(C19+C9)/2</f>
        <v>2750</v>
      </c>
      <c r="D36" s="66" t="n">
        <f aca="false">D6+D7+(D18-1)/2*D23*D26+(D19+D9)/2</f>
        <v>4350</v>
      </c>
      <c r="E36" s="66" t="n">
        <f aca="false">E6+E7+(E18-1)/2*E23*E26+(E19+E9)/2</f>
        <v>6600</v>
      </c>
      <c r="F36" s="66" t="n">
        <f aca="false">F6+F7+(F18-1)/2*F23*F26+(F19+F9)/2</f>
        <v>6600</v>
      </c>
      <c r="G36" s="66" t="n">
        <f aca="false">G6+G7+(G18-1)/2*G23*G26+(G19+G9)/2</f>
        <v>49300</v>
      </c>
      <c r="H36" s="78" t="s">
        <v>365</v>
      </c>
    </row>
    <row r="37" customFormat="false" ht="15" hidden="false" customHeight="false" outlineLevel="0" collapsed="false">
      <c r="A37" s="52" t="s">
        <v>366</v>
      </c>
      <c r="B37" s="53" t="s">
        <v>69</v>
      </c>
      <c r="C37" s="76" t="n">
        <f aca="false">IF(C19+C9&gt;0,C19/(C19+C9),0)</f>
        <v>0</v>
      </c>
      <c r="D37" s="76" t="n">
        <f aca="false">IF(D19+D9&gt;0,D19/(D19+D9),0)</f>
        <v>0.810810810810811</v>
      </c>
      <c r="E37" s="76" t="n">
        <f aca="false">IF(E19+E9&gt;0,E19/(E19+E9),0)</f>
        <v>0.666666666666667</v>
      </c>
      <c r="F37" s="76" t="n">
        <f aca="false">IF(F19+F9&gt;0,F19/(F19+F9),0)</f>
        <v>0.666666666666667</v>
      </c>
      <c r="G37" s="76" t="n">
        <f aca="false">IF(G19+G9&gt;0,G19/(G19+G9),0)</f>
        <v>0.6</v>
      </c>
    </row>
    <row r="38" customFormat="false" ht="15" hidden="false" customHeight="false" outlineLevel="0" collapsed="false">
      <c r="A38" s="52" t="s">
        <v>367</v>
      </c>
      <c r="B38" s="53" t="s">
        <v>73</v>
      </c>
      <c r="C38" s="79" t="n">
        <f aca="false">C35/$C$35</f>
        <v>1</v>
      </c>
      <c r="D38" s="79" t="n">
        <f aca="false">D35/$C$35</f>
        <v>2.06666666666667</v>
      </c>
      <c r="E38" s="79" t="n">
        <f aca="false">E35/$C$35</f>
        <v>9.2</v>
      </c>
      <c r="F38" s="79" t="n">
        <f aca="false">F35/$C$35</f>
        <v>36.8</v>
      </c>
      <c r="G38" s="79" t="n">
        <f aca="false">G35/$C$35</f>
        <v>498</v>
      </c>
    </row>
    <row r="39" customFormat="false" ht="15" hidden="false" customHeight="false" outlineLevel="0" collapsed="false">
      <c r="A39" s="52" t="s">
        <v>368</v>
      </c>
      <c r="B39" s="53" t="s">
        <v>73</v>
      </c>
      <c r="C39" s="77" t="n">
        <f aca="false">C35/$D$35</f>
        <v>0.483870967741936</v>
      </c>
      <c r="D39" s="77" t="n">
        <f aca="false">D35/$D$35</f>
        <v>1</v>
      </c>
      <c r="E39" s="77" t="n">
        <f aca="false">E35/$D$35</f>
        <v>4.45161290322581</v>
      </c>
      <c r="F39" s="77" t="n">
        <f aca="false">F35/$D$35</f>
        <v>17.8064516129032</v>
      </c>
      <c r="G39" s="77" t="n">
        <f aca="false">G35/$D$35</f>
        <v>240.967741935484</v>
      </c>
    </row>
    <row r="40" customFormat="false" ht="39.55" hidden="false" customHeight="false" outlineLevel="0" collapsed="false">
      <c r="A40" s="52" t="s">
        <v>369</v>
      </c>
      <c r="B40" s="53" t="s">
        <v>73</v>
      </c>
      <c r="C40" s="58" t="n">
        <v>1</v>
      </c>
      <c r="E40" s="58" t="n">
        <v>4</v>
      </c>
      <c r="F40" s="58" t="n">
        <v>15</v>
      </c>
      <c r="H40" s="78" t="s">
        <v>370</v>
      </c>
    </row>
    <row r="42" customFormat="false" ht="15" hidden="false" customHeight="false" outlineLevel="0" collapsed="false">
      <c r="A42" s="59" t="s">
        <v>371</v>
      </c>
      <c r="B42" s="60"/>
      <c r="C42" s="60"/>
      <c r="D42" s="60"/>
      <c r="E42" s="60"/>
      <c r="F42" s="60"/>
      <c r="G42" s="60"/>
      <c r="H42" s="60"/>
    </row>
    <row r="43" customFormat="false" ht="15" hidden="false" customHeight="false" outlineLevel="0" collapsed="false">
      <c r="A43" s="53" t="s">
        <v>372</v>
      </c>
      <c r="B43" s="53" t="s">
        <v>373</v>
      </c>
      <c r="C43" s="80" t="n">
        <f aca="false">IF(ISNUMBER(Unit_Cost!M21),(C32*Unit_Cost!M19+C33*Unit_Cost!M20+C34*Unit_Cost!M21)/1000000,"SLO 不可達")</f>
        <v>9.55395562419049E-005</v>
      </c>
      <c r="D43" s="80" t="n">
        <f aca="false">IF(ISNUMBER(Unit_Cost!M21),(D32*Unit_Cost!M19+D33*Unit_Cost!M20+D34*Unit_Cost!M21)/1000000,"SLO 不可達")</f>
        <v>0.000630748313732041</v>
      </c>
      <c r="E43" s="80" t="n">
        <f aca="false">IF(ISNUMBER(Unit_Cost!M21),(E32*Unit_Cost!M19+E33*Unit_Cost!M20+E34*Unit_Cost!M21)/1000000,"SLO 不可達")</f>
        <v>0.000456572963869645</v>
      </c>
      <c r="F43" s="80" t="n">
        <f aca="false">IF(ISNUMBER(Unit_Cost!M21),(F32*Unit_Cost!M19+F33*Unit_Cost!M20+F34*Unit_Cost!M21)/1000000,"SLO 不可達")</f>
        <v>0.00182629185547858</v>
      </c>
      <c r="G43" s="80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374</v>
      </c>
      <c r="B44" s="53" t="s">
        <v>373</v>
      </c>
      <c r="C44" s="81" t="n">
        <f aca="false">IF(ISNUMBER(Unit_Cost!M34),(C32*Unit_Cost!M32+C33*Unit_Cost!M33+C34*Unit_Cost!M34)/1000000,"SLO 不可達")</f>
        <v>0.000310485150780053</v>
      </c>
      <c r="D44" s="81" t="n">
        <f aca="false">IF(ISNUMBER(Unit_Cost!M34),(D32*Unit_Cost!M32+D33*Unit_Cost!M33+D34*Unit_Cost!M34)/1000000,"SLO 不可達")</f>
        <v>0.00203088886985243</v>
      </c>
      <c r="E44" s="81" t="n">
        <f aca="false">IF(ISNUMBER(Unit_Cost!M34),(E32*Unit_Cost!M32+E33*Unit_Cost!M33+E34*Unit_Cost!M34)/1000000,"SLO 不可達")</f>
        <v>0.0014815222595581</v>
      </c>
      <c r="F44" s="81" t="n">
        <f aca="false">IF(ISNUMBER(Unit_Cost!M34),(F32*Unit_Cost!M32+F33*Unit_Cost!M33+F34*Unit_Cost!M34)/1000000,"SLO 不可達")</f>
        <v>0.0059260890382324</v>
      </c>
      <c r="G44" s="81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375</v>
      </c>
      <c r="B45" s="53" t="s">
        <v>373</v>
      </c>
      <c r="C45" s="80" t="n">
        <f aca="false">IF(ISNUMBER(Unit_Cost!M47),(C32*Unit_Cost!M45+C33*Unit_Cost!M46+C34*Unit_Cost!M47)/1000000,"SLO 不可達")</f>
        <v>0.00152256700312965</v>
      </c>
      <c r="D45" s="80" t="n">
        <f aca="false">IF(ISNUMBER(Unit_Cost!M47),(D32*Unit_Cost!M45+D33*Unit_Cost!M46+D34*Unit_Cost!M47)/1000000,"SLO 不可達")</f>
        <v>0.0103794318701725</v>
      </c>
      <c r="E45" s="80" t="n">
        <f aca="false">IF(ISNUMBER(Unit_Cost!M47),(E32*Unit_Cost!M45+E33*Unit_Cost!M46+E34*Unit_Cost!M47)/1000000,"SLO 不可達")</f>
        <v>0.00729239543313206</v>
      </c>
      <c r="F45" s="80" t="n">
        <f aca="false">IF(ISNUMBER(Unit_Cost!M47),(F32*Unit_Cost!M45+F33*Unit_Cost!M46+F34*Unit_Cost!M47)/1000000,"SLO 不可達")</f>
        <v>0.0291695817325282</v>
      </c>
      <c r="G45" s="80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376</v>
      </c>
      <c r="B46" s="53" t="s">
        <v>373</v>
      </c>
      <c r="C46" s="80" t="n">
        <f aca="false">IF(ISNUMBER(Unit_Cost!J21),(C32*Unit_Cost!J19+C33*Unit_Cost!J20+C34*Unit_Cost!J21)/1000000,"SLO 不可達")</f>
        <v>0.000149289975484186</v>
      </c>
      <c r="D46" s="80" t="n">
        <f aca="false">IF(ISNUMBER(Unit_Cost!J21),(D32*Unit_Cost!J19+D33*Unit_Cost!J20+D34*Unit_Cost!J21)/1000000,"SLO 不可達")</f>
        <v>0.0009923933157636</v>
      </c>
      <c r="E46" s="80" t="n">
        <f aca="false">IF(ISNUMBER(Unit_Cost!J21),(E32*Unit_Cost!J19+E33*Unit_Cost!J20+E34*Unit_Cost!J21)/1000000,"SLO 不可達")</f>
        <v>0.000712912141984002</v>
      </c>
      <c r="F46" s="80" t="n">
        <f aca="false">IF(ISNUMBER(Unit_Cost!J21),(F32*Unit_Cost!J19+F33*Unit_Cost!J20+F34*Unit_Cost!J21)/1000000,"SLO 不可達")</f>
        <v>0.00285164856793601</v>
      </c>
      <c r="G46" s="80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377</v>
      </c>
      <c r="B47" s="53" t="s">
        <v>373</v>
      </c>
      <c r="C47" s="81" t="n">
        <f aca="false">IF(ISNUMBER(Unit_Cost!J34),(C32*Unit_Cost!J32+C33*Unit_Cost!J33+C34*Unit_Cost!J34)/1000000,"SLO 不可達")</f>
        <v>0.000525667533609701</v>
      </c>
      <c r="D47" s="81" t="n">
        <f aca="false">IF(ISNUMBER(Unit_Cost!J34),(D32*Unit_Cost!J32+D33*Unit_Cost!J33+D34*Unit_Cost!J34)/1000000,"SLO 不可達")</f>
        <v>0.00349624721584974</v>
      </c>
      <c r="E47" s="81" t="n">
        <f aca="false">IF(ISNUMBER(Unit_Cost!J34),(E32*Unit_Cost!J32+E33*Unit_Cost!J33+E34*Unit_Cost!J34)/1000000,"SLO 不可達")</f>
        <v>0.00250919748644781</v>
      </c>
      <c r="F47" s="81" t="n">
        <f aca="false">IF(ISNUMBER(Unit_Cost!J34),(F32*Unit_Cost!J32+F33*Unit_Cost!J33+F34*Unit_Cost!J34)/1000000,"SLO 不可達")</f>
        <v>0.0100367899457913</v>
      </c>
      <c r="G47" s="81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378</v>
      </c>
      <c r="B48" s="53" t="s">
        <v>373</v>
      </c>
      <c r="C48" s="80" t="n">
        <f aca="false">IF(ISNUMBER(Unit_Cost!J47),(C32*Unit_Cost!J45+C33*Unit_Cost!J46+C34*Unit_Cost!J47)/1000000,"SLO 不可達")</f>
        <v>0.00355817248424819</v>
      </c>
      <c r="D48" s="80" t="n">
        <f aca="false">IF(ISNUMBER(Unit_Cost!J47),(D32*Unit_Cost!J45+D33*Unit_Cost!J46+D34*Unit_Cost!J47)/1000000,"SLO 不可達")</f>
        <v>0.0250255347788165</v>
      </c>
      <c r="E48" s="80" t="n">
        <f aca="false">IF(ISNUMBER(Unit_Cost!J47),(E32*Unit_Cost!J45+E33*Unit_Cost!J46+E34*Unit_Cost!J47)/1000000,"SLO 不可達")</f>
        <v>0.0170412866616244</v>
      </c>
      <c r="F48" s="80" t="n">
        <f aca="false">IF(ISNUMBER(Unit_Cost!J47),(F32*Unit_Cost!J45+F33*Unit_Cost!J46+F34*Unit_Cost!J47)/1000000,"SLO 不可達")</f>
        <v>0.0681651466464974</v>
      </c>
      <c r="G48" s="80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9" t="s">
        <v>379</v>
      </c>
    </row>
    <row r="2" customFormat="false" ht="15" hidden="false" customHeight="false" outlineLevel="0" collapsed="false">
      <c r="A2" s="64" t="s">
        <v>380</v>
      </c>
    </row>
    <row r="4" customFormat="false" ht="15" hidden="false" customHeight="false" outlineLevel="0" collapsed="false">
      <c r="A4" s="82" t="s">
        <v>381</v>
      </c>
      <c r="B4" s="60"/>
      <c r="C4" s="60"/>
      <c r="D4" s="60"/>
      <c r="E4" s="60"/>
      <c r="F4" s="60"/>
      <c r="G4" s="60"/>
      <c r="H4" s="60"/>
      <c r="I4" s="60"/>
      <c r="J4" s="60"/>
    </row>
    <row r="5" customFormat="false" ht="15" hidden="false" customHeight="false" outlineLevel="0" collapsed="false">
      <c r="A5" s="53" t="s">
        <v>382</v>
      </c>
      <c r="B5" s="53" t="s">
        <v>69</v>
      </c>
      <c r="C5" s="57" t="n">
        <v>0.3</v>
      </c>
      <c r="J5" s="50" t="s">
        <v>383</v>
      </c>
    </row>
    <row r="7" customFormat="false" ht="15" hidden="false" customHeight="false" outlineLevel="0" collapsed="false">
      <c r="A7" s="82" t="s">
        <v>384</v>
      </c>
      <c r="B7" s="60"/>
      <c r="C7" s="60"/>
      <c r="D7" s="60"/>
      <c r="E7" s="60"/>
      <c r="F7" s="60"/>
      <c r="G7" s="60"/>
      <c r="H7" s="60"/>
      <c r="I7" s="60"/>
      <c r="J7" s="60"/>
    </row>
    <row r="8" customFormat="false" ht="15" hidden="false" customHeight="false" outlineLevel="0" collapsed="false">
      <c r="A8" s="10" t="s">
        <v>310</v>
      </c>
      <c r="B8" s="10" t="s">
        <v>53</v>
      </c>
    </row>
    <row r="9" customFormat="false" ht="15" hidden="false" customHeight="false" outlineLevel="0" collapsed="false">
      <c r="A9" s="52" t="s">
        <v>2</v>
      </c>
      <c r="B9" s="52"/>
      <c r="C9" s="10" t="s">
        <v>385</v>
      </c>
      <c r="D9" s="10" t="s">
        <v>386</v>
      </c>
      <c r="E9" s="10" t="s">
        <v>387</v>
      </c>
      <c r="F9" s="10" t="s">
        <v>388</v>
      </c>
      <c r="G9" s="10" t="s">
        <v>388</v>
      </c>
      <c r="H9" s="10" t="s">
        <v>389</v>
      </c>
      <c r="I9" s="10" t="s">
        <v>389</v>
      </c>
    </row>
    <row r="10" customFormat="false" ht="15" hidden="false" customHeight="false" outlineLevel="0" collapsed="false">
      <c r="A10" s="52" t="s">
        <v>390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134</v>
      </c>
      <c r="B11" s="52"/>
      <c r="C11" s="83" t="str">
        <f aca="false">INDEX(Spec_Rack!$C$4:$G$4,C10)</f>
        <v>GB300 NVL72</v>
      </c>
      <c r="D11" s="83" t="str">
        <f aca="false">INDEX(Spec_Rack!$C$4:$G$4,D10)</f>
        <v>GB300 NVL72</v>
      </c>
      <c r="E11" s="83" t="str">
        <f aca="false">INDEX(Spec_Rack!$C$4:$G$4,E10)</f>
        <v>GB300 NVL72</v>
      </c>
      <c r="F11" s="83" t="str">
        <f aca="false">INDEX(Spec_Rack!$C$4:$G$4,F10)</f>
        <v>GB300 NVL72</v>
      </c>
      <c r="G11" s="83" t="str">
        <f aca="false">INDEX(Spec_Rack!$C$4:$G$4,G10)</f>
        <v>GB200 NVL72</v>
      </c>
      <c r="H11" s="83" t="str">
        <f aca="false">INDEX(Spec_Rack!$C$4:$G$4,H10)</f>
        <v>GB200 NVL72</v>
      </c>
      <c r="I11" s="83" t="str">
        <f aca="false">INDEX(Spec_Rack!$C$4:$G$4,I10)</f>
        <v>GB300 NVL72</v>
      </c>
    </row>
    <row r="12" customFormat="false" ht="30" hidden="false" customHeight="true" outlineLevel="0" collapsed="false">
      <c r="A12" s="52" t="s">
        <v>391</v>
      </c>
      <c r="B12" s="52"/>
      <c r="C12" s="78" t="s">
        <v>392</v>
      </c>
      <c r="D12" s="78" t="s">
        <v>392</v>
      </c>
      <c r="E12" s="78" t="s">
        <v>393</v>
      </c>
      <c r="F12" s="78" t="s">
        <v>394</v>
      </c>
      <c r="G12" s="78" t="s">
        <v>394</v>
      </c>
      <c r="H12" s="78" t="s">
        <v>395</v>
      </c>
      <c r="I12" s="78" t="s">
        <v>395</v>
      </c>
    </row>
    <row r="13" customFormat="false" ht="15" hidden="false" customHeight="false" outlineLevel="0" collapsed="false">
      <c r="A13" s="53" t="s">
        <v>396</v>
      </c>
      <c r="B13" s="52"/>
      <c r="C13" s="84" t="n">
        <f aca="false">SRC_PERF_009_MTP</f>
        <v>1</v>
      </c>
      <c r="D13" s="84" t="n">
        <f aca="false">SRC_PERF_010_MTP</f>
        <v>1</v>
      </c>
      <c r="E13" s="84" t="n">
        <f aca="false">SRC_PERF_004_MTP</f>
        <v>1</v>
      </c>
      <c r="F13" s="84" t="n">
        <f aca="false">SRC_PERF_001_MTP</f>
        <v>0</v>
      </c>
      <c r="G13" s="84" t="n">
        <f aca="false">SRC_PERF_002_MTP</f>
        <v>0</v>
      </c>
      <c r="H13" s="84" t="n">
        <f aca="false">SRC_PERF_014_MTP</f>
        <v>1</v>
      </c>
      <c r="I13" s="84" t="n">
        <f aca="false">SRC_PERF_015_MTP</f>
        <v>1</v>
      </c>
    </row>
    <row r="14" customFormat="false" ht="15" hidden="false" customHeight="false" outlineLevel="0" collapsed="false">
      <c r="A14" s="52" t="s">
        <v>397</v>
      </c>
      <c r="B14" s="53" t="s">
        <v>312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398</v>
      </c>
      <c r="B15" s="53" t="s">
        <v>248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399</v>
      </c>
      <c r="B16" s="53" t="s">
        <v>248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400</v>
      </c>
      <c r="B17" s="53" t="s">
        <v>312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401</v>
      </c>
      <c r="B18" s="52"/>
      <c r="C18" s="50" t="s">
        <v>402</v>
      </c>
      <c r="D18" s="50" t="s">
        <v>402</v>
      </c>
      <c r="E18" s="50" t="s">
        <v>403</v>
      </c>
      <c r="F18" s="50" t="s">
        <v>404</v>
      </c>
      <c r="G18" s="50" t="s">
        <v>404</v>
      </c>
      <c r="H18" s="50" t="s">
        <v>405</v>
      </c>
      <c r="I18" s="50" t="s">
        <v>405</v>
      </c>
    </row>
    <row r="19" customFormat="false" ht="26.85" hidden="false" customHeight="false" outlineLevel="0" collapsed="false">
      <c r="A19" s="52" t="s">
        <v>406</v>
      </c>
      <c r="B19" s="52"/>
      <c r="C19" s="78" t="s">
        <v>407</v>
      </c>
      <c r="D19" s="78" t="s">
        <v>407</v>
      </c>
      <c r="E19" s="78" t="s">
        <v>407</v>
      </c>
      <c r="F19" s="78" t="s">
        <v>407</v>
      </c>
      <c r="G19" s="78" t="s">
        <v>407</v>
      </c>
      <c r="H19" s="78" t="s">
        <v>407</v>
      </c>
      <c r="I19" s="78" t="s">
        <v>407</v>
      </c>
      <c r="J19" s="85" t="s">
        <v>408</v>
      </c>
    </row>
    <row r="20" customFormat="false" ht="30" hidden="false" customHeight="true" outlineLevel="0" collapsed="false">
      <c r="A20" s="52" t="s">
        <v>409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2" t="s">
        <v>410</v>
      </c>
      <c r="B21" s="52"/>
      <c r="C21" s="85" t="s">
        <v>411</v>
      </c>
      <c r="D21" s="85" t="s">
        <v>411</v>
      </c>
      <c r="E21" s="85" t="s">
        <v>411</v>
      </c>
      <c r="F21" s="85" t="s">
        <v>411</v>
      </c>
      <c r="G21" s="85" t="s">
        <v>411</v>
      </c>
      <c r="H21" s="85" t="s">
        <v>411</v>
      </c>
      <c r="I21" s="85" t="s">
        <v>411</v>
      </c>
    </row>
    <row r="22" customFormat="false" ht="15" hidden="false" customHeight="false" outlineLevel="0" collapsed="false">
      <c r="A22" s="82" t="s">
        <v>412</v>
      </c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false" outlineLevel="0" collapsed="false">
      <c r="A23" s="52" t="s">
        <v>413</v>
      </c>
      <c r="B23" s="53" t="s">
        <v>414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415</v>
      </c>
      <c r="B24" s="53" t="s">
        <v>273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416</v>
      </c>
      <c r="B25" s="53" t="s">
        <v>417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418</v>
      </c>
      <c r="B26" s="53" t="s">
        <v>417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419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420</v>
      </c>
      <c r="B28" s="53" t="s">
        <v>225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421</v>
      </c>
      <c r="B29" s="53" t="s">
        <v>225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228</v>
      </c>
      <c r="B30" s="53" t="s">
        <v>225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230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233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422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423</v>
      </c>
      <c r="B34" s="53" t="s">
        <v>225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269</v>
      </c>
      <c r="B35" s="53" t="s">
        <v>225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424</v>
      </c>
      <c r="B36" s="53" t="s">
        <v>225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425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245</v>
      </c>
      <c r="B38" s="53" t="s">
        <v>69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426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427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428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319</v>
      </c>
      <c r="B42" s="53" t="s">
        <v>248</v>
      </c>
      <c r="C42" s="66" t="n">
        <f aca="false">C15+C16/2</f>
        <v>8704</v>
      </c>
      <c r="D42" s="66" t="n">
        <f aca="false">D15+D16/2</f>
        <v>8704</v>
      </c>
      <c r="E42" s="66" t="n">
        <f aca="false">E15+E16/2</f>
        <v>8704</v>
      </c>
      <c r="F42" s="66" t="n">
        <f aca="false">F15+F16/2</f>
        <v>8704</v>
      </c>
      <c r="G42" s="66" t="n">
        <f aca="false">G15+G16/2</f>
        <v>8704</v>
      </c>
      <c r="H42" s="66" t="n">
        <f aca="false">H15+H16/2</f>
        <v>8704</v>
      </c>
      <c r="I42" s="66" t="n">
        <f aca="false">I15+I16/2</f>
        <v>8704</v>
      </c>
    </row>
    <row r="43" customFormat="false" ht="15" hidden="false" customHeight="false" outlineLevel="0" collapsed="false">
      <c r="A43" s="53" t="s">
        <v>429</v>
      </c>
      <c r="B43" s="53" t="s">
        <v>248</v>
      </c>
      <c r="C43" s="66" t="n">
        <f aca="false">C38*IF(C39=0,C42,MIN(C42,C39))+(1-C38)*(C42/C40+C41)</f>
        <v>2210</v>
      </c>
      <c r="D43" s="66" t="n">
        <f aca="false">D38*IF(D39=0,D42,MIN(D42,D39))+(1-D38)*(D42/D40+D41)</f>
        <v>2210</v>
      </c>
      <c r="E43" s="66" t="n">
        <f aca="false">E38*IF(E39=0,E42,MIN(E42,E39))+(1-E38)*(E42/E40+E41)</f>
        <v>2210</v>
      </c>
      <c r="F43" s="66" t="n">
        <f aca="false">F38*IF(F39=0,F42,MIN(F42,F39))+(1-F38)*(F42/F40+F41)</f>
        <v>2210</v>
      </c>
      <c r="G43" s="66" t="n">
        <f aca="false">G38*IF(G39=0,G42,MIN(G42,G39))+(1-G38)*(G42/G40+G41)</f>
        <v>2210</v>
      </c>
      <c r="H43" s="66" t="n">
        <f aca="false">H38*IF(H39=0,H42,MIN(H42,H39))+(1-H38)*(H42/H40+H41)</f>
        <v>2210</v>
      </c>
      <c r="I43" s="66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430</v>
      </c>
      <c r="B44" s="53" t="s">
        <v>431</v>
      </c>
      <c r="C44" s="65" t="n">
        <f aca="false">(2*C30*1000000000+C37*C43)/1000000000</f>
        <v>133.33963264</v>
      </c>
      <c r="D44" s="65" t="n">
        <f aca="false">(2*D30*1000000000+D37*D43)/1000000000</f>
        <v>133.33963264</v>
      </c>
      <c r="E44" s="65" t="n">
        <f aca="false">(2*E30*1000000000+E37*E43)/1000000000</f>
        <v>133.33963264</v>
      </c>
      <c r="F44" s="65" t="n">
        <f aca="false">(2*F30*1000000000+F37*F43)/1000000000</f>
        <v>133.33963264</v>
      </c>
      <c r="G44" s="65" t="n">
        <f aca="false">(2*G30*1000000000+G37*G43)/1000000000</f>
        <v>133.33963264</v>
      </c>
      <c r="H44" s="65" t="n">
        <f aca="false">(2*H30*1000000000+H37*H43)/1000000000</f>
        <v>133.33963264</v>
      </c>
      <c r="I44" s="65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320</v>
      </c>
      <c r="B45" s="53" t="s">
        <v>248</v>
      </c>
      <c r="C45" s="66" t="n">
        <f aca="false">C15/2</f>
        <v>4096</v>
      </c>
      <c r="D45" s="66" t="n">
        <f aca="false">D15/2</f>
        <v>4096</v>
      </c>
      <c r="E45" s="66" t="n">
        <f aca="false">E15/2</f>
        <v>4096</v>
      </c>
      <c r="F45" s="66" t="n">
        <f aca="false">F15/2</f>
        <v>4096</v>
      </c>
      <c r="G45" s="66" t="n">
        <f aca="false">G15/2</f>
        <v>4096</v>
      </c>
      <c r="H45" s="66" t="n">
        <f aca="false">H15/2</f>
        <v>4096</v>
      </c>
      <c r="I45" s="66" t="n">
        <f aca="false">I15/2</f>
        <v>4096</v>
      </c>
    </row>
    <row r="46" customFormat="false" ht="15" hidden="false" customHeight="false" outlineLevel="0" collapsed="false">
      <c r="A46" s="53" t="s">
        <v>432</v>
      </c>
      <c r="B46" s="53" t="s">
        <v>248</v>
      </c>
      <c r="C46" s="66" t="n">
        <f aca="false">C38*IF(C39=0,C45,MIN(C45,C39))+(1-C38)*(C45/C40+C41)</f>
        <v>2128</v>
      </c>
      <c r="D46" s="66" t="n">
        <f aca="false">D38*IF(D39=0,D45,MIN(D45,D39))+(1-D38)*(D45/D40+D41)</f>
        <v>2128</v>
      </c>
      <c r="E46" s="66" t="n">
        <f aca="false">E38*IF(E39=0,E45,MIN(E45,E39))+(1-E38)*(E45/E40+E41)</f>
        <v>2128</v>
      </c>
      <c r="F46" s="66" t="n">
        <f aca="false">F38*IF(F39=0,F45,MIN(F45,F39))+(1-F38)*(F45/F40+F41)</f>
        <v>2128</v>
      </c>
      <c r="G46" s="66" t="n">
        <f aca="false">G38*IF(G39=0,G45,MIN(G45,G39))+(1-G38)*(G45/G40+G41)</f>
        <v>2128</v>
      </c>
      <c r="H46" s="66" t="n">
        <f aca="false">H38*IF(H39=0,H45,MIN(H45,H39))+(1-H38)*(H45/H40+H41)</f>
        <v>2128</v>
      </c>
      <c r="I46" s="66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433</v>
      </c>
      <c r="B47" s="53" t="s">
        <v>431</v>
      </c>
      <c r="C47" s="65" t="n">
        <f aca="false">(2*C30*1000000000+C37*C46)/1000000000</f>
        <v>132.028388352</v>
      </c>
      <c r="D47" s="65" t="n">
        <f aca="false">(2*D30*1000000000+D37*D46)/1000000000</f>
        <v>132.028388352</v>
      </c>
      <c r="E47" s="65" t="n">
        <f aca="false">(2*E30*1000000000+E37*E46)/1000000000</f>
        <v>132.028388352</v>
      </c>
      <c r="F47" s="65" t="n">
        <f aca="false">(2*F30*1000000000+F37*F46)/1000000000</f>
        <v>132.028388352</v>
      </c>
      <c r="G47" s="65" t="n">
        <f aca="false">(2*G30*1000000000+G37*G46)/1000000000</f>
        <v>132.028388352</v>
      </c>
      <c r="H47" s="65" t="n">
        <f aca="false">(2*H30*1000000000+H37*H46)/1000000000</f>
        <v>132.028388352</v>
      </c>
      <c r="I47" s="65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434</v>
      </c>
      <c r="B48" s="53" t="s">
        <v>273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435</v>
      </c>
      <c r="B49" s="52"/>
      <c r="C49" s="84" t="n">
        <f aca="false">MAX(1,CEILING(C34*C29/(Serving!$C$10*C48),1))</f>
        <v>1</v>
      </c>
      <c r="D49" s="84" t="n">
        <f aca="false">MAX(1,CEILING(D34*D29/(Serving!$C$10*D48),1))</f>
        <v>1</v>
      </c>
      <c r="E49" s="84" t="n">
        <f aca="false">MAX(1,CEILING(E34*E29/(Serving!$C$10*E48),1))</f>
        <v>1</v>
      </c>
      <c r="F49" s="84" t="n">
        <f aca="false">MAX(1,CEILING(F34*F29/(Serving!$C$10*F48),1))</f>
        <v>1</v>
      </c>
      <c r="G49" s="84" t="n">
        <f aca="false">MAX(1,CEILING(G34*G29/(Serving!$C$10*G48),1))</f>
        <v>1</v>
      </c>
      <c r="H49" s="84" t="n">
        <f aca="false">MAX(1,CEILING(H34*H29/(Serving!$C$10*H48),1))</f>
        <v>1</v>
      </c>
      <c r="I49" s="84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436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437</v>
      </c>
      <c r="B51" s="53" t="s">
        <v>273</v>
      </c>
      <c r="C51" s="65" t="n">
        <f aca="false">C34*C29/C49+C35*C28/C50</f>
        <v>48.0463324652778</v>
      </c>
      <c r="D51" s="65" t="n">
        <f aca="false">D34*D29/D49+D35*D28/D50</f>
        <v>48.0463324652778</v>
      </c>
      <c r="E51" s="65" t="n">
        <f aca="false">E34*E29/E49+E35*E28/E50</f>
        <v>48.0463324652778</v>
      </c>
      <c r="F51" s="65" t="n">
        <f aca="false">F34*F29/F49+F35*F28/F50</f>
        <v>48.0463324652778</v>
      </c>
      <c r="G51" s="65" t="n">
        <f aca="false">G34*G29/G49+G35*G28/G50</f>
        <v>48.0463324652778</v>
      </c>
      <c r="H51" s="65" t="n">
        <f aca="false">H34*H29/H49+H35*H28/H50</f>
        <v>48.0463324652778</v>
      </c>
      <c r="I51" s="65" t="n">
        <f aca="false">I34*I29/I49+I35*I28/I50</f>
        <v>48.0463324652778</v>
      </c>
    </row>
    <row r="52" customFormat="false" ht="15" hidden="false" customHeight="false" outlineLevel="0" collapsed="false">
      <c r="A52" s="52" t="s">
        <v>438</v>
      </c>
      <c r="B52" s="52"/>
      <c r="C52" s="84" t="n">
        <f aca="false">Serving!$C$6*C13</f>
        <v>3</v>
      </c>
      <c r="D52" s="84" t="n">
        <f aca="false">Serving!$C$6*D13</f>
        <v>3</v>
      </c>
      <c r="E52" s="84" t="n">
        <f aca="false">Serving!$C$6*E13</f>
        <v>3</v>
      </c>
      <c r="F52" s="84" t="n">
        <f aca="false">Serving!$C$6*F13</f>
        <v>0</v>
      </c>
      <c r="G52" s="84" t="n">
        <f aca="false">Serving!$C$6*G13</f>
        <v>0</v>
      </c>
      <c r="H52" s="84" t="n">
        <f aca="false">Serving!$C$6*H13</f>
        <v>3</v>
      </c>
      <c r="I52" s="84" t="n">
        <f aca="false">Serving!$C$6*I13</f>
        <v>3</v>
      </c>
    </row>
    <row r="53" customFormat="false" ht="15" hidden="false" customHeight="false" outlineLevel="0" collapsed="false">
      <c r="A53" s="52" t="s">
        <v>439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440</v>
      </c>
      <c r="B54" s="53" t="s">
        <v>312</v>
      </c>
      <c r="C54" s="66" t="n">
        <f aca="false">$C$5*C23*1000000000000000/(C47*1000000000)</f>
        <v>34083.5789648707</v>
      </c>
      <c r="D54" s="66" t="n">
        <f aca="false">$C$5*D23*1000000000000000/(D47*1000000000)</f>
        <v>34083.5789648707</v>
      </c>
      <c r="E54" s="66" t="n">
        <f aca="false">$C$5*E23*1000000000000000/(E47*1000000000)</f>
        <v>34083.5789648707</v>
      </c>
      <c r="F54" s="66" t="n">
        <f aca="false">$C$5*F23*1000000000000000/(F47*1000000000)</f>
        <v>34083.5789648707</v>
      </c>
      <c r="G54" s="66" t="n">
        <f aca="false">$C$5*G23*1000000000000000/(G47*1000000000)</f>
        <v>22722.3859765804</v>
      </c>
      <c r="H54" s="66" t="n">
        <f aca="false">$C$5*H23*1000000000000000/(H47*1000000000)</f>
        <v>22722.3859765804</v>
      </c>
      <c r="I54" s="66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441</v>
      </c>
      <c r="B55" s="53" t="s">
        <v>442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443</v>
      </c>
      <c r="B56" s="53" t="s">
        <v>312</v>
      </c>
      <c r="C56" s="66" t="n">
        <f aca="false">C16/((C15+C16)/C17-C15/C54)</f>
        <v>1380.60283795024</v>
      </c>
      <c r="D56" s="66" t="n">
        <f aca="false">D16/((D15+D16)/D17-D15/D54)</f>
        <v>424.442629727413</v>
      </c>
      <c r="E56" s="66" t="n">
        <f aca="false">E16/((E15+E16)/E17-E15/E54)</f>
        <v>1757.91940226822</v>
      </c>
      <c r="F56" s="66" t="n">
        <f aca="false">F16/((F15+F16)/F17-F15/F54)</f>
        <v>818.918726400301</v>
      </c>
      <c r="G56" s="66" t="n">
        <f aca="false">G16/((G15+G16)/G17-G15/G54)</f>
        <v>266.000550163594</v>
      </c>
      <c r="H56" s="66" t="n">
        <f aca="false">H16/((H15+H16)/H17-H15/H54)</f>
        <v>495.257075329457</v>
      </c>
      <c r="I56" s="66" t="n">
        <f aca="false">I16/((I15+I16)/I17-I15/I54)</f>
        <v>873.253354090091</v>
      </c>
      <c r="J56" s="64" t="s">
        <v>444</v>
      </c>
    </row>
    <row r="57" customFormat="false" ht="15" hidden="false" customHeight="false" outlineLevel="0" collapsed="false">
      <c r="A57" s="52" t="s">
        <v>445</v>
      </c>
      <c r="B57" s="52" t="s">
        <v>446</v>
      </c>
      <c r="C57" s="65" t="n">
        <f aca="false">C56/C14</f>
        <v>19.1750394159756</v>
      </c>
      <c r="D57" s="65" t="n">
        <f aca="false">D56/D14</f>
        <v>3.26494330559548</v>
      </c>
      <c r="E57" s="65" t="n">
        <f aca="false">E56/E14</f>
        <v>35.1583880453644</v>
      </c>
      <c r="F57" s="65" t="n">
        <f aca="false">F56/F14</f>
        <v>30.3303232000111</v>
      </c>
      <c r="G57" s="65" t="n">
        <f aca="false">G56/G14</f>
        <v>9.85187222828127</v>
      </c>
      <c r="H57" s="65" t="n">
        <f aca="false">H56/H14</f>
        <v>4.50233704844961</v>
      </c>
      <c r="I57" s="65" t="n">
        <f aca="false">I56/I14</f>
        <v>7.93866685536447</v>
      </c>
    </row>
    <row r="59" customFormat="false" ht="15" hidden="false" customHeight="false" outlineLevel="0" collapsed="false">
      <c r="A59" s="82" t="s">
        <v>447</v>
      </c>
      <c r="B59" s="60"/>
      <c r="C59" s="60"/>
      <c r="D59" s="60"/>
      <c r="E59" s="60"/>
      <c r="F59" s="60"/>
      <c r="G59" s="60"/>
      <c r="H59" s="60"/>
      <c r="I59" s="60"/>
      <c r="J59" s="60"/>
    </row>
    <row r="60" customFormat="false" ht="15" hidden="false" customHeight="false" outlineLevel="0" collapsed="false">
      <c r="A60" s="53" t="s">
        <v>448</v>
      </c>
      <c r="B60" s="53" t="s">
        <v>69</v>
      </c>
      <c r="C60" s="92" t="n">
        <f aca="false">(C57-D57)*C55/(1000*(C53/C14-D53/D14))</f>
        <v>0.0360423794946733</v>
      </c>
      <c r="J60" s="50" t="s">
        <v>449</v>
      </c>
    </row>
    <row r="61" customFormat="false" ht="15" hidden="false" customHeight="false" outlineLevel="0" collapsed="false">
      <c r="A61" s="52" t="s">
        <v>450</v>
      </c>
      <c r="B61" s="53" t="s">
        <v>442</v>
      </c>
      <c r="C61" s="62" t="n">
        <f aca="false">1000*C53/C14-C57*C55/C60</f>
        <v>16.263619456583</v>
      </c>
    </row>
    <row r="62" customFormat="false" ht="15" hidden="false" customHeight="false" outlineLevel="0" collapsed="false">
      <c r="A62" s="52" t="s">
        <v>451</v>
      </c>
      <c r="B62" s="53" t="s">
        <v>452</v>
      </c>
      <c r="C62" s="61" t="n">
        <f aca="false">(C61-C51/C25)*1000/(C31+C52)</f>
        <v>160.278560912864</v>
      </c>
      <c r="J62" s="64" t="s">
        <v>453</v>
      </c>
    </row>
    <row r="63" customFormat="false" ht="15" hidden="false" customHeight="false" outlineLevel="0" collapsed="false">
      <c r="A63" s="52" t="s">
        <v>454</v>
      </c>
      <c r="C63" s="8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82" t="s">
        <v>455</v>
      </c>
      <c r="B65" s="60"/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false" outlineLevel="0" collapsed="false">
      <c r="A66" s="10" t="s">
        <v>134</v>
      </c>
      <c r="C66" s="72" t="str">
        <f aca="false">Spec_Rack!C4</f>
        <v>Hopper H100</v>
      </c>
      <c r="D66" s="72" t="str">
        <f aca="false">Spec_Rack!D4</f>
        <v>GB200 NVL72</v>
      </c>
      <c r="E66" s="72" t="str">
        <f aca="false">Spec_Rack!E4</f>
        <v>GB300 NVL72</v>
      </c>
      <c r="F66" s="72" t="str">
        <f aca="false">Spec_Rack!F4</f>
        <v>VR200 NVL72</v>
      </c>
      <c r="G66" s="72" t="str">
        <f aca="false">Spec_Rack!G4</f>
        <v>Rubin Ultra NVL576</v>
      </c>
    </row>
    <row r="67" customFormat="false" ht="52.2" hidden="false" customHeight="false" outlineLevel="0" collapsed="false">
      <c r="A67" s="53" t="s">
        <v>456</v>
      </c>
      <c r="B67" s="53" t="s">
        <v>73</v>
      </c>
      <c r="C67" s="69" t="n">
        <v>1.5</v>
      </c>
      <c r="D67" s="69" t="n">
        <v>1</v>
      </c>
      <c r="E67" s="69" t="n">
        <v>1</v>
      </c>
      <c r="F67" s="69" t="n">
        <v>1</v>
      </c>
      <c r="G67" s="69" t="n">
        <v>1</v>
      </c>
      <c r="J67" s="78" t="s">
        <v>457</v>
      </c>
    </row>
    <row r="68" customFormat="false" ht="15" hidden="false" customHeight="false" outlineLevel="0" collapsed="false">
      <c r="A68" s="52" t="s">
        <v>458</v>
      </c>
      <c r="B68" s="53" t="s">
        <v>73</v>
      </c>
      <c r="C68" s="69" t="n">
        <v>1.5</v>
      </c>
      <c r="D68" s="69" t="n">
        <v>1</v>
      </c>
      <c r="E68" s="69" t="n">
        <v>1</v>
      </c>
      <c r="F68" s="69" t="n">
        <v>1</v>
      </c>
      <c r="G68" s="69" t="n">
        <v>1</v>
      </c>
      <c r="J68" s="78" t="s">
        <v>459</v>
      </c>
    </row>
    <row r="69" customFormat="false" ht="26.85" hidden="false" customHeight="false" outlineLevel="0" collapsed="false">
      <c r="A69" s="53" t="s">
        <v>460</v>
      </c>
      <c r="B69" s="53" t="s">
        <v>73</v>
      </c>
      <c r="C69" s="69" t="n">
        <v>0.5</v>
      </c>
      <c r="D69" s="69" t="n">
        <v>1</v>
      </c>
      <c r="E69" s="69" t="n">
        <v>1</v>
      </c>
      <c r="F69" s="69" t="n">
        <v>1</v>
      </c>
      <c r="G69" s="69" t="n">
        <v>1</v>
      </c>
      <c r="J69" s="78" t="s">
        <v>461</v>
      </c>
    </row>
    <row r="70" customFormat="false" ht="15" hidden="false" customHeight="false" outlineLevel="0" collapsed="false">
      <c r="A70" s="53" t="s">
        <v>462</v>
      </c>
      <c r="B70" s="53" t="s">
        <v>69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463</v>
      </c>
      <c r="B71" s="53" t="s">
        <v>452</v>
      </c>
      <c r="C71" s="61" t="n">
        <f aca="false">$C$62*C68</f>
        <v>240.417841369295</v>
      </c>
      <c r="D71" s="61" t="n">
        <f aca="false">$C$62*D68</f>
        <v>160.278560912864</v>
      </c>
      <c r="E71" s="61" t="n">
        <f aca="false">$C$62*E68</f>
        <v>160.278560912864</v>
      </c>
      <c r="F71" s="61" t="n">
        <f aca="false">$C$62*F68</f>
        <v>160.278560912864</v>
      </c>
      <c r="G71" s="61" t="n">
        <f aca="false">$C$62*G68</f>
        <v>160.278560912864</v>
      </c>
    </row>
    <row r="72" customFormat="false" ht="15" hidden="false" customHeight="false" outlineLevel="0" collapsed="false">
      <c r="A72" s="53" t="s">
        <v>464</v>
      </c>
      <c r="B72" s="53" t="s">
        <v>69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82" t="s">
        <v>465</v>
      </c>
      <c r="B74" s="60"/>
      <c r="C74" s="60"/>
      <c r="D74" s="60"/>
      <c r="E74" s="60"/>
      <c r="F74" s="60"/>
      <c r="G74" s="60"/>
      <c r="H74" s="60"/>
      <c r="I74" s="60"/>
      <c r="J74" s="60"/>
    </row>
    <row r="75" customFormat="false" ht="15" hidden="false" customHeight="false" outlineLevel="0" collapsed="false">
      <c r="A75" s="53" t="s">
        <v>466</v>
      </c>
      <c r="B75" s="53" t="s">
        <v>69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467</v>
      </c>
      <c r="B76" s="53" t="s">
        <v>452</v>
      </c>
      <c r="C76" s="66" t="n">
        <f aca="false">INDEX($C$71:$G$71,C10)</f>
        <v>160.278560912864</v>
      </c>
      <c r="D76" s="66" t="n">
        <f aca="false">INDEX($C$71:$G$71,D10)</f>
        <v>160.278560912864</v>
      </c>
      <c r="E76" s="66" t="n">
        <f aca="false">INDEX($C$71:$G$71,E10)</f>
        <v>160.278560912864</v>
      </c>
      <c r="F76" s="66" t="n">
        <f aca="false">INDEX($C$71:$G$71,F10)</f>
        <v>160.278560912864</v>
      </c>
      <c r="G76" s="66" t="n">
        <f aca="false">INDEX($C$71:$G$71,G10)</f>
        <v>160.278560912864</v>
      </c>
      <c r="H76" s="66" t="n">
        <f aca="false">INDEX($C$71:$G$71,H10)</f>
        <v>160.278560912864</v>
      </c>
      <c r="I76" s="66" t="n">
        <f aca="false">INDEX($C$71:$G$71,I10)</f>
        <v>160.278560912864</v>
      </c>
    </row>
    <row r="77" customFormat="false" ht="15" hidden="false" customHeight="false" outlineLevel="0" collapsed="false">
      <c r="A77" s="53" t="s">
        <v>468</v>
      </c>
      <c r="B77" s="53" t="s">
        <v>69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469</v>
      </c>
      <c r="B78" s="53" t="s">
        <v>312</v>
      </c>
      <c r="C78" s="66" t="n">
        <f aca="false">C77*C23*1000000000000000/(C47*1000000000)</f>
        <v>34083.5789648707</v>
      </c>
      <c r="D78" s="66" t="n">
        <f aca="false">D77*D23*1000000000000000/(D47*1000000000)</f>
        <v>34083.5789648707</v>
      </c>
      <c r="E78" s="66" t="n">
        <f aca="false">E77*E23*1000000000000000/(E47*1000000000)</f>
        <v>34083.5789648707</v>
      </c>
      <c r="F78" s="66" t="n">
        <f aca="false">F77*F23*1000000000000000/(F47*1000000000)</f>
        <v>34083.5789648707</v>
      </c>
      <c r="G78" s="66" t="n">
        <f aca="false">G77*G23*1000000000000000/(G47*1000000000)</f>
        <v>22722.3859765804</v>
      </c>
      <c r="H78" s="66" t="n">
        <f aca="false">H77*H23*1000000000000000/(H47*1000000000)</f>
        <v>22722.3859765804</v>
      </c>
      <c r="I78" s="66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470</v>
      </c>
      <c r="B79" s="53" t="s">
        <v>442</v>
      </c>
      <c r="C79" s="62" t="n">
        <f aca="false">C51/C25+(C31+C52)*C76/1000</f>
        <v>16.263619456583</v>
      </c>
      <c r="D79" s="62" t="n">
        <f aca="false">D51/D25+(D31+D52)*D76/1000</f>
        <v>16.263619456583</v>
      </c>
      <c r="E79" s="62" t="n">
        <f aca="false">E51/E25+(E31+E52)*E76/1000</f>
        <v>16.263619456583</v>
      </c>
      <c r="F79" s="62" t="n">
        <f aca="false">F51/F25+(F31+F52)*F76/1000</f>
        <v>15.7827837738444</v>
      </c>
      <c r="G79" s="62" t="n">
        <f aca="false">G51/G25+(G31+G52)*G76/1000</f>
        <v>15.7827837738444</v>
      </c>
      <c r="H79" s="62" t="n">
        <f aca="false">H51/H25+(H31+H52)*H76/1000</f>
        <v>16.263619456583</v>
      </c>
      <c r="I79" s="62" t="n">
        <f aca="false">I51/I25+(I31+I52)*I76/1000</f>
        <v>16.263619456583</v>
      </c>
    </row>
    <row r="80" customFormat="false" ht="15" hidden="false" customHeight="false" outlineLevel="0" collapsed="false">
      <c r="A80" s="52" t="s">
        <v>471</v>
      </c>
      <c r="B80" s="53" t="s">
        <v>442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472</v>
      </c>
      <c r="B81" s="52" t="s">
        <v>473</v>
      </c>
      <c r="C81" s="65" t="n">
        <f aca="false">(1000*C53/C14-C79)/C80</f>
        <v>19.1750394159756</v>
      </c>
      <c r="D81" s="65" t="n">
        <f aca="false">(1000*D53/D14-D79)/D80</f>
        <v>3.26494330559548</v>
      </c>
      <c r="E81" s="65" t="n">
        <f aca="false">(1000*E53/E14-E79)/E80</f>
        <v>34.8656859248332</v>
      </c>
      <c r="F81" s="65" t="n">
        <f aca="false">(1000*F53/F14-F79)/F80</f>
        <v>86.1769880590719</v>
      </c>
      <c r="G81" s="65" t="n">
        <f aca="false">(1000*G53/G14-G79)/G80</f>
        <v>57.4513253727146</v>
      </c>
      <c r="H81" s="65" t="n">
        <f aca="false">(1000*H53/H14-H79)/H80</f>
        <v>4.57062452336954</v>
      </c>
      <c r="I81" s="65" t="n">
        <f aca="false">(1000*I53/I14-I79)/I80</f>
        <v>6.85593678505431</v>
      </c>
    </row>
    <row r="82" customFormat="false" ht="15" hidden="false" customHeight="false" outlineLevel="0" collapsed="false">
      <c r="A82" s="52" t="s">
        <v>474</v>
      </c>
      <c r="B82" s="52" t="s">
        <v>473</v>
      </c>
      <c r="C82" s="66" t="n">
        <f aca="false">(C48-C51)*1000000000/(C36*C42)</f>
        <v>6118.38152813225</v>
      </c>
      <c r="D82" s="66" t="n">
        <f aca="false">(D48-D51)*1000000000/(D36*D42)</f>
        <v>6118.38152813225</v>
      </c>
      <c r="E82" s="66" t="n">
        <f aca="false">(E48-E51)*1000000000/(E36*E42)</f>
        <v>6118.38152813225</v>
      </c>
      <c r="F82" s="66" t="n">
        <f aca="false">(F48-F51)*1000000000/(F36*F42)</f>
        <v>6118.38152813225</v>
      </c>
      <c r="G82" s="66" t="n">
        <f aca="false">(G48-G51)*1000000000/(G36*G42)</f>
        <v>3458.38783330249</v>
      </c>
      <c r="H82" s="66" t="n">
        <f aca="false">(H48-H51)*1000000000/(H36*H42)</f>
        <v>3458.38783330249</v>
      </c>
      <c r="I82" s="66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475</v>
      </c>
      <c r="B83" s="52" t="s">
        <v>473</v>
      </c>
      <c r="C83" s="65" t="n">
        <f aca="false">MAX(0,MIN(C81,C82))</f>
        <v>19.1750394159756</v>
      </c>
      <c r="D83" s="65" t="n">
        <f aca="false">MAX(0,MIN(D81,D82))</f>
        <v>3.26494330559548</v>
      </c>
      <c r="E83" s="65" t="n">
        <f aca="false">MAX(0,MIN(E81,E82))</f>
        <v>34.8656859248332</v>
      </c>
      <c r="F83" s="65" t="n">
        <f aca="false">MAX(0,MIN(F81,F82))</f>
        <v>86.1769880590719</v>
      </c>
      <c r="G83" s="65" t="n">
        <f aca="false">MAX(0,MIN(G81,G82))</f>
        <v>57.4513253727146</v>
      </c>
      <c r="H83" s="65" t="n">
        <f aca="false">MAX(0,MIN(H81,H82))</f>
        <v>4.57062452336954</v>
      </c>
      <c r="I83" s="65" t="n">
        <f aca="false">MAX(0,MIN(I81,I82))</f>
        <v>6.85593678505431</v>
      </c>
    </row>
    <row r="84" customFormat="false" ht="15" hidden="false" customHeight="false" outlineLevel="0" collapsed="false">
      <c r="A84" s="53" t="s">
        <v>476</v>
      </c>
      <c r="B84" s="53" t="s">
        <v>312</v>
      </c>
      <c r="C84" s="66" t="n">
        <f aca="false">IF(C83&gt;0,C83*C53/((C79+C83*C80)/1000),0)</f>
        <v>1380.60283795024</v>
      </c>
      <c r="D84" s="66" t="n">
        <f aca="false">IF(D83&gt;0,D83*D53/((D79+D83*D80)/1000),0)</f>
        <v>424.442629727412</v>
      </c>
      <c r="E84" s="66" t="n">
        <f aca="false">IF(E83&gt;0,E83*E53/((E79+E83*E80)/1000),0)</f>
        <v>1743.28429624166</v>
      </c>
      <c r="F84" s="66" t="n">
        <f aca="false">IF(F83&gt;0,F83*F53/((F79+F83*F80)/1000),0)</f>
        <v>2326.77867759494</v>
      </c>
      <c r="G84" s="66" t="n">
        <f aca="false">IF(G83&gt;0,G83*G53/((G79+G83*G80)/1000),0)</f>
        <v>1551.18578506329</v>
      </c>
      <c r="H84" s="66" t="n">
        <f aca="false">IF(H83&gt;0,H83*H53/((H79+H83*H80)/1000),0)</f>
        <v>502.768697570649</v>
      </c>
      <c r="I84" s="66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477</v>
      </c>
      <c r="B85" s="53" t="s">
        <v>312</v>
      </c>
      <c r="C85" s="66" t="n">
        <f aca="false">IF(C84&gt;0,(C15+C16)/(C15/C78+C16/C84),0)</f>
        <v>9384.4</v>
      </c>
      <c r="D85" s="66" t="n">
        <f aca="false">IF(D84&gt;0,(D15+D16)/(D15/D78+D16/D84),0)</f>
        <v>3473.9</v>
      </c>
      <c r="E85" s="66" t="n">
        <f aca="false">IF(E84&gt;0,(E15+E16)/(E15/E78+E16/E84),0)</f>
        <v>11133.8318690023</v>
      </c>
      <c r="F85" s="66" t="n">
        <f aca="false">IF(F84&gt;0,(F15+F16)/(F15/F78+F16/F84),0)</f>
        <v>13544.102212017</v>
      </c>
      <c r="G85" s="66" t="n">
        <f aca="false">IF(G84&gt;0,(G15+G16)/(G15/G78+G16/G84),0)</f>
        <v>9029.40147467799</v>
      </c>
      <c r="H85" s="66" t="n">
        <f aca="false">IF(H84&gt;0,(H15+H16)/(H15/H78+H16/H84),0)</f>
        <v>3844.40924048186</v>
      </c>
      <c r="I85" s="66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478</v>
      </c>
      <c r="B86" s="53" t="s">
        <v>73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479</v>
      </c>
      <c r="C87" s="85" t="s">
        <v>480</v>
      </c>
      <c r="D87" s="85" t="s">
        <v>480</v>
      </c>
      <c r="E87" s="85" t="s">
        <v>481</v>
      </c>
      <c r="F87" s="85" t="s">
        <v>482</v>
      </c>
      <c r="G87" s="85" t="s">
        <v>483</v>
      </c>
      <c r="H87" s="85" t="s">
        <v>484</v>
      </c>
      <c r="I87" s="85" t="s">
        <v>95</v>
      </c>
    </row>
    <row r="89" customFormat="false" ht="15" hidden="false" customHeight="false" outlineLevel="0" collapsed="false">
      <c r="A89" s="82" t="s">
        <v>485</v>
      </c>
      <c r="B89" s="60"/>
      <c r="C89" s="60"/>
      <c r="D89" s="60"/>
      <c r="E89" s="60"/>
      <c r="F89" s="60"/>
      <c r="G89" s="60"/>
      <c r="H89" s="60"/>
      <c r="I89" s="60"/>
      <c r="J89" s="60"/>
    </row>
    <row r="90" customFormat="false" ht="15" hidden="false" customHeight="false" outlineLevel="0" collapsed="false">
      <c r="A90" s="51" t="s">
        <v>486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487</v>
      </c>
      <c r="C91" s="66" t="n">
        <f aca="false">C90*$C$23*1000000000000000/($C$47*1000000000)</f>
        <v>17041.7894824353</v>
      </c>
      <c r="D91" s="66" t="n">
        <f aca="false">D90*$C$23*1000000000000000/($C$47*1000000000)</f>
        <v>34083.5789648707</v>
      </c>
      <c r="E91" s="66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488</v>
      </c>
      <c r="C92" s="66" t="n">
        <f aca="false">C90*$D$23*1000000000000000/($D$47*1000000000)</f>
        <v>17041.7894824353</v>
      </c>
      <c r="D92" s="66" t="n">
        <f aca="false">D90*$D$23*1000000000000000/($D$47*1000000000)</f>
        <v>34083.5789648707</v>
      </c>
      <c r="E92" s="66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489</v>
      </c>
      <c r="C93" s="65" t="n">
        <f aca="false">$C$16/(($C$15+$C$16)/$C$17-$C$15/C91)/$C$14</f>
        <v>28.3675890606831</v>
      </c>
      <c r="D93" s="65" t="n">
        <f aca="false">$C$16/(($C$15+$C$16)/$C$17-$C$15/D91)/$C$14</f>
        <v>19.1750394159756</v>
      </c>
      <c r="E93" s="65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490</v>
      </c>
      <c r="C94" s="65" t="n">
        <f aca="false">$D$16/(($D$15+$D$16)/$D$17-$D$15/C92)/$D$14</f>
        <v>3.62619966895948</v>
      </c>
      <c r="D94" s="65" t="n">
        <f aca="false">$D$16/(($D$15+$D$16)/$D$17-$D$15/D92)/$D$14</f>
        <v>3.26494330559548</v>
      </c>
      <c r="E94" s="65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491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492</v>
      </c>
      <c r="C96" s="66" t="n">
        <f aca="false">((1000*$C$53/$C$14-C93*$C$55/C95)-$C$51/$C$25)*1000/($C$31+$C$52)</f>
        <v>174.661911793131</v>
      </c>
      <c r="D96" s="66" t="n">
        <f aca="false">((1000*$C$53/$C$14-D93*$C$55/D95)-$C$51/$C$25)*1000/($C$31+$C$52)</f>
        <v>160.278560912864</v>
      </c>
      <c r="E96" s="66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82" t="s">
        <v>493</v>
      </c>
      <c r="B98" s="60"/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false" outlineLevel="0" collapsed="false">
      <c r="A99" s="51" t="s">
        <v>494</v>
      </c>
    </row>
    <row r="100" customFormat="false" ht="26.85" hidden="false" customHeight="false" outlineLevel="0" collapsed="false">
      <c r="A100" s="52" t="s">
        <v>224</v>
      </c>
      <c r="B100" s="53" t="s">
        <v>225</v>
      </c>
      <c r="C100" s="54" t="n">
        <f aca="false">SRC_MOD_020</f>
        <v>671</v>
      </c>
      <c r="J100" s="78" t="s">
        <v>495</v>
      </c>
    </row>
    <row r="101" customFormat="false" ht="15" hidden="false" customHeight="false" outlineLevel="0" collapsed="false">
      <c r="A101" s="52" t="s">
        <v>228</v>
      </c>
      <c r="B101" s="53" t="s">
        <v>225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230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233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241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496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243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244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497</v>
      </c>
      <c r="B108" s="53" t="s">
        <v>225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498</v>
      </c>
      <c r="B109" s="53" t="s">
        <v>271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499</v>
      </c>
      <c r="B110" s="53" t="s">
        <v>248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500</v>
      </c>
      <c r="B111" s="53" t="s">
        <v>248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266</v>
      </c>
      <c r="B112" s="53" t="s">
        <v>225</v>
      </c>
      <c r="C112" s="63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423</v>
      </c>
      <c r="B113" s="53" t="s">
        <v>225</v>
      </c>
      <c r="C113" s="65" t="n">
        <f aca="false">C101-C102*(C105+C106)*C112</f>
        <v>13.991935483871</v>
      </c>
    </row>
    <row r="114" customFormat="false" ht="15" hidden="false" customHeight="false" outlineLevel="0" collapsed="false">
      <c r="A114" s="52" t="s">
        <v>269</v>
      </c>
      <c r="B114" s="53" t="s">
        <v>225</v>
      </c>
      <c r="C114" s="66" t="n">
        <f aca="false">C100-C113</f>
        <v>657.008064516129</v>
      </c>
    </row>
    <row r="116" customFormat="false" ht="30" hidden="false" customHeight="true" outlineLevel="0" collapsed="false">
      <c r="A116" s="10" t="s">
        <v>501</v>
      </c>
      <c r="C116" s="75" t="s">
        <v>502</v>
      </c>
      <c r="D116" s="75" t="s">
        <v>503</v>
      </c>
      <c r="E116" s="75" t="s">
        <v>504</v>
      </c>
      <c r="F116" s="75" t="s">
        <v>505</v>
      </c>
    </row>
    <row r="117" customFormat="false" ht="15" hidden="false" customHeight="false" outlineLevel="0" collapsed="false">
      <c r="A117" s="52" t="s">
        <v>390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506</v>
      </c>
      <c r="B118" s="53" t="s">
        <v>312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507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8" t="s">
        <v>508</v>
      </c>
    </row>
    <row r="120" customFormat="false" ht="26.85" hidden="false" customHeight="false" outlineLevel="0" collapsed="false">
      <c r="A120" s="53" t="s">
        <v>509</v>
      </c>
      <c r="B120" s="53" t="s">
        <v>510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8" t="s">
        <v>511</v>
      </c>
    </row>
    <row r="121" customFormat="false" ht="30" hidden="false" customHeight="true" outlineLevel="0" collapsed="false">
      <c r="A121" s="52" t="s">
        <v>406</v>
      </c>
      <c r="C121" s="78" t="s">
        <v>512</v>
      </c>
      <c r="D121" s="78" t="s">
        <v>512</v>
      </c>
      <c r="E121" s="78" t="s">
        <v>513</v>
      </c>
      <c r="F121" s="78" t="s">
        <v>512</v>
      </c>
    </row>
    <row r="122" customFormat="false" ht="15" hidden="false" customHeight="false" outlineLevel="0" collapsed="false">
      <c r="A122" s="52" t="s">
        <v>134</v>
      </c>
      <c r="C122" s="83" t="str">
        <f aca="false">INDEX(Spec_Rack!$C$4:$G$4,C117)</f>
        <v>GB300 NVL72</v>
      </c>
      <c r="D122" s="83" t="str">
        <f aca="false">INDEX(Spec_Rack!$C$4:$G$4,D117)</f>
        <v>GB200 NVL72</v>
      </c>
      <c r="E122" s="83" t="str">
        <f aca="false">INDEX(Spec_Rack!$C$4:$G$4,E117)</f>
        <v>VR200 NVL72</v>
      </c>
      <c r="F122" s="83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410</v>
      </c>
      <c r="C123" s="64" t="s">
        <v>514</v>
      </c>
      <c r="D123" s="64" t="s">
        <v>514</v>
      </c>
      <c r="E123" s="64" t="s">
        <v>514</v>
      </c>
      <c r="F123" s="64" t="s">
        <v>514</v>
      </c>
    </row>
    <row r="124" customFormat="false" ht="15" hidden="false" customHeight="false" outlineLevel="0" collapsed="false">
      <c r="A124" s="52" t="s">
        <v>413</v>
      </c>
      <c r="B124" s="53" t="s">
        <v>515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516</v>
      </c>
      <c r="B125" s="53" t="s">
        <v>273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416</v>
      </c>
      <c r="B126" s="53" t="s">
        <v>417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517</v>
      </c>
      <c r="B127" s="53" t="s">
        <v>417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518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519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520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434</v>
      </c>
      <c r="B131" s="53" t="s">
        <v>273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521</v>
      </c>
      <c r="B132" s="52"/>
      <c r="C132" s="84" t="n">
        <f aca="false">MAX(1,CEILING($C$113*C130/(Serving!$C$10*C131),1))</f>
        <v>1</v>
      </c>
      <c r="D132" s="84" t="n">
        <f aca="false">MAX(1,CEILING($C$113*D130/(Serving!$C$10*D131),1))</f>
        <v>1</v>
      </c>
      <c r="E132" s="84" t="n">
        <f aca="false">MAX(1,CEILING($C$113*E130/(Serving!$C$10*E131),1))</f>
        <v>1</v>
      </c>
      <c r="F132" s="84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436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437</v>
      </c>
      <c r="B134" s="53" t="s">
        <v>273</v>
      </c>
      <c r="C134" s="65" t="n">
        <f aca="false">$C$113*C130/C132+$C$114*C129/C133</f>
        <v>25.5409053679435</v>
      </c>
      <c r="D134" s="65" t="n">
        <f aca="false">$C$113*D130/D132+$C$114*D129/D133</f>
        <v>25.5409053679435</v>
      </c>
      <c r="E134" s="65" t="n">
        <f aca="false">$C$113*E130/E132+$C$114*E129/E133</f>
        <v>25.5409053679435</v>
      </c>
      <c r="F134" s="65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319</v>
      </c>
      <c r="B135" s="53" t="s">
        <v>248</v>
      </c>
      <c r="C135" s="66" t="n">
        <f aca="false">$C$110+$C$111/2</f>
        <v>2740</v>
      </c>
      <c r="D135" s="66" t="n">
        <f aca="false">$C$110+$C$111/2</f>
        <v>2740</v>
      </c>
      <c r="E135" s="66" t="n">
        <f aca="false">$C$110+$C$111/2</f>
        <v>2740</v>
      </c>
      <c r="F135" s="66" t="n">
        <f aca="false">$C$110+$C$111/2</f>
        <v>2740</v>
      </c>
    </row>
    <row r="136" customFormat="false" ht="15" hidden="false" customHeight="false" outlineLevel="0" collapsed="false">
      <c r="A136" s="53" t="s">
        <v>430</v>
      </c>
      <c r="B136" s="53" t="s">
        <v>431</v>
      </c>
      <c r="C136" s="65" t="n">
        <f aca="false">(2*$C$101*1000000000+$C$109*C135)/1000000000</f>
        <v>87.6921088</v>
      </c>
      <c r="D136" s="65" t="n">
        <f aca="false">(2*$C$101*1000000000+$C$109*D135)/1000000000</f>
        <v>87.6921088</v>
      </c>
      <c r="E136" s="65" t="n">
        <f aca="false">(2*$C$101*1000000000+$C$109*E135)/1000000000</f>
        <v>87.6921088</v>
      </c>
      <c r="F136" s="65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433</v>
      </c>
      <c r="B137" s="53" t="s">
        <v>431</v>
      </c>
      <c r="C137" s="65" t="n">
        <f aca="false">(2*$C$101*1000000000+$C$109*$C$110/2)/1000000000</f>
        <v>75.998848</v>
      </c>
      <c r="D137" s="65" t="n">
        <f aca="false">(2*$C$101*1000000000+$C$109*$C$110/2)/1000000000</f>
        <v>75.998848</v>
      </c>
      <c r="E137" s="65" t="n">
        <f aca="false">(2*$C$101*1000000000+$C$109*$C$110/2)/1000000000</f>
        <v>75.998848</v>
      </c>
      <c r="F137" s="65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522</v>
      </c>
      <c r="B138" s="52"/>
      <c r="C138" s="84" t="n">
        <f aca="false">Serving!$C$6*C119</f>
        <v>3</v>
      </c>
      <c r="D138" s="84" t="n">
        <f aca="false">Serving!$C$6*D119</f>
        <v>3</v>
      </c>
      <c r="E138" s="84" t="n">
        <f aca="false">Serving!$C$6*E119</f>
        <v>3</v>
      </c>
      <c r="F138" s="84" t="n">
        <f aca="false">Serving!$C$6*F119</f>
        <v>0</v>
      </c>
    </row>
    <row r="139" customFormat="false" ht="15" hidden="false" customHeight="false" outlineLevel="0" collapsed="false">
      <c r="A139" s="52" t="s">
        <v>523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466</v>
      </c>
      <c r="B140" s="53" t="s">
        <v>69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467</v>
      </c>
      <c r="B141" s="53" t="s">
        <v>452</v>
      </c>
      <c r="C141" s="66" t="n">
        <f aca="false">INDEX($C$71:$G$71,C117)</f>
        <v>160.278560912864</v>
      </c>
      <c r="D141" s="66" t="n">
        <f aca="false">INDEX($C$71:$G$71,D117)</f>
        <v>160.278560912864</v>
      </c>
      <c r="E141" s="66" t="n">
        <f aca="false">INDEX($C$71:$G$71,E117)</f>
        <v>160.278560912864</v>
      </c>
      <c r="F141" s="66" t="n">
        <f aca="false">INDEX($C$71:$G$71,F117)</f>
        <v>160.278560912864</v>
      </c>
    </row>
    <row r="142" customFormat="false" ht="15" hidden="false" customHeight="false" outlineLevel="0" collapsed="false">
      <c r="A142" s="53" t="s">
        <v>468</v>
      </c>
      <c r="B142" s="53" t="s">
        <v>69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469</v>
      </c>
      <c r="B143" s="53" t="s">
        <v>312</v>
      </c>
      <c r="C143" s="66" t="n">
        <f aca="false">C142*C124*1000000000000000/(C137*1000000000)</f>
        <v>59211.4238363192</v>
      </c>
      <c r="D143" s="66" t="n">
        <f aca="false">D142*D124*1000000000000000/(D137*1000000000)</f>
        <v>39474.2825575461</v>
      </c>
      <c r="E143" s="66" t="n">
        <f aca="false">E142*E124*1000000000000000/(E137*1000000000)</f>
        <v>138159.988951411</v>
      </c>
      <c r="F143" s="66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470</v>
      </c>
      <c r="B144" s="53" t="s">
        <v>442</v>
      </c>
      <c r="C144" s="62" t="n">
        <f aca="false">C134/C126+($C$102+C138)*C141/1000</f>
        <v>13.4504410694162</v>
      </c>
      <c r="D144" s="62" t="n">
        <f aca="false">D134/D126+($C$102+D138)*D141/1000</f>
        <v>13.4504410694162</v>
      </c>
      <c r="E144" s="62" t="n">
        <f aca="false">E134/E126+($C$102+E138)*E141/1000</f>
        <v>11.4187781424207</v>
      </c>
      <c r="F144" s="62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471</v>
      </c>
      <c r="B145" s="53" t="s">
        <v>442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475</v>
      </c>
      <c r="B146" s="52" t="s">
        <v>473</v>
      </c>
      <c r="C146" s="65" t="n">
        <f aca="false">MAX(0,MIN((1000*C139/C118-C144)/C145,(C131-C134)*1000000000/($C$108*C135)))</f>
        <v>37.8302700042438</v>
      </c>
      <c r="D146" s="65" t="n">
        <f aca="false">MAX(0,MIN((1000*D139/D118-D144)/D145,(D131-D134)*1000000000/($C$108*D135)))</f>
        <v>25.2201800028292</v>
      </c>
      <c r="E146" s="65" t="n">
        <f aca="false">MAX(0,MIN((1000*E139/E118-E144)/E145,(E131-E134)*1000000000/($C$108*E135)))</f>
        <v>95.5771848777591</v>
      </c>
      <c r="F146" s="6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476</v>
      </c>
      <c r="B147" s="53" t="s">
        <v>312</v>
      </c>
      <c r="C147" s="66" t="n">
        <f aca="false">IF(C146&gt;0,C146*C139/((C144+C146*C145)/1000),0)</f>
        <v>2522.01800028292</v>
      </c>
      <c r="D147" s="66" t="n">
        <f aca="false">IF(D146&gt;0,D146*D139/((D144+D146*D145)/1000),0)</f>
        <v>1681.34533352195</v>
      </c>
      <c r="E147" s="66" t="n">
        <f aca="false">IF(E146&gt;0,E146*E139/((E144+E146*E145)/1000),0)</f>
        <v>6371.81232518394</v>
      </c>
      <c r="F147" s="66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524</v>
      </c>
      <c r="B148" s="53" t="s">
        <v>312</v>
      </c>
      <c r="C148" s="66" t="n">
        <f aca="false">IF(C147&gt;0,$C$111/($C$110/C143+$C$111/C147),0)</f>
        <v>2500.06207566831</v>
      </c>
      <c r="D148" s="66" t="n">
        <f aca="false">IF(D147&gt;0,$C$111/($C$110/D143+$C$111/D147),0)</f>
        <v>1666.70805044554</v>
      </c>
      <c r="E148" s="66" t="n">
        <f aca="false">IF(E147&gt;0,$C$111/($C$110/E143+$C$111/E147),0)</f>
        <v>6311.7929197194</v>
      </c>
      <c r="F148" s="66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525</v>
      </c>
      <c r="B149" s="53" t="s">
        <v>73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6.85" hidden="false" customHeight="false" outlineLevel="0" collapsed="false">
      <c r="A150" s="53" t="s">
        <v>526</v>
      </c>
      <c r="C150" s="96" t="n">
        <f aca="false">E148/C148</f>
        <v>2.52465448004212</v>
      </c>
      <c r="J150" s="78" t="s">
        <v>527</v>
      </c>
    </row>
    <row r="151" customFormat="false" ht="15" hidden="false" customHeight="false" outlineLevel="0" collapsed="false">
      <c r="A151" s="53" t="s">
        <v>528</v>
      </c>
      <c r="C151" s="96" t="n">
        <f aca="false">E120/C120</f>
        <v>2.5748897461993</v>
      </c>
    </row>
    <row r="152" customFormat="false" ht="26.85" hidden="false" customHeight="false" outlineLevel="0" collapsed="false">
      <c r="A152" s="53" t="s">
        <v>529</v>
      </c>
      <c r="C152" s="67" t="n">
        <f aca="false">C148/D148</f>
        <v>1.5</v>
      </c>
      <c r="D152" s="67" t="n">
        <f aca="false">C120/D120</f>
        <v>1.05487728759394</v>
      </c>
      <c r="J152" s="8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9" t="s">
        <v>531</v>
      </c>
    </row>
    <row r="2" customFormat="false" ht="15" hidden="false" customHeight="false" outlineLevel="0" collapsed="false">
      <c r="A2" s="64" t="s">
        <v>532</v>
      </c>
    </row>
    <row r="4" customFormat="false" ht="30" hidden="false" customHeight="true" outlineLevel="0" collapsed="false">
      <c r="A4" s="75" t="s">
        <v>533</v>
      </c>
      <c r="B4" s="74" t="s">
        <v>534</v>
      </c>
      <c r="C4" s="74" t="s">
        <v>535</v>
      </c>
      <c r="D4" s="74" t="s">
        <v>536</v>
      </c>
      <c r="E4" s="74" t="s">
        <v>537</v>
      </c>
      <c r="F4" s="74" t="s">
        <v>538</v>
      </c>
      <c r="G4" s="74" t="s">
        <v>539</v>
      </c>
      <c r="H4" s="74" t="s">
        <v>540</v>
      </c>
      <c r="I4" s="74" t="s">
        <v>541</v>
      </c>
      <c r="J4" s="74" t="s">
        <v>542</v>
      </c>
      <c r="K4" s="74" t="s">
        <v>543</v>
      </c>
      <c r="L4" s="75" t="s">
        <v>544</v>
      </c>
      <c r="M4" s="74" t="s">
        <v>545</v>
      </c>
      <c r="N4" s="74" t="s">
        <v>546</v>
      </c>
      <c r="O4" s="74" t="s">
        <v>547</v>
      </c>
      <c r="P4" s="74" t="s">
        <v>548</v>
      </c>
      <c r="Q4" s="74" t="s">
        <v>549</v>
      </c>
      <c r="R4" s="74" t="s">
        <v>58</v>
      </c>
      <c r="S4" s="74" t="s">
        <v>550</v>
      </c>
      <c r="T4" s="74" t="s">
        <v>551</v>
      </c>
    </row>
    <row r="5" customFormat="false" ht="42" hidden="false" customHeight="true" outlineLevel="0" collapsed="false">
      <c r="A5" s="53" t="s">
        <v>552</v>
      </c>
      <c r="B5" s="6" t="s">
        <v>553</v>
      </c>
      <c r="C5" s="53" t="s">
        <v>554</v>
      </c>
      <c r="D5" s="53" t="s">
        <v>555</v>
      </c>
      <c r="E5" s="69" t="n">
        <v>1</v>
      </c>
      <c r="F5" s="69" t="n">
        <v>1</v>
      </c>
      <c r="G5" s="69" t="n">
        <v>1</v>
      </c>
      <c r="H5" s="58" t="n">
        <v>2</v>
      </c>
      <c r="I5" s="97" t="s">
        <v>556</v>
      </c>
      <c r="J5" s="58" t="n">
        <v>3</v>
      </c>
      <c r="K5" s="52" t="str">
        <f aca="false">IF(J5&gt;=2,"主流","非主流")</f>
        <v>主流</v>
      </c>
      <c r="L5" s="97"/>
      <c r="M5" s="97" t="s">
        <v>557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50" t="s">
        <v>105</v>
      </c>
      <c r="R5" s="78" t="s">
        <v>558</v>
      </c>
      <c r="S5" s="78" t="s">
        <v>554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559</v>
      </c>
      <c r="B6" s="5" t="s">
        <v>560</v>
      </c>
      <c r="C6" s="53" t="s">
        <v>554</v>
      </c>
      <c r="D6" s="53" t="s">
        <v>561</v>
      </c>
      <c r="E6" s="69" t="n">
        <v>1</v>
      </c>
      <c r="F6" s="69" t="n">
        <v>1</v>
      </c>
      <c r="G6" s="69" t="n">
        <v>1</v>
      </c>
      <c r="H6" s="58" t="n">
        <v>2</v>
      </c>
      <c r="I6" s="97" t="s">
        <v>556</v>
      </c>
      <c r="J6" s="58" t="n">
        <v>3</v>
      </c>
      <c r="K6" s="52" t="str">
        <f aca="false">IF(J6&gt;=2,"主流","非主流")</f>
        <v>主流</v>
      </c>
      <c r="L6" s="97"/>
      <c r="M6" s="97" t="s">
        <v>557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50" t="s">
        <v>105</v>
      </c>
      <c r="R6" s="78" t="s">
        <v>562</v>
      </c>
      <c r="S6" s="78" t="s">
        <v>554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563</v>
      </c>
      <c r="B7" s="6" t="s">
        <v>564</v>
      </c>
      <c r="C7" s="53" t="s">
        <v>554</v>
      </c>
      <c r="D7" s="53" t="s">
        <v>565</v>
      </c>
      <c r="E7" s="69" t="n">
        <v>1</v>
      </c>
      <c r="F7" s="69" t="n">
        <v>1</v>
      </c>
      <c r="G7" s="69" t="n">
        <v>1</v>
      </c>
      <c r="H7" s="58" t="n">
        <v>2</v>
      </c>
      <c r="I7" s="97" t="s">
        <v>556</v>
      </c>
      <c r="J7" s="58" t="n">
        <v>2</v>
      </c>
      <c r="K7" s="52" t="str">
        <f aca="false">IF(J7&gt;=2,"主流","非主流")</f>
        <v>主流</v>
      </c>
      <c r="L7" s="97"/>
      <c r="M7" s="97" t="s">
        <v>557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50" t="s">
        <v>105</v>
      </c>
      <c r="R7" s="78" t="s">
        <v>566</v>
      </c>
      <c r="S7" s="78" t="s">
        <v>554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567</v>
      </c>
      <c r="B8" s="6" t="s">
        <v>568</v>
      </c>
      <c r="C8" s="53" t="s">
        <v>554</v>
      </c>
      <c r="D8" s="53" t="s">
        <v>565</v>
      </c>
      <c r="E8" s="69" t="n">
        <v>1</v>
      </c>
      <c r="F8" s="69" t="n">
        <v>1</v>
      </c>
      <c r="G8" s="69" t="n">
        <v>1</v>
      </c>
      <c r="H8" s="58" t="n">
        <v>2</v>
      </c>
      <c r="I8" s="97" t="s">
        <v>556</v>
      </c>
      <c r="J8" s="58" t="n">
        <v>2</v>
      </c>
      <c r="K8" s="52" t="str">
        <f aca="false">IF(J8&gt;=2,"主流","非主流")</f>
        <v>主流</v>
      </c>
      <c r="L8" s="97"/>
      <c r="M8" s="97" t="s">
        <v>557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50" t="s">
        <v>175</v>
      </c>
      <c r="R8" s="78" t="s">
        <v>569</v>
      </c>
      <c r="S8" s="78" t="s">
        <v>554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570</v>
      </c>
      <c r="B9" s="6" t="s">
        <v>571</v>
      </c>
      <c r="C9" s="53" t="s">
        <v>554</v>
      </c>
      <c r="D9" s="53" t="s">
        <v>572</v>
      </c>
      <c r="E9" s="69" t="n">
        <v>1</v>
      </c>
      <c r="F9" s="69" t="n">
        <v>1</v>
      </c>
      <c r="G9" s="69" t="n">
        <v>1</v>
      </c>
      <c r="H9" s="58" t="n">
        <v>2</v>
      </c>
      <c r="I9" s="97" t="s">
        <v>556</v>
      </c>
      <c r="J9" s="58" t="n">
        <v>2</v>
      </c>
      <c r="K9" s="52" t="str">
        <f aca="false">IF(J9&gt;=2,"主流","非主流")</f>
        <v>主流</v>
      </c>
      <c r="L9" s="97"/>
      <c r="M9" s="97" t="s">
        <v>557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50" t="s">
        <v>175</v>
      </c>
      <c r="R9" s="78" t="s">
        <v>573</v>
      </c>
      <c r="S9" s="78" t="s">
        <v>554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574</v>
      </c>
      <c r="B10" s="6" t="s">
        <v>575</v>
      </c>
      <c r="C10" s="53" t="s">
        <v>576</v>
      </c>
      <c r="D10" s="52" t="s">
        <v>577</v>
      </c>
      <c r="E10" s="69" t="n">
        <v>0.7</v>
      </c>
      <c r="F10" s="69" t="n">
        <v>0.85</v>
      </c>
      <c r="G10" s="69" t="n">
        <v>1</v>
      </c>
      <c r="H10" s="58" t="n">
        <v>2</v>
      </c>
      <c r="I10" s="97" t="s">
        <v>578</v>
      </c>
      <c r="J10" s="58" t="n">
        <v>2</v>
      </c>
      <c r="K10" s="52" t="str">
        <f aca="false">IF(J10&gt;=2,"主流","非主流")</f>
        <v>主流</v>
      </c>
      <c r="L10" s="97"/>
      <c r="M10" s="97" t="s">
        <v>557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50" t="s">
        <v>175</v>
      </c>
      <c r="R10" s="78" t="s">
        <v>579</v>
      </c>
      <c r="S10" s="85" t="s">
        <v>580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581</v>
      </c>
      <c r="B11" s="6" t="s">
        <v>582</v>
      </c>
      <c r="C11" s="53" t="s">
        <v>583</v>
      </c>
      <c r="D11" s="52" t="s">
        <v>584</v>
      </c>
      <c r="E11" s="69" t="n">
        <v>1.5</v>
      </c>
      <c r="F11" s="69" t="n">
        <v>2</v>
      </c>
      <c r="G11" s="69" t="n">
        <v>3</v>
      </c>
      <c r="H11" s="58" t="n">
        <v>2</v>
      </c>
      <c r="I11" s="97" t="s">
        <v>578</v>
      </c>
      <c r="J11" s="58" t="n">
        <v>1</v>
      </c>
      <c r="K11" s="52" t="str">
        <f aca="false">IF(J11&gt;=2,"主流","非主流")</f>
        <v>非主流</v>
      </c>
      <c r="L11" s="97"/>
      <c r="M11" s="97" t="s">
        <v>585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50" t="s">
        <v>175</v>
      </c>
      <c r="R11" s="85" t="s">
        <v>586</v>
      </c>
      <c r="S11" s="85" t="s">
        <v>587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588</v>
      </c>
      <c r="B12" s="6" t="s">
        <v>589</v>
      </c>
      <c r="C12" s="53" t="s">
        <v>590</v>
      </c>
      <c r="D12" s="52" t="s">
        <v>591</v>
      </c>
      <c r="E12" s="69" t="n">
        <v>1.5</v>
      </c>
      <c r="F12" s="69" t="n">
        <v>2</v>
      </c>
      <c r="G12" s="69" t="n">
        <v>4</v>
      </c>
      <c r="H12" s="58" t="n">
        <v>2</v>
      </c>
      <c r="I12" s="97" t="s">
        <v>592</v>
      </c>
      <c r="J12" s="58" t="n">
        <v>0</v>
      </c>
      <c r="K12" s="52" t="str">
        <f aca="false">IF(J12&gt;=2,"主流","非主流")</f>
        <v>非主流</v>
      </c>
      <c r="L12" s="97"/>
      <c r="M12" s="97" t="s">
        <v>585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50" t="s">
        <v>70</v>
      </c>
      <c r="R12" s="85" t="s">
        <v>593</v>
      </c>
      <c r="S12" s="85" t="s">
        <v>594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595</v>
      </c>
      <c r="B13" s="6" t="s">
        <v>596</v>
      </c>
      <c r="C13" s="53" t="s">
        <v>597</v>
      </c>
      <c r="D13" s="52" t="s">
        <v>598</v>
      </c>
      <c r="E13" s="69" t="n">
        <v>1.5</v>
      </c>
      <c r="F13" s="69" t="n">
        <v>2</v>
      </c>
      <c r="G13" s="69" t="n">
        <v>4</v>
      </c>
      <c r="H13" s="58" t="n">
        <v>2</v>
      </c>
      <c r="I13" s="97" t="s">
        <v>592</v>
      </c>
      <c r="J13" s="58" t="n">
        <v>0</v>
      </c>
      <c r="K13" s="52" t="str">
        <f aca="false">IF(J13&gt;=2,"主流","非主流")</f>
        <v>非主流</v>
      </c>
      <c r="L13" s="97"/>
      <c r="M13" s="97" t="s">
        <v>585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50" t="s">
        <v>70</v>
      </c>
      <c r="R13" s="85" t="s">
        <v>599</v>
      </c>
      <c r="S13" s="85" t="s">
        <v>600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601</v>
      </c>
      <c r="B14" s="5" t="s">
        <v>602</v>
      </c>
      <c r="C14" s="53" t="s">
        <v>603</v>
      </c>
      <c r="D14" s="53" t="s">
        <v>604</v>
      </c>
      <c r="E14" s="69" t="n">
        <v>1.2</v>
      </c>
      <c r="F14" s="69" t="n">
        <v>1.4</v>
      </c>
      <c r="G14" s="69" t="n">
        <v>1.6</v>
      </c>
      <c r="H14" s="58" t="n">
        <v>2</v>
      </c>
      <c r="I14" s="97" t="s">
        <v>556</v>
      </c>
      <c r="J14" s="84" t="n">
        <f aca="false">SRC_MOD_043+SRC_MOD_044+SRC_MOD_045+SRC_MOD_047</f>
        <v>4</v>
      </c>
      <c r="K14" s="52" t="str">
        <f aca="false">IF(J14&gt;=2,"主流","非主流")</f>
        <v>主流</v>
      </c>
      <c r="L14" s="97"/>
      <c r="M14" s="97" t="s">
        <v>557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50" t="s">
        <v>175</v>
      </c>
      <c r="R14" s="85" t="s">
        <v>605</v>
      </c>
      <c r="S14" s="85" t="s">
        <v>606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607</v>
      </c>
      <c r="B15" s="6" t="s">
        <v>608</v>
      </c>
      <c r="C15" s="53" t="s">
        <v>609</v>
      </c>
      <c r="D15" s="53" t="s">
        <v>424</v>
      </c>
      <c r="E15" s="69" t="n">
        <v>0.5</v>
      </c>
      <c r="F15" s="69" t="n">
        <v>0.5</v>
      </c>
      <c r="G15" s="69" t="n">
        <v>0.75</v>
      </c>
      <c r="H15" s="58" t="n">
        <v>2</v>
      </c>
      <c r="I15" s="97" t="s">
        <v>578</v>
      </c>
      <c r="J15" s="58" t="n">
        <v>1</v>
      </c>
      <c r="K15" s="52" t="str">
        <f aca="false">IF(J15&gt;=2,"主流","非主流")</f>
        <v>非主流</v>
      </c>
      <c r="L15" s="97"/>
      <c r="M15" s="97" t="s">
        <v>585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50" t="s">
        <v>70</v>
      </c>
      <c r="R15" s="78" t="s">
        <v>610</v>
      </c>
      <c r="S15" s="85" t="s">
        <v>611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612</v>
      </c>
      <c r="B16" s="6" t="s">
        <v>613</v>
      </c>
      <c r="C16" s="53" t="s">
        <v>614</v>
      </c>
      <c r="D16" s="53" t="s">
        <v>615</v>
      </c>
      <c r="E16" s="69" t="n">
        <v>1</v>
      </c>
      <c r="F16" s="69" t="n">
        <v>1</v>
      </c>
      <c r="G16" s="69" t="n">
        <v>1</v>
      </c>
      <c r="H16" s="58" t="n">
        <v>2</v>
      </c>
      <c r="I16" s="97" t="s">
        <v>616</v>
      </c>
      <c r="J16" s="58" t="n">
        <v>0</v>
      </c>
      <c r="K16" s="52" t="str">
        <f aca="false">IF(J16&gt;=2,"主流","非主流")</f>
        <v>非主流</v>
      </c>
      <c r="L16" s="97"/>
      <c r="M16" s="97" t="s">
        <v>585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50" t="s">
        <v>70</v>
      </c>
      <c r="R16" s="78" t="s">
        <v>617</v>
      </c>
      <c r="S16" s="85" t="s">
        <v>618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59" t="s">
        <v>619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customFormat="false" ht="15" hidden="false" customHeight="false" outlineLevel="0" collapsed="false">
      <c r="A19" s="10" t="s">
        <v>620</v>
      </c>
      <c r="B19" s="10" t="s">
        <v>621</v>
      </c>
      <c r="C19" s="10"/>
      <c r="D19" s="10" t="s">
        <v>622</v>
      </c>
      <c r="E19" s="10" t="s">
        <v>623</v>
      </c>
    </row>
    <row r="20" customFormat="false" ht="15" hidden="false" customHeight="false" outlineLevel="0" collapsed="false">
      <c r="A20" s="51" t="s">
        <v>624</v>
      </c>
      <c r="B20" s="53" t="s">
        <v>625</v>
      </c>
      <c r="D20" s="78" t="s">
        <v>626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597</v>
      </c>
      <c r="B21" s="52" t="s">
        <v>458</v>
      </c>
      <c r="D21" s="78" t="s">
        <v>627</v>
      </c>
      <c r="E21" s="98" t="n">
        <f aca="false">EXP(SUMPRODUCT(($C$5:$C$16="H_TL")*LN($P$5:$P$16)))</f>
        <v>1</v>
      </c>
    </row>
    <row r="22" customFormat="false" ht="26.85" hidden="false" customHeight="false" outlineLevel="0" collapsed="false">
      <c r="A22" s="51" t="s">
        <v>590</v>
      </c>
      <c r="B22" s="52" t="s">
        <v>628</v>
      </c>
      <c r="D22" s="78" t="s">
        <v>629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609</v>
      </c>
      <c r="B23" s="53" t="s">
        <v>630</v>
      </c>
      <c r="D23" s="78" t="s">
        <v>631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632</v>
      </c>
      <c r="B24" s="52" t="s">
        <v>633</v>
      </c>
      <c r="D24" s="78" t="s">
        <v>634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583</v>
      </c>
      <c r="B25" s="52" t="s">
        <v>635</v>
      </c>
      <c r="D25" s="78" t="s">
        <v>636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637</v>
      </c>
      <c r="B26" s="52" t="s">
        <v>638</v>
      </c>
      <c r="D26" s="78" t="s">
        <v>639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576</v>
      </c>
      <c r="B27" s="52" t="s">
        <v>640</v>
      </c>
      <c r="D27" s="78" t="s">
        <v>641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603</v>
      </c>
      <c r="B28" s="53" t="s">
        <v>642</v>
      </c>
      <c r="D28" s="78" t="s">
        <v>643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644</v>
      </c>
      <c r="B29" s="52" t="s">
        <v>645</v>
      </c>
      <c r="D29" s="78" t="s">
        <v>646</v>
      </c>
      <c r="E29" s="98" t="n">
        <f aca="false">EXP(SUMPRODUCT(($C$5:$C$16="H_CAP")*LN($P$5:$P$16)))</f>
        <v>1</v>
      </c>
    </row>
    <row r="30" customFormat="false" ht="24.6" hidden="false" customHeight="false" outlineLevel="0" collapsed="false">
      <c r="A30" s="51" t="s">
        <v>614</v>
      </c>
      <c r="B30" s="53" t="s">
        <v>647</v>
      </c>
      <c r="D30" s="78" t="s">
        <v>648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649</v>
      </c>
      <c r="B32" s="99" t="s">
        <v>650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651</v>
      </c>
    </row>
    <row r="2" customFormat="false" ht="15" hidden="false" customHeight="false" outlineLevel="0" collapsed="false">
      <c r="A2" s="50" t="s">
        <v>652</v>
      </c>
    </row>
    <row r="4" customFormat="false" ht="15" hidden="false" customHeight="false" outlineLevel="0" collapsed="false">
      <c r="A4" s="1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653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10" t="s">
        <v>390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10" t="s">
        <v>654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82" t="s">
        <v>655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656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657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658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82" t="s">
        <v>659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2" t="s">
        <v>413</v>
      </c>
      <c r="B14" s="53" t="s">
        <v>414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415</v>
      </c>
      <c r="B15" s="53" t="s">
        <v>660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416</v>
      </c>
      <c r="B16" s="53" t="s">
        <v>301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661</v>
      </c>
      <c r="B17" s="53" t="s">
        <v>301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193</v>
      </c>
      <c r="B18" s="53" t="s">
        <v>662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663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664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665</v>
      </c>
      <c r="B21" s="53" t="s">
        <v>662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147</v>
      </c>
      <c r="B22" s="52" t="s">
        <v>666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667</v>
      </c>
      <c r="B23" s="53" t="s">
        <v>668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669</v>
      </c>
      <c r="B24" s="53" t="s">
        <v>670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671</v>
      </c>
      <c r="B25" s="52" t="s">
        <v>672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673</v>
      </c>
      <c r="B26" s="53" t="s">
        <v>674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82" t="s">
        <v>675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676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423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677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425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678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82" t="s">
        <v>679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3" t="s">
        <v>311</v>
      </c>
      <c r="B41" s="53" t="s">
        <v>312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680</v>
      </c>
      <c r="B42" s="53" t="s">
        <v>315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681</v>
      </c>
      <c r="B43" s="53" t="s">
        <v>248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318</v>
      </c>
      <c r="B44" s="53" t="s">
        <v>248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319</v>
      </c>
      <c r="B45" s="53" t="s">
        <v>248</v>
      </c>
      <c r="C45" s="66" t="n">
        <f aca="false">C43+C44/2</f>
        <v>8704</v>
      </c>
      <c r="D45" s="66" t="n">
        <f aca="false">D43+D44/2</f>
        <v>17408</v>
      </c>
      <c r="E45" s="66" t="n">
        <f aca="false">E43+E44/2</f>
        <v>34816</v>
      </c>
      <c r="F45" s="66" t="n">
        <f aca="false">F43+F44/2</f>
        <v>8704</v>
      </c>
      <c r="G45" s="66" t="n">
        <f aca="false">G43+G44/2</f>
        <v>17408</v>
      </c>
      <c r="H45" s="66" t="n">
        <f aca="false">H43+H44/2</f>
        <v>34816</v>
      </c>
      <c r="I45" s="66" t="n">
        <f aca="false">I43+I44/2</f>
        <v>8704</v>
      </c>
      <c r="J45" s="66" t="n">
        <f aca="false">J43+J44/2</f>
        <v>17408</v>
      </c>
      <c r="K45" s="66" t="n">
        <f aca="false">K43+K44/2</f>
        <v>34816</v>
      </c>
      <c r="L45" s="66" t="n">
        <f aca="false">L43+L44/2</f>
        <v>8704</v>
      </c>
      <c r="M45" s="66" t="n">
        <f aca="false">M43+M44/2</f>
        <v>17408</v>
      </c>
      <c r="N45" s="66" t="n">
        <f aca="false">N43+N44/2</f>
        <v>34816</v>
      </c>
      <c r="O45" s="66" t="n">
        <f aca="false">O43+O44/2</f>
        <v>8704</v>
      </c>
      <c r="P45" s="66" t="n">
        <f aca="false">P43+P44/2</f>
        <v>17408</v>
      </c>
      <c r="Q45" s="66" t="n">
        <f aca="false">Q43+Q44/2</f>
        <v>34816</v>
      </c>
    </row>
    <row r="46" customFormat="false" ht="15" hidden="false" customHeight="false" outlineLevel="0" collapsed="false">
      <c r="A46" s="53" t="s">
        <v>320</v>
      </c>
      <c r="B46" s="53" t="s">
        <v>248</v>
      </c>
      <c r="C46" s="66" t="n">
        <f aca="false">C43/2</f>
        <v>4096</v>
      </c>
      <c r="D46" s="66" t="n">
        <f aca="false">D43/2</f>
        <v>8192</v>
      </c>
      <c r="E46" s="66" t="n">
        <f aca="false">E43/2</f>
        <v>16384</v>
      </c>
      <c r="F46" s="66" t="n">
        <f aca="false">F43/2</f>
        <v>4096</v>
      </c>
      <c r="G46" s="66" t="n">
        <f aca="false">G43/2</f>
        <v>8192</v>
      </c>
      <c r="H46" s="66" t="n">
        <f aca="false">H43/2</f>
        <v>16384</v>
      </c>
      <c r="I46" s="66" t="n">
        <f aca="false">I43/2</f>
        <v>4096</v>
      </c>
      <c r="J46" s="66" t="n">
        <f aca="false">J43/2</f>
        <v>8192</v>
      </c>
      <c r="K46" s="66" t="n">
        <f aca="false">K43/2</f>
        <v>16384</v>
      </c>
      <c r="L46" s="66" t="n">
        <f aca="false">L43/2</f>
        <v>4096</v>
      </c>
      <c r="M46" s="66" t="n">
        <f aca="false">M43/2</f>
        <v>8192</v>
      </c>
      <c r="N46" s="66" t="n">
        <f aca="false">N43/2</f>
        <v>16384</v>
      </c>
      <c r="O46" s="66" t="n">
        <f aca="false">O43/2</f>
        <v>4096</v>
      </c>
      <c r="P46" s="66" t="n">
        <f aca="false">P43/2</f>
        <v>8192</v>
      </c>
      <c r="Q46" s="66" t="n">
        <f aca="false">Q43/2</f>
        <v>16384</v>
      </c>
    </row>
    <row r="47" customFormat="false" ht="15" hidden="false" customHeight="false" outlineLevel="0" collapsed="false">
      <c r="A47" s="53" t="s">
        <v>682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</row>
    <row r="48" customFormat="false" ht="15" hidden="false" customHeight="false" outlineLevel="0" collapsed="false">
      <c r="A48" s="52" t="s">
        <v>683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684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</row>
    <row r="50" customFormat="false" ht="15" hidden="false" customHeight="false" outlineLevel="0" collapsed="false">
      <c r="A50" s="52" t="s">
        <v>307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685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686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687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688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689</v>
      </c>
      <c r="B55" s="53" t="s">
        <v>452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690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691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692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693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694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695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696</v>
      </c>
      <c r="B62" s="53" t="s">
        <v>417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82" t="s">
        <v>697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3" t="s">
        <v>698</v>
      </c>
      <c r="B64" s="53" t="s">
        <v>248</v>
      </c>
      <c r="C64" s="66" t="n">
        <f aca="false">C36*IF(C37=0,C45,MIN(C45,C37))+(1-C36)*(C45/C38+C39)</f>
        <v>2210</v>
      </c>
      <c r="D64" s="66" t="n">
        <f aca="false">D36*IF(D37=0,D45,MIN(D45,D37))+(1-D36)*(D45/D38+D39)</f>
        <v>2244</v>
      </c>
      <c r="E64" s="66" t="n">
        <f aca="false">E36*IF(E37=0,E45,MIN(E45,E37))+(1-E36)*(E45/E38+E39)</f>
        <v>34816</v>
      </c>
      <c r="F64" s="66" t="n">
        <f aca="false">F36*IF(F37=0,F45,MIN(F45,F37))+(1-F36)*(F45/F38+F39)</f>
        <v>2210</v>
      </c>
      <c r="G64" s="66" t="n">
        <f aca="false">G36*IF(G37=0,G45,MIN(G45,G37))+(1-G36)*(G45/G38+G39)</f>
        <v>2244</v>
      </c>
      <c r="H64" s="66" t="n">
        <f aca="false">H36*IF(H37=0,H45,MIN(H45,H37))+(1-H36)*(H45/H38+H39)</f>
        <v>34816</v>
      </c>
      <c r="I64" s="66" t="n">
        <f aca="false">I36*IF(I37=0,I45,MIN(I45,I37))+(1-I36)*(I45/I38+I39)</f>
        <v>2210</v>
      </c>
      <c r="J64" s="66" t="n">
        <f aca="false">J36*IF(J37=0,J45,MIN(J45,J37))+(1-J36)*(J45/J38+J39)</f>
        <v>2244</v>
      </c>
      <c r="K64" s="66" t="n">
        <f aca="false">K36*IF(K37=0,K45,MIN(K45,K37))+(1-K36)*(K45/K38+K39)</f>
        <v>34816</v>
      </c>
      <c r="L64" s="66" t="n">
        <f aca="false">L36*IF(L37=0,L45,MIN(L45,L37))+(1-L36)*(L45/L38+L39)</f>
        <v>2210</v>
      </c>
      <c r="M64" s="66" t="n">
        <f aca="false">M36*IF(M37=0,M45,MIN(M45,M37))+(1-M36)*(M45/M38+M39)</f>
        <v>2244</v>
      </c>
      <c r="N64" s="66" t="n">
        <f aca="false">N36*IF(N37=0,N45,MIN(N45,N37))+(1-N36)*(N45/N38+N39)</f>
        <v>34816</v>
      </c>
      <c r="O64" s="66" t="n">
        <f aca="false">O36*IF(O37=0,O45,MIN(O45,O37))+(1-O36)*(O45/O38+O39)</f>
        <v>2210</v>
      </c>
      <c r="P64" s="66" t="n">
        <f aca="false">P36*IF(P37=0,P45,MIN(P45,P37))+(1-P36)*(P45/P38+P39)</f>
        <v>2244</v>
      </c>
      <c r="Q64" s="66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430</v>
      </c>
      <c r="B65" s="53" t="s">
        <v>431</v>
      </c>
      <c r="C65" s="65" t="n">
        <f aca="false">(2*C28*1000000000+C35*C64)*C10/1000000000</f>
        <v>38.45577216</v>
      </c>
      <c r="D65" s="65" t="n">
        <f aca="false">(2*D28*1000000000+D35*D64)*D10/1000000000</f>
        <v>133.883319296</v>
      </c>
      <c r="E65" s="65" t="n">
        <f aca="false">(2*E28*1000000000+E35*E64)*E10/1000000000</f>
        <v>531.1276032</v>
      </c>
      <c r="F65" s="65" t="n">
        <f aca="false">(2*F28*1000000000+F35*F64)*F10/1000000000</f>
        <v>38.45577216</v>
      </c>
      <c r="G65" s="65" t="n">
        <f aca="false">(2*G28*1000000000+G35*G64)*G10/1000000000</f>
        <v>133.883319296</v>
      </c>
      <c r="H65" s="65" t="n">
        <f aca="false">(2*H28*1000000000+H35*H64)*H10/1000000000</f>
        <v>531.1276032</v>
      </c>
      <c r="I65" s="65" t="n">
        <f aca="false">(2*I28*1000000000+I35*I64)*I10/1000000000</f>
        <v>38.45577216</v>
      </c>
      <c r="J65" s="65" t="n">
        <f aca="false">(2*J28*1000000000+J35*J64)*J10/1000000000</f>
        <v>133.883319296</v>
      </c>
      <c r="K65" s="65" t="n">
        <f aca="false">(2*K28*1000000000+K35*K64)*K10/1000000000</f>
        <v>531.1276032</v>
      </c>
      <c r="L65" s="65" t="n">
        <f aca="false">(2*L28*1000000000+L35*L64)*L10/1000000000</f>
        <v>38.45577216</v>
      </c>
      <c r="M65" s="65" t="n">
        <f aca="false">(2*M28*1000000000+M35*M64)*M10/1000000000</f>
        <v>133.883319296</v>
      </c>
      <c r="N65" s="65" t="n">
        <f aca="false">(2*N28*1000000000+N35*N64)*N10/1000000000</f>
        <v>531.1276032</v>
      </c>
      <c r="O65" s="65" t="n">
        <f aca="false">(2*O28*1000000000+O35*O64)*O10/1000000000</f>
        <v>38.45577216</v>
      </c>
      <c r="P65" s="65" t="n">
        <f aca="false">(2*P28*1000000000+P35*P64)*P10/1000000000</f>
        <v>133.883319296</v>
      </c>
      <c r="Q65" s="65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699</v>
      </c>
      <c r="B66" s="53" t="s">
        <v>248</v>
      </c>
      <c r="C66" s="66" t="n">
        <f aca="false">C36*IF(C37=0,C46,MIN(C46,C37))+(1-C36)*(C46/C38+C39)</f>
        <v>2128</v>
      </c>
      <c r="D66" s="66" t="n">
        <f aca="false">D36*IF(D37=0,D46,MIN(D46,D37))+(1-D36)*(D46/D38+D39)</f>
        <v>2208</v>
      </c>
      <c r="E66" s="66" t="n">
        <f aca="false">E36*IF(E37=0,E46,MIN(E46,E37))+(1-E36)*(E46/E38+E39)</f>
        <v>16384</v>
      </c>
      <c r="F66" s="66" t="n">
        <f aca="false">F36*IF(F37=0,F46,MIN(F46,F37))+(1-F36)*(F46/F38+F39)</f>
        <v>2128</v>
      </c>
      <c r="G66" s="66" t="n">
        <f aca="false">G36*IF(G37=0,G46,MIN(G46,G37))+(1-G36)*(G46/G38+G39)</f>
        <v>2208</v>
      </c>
      <c r="H66" s="66" t="n">
        <f aca="false">H36*IF(H37=0,H46,MIN(H46,H37))+(1-H36)*(H46/H38+H39)</f>
        <v>16384</v>
      </c>
      <c r="I66" s="66" t="n">
        <f aca="false">I36*IF(I37=0,I46,MIN(I46,I37))+(1-I36)*(I46/I38+I39)</f>
        <v>2128</v>
      </c>
      <c r="J66" s="66" t="n">
        <f aca="false">J36*IF(J37=0,J46,MIN(J46,J37))+(1-J36)*(J46/J38+J39)</f>
        <v>2208</v>
      </c>
      <c r="K66" s="66" t="n">
        <f aca="false">K36*IF(K37=0,K46,MIN(K46,K37))+(1-K36)*(K46/K38+K39)</f>
        <v>16384</v>
      </c>
      <c r="L66" s="66" t="n">
        <f aca="false">L36*IF(L37=0,L46,MIN(L46,L37))+(1-L36)*(L46/L38+L39)</f>
        <v>2128</v>
      </c>
      <c r="M66" s="66" t="n">
        <f aca="false">M36*IF(M37=0,M46,MIN(M46,M37))+(1-M36)*(M46/M38+M39)</f>
        <v>2208</v>
      </c>
      <c r="N66" s="66" t="n">
        <f aca="false">N36*IF(N37=0,N46,MIN(N46,N37))+(1-N36)*(N46/N38+N39)</f>
        <v>16384</v>
      </c>
      <c r="O66" s="66" t="n">
        <f aca="false">O36*IF(O37=0,O46,MIN(O46,O37))+(1-O36)*(O46/O38+O39)</f>
        <v>2128</v>
      </c>
      <c r="P66" s="66" t="n">
        <f aca="false">P36*IF(P37=0,P46,MIN(P46,P37))+(1-P36)*(P46/P38+P39)</f>
        <v>2208</v>
      </c>
      <c r="Q66" s="66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433</v>
      </c>
      <c r="B67" s="53" t="s">
        <v>431</v>
      </c>
      <c r="C67" s="65" t="n">
        <f aca="false">(2*C28*1000000000+C35*C66)*C10/1000000000</f>
        <v>37.993612288</v>
      </c>
      <c r="D67" s="65" t="n">
        <f aca="false">(2*D28*1000000000+D35*D66)*D10/1000000000</f>
        <v>133.307651072</v>
      </c>
      <c r="E67" s="65" t="n">
        <f aca="false">(2*E28*1000000000+E35*E66)*E10/1000000000</f>
        <v>440.5306368</v>
      </c>
      <c r="F67" s="65" t="n">
        <f aca="false">(2*F28*1000000000+F35*F66)*F10/1000000000</f>
        <v>37.993612288</v>
      </c>
      <c r="G67" s="65" t="n">
        <f aca="false">(2*G28*1000000000+G35*G66)*G10/1000000000</f>
        <v>133.307651072</v>
      </c>
      <c r="H67" s="65" t="n">
        <f aca="false">(2*H28*1000000000+H35*H66)*H10/1000000000</f>
        <v>440.5306368</v>
      </c>
      <c r="I67" s="65" t="n">
        <f aca="false">(2*I28*1000000000+I35*I66)*I10/1000000000</f>
        <v>37.993612288</v>
      </c>
      <c r="J67" s="65" t="n">
        <f aca="false">(2*J28*1000000000+J35*J66)*J10/1000000000</f>
        <v>133.307651072</v>
      </c>
      <c r="K67" s="65" t="n">
        <f aca="false">(2*K28*1000000000+K35*K66)*K10/1000000000</f>
        <v>440.5306368</v>
      </c>
      <c r="L67" s="65" t="n">
        <f aca="false">(2*L28*1000000000+L35*L66)*L10/1000000000</f>
        <v>37.993612288</v>
      </c>
      <c r="M67" s="65" t="n">
        <f aca="false">(2*M28*1000000000+M35*M66)*M10/1000000000</f>
        <v>133.307651072</v>
      </c>
      <c r="N67" s="65" t="n">
        <f aca="false">(2*N28*1000000000+N35*N66)*N10/1000000000</f>
        <v>440.5306368</v>
      </c>
      <c r="O67" s="65" t="n">
        <f aca="false">(2*O28*1000000000+O35*O66)*O10/1000000000</f>
        <v>37.993612288</v>
      </c>
      <c r="P67" s="65" t="n">
        <f aca="false">(2*P28*1000000000+P35*P66)*P10/1000000000</f>
        <v>133.307651072</v>
      </c>
      <c r="Q67" s="65" t="n">
        <f aca="false">(2*Q28*1000000000+Q35*Q66)*Q10/1000000000</f>
        <v>440.5306368</v>
      </c>
    </row>
    <row r="68" customFormat="false" ht="15" hidden="false" customHeight="false" outlineLevel="0" collapsed="false">
      <c r="A68" s="82" t="s">
        <v>700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2" t="s">
        <v>434</v>
      </c>
      <c r="B69" s="53" t="s">
        <v>273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</row>
    <row r="70" customFormat="false" ht="15" hidden="false" customHeight="false" outlineLevel="0" collapsed="false">
      <c r="A70" s="52" t="s">
        <v>701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702</v>
      </c>
      <c r="B71" s="53" t="s">
        <v>662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</row>
    <row r="72" customFormat="false" ht="15" hidden="false" customHeight="false" outlineLevel="0" collapsed="false">
      <c r="A72" s="52" t="s">
        <v>437</v>
      </c>
      <c r="B72" s="53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</row>
    <row r="73" customFormat="false" ht="15" hidden="false" customHeight="false" outlineLevel="0" collapsed="false">
      <c r="A73" s="52" t="s">
        <v>703</v>
      </c>
      <c r="B73" s="53" t="s">
        <v>69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</row>
    <row r="74" customFormat="false" ht="15" hidden="false" customHeight="false" outlineLevel="0" collapsed="false">
      <c r="A74" s="82" t="s">
        <v>704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3" t="s">
        <v>705</v>
      </c>
      <c r="B75" s="53" t="s">
        <v>312</v>
      </c>
      <c r="C75" s="66" t="n">
        <f aca="false">C51*C14*1000000000000000/(C67*1000000000)</f>
        <v>7813.15547860549</v>
      </c>
      <c r="D75" s="66" t="n">
        <f aca="false">D51*D14*1000000000000000/(D67*1000000000)</f>
        <v>2226.80392020163</v>
      </c>
      <c r="E75" s="66" t="n">
        <f aca="false">E51*E14*1000000000000000/(E67*1000000000)</f>
        <v>673.846437006762</v>
      </c>
      <c r="F75" s="66" t="n">
        <f aca="false">F51*F14*1000000000000000/(F67*1000000000)</f>
        <v>78960.6415220363</v>
      </c>
      <c r="G75" s="66" t="n">
        <f aca="false">G51*G14*1000000000000000/(G67*1000000000)</f>
        <v>22504.3347165399</v>
      </c>
      <c r="H75" s="66" t="n">
        <f aca="false">H51*H14*1000000000000000/(H67*1000000000)</f>
        <v>6809.96904504055</v>
      </c>
      <c r="I75" s="66" t="n">
        <f aca="false">I51*I14*1000000000000000/(I67*1000000000)</f>
        <v>118440.962283054</v>
      </c>
      <c r="J75" s="66" t="n">
        <f aca="false">J51*J14*1000000000000000/(J67*1000000000)</f>
        <v>33756.5020748099</v>
      </c>
      <c r="K75" s="66" t="n">
        <f aca="false">K51*K14*1000000000000000/(K67*1000000000)</f>
        <v>10214.9535675608</v>
      </c>
      <c r="L75" s="66" t="n">
        <f aca="false">L51*L14*1000000000000000/(L67*1000000000)</f>
        <v>276362.245327127</v>
      </c>
      <c r="M75" s="66" t="n">
        <f aca="false">M51*M14*1000000000000000/(M67*1000000000)</f>
        <v>78765.1715078897</v>
      </c>
      <c r="N75" s="66" t="n">
        <f aca="false">N51*N14*1000000000000000/(N67*1000000000)</f>
        <v>23834.8916576419</v>
      </c>
      <c r="O75" s="66" t="n">
        <f aca="false">O51*O14*1000000000000000/(O67*1000000000)</f>
        <v>576412.683110865</v>
      </c>
      <c r="P75" s="66" t="n">
        <f aca="false">P51*P14*1000000000000000/(P67*1000000000)</f>
        <v>164281.643430741</v>
      </c>
      <c r="Q75" s="66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706</v>
      </c>
      <c r="B76" s="53" t="s">
        <v>315</v>
      </c>
      <c r="C76" s="67" t="n">
        <f aca="false">C43*C67*1000000000/(C51*C14*1000000000000000*C21)</f>
        <v>0.131061003816446</v>
      </c>
      <c r="D76" s="67" t="n">
        <f aca="false">D43*D67*1000000000/(D51*D14*1000000000000000*D21)</f>
        <v>0.919703787756295</v>
      </c>
      <c r="E76" s="67" t="n">
        <f aca="false">E43*E67*1000000000/(E51*E14*1000000000000000*E21)</f>
        <v>6.07853625849015</v>
      </c>
      <c r="F76" s="67" t="n">
        <f aca="false">F43*F67*1000000000/(F51*F14*1000000000000000*F21)</f>
        <v>0.0259369726552747</v>
      </c>
      <c r="G76" s="67" t="n">
        <f aca="false">G43*G67*1000000000/(G51*G14*1000000000000000*G21)</f>
        <v>0.182009379596971</v>
      </c>
      <c r="H76" s="67" t="n">
        <f aca="false">H43*H67*1000000000/(H51*H14*1000000000000000*H21)</f>
        <v>1.2029423255552</v>
      </c>
      <c r="I76" s="67" t="n">
        <f aca="false">I43*I67*1000000000/(I51*I14*1000000000000000*I21)</f>
        <v>0.0172913151035164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0.801961550370133</v>
      </c>
      <c r="L76" s="67" t="n">
        <f aca="false">L43*L67*1000000000/(L51*L14*1000000000000000*L21)</f>
        <v>0.00741056361579276</v>
      </c>
      <c r="M76" s="67" t="n">
        <f aca="false">M43*M67*1000000000/(M51*M14*1000000000000000*M21)</f>
        <v>0.0520026798848488</v>
      </c>
      <c r="N76" s="67" t="n">
        <f aca="false">N43*N67*1000000000/(N51*N14*1000000000000000*N21)</f>
        <v>0.343697807301486</v>
      </c>
      <c r="O76" s="67" t="n">
        <f aca="false">O43*O67*1000000000/(O51*O14*1000000000000000*O21)</f>
        <v>0.00177650497638868</v>
      </c>
      <c r="P76" s="67" t="n">
        <f aca="false">P43*P67*1000000000/(P51*P14*1000000000000000*P21)</f>
        <v>0.0124663958628062</v>
      </c>
      <c r="Q76" s="67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707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82" t="s">
        <v>708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2" t="s">
        <v>709</v>
      </c>
      <c r="B79" s="53" t="s">
        <v>442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</row>
    <row r="80" customFormat="false" ht="15" hidden="false" customHeight="false" outlineLevel="0" collapsed="false">
      <c r="A80" s="52" t="s">
        <v>710</v>
      </c>
      <c r="B80" s="53" t="s">
        <v>442</v>
      </c>
      <c r="C80" s="63" t="n">
        <f aca="false">(C47+1)*C65/(C14*C53)/1000</f>
        <v>1.43770909139744</v>
      </c>
      <c r="D80" s="63" t="n">
        <f aca="false">(D47+1)*D65/(D14*D53)/1000</f>
        <v>5.00536732268608</v>
      </c>
      <c r="E80" s="63" t="n">
        <f aca="false">(E47+1)*E65/(E14*E53)/1000</f>
        <v>19.8567585806284</v>
      </c>
      <c r="F80" s="63" t="n">
        <f aca="false">(F47+1)*F65/(F14*F53)/1000</f>
        <v>0.426783943781329</v>
      </c>
      <c r="G80" s="63" t="n">
        <f aca="false">(G47+1)*G65/(G14*G53)/1000</f>
        <v>1.48584328973936</v>
      </c>
      <c r="H80" s="63" t="n">
        <f aca="false">(H47+1)*H65/(H14*H53)/1000</f>
        <v>5.89447878465954</v>
      </c>
      <c r="I80" s="63" t="n">
        <f aca="false">(I47+1)*I65/(I14*I53)/1000</f>
        <v>0.284522629187553</v>
      </c>
      <c r="J80" s="63" t="n">
        <f aca="false">(J47+1)*J65/(J14*J53)/1000</f>
        <v>0.990562193159576</v>
      </c>
      <c r="K80" s="63" t="n">
        <f aca="false">(K47+1)*K65/(K14*K53)/1000</f>
        <v>3.92965252310636</v>
      </c>
      <c r="L80" s="63" t="n">
        <f aca="false">(L47+1)*L65/(L14*L53)/1000</f>
        <v>0.121938269651808</v>
      </c>
      <c r="M80" s="63" t="n">
        <f aca="false">(M47+1)*M65/(M14*M53)/1000</f>
        <v>0.424526654211247</v>
      </c>
      <c r="N80" s="63" t="n">
        <f aca="false">(N47+1)*N65/(N14*N53)/1000</f>
        <v>1.68413679561701</v>
      </c>
      <c r="O80" s="63" t="n">
        <f aca="false">(O47+1)*O65/(O14*O53)/1000</f>
        <v>0.0584635539426479</v>
      </c>
      <c r="P80" s="63" t="n">
        <f aca="false">(P47+1)*P65/(P14*P53)/1000</f>
        <v>0.203540176676625</v>
      </c>
      <c r="Q80" s="63" t="n">
        <f aca="false">(Q47+1)*Q65/(Q14*Q53)/1000</f>
        <v>0.807462847213636</v>
      </c>
    </row>
    <row r="81" customFormat="false" ht="15" hidden="false" customHeight="false" outlineLevel="0" collapsed="false">
      <c r="A81" s="52" t="s">
        <v>711</v>
      </c>
      <c r="B81" s="53" t="s">
        <v>442</v>
      </c>
      <c r="C81" s="63" t="n">
        <f aca="false">C34*C45/(C16*C60)/1000000000</f>
        <v>0.0103742771855011</v>
      </c>
      <c r="D81" s="63" t="n">
        <f aca="false">D34*D45/(D16*D60)/1000000000</f>
        <v>0.0294339957356077</v>
      </c>
      <c r="E81" s="63" t="n">
        <f aca="false">E34*E45/(E16*E60)/1000000000</f>
        <v>0.855181918976546</v>
      </c>
      <c r="F81" s="63" t="n">
        <f aca="false">F34*F45/(F16*F60)/1000000000</f>
        <v>0.00434422857142857</v>
      </c>
      <c r="G81" s="63" t="n">
        <f aca="false">G34*G45/(G16*G60)/1000000000</f>
        <v>0.0123254857142857</v>
      </c>
      <c r="H81" s="63" t="n">
        <f aca="false">H34*H45/(H16*H60)/1000000000</f>
        <v>0.358107428571429</v>
      </c>
      <c r="I81" s="63" t="n">
        <f aca="false">I34*I45/(I16*I60)/1000000000</f>
        <v>0.00434422857142857</v>
      </c>
      <c r="J81" s="63" t="n">
        <f aca="false">J34*J45/(J16*J60)/1000000000</f>
        <v>0.0123254857142857</v>
      </c>
      <c r="K81" s="63" t="n">
        <f aca="false">K34*K45/(K16*K60)/1000000000</f>
        <v>0.358107428571429</v>
      </c>
      <c r="L81" s="63" t="n">
        <f aca="false">L34*L45/(L16*L60)/1000000000</f>
        <v>0.00157971948051948</v>
      </c>
      <c r="M81" s="63" t="n">
        <f aca="false">M34*M45/(M16*M60)/1000000000</f>
        <v>0.00448199480519481</v>
      </c>
      <c r="N81" s="63" t="n">
        <f aca="false">N34*N45/(N16*N60)/1000000000</f>
        <v>0.130220883116883</v>
      </c>
      <c r="O81" s="63" t="n">
        <f aca="false">O34*O45/(O16*O60)/1000000000</f>
        <v>0.00108605714285714</v>
      </c>
      <c r="P81" s="63" t="n">
        <f aca="false">P34*P45/(P16*P60)/1000000000</f>
        <v>0.00308137142857143</v>
      </c>
      <c r="Q81" s="63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712</v>
      </c>
      <c r="B82" s="53" t="s">
        <v>442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713</v>
      </c>
      <c r="B83" s="53" t="s">
        <v>442</v>
      </c>
      <c r="C83" s="63" t="n">
        <f aca="false">MAX(C80,C81,C82)</f>
        <v>1.43770909139744</v>
      </c>
      <c r="D83" s="63" t="n">
        <f aca="false">MAX(D80,D81,D82)</f>
        <v>5.00536732268608</v>
      </c>
      <c r="E83" s="63" t="n">
        <f aca="false">MAX(E80,E81,E82)</f>
        <v>19.8567585806284</v>
      </c>
      <c r="F83" s="63" t="n">
        <f aca="false">MAX(F80,F81,F82)</f>
        <v>0.426783943781329</v>
      </c>
      <c r="G83" s="63" t="n">
        <f aca="false">MAX(G80,G81,G82)</f>
        <v>1.48584328973936</v>
      </c>
      <c r="H83" s="63" t="n">
        <f aca="false">MAX(H80,H81,H82)</f>
        <v>5.89447878465954</v>
      </c>
      <c r="I83" s="63" t="n">
        <f aca="false">MAX(I80,I81,I82)</f>
        <v>0.284522629187553</v>
      </c>
      <c r="J83" s="63" t="n">
        <f aca="false">MAX(J80,J81,J82)</f>
        <v>0.990562193159576</v>
      </c>
      <c r="K83" s="63" t="n">
        <f aca="false">MAX(K80,K81,K82)</f>
        <v>3.92965252310636</v>
      </c>
      <c r="L83" s="63" t="n">
        <f aca="false">MAX(L80,L81,L82)</f>
        <v>0.121938269651808</v>
      </c>
      <c r="M83" s="63" t="n">
        <f aca="false">MAX(M80,M81,M82)</f>
        <v>0.424526654211247</v>
      </c>
      <c r="N83" s="63" t="n">
        <f aca="false">MAX(N80,N81,N82)</f>
        <v>1.68413679561701</v>
      </c>
      <c r="O83" s="63" t="n">
        <f aca="false">MAX(O80,O81,O82)</f>
        <v>0.0584635539426479</v>
      </c>
      <c r="P83" s="63" t="n">
        <f aca="false">MAX(P80,P81,P82)</f>
        <v>0.203540176676625</v>
      </c>
      <c r="Q83" s="63" t="n">
        <f aca="false">MAX(Q80,Q81,Q82)</f>
        <v>0.807462847213636</v>
      </c>
    </row>
    <row r="84" customFormat="false" ht="15" hidden="false" customHeight="false" outlineLevel="0" collapsed="false">
      <c r="A84" s="52" t="s">
        <v>714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715</v>
      </c>
      <c r="B85" s="52" t="s">
        <v>446</v>
      </c>
      <c r="C85" s="65" t="n">
        <f aca="false">(1000*C49/C41-C79)/C83</f>
        <v>4.96220407634305</v>
      </c>
      <c r="D85" s="65" t="n">
        <f aca="false">(1000*D49/D41-D79)/D83</f>
        <v>2.63474120777766</v>
      </c>
      <c r="E85" s="65" t="n">
        <f aca="false">(1000*E49/E41-E79)/E83</f>
        <v>0.457432839761085</v>
      </c>
      <c r="F85" s="65" t="n">
        <f aca="false">(1000*F49/F41-F79)/F83</f>
        <v>29.1643766752891</v>
      </c>
      <c r="G85" s="65" t="n">
        <f aca="false">(1000*G49/G41-G79)/G83</f>
        <v>15.2812961295741</v>
      </c>
      <c r="H85" s="65" t="n">
        <f aca="false">(1000*H49/H41-H79)/H83</f>
        <v>3.10599835099004</v>
      </c>
      <c r="I85" s="65" t="n">
        <f aca="false">(1000*I49/I41-I79)/I83</f>
        <v>43.7465650129337</v>
      </c>
      <c r="J85" s="65" t="n">
        <f aca="false">(1000*J49/J41-J79)/J83</f>
        <v>22.9219441943611</v>
      </c>
      <c r="K85" s="65" t="n">
        <f aca="false">(1000*K49/K41-K79)/K83</f>
        <v>3.74856148421301</v>
      </c>
      <c r="L85" s="65" t="n">
        <f aca="false">(1000*L49/L41-L79)/L83</f>
        <v>108.800347703298</v>
      </c>
      <c r="M85" s="65" t="n">
        <f aca="false">(1000*M49/M41-M79)/M83</f>
        <v>62.4871922756589</v>
      </c>
      <c r="N85" s="65" t="n">
        <f aca="false">(1000*N49/N41-N79)/N83</f>
        <v>14.3447185759317</v>
      </c>
      <c r="O85" s="65" t="n">
        <f aca="false">(1000*O49/O41-O79)/O83</f>
        <v>230.739959207455</v>
      </c>
      <c r="P85" s="65" t="n">
        <f aca="false">(1000*P49/P41-P79)/P83</f>
        <v>135.815145194548</v>
      </c>
      <c r="Q85" s="65" t="n">
        <f aca="false">(1000*Q49/Q41-Q79)/Q83</f>
        <v>33.3478883921425</v>
      </c>
    </row>
    <row r="86" customFormat="false" ht="15" hidden="false" customHeight="false" outlineLevel="0" collapsed="false">
      <c r="A86" s="53" t="s">
        <v>716</v>
      </c>
      <c r="B86" s="52" t="s">
        <v>446</v>
      </c>
      <c r="C86" s="66" t="n">
        <f aca="false">(C69-C72)*1000000000/(C34*C45)</f>
        <v>2558.19965159029</v>
      </c>
      <c r="D86" s="66" t="n">
        <f aca="false">(D69-D72)*1000000000/(D34*D45)</f>
        <v>538.633530942984</v>
      </c>
      <c r="E86" s="66" t="n">
        <f aca="false">(E69-E72)*1000000000/(E34*E45)</f>
        <v>15.5090860617669</v>
      </c>
      <c r="F86" s="66" t="n">
        <f aca="false">(F69-F72)*1000000000/(F34*F45)</f>
        <v>6457.29248791911</v>
      </c>
      <c r="G86" s="66" t="n">
        <f aca="false">(G69-G72)*1000000000/(G34*G45)</f>
        <v>1729.19391665125</v>
      </c>
      <c r="H86" s="66" t="n">
        <f aca="false">(H69-H72)*1000000000/(H34*H45)</f>
        <v>38.6451779217801</v>
      </c>
      <c r="I86" s="66" t="n">
        <f aca="false">(I69-I72)*1000000000/(I34*I45)</f>
        <v>10230.7719154683</v>
      </c>
      <c r="J86" s="66" t="n">
        <f aca="false">(J69-J72)*1000000000/(J34*J45)</f>
        <v>3059.19076406613</v>
      </c>
      <c r="K86" s="66" t="n">
        <f aca="false">(K69-K72)*1000000000/(K34*K45)</f>
        <v>70.1493024197706</v>
      </c>
      <c r="L86" s="66" t="n">
        <f aca="false">(L69-L72)*1000000000/(L34*L45)</f>
        <v>10230.7719154683</v>
      </c>
      <c r="M86" s="66" t="n">
        <f aca="false">(M69-M72)*1000000000/(M34*M45)</f>
        <v>3059.19076406613</v>
      </c>
      <c r="N86" s="66" t="n">
        <f aca="false">(N69-N72)*1000000000/(N34*N45)</f>
        <v>70.1493024197706</v>
      </c>
      <c r="O86" s="66" t="n">
        <f aca="false">(O69-O72)*1000000000/(O34*O45)</f>
        <v>37559.6634227452</v>
      </c>
      <c r="P86" s="66" t="n">
        <f aca="false">(P69-P72)*1000000000/(P34*P45)</f>
        <v>12857.1859364347</v>
      </c>
      <c r="Q86" s="66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717</v>
      </c>
      <c r="B87" s="52" t="s">
        <v>446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718</v>
      </c>
      <c r="B88" s="53" t="s">
        <v>312</v>
      </c>
      <c r="C88" s="61" t="n">
        <f aca="false">IF(C87&gt;0,C87*C49/((C79+C87*C83)/1000),0)</f>
        <v>595.464489161166</v>
      </c>
      <c r="D88" s="61" t="n">
        <f aca="false">IF(D87&gt;0,D87*D49/((D79+D87*D83)/1000),0)</f>
        <v>171.258178505548</v>
      </c>
      <c r="E88" s="61" t="n">
        <f aca="false">IF(E87&gt;0,E87*E49/((E79+E87*E83)/1000),0)</f>
        <v>25.1588061868597</v>
      </c>
      <c r="F88" s="61" t="n">
        <f aca="false">IF(F87&gt;0,F87*F49/((F79+F87*F83)/1000),0)</f>
        <v>3499.72520103469</v>
      </c>
      <c r="G88" s="61" t="n">
        <f aca="false">IF(G87&gt;0,G87*G49/((G79+G87*G83)/1000),0)</f>
        <v>993.284248422316</v>
      </c>
      <c r="H88" s="61" t="n">
        <f aca="false">IF(H87&gt;0,H87*H49/((H79+H87*H83)/1000),0)</f>
        <v>170.829909304452</v>
      </c>
      <c r="I88" s="61" t="n">
        <f aca="false">IF(I87&gt;0,I87*I49/((I79+I87*I83)/1000),0)</f>
        <v>5249.58780155204</v>
      </c>
      <c r="J88" s="61" t="n">
        <f aca="false">IF(J87&gt;0,J87*J49/((J79+J87*J83)/1000),0)</f>
        <v>1489.92637263347</v>
      </c>
      <c r="K88" s="61" t="n">
        <f aca="false">IF(K87&gt;0,K87*K49/((K79+K87*K83)/1000),0)</f>
        <v>206.170881631716</v>
      </c>
      <c r="L88" s="61" t="n">
        <f aca="false">IF(L87&gt;0,L87*L49/((L79+L87*L83)/1000),0)</f>
        <v>13056.0417243957</v>
      </c>
      <c r="M88" s="61" t="n">
        <f aca="false">IF(M87&gt;0,M87*M49/((M79+M87*M83)/1000),0)</f>
        <v>4061.66749791783</v>
      </c>
      <c r="N88" s="61" t="n">
        <f aca="false">IF(N87&gt;0,N87*N49/((N79+N87*N83)/1000),0)</f>
        <v>788.959521676242</v>
      </c>
      <c r="O88" s="61" t="n">
        <f aca="false">IF(O87&gt;0,O87*O49/((O79+O87*O83)/1000),0)</f>
        <v>27688.7951048946</v>
      </c>
      <c r="P88" s="61" t="n">
        <f aca="false">IF(P87&gt;0,P87*P49/((P79+P87*P83)/1000),0)</f>
        <v>8827.9844376456</v>
      </c>
      <c r="Q88" s="61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719</v>
      </c>
      <c r="B89" s="53" t="s">
        <v>312</v>
      </c>
      <c r="C89" s="66" t="n">
        <f aca="false">IF(C87&gt;0,C49/((C79+C87*C83)/1000),0)</f>
        <v>120</v>
      </c>
      <c r="D89" s="66" t="n">
        <f aca="false">IF(D87&gt;0,D49/((D79+D87*D83)/1000),0)</f>
        <v>65</v>
      </c>
      <c r="E89" s="66" t="n">
        <f aca="false">IF(E87&gt;0,E49/((E79+E87*E83)/1000),0)</f>
        <v>55</v>
      </c>
      <c r="F89" s="66" t="n">
        <f aca="false">IF(F87&gt;0,F49/((F79+F87*F83)/1000),0)</f>
        <v>120</v>
      </c>
      <c r="G89" s="66" t="n">
        <f aca="false">IF(G87&gt;0,G49/((G79+G87*G83)/1000),0)</f>
        <v>65</v>
      </c>
      <c r="H89" s="66" t="n">
        <f aca="false">IF(H87&gt;0,H49/((H79+H87*H83)/1000),0)</f>
        <v>55</v>
      </c>
      <c r="I89" s="66" t="n">
        <f aca="false">IF(I87&gt;0,I49/((I79+I87*I83)/1000),0)</f>
        <v>120</v>
      </c>
      <c r="J89" s="66" t="n">
        <f aca="false">IF(J87&gt;0,J49/((J79+J87*J83)/1000),0)</f>
        <v>65</v>
      </c>
      <c r="K89" s="66" t="n">
        <f aca="false">IF(K87&gt;0,K49/((K79+K87*K83)/1000),0)</f>
        <v>55</v>
      </c>
      <c r="L89" s="66" t="n">
        <f aca="false">IF(L87&gt;0,L49/((L79+L87*L83)/1000),0)</f>
        <v>120</v>
      </c>
      <c r="M89" s="66" t="n">
        <f aca="false">IF(M87&gt;0,M49/((M79+M87*M83)/1000),0)</f>
        <v>65</v>
      </c>
      <c r="N89" s="66" t="n">
        <f aca="false">IF(N87&gt;0,N49/((N79+N87*N83)/1000),0)</f>
        <v>55</v>
      </c>
      <c r="O89" s="66" t="n">
        <f aca="false">IF(O87&gt;0,O49/((O79+O87*O83)/1000),0)</f>
        <v>120</v>
      </c>
      <c r="P89" s="66" t="n">
        <f aca="false">IF(P87&gt;0,P49/((P79+P87*P83)/1000),0)</f>
        <v>65</v>
      </c>
      <c r="Q89" s="66" t="n">
        <f aca="false">IF(Q87&gt;0,Q49/((Q79+Q87*Q83)/1000),0)</f>
        <v>55</v>
      </c>
    </row>
    <row r="90" customFormat="false" ht="15" hidden="false" customHeight="false" outlineLevel="0" collapsed="false">
      <c r="A90" s="52" t="s">
        <v>720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721</v>
      </c>
      <c r="B91" s="53" t="s">
        <v>69</v>
      </c>
      <c r="C91" s="76" t="n">
        <f aca="false">C87*C34*C45/1000000000/C69</f>
        <v>0.00167665156755513</v>
      </c>
      <c r="D91" s="76" t="n">
        <f aca="false">D87*D34*D45/1000000000/D69</f>
        <v>0.00252579173134583</v>
      </c>
      <c r="E91" s="76" t="n">
        <f aca="false">E87*E34*E45/1000000000/E69</f>
        <v>0.0127407853992975</v>
      </c>
      <c r="F91" s="76" t="n">
        <f aca="false">F87*F34*F45/1000000000/F69</f>
        <v>0.00423836095075208</v>
      </c>
      <c r="G91" s="76" t="n">
        <f aca="false">G87*G34*G45/1000000000/G69</f>
        <v>0.00630081615285947</v>
      </c>
      <c r="H91" s="76" t="n">
        <f aca="false">H87*H34*H45/1000000000/H69</f>
        <v>0.0372089251055722</v>
      </c>
      <c r="I91" s="76" t="n">
        <f aca="false">I87*I34*I45/1000000000/I69</f>
        <v>0.00410591217104107</v>
      </c>
      <c r="J91" s="76" t="n">
        <f aca="false">J87*J34*J45/1000000000/J69</f>
        <v>0.00610391564808262</v>
      </c>
      <c r="K91" s="76" t="n">
        <f aca="false">K87*K34*K45/1000000000/K69</f>
        <v>0.0290022036965245</v>
      </c>
      <c r="L91" s="76" t="n">
        <f aca="false">L87*L34*L45/1000000000/L69</f>
        <v>0.0102116513997475</v>
      </c>
      <c r="M91" s="76" t="n">
        <f aca="false">M87*M34*M45/1000000000/M69</f>
        <v>0.0166397992902352</v>
      </c>
      <c r="N91" s="76" t="n">
        <f aca="false">N87*N34*N45/1000000000/N69</f>
        <v>0.110983493764364</v>
      </c>
      <c r="O91" s="76" t="n">
        <f aca="false">O87*O34*O45/1000000000/O69</f>
        <v>0.00609089397874568</v>
      </c>
      <c r="P91" s="76" t="n">
        <f aca="false">P87*P34*P45/1000000000/P69</f>
        <v>0.0101717998464872</v>
      </c>
      <c r="Q91" s="76" t="n">
        <f aca="false">Q87*Q34*Q45/1000000000/Q69</f>
        <v>0.072565005141302</v>
      </c>
    </row>
    <row r="92" customFormat="false" ht="15" hidden="false" customHeight="false" outlineLevel="0" collapsed="false">
      <c r="A92" s="82" t="s">
        <v>722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723</v>
      </c>
      <c r="B93" s="53" t="s">
        <v>724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725</v>
      </c>
      <c r="B94" s="53" t="s">
        <v>69</v>
      </c>
      <c r="C94" s="76" t="n">
        <f aca="false">IF(C93&gt;0,(C43/C75)/C93,0)</f>
        <v>0.378767959443341</v>
      </c>
      <c r="D94" s="76" t="n">
        <f aca="false">IF(D93&gt;0,(D43/D75)/D93,0)</f>
        <v>0.380904974686525</v>
      </c>
      <c r="E94" s="76" t="n">
        <f aca="false">IF(E93&gt;0,(E43/E75)/E93,0)</f>
        <v>0.229992647381625</v>
      </c>
      <c r="F94" s="76" t="n">
        <f aca="false">IF(F93&gt;0,(F43/F75)/F93,0)</f>
        <v>0.261763361440912</v>
      </c>
      <c r="G94" s="76" t="n">
        <f aca="false">IF(G93&gt;0,(G43/G75)/G93,0)</f>
        <v>0.260956162310016</v>
      </c>
      <c r="H94" s="76" t="n">
        <f aca="false">IF(H93&gt;0,(H43/H75)/H93,0)</f>
        <v>0.167140117398111</v>
      </c>
      <c r="I94" s="76" t="n">
        <f aca="false">IF(I93&gt;0,(I43/I75)/I93,0)</f>
        <v>0.261763361440912</v>
      </c>
      <c r="J94" s="76" t="n">
        <f aca="false">IF(J93&gt;0,(J43/J75)/J93,0)</f>
        <v>0.260956162310016</v>
      </c>
      <c r="K94" s="76" t="n">
        <f aca="false">IF(K93&gt;0,(K43/K75)/K93,0)</f>
        <v>0.139019089739358</v>
      </c>
      <c r="L94" s="76" t="n">
        <f aca="false">IF(L93&gt;0,(L43/L75)/L93,0)</f>
        <v>0.274278971019929</v>
      </c>
      <c r="M94" s="76" t="n">
        <f aca="false">IF(M93&gt;0,(M43/M75)/M93,0)</f>
        <v>0.292052621842808</v>
      </c>
      <c r="N94" s="76" t="n">
        <f aca="false">IF(N93&gt;0,(N43/N75)/N93,0)</f>
        <v>0.209366326833024</v>
      </c>
      <c r="O94" s="76" t="n">
        <f aca="false">IF(O93&gt;0,(O43/O75)/O93,0)</f>
        <v>0.27760867732632</v>
      </c>
      <c r="P94" s="76" t="n">
        <f aca="false">IF(P93&gt;0,(P43/P75)/P93,0)</f>
        <v>0.300648004449981</v>
      </c>
      <c r="Q94" s="76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726</v>
      </c>
      <c r="B95" s="53" t="s">
        <v>312</v>
      </c>
      <c r="C95" s="61" t="n">
        <f aca="false">IF(C93&gt;0,C22*(C43+C44)/C93,0)</f>
        <v>106537.426468019</v>
      </c>
      <c r="D95" s="61" t="n">
        <f aca="false">IF(D93&gt;0,D22*(D43+D44)/D93,0)</f>
        <v>30535.2248708252</v>
      </c>
      <c r="E95" s="61" t="n">
        <f aca="false">IF(E93&gt;0,E22*(E43+E44)/E93,0)</f>
        <v>5579.27013513099</v>
      </c>
      <c r="F95" s="61" t="n">
        <f aca="false">IF(F93&gt;0,F22*(F43+F44)/F93,0)</f>
        <v>1674189.23865346</v>
      </c>
      <c r="G95" s="61" t="n">
        <f aca="false">IF(G93&gt;0,G22*(G43+G44)/G93,0)</f>
        <v>475684.230660434</v>
      </c>
      <c r="H95" s="61" t="n">
        <f aca="false">IF(H93&gt;0,H22*(H43+H44)/H93,0)</f>
        <v>92195.7410789118</v>
      </c>
      <c r="I95" s="61" t="n">
        <f aca="false">IF(I93&gt;0,I22*(I43+I44)/I93,0)</f>
        <v>2511283.85798019</v>
      </c>
      <c r="J95" s="61" t="n">
        <f aca="false">IF(J93&gt;0,J22*(J43+J44)/J93,0)</f>
        <v>713526.345990651</v>
      </c>
      <c r="K95" s="61" t="n">
        <f aca="false">IF(K93&gt;0,K22*(K43+K44)/K93,0)</f>
        <v>115025.957282061</v>
      </c>
      <c r="L95" s="61" t="n">
        <f aca="false">IF(L93&gt;0,L22*(L43+L44)/L93,0)</f>
        <v>6139828.53444362</v>
      </c>
      <c r="M95" s="61" t="n">
        <f aca="false">IF(M93&gt;0,M22*(M43+M44)/M93,0)</f>
        <v>1863289.56275099</v>
      </c>
      <c r="N95" s="61" t="n">
        <f aca="false">IF(N93&gt;0,N22*(N43+N44)/N93,0)</f>
        <v>404208.12106271</v>
      </c>
      <c r="O95" s="61" t="n">
        <f aca="false">IF(O93&gt;0,O22*(O43+O44)/O93,0)</f>
        <v>25922780.3335087</v>
      </c>
      <c r="P95" s="61" t="n">
        <f aca="false">IF(P93&gt;0,P22*(P43+P44)/P93,0)</f>
        <v>8001333.61896495</v>
      </c>
      <c r="Q95" s="61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727</v>
      </c>
      <c r="B96" s="53" t="s">
        <v>312</v>
      </c>
      <c r="C96" s="66" t="n">
        <f aca="false">C95*C44/(C43+C44)</f>
        <v>11837.4918297798</v>
      </c>
      <c r="D96" s="66" t="n">
        <f aca="false">D95*D44/(D43+D44)</f>
        <v>3392.80276342502</v>
      </c>
      <c r="E96" s="66" t="n">
        <f aca="false">E95*E44/(E43+E44)</f>
        <v>619.918903903443</v>
      </c>
      <c r="F96" s="66" t="n">
        <f aca="false">F95*F44/(F43+F44)</f>
        <v>186021.026517051</v>
      </c>
      <c r="G96" s="66" t="n">
        <f aca="false">G95*G44/(G43+G44)</f>
        <v>52853.8034067149</v>
      </c>
      <c r="H96" s="66" t="n">
        <f aca="false">H95*H44/(H43+H44)</f>
        <v>10243.9712309902</v>
      </c>
      <c r="I96" s="66" t="n">
        <f aca="false">I95*I44/(I43+I44)</f>
        <v>279031.539775577</v>
      </c>
      <c r="J96" s="66" t="n">
        <f aca="false">J95*J44/(J43+J44)</f>
        <v>79280.7051100723</v>
      </c>
      <c r="K96" s="66" t="n">
        <f aca="false">K95*K44/(K43+K44)</f>
        <v>12780.661920229</v>
      </c>
      <c r="L96" s="66" t="n">
        <f aca="false">L95*L44/(L43+L44)</f>
        <v>682203.170493735</v>
      </c>
      <c r="M96" s="66" t="n">
        <f aca="false">M95*M44/(M43+M44)</f>
        <v>207032.173638999</v>
      </c>
      <c r="N96" s="66" t="n">
        <f aca="false">N95*N44/(N43+N44)</f>
        <v>44912.0134514122</v>
      </c>
      <c r="O96" s="66" t="n">
        <f aca="false">O95*O44/(O43+O44)</f>
        <v>2880308.92594541</v>
      </c>
      <c r="P96" s="66" t="n">
        <f aca="false">P95*P44/(P43+P44)</f>
        <v>889037.068773883</v>
      </c>
      <c r="Q96" s="66" t="n">
        <f aca="false">Q95*Q44/(Q43+Q44)</f>
        <v>203925.304585995</v>
      </c>
    </row>
    <row r="97" customFormat="false" ht="15" hidden="false" customHeight="false" outlineLevel="0" collapsed="false">
      <c r="A97" s="52" t="s">
        <v>728</v>
      </c>
      <c r="B97" s="53" t="s">
        <v>312</v>
      </c>
      <c r="C97" s="66" t="n">
        <f aca="false">C95-C96</f>
        <v>94699.9346382387</v>
      </c>
      <c r="D97" s="66" t="n">
        <f aca="false">D95-D96</f>
        <v>27142.4221074002</v>
      </c>
      <c r="E97" s="66" t="n">
        <f aca="false">E95-E96</f>
        <v>4959.35123122755</v>
      </c>
      <c r="F97" s="66" t="n">
        <f aca="false">F95-F96</f>
        <v>1488168.21213641</v>
      </c>
      <c r="G97" s="66" t="n">
        <f aca="false">G95-G96</f>
        <v>422830.427253719</v>
      </c>
      <c r="H97" s="66" t="n">
        <f aca="false">H95-H96</f>
        <v>81951.7698479216</v>
      </c>
      <c r="I97" s="66" t="n">
        <f aca="false">I95-I96</f>
        <v>2232252.31820462</v>
      </c>
      <c r="J97" s="66" t="n">
        <f aca="false">J95-J96</f>
        <v>634245.640880578</v>
      </c>
      <c r="K97" s="66" t="n">
        <f aca="false">K95-K96</f>
        <v>102245.295361832</v>
      </c>
      <c r="L97" s="66" t="n">
        <f aca="false">L95-L96</f>
        <v>5457625.36394988</v>
      </c>
      <c r="M97" s="66" t="n">
        <f aca="false">M95-M96</f>
        <v>1656257.38911199</v>
      </c>
      <c r="N97" s="66" t="n">
        <f aca="false">N95-N96</f>
        <v>359296.107611298</v>
      </c>
      <c r="O97" s="66" t="n">
        <f aca="false">O95-O96</f>
        <v>23042471.4075633</v>
      </c>
      <c r="P97" s="66" t="n">
        <f aca="false">P95-P96</f>
        <v>7112296.55019106</v>
      </c>
      <c r="Q97" s="66" t="n">
        <f aca="false">Q95-Q96</f>
        <v>1631402.43668796</v>
      </c>
    </row>
    <row r="98" customFormat="false" ht="15" hidden="false" customHeight="false" outlineLevel="0" collapsed="false">
      <c r="A98" s="52" t="s">
        <v>729</v>
      </c>
      <c r="B98" s="53" t="s">
        <v>730</v>
      </c>
      <c r="C98" s="61" t="n">
        <f aca="false">C95*C25*8760*3600/1000000</f>
        <v>75389750703.5004</v>
      </c>
      <c r="D98" s="61" t="n">
        <f aca="false">D95*D25*8760*3600/1000000</f>
        <v>21607833669.3996</v>
      </c>
      <c r="E98" s="61" t="n">
        <f aca="false">E95*E25*8760*3600/1000000</f>
        <v>3948094097.44167</v>
      </c>
      <c r="F98" s="61" t="n">
        <f aca="false">F95*F25*8760*3600/1000000</f>
        <v>373593212430.323</v>
      </c>
      <c r="G98" s="61" t="n">
        <f aca="false">G95*G25*8760*3600/1000000</f>
        <v>106148334807.008</v>
      </c>
      <c r="H98" s="61" t="n">
        <f aca="false">H95*H25*8760*3600/1000000</f>
        <v>20573363086.3425</v>
      </c>
      <c r="I98" s="61" t="n">
        <f aca="false">I95*I25*8760*3600/1000000</f>
        <v>531800117609.444</v>
      </c>
      <c r="J98" s="61" t="n">
        <f aca="false">J95*J25*8760*3600/1000000</f>
        <v>151099364378.687</v>
      </c>
      <c r="K98" s="61" t="n">
        <f aca="false">K95*K25*8760*3600/1000000</f>
        <v>24358384424.1081</v>
      </c>
      <c r="L98" s="61" t="n">
        <f aca="false">L95*L25*8760*3600/1000000</f>
        <v>784571063547.291</v>
      </c>
      <c r="M98" s="61" t="n">
        <f aca="false">M95*M25*8760*3600/1000000</f>
        <v>238098354985.508</v>
      </c>
      <c r="N98" s="61" t="n">
        <f aca="false">N95*N25*8760*3600/1000000</f>
        <v>51651278803.2379</v>
      </c>
      <c r="O98" s="61" t="n">
        <f aca="false">O95*O25*8760*3600/1000000</f>
        <v>1253228727316.01</v>
      </c>
      <c r="P98" s="61" t="n">
        <f aca="false">P95*P25*8760*3600/1000000</f>
        <v>386821977392.771</v>
      </c>
      <c r="Q98" s="61" t="n">
        <f aca="false">Q95*Q25*8760*3600/1000000</f>
        <v>88728347029.634</v>
      </c>
    </row>
    <row r="99" customFormat="false" ht="15" hidden="false" customHeight="false" outlineLevel="0" collapsed="false">
      <c r="A99" s="52" t="s">
        <v>731</v>
      </c>
      <c r="B99" s="53" t="s">
        <v>730</v>
      </c>
      <c r="C99" s="66" t="n">
        <f aca="false">C96*C25*8760*3600/1000000</f>
        <v>8376638967.0556</v>
      </c>
      <c r="D99" s="66" t="n">
        <f aca="false">D96*D25*8760*3600/1000000</f>
        <v>2400870407.71107</v>
      </c>
      <c r="E99" s="66" t="n">
        <f aca="false">E96*E25*8760*3600/1000000</f>
        <v>438677121.937964</v>
      </c>
      <c r="F99" s="66" t="n">
        <f aca="false">F96*F25*8760*3600/1000000</f>
        <v>41510356936.7025</v>
      </c>
      <c r="G99" s="66" t="n">
        <f aca="false">G96*G25*8760*3600/1000000</f>
        <v>11794259423.0009</v>
      </c>
      <c r="H99" s="66" t="n">
        <f aca="false">H96*H25*8760*3600/1000000</f>
        <v>2285929231.81583</v>
      </c>
      <c r="I99" s="66" t="n">
        <f aca="false">I96*I25*8760*3600/1000000</f>
        <v>59088901956.6049</v>
      </c>
      <c r="J99" s="66" t="n">
        <f aca="false">J96*J25*8760*3600/1000000</f>
        <v>16788818264.2986</v>
      </c>
      <c r="K99" s="66" t="n">
        <f aca="false">K96*K25*8760*3600/1000000</f>
        <v>2706487158.23423</v>
      </c>
      <c r="L99" s="66" t="n">
        <f aca="false">L96*L25*8760*3600/1000000</f>
        <v>87174562616.3656</v>
      </c>
      <c r="M99" s="66" t="n">
        <f aca="false">M96*M25*8760*3600/1000000</f>
        <v>26455372776.1676</v>
      </c>
      <c r="N99" s="66" t="n">
        <f aca="false">N96*N25*8760*3600/1000000</f>
        <v>5739030978.13754</v>
      </c>
      <c r="O99" s="66" t="n">
        <f aca="false">O96*O25*8760*3600/1000000</f>
        <v>139247636368.446</v>
      </c>
      <c r="P99" s="66" t="n">
        <f aca="false">P96*P25*8760*3600/1000000</f>
        <v>42980219710.3079</v>
      </c>
      <c r="Q99" s="66" t="n">
        <f aca="false">Q96*Q25*8760*3600/1000000</f>
        <v>9858705225.51489</v>
      </c>
    </row>
    <row r="100" customFormat="false" ht="15" hidden="false" customHeight="false" outlineLevel="0" collapsed="false">
      <c r="A100" s="82" t="s">
        <v>732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2" t="s">
        <v>733</v>
      </c>
      <c r="B101" s="53" t="s">
        <v>734</v>
      </c>
      <c r="C101" s="65" t="n">
        <f aca="false">1000000/C75</f>
        <v>127.989261539498</v>
      </c>
      <c r="D101" s="65" t="n">
        <f aca="false">1000000/D75</f>
        <v>449.074115115378</v>
      </c>
      <c r="E101" s="65" t="n">
        <f aca="false">1000000/E75</f>
        <v>1484.01764123295</v>
      </c>
      <c r="F101" s="65" t="n">
        <f aca="false">1000000/F75</f>
        <v>12.6645374293333</v>
      </c>
      <c r="G101" s="65" t="n">
        <f aca="false">1000000/G75</f>
        <v>44.4358836906667</v>
      </c>
      <c r="H101" s="65" t="n">
        <f aca="false">1000000/H75</f>
        <v>146.8435456</v>
      </c>
      <c r="I101" s="65" t="n">
        <f aca="false">1000000/I75</f>
        <v>8.44302495288889</v>
      </c>
      <c r="J101" s="65" t="n">
        <f aca="false">1000000/J75</f>
        <v>29.6239224604444</v>
      </c>
      <c r="K101" s="65" t="n">
        <f aca="false">1000000/K75</f>
        <v>97.8956970666667</v>
      </c>
      <c r="L101" s="65" t="n">
        <f aca="false">1000000/L75</f>
        <v>3.61843926552381</v>
      </c>
      <c r="M101" s="65" t="n">
        <f aca="false">1000000/M75</f>
        <v>12.6959667687619</v>
      </c>
      <c r="N101" s="65" t="n">
        <f aca="false">1000000/N75</f>
        <v>41.9552987428571</v>
      </c>
      <c r="O101" s="65" t="n">
        <f aca="false">1000000/O75</f>
        <v>1.73486814100457</v>
      </c>
      <c r="P101" s="65" t="n">
        <f aca="false">1000000/P75</f>
        <v>6.08710735488584</v>
      </c>
      <c r="Q101" s="65" t="n">
        <f aca="false">1000000/Q75</f>
        <v>20.1155541917808</v>
      </c>
    </row>
    <row r="102" customFormat="false" ht="15" hidden="false" customHeight="false" outlineLevel="0" collapsed="false">
      <c r="A102" s="52" t="s">
        <v>735</v>
      </c>
      <c r="B102" s="53" t="s">
        <v>734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736</v>
      </c>
      <c r="B103" s="53" t="s">
        <v>734</v>
      </c>
      <c r="C103" s="65" t="n">
        <f aca="false">IF(C88&gt;0,1000000/C88,0)</f>
        <v>1679.36126872772</v>
      </c>
      <c r="D103" s="65" t="n">
        <f aca="false">IF(D88&gt;0,1000000/D88,0)</f>
        <v>5839.13719465143</v>
      </c>
      <c r="E103" s="65" t="n">
        <f aca="false">IF(E88&gt;0,1000000/E88,0)</f>
        <v>39747.513954867</v>
      </c>
      <c r="F103" s="65" t="n">
        <f aca="false">IF(F88&gt;0,1000000/F88,0)</f>
        <v>285.736720044291</v>
      </c>
      <c r="G103" s="65" t="n">
        <f aca="false">IF(G88&gt;0,1000000/G88,0)</f>
        <v>1006.76115783408</v>
      </c>
      <c r="H103" s="65" t="n">
        <f aca="false">IF(H88&gt;0,1000000/H88,0)</f>
        <v>5853.77586437634</v>
      </c>
      <c r="I103" s="65" t="n">
        <f aca="false">IF(I88&gt;0,1000000/I88,0)</f>
        <v>190.491146696194</v>
      </c>
      <c r="J103" s="65" t="n">
        <f aca="false">IF(J88&gt;0,1000000/J88,0)</f>
        <v>671.174105222717</v>
      </c>
      <c r="K103" s="65" t="n">
        <f aca="false">IF(K88&gt;0,1000000/K88,0)</f>
        <v>4850.34546142314</v>
      </c>
      <c r="L103" s="65" t="n">
        <f aca="false">IF(L88&gt;0,1000000/L88,0)</f>
        <v>76.5928924791547</v>
      </c>
      <c r="M103" s="65" t="n">
        <f aca="false">IF(M88&gt;0,1000000/M88,0)</f>
        <v>246.204299222583</v>
      </c>
      <c r="N103" s="65" t="n">
        <f aca="false">IF(N88&gt;0,1000000/N88,0)</f>
        <v>1267.49214950265</v>
      </c>
      <c r="O103" s="65" t="n">
        <f aca="false">IF(O88&gt;0,1000000/O88,0)</f>
        <v>36.1156921495377</v>
      </c>
      <c r="P103" s="65" t="n">
        <f aca="false">IF(P88&gt;0,1000000/P88,0)</f>
        <v>113.276139878051</v>
      </c>
      <c r="Q103" s="65" t="n">
        <f aca="false">IF(Q88&gt;0,1000000/Q88,0)</f>
        <v>545.216475718512</v>
      </c>
    </row>
    <row r="104" customFormat="false" ht="15" hidden="false" customHeight="false" outlineLevel="0" collapsed="false">
      <c r="A104" s="52" t="s">
        <v>737</v>
      </c>
      <c r="B104" s="53" t="s">
        <v>738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739</v>
      </c>
      <c r="B105" s="53" t="s">
        <v>738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82" t="s">
        <v>740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2" t="s">
        <v>741</v>
      </c>
      <c r="B107" s="53" t="s">
        <v>742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743</v>
      </c>
      <c r="B108" s="53" t="s">
        <v>670</v>
      </c>
      <c r="C108" s="84" t="n">
        <f aca="false">IF(C$6=1,Energy!$C$7,Energy!$C$6)</f>
        <v>40</v>
      </c>
      <c r="D108" s="84" t="n">
        <f aca="false">IF(D$6=1,Energy!$C$7,Energy!$C$6)</f>
        <v>40</v>
      </c>
      <c r="E108" s="84" t="n">
        <f aca="false">IF(E$6=1,Energy!$C$7,Energy!$C$6)</f>
        <v>40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</row>
    <row r="109" customFormat="false" ht="15" hidden="false" customHeight="false" outlineLevel="0" collapsed="false">
      <c r="A109" s="53" t="s">
        <v>744</v>
      </c>
      <c r="B109" s="53" t="s">
        <v>431</v>
      </c>
      <c r="C109" s="65" t="n">
        <f aca="false">(C47+1)*C65/C49</f>
        <v>60.7276307303593</v>
      </c>
      <c r="D109" s="65" t="n">
        <f aca="false">(D47+1)*D65/D49</f>
        <v>211.422533432294</v>
      </c>
      <c r="E109" s="65" t="n">
        <f aca="false">(E47+1)*E65/E49</f>
        <v>838.732890959337</v>
      </c>
      <c r="F109" s="65" t="n">
        <f aca="false">(F47+1)*F65/F49</f>
        <v>60.7276307303593</v>
      </c>
      <c r="G109" s="65" t="n">
        <f aca="false">(G47+1)*G65/G49</f>
        <v>211.422533432294</v>
      </c>
      <c r="H109" s="65" t="n">
        <f aca="false">(H47+1)*H65/H49</f>
        <v>838.732890959337</v>
      </c>
      <c r="I109" s="65" t="n">
        <f aca="false">(I47+1)*I65/I49</f>
        <v>60.7276307303593</v>
      </c>
      <c r="J109" s="65" t="n">
        <f aca="false">(J47+1)*J65/J49</f>
        <v>211.422533432294</v>
      </c>
      <c r="K109" s="65" t="n">
        <f aca="false">(K47+1)*K65/K49</f>
        <v>838.732890959337</v>
      </c>
      <c r="L109" s="65" t="n">
        <f aca="false">(L47+1)*L65/L49</f>
        <v>60.7276307303593</v>
      </c>
      <c r="M109" s="65" t="n">
        <f aca="false">(M47+1)*M65/M49</f>
        <v>211.422533432294</v>
      </c>
      <c r="N109" s="65" t="n">
        <f aca="false">(N47+1)*N65/N49</f>
        <v>838.732890959337</v>
      </c>
      <c r="O109" s="65" t="n">
        <f aca="false">(O47+1)*O65/O49</f>
        <v>60.7276307303593</v>
      </c>
      <c r="P109" s="65" t="n">
        <f aca="false">(P47+1)*P65/P49</f>
        <v>211.422533432294</v>
      </c>
      <c r="Q109" s="65" t="n">
        <f aca="false">(Q47+1)*Q65/Q49</f>
        <v>838.732890959337</v>
      </c>
    </row>
    <row r="110" customFormat="false" ht="15" hidden="false" customHeight="false" outlineLevel="0" collapsed="false">
      <c r="A110" s="53" t="s">
        <v>745</v>
      </c>
      <c r="B110" s="53" t="s">
        <v>273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746</v>
      </c>
      <c r="B111" s="53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747</v>
      </c>
      <c r="B112" s="53" t="s">
        <v>748</v>
      </c>
      <c r="C112" s="63" t="n">
        <f aca="false">(C109*C107+C110*C24+C111*C108)/1000</f>
        <v>0.0374697139950099</v>
      </c>
      <c r="D112" s="63" t="n">
        <f aca="false">(D109*D107+D110*D24+D111*D108)/1000</f>
        <v>0.207961210981489</v>
      </c>
      <c r="E112" s="63" t="n">
        <f aca="false">(E109*E107+E110*E24+E111*E108)/1000</f>
        <v>1.30048448782226</v>
      </c>
      <c r="F112" s="63" t="n">
        <f aca="false">(F109*F107+F110*F24+F111*F108)/1000</f>
        <v>0.00815131976374671</v>
      </c>
      <c r="G112" s="63" t="n">
        <f aca="false">(G109*G107+G110*G24+G111*G108)/1000</f>
        <v>0.0470595942099041</v>
      </c>
      <c r="H112" s="63" t="n">
        <f aca="false">(H109*H107+H110*H24+H111*H108)/1000</f>
        <v>0.366784913395726</v>
      </c>
      <c r="I112" s="63" t="n">
        <f aca="false">(I109*I107+I110*I24+I111*I108)/1000</f>
        <v>0.00601675802217408</v>
      </c>
      <c r="J112" s="63" t="n">
        <f aca="false">(J109*J107+J110*J24+J111*J108)/1000</f>
        <v>0.0333329503197513</v>
      </c>
      <c r="K112" s="63" t="n">
        <f aca="false">(K109*K107+K110*K24+K111*K108)/1000</f>
        <v>0.379755224962717</v>
      </c>
      <c r="L112" s="63" t="n">
        <f aca="false">(L109*L107+L110*L24+L111*L108)/1000</f>
        <v>0.00286417194720522</v>
      </c>
      <c r="M112" s="63" t="n">
        <f aca="false">(M109*M107+M110*M24+M111*M108)/1000</f>
        <v>0.0132642232523088</v>
      </c>
      <c r="N112" s="63" t="n">
        <f aca="false">(N109*N107+N110*N24+N111*N108)/1000</f>
        <v>0.1078849541752</v>
      </c>
      <c r="O112" s="63" t="n">
        <f aca="false">(O109*O107+O110*O24+O111*O108)/1000</f>
        <v>0.00226189775141506</v>
      </c>
      <c r="P112" s="63" t="n">
        <f aca="false">(P109*P107+P110*P24+P111*P108)/1000</f>
        <v>0.00865801270277997</v>
      </c>
      <c r="Q112" s="63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749</v>
      </c>
      <c r="B113" s="53" t="s">
        <v>748</v>
      </c>
      <c r="C113" s="63" t="n">
        <f aca="false">C67*C107/1000</f>
        <v>0.00806332347698838</v>
      </c>
      <c r="D113" s="63" t="n">
        <f aca="false">D67*D107/1000</f>
        <v>0.0282916692522688</v>
      </c>
      <c r="E113" s="63" t="n">
        <f aca="false">E67*E107/1000</f>
        <v>0.0934931113976756</v>
      </c>
      <c r="F113" s="63" t="n">
        <f aca="false">F67*F107/1000</f>
        <v>0.002735540084736</v>
      </c>
      <c r="G113" s="63" t="n">
        <f aca="false">G67*G107/1000</f>
        <v>0.009598150877184</v>
      </c>
      <c r="H113" s="63" t="n">
        <f aca="false">H67*H107/1000</f>
        <v>0.0317182058496</v>
      </c>
      <c r="I113" s="63" t="n">
        <f aca="false">I67*I107/1000</f>
        <v>0.002127642288128</v>
      </c>
      <c r="J113" s="63" t="n">
        <f aca="false">J67*J107/1000</f>
        <v>0.007465228460032</v>
      </c>
      <c r="K113" s="63" t="n">
        <f aca="false">K67*K107/1000</f>
        <v>0.0246697156608</v>
      </c>
      <c r="L113" s="63" t="n">
        <f aca="false">L67*L107/1000</f>
        <v>0.00117237432202971</v>
      </c>
      <c r="M113" s="63" t="n">
        <f aca="false">M67*M107/1000</f>
        <v>0.00411349323307886</v>
      </c>
      <c r="N113" s="63" t="n">
        <f aca="false">N67*N107/1000</f>
        <v>0.0135935167926857</v>
      </c>
      <c r="O113" s="63" t="n">
        <f aca="false">O67*O107/1000</f>
        <v>0.00112419455537096</v>
      </c>
      <c r="P113" s="63" t="n">
        <f aca="false">P67*P107/1000</f>
        <v>0.00394444556596603</v>
      </c>
      <c r="Q113" s="63" t="n">
        <f aca="false">Q67*Q107/1000</f>
        <v>0.013034879116274</v>
      </c>
    </row>
    <row r="114" customFormat="false" ht="15" hidden="false" customHeight="false" outlineLevel="0" collapsed="false">
      <c r="A114" s="52" t="s">
        <v>750</v>
      </c>
      <c r="B114" s="53" t="s">
        <v>674</v>
      </c>
      <c r="C114" s="65" t="n">
        <f aca="false">(C97*C113+C96*C112)/1000</f>
        <v>1.20714363951789</v>
      </c>
      <c r="D114" s="65" t="n">
        <f aca="false">(D97*D113+D96*D112)/1000</f>
        <v>1.47347580027125</v>
      </c>
      <c r="E114" s="65" t="n">
        <f aca="false">(E97*E113+E96*E112)/1000</f>
        <v>1.26986009535556</v>
      </c>
      <c r="F114" s="65" t="n">
        <f aca="false">(F97*F113+F96*F112)/1000</f>
        <v>5.58726066704995</v>
      </c>
      <c r="G114" s="65" t="n">
        <f aca="false">(G97*G113+G96*G112)/1000</f>
        <v>6.54566877701541</v>
      </c>
      <c r="H114" s="65" t="n">
        <f aca="false">(H97*H113+H96*H112)/1000</f>
        <v>6.35669720656247</v>
      </c>
      <c r="I114" s="65" t="n">
        <f aca="false">(I97*I113+I96*I112)/1000</f>
        <v>6.42829968536819</v>
      </c>
      <c r="J114" s="65" t="n">
        <f aca="false">(J97*J113+J96*J112)/1000</f>
        <v>7.37744841370182</v>
      </c>
      <c r="K114" s="65" t="n">
        <f aca="false">(K97*K113+K96*K112)/1000</f>
        <v>7.37588550691989</v>
      </c>
      <c r="L114" s="65" t="n">
        <f aca="false">(L97*L113+L96*L112)/1000</f>
        <v>8.35232701917553</v>
      </c>
      <c r="M114" s="65" t="n">
        <f aca="false">(M97*M113+M96*M112)/1000</f>
        <v>9.55912453390747</v>
      </c>
      <c r="N114" s="65" t="n">
        <f aca="false">(N97*N113+N96*N112)/1000</f>
        <v>9.72942818548236</v>
      </c>
      <c r="O114" s="65" t="n">
        <f aca="false">(O97*O113+O96*O112)/1000</f>
        <v>32.4191851816502</v>
      </c>
      <c r="P114" s="65" t="n">
        <f aca="false">(P97*P113+P96*P112)/1000</f>
        <v>35.7513608259232</v>
      </c>
      <c r="Q114" s="65" t="n">
        <f aca="false">(Q97*Q113+Q96*Q112)/1000</f>
        <v>33.0634696291983</v>
      </c>
    </row>
    <row r="115" customFormat="false" ht="15" hidden="false" customHeight="false" outlineLevel="0" collapsed="false">
      <c r="A115" s="52" t="s">
        <v>751</v>
      </c>
      <c r="B115" s="53" t="s">
        <v>674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752</v>
      </c>
      <c r="B116" s="53" t="s">
        <v>69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753</v>
      </c>
      <c r="B117" s="53" t="s">
        <v>754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755</v>
      </c>
      <c r="B118" s="53" t="s">
        <v>748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82" t="s">
        <v>756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</row>
    <row r="120" customFormat="false" ht="15" hidden="false" customHeight="false" outlineLevel="0" collapsed="false">
      <c r="A120" s="53" t="s">
        <v>757</v>
      </c>
      <c r="B120" s="53" t="s">
        <v>73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9" t="s">
        <v>758</v>
      </c>
    </row>
    <row r="2" customFormat="false" ht="15" hidden="false" customHeight="false" outlineLevel="0" collapsed="false">
      <c r="A2" s="64" t="s">
        <v>759</v>
      </c>
    </row>
    <row r="3" customFormat="false" ht="43.5" hidden="false" customHeight="true" outlineLevel="0" collapsed="false">
      <c r="A3" s="10" t="s">
        <v>760</v>
      </c>
      <c r="C3" s="112" t="s">
        <v>55</v>
      </c>
      <c r="D3" s="112"/>
      <c r="E3" s="113" t="s">
        <v>761</v>
      </c>
      <c r="F3" s="113"/>
      <c r="G3" s="113" t="s">
        <v>762</v>
      </c>
      <c r="H3" s="113"/>
      <c r="I3" s="113" t="s">
        <v>763</v>
      </c>
      <c r="J3" s="113"/>
      <c r="K3" s="113" t="s">
        <v>764</v>
      </c>
      <c r="L3" s="113"/>
      <c r="M3" s="113" t="s">
        <v>765</v>
      </c>
      <c r="N3" s="113"/>
      <c r="O3" s="113" t="s">
        <v>766</v>
      </c>
      <c r="P3" s="113"/>
      <c r="Q3" s="113" t="s">
        <v>767</v>
      </c>
      <c r="R3" s="113"/>
      <c r="S3" s="113" t="s">
        <v>768</v>
      </c>
      <c r="T3" s="113"/>
      <c r="U3" s="113" t="s">
        <v>769</v>
      </c>
      <c r="V3" s="113"/>
      <c r="W3" s="113" t="s">
        <v>770</v>
      </c>
      <c r="X3" s="113"/>
      <c r="Y3" s="113" t="s">
        <v>771</v>
      </c>
      <c r="Z3" s="113"/>
      <c r="AA3" s="112" t="s">
        <v>772</v>
      </c>
      <c r="AB3" s="112"/>
      <c r="AC3" s="113" t="s">
        <v>773</v>
      </c>
      <c r="AD3" s="113"/>
      <c r="AE3" s="113" t="s">
        <v>774</v>
      </c>
      <c r="AF3" s="113"/>
      <c r="AG3" s="113" t="s">
        <v>775</v>
      </c>
      <c r="AH3" s="113"/>
    </row>
    <row r="4" customFormat="false" ht="15" hidden="false" customHeight="false" outlineLevel="0" collapsed="false">
      <c r="A4" s="10" t="s">
        <v>134</v>
      </c>
      <c r="C4" s="72" t="str">
        <f aca="false">INDEX(Spec_Rack!$C$4:$G$4,C6)</f>
        <v>VR200 NVL72</v>
      </c>
      <c r="D4" s="72" t="str">
        <f aca="false">INDEX(Spec_Rack!$C$4:$G$4,D6)</f>
        <v>GB300 NVL72</v>
      </c>
      <c r="E4" s="72" t="str">
        <f aca="false">INDEX(Spec_Rack!$C$4:$G$4,E6)</f>
        <v>VR200 NVL72</v>
      </c>
      <c r="F4" s="72" t="str">
        <f aca="false">INDEX(Spec_Rack!$C$4:$G$4,F6)</f>
        <v>GB300 NVL72</v>
      </c>
      <c r="G4" s="72" t="str">
        <f aca="false">INDEX(Spec_Rack!$C$4:$G$4,G6)</f>
        <v>VR200 NVL72</v>
      </c>
      <c r="H4" s="72" t="str">
        <f aca="false">INDEX(Spec_Rack!$C$4:$G$4,H6)</f>
        <v>GB300 NVL72</v>
      </c>
      <c r="I4" s="72" t="str">
        <f aca="false">INDEX(Spec_Rack!$C$4:$G$4,I6)</f>
        <v>VR200 NVL72</v>
      </c>
      <c r="J4" s="72" t="str">
        <f aca="false">INDEX(Spec_Rack!$C$4:$G$4,J6)</f>
        <v>GB300 NVL72</v>
      </c>
      <c r="K4" s="72" t="str">
        <f aca="false">INDEX(Spec_Rack!$C$4:$G$4,K6)</f>
        <v>VR200 NVL72</v>
      </c>
      <c r="L4" s="72" t="str">
        <f aca="false">INDEX(Spec_Rack!$C$4:$G$4,L6)</f>
        <v>GB300 NVL72</v>
      </c>
      <c r="M4" s="72" t="str">
        <f aca="false">INDEX(Spec_Rack!$C$4:$G$4,M6)</f>
        <v>VR200 NVL72</v>
      </c>
      <c r="N4" s="72" t="str">
        <f aca="false">INDEX(Spec_Rack!$C$4:$G$4,N6)</f>
        <v>GB300 NVL72</v>
      </c>
      <c r="O4" s="72" t="str">
        <f aca="false">INDEX(Spec_Rack!$C$4:$G$4,O6)</f>
        <v>VR200 NVL72</v>
      </c>
      <c r="P4" s="72" t="str">
        <f aca="false">INDEX(Spec_Rack!$C$4:$G$4,P6)</f>
        <v>GB300 NVL72</v>
      </c>
      <c r="Q4" s="72" t="str">
        <f aca="false">INDEX(Spec_Rack!$C$4:$G$4,Q6)</f>
        <v>VR200 NVL72</v>
      </c>
      <c r="R4" s="72" t="str">
        <f aca="false">INDEX(Spec_Rack!$C$4:$G$4,R6)</f>
        <v>GB300 NVL72</v>
      </c>
      <c r="S4" s="72" t="str">
        <f aca="false">INDEX(Spec_Rack!$C$4:$G$4,S6)</f>
        <v>VR200 NVL72</v>
      </c>
      <c r="T4" s="72" t="str">
        <f aca="false">INDEX(Spec_Rack!$C$4:$G$4,T6)</f>
        <v>GB300 NVL72</v>
      </c>
      <c r="U4" s="72" t="str">
        <f aca="false">INDEX(Spec_Rack!$C$4:$G$4,U6)</f>
        <v>VR200 NVL72</v>
      </c>
      <c r="V4" s="72" t="str">
        <f aca="false">INDEX(Spec_Rack!$C$4:$G$4,V6)</f>
        <v>GB300 NVL72</v>
      </c>
      <c r="W4" s="72" t="str">
        <f aca="false">INDEX(Spec_Rack!$C$4:$G$4,W6)</f>
        <v>VR200 NVL72</v>
      </c>
      <c r="X4" s="72" t="str">
        <f aca="false">INDEX(Spec_Rack!$C$4:$G$4,X6)</f>
        <v>GB300 NVL72</v>
      </c>
      <c r="Y4" s="72" t="str">
        <f aca="false">INDEX(Spec_Rack!$C$4:$G$4,Y6)</f>
        <v>VR200 NVL72</v>
      </c>
      <c r="Z4" s="72" t="str">
        <f aca="false">INDEX(Spec_Rack!$C$4:$G$4,Z6)</f>
        <v>GB300 NVL72</v>
      </c>
      <c r="AA4" s="72" t="str">
        <f aca="false">INDEX(Spec_Rack!$C$4:$G$4,AA6)</f>
        <v>VR200 NVL72</v>
      </c>
      <c r="AB4" s="72" t="str">
        <f aca="false">INDEX(Spec_Rack!$C$4:$G$4,AB6)</f>
        <v>GB300 NVL72</v>
      </c>
      <c r="AC4" s="72" t="str">
        <f aca="false">INDEX(Spec_Rack!$C$4:$G$4,AC6)</f>
        <v>VR200 NVL72</v>
      </c>
      <c r="AD4" s="72" t="str">
        <f aca="false">INDEX(Spec_Rack!$C$4:$G$4,AD6)</f>
        <v>GB300 NVL72</v>
      </c>
      <c r="AE4" s="72" t="str">
        <f aca="false">INDEX(Spec_Rack!$C$4:$G$4,AE6)</f>
        <v>VR200 NVL72</v>
      </c>
      <c r="AF4" s="72" t="str">
        <f aca="false">INDEX(Spec_Rack!$C$4:$G$4,AF6)</f>
        <v>GB300 NVL72</v>
      </c>
      <c r="AG4" s="72" t="str">
        <f aca="false">INDEX(Spec_Rack!$C$4:$G$4,AG6)</f>
        <v>VR200 NVL72</v>
      </c>
      <c r="AH4" s="72" t="str">
        <f aca="false">INDEX(Spec_Rack!$C$4:$G$4,AH6)</f>
        <v>GB300 NVL72</v>
      </c>
    </row>
    <row r="5" customFormat="false" ht="15" hidden="false" customHeight="false" outlineLevel="0" collapsed="false">
      <c r="A5" s="10" t="s">
        <v>653</v>
      </c>
      <c r="C5" s="72" t="str">
        <f aca="false">INDEX(Arch!$C$4:$E$4,C7)</f>
        <v>Sol（中層）</v>
      </c>
      <c r="D5" s="72" t="str">
        <f aca="false">INDEX(Arch!$C$4:$E$4,D7)</f>
        <v>Sol（中層）</v>
      </c>
      <c r="E5" s="72" t="str">
        <f aca="false">INDEX(Arch!$C$4:$E$4,E7)</f>
        <v>Sol（中層）</v>
      </c>
      <c r="F5" s="72" t="str">
        <f aca="false">INDEX(Arch!$C$4:$E$4,F7)</f>
        <v>Sol（中層）</v>
      </c>
      <c r="G5" s="72" t="str">
        <f aca="false">INDEX(Arch!$C$4:$E$4,G7)</f>
        <v>Sol（中層）</v>
      </c>
      <c r="H5" s="72" t="str">
        <f aca="false">INDEX(Arch!$C$4:$E$4,H7)</f>
        <v>Sol（中層）</v>
      </c>
      <c r="I5" s="72" t="str">
        <f aca="false">INDEX(Arch!$C$4:$E$4,I7)</f>
        <v>Sol（中層）</v>
      </c>
      <c r="J5" s="72" t="str">
        <f aca="false">INDEX(Arch!$C$4:$E$4,J7)</f>
        <v>Sol（中層）</v>
      </c>
      <c r="K5" s="72" t="str">
        <f aca="false">INDEX(Arch!$C$4:$E$4,K7)</f>
        <v>Sol（中層）</v>
      </c>
      <c r="L5" s="72" t="str">
        <f aca="false">INDEX(Arch!$C$4:$E$4,L7)</f>
        <v>Sol（中層）</v>
      </c>
      <c r="M5" s="72" t="str">
        <f aca="false">INDEX(Arch!$C$4:$E$4,M7)</f>
        <v>Sol（中層）</v>
      </c>
      <c r="N5" s="72" t="str">
        <f aca="false">INDEX(Arch!$C$4:$E$4,N7)</f>
        <v>Sol（中層）</v>
      </c>
      <c r="O5" s="72" t="str">
        <f aca="false">INDEX(Arch!$C$4:$E$4,O7)</f>
        <v>Sol（中層）</v>
      </c>
      <c r="P5" s="72" t="str">
        <f aca="false">INDEX(Arch!$C$4:$E$4,P7)</f>
        <v>Sol（中層）</v>
      </c>
      <c r="Q5" s="72" t="str">
        <f aca="false">INDEX(Arch!$C$4:$E$4,Q7)</f>
        <v>Sol（中層）</v>
      </c>
      <c r="R5" s="72" t="str">
        <f aca="false">INDEX(Arch!$C$4:$E$4,R7)</f>
        <v>Sol（中層）</v>
      </c>
      <c r="S5" s="72" t="str">
        <f aca="false">INDEX(Arch!$C$4:$E$4,S7)</f>
        <v>Sol（中層）</v>
      </c>
      <c r="T5" s="72" t="str">
        <f aca="false">INDEX(Arch!$C$4:$E$4,T7)</f>
        <v>Sol（中層）</v>
      </c>
      <c r="U5" s="72" t="str">
        <f aca="false">INDEX(Arch!$C$4:$E$4,U7)</f>
        <v>Sol（中層）</v>
      </c>
      <c r="V5" s="72" t="str">
        <f aca="false">INDEX(Arch!$C$4:$E$4,V7)</f>
        <v>Sol（中層）</v>
      </c>
      <c r="W5" s="72" t="str">
        <f aca="false">INDEX(Arch!$C$4:$E$4,W7)</f>
        <v>Sol（中層）</v>
      </c>
      <c r="X5" s="72" t="str">
        <f aca="false">INDEX(Arch!$C$4:$E$4,X7)</f>
        <v>Sol（中層）</v>
      </c>
      <c r="Y5" s="72" t="str">
        <f aca="false">INDEX(Arch!$C$4:$E$4,Y7)</f>
        <v>Sol（中層）</v>
      </c>
      <c r="Z5" s="72" t="str">
        <f aca="false">INDEX(Arch!$C$4:$E$4,Z7)</f>
        <v>Sol（中層）</v>
      </c>
      <c r="AA5" s="72" t="str">
        <f aca="false">INDEX(Arch!$C$4:$E$4,AA7)</f>
        <v>Sol（中層）</v>
      </c>
      <c r="AB5" s="72" t="str">
        <f aca="false">INDEX(Arch!$C$4:$E$4,AB7)</f>
        <v>Sol（中層）</v>
      </c>
      <c r="AC5" s="72" t="str">
        <f aca="false">INDEX(Arch!$C$4:$E$4,AC7)</f>
        <v>Astra（頂層）</v>
      </c>
      <c r="AD5" s="72" t="str">
        <f aca="false">INDEX(Arch!$C$4:$E$4,AD7)</f>
        <v>Astra（頂層）</v>
      </c>
      <c r="AE5" s="72" t="str">
        <f aca="false">INDEX(Arch!$C$4:$E$4,AE7)</f>
        <v>Astra（頂層）</v>
      </c>
      <c r="AF5" s="72" t="str">
        <f aca="false">INDEX(Arch!$C$4:$E$4,AF7)</f>
        <v>Astra（頂層）</v>
      </c>
      <c r="AG5" s="72" t="str">
        <f aca="false">INDEX(Arch!$C$4:$E$4,AG7)</f>
        <v>Astra（頂層）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10" t="s">
        <v>390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10" t="s">
        <v>654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82" t="s">
        <v>655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3" t="s">
        <v>656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657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658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82" t="s">
        <v>659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customFormat="false" ht="15" hidden="false" customHeight="false" outlineLevel="0" collapsed="false">
      <c r="A14" s="52" t="s">
        <v>413</v>
      </c>
      <c r="B14" s="53" t="s">
        <v>414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415</v>
      </c>
      <c r="B15" s="53" t="s">
        <v>660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416</v>
      </c>
      <c r="B16" s="53" t="s">
        <v>301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661</v>
      </c>
      <c r="B17" s="53" t="s">
        <v>301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193</v>
      </c>
      <c r="B18" s="53" t="s">
        <v>662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663</v>
      </c>
      <c r="B19" s="53" t="s">
        <v>225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664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665</v>
      </c>
      <c r="B21" s="53" t="s">
        <v>662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147</v>
      </c>
      <c r="B22" s="52" t="s">
        <v>666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667</v>
      </c>
      <c r="B23" s="53" t="s">
        <v>668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669</v>
      </c>
      <c r="B24" s="53" t="s">
        <v>670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671</v>
      </c>
      <c r="B25" s="52" t="s">
        <v>672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673</v>
      </c>
      <c r="B26" s="53" t="s">
        <v>674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82" t="s">
        <v>675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676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423</v>
      </c>
      <c r="B32" s="53" t="s">
        <v>225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677</v>
      </c>
      <c r="B34" s="53" t="s">
        <v>225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425</v>
      </c>
      <c r="B35" s="53" t="s">
        <v>271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678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82" t="s">
        <v>679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customFormat="false" ht="15" hidden="false" customHeight="false" outlineLevel="0" collapsed="false">
      <c r="A41" s="53" t="s">
        <v>311</v>
      </c>
      <c r="B41" s="53" t="s">
        <v>312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680</v>
      </c>
      <c r="B42" s="53" t="s">
        <v>315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681</v>
      </c>
      <c r="B43" s="53" t="s">
        <v>248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318</v>
      </c>
      <c r="B44" s="53" t="s">
        <v>248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319</v>
      </c>
      <c r="B45" s="53" t="s">
        <v>248</v>
      </c>
      <c r="C45" s="66" t="n">
        <f aca="false">C43+C44/2</f>
        <v>17408</v>
      </c>
      <c r="D45" s="66" t="n">
        <f aca="false">D43+D44/2</f>
        <v>17408</v>
      </c>
      <c r="E45" s="66" t="n">
        <f aca="false">E43+E44/2</f>
        <v>17408</v>
      </c>
      <c r="F45" s="66" t="n">
        <f aca="false">F43+F44/2</f>
        <v>17408</v>
      </c>
      <c r="G45" s="66" t="n">
        <f aca="false">G43+G44/2</f>
        <v>17408</v>
      </c>
      <c r="H45" s="66" t="n">
        <f aca="false">H43+H44/2</f>
        <v>17408</v>
      </c>
      <c r="I45" s="66" t="n">
        <f aca="false">I43+I44/2</f>
        <v>17408</v>
      </c>
      <c r="J45" s="66" t="n">
        <f aca="false">J43+J44/2</f>
        <v>17408</v>
      </c>
      <c r="K45" s="66" t="n">
        <f aca="false">K43+K44/2</f>
        <v>17408</v>
      </c>
      <c r="L45" s="66" t="n">
        <f aca="false">L43+L44/2</f>
        <v>17408</v>
      </c>
      <c r="M45" s="66" t="n">
        <f aca="false">M43+M44/2</f>
        <v>17408</v>
      </c>
      <c r="N45" s="66" t="n">
        <f aca="false">N43+N44/2</f>
        <v>17408</v>
      </c>
      <c r="O45" s="66" t="n">
        <f aca="false">O43+O44/2</f>
        <v>17408</v>
      </c>
      <c r="P45" s="66" t="n">
        <f aca="false">P43+P44/2</f>
        <v>17408</v>
      </c>
      <c r="Q45" s="66" t="n">
        <f aca="false">Q43+Q44/2</f>
        <v>17408</v>
      </c>
      <c r="R45" s="66" t="n">
        <f aca="false">R43+R44/2</f>
        <v>17408</v>
      </c>
      <c r="S45" s="66" t="n">
        <f aca="false">S43+S44/2</f>
        <v>17408</v>
      </c>
      <c r="T45" s="66" t="n">
        <f aca="false">T43+T44/2</f>
        <v>17408</v>
      </c>
      <c r="U45" s="66" t="n">
        <f aca="false">U43+U44/2</f>
        <v>17408</v>
      </c>
      <c r="V45" s="66" t="n">
        <f aca="false">V43+V44/2</f>
        <v>17408</v>
      </c>
      <c r="W45" s="66" t="n">
        <f aca="false">W43+W44/2</f>
        <v>5120</v>
      </c>
      <c r="X45" s="66" t="n">
        <f aca="false">X43+X44/2</f>
        <v>5120</v>
      </c>
      <c r="Y45" s="66" t="n">
        <f aca="false">Y43+Y44/2</f>
        <v>66560</v>
      </c>
      <c r="Z45" s="66" t="n">
        <f aca="false">Z43+Z44/2</f>
        <v>66560</v>
      </c>
      <c r="AA45" s="66" t="n">
        <f aca="false">AA43+AA44/2</f>
        <v>17408</v>
      </c>
      <c r="AB45" s="66" t="n">
        <f aca="false">AB43+AB44/2</f>
        <v>17408</v>
      </c>
      <c r="AC45" s="66" t="n">
        <f aca="false">AC43+AC44/2</f>
        <v>34816</v>
      </c>
      <c r="AD45" s="66" t="n">
        <f aca="false">AD43+AD44/2</f>
        <v>34816</v>
      </c>
      <c r="AE45" s="66" t="n">
        <f aca="false">AE43+AE44/2</f>
        <v>34816</v>
      </c>
      <c r="AF45" s="66" t="n">
        <f aca="false">AF43+AF44/2</f>
        <v>34816</v>
      </c>
      <c r="AG45" s="66" t="n">
        <f aca="false">AG43+AG44/2</f>
        <v>34816</v>
      </c>
      <c r="AH45" s="66" t="n">
        <f aca="false">AH43+AH44/2</f>
        <v>34816</v>
      </c>
    </row>
    <row r="46" customFormat="false" ht="15" hidden="false" customHeight="false" outlineLevel="0" collapsed="false">
      <c r="A46" s="53" t="s">
        <v>320</v>
      </c>
      <c r="B46" s="53" t="s">
        <v>248</v>
      </c>
      <c r="C46" s="66" t="n">
        <f aca="false">C43/2</f>
        <v>8192</v>
      </c>
      <c r="D46" s="66" t="n">
        <f aca="false">D43/2</f>
        <v>8192</v>
      </c>
      <c r="E46" s="66" t="n">
        <f aca="false">E43/2</f>
        <v>8192</v>
      </c>
      <c r="F46" s="66" t="n">
        <f aca="false">F43/2</f>
        <v>8192</v>
      </c>
      <c r="G46" s="66" t="n">
        <f aca="false">G43/2</f>
        <v>8192</v>
      </c>
      <c r="H46" s="66" t="n">
        <f aca="false">H43/2</f>
        <v>8192</v>
      </c>
      <c r="I46" s="66" t="n">
        <f aca="false">I43/2</f>
        <v>8192</v>
      </c>
      <c r="J46" s="66" t="n">
        <f aca="false">J43/2</f>
        <v>8192</v>
      </c>
      <c r="K46" s="66" t="n">
        <f aca="false">K43/2</f>
        <v>8192</v>
      </c>
      <c r="L46" s="66" t="n">
        <f aca="false">L43/2</f>
        <v>8192</v>
      </c>
      <c r="M46" s="66" t="n">
        <f aca="false">M43/2</f>
        <v>8192</v>
      </c>
      <c r="N46" s="66" t="n">
        <f aca="false">N43/2</f>
        <v>8192</v>
      </c>
      <c r="O46" s="66" t="n">
        <f aca="false">O43/2</f>
        <v>8192</v>
      </c>
      <c r="P46" s="66" t="n">
        <f aca="false">P43/2</f>
        <v>8192</v>
      </c>
      <c r="Q46" s="66" t="n">
        <f aca="false">Q43/2</f>
        <v>8192</v>
      </c>
      <c r="R46" s="66" t="n">
        <f aca="false">R43/2</f>
        <v>8192</v>
      </c>
      <c r="S46" s="66" t="n">
        <f aca="false">S43/2</f>
        <v>8192</v>
      </c>
      <c r="T46" s="66" t="n">
        <f aca="false">T43/2</f>
        <v>8192</v>
      </c>
      <c r="U46" s="66" t="n">
        <f aca="false">U43/2</f>
        <v>8192</v>
      </c>
      <c r="V46" s="66" t="n">
        <f aca="false">V43/2</f>
        <v>8192</v>
      </c>
      <c r="W46" s="66" t="n">
        <f aca="false">W43/2</f>
        <v>2048</v>
      </c>
      <c r="X46" s="66" t="n">
        <f aca="false">X43/2</f>
        <v>2048</v>
      </c>
      <c r="Y46" s="66" t="n">
        <f aca="false">Y43/2</f>
        <v>32768</v>
      </c>
      <c r="Z46" s="66" t="n">
        <f aca="false">Z43/2</f>
        <v>32768</v>
      </c>
      <c r="AA46" s="66" t="n">
        <f aca="false">AA43/2</f>
        <v>8192</v>
      </c>
      <c r="AB46" s="66" t="n">
        <f aca="false">AB43/2</f>
        <v>8192</v>
      </c>
      <c r="AC46" s="66" t="n">
        <f aca="false">AC43/2</f>
        <v>16384</v>
      </c>
      <c r="AD46" s="66" t="n">
        <f aca="false">AD43/2</f>
        <v>16384</v>
      </c>
      <c r="AE46" s="66" t="n">
        <f aca="false">AE43/2</f>
        <v>16384</v>
      </c>
      <c r="AF46" s="66" t="n">
        <f aca="false">AF43/2</f>
        <v>16384</v>
      </c>
      <c r="AG46" s="66" t="n">
        <f aca="false">AG43/2</f>
        <v>16384</v>
      </c>
      <c r="AH46" s="66" t="n">
        <f aca="false">AH43/2</f>
        <v>16384</v>
      </c>
    </row>
    <row r="47" customFormat="false" ht="15" hidden="false" customHeight="false" outlineLevel="0" collapsed="false">
      <c r="A47" s="53" t="s">
        <v>682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  <c r="R47" s="84" t="n">
        <f aca="false">Serving!$C$6</f>
        <v>3</v>
      </c>
      <c r="S47" s="84" t="n">
        <f aca="false">Serving!$C$6</f>
        <v>3</v>
      </c>
      <c r="T47" s="84" t="n">
        <f aca="false">Serving!$C$6</f>
        <v>3</v>
      </c>
      <c r="U47" s="84" t="n">
        <f aca="false">Serving!$C$6</f>
        <v>3</v>
      </c>
      <c r="V47" s="84" t="n">
        <f aca="false">Serving!$C$6</f>
        <v>3</v>
      </c>
      <c r="W47" s="84" t="n">
        <f aca="false">Serving!$C$6</f>
        <v>3</v>
      </c>
      <c r="X47" s="84" t="n">
        <f aca="false">Serving!$C$6</f>
        <v>3</v>
      </c>
      <c r="Y47" s="84" t="n">
        <f aca="false">Serving!$C$6</f>
        <v>3</v>
      </c>
      <c r="Z47" s="84" t="n">
        <f aca="false">Serving!$C$6</f>
        <v>3</v>
      </c>
      <c r="AA47" s="84" t="n">
        <f aca="false">Serving!$C$6</f>
        <v>3</v>
      </c>
      <c r="AB47" s="84" t="n">
        <f aca="false">Serving!$C$6</f>
        <v>3</v>
      </c>
      <c r="AC47" s="84" t="n">
        <f aca="false">Serving!$C$6</f>
        <v>3</v>
      </c>
      <c r="AD47" s="84" t="n">
        <f aca="false">Serving!$C$6</f>
        <v>3</v>
      </c>
      <c r="AE47" s="84" t="n">
        <f aca="false">Serving!$C$6</f>
        <v>3</v>
      </c>
      <c r="AF47" s="84" t="n">
        <f aca="false">Serving!$C$6</f>
        <v>3</v>
      </c>
      <c r="AG47" s="84" t="n">
        <f aca="false">Serving!$C$6</f>
        <v>3</v>
      </c>
      <c r="AH47" s="84" t="n">
        <f aca="false">Serving!$C$6</f>
        <v>3</v>
      </c>
    </row>
    <row r="48" customFormat="false" ht="15" hidden="false" customHeight="false" outlineLevel="0" collapsed="false">
      <c r="A48" s="52" t="s">
        <v>683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0" t="n">
        <v>0.6</v>
      </c>
      <c r="T48" s="70" t="n">
        <v>0.6</v>
      </c>
      <c r="U48" s="70" t="n">
        <v>0.8</v>
      </c>
      <c r="V48" s="70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684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2.176</v>
      </c>
      <c r="T49" s="67" t="n">
        <f aca="false">(1-T48^(T47+1))/(1-T48)</f>
        <v>2.176</v>
      </c>
      <c r="U49" s="67" t="n">
        <f aca="false">(1-U48^(U47+1))/(1-U48)</f>
        <v>2.952</v>
      </c>
      <c r="V49" s="67" t="n">
        <f aca="false">(1-V48^(V47+1))/(1-V48)</f>
        <v>2.952</v>
      </c>
      <c r="W49" s="67" t="n">
        <f aca="false">(1-W48^(W47+1))/(1-W48)</f>
        <v>2.533</v>
      </c>
      <c r="X49" s="67" t="n">
        <f aca="false">(1-X48^(X47+1))/(1-X48)</f>
        <v>2.533</v>
      </c>
      <c r="Y49" s="67" t="n">
        <f aca="false">(1-Y48^(Y47+1))/(1-Y48)</f>
        <v>2.533</v>
      </c>
      <c r="Z49" s="67" t="n">
        <f aca="false">(1-Z48^(Z47+1))/(1-Z48)</f>
        <v>2.533</v>
      </c>
      <c r="AA49" s="67" t="n">
        <f aca="false">(1-AA48^(AA47+1))/(1-AA48)</f>
        <v>2.533</v>
      </c>
      <c r="AB49" s="67" t="n">
        <f aca="false">(1-AB48^(AB47+1))/(1-AB48)</f>
        <v>2.533</v>
      </c>
      <c r="AC49" s="67" t="n">
        <f aca="false">(1-AC48^(AC47+1))/(1-AC48)</f>
        <v>2.533</v>
      </c>
      <c r="AD49" s="67" t="n">
        <f aca="false">(1-AD48^(AD47+1))/(1-AD48)</f>
        <v>2.533</v>
      </c>
      <c r="AE49" s="67" t="n">
        <f aca="false">(1-AE48^(AE47+1))/(1-AE48)</f>
        <v>2.533</v>
      </c>
      <c r="AF49" s="67" t="n">
        <f aca="false">(1-AF48^(AF47+1))/(1-AF48)</f>
        <v>2.533</v>
      </c>
      <c r="AG49" s="67" t="n">
        <f aca="false">(1-AG48^(AG47+1))/(1-AG48)</f>
        <v>2.533</v>
      </c>
      <c r="AH49" s="67" t="n">
        <f aca="false">(1-AH48^(AH47+1))/(1-AH48)</f>
        <v>2.533</v>
      </c>
    </row>
    <row r="50" customFormat="false" ht="15" hidden="false" customHeight="false" outlineLevel="0" collapsed="false">
      <c r="A50" s="52" t="s">
        <v>307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1" t="n">
        <v>0.7</v>
      </c>
      <c r="AB50" s="71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685</v>
      </c>
      <c r="B51" s="53" t="s">
        <v>69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686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71" t="n">
        <v>0.5</v>
      </c>
      <c r="F52" s="89" t="n">
        <f aca="false">Tech_Registry!$E$20</f>
        <v>1</v>
      </c>
      <c r="G52" s="71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687</v>
      </c>
      <c r="B53" s="53" t="s">
        <v>69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688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1" t="n">
        <v>0.7</v>
      </c>
      <c r="J54" s="89" t="n">
        <f aca="false">Tech_Registry!$E$21</f>
        <v>1</v>
      </c>
      <c r="K54" s="71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689</v>
      </c>
      <c r="B55" s="53" t="s">
        <v>452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690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691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692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693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694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695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696</v>
      </c>
      <c r="B62" s="53" t="s">
        <v>417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82" t="s">
        <v>697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Format="false" ht="15" hidden="false" customHeight="false" outlineLevel="0" collapsed="false">
      <c r="A64" s="53" t="s">
        <v>698</v>
      </c>
      <c r="B64" s="53" t="s">
        <v>248</v>
      </c>
      <c r="C64" s="66" t="n">
        <f aca="false">C36*IF(C37=0,C45,MIN(C45,C37))+(1-C36)*(C45/C38+C39)</f>
        <v>2244</v>
      </c>
      <c r="D64" s="66" t="n">
        <f aca="false">D36*IF(D37=0,D45,MIN(D45,D37))+(1-D36)*(D45/D38+D39)</f>
        <v>2244</v>
      </c>
      <c r="E64" s="66" t="n">
        <f aca="false">E36*IF(E37=0,E45,MIN(E45,E37))+(1-E36)*(E45/E38+E39)</f>
        <v>2244</v>
      </c>
      <c r="F64" s="66" t="n">
        <f aca="false">F36*IF(F37=0,F45,MIN(F45,F37))+(1-F36)*(F45/F38+F39)</f>
        <v>2244</v>
      </c>
      <c r="G64" s="66" t="n">
        <f aca="false">G36*IF(G37=0,G45,MIN(G45,G37))+(1-G36)*(G45/G38+G39)</f>
        <v>2244</v>
      </c>
      <c r="H64" s="66" t="n">
        <f aca="false">H36*IF(H37=0,H45,MIN(H45,H37))+(1-H36)*(H45/H38+H39)</f>
        <v>2244</v>
      </c>
      <c r="I64" s="66" t="n">
        <f aca="false">I36*IF(I37=0,I45,MIN(I45,I37))+(1-I36)*(I45/I38+I39)</f>
        <v>2244</v>
      </c>
      <c r="J64" s="66" t="n">
        <f aca="false">J36*IF(J37=0,J45,MIN(J45,J37))+(1-J36)*(J45/J38+J39)</f>
        <v>2244</v>
      </c>
      <c r="K64" s="66" t="n">
        <f aca="false">K36*IF(K37=0,K45,MIN(K45,K37))+(1-K36)*(K45/K38+K39)</f>
        <v>2244</v>
      </c>
      <c r="L64" s="66" t="n">
        <f aca="false">L36*IF(L37=0,L45,MIN(L45,L37))+(1-L36)*(L45/L38+L39)</f>
        <v>2244</v>
      </c>
      <c r="M64" s="66" t="n">
        <f aca="false">M36*IF(M37=0,M45,MIN(M45,M37))+(1-M36)*(M45/M38+M39)</f>
        <v>2244</v>
      </c>
      <c r="N64" s="66" t="n">
        <f aca="false">N36*IF(N37=0,N45,MIN(N45,N37))+(1-N36)*(N45/N38+N39)</f>
        <v>2244</v>
      </c>
      <c r="O64" s="66" t="n">
        <f aca="false">O36*IF(O37=0,O45,MIN(O45,O37))+(1-O36)*(O45/O38+O39)</f>
        <v>2244</v>
      </c>
      <c r="P64" s="66" t="n">
        <f aca="false">P36*IF(P37=0,P45,MIN(P45,P37))+(1-P36)*(P45/P38+P39)</f>
        <v>2244</v>
      </c>
      <c r="Q64" s="66" t="n">
        <f aca="false">Q36*IF(Q37=0,Q45,MIN(Q45,Q37))+(1-Q36)*(Q45/Q38+Q39)</f>
        <v>2244</v>
      </c>
      <c r="R64" s="66" t="n">
        <f aca="false">R36*IF(R37=0,R45,MIN(R45,R37))+(1-R36)*(R45/R38+R39)</f>
        <v>2244</v>
      </c>
      <c r="S64" s="66" t="n">
        <f aca="false">S36*IF(S37=0,S45,MIN(S45,S37))+(1-S36)*(S45/S38+S39)</f>
        <v>2244</v>
      </c>
      <c r="T64" s="66" t="n">
        <f aca="false">T36*IF(T37=0,T45,MIN(T45,T37))+(1-T36)*(T45/T38+T39)</f>
        <v>2244</v>
      </c>
      <c r="U64" s="66" t="n">
        <f aca="false">U36*IF(U37=0,U45,MIN(U45,U37))+(1-U36)*(U45/U38+U39)</f>
        <v>2244</v>
      </c>
      <c r="V64" s="66" t="n">
        <f aca="false">V36*IF(V37=0,V45,MIN(V45,V37))+(1-V36)*(V45/V38+V39)</f>
        <v>2244</v>
      </c>
      <c r="W64" s="66" t="n">
        <f aca="false">W36*IF(W37=0,W45,MIN(W45,W37))+(1-W36)*(W45/W38+W39)</f>
        <v>2196</v>
      </c>
      <c r="X64" s="66" t="n">
        <f aca="false">X36*IF(X37=0,X45,MIN(X45,X37))+(1-X36)*(X45/X38+X39)</f>
        <v>2196</v>
      </c>
      <c r="Y64" s="66" t="n">
        <f aca="false">Y36*IF(Y37=0,Y45,MIN(Y45,Y37))+(1-Y36)*(Y45/Y38+Y39)</f>
        <v>2436</v>
      </c>
      <c r="Z64" s="66" t="n">
        <f aca="false">Z36*IF(Z37=0,Z45,MIN(Z45,Z37))+(1-Z36)*(Z45/Z38+Z39)</f>
        <v>2436</v>
      </c>
      <c r="AA64" s="66" t="n">
        <f aca="false">AA36*IF(AA37=0,AA45,MIN(AA45,AA37))+(1-AA36)*(AA45/AA38+AA39)</f>
        <v>2244</v>
      </c>
      <c r="AB64" s="66" t="n">
        <f aca="false">AB36*IF(AB37=0,AB45,MIN(AB45,AB37))+(1-AB36)*(AB45/AB38+AB39)</f>
        <v>2244</v>
      </c>
      <c r="AC64" s="66" t="n">
        <f aca="false">AC36*IF(AC37=0,AC45,MIN(AC45,AC37))+(1-AC36)*(AC45/AC38+AC39)</f>
        <v>34816</v>
      </c>
      <c r="AD64" s="66" t="n">
        <f aca="false">AD36*IF(AD37=0,AD45,MIN(AD45,AD37))+(1-AD36)*(AD45/AD38+AD39)</f>
        <v>34816</v>
      </c>
      <c r="AE64" s="66" t="n">
        <f aca="false">AE36*IF(AE37=0,AE45,MIN(AE45,AE37))+(1-AE36)*(AE45/AE38+AE39)</f>
        <v>34816</v>
      </c>
      <c r="AF64" s="66" t="n">
        <f aca="false">AF36*IF(AF37=0,AF45,MIN(AF45,AF37))+(1-AF36)*(AF45/AF38+AF39)</f>
        <v>34816</v>
      </c>
      <c r="AG64" s="66" t="n">
        <f aca="false">AG36*IF(AG37=0,AG45,MIN(AG45,AG37))+(1-AG36)*(AG45/AG38+AG39)</f>
        <v>34816</v>
      </c>
      <c r="AH64" s="66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430</v>
      </c>
      <c r="B65" s="53" t="s">
        <v>431</v>
      </c>
      <c r="C65" s="65" t="n">
        <f aca="false">(2*C28*1000000000+C35*C64)*C10/1000000000</f>
        <v>133.883319296</v>
      </c>
      <c r="D65" s="65" t="n">
        <f aca="false">(2*D28*1000000000+D35*D64)*D10/1000000000</f>
        <v>133.883319296</v>
      </c>
      <c r="E65" s="65" t="n">
        <f aca="false">(2*E28*1000000000+E35*E64)*E10/1000000000</f>
        <v>133.883319296</v>
      </c>
      <c r="F65" s="65" t="n">
        <f aca="false">(2*F28*1000000000+F35*F64)*F10/1000000000</f>
        <v>133.883319296</v>
      </c>
      <c r="G65" s="65" t="n">
        <f aca="false">(2*G28*1000000000+G35*G64)*G10/1000000000</f>
        <v>133.883319296</v>
      </c>
      <c r="H65" s="65" t="n">
        <f aca="false">(2*H28*1000000000+H35*H64)*H10/1000000000</f>
        <v>133.883319296</v>
      </c>
      <c r="I65" s="65" t="n">
        <f aca="false">(2*I28*1000000000+I35*I64)*I10/1000000000</f>
        <v>133.883319296</v>
      </c>
      <c r="J65" s="65" t="n">
        <f aca="false">(2*J28*1000000000+J35*J64)*J10/1000000000</f>
        <v>133.883319296</v>
      </c>
      <c r="K65" s="65" t="n">
        <f aca="false">(2*K28*1000000000+K35*K64)*K10/1000000000</f>
        <v>133.883319296</v>
      </c>
      <c r="L65" s="65" t="n">
        <f aca="false">(2*L28*1000000000+L35*L64)*L10/1000000000</f>
        <v>133.883319296</v>
      </c>
      <c r="M65" s="65" t="n">
        <f aca="false">(2*M28*1000000000+M35*M64)*M10/1000000000</f>
        <v>133.883319296</v>
      </c>
      <c r="N65" s="65" t="n">
        <f aca="false">(2*N28*1000000000+N35*N64)*N10/1000000000</f>
        <v>133.883319296</v>
      </c>
      <c r="O65" s="65" t="n">
        <f aca="false">(2*O28*1000000000+O35*O64)*O10/1000000000</f>
        <v>133.883319296</v>
      </c>
      <c r="P65" s="65" t="n">
        <f aca="false">(2*P28*1000000000+P35*P64)*P10/1000000000</f>
        <v>133.883319296</v>
      </c>
      <c r="Q65" s="65" t="n">
        <f aca="false">(2*Q28*1000000000+Q35*Q64)*Q10/1000000000</f>
        <v>133.883319296</v>
      </c>
      <c r="R65" s="65" t="n">
        <f aca="false">(2*R28*1000000000+R35*R64)*R10/1000000000</f>
        <v>133.883319296</v>
      </c>
      <c r="S65" s="65" t="n">
        <f aca="false">(2*S28*1000000000+S35*S64)*S10/1000000000</f>
        <v>133.883319296</v>
      </c>
      <c r="T65" s="65" t="n">
        <f aca="false">(2*T28*1000000000+T35*T64)*T10/1000000000</f>
        <v>133.883319296</v>
      </c>
      <c r="U65" s="65" t="n">
        <f aca="false">(2*U28*1000000000+U35*U64)*U10/1000000000</f>
        <v>133.883319296</v>
      </c>
      <c r="V65" s="65" t="n">
        <f aca="false">(2*V28*1000000000+V35*V64)*V10/1000000000</f>
        <v>133.883319296</v>
      </c>
      <c r="W65" s="65" t="n">
        <f aca="false">(2*W28*1000000000+W35*W64)*W10/1000000000</f>
        <v>133.115761664</v>
      </c>
      <c r="X65" s="65" t="n">
        <f aca="false">(2*X28*1000000000+X35*X64)*X10/1000000000</f>
        <v>133.115761664</v>
      </c>
      <c r="Y65" s="65" t="n">
        <f aca="false">(2*Y28*1000000000+Y35*Y64)*Y10/1000000000</f>
        <v>136.953549824</v>
      </c>
      <c r="Z65" s="65" t="n">
        <f aca="false">(2*Z28*1000000000+Z35*Z64)*Z10/1000000000</f>
        <v>136.953549824</v>
      </c>
      <c r="AA65" s="65" t="n">
        <f aca="false">(2*AA28*1000000000+AA35*AA64)*AA10/1000000000</f>
        <v>133.883319296</v>
      </c>
      <c r="AB65" s="65" t="n">
        <f aca="false">(2*AB28*1000000000+AB35*AB64)*AB10/1000000000</f>
        <v>133.883319296</v>
      </c>
      <c r="AC65" s="65" t="n">
        <f aca="false">(2*AC28*1000000000+AC35*AC64)*AC10/1000000000</f>
        <v>531.1276032</v>
      </c>
      <c r="AD65" s="65" t="n">
        <f aca="false">(2*AD28*1000000000+AD35*AD64)*AD10/1000000000</f>
        <v>531.1276032</v>
      </c>
      <c r="AE65" s="65" t="n">
        <f aca="false">(2*AE28*1000000000+AE35*AE64)*AE10/1000000000</f>
        <v>531.1276032</v>
      </c>
      <c r="AF65" s="65" t="n">
        <f aca="false">(2*AF28*1000000000+AF35*AF64)*AF10/1000000000</f>
        <v>531.1276032</v>
      </c>
      <c r="AG65" s="65" t="n">
        <f aca="false">(2*AG28*1000000000+AG35*AG64)*AG10/1000000000</f>
        <v>531.1276032</v>
      </c>
      <c r="AH65" s="65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699</v>
      </c>
      <c r="B66" s="53" t="s">
        <v>248</v>
      </c>
      <c r="C66" s="66" t="n">
        <f aca="false">C36*IF(C37=0,C46,MIN(C46,C37))+(1-C36)*(C46/C38+C39)</f>
        <v>2208</v>
      </c>
      <c r="D66" s="66" t="n">
        <f aca="false">D36*IF(D37=0,D46,MIN(D46,D37))+(1-D36)*(D46/D38+D39)</f>
        <v>2208</v>
      </c>
      <c r="E66" s="66" t="n">
        <f aca="false">E36*IF(E37=0,E46,MIN(E46,E37))+(1-E36)*(E46/E38+E39)</f>
        <v>2208</v>
      </c>
      <c r="F66" s="66" t="n">
        <f aca="false">F36*IF(F37=0,F46,MIN(F46,F37))+(1-F36)*(F46/F38+F39)</f>
        <v>2208</v>
      </c>
      <c r="G66" s="66" t="n">
        <f aca="false">G36*IF(G37=0,G46,MIN(G46,G37))+(1-G36)*(G46/G38+G39)</f>
        <v>2208</v>
      </c>
      <c r="H66" s="66" t="n">
        <f aca="false">H36*IF(H37=0,H46,MIN(H46,H37))+(1-H36)*(H46/H38+H39)</f>
        <v>2208</v>
      </c>
      <c r="I66" s="66" t="n">
        <f aca="false">I36*IF(I37=0,I46,MIN(I46,I37))+(1-I36)*(I46/I38+I39)</f>
        <v>2208</v>
      </c>
      <c r="J66" s="66" t="n">
        <f aca="false">J36*IF(J37=0,J46,MIN(J46,J37))+(1-J36)*(J46/J38+J39)</f>
        <v>2208</v>
      </c>
      <c r="K66" s="66" t="n">
        <f aca="false">K36*IF(K37=0,K46,MIN(K46,K37))+(1-K36)*(K46/K38+K39)</f>
        <v>2208</v>
      </c>
      <c r="L66" s="66" t="n">
        <f aca="false">L36*IF(L37=0,L46,MIN(L46,L37))+(1-L36)*(L46/L38+L39)</f>
        <v>2208</v>
      </c>
      <c r="M66" s="66" t="n">
        <f aca="false">M36*IF(M37=0,M46,MIN(M46,M37))+(1-M36)*(M46/M38+M39)</f>
        <v>2208</v>
      </c>
      <c r="N66" s="66" t="n">
        <f aca="false">N36*IF(N37=0,N46,MIN(N46,N37))+(1-N36)*(N46/N38+N39)</f>
        <v>2208</v>
      </c>
      <c r="O66" s="66" t="n">
        <f aca="false">O36*IF(O37=0,O46,MIN(O46,O37))+(1-O36)*(O46/O38+O39)</f>
        <v>2208</v>
      </c>
      <c r="P66" s="66" t="n">
        <f aca="false">P36*IF(P37=0,P46,MIN(P46,P37))+(1-P36)*(P46/P38+P39)</f>
        <v>2208</v>
      </c>
      <c r="Q66" s="66" t="n">
        <f aca="false">Q36*IF(Q37=0,Q46,MIN(Q46,Q37))+(1-Q36)*(Q46/Q38+Q39)</f>
        <v>2208</v>
      </c>
      <c r="R66" s="66" t="n">
        <f aca="false">R36*IF(R37=0,R46,MIN(R46,R37))+(1-R36)*(R46/R38+R39)</f>
        <v>2208</v>
      </c>
      <c r="S66" s="66" t="n">
        <f aca="false">S36*IF(S37=0,S46,MIN(S46,S37))+(1-S36)*(S46/S38+S39)</f>
        <v>2208</v>
      </c>
      <c r="T66" s="66" t="n">
        <f aca="false">T36*IF(T37=0,T46,MIN(T46,T37))+(1-T36)*(T46/T38+T39)</f>
        <v>2208</v>
      </c>
      <c r="U66" s="66" t="n">
        <f aca="false">U36*IF(U37=0,U46,MIN(U46,U37))+(1-U36)*(U46/U38+U39)</f>
        <v>2208</v>
      </c>
      <c r="V66" s="66" t="n">
        <f aca="false">V36*IF(V37=0,V46,MIN(V46,V37))+(1-V36)*(V46/V38+V39)</f>
        <v>2208</v>
      </c>
      <c r="W66" s="66" t="n">
        <f aca="false">W36*IF(W37=0,W46,MIN(W46,W37))+(1-W36)*(W46/W38+W39)</f>
        <v>1096</v>
      </c>
      <c r="X66" s="66" t="n">
        <f aca="false">X36*IF(X37=0,X46,MIN(X46,X37))+(1-X36)*(X46/X38+X39)</f>
        <v>1096</v>
      </c>
      <c r="Y66" s="66" t="n">
        <f aca="false">Y36*IF(Y37=0,Y46,MIN(Y46,Y37))+(1-Y36)*(Y46/Y38+Y39)</f>
        <v>2304</v>
      </c>
      <c r="Z66" s="66" t="n">
        <f aca="false">Z36*IF(Z37=0,Z46,MIN(Z46,Z37))+(1-Z36)*(Z46/Z38+Z39)</f>
        <v>2304</v>
      </c>
      <c r="AA66" s="66" t="n">
        <f aca="false">AA36*IF(AA37=0,AA46,MIN(AA46,AA37))+(1-AA36)*(AA46/AA38+AA39)</f>
        <v>2208</v>
      </c>
      <c r="AB66" s="66" t="n">
        <f aca="false">AB36*IF(AB37=0,AB46,MIN(AB46,AB37))+(1-AB36)*(AB46/AB38+AB39)</f>
        <v>2208</v>
      </c>
      <c r="AC66" s="66" t="n">
        <f aca="false">AC36*IF(AC37=0,AC46,MIN(AC46,AC37))+(1-AC36)*(AC46/AC38+AC39)</f>
        <v>16384</v>
      </c>
      <c r="AD66" s="66" t="n">
        <f aca="false">AD36*IF(AD37=0,AD46,MIN(AD46,AD37))+(1-AD36)*(AD46/AD38+AD39)</f>
        <v>16384</v>
      </c>
      <c r="AE66" s="66" t="n">
        <f aca="false">AE36*IF(AE37=0,AE46,MIN(AE46,AE37))+(1-AE36)*(AE46/AE38+AE39)</f>
        <v>16384</v>
      </c>
      <c r="AF66" s="66" t="n">
        <f aca="false">AF36*IF(AF37=0,AF46,MIN(AF46,AF37))+(1-AF36)*(AF46/AF38+AF39)</f>
        <v>16384</v>
      </c>
      <c r="AG66" s="66" t="n">
        <f aca="false">AG36*IF(AG37=0,AG46,MIN(AG46,AG37))+(1-AG36)*(AG46/AG38+AG39)</f>
        <v>16384</v>
      </c>
      <c r="AH66" s="66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433</v>
      </c>
      <c r="B67" s="53" t="s">
        <v>431</v>
      </c>
      <c r="C67" s="65" t="n">
        <f aca="false">(2*C28*1000000000+C35*C66)*C10/1000000000</f>
        <v>133.307651072</v>
      </c>
      <c r="D67" s="65" t="n">
        <f aca="false">(2*D28*1000000000+D35*D66)*D10/1000000000</f>
        <v>133.307651072</v>
      </c>
      <c r="E67" s="65" t="n">
        <f aca="false">(2*E28*1000000000+E35*E66)*E10/1000000000</f>
        <v>133.307651072</v>
      </c>
      <c r="F67" s="65" t="n">
        <f aca="false">(2*F28*1000000000+F35*F66)*F10/1000000000</f>
        <v>133.307651072</v>
      </c>
      <c r="G67" s="65" t="n">
        <f aca="false">(2*G28*1000000000+G35*G66)*G10/1000000000</f>
        <v>133.307651072</v>
      </c>
      <c r="H67" s="65" t="n">
        <f aca="false">(2*H28*1000000000+H35*H66)*H10/1000000000</f>
        <v>133.307651072</v>
      </c>
      <c r="I67" s="65" t="n">
        <f aca="false">(2*I28*1000000000+I35*I66)*I10/1000000000</f>
        <v>133.307651072</v>
      </c>
      <c r="J67" s="65" t="n">
        <f aca="false">(2*J28*1000000000+J35*J66)*J10/1000000000</f>
        <v>133.307651072</v>
      </c>
      <c r="K67" s="65" t="n">
        <f aca="false">(2*K28*1000000000+K35*K66)*K10/1000000000</f>
        <v>133.307651072</v>
      </c>
      <c r="L67" s="65" t="n">
        <f aca="false">(2*L28*1000000000+L35*L66)*L10/1000000000</f>
        <v>133.307651072</v>
      </c>
      <c r="M67" s="65" t="n">
        <f aca="false">(2*M28*1000000000+M35*M66)*M10/1000000000</f>
        <v>133.307651072</v>
      </c>
      <c r="N67" s="65" t="n">
        <f aca="false">(2*N28*1000000000+N35*N66)*N10/1000000000</f>
        <v>133.307651072</v>
      </c>
      <c r="O67" s="65" t="n">
        <f aca="false">(2*O28*1000000000+O35*O66)*O10/1000000000</f>
        <v>133.307651072</v>
      </c>
      <c r="P67" s="65" t="n">
        <f aca="false">(2*P28*1000000000+P35*P66)*P10/1000000000</f>
        <v>133.307651072</v>
      </c>
      <c r="Q67" s="65" t="n">
        <f aca="false">(2*Q28*1000000000+Q35*Q66)*Q10/1000000000</f>
        <v>133.307651072</v>
      </c>
      <c r="R67" s="65" t="n">
        <f aca="false">(2*R28*1000000000+R35*R66)*R10/1000000000</f>
        <v>133.307651072</v>
      </c>
      <c r="S67" s="65" t="n">
        <f aca="false">(2*S28*1000000000+S35*S66)*S10/1000000000</f>
        <v>133.307651072</v>
      </c>
      <c r="T67" s="65" t="n">
        <f aca="false">(2*T28*1000000000+T35*T66)*T10/1000000000</f>
        <v>133.307651072</v>
      </c>
      <c r="U67" s="65" t="n">
        <f aca="false">(2*U28*1000000000+U35*U66)*U10/1000000000</f>
        <v>133.307651072</v>
      </c>
      <c r="V67" s="65" t="n">
        <f aca="false">(2*V28*1000000000+V35*V66)*V10/1000000000</f>
        <v>133.307651072</v>
      </c>
      <c r="W67" s="65" t="n">
        <f aca="false">(2*W28*1000000000+W35*W66)*W10/1000000000</f>
        <v>115.525899264</v>
      </c>
      <c r="X67" s="65" t="n">
        <f aca="false">(2*X28*1000000000+X35*X66)*X10/1000000000</f>
        <v>115.525899264</v>
      </c>
      <c r="Y67" s="65" t="n">
        <f aca="false">(2*Y28*1000000000+Y35*Y66)*Y10/1000000000</f>
        <v>134.842766336</v>
      </c>
      <c r="Z67" s="65" t="n">
        <f aca="false">(2*Z28*1000000000+Z35*Z66)*Z10/1000000000</f>
        <v>134.842766336</v>
      </c>
      <c r="AA67" s="65" t="n">
        <f aca="false">(2*AA28*1000000000+AA35*AA66)*AA10/1000000000</f>
        <v>133.307651072</v>
      </c>
      <c r="AB67" s="65" t="n">
        <f aca="false">(2*AB28*1000000000+AB35*AB66)*AB10/1000000000</f>
        <v>133.307651072</v>
      </c>
      <c r="AC67" s="65" t="n">
        <f aca="false">(2*AC28*1000000000+AC35*AC66)*AC10/1000000000</f>
        <v>440.5306368</v>
      </c>
      <c r="AD67" s="65" t="n">
        <f aca="false">(2*AD28*1000000000+AD35*AD66)*AD10/1000000000</f>
        <v>440.5306368</v>
      </c>
      <c r="AE67" s="65" t="n">
        <f aca="false">(2*AE28*1000000000+AE35*AE66)*AE10/1000000000</f>
        <v>440.5306368</v>
      </c>
      <c r="AF67" s="65" t="n">
        <f aca="false">(2*AF28*1000000000+AF35*AF66)*AF10/1000000000</f>
        <v>440.5306368</v>
      </c>
      <c r="AG67" s="65" t="n">
        <f aca="false">(2*AG28*1000000000+AG35*AG66)*AG10/1000000000</f>
        <v>440.5306368</v>
      </c>
      <c r="AH67" s="65" t="n">
        <f aca="false">(2*AH28*1000000000+AH35*AH66)*AH10/1000000000</f>
        <v>440.5306368</v>
      </c>
    </row>
    <row r="68" customFormat="false" ht="15" hidden="false" customHeight="false" outlineLevel="0" collapsed="false">
      <c r="A68" s="82" t="s">
        <v>700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Format="false" ht="15" hidden="false" customHeight="false" outlineLevel="0" collapsed="false">
      <c r="A69" s="52" t="s">
        <v>434</v>
      </c>
      <c r="B69" s="53" t="s">
        <v>273</v>
      </c>
      <c r="C69" s="66" t="n">
        <f aca="false">C15*(1-C56)</f>
        <v>259.2</v>
      </c>
      <c r="D69" s="66" t="n">
        <f aca="false">D15*(1-D56)</f>
        <v>259.2</v>
      </c>
      <c r="E69" s="66" t="n">
        <f aca="false">E15*(1-E56)</f>
        <v>259.2</v>
      </c>
      <c r="F69" s="66" t="n">
        <f aca="false">F15*(1-F56)</f>
        <v>259.2</v>
      </c>
      <c r="G69" s="66" t="n">
        <f aca="false">G15*(1-G56)</f>
        <v>259.2</v>
      </c>
      <c r="H69" s="66" t="n">
        <f aca="false">H15*(1-H56)</f>
        <v>259.2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259.2</v>
      </c>
      <c r="P69" s="66" t="n">
        <f aca="false">P15*(1-P56)</f>
        <v>259.2</v>
      </c>
      <c r="Q69" s="66" t="n">
        <f aca="false">Q15*(1-Q56)</f>
        <v>259.2</v>
      </c>
      <c r="R69" s="66" t="n">
        <f aca="false">R15*(1-R56)</f>
        <v>259.2</v>
      </c>
      <c r="S69" s="66" t="n">
        <f aca="false">S15*(1-S56)</f>
        <v>259.2</v>
      </c>
      <c r="T69" s="66" t="n">
        <f aca="false">T15*(1-T56)</f>
        <v>259.2</v>
      </c>
      <c r="U69" s="66" t="n">
        <f aca="false">U15*(1-U56)</f>
        <v>259.2</v>
      </c>
      <c r="V69" s="66" t="n">
        <f aca="false">V15*(1-V56)</f>
        <v>259.2</v>
      </c>
      <c r="W69" s="66" t="n">
        <f aca="false">W15*(1-W56)</f>
        <v>259.2</v>
      </c>
      <c r="X69" s="66" t="n">
        <f aca="false">X15*(1-X56)</f>
        <v>259.2</v>
      </c>
      <c r="Y69" s="66" t="n">
        <f aca="false">Y15*(1-Y56)</f>
        <v>259.2</v>
      </c>
      <c r="Z69" s="66" t="n">
        <f aca="false">Z15*(1-Z56)</f>
        <v>259.2</v>
      </c>
      <c r="AA69" s="66" t="n">
        <f aca="false">AA15*(1-AA56)</f>
        <v>259.2</v>
      </c>
      <c r="AB69" s="66" t="n">
        <f aca="false">AB15*(1-AB56)</f>
        <v>259.2</v>
      </c>
      <c r="AC69" s="66" t="n">
        <f aca="false">AC15*(1-AC56)</f>
        <v>259.2</v>
      </c>
      <c r="AD69" s="66" t="n">
        <f aca="false">AD15*(1-AD56)</f>
        <v>259.2</v>
      </c>
      <c r="AE69" s="66" t="n">
        <f aca="false">AE15*(1-AE56)</f>
        <v>259.2</v>
      </c>
      <c r="AF69" s="66" t="n">
        <f aca="false">AF15*(1-AF56)</f>
        <v>259.2</v>
      </c>
      <c r="AG69" s="66" t="n">
        <f aca="false">AG15*(1-AG56)</f>
        <v>259.2</v>
      </c>
      <c r="AH69" s="66" t="n">
        <f aca="false">AH15*(1-AH56)</f>
        <v>259.2</v>
      </c>
    </row>
    <row r="70" customFormat="false" ht="15" hidden="false" customHeight="false" outlineLevel="0" collapsed="false">
      <c r="A70" s="52" t="s">
        <v>701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702</v>
      </c>
      <c r="B71" s="53" t="s">
        <v>662</v>
      </c>
      <c r="C71" s="66" t="n">
        <f aca="false">MAX(C18,CEILING(C33*C19/(C58*C69),1))</f>
        <v>32</v>
      </c>
      <c r="D71" s="66" t="n">
        <f aca="false">MAX(D18,CEILING(D33*D19/(D58*D69),1))</f>
        <v>32</v>
      </c>
      <c r="E71" s="66" t="n">
        <f aca="false">MAX(E18,CEILING(E33*E19/(E58*E69),1))</f>
        <v>32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32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32</v>
      </c>
      <c r="P71" s="66" t="n">
        <f aca="false">MAX(P18,CEILING(P33*P19/(P58*P69),1))</f>
        <v>32</v>
      </c>
      <c r="Q71" s="66" t="n">
        <f aca="false">MAX(Q18,CEILING(Q33*Q19/(Q58*Q69),1))</f>
        <v>32</v>
      </c>
      <c r="R71" s="66" t="n">
        <f aca="false">MAX(R18,CEILING(R33*R19/(R58*R69),1))</f>
        <v>32</v>
      </c>
      <c r="S71" s="66" t="n">
        <f aca="false">MAX(S18,CEILING(S33*S19/(S58*S69),1))</f>
        <v>32</v>
      </c>
      <c r="T71" s="66" t="n">
        <f aca="false">MAX(T18,CEILING(T33*T19/(T58*T69),1))</f>
        <v>32</v>
      </c>
      <c r="U71" s="66" t="n">
        <f aca="false">MAX(U18,CEILING(U33*U19/(U58*U69),1))</f>
        <v>32</v>
      </c>
      <c r="V71" s="66" t="n">
        <f aca="false">MAX(V18,CEILING(V33*V19/(V58*V69),1))</f>
        <v>32</v>
      </c>
      <c r="W71" s="66" t="n">
        <f aca="false">MAX(W18,CEILING(W33*W19/(W58*W69),1))</f>
        <v>32</v>
      </c>
      <c r="X71" s="66" t="n">
        <f aca="false">MAX(X18,CEILING(X33*X19/(X58*X69),1))</f>
        <v>32</v>
      </c>
      <c r="Y71" s="66" t="n">
        <f aca="false">MAX(Y18,CEILING(Y33*Y19/(Y58*Y69),1))</f>
        <v>32</v>
      </c>
      <c r="Z71" s="66" t="n">
        <f aca="false">MAX(Z18,CEILING(Z33*Z19/(Z58*Z69),1))</f>
        <v>32</v>
      </c>
      <c r="AA71" s="66" t="n">
        <f aca="false">MAX(AA18,CEILING(AA33*AA19/(AA58*AA69),1))</f>
        <v>32</v>
      </c>
      <c r="AB71" s="66" t="n">
        <f aca="false">MAX(AB18,CEILING(AB33*AB19/(AB58*AB69),1))</f>
        <v>32</v>
      </c>
      <c r="AC71" s="66" t="n">
        <f aca="false">MAX(AC18,CEILING(AC33*AC19/(AC58*AC69),1))</f>
        <v>32</v>
      </c>
      <c r="AD71" s="66" t="n">
        <f aca="false">MAX(AD18,CEILING(AD33*AD19/(AD58*AD69),1))</f>
        <v>32</v>
      </c>
      <c r="AE71" s="66" t="n">
        <f aca="false">MAX(AE18,CEILING(AE33*AE19/(AE58*AE69),1))</f>
        <v>32</v>
      </c>
      <c r="AF71" s="66" t="n">
        <f aca="false">MAX(AF18,CEILING(AF33*AF19/(AF58*AF69),1))</f>
        <v>32</v>
      </c>
      <c r="AG71" s="66" t="n">
        <f aca="false">MAX(AG18,CEILING(AG33*AG19/(AG58*AG69),1))</f>
        <v>32</v>
      </c>
      <c r="AH71" s="66" t="n">
        <f aca="false">MAX(AH18,CEILING(AH33*AH19/(AH58*AH69),1))</f>
        <v>32</v>
      </c>
    </row>
    <row r="72" customFormat="false" ht="15" hidden="false" customHeight="false" outlineLevel="0" collapsed="false">
      <c r="A72" s="52" t="s">
        <v>437</v>
      </c>
      <c r="B72" s="53" t="s">
        <v>273</v>
      </c>
      <c r="C72" s="65" t="n">
        <f aca="false">C32*C20/C70+C33*C19/C71</f>
        <v>48.0463324652778</v>
      </c>
      <c r="D72" s="65" t="n">
        <f aca="false">D32*D20/D70+D33*D19/D71</f>
        <v>48.0463324652778</v>
      </c>
      <c r="E72" s="65" t="n">
        <f aca="false">E32*E20/E70+E33*E19/E71</f>
        <v>48.0463324652778</v>
      </c>
      <c r="F72" s="65" t="n">
        <f aca="false">F32*F20/F70+F33*F19/F71</f>
        <v>48.0463324652778</v>
      </c>
      <c r="G72" s="65" t="n">
        <f aca="false">G32*G20/G70+G33*G19/G71</f>
        <v>48.0463324652778</v>
      </c>
      <c r="H72" s="65" t="n">
        <f aca="false">H32*H20/H70+H33*H19/H71</f>
        <v>48.0463324652778</v>
      </c>
      <c r="I72" s="65" t="n">
        <f aca="false">I32*I20/I70+I33*I19/I71</f>
        <v>48.0463324652778</v>
      </c>
      <c r="J72" s="65" t="n">
        <f aca="false">J32*J20/J70+J33*J19/J71</f>
        <v>48.0463324652778</v>
      </c>
      <c r="K72" s="65" t="n">
        <f aca="false">K32*K20/K70+K33*K19/K71</f>
        <v>48.0463324652778</v>
      </c>
      <c r="L72" s="65" t="n">
        <f aca="false">L32*L20/L70+L33*L19/L71</f>
        <v>48.0463324652778</v>
      </c>
      <c r="M72" s="65" t="n">
        <f aca="false">M32*M20/M70+M33*M19/M71</f>
        <v>48.0463324652778</v>
      </c>
      <c r="N72" s="65" t="n">
        <f aca="false">N32*N20/N70+N33*N19/N71</f>
        <v>48.0463324652778</v>
      </c>
      <c r="O72" s="65" t="n">
        <f aca="false">O32*O20/O70+O33*O19/O71</f>
        <v>48.0463324652778</v>
      </c>
      <c r="P72" s="65" t="n">
        <f aca="false">P32*P20/P70+P33*P19/P71</f>
        <v>48.0463324652778</v>
      </c>
      <c r="Q72" s="65" t="n">
        <f aca="false">Q32*Q20/Q70+Q33*Q19/Q71</f>
        <v>48.0463324652778</v>
      </c>
      <c r="R72" s="65" t="n">
        <f aca="false">R32*R20/R70+R33*R19/R71</f>
        <v>48.0463324652778</v>
      </c>
      <c r="S72" s="65" t="n">
        <f aca="false">S32*S20/S70+S33*S19/S71</f>
        <v>48.0463324652778</v>
      </c>
      <c r="T72" s="65" t="n">
        <f aca="false">T32*T20/T70+T33*T19/T71</f>
        <v>48.0463324652778</v>
      </c>
      <c r="U72" s="65" t="n">
        <f aca="false">U32*U20/U70+U33*U19/U71</f>
        <v>48.0463324652778</v>
      </c>
      <c r="V72" s="65" t="n">
        <f aca="false">V32*V20/V70+V33*V19/V71</f>
        <v>48.0463324652778</v>
      </c>
      <c r="W72" s="65" t="n">
        <f aca="false">W32*W20/W70+W33*W19/W71</f>
        <v>48.0463324652778</v>
      </c>
      <c r="X72" s="65" t="n">
        <f aca="false">X32*X20/X70+X33*X19/X71</f>
        <v>48.0463324652778</v>
      </c>
      <c r="Y72" s="65" t="n">
        <f aca="false">Y32*Y20/Y70+Y33*Y19/Y71</f>
        <v>48.0463324652778</v>
      </c>
      <c r="Z72" s="65" t="n">
        <f aca="false">Z32*Z20/Z70+Z33*Z19/Z71</f>
        <v>48.0463324652778</v>
      </c>
      <c r="AA72" s="65" t="n">
        <f aca="false">AA32*AA20/AA70+AA33*AA19/AA71</f>
        <v>48.0463324652778</v>
      </c>
      <c r="AB72" s="65" t="n">
        <f aca="false">AB32*AB20/AB70+AB33*AB19/AB71</f>
        <v>48.0463324652778</v>
      </c>
      <c r="AC72" s="65" t="n">
        <f aca="false">AC32*AC20/AC70+AC33*AC19/AC71</f>
        <v>118.522476688508</v>
      </c>
      <c r="AD72" s="65" t="n">
        <f aca="false">AD32*AD20/AD70+AD33*AD19/AD71</f>
        <v>118.522476688508</v>
      </c>
      <c r="AE72" s="65" t="n">
        <f aca="false">AE32*AE20/AE70+AE33*AE19/AE71</f>
        <v>118.522476688508</v>
      </c>
      <c r="AF72" s="65" t="n">
        <f aca="false">AF32*AF20/AF70+AF33*AF19/AF71</f>
        <v>118.522476688508</v>
      </c>
      <c r="AG72" s="65" t="n">
        <f aca="false">AG32*AG20/AG70+AG33*AG19/AG71</f>
        <v>118.522476688508</v>
      </c>
      <c r="AH72" s="65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703</v>
      </c>
      <c r="B73" s="53" t="s">
        <v>69</v>
      </c>
      <c r="C73" s="76" t="n">
        <f aca="false">C72/C69</f>
        <v>0.185363936980238</v>
      </c>
      <c r="D73" s="76" t="n">
        <f aca="false">D72/D69</f>
        <v>0.185363936980238</v>
      </c>
      <c r="E73" s="76" t="n">
        <f aca="false">E72/E69</f>
        <v>0.185363936980238</v>
      </c>
      <c r="F73" s="76" t="n">
        <f aca="false">F72/F69</f>
        <v>0.185363936980238</v>
      </c>
      <c r="G73" s="76" t="n">
        <f aca="false">G72/G69</f>
        <v>0.185363936980238</v>
      </c>
      <c r="H73" s="76" t="n">
        <f aca="false">H72/H69</f>
        <v>0.185363936980238</v>
      </c>
      <c r="I73" s="76" t="n">
        <f aca="false">I72/I69</f>
        <v>0.185363936980238</v>
      </c>
      <c r="J73" s="76" t="n">
        <f aca="false">J72/J69</f>
        <v>0.185363936980238</v>
      </c>
      <c r="K73" s="76" t="n">
        <f aca="false">K72/K69</f>
        <v>0.185363936980238</v>
      </c>
      <c r="L73" s="76" t="n">
        <f aca="false">L72/L69</f>
        <v>0.185363936980238</v>
      </c>
      <c r="M73" s="76" t="n">
        <f aca="false">M72/M69</f>
        <v>0.185363936980238</v>
      </c>
      <c r="N73" s="76" t="n">
        <f aca="false">N72/N69</f>
        <v>0.185363936980238</v>
      </c>
      <c r="O73" s="76" t="n">
        <f aca="false">O72/O69</f>
        <v>0.185363936980238</v>
      </c>
      <c r="P73" s="76" t="n">
        <f aca="false">P72/P69</f>
        <v>0.185363936980238</v>
      </c>
      <c r="Q73" s="76" t="n">
        <f aca="false">Q72/Q69</f>
        <v>0.185363936980238</v>
      </c>
      <c r="R73" s="76" t="n">
        <f aca="false">R72/R69</f>
        <v>0.185363936980238</v>
      </c>
      <c r="S73" s="76" t="n">
        <f aca="false">S72/S69</f>
        <v>0.185363936980238</v>
      </c>
      <c r="T73" s="76" t="n">
        <f aca="false">T72/T69</f>
        <v>0.185363936980238</v>
      </c>
      <c r="U73" s="76" t="n">
        <f aca="false">U72/U69</f>
        <v>0.185363936980238</v>
      </c>
      <c r="V73" s="76" t="n">
        <f aca="false">V72/V69</f>
        <v>0.185363936980238</v>
      </c>
      <c r="W73" s="76" t="n">
        <f aca="false">W72/W69</f>
        <v>0.185363936980238</v>
      </c>
      <c r="X73" s="76" t="n">
        <f aca="false">X72/X69</f>
        <v>0.185363936980238</v>
      </c>
      <c r="Y73" s="76" t="n">
        <f aca="false">Y72/Y69</f>
        <v>0.185363936980238</v>
      </c>
      <c r="Z73" s="76" t="n">
        <f aca="false">Z72/Z69</f>
        <v>0.185363936980238</v>
      </c>
      <c r="AA73" s="76" t="n">
        <f aca="false">AA72/AA69</f>
        <v>0.185363936980238</v>
      </c>
      <c r="AB73" s="76" t="n">
        <f aca="false">AB72/AB69</f>
        <v>0.185363936980238</v>
      </c>
      <c r="AC73" s="76" t="n">
        <f aca="false">AC72/AC69</f>
        <v>0.45726264154517</v>
      </c>
      <c r="AD73" s="76" t="n">
        <f aca="false">AD72/AD69</f>
        <v>0.45726264154517</v>
      </c>
      <c r="AE73" s="76" t="n">
        <f aca="false">AE72/AE69</f>
        <v>0.45726264154517</v>
      </c>
      <c r="AF73" s="76" t="n">
        <f aca="false">AF72/AF69</f>
        <v>0.45726264154517</v>
      </c>
      <c r="AG73" s="76" t="n">
        <f aca="false">AG72/AG69</f>
        <v>0.45726264154517</v>
      </c>
      <c r="AH73" s="76" t="n">
        <f aca="false">AH72/AH69</f>
        <v>0.45726264154517</v>
      </c>
    </row>
    <row r="74" customFormat="false" ht="15" hidden="false" customHeight="false" outlineLevel="0" collapsed="false">
      <c r="A74" s="82" t="s">
        <v>704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Format="false" ht="15" hidden="false" customHeight="false" outlineLevel="0" collapsed="false">
      <c r="A75" s="53" t="s">
        <v>705</v>
      </c>
      <c r="B75" s="53" t="s">
        <v>312</v>
      </c>
      <c r="C75" s="66" t="n">
        <f aca="false">C51*C14*1000000000000000/(C67*1000000000)</f>
        <v>78765.1715078897</v>
      </c>
      <c r="D75" s="66" t="n">
        <f aca="false">D51*D14*1000000000000000/(D67*1000000000)</f>
        <v>33756.5020748099</v>
      </c>
      <c r="E75" s="66" t="n">
        <f aca="false">E51*E14*1000000000000000/(E67*1000000000)</f>
        <v>78765.1715078897</v>
      </c>
      <c r="F75" s="66" t="n">
        <f aca="false">F51*F14*1000000000000000/(F67*1000000000)</f>
        <v>33756.5020748099</v>
      </c>
      <c r="G75" s="66" t="n">
        <f aca="false">G51*G14*1000000000000000/(G67*1000000000)</f>
        <v>78765.1715078897</v>
      </c>
      <c r="H75" s="66" t="n">
        <f aca="false">H51*H14*1000000000000000/(H67*1000000000)</f>
        <v>33756.5020748099</v>
      </c>
      <c r="I75" s="66" t="n">
        <f aca="false">I51*I14*1000000000000000/(I67*1000000000)</f>
        <v>78765.1715078897</v>
      </c>
      <c r="J75" s="66" t="n">
        <f aca="false">J51*J14*1000000000000000/(J67*1000000000)</f>
        <v>33756.5020748099</v>
      </c>
      <c r="K75" s="66" t="n">
        <f aca="false">K51*K14*1000000000000000/(K67*1000000000)</f>
        <v>78765.1715078897</v>
      </c>
      <c r="L75" s="66" t="n">
        <f aca="false">L51*L14*1000000000000000/(L67*1000000000)</f>
        <v>33756.5020748099</v>
      </c>
      <c r="M75" s="66" t="n">
        <f aca="false">M51*M14*1000000000000000/(M67*1000000000)</f>
        <v>112521.6735827</v>
      </c>
      <c r="N75" s="66" t="n">
        <f aca="false">N51*N14*1000000000000000/(N67*1000000000)</f>
        <v>33756.5020748099</v>
      </c>
      <c r="O75" s="66" t="n">
        <f aca="false">O51*O14*1000000000000000/(O67*1000000000)</f>
        <v>78765.1715078897</v>
      </c>
      <c r="P75" s="66" t="n">
        <f aca="false">P51*P14*1000000000000000/(P67*1000000000)</f>
        <v>33756.5020748099</v>
      </c>
      <c r="Q75" s="66" t="n">
        <f aca="false">Q51*Q14*1000000000000000/(Q67*1000000000)</f>
        <v>78765.1715078897</v>
      </c>
      <c r="R75" s="66" t="n">
        <f aca="false">R51*R14*1000000000000000/(R67*1000000000)</f>
        <v>33756.5020748099</v>
      </c>
      <c r="S75" s="66" t="n">
        <f aca="false">S51*S14*1000000000000000/(S67*1000000000)</f>
        <v>78765.1715078897</v>
      </c>
      <c r="T75" s="66" t="n">
        <f aca="false">T51*T14*1000000000000000/(T67*1000000000)</f>
        <v>33756.5020748099</v>
      </c>
      <c r="U75" s="66" t="n">
        <f aca="false">U51*U14*1000000000000000/(U67*1000000000)</f>
        <v>78765.1715078897</v>
      </c>
      <c r="V75" s="66" t="n">
        <f aca="false">V51*V14*1000000000000000/(V67*1000000000)</f>
        <v>33756.5020748099</v>
      </c>
      <c r="W75" s="66" t="n">
        <f aca="false">W51*W14*1000000000000000/(W67*1000000000)</f>
        <v>90888.7103835079</v>
      </c>
      <c r="X75" s="66" t="n">
        <f aca="false">X51*X14*1000000000000000/(X67*1000000000)</f>
        <v>38952.3044500748</v>
      </c>
      <c r="Y75" s="66" t="n">
        <f aca="false">Y51*Y14*1000000000000000/(Y67*1000000000)</f>
        <v>77868.4707033983</v>
      </c>
      <c r="Z75" s="66" t="n">
        <f aca="false">Z51*Z14*1000000000000000/(Z67*1000000000)</f>
        <v>33372.2017300278</v>
      </c>
      <c r="AA75" s="66" t="n">
        <f aca="false">AA51*AA14*1000000000000000/(AA67*1000000000)</f>
        <v>55135.6200555228</v>
      </c>
      <c r="AB75" s="66" t="n">
        <f aca="false">AB51*AB14*1000000000000000/(AB67*1000000000)</f>
        <v>23629.5514523669</v>
      </c>
      <c r="AC75" s="66" t="n">
        <f aca="false">AC51*AC14*1000000000000000/(AC67*1000000000)</f>
        <v>23834.8916576419</v>
      </c>
      <c r="AD75" s="66" t="n">
        <f aca="false">AD51*AD14*1000000000000000/(AD67*1000000000)</f>
        <v>10214.9535675608</v>
      </c>
      <c r="AE75" s="66" t="n">
        <f aca="false">AE51*AE14*1000000000000000/(AE67*1000000000)</f>
        <v>23834.8916576419</v>
      </c>
      <c r="AF75" s="66" t="n">
        <f aca="false">AF51*AF14*1000000000000000/(AF67*1000000000)</f>
        <v>10214.9535675608</v>
      </c>
      <c r="AG75" s="66" t="n">
        <f aca="false">AG51*AG14*1000000000000000/(AG67*1000000000)</f>
        <v>23834.8916576419</v>
      </c>
      <c r="AH75" s="66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706</v>
      </c>
      <c r="B76" s="53" t="s">
        <v>315</v>
      </c>
      <c r="C76" s="67" t="n">
        <f aca="false">C43*C67*1000000000/(C51*C14*1000000000000000*C21)</f>
        <v>0.0520026798848488</v>
      </c>
      <c r="D76" s="67" t="n">
        <f aca="false">D43*D67*1000000000/(D51*D14*1000000000000000*D21)</f>
        <v>0.12133958639798</v>
      </c>
      <c r="E76" s="67" t="n">
        <f aca="false">E43*E67*1000000000/(E51*E14*1000000000000000*E21)</f>
        <v>0.0520026798848488</v>
      </c>
      <c r="F76" s="67" t="n">
        <f aca="false">F43*F67*1000000000/(F51*F14*1000000000000000*F21)</f>
        <v>0.12133958639798</v>
      </c>
      <c r="G76" s="67" t="n">
        <f aca="false">G43*G67*1000000000/(G51*G14*1000000000000000*G21)</f>
        <v>0.0520026798848488</v>
      </c>
      <c r="H76" s="67" t="n">
        <f aca="false">H43*H67*1000000000/(H51*H14*1000000000000000*H21)</f>
        <v>0.12133958639798</v>
      </c>
      <c r="I76" s="67" t="n">
        <f aca="false">I43*I67*1000000000/(I51*I14*1000000000000000*I21)</f>
        <v>0.0520026798848488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0.0520026798848488</v>
      </c>
      <c r="L76" s="67" t="n">
        <f aca="false">L43*L67*1000000000/(L51*L14*1000000000000000*L21)</f>
        <v>0.12133958639798</v>
      </c>
      <c r="M76" s="67" t="n">
        <f aca="false">M43*M67*1000000000/(M51*M14*1000000000000000*M21)</f>
        <v>0.0364018759193941</v>
      </c>
      <c r="N76" s="67" t="n">
        <f aca="false">N43*N67*1000000000/(N51*N14*1000000000000000*N21)</f>
        <v>0.12133958639798</v>
      </c>
      <c r="O76" s="67" t="n">
        <f aca="false">O43*O67*1000000000/(O51*O14*1000000000000000*O21)</f>
        <v>0.0520026798848488</v>
      </c>
      <c r="P76" s="67" t="n">
        <f aca="false">P43*P67*1000000000/(P51*P14*1000000000000000*P21)</f>
        <v>0.12133958639798</v>
      </c>
      <c r="Q76" s="67" t="n">
        <f aca="false">Q43*Q67*1000000000/(Q51*Q14*1000000000000000*Q21)</f>
        <v>0.0520026798848488</v>
      </c>
      <c r="R76" s="67" t="n">
        <f aca="false">R43*R67*1000000000/(R51*R14*1000000000000000*R21)</f>
        <v>0.12133958639798</v>
      </c>
      <c r="S76" s="67" t="n">
        <f aca="false">S43*S67*1000000000/(S51*S14*1000000000000000*S21)</f>
        <v>0.0520026798848488</v>
      </c>
      <c r="T76" s="67" t="n">
        <f aca="false">T43*T67*1000000000/(T51*T14*1000000000000000*T21)</f>
        <v>0.12133958639798</v>
      </c>
      <c r="U76" s="67" t="n">
        <f aca="false">U43*U67*1000000000/(U51*U14*1000000000000000*U21)</f>
        <v>0.0520026798848488</v>
      </c>
      <c r="V76" s="67" t="n">
        <f aca="false">V43*V67*1000000000/(V51*V14*1000000000000000*V21)</f>
        <v>0.12133958639798</v>
      </c>
      <c r="W76" s="67" t="n">
        <f aca="false">W43*W67*1000000000/(W51*W14*1000000000000000*W21)</f>
        <v>0.0112665257948891</v>
      </c>
      <c r="X76" s="67" t="n">
        <f aca="false">X43*X67*1000000000/(X51*X14*1000000000000000*X21)</f>
        <v>0.0262885601880747</v>
      </c>
      <c r="Y76" s="67" t="n">
        <f aca="false">Y43*Y67*1000000000/(Y51*Y14*1000000000000000*Y21)</f>
        <v>0.21040608415705</v>
      </c>
      <c r="Z76" s="67" t="n">
        <f aca="false">Z43*Z67*1000000000/(Z51*Z14*1000000000000000*Z21)</f>
        <v>0.490947529699783</v>
      </c>
      <c r="AA76" s="67" t="n">
        <f aca="false">AA43*AA67*1000000000/(AA51*AA14*1000000000000000*AA21)</f>
        <v>0.0742895426926411</v>
      </c>
      <c r="AB76" s="67" t="n">
        <f aca="false">AB43*AB67*1000000000/(AB51*AB14*1000000000000000*AB21)</f>
        <v>0.173342266282829</v>
      </c>
      <c r="AC76" s="67" t="n">
        <f aca="false">AC43*AC67*1000000000/(AC51*AC14*1000000000000000*AC21)</f>
        <v>0.343697807301486</v>
      </c>
      <c r="AD76" s="67" t="n">
        <f aca="false">AD43*AD67*1000000000/(AD51*AD14*1000000000000000*AD21)</f>
        <v>0.801961550370133</v>
      </c>
      <c r="AE76" s="67" t="n">
        <f aca="false">AE43*AE67*1000000000/(AE51*AE14*1000000000000000*AE21)</f>
        <v>0.343697807301486</v>
      </c>
      <c r="AF76" s="67" t="n">
        <f aca="false">AF43*AF67*1000000000/(AF51*AF14*1000000000000000*AF21)</f>
        <v>0.801961550370133</v>
      </c>
      <c r="AG76" s="67" t="n">
        <f aca="false">AG43*AG67*1000000000/(AG51*AG14*1000000000000000*AG21)</f>
        <v>0.343697807301486</v>
      </c>
      <c r="AH76" s="67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707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82" t="s">
        <v>708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Format="false" ht="15" hidden="false" customHeight="false" outlineLevel="0" collapsed="false">
      <c r="A79" s="52" t="s">
        <v>709</v>
      </c>
      <c r="B79" s="53" t="s">
        <v>442</v>
      </c>
      <c r="C79" s="62" t="n">
        <f aca="false">C72/C16+(C29+C47)*C55/1000</f>
        <v>12.4417521013904</v>
      </c>
      <c r="D79" s="62" t="n">
        <f aca="false">D72/D16+(D29+D47)*D55/1000</f>
        <v>16.263619456583</v>
      </c>
      <c r="E79" s="62" t="n">
        <f aca="false">E72/E16+(E29+E47)*E55/1000</f>
        <v>12.4417521013904</v>
      </c>
      <c r="F79" s="62" t="n">
        <f aca="false">F72/F16+(F29+F47)*F55/1000</f>
        <v>16.263619456583</v>
      </c>
      <c r="G79" s="62" t="n">
        <f aca="false">G72/G16+(G29+G47)*G55/1000</f>
        <v>12.4417521013904</v>
      </c>
      <c r="H79" s="62" t="n">
        <f aca="false">H72/H16+(H29+H47)*H55/1000</f>
        <v>16.263619456583</v>
      </c>
      <c r="I79" s="62" t="n">
        <f aca="false">I72/I16+(I29+I47)*I55/1000</f>
        <v>9.36440373186346</v>
      </c>
      <c r="J79" s="62" t="n">
        <f aca="false">J72/J16+(J29+J47)*J55/1000</f>
        <v>16.263619456583</v>
      </c>
      <c r="K79" s="62" t="n">
        <f aca="false">K72/K16+(K29+K47)*K55/1000</f>
        <v>17.5706660506021</v>
      </c>
      <c r="L79" s="62" t="n">
        <f aca="false">L72/L16+(L29+L47)*L55/1000</f>
        <v>16.263619456583</v>
      </c>
      <c r="M79" s="62" t="n">
        <f aca="false">M72/M16+(M29+M47)*M55/1000</f>
        <v>12.4417521013904</v>
      </c>
      <c r="N79" s="62" t="n">
        <f aca="false">N72/N16+(N29+N47)*N55/1000</f>
        <v>16.263619456583</v>
      </c>
      <c r="O79" s="62" t="n">
        <f aca="false">O72/O16+(O29+O47)*O55/1000</f>
        <v>12.4417521013904</v>
      </c>
      <c r="P79" s="62" t="n">
        <f aca="false">P72/P16+(P29+P47)*P55/1000</f>
        <v>16.263619456583</v>
      </c>
      <c r="Q79" s="62" t="n">
        <f aca="false">Q72/Q16+(Q29+Q47)*Q55/1000</f>
        <v>12.4417521013904</v>
      </c>
      <c r="R79" s="62" t="n">
        <f aca="false">R72/R16+(R29+R47)*R55/1000</f>
        <v>16.263619456583</v>
      </c>
      <c r="S79" s="62" t="n">
        <f aca="false">S72/S16+(S29+S47)*S55/1000</f>
        <v>12.4417521013904</v>
      </c>
      <c r="T79" s="62" t="n">
        <f aca="false">T72/T16+(T29+T47)*T55/1000</f>
        <v>16.263619456583</v>
      </c>
      <c r="U79" s="62" t="n">
        <f aca="false">U72/U16+(U29+U47)*U55/1000</f>
        <v>12.4417521013904</v>
      </c>
      <c r="V79" s="62" t="n">
        <f aca="false">V72/V16+(V29+V47)*V55/1000</f>
        <v>16.263619456583</v>
      </c>
      <c r="W79" s="62" t="n">
        <f aca="false">W72/W16+(W29+W47)*W55/1000</f>
        <v>12.4417521013904</v>
      </c>
      <c r="X79" s="62" t="n">
        <f aca="false">X72/X16+(X29+X47)*X55/1000</f>
        <v>16.263619456583</v>
      </c>
      <c r="Y79" s="62" t="n">
        <f aca="false">Y72/Y16+(Y29+Y47)*Y55/1000</f>
        <v>12.4417521013904</v>
      </c>
      <c r="Z79" s="62" t="n">
        <f aca="false">Z72/Z16+(Z29+Z47)*Z55/1000</f>
        <v>16.263619456583</v>
      </c>
      <c r="AA79" s="62" t="n">
        <f aca="false">AA72/AA16+(AA29+AA47)*AA55/1000</f>
        <v>16.8379640578576</v>
      </c>
      <c r="AB79" s="62" t="n">
        <f aca="false">AB72/AB16+(AB29+AB47)*AB55/1000</f>
        <v>20.6598314130501</v>
      </c>
      <c r="AC79" s="62" t="n">
        <f aca="false">AC72/AC16+(AC29+AC47)*AC55/1000</f>
        <v>21.896077078048</v>
      </c>
      <c r="AD79" s="62" t="n">
        <f aca="false">AD72/AD16+(AD29+AD47)*AD55/1000</f>
        <v>31.3240013600885</v>
      </c>
      <c r="AE79" s="62" t="n">
        <f aca="false">AE72/AE16+(AE29+AE47)*AE55/1000</f>
        <v>21.896077078048</v>
      </c>
      <c r="AF79" s="62" t="n">
        <f aca="false">AF72/AF16+(AF29+AF47)*AF55/1000</f>
        <v>31.3240013600885</v>
      </c>
      <c r="AG79" s="62" t="n">
        <f aca="false">AG72/AG16+(AG29+AG47)*AG55/1000</f>
        <v>21.896077078048</v>
      </c>
      <c r="AH79" s="62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710</v>
      </c>
      <c r="B80" s="53" t="s">
        <v>442</v>
      </c>
      <c r="C80" s="63" t="n">
        <f aca="false">(C47+1)*C65/(C14*C53)/1000</f>
        <v>0.424526654211247</v>
      </c>
      <c r="D80" s="63" t="n">
        <f aca="false">(D47+1)*D65/(D14*D53)/1000</f>
        <v>0.990562193159576</v>
      </c>
      <c r="E80" s="63" t="n">
        <f aca="false">(E47+1)*E65/(E14*E53)/1000</f>
        <v>0.849053308422494</v>
      </c>
      <c r="F80" s="63" t="n">
        <f aca="false">(F47+1)*F65/(F14*F53)/1000</f>
        <v>0.990562193159576</v>
      </c>
      <c r="G80" s="63" t="n">
        <f aca="false">(G47+1)*G65/(G14*G53)/1000</f>
        <v>0.283017769474164</v>
      </c>
      <c r="H80" s="63" t="n">
        <f aca="false">(H47+1)*H65/(H14*H53)/1000</f>
        <v>0.990562193159576</v>
      </c>
      <c r="I80" s="63" t="n">
        <f aca="false">(I47+1)*I65/(I14*I53)/1000</f>
        <v>0.424526654211247</v>
      </c>
      <c r="J80" s="63" t="n">
        <f aca="false">(J47+1)*J65/(J14*J53)/1000</f>
        <v>0.990562193159576</v>
      </c>
      <c r="K80" s="63" t="n">
        <f aca="false">(K47+1)*K65/(K14*K53)/1000</f>
        <v>0.424526654211247</v>
      </c>
      <c r="L80" s="63" t="n">
        <f aca="false">(L47+1)*L65/(L14*L53)/1000</f>
        <v>0.990562193159576</v>
      </c>
      <c r="M80" s="63" t="n">
        <f aca="false">(M47+1)*M65/(M14*M53)/1000</f>
        <v>0.297168657947873</v>
      </c>
      <c r="N80" s="63" t="n">
        <f aca="false">(N47+1)*N65/(N14*N53)/1000</f>
        <v>0.990562193159576</v>
      </c>
      <c r="O80" s="63" t="n">
        <f aca="false">(O47+1)*O65/(O14*O53)/1000</f>
        <v>0.424526654211247</v>
      </c>
      <c r="P80" s="63" t="n">
        <f aca="false">(P47+1)*P65/(P14*P53)/1000</f>
        <v>0.990562193159576</v>
      </c>
      <c r="Q80" s="63" t="n">
        <f aca="false">(Q47+1)*Q65/(Q14*Q53)/1000</f>
        <v>0.424526654211247</v>
      </c>
      <c r="R80" s="63" t="n">
        <f aca="false">(R47+1)*R65/(R14*R53)/1000</f>
        <v>0.990562193159576</v>
      </c>
      <c r="S80" s="63" t="n">
        <f aca="false">(S47+1)*S65/(S14*S53)/1000</f>
        <v>0.424526654211247</v>
      </c>
      <c r="T80" s="63" t="n">
        <f aca="false">(T47+1)*T65/(T14*T53)/1000</f>
        <v>0.990562193159576</v>
      </c>
      <c r="U80" s="63" t="n">
        <f aca="false">(U47+1)*U65/(U14*U53)/1000</f>
        <v>0.424526654211247</v>
      </c>
      <c r="V80" s="63" t="n">
        <f aca="false">(V47+1)*V65/(V14*V53)/1000</f>
        <v>0.990562193159576</v>
      </c>
      <c r="W80" s="63" t="n">
        <f aca="false">(W47+1)*W65/(W14*W53)/1000</f>
        <v>0.422092828435634</v>
      </c>
      <c r="X80" s="63" t="n">
        <f aca="false">(X47+1)*X65/(X14*X53)/1000</f>
        <v>0.984883266349812</v>
      </c>
      <c r="Y80" s="63" t="n">
        <f aca="false">(Y47+1)*Y65/(Y14*Y53)/1000</f>
        <v>0.4342619573137</v>
      </c>
      <c r="Z80" s="63" t="n">
        <f aca="false">(Z47+1)*Z65/(Z14*Z53)/1000</f>
        <v>1.01327790039863</v>
      </c>
      <c r="AA80" s="63" t="n">
        <f aca="false">(AA47+1)*AA65/(AA14*AA53)/1000</f>
        <v>0.60646664887321</v>
      </c>
      <c r="AB80" s="63" t="n">
        <f aca="false">(AB47+1)*AB65/(AB14*AB53)/1000</f>
        <v>1.41508884737082</v>
      </c>
      <c r="AC80" s="63" t="n">
        <f aca="false">(AC47+1)*AC65/(AC14*AC53)/1000</f>
        <v>1.68413679561701</v>
      </c>
      <c r="AD80" s="63" t="n">
        <f aca="false">(AD47+1)*AD65/(AD14*AD53)/1000</f>
        <v>3.92965252310636</v>
      </c>
      <c r="AE80" s="63" t="n">
        <f aca="false">(AE47+1)*AE65/(AE14*AE53)/1000</f>
        <v>1.68413679561701</v>
      </c>
      <c r="AF80" s="63" t="n">
        <f aca="false">(AF47+1)*AF65/(AF14*AF53)/1000</f>
        <v>3.92965252310636</v>
      </c>
      <c r="AG80" s="63" t="n">
        <f aca="false">(AG47+1)*AG65/(AG14*AG53)/1000</f>
        <v>1.68413679561701</v>
      </c>
      <c r="AH80" s="63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711</v>
      </c>
      <c r="B81" s="53" t="s">
        <v>442</v>
      </c>
      <c r="C81" s="63" t="n">
        <f aca="false">C34*C45/(C16*C60)/1000000000</f>
        <v>0.00448199480519481</v>
      </c>
      <c r="D81" s="63" t="n">
        <f aca="false">D34*D45/(D16*D60)/1000000000</f>
        <v>0.0123254857142857</v>
      </c>
      <c r="E81" s="63" t="n">
        <f aca="false">E34*E45/(E16*E60)/1000000000</f>
        <v>0.00448199480519481</v>
      </c>
      <c r="F81" s="63" t="n">
        <f aca="false">F34*F45/(F16*F60)/1000000000</f>
        <v>0.0123254857142857</v>
      </c>
      <c r="G81" s="63" t="n">
        <f aca="false">G34*G45/(G16*G60)/1000000000</f>
        <v>0.00448199480519481</v>
      </c>
      <c r="H81" s="63" t="n">
        <f aca="false">H34*H45/(H16*H60)/1000000000</f>
        <v>0.0123254857142857</v>
      </c>
      <c r="I81" s="63" t="n">
        <f aca="false">I34*I45/(I16*I60)/1000000000</f>
        <v>0.00448199480519481</v>
      </c>
      <c r="J81" s="63" t="n">
        <f aca="false">J34*J45/(J16*J60)/1000000000</f>
        <v>0.0123254857142857</v>
      </c>
      <c r="K81" s="63" t="n">
        <f aca="false">K34*K45/(K16*K60)/1000000000</f>
        <v>0.00448199480519481</v>
      </c>
      <c r="L81" s="63" t="n">
        <f aca="false">L34*L45/(L16*L60)/1000000000</f>
        <v>0.0123254857142857</v>
      </c>
      <c r="M81" s="63" t="n">
        <f aca="false">M34*M45/(M16*M60)/1000000000</f>
        <v>0.00448199480519481</v>
      </c>
      <c r="N81" s="63" t="n">
        <f aca="false">N34*N45/(N16*N60)/1000000000</f>
        <v>0.0123254857142857</v>
      </c>
      <c r="O81" s="63" t="n">
        <f aca="false">O34*O45/(O16*O60)/1000000000</f>
        <v>0.00448199480519481</v>
      </c>
      <c r="P81" s="63" t="n">
        <f aca="false">P34*P45/(P16*P60)/1000000000</f>
        <v>0.0123254857142857</v>
      </c>
      <c r="Q81" s="63" t="n">
        <f aca="false">Q34*Q45/(Q16*Q60)/1000000000</f>
        <v>0.00448199480519481</v>
      </c>
      <c r="R81" s="63" t="n">
        <f aca="false">R34*R45/(R16*R60)/1000000000</f>
        <v>0.0123254857142857</v>
      </c>
      <c r="S81" s="63" t="n">
        <f aca="false">S34*S45/(S16*S60)/1000000000</f>
        <v>0.00448199480519481</v>
      </c>
      <c r="T81" s="63" t="n">
        <f aca="false">T34*T45/(T16*T60)/1000000000</f>
        <v>0.0123254857142857</v>
      </c>
      <c r="U81" s="63" t="n">
        <f aca="false">U34*U45/(U16*U60)/1000000000</f>
        <v>0.00448199480519481</v>
      </c>
      <c r="V81" s="63" t="n">
        <f aca="false">V34*V45/(V16*V60)/1000000000</f>
        <v>0.0123254857142857</v>
      </c>
      <c r="W81" s="63" t="n">
        <f aca="false">W34*W45/(W16*W60)/1000000000</f>
        <v>0.00131823376623377</v>
      </c>
      <c r="X81" s="63" t="n">
        <f aca="false">X34*X45/(X16*X60)/1000000000</f>
        <v>0.00362514285714286</v>
      </c>
      <c r="Y81" s="63" t="n">
        <f aca="false">Y34*Y45/(Y16*Y60)/1000000000</f>
        <v>0.017137038961039</v>
      </c>
      <c r="Z81" s="63" t="n">
        <f aca="false">Z34*Z45/(Z16*Z60)/1000000000</f>
        <v>0.0471268571428572</v>
      </c>
      <c r="AA81" s="63" t="n">
        <f aca="false">AA34*AA45/(AA16*AA60)/1000000000</f>
        <v>0.00448199480519481</v>
      </c>
      <c r="AB81" s="63" t="n">
        <f aca="false">AB34*AB45/(AB16*AB60)/1000000000</f>
        <v>0.0123254857142857</v>
      </c>
      <c r="AC81" s="63" t="n">
        <f aca="false">AC34*AC45/(AC16*AC60)/1000000000</f>
        <v>0.0338574296103896</v>
      </c>
      <c r="AD81" s="63" t="n">
        <f aca="false">AD34*AD45/(AD16*AD60)/1000000000</f>
        <v>0.0931079314285714</v>
      </c>
      <c r="AE81" s="63" t="n">
        <f aca="false">AE34*AE45/(AE16*AE60)/1000000000</f>
        <v>0.130220883116883</v>
      </c>
      <c r="AF81" s="63" t="n">
        <f aca="false">AF34*AF45/(AF16*AF60)/1000000000</f>
        <v>0.358107428571429</v>
      </c>
      <c r="AG81" s="63" t="n">
        <f aca="false">AG34*AG45/(AG16*AG60)/1000000000</f>
        <v>0.463007584415584</v>
      </c>
      <c r="AH81" s="63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712</v>
      </c>
      <c r="B82" s="53" t="s">
        <v>442</v>
      </c>
      <c r="C82" s="63" t="n">
        <f aca="false">(C47+1)*C29*C31*C30*C59*(C71-1)/C71/(C17*C61)/1000000000</f>
        <v>0.0242048</v>
      </c>
      <c r="D82" s="63" t="n">
        <f aca="false">(D47+1)*D29*D31*D30*D59*(D71-1)/D71/(D17*D61)/1000000000</f>
        <v>0.0484096</v>
      </c>
      <c r="E82" s="63" t="n">
        <f aca="false">(E47+1)*E29*E31*E30*E59*(E71-1)/E71/(E17*E61)/1000000000</f>
        <v>0.0242048</v>
      </c>
      <c r="F82" s="63" t="n">
        <f aca="false">(F47+1)*F29*F31*F30*F59*(F71-1)/F71/(F17*F61)/1000000000</f>
        <v>0.0484096</v>
      </c>
      <c r="G82" s="63" t="n">
        <f aca="false">(G47+1)*G29*G31*G30*G59*(G71-1)/G71/(G17*G61)/1000000000</f>
        <v>0.0242048</v>
      </c>
      <c r="H82" s="63" t="n">
        <f aca="false">(H47+1)*H29*H31*H30*H59*(H71-1)/H71/(H17*H61)/1000000000</f>
        <v>0.0484096</v>
      </c>
      <c r="I82" s="63" t="n">
        <f aca="false">(I47+1)*I29*I31*I30*I59*(I71-1)/I71/(I17*I61)/1000000000</f>
        <v>0.0242048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0.0242048</v>
      </c>
      <c r="L82" s="63" t="n">
        <f aca="false">(L47+1)*L29*L31*L30*L59*(L71-1)/L71/(L17*L61)/1000000000</f>
        <v>0.0484096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0.0484096</v>
      </c>
      <c r="O82" s="63" t="n">
        <f aca="false">(O47+1)*O29*O31*O30*O59*(O71-1)/O71/(O17*O61)/1000000000</f>
        <v>0.0242048</v>
      </c>
      <c r="P82" s="63" t="n">
        <f aca="false">(P47+1)*P29*P31*P30*P59*(P71-1)/P71/(P17*P61)/1000000000</f>
        <v>0.0484096</v>
      </c>
      <c r="Q82" s="63" t="n">
        <f aca="false">(Q47+1)*Q29*Q31*Q30*Q59*(Q71-1)/Q71/(Q17*Q61)/1000000000</f>
        <v>0.0242048</v>
      </c>
      <c r="R82" s="63" t="n">
        <f aca="false">(R47+1)*R29*R31*R30*R59*(R71-1)/R71/(R17*R61)/1000000000</f>
        <v>0.0484096</v>
      </c>
      <c r="S82" s="63" t="n">
        <f aca="false">(S47+1)*S29*S31*S30*S59*(S71-1)/S71/(S17*S61)/1000000000</f>
        <v>0.0242048</v>
      </c>
      <c r="T82" s="63" t="n">
        <f aca="false">(T47+1)*T29*T31*T30*T59*(T71-1)/T71/(T17*T61)/1000000000</f>
        <v>0.0484096</v>
      </c>
      <c r="U82" s="63" t="n">
        <f aca="false">(U47+1)*U29*U31*U30*U59*(U71-1)/U71/(U17*U61)/1000000000</f>
        <v>0.0242048</v>
      </c>
      <c r="V82" s="63" t="n">
        <f aca="false">(V47+1)*V29*V31*V30*V59*(V71-1)/V71/(V17*V61)/1000000000</f>
        <v>0.0484096</v>
      </c>
      <c r="W82" s="63" t="n">
        <f aca="false">(W47+1)*W29*W31*W30*W59*(W71-1)/W71/(W17*W61)/1000000000</f>
        <v>0.0242048</v>
      </c>
      <c r="X82" s="63" t="n">
        <f aca="false">(X47+1)*X29*X31*X30*X59*(X71-1)/X71/(X17*X61)/1000000000</f>
        <v>0.0484096</v>
      </c>
      <c r="Y82" s="63" t="n">
        <f aca="false">(Y47+1)*Y29*Y31*Y30*Y59*(Y71-1)/Y71/(Y17*Y61)/1000000000</f>
        <v>0.0242048</v>
      </c>
      <c r="Z82" s="63" t="n">
        <f aca="false">(Z47+1)*Z29*Z31*Z30*Z59*(Z71-1)/Z71/(Z17*Z61)/1000000000</f>
        <v>0.0484096</v>
      </c>
      <c r="AA82" s="63" t="n">
        <f aca="false">(AA47+1)*AA29*AA31*AA30*AA59*(AA71-1)/AA71/(AA17*AA61)/1000000000</f>
        <v>0.0242048</v>
      </c>
      <c r="AB82" s="63" t="n">
        <f aca="false">(AB47+1)*AB29*AB31*AB30*AB59*(AB71-1)/AB71/(AB17*AB61)/1000000000</f>
        <v>0.0484096</v>
      </c>
      <c r="AC82" s="63" t="n">
        <f aca="false">(AC47+1)*AC29*AC31*AC30*AC59*(AC71-1)/AC71/(AC17*AC61)/1000000000</f>
        <v>0.181394285714286</v>
      </c>
      <c r="AD82" s="63" t="n">
        <f aca="false">(AD47+1)*AD29*AD31*AD30*AD59*(AD71-1)/AD71/(AD17*AD61)/1000000000</f>
        <v>0.362788571428571</v>
      </c>
      <c r="AE82" s="63" t="n">
        <f aca="false">(AE47+1)*AE29*AE31*AE30*AE59*(AE71-1)/AE71/(AE17*AE61)/1000000000</f>
        <v>0.181394285714286</v>
      </c>
      <c r="AF82" s="63" t="n">
        <f aca="false">(AF47+1)*AF29*AF31*AF30*AF59*(AF71-1)/AF71/(AF17*AF61)/1000000000</f>
        <v>0.362788571428571</v>
      </c>
      <c r="AG82" s="63" t="n">
        <f aca="false">(AG47+1)*AG29*AG31*AG30*AG59*(AG71-1)/AG71/(AG17*AG61)/1000000000</f>
        <v>0.181394285714286</v>
      </c>
      <c r="AH82" s="6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713</v>
      </c>
      <c r="B83" s="53" t="s">
        <v>442</v>
      </c>
      <c r="C83" s="63" t="n">
        <f aca="false">MAX(C80,C81,C82)</f>
        <v>0.424526654211247</v>
      </c>
      <c r="D83" s="63" t="n">
        <f aca="false">MAX(D80,D81,D82)</f>
        <v>0.990562193159576</v>
      </c>
      <c r="E83" s="63" t="n">
        <f aca="false">MAX(E80,E81,E82)</f>
        <v>0.849053308422494</v>
      </c>
      <c r="F83" s="63" t="n">
        <f aca="false">MAX(F80,F81,F82)</f>
        <v>0.990562193159576</v>
      </c>
      <c r="G83" s="63" t="n">
        <f aca="false">MAX(G80,G81,G82)</f>
        <v>0.283017769474164</v>
      </c>
      <c r="H83" s="63" t="n">
        <f aca="false">MAX(H80,H81,H82)</f>
        <v>0.990562193159576</v>
      </c>
      <c r="I83" s="63" t="n">
        <f aca="false">MAX(I80,I81,I82)</f>
        <v>0.424526654211247</v>
      </c>
      <c r="J83" s="63" t="n">
        <f aca="false">MAX(J80,J81,J82)</f>
        <v>0.990562193159576</v>
      </c>
      <c r="K83" s="63" t="n">
        <f aca="false">MAX(K80,K81,K82)</f>
        <v>0.424526654211247</v>
      </c>
      <c r="L83" s="63" t="n">
        <f aca="false">MAX(L80,L81,L82)</f>
        <v>0.990562193159576</v>
      </c>
      <c r="M83" s="63" t="n">
        <f aca="false">MAX(M80,M81,M82)</f>
        <v>0.297168657947873</v>
      </c>
      <c r="N83" s="63" t="n">
        <f aca="false">MAX(N80,N81,N82)</f>
        <v>0.990562193159576</v>
      </c>
      <c r="O83" s="63" t="n">
        <f aca="false">MAX(O80,O81,O82)</f>
        <v>0.424526654211247</v>
      </c>
      <c r="P83" s="63" t="n">
        <f aca="false">MAX(P80,P81,P82)</f>
        <v>0.990562193159576</v>
      </c>
      <c r="Q83" s="63" t="n">
        <f aca="false">MAX(Q80,Q81,Q82)</f>
        <v>0.424526654211247</v>
      </c>
      <c r="R83" s="63" t="n">
        <f aca="false">MAX(R80,R81,R82)</f>
        <v>0.990562193159576</v>
      </c>
      <c r="S83" s="63" t="n">
        <f aca="false">MAX(S80,S81,S82)</f>
        <v>0.424526654211247</v>
      </c>
      <c r="T83" s="63" t="n">
        <f aca="false">MAX(T80,T81,T82)</f>
        <v>0.990562193159576</v>
      </c>
      <c r="U83" s="63" t="n">
        <f aca="false">MAX(U80,U81,U82)</f>
        <v>0.424526654211247</v>
      </c>
      <c r="V83" s="63" t="n">
        <f aca="false">MAX(V80,V81,V82)</f>
        <v>0.990562193159576</v>
      </c>
      <c r="W83" s="63" t="n">
        <f aca="false">MAX(W80,W81,W82)</f>
        <v>0.422092828435634</v>
      </c>
      <c r="X83" s="63" t="n">
        <f aca="false">MAX(X80,X81,X82)</f>
        <v>0.984883266349812</v>
      </c>
      <c r="Y83" s="63" t="n">
        <f aca="false">MAX(Y80,Y81,Y82)</f>
        <v>0.4342619573137</v>
      </c>
      <c r="Z83" s="63" t="n">
        <f aca="false">MAX(Z80,Z81,Z82)</f>
        <v>1.01327790039863</v>
      </c>
      <c r="AA83" s="63" t="n">
        <f aca="false">MAX(AA80,AA81,AA82)</f>
        <v>0.60646664887321</v>
      </c>
      <c r="AB83" s="63" t="n">
        <f aca="false">MAX(AB80,AB81,AB82)</f>
        <v>1.41508884737082</v>
      </c>
      <c r="AC83" s="63" t="n">
        <f aca="false">MAX(AC80,AC81,AC82)</f>
        <v>1.68413679561701</v>
      </c>
      <c r="AD83" s="63" t="n">
        <f aca="false">MAX(AD80,AD81,AD82)</f>
        <v>3.92965252310636</v>
      </c>
      <c r="AE83" s="63" t="n">
        <f aca="false">MAX(AE80,AE81,AE82)</f>
        <v>1.68413679561701</v>
      </c>
      <c r="AF83" s="63" t="n">
        <f aca="false">MAX(AF80,AF81,AF82)</f>
        <v>3.92965252310636</v>
      </c>
      <c r="AG83" s="63" t="n">
        <f aca="false">MAX(AG80,AG81,AG82)</f>
        <v>1.68413679561701</v>
      </c>
      <c r="AH83" s="63" t="n">
        <f aca="false">MAX(AH80,AH81,AH82)</f>
        <v>3.92965252310636</v>
      </c>
    </row>
    <row r="84" customFormat="false" ht="15" hidden="false" customHeight="false" outlineLevel="0" collapsed="false">
      <c r="A84" s="52" t="s">
        <v>714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715</v>
      </c>
      <c r="B85" s="52" t="s">
        <v>446</v>
      </c>
      <c r="C85" s="65" t="n">
        <f aca="false">(1000*C49/C41-C79)/C83</f>
        <v>62.4871922756589</v>
      </c>
      <c r="D85" s="65" t="n">
        <f aca="false">(1000*D49/D41-D79)/D83</f>
        <v>22.9219441943611</v>
      </c>
      <c r="E85" s="65" t="n">
        <f aca="false">(1000*E49/E41-E79)/E83</f>
        <v>31.2435961378294</v>
      </c>
      <c r="F85" s="65" t="n">
        <f aca="false">(1000*F49/F41-F79)/F83</f>
        <v>22.9219441943611</v>
      </c>
      <c r="G85" s="65" t="n">
        <f aca="false">(1000*G49/G41-G79)/G83</f>
        <v>93.7307884134883</v>
      </c>
      <c r="H85" s="65" t="n">
        <f aca="false">(1000*H49/H41-H79)/H83</f>
        <v>22.9219441943611</v>
      </c>
      <c r="I85" s="65" t="n">
        <f aca="false">(1000*I49/I41-I79)/I83</f>
        <v>69.736085458219</v>
      </c>
      <c r="J85" s="65" t="n">
        <f aca="false">(1000*J49/J41-J79)/J83</f>
        <v>22.9219441943611</v>
      </c>
      <c r="K85" s="65" t="n">
        <f aca="false">(1000*K49/K41-K79)/K83</f>
        <v>50.4057036380586</v>
      </c>
      <c r="L85" s="65" t="n">
        <f aca="false">(1000*L49/L41-L79)/L83</f>
        <v>22.9219441943611</v>
      </c>
      <c r="M85" s="65" t="n">
        <f aca="false">(1000*M49/M41-M79)/M83</f>
        <v>89.2674175366555</v>
      </c>
      <c r="N85" s="65" t="n">
        <f aca="false">(1000*N49/N41-N79)/N83</f>
        <v>22.9219441943611</v>
      </c>
      <c r="O85" s="65" t="n">
        <f aca="false">(1000*O49/O41-O79)/O83</f>
        <v>119.858782467142</v>
      </c>
      <c r="P85" s="65" t="n">
        <f aca="false">(1000*P49/P41-P79)/P83</f>
        <v>47.5097685621397</v>
      </c>
      <c r="Q85" s="65" t="n">
        <f aca="false">(1000*Q49/Q41-Q79)/Q83</f>
        <v>30.3591017684282</v>
      </c>
      <c r="R85" s="65" t="n">
        <f aca="false">(1000*R49/R41-R79)/R83</f>
        <v>9.15276254840512</v>
      </c>
      <c r="S85" s="65" t="n">
        <f aca="false">(1000*S49/S41-S79)/S83</f>
        <v>49.5497061653646</v>
      </c>
      <c r="T85" s="65" t="n">
        <f aca="false">(1000*T49/T41-T79)/T83</f>
        <v>17.3773072899493</v>
      </c>
      <c r="U85" s="65" t="n">
        <f aca="false">(1000*U49/U41-U79)/U83</f>
        <v>77.6715247132311</v>
      </c>
      <c r="V85" s="65" t="n">
        <f aca="false">(1000*V49/V41-V79)/V83</f>
        <v>29.429515239035</v>
      </c>
      <c r="W85" s="65" t="n">
        <f aca="false">(1000*W49/W41-W79)/W83</f>
        <v>62.8474991298877</v>
      </c>
      <c r="X85" s="65" t="n">
        <f aca="false">(1000*X49/X41-X79)/X83</f>
        <v>23.0541142168042</v>
      </c>
      <c r="Y85" s="65" t="n">
        <f aca="false">(1000*Y49/Y41-Y79)/Y83</f>
        <v>61.0863517309612</v>
      </c>
      <c r="Z85" s="65" t="n">
        <f aca="false">(1000*Z49/Z41-Z79)/Z83</f>
        <v>22.4080790706233</v>
      </c>
      <c r="AA85" s="65" t="n">
        <f aca="false">(1000*AA49/AA41-AA79)/AA83</f>
        <v>36.492141410401</v>
      </c>
      <c r="AB85" s="65" t="n">
        <f aca="false">(1000*AB49/AB41-AB79)/AB83</f>
        <v>12.9386924292413</v>
      </c>
      <c r="AC85" s="65" t="n">
        <f aca="false">(1000*AC49/AC41-AC79)/AC83</f>
        <v>14.3447185759317</v>
      </c>
      <c r="AD85" s="65" t="n">
        <f aca="false">(1000*AD49/AD41-AD79)/AD83</f>
        <v>3.74856148421301</v>
      </c>
      <c r="AE85" s="65" t="n">
        <f aca="false">(1000*AE49/AE41-AE79)/AE83</f>
        <v>14.3447185759317</v>
      </c>
      <c r="AF85" s="65" t="n">
        <f aca="false">(1000*AF49/AF41-AF79)/AF83</f>
        <v>3.74856148421301</v>
      </c>
      <c r="AG85" s="65" t="n">
        <f aca="false">(1000*AG49/AG41-AG79)/AG83</f>
        <v>14.3447185759317</v>
      </c>
      <c r="AH85" s="65" t="n">
        <f aca="false">(1000*AH49/AH41-AH79)/AH83</f>
        <v>3.74856148421301</v>
      </c>
    </row>
    <row r="86" customFormat="false" ht="15" hidden="false" customHeight="false" outlineLevel="0" collapsed="false">
      <c r="A86" s="53" t="s">
        <v>716</v>
      </c>
      <c r="B86" s="52" t="s">
        <v>446</v>
      </c>
      <c r="C86" s="66" t="n">
        <f aca="false">(C69-C72)*1000000000/(C34*C45)</f>
        <v>3059.19076406613</v>
      </c>
      <c r="D86" s="66" t="n">
        <f aca="false">(D69-D72)*1000000000/(D34*D45)</f>
        <v>3059.19076406613</v>
      </c>
      <c r="E86" s="66" t="n">
        <f aca="false">(E69-E72)*1000000000/(E34*E45)</f>
        <v>3059.19076406613</v>
      </c>
      <c r="F86" s="66" t="n">
        <f aca="false">(F69-F72)*1000000000/(F34*F45)</f>
        <v>3059.19076406613</v>
      </c>
      <c r="G86" s="66" t="n">
        <f aca="false">(G69-G72)*1000000000/(G34*G45)</f>
        <v>3059.19076406613</v>
      </c>
      <c r="H86" s="66" t="n">
        <f aca="false">(H69-H72)*1000000000/(H34*H45)</f>
        <v>3059.19076406613</v>
      </c>
      <c r="I86" s="66" t="n">
        <f aca="false">(I69-I72)*1000000000/(I34*I45)</f>
        <v>3059.19076406613</v>
      </c>
      <c r="J86" s="66" t="n">
        <f aca="false">(J69-J72)*1000000000/(J34*J45)</f>
        <v>3059.19076406613</v>
      </c>
      <c r="K86" s="66" t="n">
        <f aca="false">(K69-K72)*1000000000/(K34*K45)</f>
        <v>3059.19076406613</v>
      </c>
      <c r="L86" s="66" t="n">
        <f aca="false">(L69-L72)*1000000000/(L34*L45)</f>
        <v>3059.19076406613</v>
      </c>
      <c r="M86" s="66" t="n">
        <f aca="false">(M69-M72)*1000000000/(M34*M45)</f>
        <v>3059.19076406613</v>
      </c>
      <c r="N86" s="66" t="n">
        <f aca="false">(N69-N72)*1000000000/(N34*N45)</f>
        <v>3059.19076406613</v>
      </c>
      <c r="O86" s="66" t="n">
        <f aca="false">(O69-O72)*1000000000/(O34*O45)</f>
        <v>3059.19076406613</v>
      </c>
      <c r="P86" s="66" t="n">
        <f aca="false">(P69-P72)*1000000000/(P34*P45)</f>
        <v>3059.19076406613</v>
      </c>
      <c r="Q86" s="66" t="n">
        <f aca="false">(Q69-Q72)*1000000000/(Q34*Q45)</f>
        <v>3059.19076406613</v>
      </c>
      <c r="R86" s="66" t="n">
        <f aca="false">(R69-R72)*1000000000/(R34*R45)</f>
        <v>3059.19076406613</v>
      </c>
      <c r="S86" s="66" t="n">
        <f aca="false">(S69-S72)*1000000000/(S34*S45)</f>
        <v>3059.19076406613</v>
      </c>
      <c r="T86" s="66" t="n">
        <f aca="false">(T69-T72)*1000000000/(T34*T45)</f>
        <v>3059.19076406613</v>
      </c>
      <c r="U86" s="66" t="n">
        <f aca="false">(U69-U72)*1000000000/(U34*U45)</f>
        <v>3059.19076406613</v>
      </c>
      <c r="V86" s="66" t="n">
        <f aca="false">(V69-V72)*1000000000/(V34*V45)</f>
        <v>3059.19076406613</v>
      </c>
      <c r="W86" s="66" t="n">
        <f aca="false">(W69-W72)*1000000000/(W34*W45)</f>
        <v>10401.2485978248</v>
      </c>
      <c r="X86" s="66" t="n">
        <f aca="false">(X69-X72)*1000000000/(X34*X45)</f>
        <v>10401.2485978248</v>
      </c>
      <c r="Y86" s="66" t="n">
        <f aca="false">(Y69-Y72)*1000000000/(Y34*Y45)</f>
        <v>800.096045986525</v>
      </c>
      <c r="Z86" s="66" t="n">
        <f aca="false">(Z69-Z72)*1000000000/(Z34*Z45)</f>
        <v>800.096045986525</v>
      </c>
      <c r="AA86" s="66" t="n">
        <f aca="false">(AA69-AA72)*1000000000/(AA34*AA45)</f>
        <v>3059.19076406613</v>
      </c>
      <c r="AB86" s="66" t="n">
        <f aca="false">(AB69-AB72)*1000000000/(AB34*AB45)</f>
        <v>3059.19076406613</v>
      </c>
      <c r="AC86" s="66" t="n">
        <f aca="false">(AC69-AC72)*1000000000/(AC34*AC45)</f>
        <v>269.80500930681</v>
      </c>
      <c r="AD86" s="66" t="n">
        <f aca="false">(AD69-AD72)*1000000000/(AD34*AD45)</f>
        <v>269.80500930681</v>
      </c>
      <c r="AE86" s="66" t="n">
        <f aca="false">(AE69-AE72)*1000000000/(AE34*AE45)</f>
        <v>70.1493024197706</v>
      </c>
      <c r="AF86" s="66" t="n">
        <f aca="false">(AF69-AF72)*1000000000/(AF34*AF45)</f>
        <v>70.1493024197706</v>
      </c>
      <c r="AG86" s="66" t="n">
        <f aca="false">(AG69-AG72)*1000000000/(AG34*AG45)</f>
        <v>19.7294913055605</v>
      </c>
      <c r="AH86" s="66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717</v>
      </c>
      <c r="B87" s="52" t="s">
        <v>446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718</v>
      </c>
      <c r="B88" s="53" t="s">
        <v>312</v>
      </c>
      <c r="C88" s="61" t="n">
        <f aca="false">IF(C87&gt;0,C87*C49/((C79+C87*C83)/1000),0)</f>
        <v>4061.66749791783</v>
      </c>
      <c r="D88" s="61" t="n">
        <f aca="false">IF(D87&gt;0,D87*D49/((D79+D87*D83)/1000),0)</f>
        <v>1489.92637263347</v>
      </c>
      <c r="E88" s="61" t="n">
        <f aca="false">IF(E87&gt;0,E87*E49/((E79+E87*E83)/1000),0)</f>
        <v>2030.83374895891</v>
      </c>
      <c r="F88" s="61" t="n">
        <f aca="false">IF(F87&gt;0,F87*F49/((F79+F87*F83)/1000),0)</f>
        <v>1489.92637263347</v>
      </c>
      <c r="G88" s="61" t="n">
        <f aca="false">IF(G87&gt;0,G87*G49/((G79+G87*G83)/1000),0)</f>
        <v>6092.50124687674</v>
      </c>
      <c r="H88" s="61" t="n">
        <f aca="false">IF(H87&gt;0,H87*H49/((H79+H87*H83)/1000),0)</f>
        <v>1489.92637263347</v>
      </c>
      <c r="I88" s="61" t="n">
        <f aca="false">IF(I87&gt;0,I87*I49/((I79+I87*I83)/1000),0)</f>
        <v>4532.84555478424</v>
      </c>
      <c r="J88" s="61" t="n">
        <f aca="false">IF(J87&gt;0,J87*J49/((J79+J87*J83)/1000),0)</f>
        <v>1489.92637263347</v>
      </c>
      <c r="K88" s="61" t="n">
        <f aca="false">IF(K87&gt;0,K87*K49/((K79+K87*K83)/1000),0)</f>
        <v>3276.37073647381</v>
      </c>
      <c r="L88" s="61" t="n">
        <f aca="false">IF(L87&gt;0,L87*L49/((L79+L87*L83)/1000),0)</f>
        <v>1489.92637263347</v>
      </c>
      <c r="M88" s="61" t="n">
        <f aca="false">IF(M87&gt;0,M87*M49/((M79+M87*M83)/1000),0)</f>
        <v>5802.38213988261</v>
      </c>
      <c r="N88" s="61" t="n">
        <f aca="false">IF(N87&gt;0,N87*N49/((N79+N87*N83)/1000),0)</f>
        <v>1489.92637263347</v>
      </c>
      <c r="O88" s="61" t="n">
        <f aca="false">IF(O87&gt;0,O87*O49/((O79+O87*O83)/1000),0)</f>
        <v>4794.35129868569</v>
      </c>
      <c r="P88" s="61" t="n">
        <f aca="false">IF(P87&gt;0,P87*P49/((P79+P87*P83)/1000),0)</f>
        <v>1900.39074248559</v>
      </c>
      <c r="Q88" s="61" t="n">
        <f aca="false">IF(Q87&gt;0,Q87*Q49/((Q79+Q87*Q83)/1000),0)</f>
        <v>3035.91017684282</v>
      </c>
      <c r="R88" s="61" t="n">
        <f aca="false">IF(R87&gt;0,R87*R49/((R79+R87*R83)/1000),0)</f>
        <v>915.276254840512</v>
      </c>
      <c r="S88" s="61" t="n">
        <f aca="false">IF(S87&gt;0,S87*S49/((S79+S87*S83)/1000),0)</f>
        <v>3220.7309007487</v>
      </c>
      <c r="T88" s="61" t="n">
        <f aca="false">IF(T87&gt;0,T87*T49/((T79+T87*T83)/1000),0)</f>
        <v>1129.52497384671</v>
      </c>
      <c r="U88" s="61" t="n">
        <f aca="false">IF(U87&gt;0,U87*U49/((U79+U87*U83)/1000),0)</f>
        <v>5048.64910636002</v>
      </c>
      <c r="V88" s="61" t="n">
        <f aca="false">IF(V87&gt;0,V87*V49/((V79+V87*V83)/1000),0)</f>
        <v>1912.91849053727</v>
      </c>
      <c r="W88" s="61" t="n">
        <f aca="false">IF(W87&gt;0,W87*W49/((W79+W87*W83)/1000),0)</f>
        <v>4085.0874434427</v>
      </c>
      <c r="X88" s="61" t="n">
        <f aca="false">IF(X87&gt;0,X87*X49/((X79+X87*X83)/1000),0)</f>
        <v>1498.51742409227</v>
      </c>
      <c r="Y88" s="61" t="n">
        <f aca="false">IF(Y87&gt;0,Y87*Y49/((Y79+Y87*Y83)/1000),0)</f>
        <v>3970.61286251248</v>
      </c>
      <c r="Z88" s="61" t="n">
        <f aca="false">IF(Z87&gt;0,Z87*Z49/((Z79+Z87*Z83)/1000),0)</f>
        <v>1456.52513959052</v>
      </c>
      <c r="AA88" s="61" t="n">
        <f aca="false">IF(AA87&gt;0,AA87*AA49/((AA79+AA87*AA83)/1000),0)</f>
        <v>2371.98919167607</v>
      </c>
      <c r="AB88" s="61" t="n">
        <f aca="false">IF(AB87&gt;0,AB87*AB49/((AB79+AB87*AB83)/1000),0)</f>
        <v>841.015007900684</v>
      </c>
      <c r="AC88" s="61" t="n">
        <f aca="false">IF(AC87&gt;0,AC87*AC49/((AC79+AC87*AC83)/1000),0)</f>
        <v>788.959521676242</v>
      </c>
      <c r="AD88" s="61" t="n">
        <f aca="false">IF(AD87&gt;0,AD87*AD49/((AD79+AD87*AD83)/1000),0)</f>
        <v>206.170881631716</v>
      </c>
      <c r="AE88" s="61" t="n">
        <f aca="false">IF(AE87&gt;0,AE87*AE49/((AE79+AE87*AE83)/1000),0)</f>
        <v>788.959521676242</v>
      </c>
      <c r="AF88" s="61" t="n">
        <f aca="false">IF(AF87&gt;0,AF87*AF49/((AF79+AF87*AF83)/1000),0)</f>
        <v>206.170881631716</v>
      </c>
      <c r="AG88" s="61" t="n">
        <f aca="false">IF(AG87&gt;0,AG87*AG49/((AG79+AG87*AG83)/1000),0)</f>
        <v>788.959521676242</v>
      </c>
      <c r="AH88" s="61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719</v>
      </c>
      <c r="B89" s="53" t="s">
        <v>312</v>
      </c>
      <c r="C89" s="66" t="n">
        <f aca="false">IF(C87&gt;0,C49/((C79+C87*C83)/1000),0)</f>
        <v>65</v>
      </c>
      <c r="D89" s="66" t="n">
        <f aca="false">IF(D87&gt;0,D49/((D79+D87*D83)/1000),0)</f>
        <v>65</v>
      </c>
      <c r="E89" s="66" t="n">
        <f aca="false">IF(E87&gt;0,E49/((E79+E87*E83)/1000),0)</f>
        <v>65</v>
      </c>
      <c r="F89" s="66" t="n">
        <f aca="false">IF(F87&gt;0,F49/((F79+F87*F83)/1000),0)</f>
        <v>65</v>
      </c>
      <c r="G89" s="66" t="n">
        <f aca="false">IF(G87&gt;0,G49/((G79+G87*G83)/1000),0)</f>
        <v>65</v>
      </c>
      <c r="H89" s="66" t="n">
        <f aca="false">IF(H87&gt;0,H49/((H79+H87*H83)/1000),0)</f>
        <v>65</v>
      </c>
      <c r="I89" s="66" t="n">
        <f aca="false">IF(I87&gt;0,I49/((I79+I87*I83)/1000),0)</f>
        <v>65</v>
      </c>
      <c r="J89" s="66" t="n">
        <f aca="false">IF(J87&gt;0,J49/((J79+J87*J83)/1000),0)</f>
        <v>65</v>
      </c>
      <c r="K89" s="66" t="n">
        <f aca="false">IF(K87&gt;0,K49/((K79+K87*K83)/1000),0)</f>
        <v>65</v>
      </c>
      <c r="L89" s="66" t="n">
        <f aca="false">IF(L87&gt;0,L49/((L79+L87*L83)/1000),0)</f>
        <v>65</v>
      </c>
      <c r="M89" s="66" t="n">
        <f aca="false">IF(M87&gt;0,M49/((M79+M87*M83)/1000),0)</f>
        <v>65</v>
      </c>
      <c r="N89" s="66" t="n">
        <f aca="false">IF(N87&gt;0,N49/((N79+N87*N83)/1000),0)</f>
        <v>65</v>
      </c>
      <c r="O89" s="66" t="n">
        <f aca="false">IF(O87&gt;0,O49/((O79+O87*O83)/1000),0)</f>
        <v>40</v>
      </c>
      <c r="P89" s="66" t="n">
        <f aca="false">IF(P87&gt;0,P49/((P79+P87*P83)/1000),0)</f>
        <v>40</v>
      </c>
      <c r="Q89" s="66" t="n">
        <f aca="false">IF(Q87&gt;0,Q49/((Q79+Q87*Q83)/1000),0)</f>
        <v>100</v>
      </c>
      <c r="R89" s="66" t="n">
        <f aca="false">IF(R87&gt;0,R49/((R79+R87*R83)/1000),0)</f>
        <v>100</v>
      </c>
      <c r="S89" s="66" t="n">
        <f aca="false">IF(S87&gt;0,S49/((S79+S87*S83)/1000),0)</f>
        <v>65</v>
      </c>
      <c r="T89" s="66" t="n">
        <f aca="false">IF(T87&gt;0,T49/((T79+T87*T83)/1000),0)</f>
        <v>65</v>
      </c>
      <c r="U89" s="66" t="n">
        <f aca="false">IF(U87&gt;0,U49/((U79+U87*U83)/1000),0)</f>
        <v>65</v>
      </c>
      <c r="V89" s="66" t="n">
        <f aca="false">IF(V87&gt;0,V49/((V79+V87*V83)/1000),0)</f>
        <v>65</v>
      </c>
      <c r="W89" s="66" t="n">
        <f aca="false">IF(W87&gt;0,W49/((W79+W87*W83)/1000),0)</f>
        <v>65</v>
      </c>
      <c r="X89" s="66" t="n">
        <f aca="false">IF(X87&gt;0,X49/((X79+X87*X83)/1000),0)</f>
        <v>65</v>
      </c>
      <c r="Y89" s="66" t="n">
        <f aca="false">IF(Y87&gt;0,Y49/((Y79+Y87*Y83)/1000),0)</f>
        <v>65</v>
      </c>
      <c r="Z89" s="66" t="n">
        <f aca="false">IF(Z87&gt;0,Z49/((Z79+Z87*Z83)/1000),0)</f>
        <v>65</v>
      </c>
      <c r="AA89" s="66" t="n">
        <f aca="false">IF(AA87&gt;0,AA49/((AA79+AA87*AA83)/1000),0)</f>
        <v>65</v>
      </c>
      <c r="AB89" s="66" t="n">
        <f aca="false">IF(AB87&gt;0,AB49/((AB79+AB87*AB83)/1000),0)</f>
        <v>65</v>
      </c>
      <c r="AC89" s="66" t="n">
        <f aca="false">IF(AC87&gt;0,AC49/((AC79+AC87*AC83)/1000),0)</f>
        <v>55</v>
      </c>
      <c r="AD89" s="66" t="n">
        <f aca="false">IF(AD87&gt;0,AD49/((AD79+AD87*AD83)/1000),0)</f>
        <v>55</v>
      </c>
      <c r="AE89" s="66" t="n">
        <f aca="false">IF(AE87&gt;0,AE49/((AE79+AE87*AE83)/1000),0)</f>
        <v>55</v>
      </c>
      <c r="AF89" s="66" t="n">
        <f aca="false">IF(AF87&gt;0,AF49/((AF79+AF87*AF83)/1000),0)</f>
        <v>55</v>
      </c>
      <c r="AG89" s="66" t="n">
        <f aca="false">IF(AG87&gt;0,AG49/((AG79+AG87*AG83)/1000),0)</f>
        <v>55</v>
      </c>
      <c r="AH89" s="66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720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721</v>
      </c>
      <c r="B91" s="53" t="s">
        <v>69</v>
      </c>
      <c r="C91" s="76" t="n">
        <f aca="false">C87*C34*C45/1000000000/C69</f>
        <v>0.0166397992902352</v>
      </c>
      <c r="D91" s="76" t="n">
        <f aca="false">D87*D34*D45/1000000000/D69</f>
        <v>0.00610391564808262</v>
      </c>
      <c r="E91" s="76" t="n">
        <f aca="false">E87*E34*E45/1000000000/E69</f>
        <v>0.0083198996451176</v>
      </c>
      <c r="F91" s="76" t="n">
        <f aca="false">F87*F34*F45/1000000000/F69</f>
        <v>0.00610391564808262</v>
      </c>
      <c r="G91" s="76" t="n">
        <f aca="false">G87*G34*G45/1000000000/G69</f>
        <v>0.0249596989353528</v>
      </c>
      <c r="H91" s="76" t="n">
        <f aca="false">H87*H34*H45/1000000000/H69</f>
        <v>0.00610391564808262</v>
      </c>
      <c r="I91" s="76" t="n">
        <f aca="false">I87*I34*I45/1000000000/I69</f>
        <v>0.0185701168999951</v>
      </c>
      <c r="J91" s="76" t="n">
        <f aca="false">J87*J34*J45/1000000000/J69</f>
        <v>0.00610391564808262</v>
      </c>
      <c r="K91" s="76" t="n">
        <f aca="false">K87*K34*K45/1000000000/K69</f>
        <v>0.0134226032739687</v>
      </c>
      <c r="L91" s="76" t="n">
        <f aca="false">L87*L34*L45/1000000000/L69</f>
        <v>0.00610391564808262</v>
      </c>
      <c r="M91" s="76" t="n">
        <f aca="false">M87*M34*M45/1000000000/M69</f>
        <v>0.0237711418431931</v>
      </c>
      <c r="N91" s="76" t="n">
        <f aca="false">N87*N34*N45/1000000000/N69</f>
        <v>0.00610391564808262</v>
      </c>
      <c r="O91" s="76" t="n">
        <f aca="false">O87*O34*O45/1000000000/O69</f>
        <v>0.0319173579543614</v>
      </c>
      <c r="P91" s="76" t="n">
        <f aca="false">P87*P34*P45/1000000000/P69</f>
        <v>0.012651440789851</v>
      </c>
      <c r="Q91" s="76" t="n">
        <f aca="false">Q87*Q34*Q45/1000000000/Q69</f>
        <v>0.00808436643832454</v>
      </c>
      <c r="R91" s="76" t="n">
        <f aca="false">R87*R34*R45/1000000000/R69</f>
        <v>0.00243730156869233</v>
      </c>
      <c r="S91" s="76" t="n">
        <f aca="false">S87*S34*S45/1000000000/S69</f>
        <v>0.0131946585444994</v>
      </c>
      <c r="T91" s="76" t="n">
        <f aca="false">T87*T34*T45/1000000000/T69</f>
        <v>0.00462742675705298</v>
      </c>
      <c r="U91" s="76" t="n">
        <f aca="false">U87*U34*U45/1000000000/U69</f>
        <v>0.0206832557957347</v>
      </c>
      <c r="V91" s="76" t="n">
        <f aca="false">V87*V34*V45/1000000000/V69</f>
        <v>0.00783682557901097</v>
      </c>
      <c r="W91" s="76" t="n">
        <f aca="false">W87*W34*W45/1000000000/W69</f>
        <v>0.00492227820345689</v>
      </c>
      <c r="X91" s="76" t="n">
        <f aca="false">X87*X34*X45/1000000000/X69</f>
        <v>0.00180562099495563</v>
      </c>
      <c r="Y91" s="76" t="n">
        <f aca="false">Y87*Y34*Y45/1000000000/Y69</f>
        <v>0.0621964641969855</v>
      </c>
      <c r="Z91" s="76" t="n">
        <f aca="false">Z87*Z34*Z45/1000000000/Z69</f>
        <v>0.0228152974952154</v>
      </c>
      <c r="AA91" s="76" t="n">
        <f aca="false">AA87*AA34*AA45/1000000000/AA69</f>
        <v>0.00971754189340477</v>
      </c>
      <c r="AB91" s="76" t="n">
        <f aca="false">AB87*AB34*AB45/1000000000/AB69</f>
        <v>0.00344546197804646</v>
      </c>
      <c r="AC91" s="76" t="n">
        <f aca="false">AC87*AC34*AC45/1000000000/AC69</f>
        <v>0.0288557083787346</v>
      </c>
      <c r="AD91" s="76" t="n">
        <f aca="false">AD87*AD34*AD45/1000000000/AD69</f>
        <v>0.00754057296109637</v>
      </c>
      <c r="AE91" s="76" t="n">
        <f aca="false">AE87*AE34*AE45/1000000000/AE69</f>
        <v>0.110983493764364</v>
      </c>
      <c r="AF91" s="76" t="n">
        <f aca="false">AF87*AF34*AF45/1000000000/AF69</f>
        <v>0.0290022036965245</v>
      </c>
      <c r="AG91" s="76" t="n">
        <f aca="false">AG87*AG34*AG45/1000000000/AG69</f>
        <v>0.394607977828849</v>
      </c>
      <c r="AH91" s="76" t="n">
        <f aca="false">AH87*AH34*AH45/1000000000/AH69</f>
        <v>0.103118946476532</v>
      </c>
    </row>
    <row r="92" customFormat="false" ht="15" hidden="false" customHeight="false" outlineLevel="0" collapsed="false">
      <c r="A92" s="82" t="s">
        <v>722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2" t="s">
        <v>723</v>
      </c>
      <c r="B93" s="53" t="s">
        <v>724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725</v>
      </c>
      <c r="B94" s="53" t="s">
        <v>69</v>
      </c>
      <c r="C94" s="76" t="n">
        <f aca="false">IF(C93&gt;0,(C43/C75)/C93,0)</f>
        <v>0.292052621842808</v>
      </c>
      <c r="D94" s="76" t="n">
        <f aca="false">IF(D93&gt;0,(D43/D75)/D93,0)</f>
        <v>0.260956162310016</v>
      </c>
      <c r="E94" s="76" t="n">
        <f aca="false">IF(E93&gt;0,(E43/E75)/E93,0)</f>
        <v>0.170996264626093</v>
      </c>
      <c r="F94" s="76" t="n">
        <f aca="false">IF(F93&gt;0,(F43/F75)/F93,0)</f>
        <v>0.260956162310016</v>
      </c>
      <c r="G94" s="76" t="n">
        <f aca="false">IF(G93&gt;0,(G43/G75)/G93,0)</f>
        <v>0.382259053382463</v>
      </c>
      <c r="H94" s="76" t="n">
        <f aca="false">IF(H93&gt;0,(H43/H75)/H93,0)</f>
        <v>0.260956162310016</v>
      </c>
      <c r="I94" s="76" t="n">
        <f aca="false">IF(I93&gt;0,(I43/I75)/I93,0)</f>
        <v>0.315251805050609</v>
      </c>
      <c r="J94" s="76" t="n">
        <f aca="false">IF(J93&gt;0,(J43/J75)/J93,0)</f>
        <v>0.260956162310016</v>
      </c>
      <c r="K94" s="76" t="n">
        <f aca="false">IF(K93&gt;0,(K43/K75)/K93,0)</f>
        <v>0.249684990713616</v>
      </c>
      <c r="L94" s="76" t="n">
        <f aca="false">IF(L93&gt;0,(L43/L75)/L93,0)</f>
        <v>0.260956162310016</v>
      </c>
      <c r="M94" s="76" t="n">
        <f aca="false">IF(M93&gt;0,(M43/M75)/M93,0)</f>
        <v>0.292052621842808</v>
      </c>
      <c r="N94" s="76" t="n">
        <f aca="false">IF(N93&gt;0,(N43/N75)/N93,0)</f>
        <v>0.260956162310016</v>
      </c>
      <c r="O94" s="76" t="n">
        <f aca="false">IF(O93&gt;0,(O43/O75)/O93,0)</f>
        <v>0.327483062822648</v>
      </c>
      <c r="P94" s="76" t="n">
        <f aca="false">IF(P93&gt;0,(P43/P75)/P93,0)</f>
        <v>0.310523722429462</v>
      </c>
      <c r="Q94" s="76" t="n">
        <f aca="false">IF(Q93&gt;0,(Q43/Q75)/Q93,0)</f>
        <v>0.235678828848222</v>
      </c>
      <c r="R94" s="76" t="n">
        <f aca="false">IF(R93&gt;0,(R43/R75)/R93,0)</f>
        <v>0.178248286326184</v>
      </c>
      <c r="S94" s="76" t="n">
        <f aca="false">IF(S93&gt;0,(S43/S75)/S93,0)</f>
        <v>0.246489965591127</v>
      </c>
      <c r="T94" s="76" t="n">
        <f aca="false">IF(T93&gt;0,(T43/T75)/T93,0)</f>
        <v>0.211162170109224</v>
      </c>
      <c r="U94" s="76" t="n">
        <f aca="false">IF(U93&gt;0,(U43/U75)/U93,0)</f>
        <v>0.338965283128612</v>
      </c>
      <c r="V94" s="76" t="n">
        <f aca="false">IF(V93&gt;0,(V43/V75)/V93,0)</f>
        <v>0.311932220024652</v>
      </c>
      <c r="W94" s="76" t="n">
        <f aca="false">IF(W93&gt;0,(W43/W75)/W93,0)</f>
        <v>0.0824779611095352</v>
      </c>
      <c r="X94" s="76" t="n">
        <f aca="false">IF(X93&gt;0,(X43/X75)/X93,0)</f>
        <v>0.0714441490216488</v>
      </c>
      <c r="Y94" s="76" t="n">
        <f aca="false">IF(Y93&gt;0,(Y43/Y75)/Y93,0)</f>
        <v>0.620020497786333</v>
      </c>
      <c r="Z94" s="76" t="n">
        <f aca="false">IF(Z93&gt;0,(Z43/Z75)/Z93,0)</f>
        <v>0.582748413443802</v>
      </c>
      <c r="AA94" s="76" t="n">
        <f aca="false">IF(AA93&gt;0,(AA43/AA75)/AA93,0)</f>
        <v>0.256045349684177</v>
      </c>
      <c r="AB94" s="76" t="n">
        <f aca="false">IF(AB93&gt;0,(AB43/AB75)/AB93,0)</f>
        <v>0.221628330741842</v>
      </c>
      <c r="AC94" s="76" t="n">
        <f aca="false">IF(AC93&gt;0,(AC43/AC75)/AC93,0)</f>
        <v>0.209366326833024</v>
      </c>
      <c r="AD94" s="76" t="n">
        <f aca="false">IF(AD93&gt;0,(AD43/AD75)/AD93,0)</f>
        <v>0.139019089739358</v>
      </c>
      <c r="AE94" s="76" t="n">
        <f aca="false">IF(AE93&gt;0,(AE43/AE75)/AE93,0)</f>
        <v>0.209366326833024</v>
      </c>
      <c r="AF94" s="76" t="n">
        <f aca="false">IF(AF93&gt;0,(AF43/AF75)/AF93,0)</f>
        <v>0.139019089739358</v>
      </c>
      <c r="AG94" s="76" t="n">
        <f aca="false">IF(AG93&gt;0,(AG43/AG75)/AG93,0)</f>
        <v>0.209366326833024</v>
      </c>
      <c r="AH94" s="76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726</v>
      </c>
      <c r="B95" s="53" t="s">
        <v>312</v>
      </c>
      <c r="C95" s="61" t="n">
        <f aca="false">IF(C93&gt;0,C22*(C43+C44)/C93,0)</f>
        <v>1863289.56275099</v>
      </c>
      <c r="D95" s="61" t="n">
        <f aca="false">IF(D93&gt;0,D22*(D43+D44)/D93,0)</f>
        <v>713526.345990651</v>
      </c>
      <c r="E95" s="61" t="n">
        <f aca="false">IF(E93&gt;0,E22*(E43+E44)/E93,0)</f>
        <v>1090952.5589491</v>
      </c>
      <c r="F95" s="61" t="n">
        <f aca="false">IF(F93&gt;0,F22*(F43+F44)/F93,0)</f>
        <v>713526.345990651</v>
      </c>
      <c r="G95" s="61" t="n">
        <f aca="false">IF(G93&gt;0,G22*(G43+G44)/G93,0)</f>
        <v>2438804.69190918</v>
      </c>
      <c r="H95" s="61" t="n">
        <f aca="false">IF(H93&gt;0,H22*(H43+H44)/H93,0)</f>
        <v>713526.345990651</v>
      </c>
      <c r="I95" s="61" t="n">
        <f aca="false">IF(I93&gt;0,I22*(I43+I44)/I93,0)</f>
        <v>2011299.86193162</v>
      </c>
      <c r="J95" s="61" t="n">
        <f aca="false">IF(J93&gt;0,J22*(J43+J44)/J93,0)</f>
        <v>713526.345990651</v>
      </c>
      <c r="K95" s="61" t="n">
        <f aca="false">IF(K93&gt;0,K22*(K43+K44)/K93,0)</f>
        <v>1592984.97043681</v>
      </c>
      <c r="L95" s="61" t="n">
        <f aca="false">IF(L93&gt;0,L22*(L43+L44)/L93,0)</f>
        <v>713526.345990651</v>
      </c>
      <c r="M95" s="61" t="n">
        <f aca="false">IF(M93&gt;0,M22*(M43+M44)/M93,0)</f>
        <v>2661842.23250141</v>
      </c>
      <c r="N95" s="61" t="n">
        <f aca="false">IF(N93&gt;0,N22*(N43+N44)/N93,0)</f>
        <v>713526.345990651</v>
      </c>
      <c r="O95" s="61" t="n">
        <f aca="false">IF(O93&gt;0,O22*(O43+O44)/O93,0)</f>
        <v>2089335.02834155</v>
      </c>
      <c r="P95" s="61" t="n">
        <f aca="false">IF(P93&gt;0,P22*(P43+P44)/P93,0)</f>
        <v>849057.769117892</v>
      </c>
      <c r="Q95" s="61" t="n">
        <f aca="false">IF(Q93&gt;0,Q22*(Q43+Q44)/Q93,0)</f>
        <v>1503625.95337571</v>
      </c>
      <c r="R95" s="61" t="n">
        <f aca="false">IF(R93&gt;0,R22*(R43+R44)/R93,0)</f>
        <v>487380.130423293</v>
      </c>
      <c r="S95" s="61" t="n">
        <f aca="false">IF(S93&gt;0,S22*(S43+S44)/S93,0)</f>
        <v>1572600.77759548</v>
      </c>
      <c r="T95" s="61" t="n">
        <f aca="false">IF(T93&gt;0,T22*(T43+T44)/T93,0)</f>
        <v>577375.794906483</v>
      </c>
      <c r="U95" s="61" t="n">
        <f aca="false">IF(U93&gt;0,U22*(U43+U44)/U93,0)</f>
        <v>2162591.35152848</v>
      </c>
      <c r="V95" s="61" t="n">
        <f aca="false">IF(V93&gt;0,V22*(V43+V44)/V93,0)</f>
        <v>852908.991229439</v>
      </c>
      <c r="W95" s="61" t="n">
        <f aca="false">IF(W93&gt;0,W22*(W43+W44)/W93,0)</f>
        <v>809602.076193131</v>
      </c>
      <c r="X95" s="61" t="n">
        <f aca="false">IF(X93&gt;0,X22*(X43+X44)/X93,0)</f>
        <v>300554.73833772</v>
      </c>
      <c r="Y95" s="61" t="n">
        <f aca="false">IF(Y93&gt;0,Y22*(Y43+Y44)/Y93,0)</f>
        <v>3584793.56157808</v>
      </c>
      <c r="Z95" s="61" t="n">
        <f aca="false">IF(Z93&gt;0,Z22*(Z43+Z44)/Z93,0)</f>
        <v>1443984.12263904</v>
      </c>
      <c r="AA95" s="61" t="n">
        <f aca="false">IF(AA93&gt;0,AA22*(AA43+AA44)/AA93,0)</f>
        <v>1143494.74849079</v>
      </c>
      <c r="AB95" s="61" t="n">
        <f aca="false">IF(AB93&gt;0,AB22*(AB43+AB44)/AB93,0)</f>
        <v>424195.22160989</v>
      </c>
      <c r="AC95" s="61" t="n">
        <f aca="false">IF(AC93&gt;0,AC22*(AC43+AC44)/AC93,0)</f>
        <v>404208.12106271</v>
      </c>
      <c r="AD95" s="61" t="n">
        <f aca="false">IF(AD93&gt;0,AD22*(AD43+AD44)/AD93,0)</f>
        <v>115025.957282061</v>
      </c>
      <c r="AE95" s="61" t="n">
        <f aca="false">IF(AE93&gt;0,AE22*(AE43+AE44)/AE93,0)</f>
        <v>404208.12106271</v>
      </c>
      <c r="AF95" s="61" t="n">
        <f aca="false">IF(AF93&gt;0,AF22*(AF43+AF44)/AF93,0)</f>
        <v>115025.957282061</v>
      </c>
      <c r="AG95" s="61" t="n">
        <f aca="false">IF(AG93&gt;0,AG22*(AG43+AG44)/AG93,0)</f>
        <v>404208.12106271</v>
      </c>
      <c r="AH95" s="61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727</v>
      </c>
      <c r="B96" s="53" t="s">
        <v>312</v>
      </c>
      <c r="C96" s="66" t="n">
        <f aca="false">C95*C44/(C43+C44)</f>
        <v>207032.173638999</v>
      </c>
      <c r="D96" s="66" t="n">
        <f aca="false">D95*D44/(D43+D44)</f>
        <v>79280.7051100723</v>
      </c>
      <c r="E96" s="66" t="n">
        <f aca="false">E95*E44/(E43+E44)</f>
        <v>121216.950994344</v>
      </c>
      <c r="F96" s="66" t="n">
        <f aca="false">F95*F44/(F43+F44)</f>
        <v>79280.7051100723</v>
      </c>
      <c r="G96" s="66" t="n">
        <f aca="false">G95*G44/(G43+G44)</f>
        <v>270978.29910102</v>
      </c>
      <c r="H96" s="66" t="n">
        <f aca="false">H95*H44/(H43+H44)</f>
        <v>79280.7051100723</v>
      </c>
      <c r="I96" s="66" t="n">
        <f aca="false">I95*I44/(I43+I44)</f>
        <v>223477.762436847</v>
      </c>
      <c r="J96" s="66" t="n">
        <f aca="false">J95*J44/(J43+J44)</f>
        <v>79280.7051100723</v>
      </c>
      <c r="K96" s="66" t="n">
        <f aca="false">K95*K44/(K43+K44)</f>
        <v>176998.330048535</v>
      </c>
      <c r="L96" s="66" t="n">
        <f aca="false">L95*L44/(L43+L44)</f>
        <v>79280.7051100723</v>
      </c>
      <c r="M96" s="66" t="n">
        <f aca="false">M95*M44/(M43+M44)</f>
        <v>295760.248055713</v>
      </c>
      <c r="N96" s="66" t="n">
        <f aca="false">N95*N44/(N43+N44)</f>
        <v>79280.7051100723</v>
      </c>
      <c r="O96" s="66" t="n">
        <f aca="false">O95*O44/(O43+O44)</f>
        <v>232148.336482394</v>
      </c>
      <c r="P96" s="66" t="n">
        <f aca="false">P95*P44/(P43+P44)</f>
        <v>94339.7521242103</v>
      </c>
      <c r="Q96" s="66" t="n">
        <f aca="false">Q95*Q44/(Q43+Q44)</f>
        <v>167069.550375079</v>
      </c>
      <c r="R96" s="66" t="n">
        <f aca="false">R95*R44/(R43+R44)</f>
        <v>54153.3478248103</v>
      </c>
      <c r="S96" s="66" t="n">
        <f aca="false">S95*S44/(S43+S44)</f>
        <v>174733.419732831</v>
      </c>
      <c r="T96" s="66" t="n">
        <f aca="false">T95*T44/(T43+T44)</f>
        <v>64152.8661007203</v>
      </c>
      <c r="U96" s="66" t="n">
        <f aca="false">U95*U44/(U43+U44)</f>
        <v>240287.927947609</v>
      </c>
      <c r="V96" s="66" t="n">
        <f aca="false">V95*V44/(V43+V44)</f>
        <v>94767.6656921599</v>
      </c>
      <c r="W96" s="66" t="n">
        <f aca="false">W95*W44/(W43+W44)</f>
        <v>269867.358731044</v>
      </c>
      <c r="X96" s="66" t="n">
        <f aca="false">X95*X44/(X43+X44)</f>
        <v>100184.91277924</v>
      </c>
      <c r="Y96" s="66" t="n">
        <f aca="false">Y95*Y44/(Y43+Y44)</f>
        <v>108630.107926608</v>
      </c>
      <c r="Z96" s="66" t="n">
        <f aca="false">Z95*Z44/(Z43+Z44)</f>
        <v>43757.0946254255</v>
      </c>
      <c r="AA96" s="66" t="n">
        <f aca="false">AA95*AA44/(AA43+AA44)</f>
        <v>127054.972054532</v>
      </c>
      <c r="AB96" s="66" t="n">
        <f aca="false">AB95*AB44/(AB43+AB44)</f>
        <v>47132.8024010989</v>
      </c>
      <c r="AC96" s="66" t="n">
        <f aca="false">AC95*AC44/(AC43+AC44)</f>
        <v>44912.0134514122</v>
      </c>
      <c r="AD96" s="66" t="n">
        <f aca="false">AD95*AD44/(AD43+AD44)</f>
        <v>12780.661920229</v>
      </c>
      <c r="AE96" s="66" t="n">
        <f aca="false">AE95*AE44/(AE43+AE44)</f>
        <v>44912.0134514122</v>
      </c>
      <c r="AF96" s="66" t="n">
        <f aca="false">AF95*AF44/(AF43+AF44)</f>
        <v>12780.661920229</v>
      </c>
      <c r="AG96" s="66" t="n">
        <f aca="false">AG95*AG44/(AG43+AG44)</f>
        <v>44912.0134514122</v>
      </c>
      <c r="AH96" s="66" t="n">
        <f aca="false">AH95*AH44/(AH43+AH44)</f>
        <v>12780.661920229</v>
      </c>
    </row>
    <row r="97" customFormat="false" ht="15" hidden="false" customHeight="false" outlineLevel="0" collapsed="false">
      <c r="A97" s="52" t="s">
        <v>728</v>
      </c>
      <c r="B97" s="53" t="s">
        <v>312</v>
      </c>
      <c r="C97" s="66" t="n">
        <f aca="false">C95-C96</f>
        <v>1656257.38911199</v>
      </c>
      <c r="D97" s="66" t="n">
        <f aca="false">D95-D96</f>
        <v>634245.640880578</v>
      </c>
      <c r="E97" s="66" t="n">
        <f aca="false">E95-E96</f>
        <v>969735.607954753</v>
      </c>
      <c r="F97" s="66" t="n">
        <f aca="false">F95-F96</f>
        <v>634245.640880578</v>
      </c>
      <c r="G97" s="66" t="n">
        <f aca="false">G95-G96</f>
        <v>2167826.39280816</v>
      </c>
      <c r="H97" s="66" t="n">
        <f aca="false">H95-H96</f>
        <v>634245.640880578</v>
      </c>
      <c r="I97" s="66" t="n">
        <f aca="false">I95-I96</f>
        <v>1787822.09949478</v>
      </c>
      <c r="J97" s="66" t="n">
        <f aca="false">J95-J96</f>
        <v>634245.640880578</v>
      </c>
      <c r="K97" s="66" t="n">
        <f aca="false">K95-K96</f>
        <v>1415986.64038828</v>
      </c>
      <c r="L97" s="66" t="n">
        <f aca="false">L95-L96</f>
        <v>634245.640880578</v>
      </c>
      <c r="M97" s="66" t="n">
        <f aca="false">M95-M96</f>
        <v>2366081.9844457</v>
      </c>
      <c r="N97" s="66" t="n">
        <f aca="false">N95-N96</f>
        <v>634245.640880578</v>
      </c>
      <c r="O97" s="66" t="n">
        <f aca="false">O95-O96</f>
        <v>1857186.69185915</v>
      </c>
      <c r="P97" s="66" t="n">
        <f aca="false">P95-P96</f>
        <v>754718.016993682</v>
      </c>
      <c r="Q97" s="66" t="n">
        <f aca="false">Q95-Q96</f>
        <v>1336556.40300063</v>
      </c>
      <c r="R97" s="66" t="n">
        <f aca="false">R95-R96</f>
        <v>433226.782598482</v>
      </c>
      <c r="S97" s="66" t="n">
        <f aca="false">S95-S96</f>
        <v>1397867.35786265</v>
      </c>
      <c r="T97" s="66" t="n">
        <f aca="false">T95-T96</f>
        <v>513222.928805763</v>
      </c>
      <c r="U97" s="66" t="n">
        <f aca="false">U95-U96</f>
        <v>1922303.42358088</v>
      </c>
      <c r="V97" s="66" t="n">
        <f aca="false">V95-V96</f>
        <v>758141.325537279</v>
      </c>
      <c r="W97" s="66" t="n">
        <f aca="false">W95-W96</f>
        <v>539734.717462087</v>
      </c>
      <c r="X97" s="66" t="n">
        <f aca="false">X95-X96</f>
        <v>200369.82555848</v>
      </c>
      <c r="Y97" s="66" t="n">
        <f aca="false">Y95-Y96</f>
        <v>3476163.45365147</v>
      </c>
      <c r="Z97" s="66" t="n">
        <f aca="false">Z95-Z96</f>
        <v>1400227.02801362</v>
      </c>
      <c r="AA97" s="66" t="n">
        <f aca="false">AA95-AA96</f>
        <v>1016439.77643626</v>
      </c>
      <c r="AB97" s="66" t="n">
        <f aca="false">AB95-AB96</f>
        <v>377062.419208791</v>
      </c>
      <c r="AC97" s="66" t="n">
        <f aca="false">AC95-AC96</f>
        <v>359296.107611298</v>
      </c>
      <c r="AD97" s="66" t="n">
        <f aca="false">AD95-AD96</f>
        <v>102245.295361832</v>
      </c>
      <c r="AE97" s="66" t="n">
        <f aca="false">AE95-AE96</f>
        <v>359296.107611298</v>
      </c>
      <c r="AF97" s="66" t="n">
        <f aca="false">AF95-AF96</f>
        <v>102245.295361832</v>
      </c>
      <c r="AG97" s="66" t="n">
        <f aca="false">AG95-AG96</f>
        <v>359296.107611298</v>
      </c>
      <c r="AH97" s="66" t="n">
        <f aca="false">AH95-AH96</f>
        <v>102245.295361832</v>
      </c>
    </row>
    <row r="98" customFormat="false" ht="15" hidden="false" customHeight="false" outlineLevel="0" collapsed="false">
      <c r="A98" s="52" t="s">
        <v>729</v>
      </c>
      <c r="B98" s="53" t="s">
        <v>730</v>
      </c>
      <c r="C98" s="61" t="n">
        <f aca="false">C95*C25*8760*3600/1000000</f>
        <v>238098354985.508</v>
      </c>
      <c r="D98" s="61" t="n">
        <f aca="false">D95*D25*8760*3600/1000000</f>
        <v>151099364378.687</v>
      </c>
      <c r="E98" s="61" t="n">
        <f aca="false">E95*E25*8760*3600/1000000</f>
        <v>139406142150.824</v>
      </c>
      <c r="F98" s="61" t="n">
        <f aca="false">F95*F25*8760*3600/1000000</f>
        <v>151099364378.687</v>
      </c>
      <c r="G98" s="61" t="n">
        <f aca="false">G95*G25*8760*3600/1000000</f>
        <v>311639906583.922</v>
      </c>
      <c r="H98" s="61" t="n">
        <f aca="false">H95*H25*8760*3600/1000000</f>
        <v>151099364378.687</v>
      </c>
      <c r="I98" s="61" t="n">
        <f aca="false">I95*I25*8760*3600/1000000</f>
        <v>257011684110.688</v>
      </c>
      <c r="J98" s="61" t="n">
        <f aca="false">J95*J25*8760*3600/1000000</f>
        <v>151099364378.687</v>
      </c>
      <c r="K98" s="61" t="n">
        <f aca="false">K95*K25*8760*3600/1000000</f>
        <v>203557787560.221</v>
      </c>
      <c r="L98" s="61" t="n">
        <f aca="false">L95*L25*8760*3600/1000000</f>
        <v>151099364378.687</v>
      </c>
      <c r="M98" s="61" t="n">
        <f aca="false">M95*M25*8760*3600/1000000</f>
        <v>340140507122.155</v>
      </c>
      <c r="N98" s="61" t="n">
        <f aca="false">N95*N25*8760*3600/1000000</f>
        <v>151099364378.687</v>
      </c>
      <c r="O98" s="61" t="n">
        <f aca="false">O95*O25*8760*3600/1000000</f>
        <v>266983319826.712</v>
      </c>
      <c r="P98" s="61" t="n">
        <f aca="false">P95*P25*8760*3600/1000000</f>
        <v>179800073193.346</v>
      </c>
      <c r="Q98" s="61" t="n">
        <f aca="false">Q95*Q25*8760*3600/1000000</f>
        <v>192139146362.04</v>
      </c>
      <c r="R98" s="61" t="n">
        <f aca="false">R95*R25*8760*3600/1000000</f>
        <v>103209682910.189</v>
      </c>
      <c r="S98" s="61" t="n">
        <f aca="false">S95*S25*8760*3600/1000000</f>
        <v>200953016471.361</v>
      </c>
      <c r="T98" s="61" t="n">
        <f aca="false">T95*T25*8760*3600/1000000</f>
        <v>122267546402.767</v>
      </c>
      <c r="U98" s="61" t="n">
        <f aca="false">U95*U25*8760*3600/1000000</f>
        <v>276344296452.023</v>
      </c>
      <c r="V98" s="61" t="n">
        <f aca="false">V95*V25*8760*3600/1000000</f>
        <v>180615624316.869</v>
      </c>
      <c r="W98" s="61" t="n">
        <f aca="false">W95*W25*8760*3600/1000000</f>
        <v>103454088075.197</v>
      </c>
      <c r="X98" s="61" t="n">
        <f aca="false">X95*X25*8760*3600/1000000</f>
        <v>63646745742.4861</v>
      </c>
      <c r="Y98" s="61" t="n">
        <f aca="false">Y95*Y25*8760*3600/1000000</f>
        <v>458078801619.117</v>
      </c>
      <c r="Z98" s="61" t="n">
        <f aca="false">Z95*Z25*8760*3600/1000000</f>
        <v>305784200302.723</v>
      </c>
      <c r="AA98" s="61" t="n">
        <f aca="false">AA95*AA25*8760*3600/1000000</f>
        <v>146120186573.819</v>
      </c>
      <c r="AB98" s="61" t="n">
        <f aca="false">AB95*AB25*8760*3600/1000000</f>
        <v>89829378715.85</v>
      </c>
      <c r="AC98" s="61" t="n">
        <f aca="false">AC95*AC25*8760*3600/1000000</f>
        <v>51651278803.2379</v>
      </c>
      <c r="AD98" s="61" t="n">
        <f aca="false">AD95*AD25*8760*3600/1000000</f>
        <v>24358384424.1081</v>
      </c>
      <c r="AE98" s="61" t="n">
        <f aca="false">AE95*AE25*8760*3600/1000000</f>
        <v>51651278803.2379</v>
      </c>
      <c r="AF98" s="61" t="n">
        <f aca="false">AF95*AF25*8760*3600/1000000</f>
        <v>24358384424.1081</v>
      </c>
      <c r="AG98" s="61" t="n">
        <f aca="false">AG95*AG25*8760*3600/1000000</f>
        <v>51651278803.2379</v>
      </c>
      <c r="AH98" s="61" t="n">
        <f aca="false">AH95*AH25*8760*3600/1000000</f>
        <v>24358384424.1081</v>
      </c>
    </row>
    <row r="99" customFormat="false" ht="15" hidden="false" customHeight="false" outlineLevel="0" collapsed="false">
      <c r="A99" s="52" t="s">
        <v>731</v>
      </c>
      <c r="B99" s="53" t="s">
        <v>730</v>
      </c>
      <c r="C99" s="66" t="n">
        <f aca="false">C96*C25*8760*3600/1000000</f>
        <v>26455372776.1676</v>
      </c>
      <c r="D99" s="66" t="n">
        <f aca="false">D96*D25*8760*3600/1000000</f>
        <v>16788818264.2986</v>
      </c>
      <c r="E99" s="66" t="n">
        <f aca="false">E96*E25*8760*3600/1000000</f>
        <v>15489571350.0915</v>
      </c>
      <c r="F99" s="66" t="n">
        <f aca="false">F96*F25*8760*3600/1000000</f>
        <v>16788818264.2986</v>
      </c>
      <c r="G99" s="66" t="n">
        <f aca="false">G96*G25*8760*3600/1000000</f>
        <v>34626656287.1024</v>
      </c>
      <c r="H99" s="66" t="n">
        <f aca="false">H96*H25*8760*3600/1000000</f>
        <v>16788818264.2986</v>
      </c>
      <c r="I99" s="66" t="n">
        <f aca="false">I96*I25*8760*3600/1000000</f>
        <v>28556853790.0765</v>
      </c>
      <c r="J99" s="66" t="n">
        <f aca="false">J96*J25*8760*3600/1000000</f>
        <v>16788818264.2986</v>
      </c>
      <c r="K99" s="66" t="n">
        <f aca="false">K96*K25*8760*3600/1000000</f>
        <v>22617531951.1357</v>
      </c>
      <c r="L99" s="66" t="n">
        <f aca="false">L96*L25*8760*3600/1000000</f>
        <v>16788818264.2986</v>
      </c>
      <c r="M99" s="66" t="n">
        <f aca="false">M96*M25*8760*3600/1000000</f>
        <v>37793389680.2394</v>
      </c>
      <c r="N99" s="66" t="n">
        <f aca="false">N96*N25*8760*3600/1000000</f>
        <v>16788818264.2986</v>
      </c>
      <c r="O99" s="66" t="n">
        <f aca="false">O96*O25*8760*3600/1000000</f>
        <v>29664813314.0792</v>
      </c>
      <c r="P99" s="66" t="n">
        <f aca="false">P96*P25*8760*3600/1000000</f>
        <v>19977785910.3718</v>
      </c>
      <c r="Q99" s="66" t="n">
        <f aca="false">Q96*Q25*8760*3600/1000000</f>
        <v>21348794040.2267</v>
      </c>
      <c r="R99" s="66" t="n">
        <f aca="false">R96*R25*8760*3600/1000000</f>
        <v>11467742545.5766</v>
      </c>
      <c r="S99" s="66" t="n">
        <f aca="false">S96*S25*8760*3600/1000000</f>
        <v>22328112941.2623</v>
      </c>
      <c r="T99" s="66" t="n">
        <f aca="false">T96*T25*8760*3600/1000000</f>
        <v>13585282933.6408</v>
      </c>
      <c r="U99" s="66" t="n">
        <f aca="false">U96*U25*8760*3600/1000000</f>
        <v>30704921828.0025</v>
      </c>
      <c r="V99" s="66" t="n">
        <f aca="false">V96*V25*8760*3600/1000000</f>
        <v>20068402701.8743</v>
      </c>
      <c r="W99" s="66" t="n">
        <f aca="false">W96*W25*8760*3600/1000000</f>
        <v>34484696025.0658</v>
      </c>
      <c r="X99" s="66" t="n">
        <f aca="false">X96*X25*8760*3600/1000000</f>
        <v>21215581914.162</v>
      </c>
      <c r="Y99" s="66" t="n">
        <f aca="false">Y96*Y25*8760*3600/1000000</f>
        <v>13881175806.6399</v>
      </c>
      <c r="Z99" s="66" t="n">
        <f aca="false">Z96*Z25*8760*3600/1000000</f>
        <v>9266187887.96131</v>
      </c>
      <c r="AA99" s="66" t="n">
        <f aca="false">AA96*AA25*8760*3600/1000000</f>
        <v>16235576285.9799</v>
      </c>
      <c r="AB99" s="66" t="n">
        <f aca="false">AB96*AB25*8760*3600/1000000</f>
        <v>9981042079.53889</v>
      </c>
      <c r="AC99" s="66" t="n">
        <f aca="false">AC96*AC25*8760*3600/1000000</f>
        <v>5739030978.13754</v>
      </c>
      <c r="AD99" s="66" t="n">
        <f aca="false">AD96*AD25*8760*3600/1000000</f>
        <v>2706487158.23423</v>
      </c>
      <c r="AE99" s="66" t="n">
        <f aca="false">AE96*AE25*8760*3600/1000000</f>
        <v>5739030978.13754</v>
      </c>
      <c r="AF99" s="66" t="n">
        <f aca="false">AF96*AF25*8760*3600/1000000</f>
        <v>2706487158.23423</v>
      </c>
      <c r="AG99" s="66" t="n">
        <f aca="false">AG96*AG25*8760*3600/1000000</f>
        <v>5739030978.13754</v>
      </c>
      <c r="AH99" s="66" t="n">
        <f aca="false">AH96*AH25*8760*3600/1000000</f>
        <v>2706487158.23423</v>
      </c>
    </row>
    <row r="100" customFormat="false" ht="15" hidden="false" customHeight="false" outlineLevel="0" collapsed="false">
      <c r="A100" s="82" t="s">
        <v>732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Format="false" ht="15" hidden="false" customHeight="false" outlineLevel="0" collapsed="false">
      <c r="A101" s="52" t="s">
        <v>733</v>
      </c>
      <c r="B101" s="53" t="s">
        <v>734</v>
      </c>
      <c r="C101" s="65" t="n">
        <f aca="false">1000000/C75</f>
        <v>12.6959667687619</v>
      </c>
      <c r="D101" s="65" t="n">
        <f aca="false">1000000/D75</f>
        <v>29.6239224604444</v>
      </c>
      <c r="E101" s="65" t="n">
        <f aca="false">1000000/E75</f>
        <v>12.6959667687619</v>
      </c>
      <c r="F101" s="65" t="n">
        <f aca="false">1000000/F75</f>
        <v>29.6239224604444</v>
      </c>
      <c r="G101" s="65" t="n">
        <f aca="false">1000000/G75</f>
        <v>12.6959667687619</v>
      </c>
      <c r="H101" s="65" t="n">
        <f aca="false">1000000/H75</f>
        <v>29.6239224604444</v>
      </c>
      <c r="I101" s="65" t="n">
        <f aca="false">1000000/I75</f>
        <v>12.6959667687619</v>
      </c>
      <c r="J101" s="65" t="n">
        <f aca="false">1000000/J75</f>
        <v>29.6239224604444</v>
      </c>
      <c r="K101" s="65" t="n">
        <f aca="false">1000000/K75</f>
        <v>12.6959667687619</v>
      </c>
      <c r="L101" s="65" t="n">
        <f aca="false">1000000/L75</f>
        <v>29.6239224604444</v>
      </c>
      <c r="M101" s="65" t="n">
        <f aca="false">1000000/M75</f>
        <v>8.88717673813333</v>
      </c>
      <c r="N101" s="65" t="n">
        <f aca="false">1000000/N75</f>
        <v>29.6239224604444</v>
      </c>
      <c r="O101" s="65" t="n">
        <f aca="false">1000000/O75</f>
        <v>12.6959667687619</v>
      </c>
      <c r="P101" s="65" t="n">
        <f aca="false">1000000/P75</f>
        <v>29.6239224604444</v>
      </c>
      <c r="Q101" s="65" t="n">
        <f aca="false">1000000/Q75</f>
        <v>12.6959667687619</v>
      </c>
      <c r="R101" s="65" t="n">
        <f aca="false">1000000/R75</f>
        <v>29.6239224604444</v>
      </c>
      <c r="S101" s="65" t="n">
        <f aca="false">1000000/S75</f>
        <v>12.6959667687619</v>
      </c>
      <c r="T101" s="65" t="n">
        <f aca="false">1000000/T75</f>
        <v>29.6239224604444</v>
      </c>
      <c r="U101" s="65" t="n">
        <f aca="false">1000000/U75</f>
        <v>12.6959667687619</v>
      </c>
      <c r="V101" s="65" t="n">
        <f aca="false">1000000/V75</f>
        <v>29.6239224604444</v>
      </c>
      <c r="W101" s="65" t="n">
        <f aca="false">1000000/W75</f>
        <v>11.0024665965714</v>
      </c>
      <c r="X101" s="65" t="n">
        <f aca="false">1000000/X75</f>
        <v>25.6724220586667</v>
      </c>
      <c r="Y101" s="65" t="n">
        <f aca="false">1000000/Y75</f>
        <v>12.8421682224762</v>
      </c>
      <c r="Z101" s="65" t="n">
        <f aca="false">1000000/Z75</f>
        <v>29.9650591857778</v>
      </c>
      <c r="AA101" s="65" t="n">
        <f aca="false">1000000/AA75</f>
        <v>18.1370953839456</v>
      </c>
      <c r="AB101" s="65" t="n">
        <f aca="false">1000000/AB75</f>
        <v>42.3198892292063</v>
      </c>
      <c r="AC101" s="65" t="n">
        <f aca="false">1000000/AC75</f>
        <v>41.9552987428571</v>
      </c>
      <c r="AD101" s="65" t="n">
        <f aca="false">1000000/AD75</f>
        <v>97.8956970666667</v>
      </c>
      <c r="AE101" s="65" t="n">
        <f aca="false">1000000/AE75</f>
        <v>41.9552987428571</v>
      </c>
      <c r="AF101" s="65" t="n">
        <f aca="false">1000000/AF75</f>
        <v>97.8956970666667</v>
      </c>
      <c r="AG101" s="65" t="n">
        <f aca="false">1000000/AG75</f>
        <v>41.9552987428571</v>
      </c>
      <c r="AH101" s="65" t="n">
        <f aca="false">1000000/AH75</f>
        <v>97.8956970666667</v>
      </c>
    </row>
    <row r="102" customFormat="false" ht="15" hidden="false" customHeight="false" outlineLevel="0" collapsed="false">
      <c r="A102" s="52" t="s">
        <v>735</v>
      </c>
      <c r="B102" s="53" t="s">
        <v>734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736</v>
      </c>
      <c r="B103" s="53" t="s">
        <v>734</v>
      </c>
      <c r="C103" s="65" t="n">
        <f aca="false">IF(C88&gt;0,1000000/C88,0)</f>
        <v>246.204299222583</v>
      </c>
      <c r="D103" s="65" t="n">
        <f aca="false">IF(D88&gt;0,1000000/D88,0)</f>
        <v>671.174105222717</v>
      </c>
      <c r="E103" s="65" t="n">
        <f aca="false">IF(E88&gt;0,1000000/E88,0)</f>
        <v>492.408598445166</v>
      </c>
      <c r="F103" s="65" t="n">
        <f aca="false">IF(F88&gt;0,1000000/F88,0)</f>
        <v>671.174105222717</v>
      </c>
      <c r="G103" s="65" t="n">
        <f aca="false">IF(G88&gt;0,1000000/G88,0)</f>
        <v>164.136199481722</v>
      </c>
      <c r="H103" s="65" t="n">
        <f aca="false">IF(H88&gt;0,1000000/H88,0)</f>
        <v>671.174105222717</v>
      </c>
      <c r="I103" s="65" t="n">
        <f aca="false">IF(I88&gt;0,1000000/I88,0)</f>
        <v>220.611972747349</v>
      </c>
      <c r="J103" s="65" t="n">
        <f aca="false">IF(J88&gt;0,1000000/J88,0)</f>
        <v>671.174105222717</v>
      </c>
      <c r="K103" s="65" t="n">
        <f aca="false">IF(K88&gt;0,1000000/K88,0)</f>
        <v>305.215764769114</v>
      </c>
      <c r="L103" s="65" t="n">
        <f aca="false">IF(L88&gt;0,1000000/L88,0)</f>
        <v>671.174105222717</v>
      </c>
      <c r="M103" s="65" t="n">
        <f aca="false">IF(M88&gt;0,1000000/M88,0)</f>
        <v>172.343009455808</v>
      </c>
      <c r="N103" s="65" t="n">
        <f aca="false">IF(N88&gt;0,1000000/N88,0)</f>
        <v>671.174105222717</v>
      </c>
      <c r="O103" s="65" t="n">
        <f aca="false">IF(O88&gt;0,1000000/O88,0)</f>
        <v>208.57879151954</v>
      </c>
      <c r="P103" s="65" t="n">
        <f aca="false">IF(P88&gt;0,1000000/P88,0)</f>
        <v>526.207572813191</v>
      </c>
      <c r="Q103" s="65" t="n">
        <f aca="false">IF(Q88&gt;0,1000000/Q88,0)</f>
        <v>329.390509517626</v>
      </c>
      <c r="R103" s="65" t="n">
        <f aca="false">IF(R88&gt;0,1000000/R88,0)</f>
        <v>1092.56630958295</v>
      </c>
      <c r="S103" s="65" t="n">
        <f aca="false">IF(S88&gt;0,1000000/S88,0)</f>
        <v>310.488529099881</v>
      </c>
      <c r="T103" s="65" t="n">
        <f aca="false">IF(T88&gt;0,1000000/T88,0)</f>
        <v>885.327923821289</v>
      </c>
      <c r="U103" s="65" t="n">
        <f aca="false">IF(U88&gt;0,1000000/U88,0)</f>
        <v>198.072787181873</v>
      </c>
      <c r="V103" s="65" t="n">
        <f aca="false">IF(V88&gt;0,1000000/V88,0)</f>
        <v>522.761427079486</v>
      </c>
      <c r="W103" s="65" t="n">
        <f aca="false">IF(W88&gt;0,1000000/W88,0)</f>
        <v>244.792801584989</v>
      </c>
      <c r="X103" s="65" t="n">
        <f aca="false">IF(X88&gt;0,1000000/X88,0)</f>
        <v>667.326241205203</v>
      </c>
      <c r="Y103" s="65" t="n">
        <f aca="false">IF(Y88&gt;0,1000000/Y88,0)</f>
        <v>251.850289772958</v>
      </c>
      <c r="Z103" s="65" t="n">
        <f aca="false">IF(Z88&gt;0,1000000/Z88,0)</f>
        <v>686.565561292775</v>
      </c>
      <c r="AA103" s="65" t="n">
        <f aca="false">IF(AA88&gt;0,1000000/AA88,0)</f>
        <v>421.587081218271</v>
      </c>
      <c r="AB103" s="65" t="n">
        <f aca="false">IF(AB88&gt;0,1000000/AB88,0)</f>
        <v>1189.03942332274</v>
      </c>
      <c r="AC103" s="65" t="n">
        <f aca="false">IF(AC88&gt;0,1000000/AC88,0)</f>
        <v>1267.49214950265</v>
      </c>
      <c r="AD103" s="65" t="n">
        <f aca="false">IF(AD88&gt;0,1000000/AD88,0)</f>
        <v>4850.34546142314</v>
      </c>
      <c r="AE103" s="65" t="n">
        <f aca="false">IF(AE88&gt;0,1000000/AE88,0)</f>
        <v>1267.49214950265</v>
      </c>
      <c r="AF103" s="65" t="n">
        <f aca="false">IF(AF88&gt;0,1000000/AF88,0)</f>
        <v>4850.34546142314</v>
      </c>
      <c r="AG103" s="65" t="n">
        <f aca="false">IF(AG88&gt;0,1000000/AG88,0)</f>
        <v>1267.49214950265</v>
      </c>
      <c r="AH103" s="65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737</v>
      </c>
      <c r="B104" s="53" t="s">
        <v>738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739</v>
      </c>
      <c r="B105" s="53" t="s">
        <v>738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82" t="s">
        <v>740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Format="false" ht="15" hidden="false" customHeight="false" outlineLevel="0" collapsed="false">
      <c r="A107" s="52" t="s">
        <v>741</v>
      </c>
      <c r="B107" s="53" t="s">
        <v>742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743</v>
      </c>
      <c r="B108" s="53" t="s">
        <v>670</v>
      </c>
      <c r="C108" s="84" t="n">
        <f aca="false">IF(C$6=1,Energy!$C$7,Energy!$C$6)</f>
        <v>10</v>
      </c>
      <c r="D108" s="84" t="n">
        <f aca="false">IF(D$6=1,Energy!$C$7,Energy!$C$6)</f>
        <v>10</v>
      </c>
      <c r="E108" s="84" t="n">
        <f aca="false">IF(E$6=1,Energy!$C$7,Energy!$C$6)</f>
        <v>10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  <c r="R108" s="84" t="n">
        <f aca="false">IF(R$6=1,Energy!$C$7,Energy!$C$6)</f>
        <v>10</v>
      </c>
      <c r="S108" s="84" t="n">
        <f aca="false">IF(S$6=1,Energy!$C$7,Energy!$C$6)</f>
        <v>10</v>
      </c>
      <c r="T108" s="84" t="n">
        <f aca="false">IF(T$6=1,Energy!$C$7,Energy!$C$6)</f>
        <v>10</v>
      </c>
      <c r="U108" s="84" t="n">
        <f aca="false">IF(U$6=1,Energy!$C$7,Energy!$C$6)</f>
        <v>10</v>
      </c>
      <c r="V108" s="84" t="n">
        <f aca="false">IF(V$6=1,Energy!$C$7,Energy!$C$6)</f>
        <v>10</v>
      </c>
      <c r="W108" s="84" t="n">
        <f aca="false">IF(W$6=1,Energy!$C$7,Energy!$C$6)</f>
        <v>10</v>
      </c>
      <c r="X108" s="84" t="n">
        <f aca="false">IF(X$6=1,Energy!$C$7,Energy!$C$6)</f>
        <v>10</v>
      </c>
      <c r="Y108" s="84" t="n">
        <f aca="false">IF(Y$6=1,Energy!$C$7,Energy!$C$6)</f>
        <v>10</v>
      </c>
      <c r="Z108" s="84" t="n">
        <f aca="false">IF(Z$6=1,Energy!$C$7,Energy!$C$6)</f>
        <v>10</v>
      </c>
      <c r="AA108" s="84" t="n">
        <f aca="false">IF(AA$6=1,Energy!$C$7,Energy!$C$6)</f>
        <v>10</v>
      </c>
      <c r="AB108" s="84" t="n">
        <f aca="false">IF(AB$6=1,Energy!$C$7,Energy!$C$6)</f>
        <v>10</v>
      </c>
      <c r="AC108" s="84" t="n">
        <f aca="false">IF(AC$6=1,Energy!$C$7,Energy!$C$6)</f>
        <v>10</v>
      </c>
      <c r="AD108" s="84" t="n">
        <f aca="false">IF(AD$6=1,Energy!$C$7,Energy!$C$6)</f>
        <v>10</v>
      </c>
      <c r="AE108" s="84" t="n">
        <f aca="false">IF(AE$6=1,Energy!$C$7,Energy!$C$6)</f>
        <v>10</v>
      </c>
      <c r="AF108" s="84" t="n">
        <f aca="false">IF(AF$6=1,Energy!$C$7,Energy!$C$6)</f>
        <v>10</v>
      </c>
      <c r="AG108" s="84" t="n">
        <f aca="false">IF(AG$6=1,Energy!$C$7,Energy!$C$6)</f>
        <v>10</v>
      </c>
      <c r="AH108" s="84" t="n">
        <f aca="false">IF(AH$6=1,Energy!$C$7,Energy!$C$6)</f>
        <v>10</v>
      </c>
    </row>
    <row r="109" customFormat="false" ht="15" hidden="false" customHeight="false" outlineLevel="0" collapsed="false">
      <c r="A109" s="53" t="s">
        <v>744</v>
      </c>
      <c r="B109" s="53" t="s">
        <v>431</v>
      </c>
      <c r="C109" s="65" t="n">
        <f aca="false">(C47+1)*C65/C49</f>
        <v>211.422533432294</v>
      </c>
      <c r="D109" s="65" t="n">
        <f aca="false">(D47+1)*D65/D49</f>
        <v>211.422533432294</v>
      </c>
      <c r="E109" s="65" t="n">
        <f aca="false">(E47+1)*E65/E49</f>
        <v>211.422533432294</v>
      </c>
      <c r="F109" s="65" t="n">
        <f aca="false">(F47+1)*F65/F49</f>
        <v>211.422533432294</v>
      </c>
      <c r="G109" s="65" t="n">
        <f aca="false">(G47+1)*G65/G49</f>
        <v>211.422533432294</v>
      </c>
      <c r="H109" s="65" t="n">
        <f aca="false">(H47+1)*H65/H49</f>
        <v>211.422533432294</v>
      </c>
      <c r="I109" s="65" t="n">
        <f aca="false">(I47+1)*I65/I49</f>
        <v>211.422533432294</v>
      </c>
      <c r="J109" s="65" t="n">
        <f aca="false">(J47+1)*J65/J49</f>
        <v>211.422533432294</v>
      </c>
      <c r="K109" s="65" t="n">
        <f aca="false">(K47+1)*K65/K49</f>
        <v>211.422533432294</v>
      </c>
      <c r="L109" s="65" t="n">
        <f aca="false">(L47+1)*L65/L49</f>
        <v>211.422533432294</v>
      </c>
      <c r="M109" s="65" t="n">
        <f aca="false">(M47+1)*M65/M49</f>
        <v>211.422533432294</v>
      </c>
      <c r="N109" s="65" t="n">
        <f aca="false">(N47+1)*N65/N49</f>
        <v>211.422533432294</v>
      </c>
      <c r="O109" s="65" t="n">
        <f aca="false">(O47+1)*O65/O49</f>
        <v>211.422533432294</v>
      </c>
      <c r="P109" s="65" t="n">
        <f aca="false">(P47+1)*P65/P49</f>
        <v>211.422533432294</v>
      </c>
      <c r="Q109" s="65" t="n">
        <f aca="false">(Q47+1)*Q65/Q49</f>
        <v>211.422533432294</v>
      </c>
      <c r="R109" s="65" t="n">
        <f aca="false">(R47+1)*R65/R49</f>
        <v>211.422533432294</v>
      </c>
      <c r="S109" s="65" t="n">
        <f aca="false">(S47+1)*S65/S49</f>
        <v>246.109042823529</v>
      </c>
      <c r="T109" s="65" t="n">
        <f aca="false">(T47+1)*T65/T49</f>
        <v>246.109042823529</v>
      </c>
      <c r="U109" s="65" t="n">
        <f aca="false">(U47+1)*U65/U49</f>
        <v>181.413711783198</v>
      </c>
      <c r="V109" s="65" t="n">
        <f aca="false">(V47+1)*V65/V49</f>
        <v>181.413711783198</v>
      </c>
      <c r="W109" s="65" t="n">
        <f aca="false">(W47+1)*W65/W49</f>
        <v>210.210440843269</v>
      </c>
      <c r="X109" s="65" t="n">
        <f aca="false">(X47+1)*X65/X49</f>
        <v>210.210440843269</v>
      </c>
      <c r="Y109" s="65" t="n">
        <f aca="false">(Y47+1)*Y65/Y49</f>
        <v>216.270903788393</v>
      </c>
      <c r="Z109" s="65" t="n">
        <f aca="false">(Z47+1)*Z65/Z49</f>
        <v>216.270903788393</v>
      </c>
      <c r="AA109" s="65" t="n">
        <f aca="false">(AA47+1)*AA65/AA49</f>
        <v>211.422533432294</v>
      </c>
      <c r="AB109" s="65" t="n">
        <f aca="false">(AB47+1)*AB65/AB49</f>
        <v>211.422533432294</v>
      </c>
      <c r="AC109" s="65" t="n">
        <f aca="false">(AC47+1)*AC65/AC49</f>
        <v>838.732890959337</v>
      </c>
      <c r="AD109" s="65" t="n">
        <f aca="false">(AD47+1)*AD65/AD49</f>
        <v>838.732890959337</v>
      </c>
      <c r="AE109" s="65" t="n">
        <f aca="false">(AE47+1)*AE65/AE49</f>
        <v>838.732890959337</v>
      </c>
      <c r="AF109" s="65" t="n">
        <f aca="false">(AF47+1)*AF65/AF49</f>
        <v>838.732890959337</v>
      </c>
      <c r="AG109" s="65" t="n">
        <f aca="false">(AG47+1)*AG65/AG49</f>
        <v>838.732890959337</v>
      </c>
      <c r="AH109" s="65" t="n">
        <f aca="false">(AH47+1)*AH65/AH49</f>
        <v>838.732890959337</v>
      </c>
    </row>
    <row r="110" customFormat="false" ht="15" hidden="false" customHeight="false" outlineLevel="0" collapsed="false">
      <c r="A110" s="53" t="s">
        <v>745</v>
      </c>
      <c r="B110" s="53" t="s">
        <v>273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746</v>
      </c>
      <c r="B111" s="53" t="s">
        <v>273</v>
      </c>
      <c r="C111" s="63" t="n">
        <f aca="false">(C47+1)*C29*C31*C30*C59/C49/1000000000</f>
        <v>0.0124286837741808</v>
      </c>
      <c r="D111" s="63" t="n">
        <f aca="false">(D47+1)*D29*D31*D30*D59/D49/1000000000</f>
        <v>0.0124286837741808</v>
      </c>
      <c r="E111" s="63" t="n">
        <f aca="false">(E47+1)*E29*E31*E30*E59/E49/1000000000</f>
        <v>0.0124286837741808</v>
      </c>
      <c r="F111" s="63" t="n">
        <f aca="false">(F47+1)*F29*F31*F30*F59/F49/1000000000</f>
        <v>0.0124286837741808</v>
      </c>
      <c r="G111" s="63" t="n">
        <f aca="false">(G47+1)*G29*G31*G30*G59/G49/1000000000</f>
        <v>0.0124286837741808</v>
      </c>
      <c r="H111" s="63" t="n">
        <f aca="false">(H47+1)*H29*H31*H30*H59/H49/1000000000</f>
        <v>0.0124286837741808</v>
      </c>
      <c r="I111" s="63" t="n">
        <f aca="false">(I47+1)*I29*I31*I30*I59/I49/1000000000</f>
        <v>0.0124286837741808</v>
      </c>
      <c r="J111" s="63" t="n">
        <f aca="false">(J47+1)*J29*J31*J30*J59/J49/1000000000</f>
        <v>0.0124286837741808</v>
      </c>
      <c r="K111" s="63" t="n">
        <f aca="false">(K47+1)*K29*K31*K30*K59/K49/1000000000</f>
        <v>0.0124286837741808</v>
      </c>
      <c r="L111" s="63" t="n">
        <f aca="false">(L47+1)*L29*L31*L30*L59/L49/1000000000</f>
        <v>0.0124286837741808</v>
      </c>
      <c r="M111" s="63" t="n">
        <f aca="false">(M47+1)*M29*M31*M30*M59/M49/1000000000</f>
        <v>0.0124286837741808</v>
      </c>
      <c r="N111" s="63" t="n">
        <f aca="false">(N47+1)*N29*N31*N30*N59/N49/1000000000</f>
        <v>0.0124286837741808</v>
      </c>
      <c r="O111" s="63" t="n">
        <f aca="false">(O47+1)*O29*O31*O30*O59/O49/1000000000</f>
        <v>0.0124286837741808</v>
      </c>
      <c r="P111" s="63" t="n">
        <f aca="false">(P47+1)*P29*P31*P30*P59/P49/1000000000</f>
        <v>0.0124286837741808</v>
      </c>
      <c r="Q111" s="63" t="n">
        <f aca="false">(Q47+1)*Q29*Q31*Q30*Q59/Q49/1000000000</f>
        <v>0.0124286837741808</v>
      </c>
      <c r="R111" s="63" t="n">
        <f aca="false">(R47+1)*R29*R31*R30*R59/R49/1000000000</f>
        <v>0.0124286837741808</v>
      </c>
      <c r="S111" s="63" t="n">
        <f aca="false">(S47+1)*S29*S31*S30*S59/S49/1000000000</f>
        <v>0.0144677647058824</v>
      </c>
      <c r="T111" s="63" t="n">
        <f aca="false">(T47+1)*T29*T31*T30*T59/T49/1000000000</f>
        <v>0.0144677647058824</v>
      </c>
      <c r="U111" s="63" t="n">
        <f aca="false">(U47+1)*U29*U31*U30*U59/U49/1000000000</f>
        <v>0.0106645853658537</v>
      </c>
      <c r="V111" s="63" t="n">
        <f aca="false">(V47+1)*V29*V31*V30*V59/V49/1000000000</f>
        <v>0.0106645853658537</v>
      </c>
      <c r="W111" s="63" t="n">
        <f aca="false">(W47+1)*W29*W31*W30*W59/W49/1000000000</f>
        <v>0.0124286837741808</v>
      </c>
      <c r="X111" s="63" t="n">
        <f aca="false">(X47+1)*X29*X31*X30*X59/X49/1000000000</f>
        <v>0.0124286837741808</v>
      </c>
      <c r="Y111" s="63" t="n">
        <f aca="false">(Y47+1)*Y29*Y31*Y30*Y59/Y49/1000000000</f>
        <v>0.0124286837741808</v>
      </c>
      <c r="Z111" s="63" t="n">
        <f aca="false">(Z47+1)*Z29*Z31*Z30*Z59/Z49/1000000000</f>
        <v>0.0124286837741808</v>
      </c>
      <c r="AA111" s="63" t="n">
        <f aca="false">(AA47+1)*AA29*AA31*AA30*AA59/AA49/1000000000</f>
        <v>0.0124286837741808</v>
      </c>
      <c r="AB111" s="63" t="n">
        <f aca="false">(AB47+1)*AB29*AB31*AB30*AB59/AB49/1000000000</f>
        <v>0.0124286837741808</v>
      </c>
      <c r="AC111" s="63" t="n">
        <f aca="false">(AC47+1)*AC29*AC31*AC30*AC59/AC49/1000000000</f>
        <v>0.0931423608369523</v>
      </c>
      <c r="AD111" s="63" t="n">
        <f aca="false">(AD47+1)*AD29*AD31*AD30*AD59/AD49/1000000000</f>
        <v>0.0931423608369523</v>
      </c>
      <c r="AE111" s="63" t="n">
        <f aca="false">(AE47+1)*AE29*AE31*AE30*AE59/AE49/1000000000</f>
        <v>0.0931423608369523</v>
      </c>
      <c r="AF111" s="63" t="n">
        <f aca="false">(AF47+1)*AF29*AF31*AF30*AF59/AF49/1000000000</f>
        <v>0.0931423608369523</v>
      </c>
      <c r="AG111" s="63" t="n">
        <f aca="false">(AG47+1)*AG29*AG31*AG30*AG59/AG49/1000000000</f>
        <v>0.0931423608369523</v>
      </c>
      <c r="AH111" s="63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747</v>
      </c>
      <c r="B112" s="53" t="s">
        <v>748</v>
      </c>
      <c r="C112" s="63" t="n">
        <f aca="false">(C109*C107+C110*C24+C111*C108)/1000</f>
        <v>0.0132642232523088</v>
      </c>
      <c r="D112" s="63" t="n">
        <f aca="false">(D109*D107+D110*D24+D111*D108)/1000</f>
        <v>0.0333329503197513</v>
      </c>
      <c r="E112" s="63" t="n">
        <f aca="false">(E109*E107+E110*E24+E111*E108)/1000</f>
        <v>0.0193352764300734</v>
      </c>
      <c r="F112" s="63" t="n">
        <f aca="false">(F109*F107+F110*F24+F111*F108)/1000</f>
        <v>0.0333329503197513</v>
      </c>
      <c r="G112" s="63" t="n">
        <f aca="false">(G109*G107+G110*G24+G111*G108)/1000</f>
        <v>0.0112405388597206</v>
      </c>
      <c r="H112" s="63" t="n">
        <f aca="false">(H109*H107+H110*H24+H111*H108)/1000</f>
        <v>0.0333329503197513</v>
      </c>
      <c r="I112" s="63" t="n">
        <f aca="false">(I109*I107+I110*I24+I111*I108)/1000</f>
        <v>0.0126331523268032</v>
      </c>
      <c r="J112" s="63" t="n">
        <f aca="false">(J109*J107+J110*J24+J111*J108)/1000</f>
        <v>0.0333329503197513</v>
      </c>
      <c r="K112" s="63" t="n">
        <f aca="false">(K109*K107+K110*K24+K111*K108)/1000</f>
        <v>0.0147193633394725</v>
      </c>
      <c r="L112" s="63" t="n">
        <f aca="false">(L109*L107+L110*L24+L111*L108)/1000</f>
        <v>0.0333329503197513</v>
      </c>
      <c r="M112" s="63" t="n">
        <f aca="false">(M109*M107+M110*M24+M111*M108)/1000</f>
        <v>0.00948573870377764</v>
      </c>
      <c r="N112" s="63" t="n">
        <f aca="false">(N109*N107+N110*N24+N111*N108)/1000</f>
        <v>0.0333329503197513</v>
      </c>
      <c r="O112" s="63" t="n">
        <f aca="false">(O109*O107+O110*O24+O111*O108)/1000</f>
        <v>0.0103582536789828</v>
      </c>
      <c r="P112" s="63" t="n">
        <f aca="false">(P109*P107+P110*P24+P111*P108)/1000</f>
        <v>0.0226263695505067</v>
      </c>
      <c r="Q112" s="63" t="n">
        <f aca="false">(Q109*Q107+Q110*Q24+Q111*Q108)/1000</f>
        <v>0.0196890294754057</v>
      </c>
      <c r="R112" s="63" t="n">
        <f aca="false">(R109*R107+R110*R24+R111*R108)/1000</f>
        <v>0.0644550969043679</v>
      </c>
      <c r="S112" s="63" t="n">
        <f aca="false">(S109*S107+S110*S24+S111*S108)/1000</f>
        <v>0.0172856091099931</v>
      </c>
      <c r="T112" s="63" t="n">
        <f aca="false">(T109*T107+T110*T24+T111*T108)/1000</f>
        <v>0.0464855168687779</v>
      </c>
      <c r="U112" s="63" t="n">
        <f aca="false">(U109*U107+U110*U24+U111*U108)/1000</f>
        <v>0.010363134173328</v>
      </c>
      <c r="V112" s="63" t="n">
        <f aca="false">(V109*V107+V110*V24+V111*V108)/1000</f>
        <v>0.024676490594924</v>
      </c>
      <c r="W112" s="63" t="n">
        <f aca="false">(W109*W107+W110*W24+W111*W108)/1000</f>
        <v>0.0128073186284606</v>
      </c>
      <c r="X112" s="63" t="n">
        <f aca="false">(X109*X107+X110*X24+X111*X108)/1000</f>
        <v>0.0326655977695731</v>
      </c>
      <c r="Y112" s="63" t="n">
        <f aca="false">(Y109*Y107+Y110*Y24+Y111*Y108)/1000</f>
        <v>0.0150918417477017</v>
      </c>
      <c r="Z112" s="63" t="n">
        <f aca="false">(Z109*Z107+Z110*Z24+Z111*Z108)/1000</f>
        <v>0.036002360520464</v>
      </c>
      <c r="AA112" s="63" t="n">
        <f aca="false">(AA109*AA107+AA110*AA24+AA111*AA108)/1000</f>
        <v>0.0175889170099816</v>
      </c>
      <c r="AB112" s="63" t="n">
        <f aca="false">(AB109*AB107+AB110*AB24+AB111*AB108)/1000</f>
        <v>0.0492952420782253</v>
      </c>
      <c r="AC112" s="63" t="n">
        <f aca="false">(AC109*AC107+AC110*AC24+AC111*AC108)/1000</f>
        <v>0.0961676451819112</v>
      </c>
      <c r="AD112" s="63" t="n">
        <f aca="false">(AD109*AD107+AD110*AD24+AD111*AD108)/1000</f>
        <v>0.365108588721106</v>
      </c>
      <c r="AE112" s="63" t="n">
        <f aca="false">(AE109*AE107+AE110*AE24+AE111*AE108)/1000</f>
        <v>0.1078849541752</v>
      </c>
      <c r="AF112" s="63" t="n">
        <f aca="false">(AF109*AF107+AF110*AF24+AF111*AF108)/1000</f>
        <v>0.379755224962717</v>
      </c>
      <c r="AG112" s="63" t="n">
        <f aca="false">(AG109*AG107+AG110*AG24+AG111*AG108)/1000</f>
        <v>0.148350135383254</v>
      </c>
      <c r="AH112" s="63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749</v>
      </c>
      <c r="B113" s="53" t="s">
        <v>748</v>
      </c>
      <c r="C113" s="63" t="n">
        <f aca="false">C67*C107/1000</f>
        <v>0.00411349323307886</v>
      </c>
      <c r="D113" s="63" t="n">
        <f aca="false">D67*D107/1000</f>
        <v>0.007465228460032</v>
      </c>
      <c r="E113" s="63" t="n">
        <f aca="false">E67*E107/1000</f>
        <v>0.00411349323307886</v>
      </c>
      <c r="F113" s="63" t="n">
        <f aca="false">F67*F107/1000</f>
        <v>0.007465228460032</v>
      </c>
      <c r="G113" s="63" t="n">
        <f aca="false">G67*G107/1000</f>
        <v>0.00411349323307886</v>
      </c>
      <c r="H113" s="63" t="n">
        <f aca="false">H67*H107/1000</f>
        <v>0.007465228460032</v>
      </c>
      <c r="I113" s="63" t="n">
        <f aca="false">I67*I107/1000</f>
        <v>0.00411349323307886</v>
      </c>
      <c r="J113" s="63" t="n">
        <f aca="false">J67*J107/1000</f>
        <v>0.007465228460032</v>
      </c>
      <c r="K113" s="63" t="n">
        <f aca="false">K67*K107/1000</f>
        <v>0.00411349323307886</v>
      </c>
      <c r="L113" s="63" t="n">
        <f aca="false">L67*L107/1000</f>
        <v>0.007465228460032</v>
      </c>
      <c r="M113" s="63" t="n">
        <f aca="false">M67*M107/1000</f>
        <v>0.0028794452631552</v>
      </c>
      <c r="N113" s="63" t="n">
        <f aca="false">N67*N107/1000</f>
        <v>0.007465228460032</v>
      </c>
      <c r="O113" s="63" t="n">
        <f aca="false">O67*O107/1000</f>
        <v>0.00411349323307886</v>
      </c>
      <c r="P113" s="63" t="n">
        <f aca="false">P67*P107/1000</f>
        <v>0.007465228460032</v>
      </c>
      <c r="Q113" s="63" t="n">
        <f aca="false">Q67*Q107/1000</f>
        <v>0.00411349323307886</v>
      </c>
      <c r="R113" s="63" t="n">
        <f aca="false">R67*R107/1000</f>
        <v>0.007465228460032</v>
      </c>
      <c r="S113" s="63" t="n">
        <f aca="false">S67*S107/1000</f>
        <v>0.00411349323307886</v>
      </c>
      <c r="T113" s="63" t="n">
        <f aca="false">T67*T107/1000</f>
        <v>0.007465228460032</v>
      </c>
      <c r="U113" s="63" t="n">
        <f aca="false">U67*U107/1000</f>
        <v>0.00411349323307886</v>
      </c>
      <c r="V113" s="63" t="n">
        <f aca="false">V67*V107/1000</f>
        <v>0.007465228460032</v>
      </c>
      <c r="W113" s="63" t="n">
        <f aca="false">W67*W107/1000</f>
        <v>0.00356479917728914</v>
      </c>
      <c r="X113" s="63" t="n">
        <f aca="false">X67*X107/1000</f>
        <v>0.006469450358784</v>
      </c>
      <c r="Y113" s="63" t="n">
        <f aca="false">Y67*Y107/1000</f>
        <v>0.00416086250408229</v>
      </c>
      <c r="Z113" s="63" t="n">
        <f aca="false">Z67*Z107/1000</f>
        <v>0.007551194914816</v>
      </c>
      <c r="AA113" s="63" t="n">
        <f aca="false">AA67*AA107/1000</f>
        <v>0.00411349323307886</v>
      </c>
      <c r="AB113" s="63" t="n">
        <f aca="false">AB67*AB107/1000</f>
        <v>0.007465228460032</v>
      </c>
      <c r="AC113" s="63" t="n">
        <f aca="false">AC67*AC107/1000</f>
        <v>0.0135935167926857</v>
      </c>
      <c r="AD113" s="63" t="n">
        <f aca="false">AD67*AD107/1000</f>
        <v>0.0246697156608</v>
      </c>
      <c r="AE113" s="63" t="n">
        <f aca="false">AE67*AE107/1000</f>
        <v>0.0135935167926857</v>
      </c>
      <c r="AF113" s="63" t="n">
        <f aca="false">AF67*AF107/1000</f>
        <v>0.0246697156608</v>
      </c>
      <c r="AG113" s="63" t="n">
        <f aca="false">AG67*AG107/1000</f>
        <v>0.0135935167926857</v>
      </c>
      <c r="AH113" s="63" t="n">
        <f aca="false">AH67*AH107/1000</f>
        <v>0.0246697156608</v>
      </c>
    </row>
    <row r="114" customFormat="false" ht="15" hidden="false" customHeight="false" outlineLevel="0" collapsed="false">
      <c r="A114" s="52" t="s">
        <v>750</v>
      </c>
      <c r="B114" s="53" t="s">
        <v>674</v>
      </c>
      <c r="C114" s="65" t="n">
        <f aca="false">(C97*C113+C96*C112)/1000</f>
        <v>9.55912453390747</v>
      </c>
      <c r="D114" s="65" t="n">
        <f aca="false">(D97*D113+D96*D112)/1000</f>
        <v>7.37744841370182</v>
      </c>
      <c r="E114" s="65" t="n">
        <f aca="false">(E97*E113+E96*E112)/1000</f>
        <v>6.33276411668379</v>
      </c>
      <c r="F114" s="65" t="n">
        <f aca="false">(F97*F113+F96*F112)/1000</f>
        <v>7.37744841370182</v>
      </c>
      <c r="G114" s="65" t="n">
        <f aca="false">(G97*G113+G96*G112)/1000</f>
        <v>11.9632812984921</v>
      </c>
      <c r="H114" s="65" t="n">
        <f aca="false">(H97*H113+H96*H112)/1000</f>
        <v>7.37744841370182</v>
      </c>
      <c r="I114" s="65" t="n">
        <f aca="false">(I97*I113+I96*I112)/1000</f>
        <v>10.1774227227384</v>
      </c>
      <c r="J114" s="65" t="n">
        <f aca="false">(J97*J113+J96*J112)/1000</f>
        <v>7.37744841370182</v>
      </c>
      <c r="K114" s="65" t="n">
        <f aca="false">(K97*K113+K96*K112)/1000</f>
        <v>8.42995419383149</v>
      </c>
      <c r="L114" s="65" t="n">
        <f aca="false">(L97*L113+L96*L112)/1000</f>
        <v>7.37744841370182</v>
      </c>
      <c r="M114" s="65" t="n">
        <f aca="false">(M97*M113+M96*M112)/1000</f>
        <v>9.61850799436997</v>
      </c>
      <c r="N114" s="65" t="n">
        <f aca="false">(N97*N113+N96*N112)/1000</f>
        <v>7.37744841370182</v>
      </c>
      <c r="O114" s="65" t="n">
        <f aca="false">(O97*O113+O96*O112)/1000</f>
        <v>10.0441762499652</v>
      </c>
      <c r="P114" s="65" t="n">
        <f aca="false">(P97*P113+P96*P112)/1000</f>
        <v>7.76870851462573</v>
      </c>
      <c r="Q114" s="65" t="n">
        <f aca="false">(Q97*Q113+Q96*Q112)/1000</f>
        <v>8.78735302114905</v>
      </c>
      <c r="R114" s="65" t="n">
        <f aca="false">(R97*R113+R96*R112)/1000</f>
        <v>6.72459618884637</v>
      </c>
      <c r="S114" s="65" t="n">
        <f aca="false">(S97*S113+S96*S112)/1000</f>
        <v>8.77049150926388</v>
      </c>
      <c r="T114" s="65" t="n">
        <f aca="false">(T97*T113+T96*T112)/1000</f>
        <v>6.81350555376724</v>
      </c>
      <c r="U114" s="65" t="n">
        <f aca="false">(U97*U113+U96*U112)/1000</f>
        <v>10.3975181623763</v>
      </c>
      <c r="V114" s="65" t="n">
        <f aca="false">(V97*V113+V96*V112)/1000</f>
        <v>7.99823161128276</v>
      </c>
      <c r="W114" s="65" t="n">
        <f aca="false">(W97*W113+W96*W112)/1000</f>
        <v>5.38032312745278</v>
      </c>
      <c r="X114" s="65" t="n">
        <f aca="false">(X97*X113+X96*X112)/1000</f>
        <v>4.56888270327521</v>
      </c>
      <c r="Y114" s="65" t="n">
        <f aca="false">(Y97*Y113+Y96*Y112)/1000</f>
        <v>16.1032665702237</v>
      </c>
      <c r="Z114" s="65" t="n">
        <f aca="false">(Z97*Z113+Z96*Z112)/1000</f>
        <v>12.148745909557</v>
      </c>
      <c r="AA114" s="65" t="n">
        <f aca="false">(AA97*AA113+AA96*AA112)/1000</f>
        <v>6.41587750137544</v>
      </c>
      <c r="AB114" s="65" t="n">
        <f aca="false">(AB97*AB113+AB96*AB112)/1000</f>
        <v>5.13828000727332</v>
      </c>
      <c r="AC114" s="65" t="n">
        <f aca="false">(AC97*AC113+AC96*AC112)/1000</f>
        <v>9.20318024636143</v>
      </c>
      <c r="AD114" s="65" t="n">
        <f aca="false">(AD97*AD113+AD96*AD112)/1000</f>
        <v>7.18869180084729</v>
      </c>
      <c r="AE114" s="65" t="n">
        <f aca="false">(AE97*AE113+AE96*AE112)/1000</f>
        <v>9.72942818548236</v>
      </c>
      <c r="AF114" s="65" t="n">
        <f aca="false">(AF97*AF113+AF96*AF112)/1000</f>
        <v>7.37588550691989</v>
      </c>
      <c r="AG114" s="65" t="n">
        <f aca="false">(AG97*AG113+AG96*AG112)/1000</f>
        <v>11.5468009482123</v>
      </c>
      <c r="AH114" s="65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751</v>
      </c>
      <c r="B115" s="53" t="s">
        <v>674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752</v>
      </c>
      <c r="B116" s="53" t="s">
        <v>69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753</v>
      </c>
      <c r="B117" s="53" t="s">
        <v>754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755</v>
      </c>
      <c r="B118" s="53" t="s">
        <v>748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82" t="s">
        <v>776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Format="false" ht="15" hidden="false" customHeight="false" outlineLevel="0" collapsed="false">
      <c r="A120" s="53" t="s">
        <v>777</v>
      </c>
      <c r="B120" s="53" t="s">
        <v>73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778</v>
      </c>
      <c r="B121" s="53" t="s">
        <v>73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9" t="s">
        <v>779</v>
      </c>
    </row>
    <row r="2" customFormat="false" ht="15" hidden="false" customHeight="false" outlineLevel="0" collapsed="false">
      <c r="A2" s="64" t="s">
        <v>780</v>
      </c>
    </row>
    <row r="4" customFormat="false" ht="15" hidden="false" customHeight="false" outlineLevel="0" collapsed="false">
      <c r="A4" s="10" t="s">
        <v>134</v>
      </c>
      <c r="C4" s="72" t="str">
        <f aca="false">DC_Cost!C4</f>
        <v>Hopper H100</v>
      </c>
      <c r="D4" s="72" t="str">
        <f aca="false">DC_Cost!D4</f>
        <v>Hopper H100</v>
      </c>
      <c r="E4" s="72" t="str">
        <f aca="false">DC_Cost!E4</f>
        <v>Hopper H100</v>
      </c>
      <c r="F4" s="72" t="str">
        <f aca="false">DC_Cost!F4</f>
        <v>GB200 NVL72</v>
      </c>
      <c r="G4" s="72" t="str">
        <f aca="false">DC_Cost!G4</f>
        <v>GB200 NVL72</v>
      </c>
      <c r="H4" s="72" t="str">
        <f aca="false">DC_Cost!H4</f>
        <v>GB200 NVL72</v>
      </c>
      <c r="I4" s="72" t="str">
        <f aca="false">DC_Cost!I4</f>
        <v>GB300 NVL72</v>
      </c>
      <c r="J4" s="72" t="str">
        <f aca="false">DC_Cost!J4</f>
        <v>GB300 NVL72</v>
      </c>
      <c r="K4" s="72" t="str">
        <f aca="false">DC_Cost!K4</f>
        <v>GB300 NVL72</v>
      </c>
      <c r="L4" s="72" t="str">
        <f aca="false">DC_Cost!L4</f>
        <v>VR200 NVL72</v>
      </c>
      <c r="M4" s="72" t="str">
        <f aca="false">DC_Cost!M4</f>
        <v>VR200 NVL72</v>
      </c>
      <c r="N4" s="72" t="str">
        <f aca="false">DC_Cost!N4</f>
        <v>VR200 NVL72</v>
      </c>
      <c r="O4" s="72" t="str">
        <f aca="false">DC_Cost!O4</f>
        <v>Rubin Ultra NVL576</v>
      </c>
      <c r="P4" s="72" t="str">
        <f aca="false">DC_Cost!P4</f>
        <v>Rubin Ultra NVL576</v>
      </c>
      <c r="Q4" s="72" t="str">
        <f aca="false">DC_Cost!Q4</f>
        <v>Rubin Ultra NVL576</v>
      </c>
    </row>
    <row r="5" customFormat="false" ht="15" hidden="false" customHeight="false" outlineLevel="0" collapsed="false">
      <c r="A5" s="10" t="s">
        <v>26</v>
      </c>
      <c r="C5" s="72" t="str">
        <f aca="false">DC_Cost!C5</f>
        <v>低成本</v>
      </c>
      <c r="D5" s="72" t="str">
        <f aca="false">DC_Cost!D5</f>
        <v>基準</v>
      </c>
      <c r="E5" s="72" t="str">
        <f aca="false">DC_Cost!E5</f>
        <v>高成本</v>
      </c>
      <c r="F5" s="72" t="str">
        <f aca="false">DC_Cost!F5</f>
        <v>低成本</v>
      </c>
      <c r="G5" s="72" t="str">
        <f aca="false">DC_Cost!G5</f>
        <v>基準</v>
      </c>
      <c r="H5" s="72" t="str">
        <f aca="false">DC_Cost!H5</f>
        <v>高成本</v>
      </c>
      <c r="I5" s="72" t="str">
        <f aca="false">DC_Cost!I5</f>
        <v>低成本</v>
      </c>
      <c r="J5" s="72" t="str">
        <f aca="false">DC_Cost!J5</f>
        <v>基準</v>
      </c>
      <c r="K5" s="72" t="str">
        <f aca="false">DC_Cost!K5</f>
        <v>高成本</v>
      </c>
      <c r="L5" s="72" t="str">
        <f aca="false">DC_Cost!L5</f>
        <v>低成本</v>
      </c>
      <c r="M5" s="72" t="str">
        <f aca="false">DC_Cost!M5</f>
        <v>基準</v>
      </c>
      <c r="N5" s="72" t="str">
        <f aca="false">DC_Cost!N5</f>
        <v>高成本</v>
      </c>
      <c r="O5" s="72" t="str">
        <f aca="false">DC_Cost!O5</f>
        <v>低成本</v>
      </c>
      <c r="P5" s="72" t="str">
        <f aca="false">DC_Cost!P5</f>
        <v>基準</v>
      </c>
      <c r="Q5" s="72" t="str">
        <f aca="false">DC_Cost!Q5</f>
        <v>高成本</v>
      </c>
    </row>
    <row r="6" customFormat="false" ht="15" hidden="false" customHeight="false" outlineLevel="0" collapsed="false">
      <c r="A6" s="10" t="s">
        <v>390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9" t="s">
        <v>781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customFormat="false" ht="15" hidden="false" customHeight="false" outlineLevel="0" collapsed="false">
      <c r="A8" s="52" t="s">
        <v>782</v>
      </c>
      <c r="B8" s="53" t="s">
        <v>783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784</v>
      </c>
      <c r="B9" s="53" t="s">
        <v>783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785</v>
      </c>
      <c r="B10" s="53" t="s">
        <v>69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82" t="s">
        <v>216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</row>
    <row r="13" customFormat="false" ht="15" hidden="false" customHeight="false" outlineLevel="0" collapsed="false">
      <c r="A13" s="53" t="s">
        <v>786</v>
      </c>
      <c r="B13" s="53" t="s">
        <v>724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787</v>
      </c>
      <c r="B14" s="53" t="s">
        <v>724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788</v>
      </c>
      <c r="B15" s="53" t="s">
        <v>724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789</v>
      </c>
      <c r="B16" s="53" t="s">
        <v>738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790</v>
      </c>
      <c r="B17" s="53" t="s">
        <v>738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791</v>
      </c>
      <c r="B18" s="53" t="s">
        <v>738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792</v>
      </c>
      <c r="B19" s="53" t="s">
        <v>738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793</v>
      </c>
      <c r="B20" s="53" t="s">
        <v>738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794</v>
      </c>
      <c r="B21" s="53" t="s">
        <v>738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795</v>
      </c>
      <c r="B22" s="53" t="s">
        <v>738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796</v>
      </c>
      <c r="B23" s="53" t="s">
        <v>738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82" t="s">
        <v>217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customFormat="false" ht="15" hidden="false" customHeight="false" outlineLevel="0" collapsed="false">
      <c r="A26" s="53" t="s">
        <v>786</v>
      </c>
      <c r="B26" s="53" t="s">
        <v>724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787</v>
      </c>
      <c r="B27" s="53" t="s">
        <v>724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788</v>
      </c>
      <c r="B28" s="53" t="s">
        <v>724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789</v>
      </c>
      <c r="B29" s="53" t="s">
        <v>738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790</v>
      </c>
      <c r="B30" s="53" t="s">
        <v>738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791</v>
      </c>
      <c r="B31" s="53" t="s">
        <v>738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792</v>
      </c>
      <c r="B32" s="53" t="s">
        <v>738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793</v>
      </c>
      <c r="B33" s="53" t="s">
        <v>738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794</v>
      </c>
      <c r="B34" s="53" t="s">
        <v>738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795</v>
      </c>
      <c r="B35" s="53" t="s">
        <v>738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796</v>
      </c>
      <c r="B36" s="53" t="s">
        <v>738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82" t="s">
        <v>218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3" t="s">
        <v>786</v>
      </c>
      <c r="B39" s="53" t="s">
        <v>724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787</v>
      </c>
      <c r="B40" s="53" t="s">
        <v>724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788</v>
      </c>
      <c r="B41" s="53" t="s">
        <v>724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789</v>
      </c>
      <c r="B42" s="53" t="s">
        <v>738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790</v>
      </c>
      <c r="B43" s="53" t="s">
        <v>738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791</v>
      </c>
      <c r="B44" s="53" t="s">
        <v>738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792</v>
      </c>
      <c r="B45" s="53" t="s">
        <v>738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793</v>
      </c>
      <c r="B46" s="53" t="s">
        <v>738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794</v>
      </c>
      <c r="B47" s="53" t="s">
        <v>738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795</v>
      </c>
      <c r="B48" s="53" t="s">
        <v>738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796</v>
      </c>
      <c r="B49" s="53" t="s">
        <v>738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797</v>
      </c>
    </row>
    <row r="2" customFormat="false" ht="15" hidden="false" customHeight="true" outlineLevel="0" collapsed="false">
      <c r="A2" s="11" t="s">
        <v>798</v>
      </c>
    </row>
    <row r="4" customFormat="false" ht="15" hidden="false" customHeight="true" outlineLevel="0" collapsed="false">
      <c r="A4" s="20" t="s">
        <v>134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20" t="s">
        <v>26</v>
      </c>
      <c r="C5" s="28" t="s">
        <v>54</v>
      </c>
      <c r="D5" s="28" t="s">
        <v>55</v>
      </c>
      <c r="E5" s="28" t="s">
        <v>56</v>
      </c>
      <c r="F5" s="28" t="s">
        <v>54</v>
      </c>
      <c r="G5" s="28" t="s">
        <v>55</v>
      </c>
      <c r="H5" s="28" t="s">
        <v>56</v>
      </c>
      <c r="I5" s="28" t="s">
        <v>54</v>
      </c>
      <c r="J5" s="28" t="s">
        <v>55</v>
      </c>
      <c r="K5" s="28" t="s">
        <v>56</v>
      </c>
      <c r="L5" s="28" t="s">
        <v>54</v>
      </c>
      <c r="M5" s="28" t="s">
        <v>55</v>
      </c>
      <c r="N5" s="28" t="s">
        <v>56</v>
      </c>
      <c r="O5" s="28" t="s">
        <v>54</v>
      </c>
      <c r="P5" s="28" t="s">
        <v>55</v>
      </c>
      <c r="Q5" s="28" t="s">
        <v>56</v>
      </c>
    </row>
    <row r="7" customFormat="false" ht="15" hidden="false" customHeight="true" outlineLevel="0" collapsed="false">
      <c r="A7" s="25" t="s">
        <v>799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800</v>
      </c>
      <c r="B8" s="16" t="s">
        <v>801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68</v>
      </c>
      <c r="B9" s="16" t="s">
        <v>69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802</v>
      </c>
      <c r="B10" s="16" t="s">
        <v>801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673</v>
      </c>
      <c r="B11" s="16" t="s">
        <v>674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130</v>
      </c>
      <c r="G11" s="27" t="n">
        <f aca="false">CHOOSE(Inputs!$E$6,Spec_Rack!D8,Spec_Rack!D9,Spec_Rack!D10)</f>
        <v>130</v>
      </c>
      <c r="H11" s="27" t="n">
        <f aca="false">CHOOSE(Inputs!$E$6,Spec_Rack!D8,Spec_Rack!D9,Spec_Rack!D10)</f>
        <v>130</v>
      </c>
      <c r="I11" s="27" t="n">
        <f aca="false">CHOOSE(Inputs!$E$6,Spec_Rack!E8,Spec_Rack!E9,Spec_Rack!E10)</f>
        <v>137</v>
      </c>
      <c r="J11" s="27" t="n">
        <f aca="false">CHOOSE(Inputs!$E$6,Spec_Rack!E8,Spec_Rack!E9,Spec_Rack!E10)</f>
        <v>137</v>
      </c>
      <c r="K11" s="27" t="n">
        <f aca="false">CHOOSE(Inputs!$E$6,Spec_Rack!E8,Spec_Rack!E9,Spec_Rack!E10)</f>
        <v>137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600</v>
      </c>
      <c r="P11" s="27" t="n">
        <f aca="false">CHOOSE(Inputs!$E$6,Spec_Rack!G8,Spec_Rack!G9,Spec_Rack!G10)</f>
        <v>600</v>
      </c>
      <c r="Q11" s="27" t="n">
        <f aca="false">CHOOSE(Inputs!$E$6,Spec_Rack!G8,Spec_Rack!G9,Spec_Rack!G10)</f>
        <v>600</v>
      </c>
    </row>
    <row r="12" customFormat="false" ht="15" hidden="false" customHeight="true" outlineLevel="0" collapsed="false">
      <c r="A12" s="20" t="s">
        <v>803</v>
      </c>
      <c r="B12" s="21" t="s">
        <v>672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5" t="s">
        <v>147</v>
      </c>
      <c r="B13" s="21" t="s">
        <v>666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144</v>
      </c>
      <c r="P13" s="27" t="n">
        <f aca="false">Spec_Rack!G6</f>
        <v>144</v>
      </c>
      <c r="Q13" s="27" t="n">
        <f aca="false">Spec_Rack!G6</f>
        <v>144</v>
      </c>
    </row>
    <row r="14" customFormat="false" ht="15" hidden="false" customHeight="true" outlineLevel="0" collapsed="false">
      <c r="A14" s="20" t="s">
        <v>804</v>
      </c>
      <c r="B14" s="21" t="s">
        <v>666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509472</v>
      </c>
      <c r="G14" s="17" t="n">
        <f aca="false">G12*G13</f>
        <v>509472</v>
      </c>
      <c r="H14" s="17" t="n">
        <f aca="false">H12*H13</f>
        <v>509472</v>
      </c>
      <c r="I14" s="17" t="n">
        <f aca="false">I12*I13</f>
        <v>483480</v>
      </c>
      <c r="J14" s="17" t="n">
        <f aca="false">J12*J13</f>
        <v>483480</v>
      </c>
      <c r="K14" s="17" t="n">
        <f aca="false">K12*K13</f>
        <v>483480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220752</v>
      </c>
      <c r="P14" s="17" t="n">
        <f aca="false">P12*P13</f>
        <v>220752</v>
      </c>
      <c r="Q14" s="17" t="n">
        <f aca="false">Q12*Q13</f>
        <v>220752</v>
      </c>
    </row>
    <row r="15" customFormat="false" ht="15" hidden="false" customHeight="true" outlineLevel="0" collapsed="false">
      <c r="A15" s="15" t="s">
        <v>72</v>
      </c>
      <c r="B15" s="16" t="s">
        <v>73</v>
      </c>
      <c r="C15" s="121" t="n">
        <f aca="false">Inputs!D9</f>
        <v>1.1</v>
      </c>
      <c r="D15" s="121" t="n">
        <f aca="false">Inputs!E9</f>
        <v>1.2</v>
      </c>
      <c r="E15" s="121" t="n">
        <f aca="false">Inputs!F9</f>
        <v>1.3</v>
      </c>
      <c r="F15" s="121" t="n">
        <f aca="false">Inputs!D9</f>
        <v>1.1</v>
      </c>
      <c r="G15" s="121" t="n">
        <f aca="false">Inputs!E9</f>
        <v>1.2</v>
      </c>
      <c r="H15" s="121" t="n">
        <f aca="false">Inputs!F9</f>
        <v>1.3</v>
      </c>
      <c r="I15" s="121" t="n">
        <f aca="false">Inputs!D9</f>
        <v>1.1</v>
      </c>
      <c r="J15" s="121" t="n">
        <f aca="false">Inputs!E9</f>
        <v>1.2</v>
      </c>
      <c r="K15" s="121" t="n">
        <f aca="false">Inputs!F9</f>
        <v>1.3</v>
      </c>
      <c r="L15" s="121" t="n">
        <f aca="false">Inputs!D9</f>
        <v>1.1</v>
      </c>
      <c r="M15" s="121" t="n">
        <f aca="false">Inputs!E9</f>
        <v>1.2</v>
      </c>
      <c r="N15" s="121" t="n">
        <f aca="false">Inputs!F9</f>
        <v>1.3</v>
      </c>
      <c r="O15" s="121" t="n">
        <f aca="false">Inputs!D9</f>
        <v>1.1</v>
      </c>
      <c r="P15" s="121" t="n">
        <f aca="false">Inputs!E9</f>
        <v>1.2</v>
      </c>
      <c r="Q15" s="121" t="n">
        <f aca="false">Inputs!F9</f>
        <v>1.3</v>
      </c>
    </row>
    <row r="16" customFormat="false" ht="15" hidden="false" customHeight="true" outlineLevel="0" collapsed="false">
      <c r="A16" s="20" t="s">
        <v>805</v>
      </c>
      <c r="B16" s="16" t="s">
        <v>801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806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807</v>
      </c>
      <c r="B18" s="16" t="s">
        <v>808</v>
      </c>
      <c r="C18" s="30" t="n">
        <f aca="false">Spec_Rack!C11</f>
        <v>0.9</v>
      </c>
      <c r="D18" s="30" t="n">
        <f aca="false">Spec_Rack!C12</f>
        <v>1.1</v>
      </c>
      <c r="E18" s="30" t="n">
        <f aca="false">Spec_Rack!C13</f>
        <v>1.3</v>
      </c>
      <c r="F18" s="30" t="n">
        <f aca="false">Spec_Rack!D11</f>
        <v>2.8</v>
      </c>
      <c r="G18" s="30" t="n">
        <f aca="false">Spec_Rack!D12</f>
        <v>3.1</v>
      </c>
      <c r="H18" s="30" t="n">
        <f aca="false">Spec_Rack!D13</f>
        <v>3.4</v>
      </c>
      <c r="I18" s="30" t="n">
        <f aca="false">Spec_Rack!E11</f>
        <v>4</v>
      </c>
      <c r="J18" s="30" t="n">
        <f aca="false">Spec_Rack!E12</f>
        <v>5</v>
      </c>
      <c r="K18" s="30" t="n">
        <f aca="false">Spec_Rack!E13</f>
        <v>6.5</v>
      </c>
      <c r="L18" s="30" t="n">
        <f aca="false">Spec_Rack!F11</f>
        <v>6.7</v>
      </c>
      <c r="M18" s="30" t="n">
        <f aca="false">Spec_Rack!F12</f>
        <v>7.8</v>
      </c>
      <c r="N18" s="30" t="n">
        <f aca="false">Spec_Rack!F13</f>
        <v>9.1</v>
      </c>
      <c r="O18" s="30" t="n">
        <f aca="false">Spec_Rack!G11</f>
        <v>23.4</v>
      </c>
      <c r="P18" s="30" t="n">
        <f aca="false">Spec_Rack!G12</f>
        <v>31.2</v>
      </c>
      <c r="Q18" s="30" t="n">
        <f aca="false">Spec_Rack!G13</f>
        <v>39</v>
      </c>
    </row>
    <row r="19" customFormat="false" ht="15" hidden="false" customHeight="true" outlineLevel="0" collapsed="false">
      <c r="A19" s="20" t="s">
        <v>809</v>
      </c>
      <c r="B19" s="16" t="s">
        <v>810</v>
      </c>
      <c r="C19" s="122" t="n">
        <f aca="false">C12*C18/1000</f>
        <v>20.1951</v>
      </c>
      <c r="D19" s="122" t="n">
        <f aca="false">D12*D18/1000</f>
        <v>24.6829</v>
      </c>
      <c r="E19" s="122" t="n">
        <f aca="false">E12*E18/1000</f>
        <v>29.1707</v>
      </c>
      <c r="F19" s="122" t="n">
        <f aca="false">F12*F18/1000</f>
        <v>19.8128</v>
      </c>
      <c r="G19" s="122" t="n">
        <f aca="false">G12*G18/1000</f>
        <v>21.9356</v>
      </c>
      <c r="H19" s="122" t="n">
        <f aca="false">H12*H18/1000</f>
        <v>24.0584</v>
      </c>
      <c r="I19" s="122" t="n">
        <f aca="false">I12*I18/1000</f>
        <v>26.86</v>
      </c>
      <c r="J19" s="122" t="n">
        <f aca="false">J12*J18/1000</f>
        <v>33.575</v>
      </c>
      <c r="K19" s="122" t="n">
        <f aca="false">K12*K18/1000</f>
        <v>43.6475</v>
      </c>
      <c r="L19" s="122" t="n">
        <f aca="false">L12*L18/1000</f>
        <v>27.1484</v>
      </c>
      <c r="M19" s="122" t="n">
        <f aca="false">M12*M18/1000</f>
        <v>31.6056</v>
      </c>
      <c r="N19" s="122" t="n">
        <f aca="false">N12*N18/1000</f>
        <v>36.8732</v>
      </c>
      <c r="O19" s="122" t="n">
        <f aca="false">O12*O18/1000</f>
        <v>35.8722</v>
      </c>
      <c r="P19" s="122" t="n">
        <f aca="false">P12*P18/1000</f>
        <v>47.8296</v>
      </c>
      <c r="Q19" s="122" t="n">
        <f aca="false">Q12*Q18/1000</f>
        <v>59.787</v>
      </c>
    </row>
    <row r="20" customFormat="false" ht="15" hidden="false" customHeight="true" outlineLevel="0" collapsed="false">
      <c r="A20" s="15" t="s">
        <v>83</v>
      </c>
      <c r="B20" s="16" t="s">
        <v>69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811</v>
      </c>
      <c r="B21" s="16" t="s">
        <v>810</v>
      </c>
      <c r="C21" s="122" t="n">
        <f aca="false">C19*C20</f>
        <v>1.009755</v>
      </c>
      <c r="D21" s="122" t="n">
        <f aca="false">D19*D20</f>
        <v>2.46829</v>
      </c>
      <c r="E21" s="122" t="n">
        <f aca="false">E19*E20</f>
        <v>4.375605</v>
      </c>
      <c r="F21" s="122" t="n">
        <f aca="false">F19*F20</f>
        <v>0.99064</v>
      </c>
      <c r="G21" s="122" t="n">
        <f aca="false">G19*G20</f>
        <v>2.19356</v>
      </c>
      <c r="H21" s="122" t="n">
        <f aca="false">H19*H20</f>
        <v>3.60876</v>
      </c>
      <c r="I21" s="122" t="n">
        <f aca="false">I19*I20</f>
        <v>1.343</v>
      </c>
      <c r="J21" s="122" t="n">
        <f aca="false">J19*J20</f>
        <v>3.3575</v>
      </c>
      <c r="K21" s="122" t="n">
        <f aca="false">K19*K20</f>
        <v>6.547125</v>
      </c>
      <c r="L21" s="122" t="n">
        <f aca="false">L19*L20</f>
        <v>1.35742</v>
      </c>
      <c r="M21" s="122" t="n">
        <f aca="false">M19*M20</f>
        <v>3.16056</v>
      </c>
      <c r="N21" s="122" t="n">
        <f aca="false">N19*N20</f>
        <v>5.53098</v>
      </c>
      <c r="O21" s="122" t="n">
        <f aca="false">O19*O20</f>
        <v>1.79361</v>
      </c>
      <c r="P21" s="122" t="n">
        <f aca="false">P19*P20</f>
        <v>4.78296</v>
      </c>
      <c r="Q21" s="122" t="n">
        <f aca="false">Q19*Q20</f>
        <v>8.96805</v>
      </c>
    </row>
    <row r="22" customFormat="false" ht="15" hidden="false" customHeight="true" outlineLevel="0" collapsed="false">
      <c r="A22" s="20" t="s">
        <v>812</v>
      </c>
      <c r="B22" s="16" t="s">
        <v>86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812</v>
      </c>
      <c r="B23" s="16" t="s">
        <v>810</v>
      </c>
      <c r="C23" s="122" t="n">
        <f aca="false">C14*C22/1000000000</f>
        <v>0.2154144</v>
      </c>
      <c r="D23" s="122" t="n">
        <f aca="false">D14*D22/1000000000</f>
        <v>0.359024</v>
      </c>
      <c r="E23" s="122" t="n">
        <f aca="false">E14*E22/1000000000</f>
        <v>0.5744384</v>
      </c>
      <c r="F23" s="122" t="n">
        <f aca="false">F14*F22/1000000000</f>
        <v>0.1528416</v>
      </c>
      <c r="G23" s="122" t="n">
        <f aca="false">G14*G22/1000000000</f>
        <v>0.254736</v>
      </c>
      <c r="H23" s="122" t="n">
        <f aca="false">H14*H22/1000000000</f>
        <v>0.4075776</v>
      </c>
      <c r="I23" s="122" t="n">
        <f aca="false">I14*I22/1000000000</f>
        <v>0.145044</v>
      </c>
      <c r="J23" s="122" t="n">
        <f aca="false">J14*J22/1000000000</f>
        <v>0.24174</v>
      </c>
      <c r="K23" s="122" t="n">
        <f aca="false">K14*K22/1000000000</f>
        <v>0.386784</v>
      </c>
      <c r="L23" s="122" t="n">
        <f aca="false">L14*L22/1000000000</f>
        <v>0.0875232</v>
      </c>
      <c r="M23" s="122" t="n">
        <f aca="false">M14*M22/1000000000</f>
        <v>0.145872</v>
      </c>
      <c r="N23" s="122" t="n">
        <f aca="false">N14*N22/1000000000</f>
        <v>0.2333952</v>
      </c>
      <c r="O23" s="122" t="n">
        <f aca="false">O14*O22/1000000000</f>
        <v>0.0662256</v>
      </c>
      <c r="P23" s="122" t="n">
        <f aca="false">P14*P22/1000000000</f>
        <v>0.110376</v>
      </c>
      <c r="Q23" s="122" t="n">
        <f aca="false">Q14*Q22/1000000000</f>
        <v>0.1766016</v>
      </c>
    </row>
    <row r="24" customFormat="false" ht="15" hidden="false" customHeight="true" outlineLevel="0" collapsed="false">
      <c r="A24" s="15" t="s">
        <v>813</v>
      </c>
      <c r="B24" s="16" t="s">
        <v>810</v>
      </c>
      <c r="C24" s="122" t="n">
        <f aca="false">C19+C21+C23</f>
        <v>21.4202694</v>
      </c>
      <c r="D24" s="122" t="n">
        <f aca="false">D19+D21+D23</f>
        <v>27.510214</v>
      </c>
      <c r="E24" s="122" t="n">
        <f aca="false">E19+E21+E23</f>
        <v>34.1207434</v>
      </c>
      <c r="F24" s="122" t="n">
        <f aca="false">F19+F21+F23</f>
        <v>20.9562816</v>
      </c>
      <c r="G24" s="122" t="n">
        <f aca="false">G19+G21+G23</f>
        <v>24.383896</v>
      </c>
      <c r="H24" s="122" t="n">
        <f aca="false">H19+H21+H23</f>
        <v>28.0747376</v>
      </c>
      <c r="I24" s="122" t="n">
        <f aca="false">I19+I21+I23</f>
        <v>28.348044</v>
      </c>
      <c r="J24" s="122" t="n">
        <f aca="false">J19+J21+J23</f>
        <v>37.17424</v>
      </c>
      <c r="K24" s="122" t="n">
        <f aca="false">K19+K21+K23</f>
        <v>50.581409</v>
      </c>
      <c r="L24" s="122" t="n">
        <f aca="false">L19+L21+L23</f>
        <v>28.5933432</v>
      </c>
      <c r="M24" s="122" t="n">
        <f aca="false">M19+M21+M23</f>
        <v>34.912032</v>
      </c>
      <c r="N24" s="122" t="n">
        <f aca="false">N19+N21+N23</f>
        <v>42.6375752</v>
      </c>
      <c r="O24" s="122" t="n">
        <f aca="false">O19+O21+O23</f>
        <v>37.7320356</v>
      </c>
      <c r="P24" s="122" t="n">
        <f aca="false">P19+P21+P23</f>
        <v>52.722936</v>
      </c>
      <c r="Q24" s="122" t="n">
        <f aca="false">Q19+Q21+Q23</f>
        <v>68.9316516</v>
      </c>
    </row>
    <row r="25" customFormat="false" ht="15" hidden="false" customHeight="true" outlineLevel="0" collapsed="false">
      <c r="A25" s="20" t="s">
        <v>89</v>
      </c>
      <c r="B25" s="16" t="s">
        <v>810</v>
      </c>
      <c r="C25" s="122" t="n">
        <f aca="false">C8*Inputs!D16/1000</f>
        <v>0.02</v>
      </c>
      <c r="D25" s="122" t="n">
        <f aca="false">D8*Inputs!E16/1000</f>
        <v>0.02</v>
      </c>
      <c r="E25" s="122" t="n">
        <f aca="false">E8*Inputs!F16/1000</f>
        <v>0.02</v>
      </c>
      <c r="F25" s="122" t="n">
        <f aca="false">F8*Inputs!D16/1000</f>
        <v>0.02</v>
      </c>
      <c r="G25" s="122" t="n">
        <f aca="false">G8*Inputs!E16/1000</f>
        <v>0.02</v>
      </c>
      <c r="H25" s="122" t="n">
        <f aca="false">H8*Inputs!F16/1000</f>
        <v>0.02</v>
      </c>
      <c r="I25" s="122" t="n">
        <f aca="false">I8*Inputs!D16/1000</f>
        <v>0.02</v>
      </c>
      <c r="J25" s="122" t="n">
        <f aca="false">J8*Inputs!E16/1000</f>
        <v>0.02</v>
      </c>
      <c r="K25" s="122" t="n">
        <f aca="false">K8*Inputs!F16/1000</f>
        <v>0.02</v>
      </c>
      <c r="L25" s="122" t="n">
        <f aca="false">L8*Inputs!D16/1000</f>
        <v>0.02</v>
      </c>
      <c r="M25" s="122" t="n">
        <f aca="false">M8*Inputs!E16/1000</f>
        <v>0.02</v>
      </c>
      <c r="N25" s="122" t="n">
        <f aca="false">N8*Inputs!F16/1000</f>
        <v>0.02</v>
      </c>
      <c r="O25" s="122" t="n">
        <f aca="false">O8*Inputs!D16/1000</f>
        <v>0.02</v>
      </c>
      <c r="P25" s="122" t="n">
        <f aca="false">P8*Inputs!E16/1000</f>
        <v>0.02</v>
      </c>
      <c r="Q25" s="122" t="n">
        <f aca="false">Q8*Inputs!F16/1000</f>
        <v>0.02</v>
      </c>
    </row>
    <row r="26" customFormat="false" ht="15" hidden="false" customHeight="true" outlineLevel="0" collapsed="false">
      <c r="A26" s="20" t="s">
        <v>814</v>
      </c>
      <c r="B26" s="16" t="s">
        <v>810</v>
      </c>
      <c r="C26" s="122" t="n">
        <f aca="false">C8*Inputs!D17/1000</f>
        <v>3</v>
      </c>
      <c r="D26" s="122" t="n">
        <f aca="false">D8*Inputs!E17/1000</f>
        <v>3.6</v>
      </c>
      <c r="E26" s="122" t="n">
        <f aca="false">E8*Inputs!F17/1000</f>
        <v>4.5</v>
      </c>
      <c r="F26" s="122" t="n">
        <f aca="false">F8*Inputs!D17/1000</f>
        <v>3</v>
      </c>
      <c r="G26" s="122" t="n">
        <f aca="false">G8*Inputs!E17/1000</f>
        <v>3.6</v>
      </c>
      <c r="H26" s="122" t="n">
        <f aca="false">H8*Inputs!F17/1000</f>
        <v>4.5</v>
      </c>
      <c r="I26" s="122" t="n">
        <f aca="false">I8*Inputs!D17/1000</f>
        <v>3</v>
      </c>
      <c r="J26" s="122" t="n">
        <f aca="false">J8*Inputs!E17/1000</f>
        <v>3.6</v>
      </c>
      <c r="K26" s="122" t="n">
        <f aca="false">K8*Inputs!F17/1000</f>
        <v>4.5</v>
      </c>
      <c r="L26" s="122" t="n">
        <f aca="false">L8*Inputs!D17/1000</f>
        <v>3</v>
      </c>
      <c r="M26" s="122" t="n">
        <f aca="false">M8*Inputs!E17/1000</f>
        <v>3.6</v>
      </c>
      <c r="N26" s="122" t="n">
        <f aca="false">N8*Inputs!F17/1000</f>
        <v>4.5</v>
      </c>
      <c r="O26" s="122" t="n">
        <f aca="false">O8*Inputs!D17/1000</f>
        <v>3</v>
      </c>
      <c r="P26" s="122" t="n">
        <f aca="false">P8*Inputs!E17/1000</f>
        <v>3.6</v>
      </c>
      <c r="Q26" s="122" t="n">
        <f aca="false">Q8*Inputs!F17/1000</f>
        <v>4.5</v>
      </c>
    </row>
    <row r="27" customFormat="false" ht="15" hidden="false" customHeight="true" outlineLevel="0" collapsed="false">
      <c r="A27" s="20" t="s">
        <v>815</v>
      </c>
      <c r="B27" s="16" t="s">
        <v>810</v>
      </c>
      <c r="C27" s="122" t="n">
        <f aca="false">C8*Inputs!D18/1000</f>
        <v>3.8</v>
      </c>
      <c r="D27" s="122" t="n">
        <f aca="false">D8*Inputs!E18/1000</f>
        <v>4.5</v>
      </c>
      <c r="E27" s="122" t="n">
        <f aca="false">E8*Inputs!F18/1000</f>
        <v>5.5</v>
      </c>
      <c r="F27" s="122" t="n">
        <f aca="false">F8*Inputs!D18/1000</f>
        <v>3.8</v>
      </c>
      <c r="G27" s="122" t="n">
        <f aca="false">G8*Inputs!E18/1000</f>
        <v>4.5</v>
      </c>
      <c r="H27" s="122" t="n">
        <f aca="false">H8*Inputs!F18/1000</f>
        <v>5.5</v>
      </c>
      <c r="I27" s="122" t="n">
        <f aca="false">I8*Inputs!D18/1000</f>
        <v>3.8</v>
      </c>
      <c r="J27" s="122" t="n">
        <f aca="false">J8*Inputs!E18/1000</f>
        <v>4.5</v>
      </c>
      <c r="K27" s="122" t="n">
        <f aca="false">K8*Inputs!F18/1000</f>
        <v>5.5</v>
      </c>
      <c r="L27" s="122" t="n">
        <f aca="false">L8*Inputs!D18/1000</f>
        <v>3.8</v>
      </c>
      <c r="M27" s="122" t="n">
        <f aca="false">M8*Inputs!E18/1000</f>
        <v>4.5</v>
      </c>
      <c r="N27" s="122" t="n">
        <f aca="false">N8*Inputs!F18/1000</f>
        <v>5.5</v>
      </c>
      <c r="O27" s="122" t="n">
        <f aca="false">O8*Inputs!D18/1000</f>
        <v>3.8</v>
      </c>
      <c r="P27" s="122" t="n">
        <f aca="false">P8*Inputs!E18/1000</f>
        <v>4.5</v>
      </c>
      <c r="Q27" s="122" t="n">
        <f aca="false">Q8*Inputs!F18/1000</f>
        <v>5.5</v>
      </c>
    </row>
    <row r="28" customFormat="false" ht="15" hidden="false" customHeight="true" outlineLevel="0" collapsed="false">
      <c r="A28" s="20" t="s">
        <v>816</v>
      </c>
      <c r="B28" s="16" t="s">
        <v>810</v>
      </c>
      <c r="C28" s="122" t="n">
        <f aca="false">C8*Inputs!D19/1000</f>
        <v>2</v>
      </c>
      <c r="D28" s="122" t="n">
        <f aca="false">D8*Inputs!E19/1000</f>
        <v>2.5</v>
      </c>
      <c r="E28" s="122" t="n">
        <f aca="false">E8*Inputs!F19/1000</f>
        <v>3.2</v>
      </c>
      <c r="F28" s="122" t="n">
        <f aca="false">F8*Inputs!D19/1000</f>
        <v>2</v>
      </c>
      <c r="G28" s="122" t="n">
        <f aca="false">G8*Inputs!E19/1000</f>
        <v>2.5</v>
      </c>
      <c r="H28" s="122" t="n">
        <f aca="false">H8*Inputs!F19/1000</f>
        <v>3.2</v>
      </c>
      <c r="I28" s="122" t="n">
        <f aca="false">I8*Inputs!D19/1000</f>
        <v>2</v>
      </c>
      <c r="J28" s="122" t="n">
        <f aca="false">J8*Inputs!E19/1000</f>
        <v>2.5</v>
      </c>
      <c r="K28" s="122" t="n">
        <f aca="false">K8*Inputs!F19/1000</f>
        <v>3.2</v>
      </c>
      <c r="L28" s="122" t="n">
        <f aca="false">L8*Inputs!D19/1000</f>
        <v>2</v>
      </c>
      <c r="M28" s="122" t="n">
        <f aca="false">M8*Inputs!E19/1000</f>
        <v>2.5</v>
      </c>
      <c r="N28" s="122" t="n">
        <f aca="false">N8*Inputs!F19/1000</f>
        <v>3.2</v>
      </c>
      <c r="O28" s="122" t="n">
        <f aca="false">O8*Inputs!D19/1000</f>
        <v>2</v>
      </c>
      <c r="P28" s="122" t="n">
        <f aca="false">P8*Inputs!E19/1000</f>
        <v>2.5</v>
      </c>
      <c r="Q28" s="122" t="n">
        <f aca="false">Q8*Inputs!F19/1000</f>
        <v>3.2</v>
      </c>
    </row>
    <row r="29" customFormat="false" ht="15" hidden="false" customHeight="true" outlineLevel="0" collapsed="false">
      <c r="A29" s="20" t="s">
        <v>817</v>
      </c>
      <c r="B29" s="16" t="s">
        <v>810</v>
      </c>
      <c r="C29" s="122" t="n">
        <f aca="false">C8*Inputs!D20/1000</f>
        <v>0.3</v>
      </c>
      <c r="D29" s="122" t="n">
        <f aca="false">D8*Inputs!E20/1000</f>
        <v>0.4</v>
      </c>
      <c r="E29" s="122" t="n">
        <f aca="false">E8*Inputs!F20/1000</f>
        <v>0.5</v>
      </c>
      <c r="F29" s="122" t="n">
        <f aca="false">F8*Inputs!D20/1000</f>
        <v>0.3</v>
      </c>
      <c r="G29" s="122" t="n">
        <f aca="false">G8*Inputs!E20/1000</f>
        <v>0.4</v>
      </c>
      <c r="H29" s="122" t="n">
        <f aca="false">H8*Inputs!F20/1000</f>
        <v>0.5</v>
      </c>
      <c r="I29" s="122" t="n">
        <f aca="false">I8*Inputs!D20/1000</f>
        <v>0.3</v>
      </c>
      <c r="J29" s="122" t="n">
        <f aca="false">J8*Inputs!E20/1000</f>
        <v>0.4</v>
      </c>
      <c r="K29" s="122" t="n">
        <f aca="false">K8*Inputs!F20/1000</f>
        <v>0.5</v>
      </c>
      <c r="L29" s="122" t="n">
        <f aca="false">L8*Inputs!D20/1000</f>
        <v>0.3</v>
      </c>
      <c r="M29" s="122" t="n">
        <f aca="false">M8*Inputs!E20/1000</f>
        <v>0.4</v>
      </c>
      <c r="N29" s="122" t="n">
        <f aca="false">N8*Inputs!F20/1000</f>
        <v>0.5</v>
      </c>
      <c r="O29" s="122" t="n">
        <f aca="false">O8*Inputs!D20/1000</f>
        <v>0.3</v>
      </c>
      <c r="P29" s="122" t="n">
        <f aca="false">P8*Inputs!E20/1000</f>
        <v>0.4</v>
      </c>
      <c r="Q29" s="122" t="n">
        <f aca="false">Q8*Inputs!F20/1000</f>
        <v>0.5</v>
      </c>
    </row>
    <row r="30" customFormat="false" ht="15" hidden="false" customHeight="true" outlineLevel="0" collapsed="false">
      <c r="A30" s="20" t="s">
        <v>818</v>
      </c>
      <c r="B30" s="16" t="s">
        <v>69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99</v>
      </c>
      <c r="B31" s="16" t="s">
        <v>810</v>
      </c>
      <c r="C31" s="122" t="n">
        <f aca="false">(C26+C27+C28+C29)*C30</f>
        <v>1.092</v>
      </c>
      <c r="D31" s="122" t="n">
        <f aca="false">(D26+D27+D28+D29)*D30</f>
        <v>1.65</v>
      </c>
      <c r="E31" s="122" t="n">
        <f aca="false">(E26+E27+E28+E29)*E30</f>
        <v>2.466</v>
      </c>
      <c r="F31" s="122" t="n">
        <f aca="false">(F26+F27+F28+F29)*F30</f>
        <v>1.092</v>
      </c>
      <c r="G31" s="122" t="n">
        <f aca="false">(G26+G27+G28+G29)*G30</f>
        <v>1.65</v>
      </c>
      <c r="H31" s="122" t="n">
        <f aca="false">(H26+H27+H28+H29)*H30</f>
        <v>2.466</v>
      </c>
      <c r="I31" s="122" t="n">
        <f aca="false">(I26+I27+I28+I29)*I30</f>
        <v>1.092</v>
      </c>
      <c r="J31" s="122" t="n">
        <f aca="false">(J26+J27+J28+J29)*J30</f>
        <v>1.65</v>
      </c>
      <c r="K31" s="122" t="n">
        <f aca="false">(K26+K27+K28+K29)*K30</f>
        <v>2.466</v>
      </c>
      <c r="L31" s="122" t="n">
        <f aca="false">(L26+L27+L28+L29)*L30</f>
        <v>1.092</v>
      </c>
      <c r="M31" s="122" t="n">
        <f aca="false">(M26+M27+M28+M29)*M30</f>
        <v>1.65</v>
      </c>
      <c r="N31" s="122" t="n">
        <f aca="false">(N26+N27+N28+N29)*N30</f>
        <v>2.466</v>
      </c>
      <c r="O31" s="122" t="n">
        <f aca="false">(O26+O27+O28+O29)*O30</f>
        <v>1.092</v>
      </c>
      <c r="P31" s="122" t="n">
        <f aca="false">(P26+P27+P28+P29)*P30</f>
        <v>1.65</v>
      </c>
      <c r="Q31" s="122" t="n">
        <f aca="false">(Q26+Q27+Q28+Q29)*Q30</f>
        <v>2.466</v>
      </c>
    </row>
    <row r="32" customFormat="false" ht="15" hidden="false" customHeight="true" outlineLevel="0" collapsed="false">
      <c r="A32" s="20" t="s">
        <v>819</v>
      </c>
      <c r="B32" s="16" t="s">
        <v>810</v>
      </c>
      <c r="C32" s="122" t="n">
        <f aca="false">C25+C26+C27+C28+C29+C31</f>
        <v>10.212</v>
      </c>
      <c r="D32" s="122" t="n">
        <f aca="false">D25+D26+D27+D28+D29+D31</f>
        <v>12.67</v>
      </c>
      <c r="E32" s="122" t="n">
        <f aca="false">E25+E26+E27+E28+E29+E31</f>
        <v>16.186</v>
      </c>
      <c r="F32" s="122" t="n">
        <f aca="false">F25+F26+F27+F28+F29+F31</f>
        <v>10.212</v>
      </c>
      <c r="G32" s="122" t="n">
        <f aca="false">G25+G26+G27+G28+G29+G31</f>
        <v>12.67</v>
      </c>
      <c r="H32" s="122" t="n">
        <f aca="false">H25+H26+H27+H28+H29+H31</f>
        <v>16.186</v>
      </c>
      <c r="I32" s="122" t="n">
        <f aca="false">I25+I26+I27+I28+I29+I31</f>
        <v>10.212</v>
      </c>
      <c r="J32" s="122" t="n">
        <f aca="false">J25+J26+J27+J28+J29+J31</f>
        <v>12.67</v>
      </c>
      <c r="K32" s="122" t="n">
        <f aca="false">K25+K26+K27+K28+K29+K31</f>
        <v>16.186</v>
      </c>
      <c r="L32" s="122" t="n">
        <f aca="false">L25+L26+L27+L28+L29+L31</f>
        <v>10.212</v>
      </c>
      <c r="M32" s="122" t="n">
        <f aca="false">M25+M26+M27+M28+M29+M31</f>
        <v>12.67</v>
      </c>
      <c r="N32" s="122" t="n">
        <f aca="false">N25+N26+N27+N28+N29+N31</f>
        <v>16.186</v>
      </c>
      <c r="O32" s="122" t="n">
        <f aca="false">O25+O26+O27+O28+O29+O31</f>
        <v>10.212</v>
      </c>
      <c r="P32" s="122" t="n">
        <f aca="false">P25+P26+P27+P28+P29+P31</f>
        <v>12.67</v>
      </c>
      <c r="Q32" s="122" t="n">
        <f aca="false">Q25+Q26+Q27+Q28+Q29+Q31</f>
        <v>16.186</v>
      </c>
    </row>
    <row r="33" customFormat="false" ht="15" hidden="false" customHeight="true" outlineLevel="0" collapsed="false">
      <c r="A33" s="20" t="s">
        <v>820</v>
      </c>
      <c r="B33" s="16" t="s">
        <v>810</v>
      </c>
      <c r="C33" s="123" t="n">
        <f aca="false">C24+C32</f>
        <v>31.6322694</v>
      </c>
      <c r="D33" s="123" t="n">
        <f aca="false">D24+D32</f>
        <v>40.180214</v>
      </c>
      <c r="E33" s="123" t="n">
        <f aca="false">E24+E32</f>
        <v>50.3067434</v>
      </c>
      <c r="F33" s="123" t="n">
        <f aca="false">F24+F32</f>
        <v>31.1682816</v>
      </c>
      <c r="G33" s="123" t="n">
        <f aca="false">G24+G32</f>
        <v>37.053896</v>
      </c>
      <c r="H33" s="123" t="n">
        <f aca="false">H24+H32</f>
        <v>44.2607376</v>
      </c>
      <c r="I33" s="123" t="n">
        <f aca="false">I24+I32</f>
        <v>38.560044</v>
      </c>
      <c r="J33" s="123" t="n">
        <f aca="false">J24+J32</f>
        <v>49.84424</v>
      </c>
      <c r="K33" s="123" t="n">
        <f aca="false">K24+K32</f>
        <v>66.767409</v>
      </c>
      <c r="L33" s="123" t="n">
        <f aca="false">L24+L32</f>
        <v>38.8053432</v>
      </c>
      <c r="M33" s="123" t="n">
        <f aca="false">M24+M32</f>
        <v>47.582032</v>
      </c>
      <c r="N33" s="123" t="n">
        <f aca="false">N24+N32</f>
        <v>58.8235752</v>
      </c>
      <c r="O33" s="123" t="n">
        <f aca="false">O24+O32</f>
        <v>47.9440356</v>
      </c>
      <c r="P33" s="123" t="n">
        <f aca="false">P24+P32</f>
        <v>65.392936</v>
      </c>
      <c r="Q33" s="123" t="n">
        <f aca="false">Q24+Q32</f>
        <v>85.1176516</v>
      </c>
    </row>
    <row r="34" customFormat="false" ht="15" hidden="false" customHeight="true" outlineLevel="0" collapsed="false">
      <c r="A34" s="20" t="s">
        <v>821</v>
      </c>
      <c r="B34" s="16" t="s">
        <v>822</v>
      </c>
      <c r="C34" s="124" t="n">
        <f aca="false">C33*1000000/C14</f>
        <v>44.0531404585766</v>
      </c>
      <c r="D34" s="124" t="n">
        <f aca="false">D33*1000000/D14</f>
        <v>55.9575599402826</v>
      </c>
      <c r="E34" s="124" t="n">
        <f aca="false">E33*1000000/E14</f>
        <v>70.0604185235527</v>
      </c>
      <c r="F34" s="124" t="n">
        <f aca="false">F33*1000000/F14</f>
        <v>61.1776144714528</v>
      </c>
      <c r="G34" s="124" t="n">
        <f aca="false">G33*1000000/G14</f>
        <v>72.72999497519</v>
      </c>
      <c r="H34" s="124" t="n">
        <f aca="false">H33*1000000/H14</f>
        <v>86.8757019031468</v>
      </c>
      <c r="I34" s="124" t="n">
        <f aca="false">I33*1000000/I14</f>
        <v>79.7551998014396</v>
      </c>
      <c r="J34" s="124" t="n">
        <f aca="false">J33*1000000/J14</f>
        <v>103.094729875072</v>
      </c>
      <c r="K34" s="124" t="n">
        <f aca="false">K33*1000000/K14</f>
        <v>138.097561429635</v>
      </c>
      <c r="L34" s="124" t="n">
        <f aca="false">L33*1000000/L14</f>
        <v>133.011623889437</v>
      </c>
      <c r="M34" s="124" t="n">
        <f aca="false">M33*1000000/M14</f>
        <v>163.095151914007</v>
      </c>
      <c r="N34" s="124" t="n">
        <f aca="false">N33*1000000/N14</f>
        <v>201.627369200395</v>
      </c>
      <c r="O34" s="124" t="n">
        <f aca="false">O33*1000000/O14</f>
        <v>217.185056534029</v>
      </c>
      <c r="P34" s="124" t="n">
        <f aca="false">P33*1000000/P14</f>
        <v>296.228056823947</v>
      </c>
      <c r="Q34" s="124" t="n">
        <f aca="false">Q33*1000000/Q14</f>
        <v>385.580432340364</v>
      </c>
    </row>
    <row r="35" customFormat="false" ht="15" hidden="false" customHeight="true" outlineLevel="0" collapsed="false">
      <c r="A35" s="20" t="s">
        <v>823</v>
      </c>
      <c r="B35" s="16" t="s">
        <v>808</v>
      </c>
      <c r="C35" s="124" t="n">
        <f aca="false">C33*1000/C8</f>
        <v>31.6322694</v>
      </c>
      <c r="D35" s="124" t="n">
        <f aca="false">D33*1000/D8</f>
        <v>40.180214</v>
      </c>
      <c r="E35" s="124" t="n">
        <f aca="false">E33*1000/E8</f>
        <v>50.3067434</v>
      </c>
      <c r="F35" s="124" t="n">
        <f aca="false">F33*1000/F8</f>
        <v>31.1682816</v>
      </c>
      <c r="G35" s="124" t="n">
        <f aca="false">G33*1000/G8</f>
        <v>37.053896</v>
      </c>
      <c r="H35" s="124" t="n">
        <f aca="false">H33*1000/H8</f>
        <v>44.2607376</v>
      </c>
      <c r="I35" s="124" t="n">
        <f aca="false">I33*1000/I8</f>
        <v>38.560044</v>
      </c>
      <c r="J35" s="124" t="n">
        <f aca="false">J33*1000/J8</f>
        <v>49.84424</v>
      </c>
      <c r="K35" s="124" t="n">
        <f aca="false">K33*1000/K8</f>
        <v>66.767409</v>
      </c>
      <c r="L35" s="124" t="n">
        <f aca="false">L33*1000/L8</f>
        <v>38.8053432</v>
      </c>
      <c r="M35" s="124" t="n">
        <f aca="false">M33*1000/M8</f>
        <v>47.582032</v>
      </c>
      <c r="N35" s="124" t="n">
        <f aca="false">N33*1000/N8</f>
        <v>58.8235752</v>
      </c>
      <c r="O35" s="124" t="n">
        <f aca="false">O33*1000/O8</f>
        <v>47.9440356</v>
      </c>
      <c r="P35" s="124" t="n">
        <f aca="false">P33*1000/P8</f>
        <v>65.392936</v>
      </c>
      <c r="Q35" s="124" t="n">
        <f aca="false">Q33*1000/Q8</f>
        <v>85.1176516</v>
      </c>
    </row>
    <row r="36" customFormat="false" ht="15" hidden="false" customHeight="true" outlineLevel="0" collapsed="false">
      <c r="A36" s="20" t="s">
        <v>824</v>
      </c>
      <c r="B36" s="16" t="s">
        <v>808</v>
      </c>
      <c r="C36" s="122" t="n">
        <f aca="false">C32*1000/C8</f>
        <v>10.212</v>
      </c>
      <c r="D36" s="122" t="n">
        <f aca="false">D32*1000/D8</f>
        <v>12.67</v>
      </c>
      <c r="E36" s="122" t="n">
        <f aca="false">E32*1000/E8</f>
        <v>16.186</v>
      </c>
      <c r="F36" s="122" t="n">
        <f aca="false">F32*1000/F8</f>
        <v>10.212</v>
      </c>
      <c r="G36" s="122" t="n">
        <f aca="false">G32*1000/G8</f>
        <v>12.67</v>
      </c>
      <c r="H36" s="122" t="n">
        <f aca="false">H32*1000/H8</f>
        <v>16.186</v>
      </c>
      <c r="I36" s="122" t="n">
        <f aca="false">I32*1000/I8</f>
        <v>10.212</v>
      </c>
      <c r="J36" s="122" t="n">
        <f aca="false">J32*1000/J8</f>
        <v>12.67</v>
      </c>
      <c r="K36" s="122" t="n">
        <f aca="false">K32*1000/K8</f>
        <v>16.186</v>
      </c>
      <c r="L36" s="122" t="n">
        <f aca="false">L32*1000/L8</f>
        <v>10.212</v>
      </c>
      <c r="M36" s="122" t="n">
        <f aca="false">M32*1000/M8</f>
        <v>12.67</v>
      </c>
      <c r="N36" s="122" t="n">
        <f aca="false">N32*1000/N8</f>
        <v>16.186</v>
      </c>
      <c r="O36" s="122" t="n">
        <f aca="false">O32*1000/O8</f>
        <v>10.212</v>
      </c>
      <c r="P36" s="122" t="n">
        <f aca="false">P32*1000/P8</f>
        <v>12.67</v>
      </c>
      <c r="Q36" s="122" t="n">
        <f aca="false">Q32*1000/Q8</f>
        <v>16.186</v>
      </c>
    </row>
    <row r="37" customFormat="false" ht="15" hidden="false" customHeight="true" outlineLevel="0" collapsed="false">
      <c r="A37" s="25" t="s">
        <v>825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826</v>
      </c>
      <c r="B38" s="21" t="s">
        <v>104</v>
      </c>
      <c r="C38" s="125" t="n">
        <f aca="false">Inputs!D23</f>
        <v>6</v>
      </c>
      <c r="D38" s="125" t="n">
        <f aca="false">Inputs!E23</f>
        <v>6</v>
      </c>
      <c r="E38" s="125" t="n">
        <f aca="false">Inputs!F23</f>
        <v>4</v>
      </c>
      <c r="F38" s="125" t="n">
        <f aca="false">Inputs!D23</f>
        <v>6</v>
      </c>
      <c r="G38" s="125" t="n">
        <f aca="false">Inputs!E23</f>
        <v>6</v>
      </c>
      <c r="H38" s="125" t="n">
        <f aca="false">Inputs!F23</f>
        <v>4</v>
      </c>
      <c r="I38" s="125" t="n">
        <f aca="false">Inputs!D23</f>
        <v>6</v>
      </c>
      <c r="J38" s="125" t="n">
        <f aca="false">Inputs!E23</f>
        <v>6</v>
      </c>
      <c r="K38" s="125" t="n">
        <f aca="false">Inputs!F23</f>
        <v>4</v>
      </c>
      <c r="L38" s="125" t="n">
        <f aca="false">Inputs!D23</f>
        <v>6</v>
      </c>
      <c r="M38" s="125" t="n">
        <f aca="false">Inputs!E23</f>
        <v>6</v>
      </c>
      <c r="N38" s="125" t="n">
        <f aca="false">Inputs!F23</f>
        <v>4</v>
      </c>
      <c r="O38" s="125" t="n">
        <f aca="false">Inputs!D23</f>
        <v>6</v>
      </c>
      <c r="P38" s="125" t="n">
        <f aca="false">Inputs!E23</f>
        <v>6</v>
      </c>
      <c r="Q38" s="125" t="n">
        <f aca="false">Inputs!F23</f>
        <v>4</v>
      </c>
    </row>
    <row r="39" customFormat="false" ht="15" hidden="false" customHeight="true" outlineLevel="0" collapsed="false">
      <c r="A39" s="15" t="s">
        <v>827</v>
      </c>
      <c r="B39" s="16" t="s">
        <v>810</v>
      </c>
      <c r="C39" s="122" t="n">
        <f aca="false">C24/C38</f>
        <v>3.5700449</v>
      </c>
      <c r="D39" s="122" t="n">
        <f aca="false">D24/D38</f>
        <v>4.58503566666667</v>
      </c>
      <c r="E39" s="122" t="n">
        <f aca="false">E24/E38</f>
        <v>8.53018585</v>
      </c>
      <c r="F39" s="122" t="n">
        <f aca="false">F24/F38</f>
        <v>3.4927136</v>
      </c>
      <c r="G39" s="122" t="n">
        <f aca="false">G24/G38</f>
        <v>4.06398266666667</v>
      </c>
      <c r="H39" s="122" t="n">
        <f aca="false">H24/H38</f>
        <v>7.0186844</v>
      </c>
      <c r="I39" s="122" t="n">
        <f aca="false">I24/I38</f>
        <v>4.724674</v>
      </c>
      <c r="J39" s="122" t="n">
        <f aca="false">J24/J38</f>
        <v>6.19570666666667</v>
      </c>
      <c r="K39" s="122" t="n">
        <f aca="false">K24/K38</f>
        <v>12.64535225</v>
      </c>
      <c r="L39" s="122" t="n">
        <f aca="false">L24/L38</f>
        <v>4.7655572</v>
      </c>
      <c r="M39" s="122" t="n">
        <f aca="false">M24/M38</f>
        <v>5.818672</v>
      </c>
      <c r="N39" s="122" t="n">
        <f aca="false">N24/N38</f>
        <v>10.6593938</v>
      </c>
      <c r="O39" s="122" t="n">
        <f aca="false">O24/O38</f>
        <v>6.2886726</v>
      </c>
      <c r="P39" s="122" t="n">
        <f aca="false">P24/P38</f>
        <v>8.787156</v>
      </c>
      <c r="Q39" s="122" t="n">
        <f aca="false">Q24/Q38</f>
        <v>17.2329129</v>
      </c>
    </row>
    <row r="40" customFormat="false" ht="15" hidden="false" customHeight="true" outlineLevel="0" collapsed="false">
      <c r="A40" s="20" t="s">
        <v>828</v>
      </c>
      <c r="B40" s="16" t="s">
        <v>810</v>
      </c>
      <c r="C40" s="122" t="n">
        <f aca="false">(C26/Inputs!D24+C27/Inputs!D25+C28/Inputs!D26+C29/Inputs!D27)*(1+C30)</f>
        <v>0.507733333333333</v>
      </c>
      <c r="D40" s="122" t="n">
        <f aca="false">(D26/Inputs!E24+D27/Inputs!E25+D28/Inputs!E26+D29/Inputs!E27)*(1+D30)</f>
        <v>0.634416666666667</v>
      </c>
      <c r="E40" s="122" t="n">
        <f aca="false">(E26/Inputs!F24+E27/Inputs!F25+E28/Inputs!F26+E29/Inputs!F27)*(1+E30)</f>
        <v>0.812233333333334</v>
      </c>
      <c r="F40" s="122" t="n">
        <f aca="false">(F26/Inputs!D24+F27/Inputs!D25+F28/Inputs!D26+F29/Inputs!D27)*(1+F30)</f>
        <v>0.507733333333333</v>
      </c>
      <c r="G40" s="122" t="n">
        <f aca="false">(G26/Inputs!E24+G27/Inputs!E25+G28/Inputs!E26+G29/Inputs!E27)*(1+G30)</f>
        <v>0.634416666666667</v>
      </c>
      <c r="H40" s="122" t="n">
        <f aca="false">(H26/Inputs!F24+H27/Inputs!F25+H28/Inputs!F26+H29/Inputs!F27)*(1+H30)</f>
        <v>0.812233333333334</v>
      </c>
      <c r="I40" s="122" t="n">
        <f aca="false">(I26/Inputs!D24+I27/Inputs!D25+I28/Inputs!D26+I29/Inputs!D27)*(1+I30)</f>
        <v>0.507733333333333</v>
      </c>
      <c r="J40" s="122" t="n">
        <f aca="false">(J26/Inputs!E24+J27/Inputs!E25+J28/Inputs!E26+J29/Inputs!E27)*(1+J30)</f>
        <v>0.634416666666667</v>
      </c>
      <c r="K40" s="122" t="n">
        <f aca="false">(K26/Inputs!F24+K27/Inputs!F25+K28/Inputs!F26+K29/Inputs!F27)*(1+K30)</f>
        <v>0.812233333333334</v>
      </c>
      <c r="L40" s="122" t="n">
        <f aca="false">(L26/Inputs!D24+L27/Inputs!D25+L28/Inputs!D26+L29/Inputs!D27)*(1+L30)</f>
        <v>0.507733333333333</v>
      </c>
      <c r="M40" s="122" t="n">
        <f aca="false">(M26/Inputs!E24+M27/Inputs!E25+M28/Inputs!E26+M29/Inputs!E27)*(1+M30)</f>
        <v>0.634416666666667</v>
      </c>
      <c r="N40" s="122" t="n">
        <f aca="false">(N26/Inputs!F24+N27/Inputs!F25+N28/Inputs!F26+N29/Inputs!F27)*(1+N30)</f>
        <v>0.812233333333334</v>
      </c>
      <c r="O40" s="122" t="n">
        <f aca="false">(O26/Inputs!D24+O27/Inputs!D25+O28/Inputs!D26+O29/Inputs!D27)*(1+O30)</f>
        <v>0.507733333333333</v>
      </c>
      <c r="P40" s="122" t="n">
        <f aca="false">(P26/Inputs!E24+P27/Inputs!E25+P28/Inputs!E26+P29/Inputs!E27)*(1+P30)</f>
        <v>0.634416666666667</v>
      </c>
      <c r="Q40" s="12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76</v>
      </c>
      <c r="B41" s="16" t="s">
        <v>69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78</v>
      </c>
      <c r="B42" s="16" t="s">
        <v>79</v>
      </c>
      <c r="C42" s="126" t="n">
        <f aca="false">Inputs!D11</f>
        <v>0.06</v>
      </c>
      <c r="D42" s="126" t="n">
        <f aca="false">Inputs!E11</f>
        <v>0.08</v>
      </c>
      <c r="E42" s="126" t="n">
        <f aca="false">Inputs!F11</f>
        <v>0.1</v>
      </c>
      <c r="F42" s="126" t="n">
        <f aca="false">Inputs!D11</f>
        <v>0.06</v>
      </c>
      <c r="G42" s="126" t="n">
        <f aca="false">Inputs!E11</f>
        <v>0.08</v>
      </c>
      <c r="H42" s="126" t="n">
        <f aca="false">Inputs!F11</f>
        <v>0.1</v>
      </c>
      <c r="I42" s="126" t="n">
        <f aca="false">Inputs!D11</f>
        <v>0.06</v>
      </c>
      <c r="J42" s="126" t="n">
        <f aca="false">Inputs!E11</f>
        <v>0.08</v>
      </c>
      <c r="K42" s="126" t="n">
        <f aca="false">Inputs!F11</f>
        <v>0.1</v>
      </c>
      <c r="L42" s="126" t="n">
        <f aca="false">Inputs!D11</f>
        <v>0.06</v>
      </c>
      <c r="M42" s="126" t="n">
        <f aca="false">Inputs!E11</f>
        <v>0.08</v>
      </c>
      <c r="N42" s="126" t="n">
        <f aca="false">Inputs!F11</f>
        <v>0.1</v>
      </c>
      <c r="O42" s="126" t="n">
        <f aca="false">Inputs!D11</f>
        <v>0.06</v>
      </c>
      <c r="P42" s="126" t="n">
        <f aca="false">Inputs!E11</f>
        <v>0.08</v>
      </c>
      <c r="Q42" s="126" t="n">
        <f aca="false">Inputs!F11</f>
        <v>0.1</v>
      </c>
    </row>
    <row r="43" customFormat="false" ht="15" hidden="false" customHeight="true" outlineLevel="0" collapsed="false">
      <c r="A43" s="20" t="s">
        <v>829</v>
      </c>
      <c r="B43" s="16" t="s">
        <v>810</v>
      </c>
      <c r="C43" s="122" t="n">
        <f aca="false">C8*1000*C41*C15*8760*C42/1000000000</f>
        <v>0.404712</v>
      </c>
      <c r="D43" s="122" t="n">
        <f aca="false">D8*1000*D41*D15*8760*D42/1000000000</f>
        <v>0.672768</v>
      </c>
      <c r="E43" s="122" t="n">
        <f aca="false">E8*1000*E41*E15*8760*E42/1000000000</f>
        <v>1.02492</v>
      </c>
      <c r="F43" s="122" t="n">
        <f aca="false">F8*1000*F41*F15*8760*F42/1000000000</f>
        <v>0.404712</v>
      </c>
      <c r="G43" s="122" t="n">
        <f aca="false">G8*1000*G41*G15*8760*G42/1000000000</f>
        <v>0.672768</v>
      </c>
      <c r="H43" s="122" t="n">
        <f aca="false">H8*1000*H41*H15*8760*H42/1000000000</f>
        <v>1.02492</v>
      </c>
      <c r="I43" s="122" t="n">
        <f aca="false">I8*1000*I41*I15*8760*I42/1000000000</f>
        <v>0.404712</v>
      </c>
      <c r="J43" s="122" t="n">
        <f aca="false">J8*1000*J41*J15*8760*J42/1000000000</f>
        <v>0.672768</v>
      </c>
      <c r="K43" s="122" t="n">
        <f aca="false">K8*1000*K41*K15*8760*K42/1000000000</f>
        <v>1.02492</v>
      </c>
      <c r="L43" s="122" t="n">
        <f aca="false">L8*1000*L41*L15*8760*L42/1000000000</f>
        <v>0.404712</v>
      </c>
      <c r="M43" s="122" t="n">
        <f aca="false">M8*1000*M41*M15*8760*M42/1000000000</f>
        <v>0.672768</v>
      </c>
      <c r="N43" s="122" t="n">
        <f aca="false">N8*1000*N41*N15*8760*N42/1000000000</f>
        <v>1.02492</v>
      </c>
      <c r="O43" s="122" t="n">
        <f aca="false">O8*1000*O41*O15*8760*O42/1000000000</f>
        <v>0.404712</v>
      </c>
      <c r="P43" s="122" t="n">
        <f aca="false">P8*1000*P41*P15*8760*P42/1000000000</f>
        <v>0.672768</v>
      </c>
      <c r="Q43" s="122" t="n">
        <f aca="false">Q8*1000*Q41*Q15*8760*Q42/1000000000</f>
        <v>1.02492</v>
      </c>
    </row>
    <row r="44" customFormat="false" ht="15" hidden="false" customHeight="true" outlineLevel="0" collapsed="false">
      <c r="A44" s="15" t="s">
        <v>115</v>
      </c>
      <c r="B44" s="16" t="s">
        <v>810</v>
      </c>
      <c r="C44" s="122" t="n">
        <f aca="false">C24*Inputs!D30</f>
        <v>0.428405388</v>
      </c>
      <c r="D44" s="122" t="n">
        <f aca="false">D24*Inputs!E30</f>
        <v>0.82530642</v>
      </c>
      <c r="E44" s="122" t="n">
        <f aca="false">E24*Inputs!F30</f>
        <v>1.364829736</v>
      </c>
      <c r="F44" s="122" t="n">
        <f aca="false">F24*Inputs!D30</f>
        <v>0.419125632</v>
      </c>
      <c r="G44" s="122" t="n">
        <f aca="false">G24*Inputs!E30</f>
        <v>0.73151688</v>
      </c>
      <c r="H44" s="122" t="n">
        <f aca="false">H24*Inputs!F30</f>
        <v>1.122989504</v>
      </c>
      <c r="I44" s="122" t="n">
        <f aca="false">I24*Inputs!D30</f>
        <v>0.56696088</v>
      </c>
      <c r="J44" s="122" t="n">
        <f aca="false">J24*Inputs!E30</f>
        <v>1.1152272</v>
      </c>
      <c r="K44" s="122" t="n">
        <f aca="false">K24*Inputs!F30</f>
        <v>2.02325636</v>
      </c>
      <c r="L44" s="122" t="n">
        <f aca="false">L24*Inputs!D30</f>
        <v>0.571866864</v>
      </c>
      <c r="M44" s="122" t="n">
        <f aca="false">M24*Inputs!E30</f>
        <v>1.04736096</v>
      </c>
      <c r="N44" s="122" t="n">
        <f aca="false">N24*Inputs!F30</f>
        <v>1.705503008</v>
      </c>
      <c r="O44" s="122" t="n">
        <f aca="false">O24*Inputs!D30</f>
        <v>0.754640712</v>
      </c>
      <c r="P44" s="122" t="n">
        <f aca="false">P24*Inputs!E30</f>
        <v>1.58168808</v>
      </c>
      <c r="Q44" s="122" t="n">
        <f aca="false">Q24*Inputs!F30</f>
        <v>2.757266064</v>
      </c>
    </row>
    <row r="45" customFormat="false" ht="15" hidden="false" customHeight="true" outlineLevel="0" collapsed="false">
      <c r="A45" s="20" t="s">
        <v>118</v>
      </c>
      <c r="B45" s="16" t="s">
        <v>810</v>
      </c>
      <c r="C45" s="122" t="n">
        <f aca="false">C32*Inputs!D31</f>
        <v>0.15318</v>
      </c>
      <c r="D45" s="122" t="n">
        <f aca="false">D32*Inputs!E31</f>
        <v>0.2534</v>
      </c>
      <c r="E45" s="122" t="n">
        <f aca="false">E32*Inputs!F31</f>
        <v>0.40465</v>
      </c>
      <c r="F45" s="122" t="n">
        <f aca="false">F32*Inputs!D31</f>
        <v>0.15318</v>
      </c>
      <c r="G45" s="122" t="n">
        <f aca="false">G32*Inputs!E31</f>
        <v>0.2534</v>
      </c>
      <c r="H45" s="122" t="n">
        <f aca="false">H32*Inputs!F31</f>
        <v>0.40465</v>
      </c>
      <c r="I45" s="122" t="n">
        <f aca="false">I32*Inputs!D31</f>
        <v>0.15318</v>
      </c>
      <c r="J45" s="122" t="n">
        <f aca="false">J32*Inputs!E31</f>
        <v>0.2534</v>
      </c>
      <c r="K45" s="122" t="n">
        <f aca="false">K32*Inputs!F31</f>
        <v>0.40465</v>
      </c>
      <c r="L45" s="122" t="n">
        <f aca="false">L32*Inputs!D31</f>
        <v>0.15318</v>
      </c>
      <c r="M45" s="122" t="n">
        <f aca="false">M32*Inputs!E31</f>
        <v>0.2534</v>
      </c>
      <c r="N45" s="122" t="n">
        <f aca="false">N32*Inputs!F31</f>
        <v>0.40465</v>
      </c>
      <c r="O45" s="122" t="n">
        <f aca="false">O32*Inputs!D31</f>
        <v>0.15318</v>
      </c>
      <c r="P45" s="122" t="n">
        <f aca="false">P32*Inputs!E31</f>
        <v>0.2534</v>
      </c>
      <c r="Q45" s="122" t="n">
        <f aca="false">Q32*Inputs!F31</f>
        <v>0.40465</v>
      </c>
    </row>
    <row r="46" customFormat="false" ht="15" hidden="false" customHeight="true" outlineLevel="0" collapsed="false">
      <c r="A46" s="20" t="s">
        <v>830</v>
      </c>
      <c r="B46" s="16" t="s">
        <v>810</v>
      </c>
      <c r="C46" s="122" t="n">
        <f aca="false">(Inputs!D32*C8/1000+Inputs!D33*C8/1000+Inputs!D34*C8)/1000</f>
        <v>0.24</v>
      </c>
      <c r="D46" s="122" t="n">
        <f aca="false">(Inputs!E32*D8/1000+Inputs!E33*D8/1000+Inputs!E34*D8)/1000</f>
        <v>0.325</v>
      </c>
      <c r="E46" s="122" t="n">
        <f aca="false">(Inputs!F32*E8/1000+Inputs!F33*E8/1000+Inputs!F34*E8)/1000</f>
        <v>0.41</v>
      </c>
      <c r="F46" s="122" t="n">
        <f aca="false">(Inputs!D32*F8/1000+Inputs!D33*F8/1000+Inputs!D34*F8)/1000</f>
        <v>0.24</v>
      </c>
      <c r="G46" s="122" t="n">
        <f aca="false">(Inputs!E32*G8/1000+Inputs!E33*G8/1000+Inputs!E34*G8)/1000</f>
        <v>0.325</v>
      </c>
      <c r="H46" s="122" t="n">
        <f aca="false">(Inputs!F32*H8/1000+Inputs!F33*H8/1000+Inputs!F34*H8)/1000</f>
        <v>0.41</v>
      </c>
      <c r="I46" s="122" t="n">
        <f aca="false">(Inputs!D32*I8/1000+Inputs!D33*I8/1000+Inputs!D34*I8)/1000</f>
        <v>0.24</v>
      </c>
      <c r="J46" s="122" t="n">
        <f aca="false">(Inputs!E32*J8/1000+Inputs!E33*J8/1000+Inputs!E34*J8)/1000</f>
        <v>0.325</v>
      </c>
      <c r="K46" s="122" t="n">
        <f aca="false">(Inputs!F32*K8/1000+Inputs!F33*K8/1000+Inputs!F34*K8)/1000</f>
        <v>0.41</v>
      </c>
      <c r="L46" s="122" t="n">
        <f aca="false">(Inputs!D32*L8/1000+Inputs!D33*L8/1000+Inputs!D34*L8)/1000</f>
        <v>0.24</v>
      </c>
      <c r="M46" s="122" t="n">
        <f aca="false">(Inputs!E32*M8/1000+Inputs!E33*M8/1000+Inputs!E34*M8)/1000</f>
        <v>0.325</v>
      </c>
      <c r="N46" s="122" t="n">
        <f aca="false">(Inputs!F32*N8/1000+Inputs!F33*N8/1000+Inputs!F34*N8)/1000</f>
        <v>0.41</v>
      </c>
      <c r="O46" s="122" t="n">
        <f aca="false">(Inputs!D32*O8/1000+Inputs!D33*O8/1000+Inputs!D34*O8)/1000</f>
        <v>0.24</v>
      </c>
      <c r="P46" s="122" t="n">
        <f aca="false">(Inputs!E32*P8/1000+Inputs!E33*P8/1000+Inputs!E34*P8)/1000</f>
        <v>0.325</v>
      </c>
      <c r="Q46" s="122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129</v>
      </c>
      <c r="B47" s="16" t="s">
        <v>810</v>
      </c>
      <c r="C47" s="122" t="n">
        <f aca="false">C33*Inputs!D35</f>
        <v>0.0948968082</v>
      </c>
      <c r="D47" s="122" t="n">
        <f aca="false">D33*Inputs!E35</f>
        <v>0.20090107</v>
      </c>
      <c r="E47" s="122" t="n">
        <f aca="false">E33*Inputs!F35</f>
        <v>0.4024539472</v>
      </c>
      <c r="F47" s="122" t="n">
        <f aca="false">F33*Inputs!D35</f>
        <v>0.0935048448</v>
      </c>
      <c r="G47" s="122" t="n">
        <f aca="false">G33*Inputs!E35</f>
        <v>0.18526948</v>
      </c>
      <c r="H47" s="122" t="n">
        <f aca="false">H33*Inputs!F35</f>
        <v>0.3540859008</v>
      </c>
      <c r="I47" s="122" t="n">
        <f aca="false">I33*Inputs!D35</f>
        <v>0.115680132</v>
      </c>
      <c r="J47" s="122" t="n">
        <f aca="false">J33*Inputs!E35</f>
        <v>0.2492212</v>
      </c>
      <c r="K47" s="122" t="n">
        <f aca="false">K33*Inputs!F35</f>
        <v>0.534139272</v>
      </c>
      <c r="L47" s="122" t="n">
        <f aca="false">L33*Inputs!D35</f>
        <v>0.1164160296</v>
      </c>
      <c r="M47" s="122" t="n">
        <f aca="false">M33*Inputs!E35</f>
        <v>0.23791016</v>
      </c>
      <c r="N47" s="122" t="n">
        <f aca="false">N33*Inputs!F35</f>
        <v>0.4705886016</v>
      </c>
      <c r="O47" s="122" t="n">
        <f aca="false">O33*Inputs!D35</f>
        <v>0.1438321068</v>
      </c>
      <c r="P47" s="122" t="n">
        <f aca="false">P33*Inputs!E35</f>
        <v>0.32696468</v>
      </c>
      <c r="Q47" s="122" t="n">
        <f aca="false">Q33*Inputs!F35</f>
        <v>0.6809412128</v>
      </c>
    </row>
    <row r="48" customFormat="false" ht="15" hidden="false" customHeight="true" outlineLevel="0" collapsed="false">
      <c r="A48" s="20" t="s">
        <v>831</v>
      </c>
      <c r="B48" s="16" t="s">
        <v>810</v>
      </c>
      <c r="C48" s="122" t="n">
        <f aca="false">C43+C44+C45+C46+C47</f>
        <v>1.3211941962</v>
      </c>
      <c r="D48" s="122" t="n">
        <f aca="false">D43+D44+D45+D46+D47</f>
        <v>2.27737549</v>
      </c>
      <c r="E48" s="122" t="n">
        <f aca="false">E43+E44+E45+E46+E47</f>
        <v>3.6068536832</v>
      </c>
      <c r="F48" s="122" t="n">
        <f aca="false">F43+F44+F45+F46+F47</f>
        <v>1.3105224768</v>
      </c>
      <c r="G48" s="122" t="n">
        <f aca="false">G43+G44+G45+G46+G47</f>
        <v>2.16795436</v>
      </c>
      <c r="H48" s="122" t="n">
        <f aca="false">H43+H44+H45+H46+H47</f>
        <v>3.3166454048</v>
      </c>
      <c r="I48" s="122" t="n">
        <f aca="false">I43+I44+I45+I46+I47</f>
        <v>1.480533012</v>
      </c>
      <c r="J48" s="122" t="n">
        <f aca="false">J43+J44+J45+J46+J47</f>
        <v>2.6156164</v>
      </c>
      <c r="K48" s="122" t="n">
        <f aca="false">K43+K44+K45+K46+K47</f>
        <v>4.396965632</v>
      </c>
      <c r="L48" s="122" t="n">
        <f aca="false">L43+L44+L45+L46+L47</f>
        <v>1.4861748936</v>
      </c>
      <c r="M48" s="122" t="n">
        <f aca="false">M43+M44+M45+M46+M47</f>
        <v>2.53643912</v>
      </c>
      <c r="N48" s="122" t="n">
        <f aca="false">N43+N44+N45+N46+N47</f>
        <v>4.0156616096</v>
      </c>
      <c r="O48" s="122" t="n">
        <f aca="false">O43+O44+O45+O46+O47</f>
        <v>1.6963648188</v>
      </c>
      <c r="P48" s="122" t="n">
        <f aca="false">P43+P44+P45+P46+P47</f>
        <v>3.15982076</v>
      </c>
      <c r="Q48" s="122" t="n">
        <f aca="false">Q43+Q44+Q45+Q46+Q47</f>
        <v>5.2777772768</v>
      </c>
    </row>
    <row r="49" customFormat="false" ht="15" hidden="false" customHeight="true" outlineLevel="0" collapsed="false">
      <c r="A49" s="20" t="s">
        <v>832</v>
      </c>
      <c r="B49" s="16" t="s">
        <v>810</v>
      </c>
      <c r="C49" s="123" t="n">
        <f aca="false">C39+C40+C48</f>
        <v>5.39897242953333</v>
      </c>
      <c r="D49" s="123" t="n">
        <f aca="false">D39+D40+D48</f>
        <v>7.49682782333333</v>
      </c>
      <c r="E49" s="123" t="n">
        <f aca="false">E39+E40+E48</f>
        <v>12.9492728665333</v>
      </c>
      <c r="F49" s="123" t="n">
        <f aca="false">F39+F40+F48</f>
        <v>5.31096941013333</v>
      </c>
      <c r="G49" s="123" t="n">
        <f aca="false">G39+G40+G48</f>
        <v>6.86635369333333</v>
      </c>
      <c r="H49" s="123" t="n">
        <f aca="false">H39+H40+H48</f>
        <v>11.1475631381333</v>
      </c>
      <c r="I49" s="123" t="n">
        <f aca="false">I39+I40+I48</f>
        <v>6.71294034533333</v>
      </c>
      <c r="J49" s="123" t="n">
        <f aca="false">J39+J40+J48</f>
        <v>9.44573973333333</v>
      </c>
      <c r="K49" s="123" t="n">
        <f aca="false">K39+K40+K48</f>
        <v>17.8545512153333</v>
      </c>
      <c r="L49" s="123" t="n">
        <f aca="false">L39+L40+L48</f>
        <v>6.75946542693333</v>
      </c>
      <c r="M49" s="123" t="n">
        <f aca="false">M39+M40+M48</f>
        <v>8.98952778666667</v>
      </c>
      <c r="N49" s="123" t="n">
        <f aca="false">N39+N40+N48</f>
        <v>15.4872887429333</v>
      </c>
      <c r="O49" s="123" t="n">
        <f aca="false">O39+O40+O48</f>
        <v>8.49277075213334</v>
      </c>
      <c r="P49" s="123" t="n">
        <f aca="false">P39+P40+P48</f>
        <v>12.5813934266667</v>
      </c>
      <c r="Q49" s="123" t="n">
        <f aca="false">Q39+Q40+Q48</f>
        <v>23.3229235101333</v>
      </c>
    </row>
    <row r="50" customFormat="false" ht="15" hidden="false" customHeight="true" outlineLevel="0" collapsed="false">
      <c r="A50" s="25" t="s">
        <v>833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834</v>
      </c>
      <c r="B51" s="16" t="s">
        <v>69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835</v>
      </c>
      <c r="B52" s="16" t="s">
        <v>73</v>
      </c>
      <c r="C52" s="127" t="n">
        <f aca="false">C51/(1-(1+C51)^(-C38))</f>
        <v>0.21631538622901</v>
      </c>
      <c r="D52" s="127" t="n">
        <f aca="false">D51/(1-(1+D51)^(-D38))</f>
        <v>0.229607380362667</v>
      </c>
      <c r="E52" s="127" t="n">
        <f aca="false">E51/(1-(1+E51)^(-E38))</f>
        <v>0.336194197406613</v>
      </c>
      <c r="F52" s="127" t="n">
        <f aca="false">F51/(1-(1+F51)^(-F38))</f>
        <v>0.21631538622901</v>
      </c>
      <c r="G52" s="127" t="n">
        <f aca="false">G51/(1-(1+G51)^(-G38))</f>
        <v>0.229607380362667</v>
      </c>
      <c r="H52" s="127" t="n">
        <f aca="false">H51/(1-(1+H51)^(-H38))</f>
        <v>0.336194197406613</v>
      </c>
      <c r="I52" s="127" t="n">
        <f aca="false">I51/(1-(1+I51)^(-I38))</f>
        <v>0.21631538622901</v>
      </c>
      <c r="J52" s="127" t="n">
        <f aca="false">J51/(1-(1+J51)^(-J38))</f>
        <v>0.229607380362667</v>
      </c>
      <c r="K52" s="127" t="n">
        <f aca="false">K51/(1-(1+K51)^(-K38))</f>
        <v>0.336194197406613</v>
      </c>
      <c r="L52" s="127" t="n">
        <f aca="false">L51/(1-(1+L51)^(-L38))</f>
        <v>0.21631538622901</v>
      </c>
      <c r="M52" s="127" t="n">
        <f aca="false">M51/(1-(1+M51)^(-M38))</f>
        <v>0.229607380362667</v>
      </c>
      <c r="N52" s="127" t="n">
        <f aca="false">N51/(1-(1+N51)^(-N38))</f>
        <v>0.336194197406613</v>
      </c>
      <c r="O52" s="127" t="n">
        <f aca="false">O51/(1-(1+O51)^(-O38))</f>
        <v>0.21631538622901</v>
      </c>
      <c r="P52" s="127" t="n">
        <f aca="false">P51/(1-(1+P51)^(-P38))</f>
        <v>0.229607380362667</v>
      </c>
      <c r="Q52" s="127" t="n">
        <f aca="false">Q51/(1-(1+Q51)^(-Q38))</f>
        <v>0.336194197406613</v>
      </c>
    </row>
    <row r="53" customFormat="false" ht="15" hidden="false" customHeight="true" outlineLevel="0" collapsed="false">
      <c r="A53" s="15" t="s">
        <v>836</v>
      </c>
      <c r="B53" s="16" t="s">
        <v>810</v>
      </c>
      <c r="C53" s="122" t="n">
        <f aca="false">C24*C52</f>
        <v>4.63353384839044</v>
      </c>
      <c r="D53" s="122" t="n">
        <f aca="false">D24*D52</f>
        <v>6.31654816975637</v>
      </c>
      <c r="E53" s="122" t="n">
        <f aca="false">E24*E52</f>
        <v>11.47119594228</v>
      </c>
      <c r="F53" s="122" t="n">
        <f aca="false">F24*F52</f>
        <v>4.53316614822789</v>
      </c>
      <c r="G53" s="122" t="n">
        <f aca="false">G24*G52</f>
        <v>5.59872248359572</v>
      </c>
      <c r="H53" s="122" t="n">
        <f aca="false">H24*H52</f>
        <v>9.43856387483327</v>
      </c>
      <c r="I53" s="122" t="n">
        <f aca="false">I24*I52</f>
        <v>6.13211808669696</v>
      </c>
      <c r="J53" s="122" t="n">
        <f aca="false">J24*J52</f>
        <v>8.53547986337308</v>
      </c>
      <c r="K53" s="122" t="n">
        <f aca="false">K24*K52</f>
        <v>17.0051762024507</v>
      </c>
      <c r="L53" s="122" t="n">
        <f aca="false">L24*L52</f>
        <v>6.18518007788663</v>
      </c>
      <c r="M53" s="122" t="n">
        <f aca="false">M24*M52</f>
        <v>8.01606021065761</v>
      </c>
      <c r="N53" s="122" t="n">
        <f aca="false">N24*N52</f>
        <v>14.3345053737281</v>
      </c>
      <c r="O53" s="122" t="n">
        <f aca="false">O24*O52</f>
        <v>8.16201985402074</v>
      </c>
      <c r="P53" s="122" t="n">
        <f aca="false">P24*P52</f>
        <v>12.1055752199886</v>
      </c>
      <c r="Q53" s="122" t="n">
        <f aca="false">Q24*Q52</f>
        <v>23.1744212855743</v>
      </c>
    </row>
    <row r="54" customFormat="false" ht="15" hidden="false" customHeight="true" outlineLevel="0" collapsed="false">
      <c r="A54" s="20" t="s">
        <v>837</v>
      </c>
      <c r="B54" s="16" t="s">
        <v>810</v>
      </c>
      <c r="C54" s="122" t="n">
        <f aca="false">(C26*C51/(1-(1+C51)^(-Inputs!D24))+C27*C51/(1-(1+C51)^(-Inputs!D25))+C28*C51/(1-(1+C51)^(-Inputs!D26))+C29*C51/(1-(1+C51)^(-Inputs!D27)))*(1+C30)+C25*C51</f>
        <v>1.04531526579147</v>
      </c>
      <c r="D54" s="122" t="n">
        <f aca="false">(D26*D51/(1-(1+D51)^(-Inputs!E24))+D27*D51/(1-(1+D51)^(-Inputs!E25))+D28*D51/(1-(1+D51)^(-Inputs!E26))+D29*D51/(1-(1+D51)^(-Inputs!E27)))*(1+D30)+D25*D51</f>
        <v>1.50187163616098</v>
      </c>
      <c r="E54" s="122" t="n">
        <f aca="false">(E26*E51/(1-(1+E51)^(-Inputs!F24))+E27*E51/(1-(1+E51)^(-Inputs!F25))+E28*E51/(1-(1+E51)^(-Inputs!F26))+E29*E51/(1-(1+E51)^(-Inputs!F27)))*(1+E30)+E25*E51</f>
        <v>2.32792243821144</v>
      </c>
      <c r="F54" s="122" t="n">
        <f aca="false">(F26*F51/(1-(1+F51)^(-Inputs!D24))+F27*F51/(1-(1+F51)^(-Inputs!D25))+F28*F51/(1-(1+F51)^(-Inputs!D26))+F29*F51/(1-(1+F51)^(-Inputs!D27)))*(1+F30)+F25*F51</f>
        <v>1.04531526579147</v>
      </c>
      <c r="G54" s="122" t="n">
        <f aca="false">(G26*G51/(1-(1+G51)^(-Inputs!E24))+G27*G51/(1-(1+G51)^(-Inputs!E25))+G28*G51/(1-(1+G51)^(-Inputs!E26))+G29*G51/(1-(1+G51)^(-Inputs!E27)))*(1+G30)+G25*G51</f>
        <v>1.50187163616098</v>
      </c>
      <c r="H54" s="122" t="n">
        <f aca="false">(H26*H51/(1-(1+H51)^(-Inputs!F24))+H27*H51/(1-(1+H51)^(-Inputs!F25))+H28*H51/(1-(1+H51)^(-Inputs!F26))+H29*H51/(1-(1+H51)^(-Inputs!F27)))*(1+H30)+H25*H51</f>
        <v>2.32792243821144</v>
      </c>
      <c r="I54" s="122" t="n">
        <f aca="false">(I26*I51/(1-(1+I51)^(-Inputs!D24))+I27*I51/(1-(1+I51)^(-Inputs!D25))+I28*I51/(1-(1+I51)^(-Inputs!D26))+I29*I51/(1-(1+I51)^(-Inputs!D27)))*(1+I30)+I25*I51</f>
        <v>1.04531526579147</v>
      </c>
      <c r="J54" s="122" t="n">
        <f aca="false">(J26*J51/(1-(1+J51)^(-Inputs!E24))+J27*J51/(1-(1+J51)^(-Inputs!E25))+J28*J51/(1-(1+J51)^(-Inputs!E26))+J29*J51/(1-(1+J51)^(-Inputs!E27)))*(1+J30)+J25*J51</f>
        <v>1.50187163616098</v>
      </c>
      <c r="K54" s="122" t="n">
        <f aca="false">(K26*K51/(1-(1+K51)^(-Inputs!F24))+K27*K51/(1-(1+K51)^(-Inputs!F25))+K28*K51/(1-(1+K51)^(-Inputs!F26))+K29*K51/(1-(1+K51)^(-Inputs!F27)))*(1+K30)+K25*K51</f>
        <v>2.32792243821144</v>
      </c>
      <c r="L54" s="122" t="n">
        <f aca="false">(L26*L51/(1-(1+L51)^(-Inputs!D24))+L27*L51/(1-(1+L51)^(-Inputs!D25))+L28*L51/(1-(1+L51)^(-Inputs!D26))+L29*L51/(1-(1+L51)^(-Inputs!D27)))*(1+L30)+L25*L51</f>
        <v>1.04531526579147</v>
      </c>
      <c r="M54" s="122" t="n">
        <f aca="false">(M26*M51/(1-(1+M51)^(-Inputs!E24))+M27*M51/(1-(1+M51)^(-Inputs!E25))+M28*M51/(1-(1+M51)^(-Inputs!E26))+M29*M51/(1-(1+M51)^(-Inputs!E27)))*(1+M30)+M25*M51</f>
        <v>1.50187163616098</v>
      </c>
      <c r="N54" s="122" t="n">
        <f aca="false">(N26*N51/(1-(1+N51)^(-Inputs!F24))+N27*N51/(1-(1+N51)^(-Inputs!F25))+N28*N51/(1-(1+N51)^(-Inputs!F26))+N29*N51/(1-(1+N51)^(-Inputs!F27)))*(1+N30)+N25*N51</f>
        <v>2.32792243821144</v>
      </c>
      <c r="O54" s="122" t="n">
        <f aca="false">(O26*O51/(1-(1+O51)^(-Inputs!D24))+O27*O51/(1-(1+O51)^(-Inputs!D25))+O28*O51/(1-(1+O51)^(-Inputs!D26))+O29*O51/(1-(1+O51)^(-Inputs!D27)))*(1+O30)+O25*O51</f>
        <v>1.04531526579147</v>
      </c>
      <c r="P54" s="122" t="n">
        <f aca="false">(P26*P51/(1-(1+P51)^(-Inputs!E24))+P27*P51/(1-(1+P51)^(-Inputs!E25))+P28*P51/(1-(1+P51)^(-Inputs!E26))+P29*P51/(1-(1+P51)^(-Inputs!E27)))*(1+P30)+P25*P51</f>
        <v>1.50187163616098</v>
      </c>
      <c r="Q54" s="12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838</v>
      </c>
      <c r="B55" s="16" t="s">
        <v>810</v>
      </c>
      <c r="C55" s="123" t="n">
        <f aca="false">C53+C54+C48</f>
        <v>7.0000433103819</v>
      </c>
      <c r="D55" s="123" t="n">
        <f aca="false">D53+D54+D48</f>
        <v>10.0957952959174</v>
      </c>
      <c r="E55" s="123" t="n">
        <f aca="false">E53+E54+E48</f>
        <v>17.4059720636914</v>
      </c>
      <c r="F55" s="123" t="n">
        <f aca="false">F53+F54+F48</f>
        <v>6.88900389081935</v>
      </c>
      <c r="G55" s="123" t="n">
        <f aca="false">G53+G54+G48</f>
        <v>9.2685484797567</v>
      </c>
      <c r="H55" s="123" t="n">
        <f aca="false">H53+H54+H48</f>
        <v>15.0831317178447</v>
      </c>
      <c r="I55" s="123" t="n">
        <f aca="false">I53+I54+I48</f>
        <v>8.65796636448843</v>
      </c>
      <c r="J55" s="123" t="n">
        <f aca="false">J53+J54+J48</f>
        <v>12.6529678995341</v>
      </c>
      <c r="K55" s="123" t="n">
        <f aca="false">K53+K54+K48</f>
        <v>23.7300642726621</v>
      </c>
      <c r="L55" s="123" t="n">
        <f aca="false">L53+L54+L48</f>
        <v>8.7166702372781</v>
      </c>
      <c r="M55" s="123" t="n">
        <f aca="false">M53+M54+M48</f>
        <v>12.0543709668186</v>
      </c>
      <c r="N55" s="123" t="n">
        <f aca="false">N53+N54+N48</f>
        <v>20.6780894215396</v>
      </c>
      <c r="O55" s="123" t="n">
        <f aca="false">O53+O54+O48</f>
        <v>10.9036999386122</v>
      </c>
      <c r="P55" s="123" t="n">
        <f aca="false">P53+P54+P48</f>
        <v>16.7672676161495</v>
      </c>
      <c r="Q55" s="123" t="n">
        <f aca="false">Q53+Q54+Q48</f>
        <v>30.7801210005857</v>
      </c>
    </row>
    <row r="56" customFormat="false" ht="15" hidden="false" customHeight="true" outlineLevel="0" collapsed="false">
      <c r="A56" s="25" t="s">
        <v>839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840</v>
      </c>
      <c r="B57" s="16" t="s">
        <v>783</v>
      </c>
      <c r="C57" s="122" t="n">
        <f aca="false">C49*1000000000/(C14*8760)</f>
        <v>0.858328487231628</v>
      </c>
      <c r="D57" s="122" t="n">
        <f aca="false">D49*1000000000/(D14*8760)</f>
        <v>1.19184547960247</v>
      </c>
      <c r="E57" s="122" t="n">
        <f aca="false">E49*1000000000/(E14*8760)</f>
        <v>2.058675041473</v>
      </c>
      <c r="F57" s="122" t="n">
        <f aca="false">F49*1000000000/(F14*8760)</f>
        <v>1.19000660844732</v>
      </c>
      <c r="G57" s="122" t="n">
        <f aca="false">G49*1000000000/(G14*8760)</f>
        <v>1.53851503181567</v>
      </c>
      <c r="H57" s="122" t="n">
        <f aca="false">H49*1000000000/(H14*8760)</f>
        <v>2.49778765005716</v>
      </c>
      <c r="I57" s="122" t="n">
        <f aca="false">I49*1000000000/(I14*8760)</f>
        <v>1.5850032907665</v>
      </c>
      <c r="J57" s="122" t="n">
        <f aca="false">J49*1000000000/(J14*8760)</f>
        <v>2.23024901025153</v>
      </c>
      <c r="K57" s="122" t="n">
        <f aca="false">K49*1000000000/(K14*8760)</f>
        <v>4.21566720031043</v>
      </c>
      <c r="L57" s="122" t="n">
        <f aca="false">L49*1000000000/(L14*8760)</f>
        <v>2.64488206576388</v>
      </c>
      <c r="M57" s="122" t="n">
        <f aca="false">M49*1000000000/(M14*8760)</f>
        <v>3.51747354574866</v>
      </c>
      <c r="N57" s="122" t="n">
        <f aca="false">N49*1000000000/(N14*8760)</f>
        <v>6.05995439820971</v>
      </c>
      <c r="O57" s="122" t="n">
        <f aca="false">O49*1000000000/(O14*8760)</f>
        <v>4.39178072269974</v>
      </c>
      <c r="P57" s="122" t="n">
        <f aca="false">P49*1000000000/(P14*8760)</f>
        <v>6.50608885234023</v>
      </c>
      <c r="Q57" s="122" t="n">
        <f aca="false">Q49*1000000000/(Q14*8760)</f>
        <v>12.0607477651595</v>
      </c>
    </row>
    <row r="58" customFormat="false" ht="15" hidden="false" customHeight="true" outlineLevel="0" collapsed="false">
      <c r="A58" s="20" t="s">
        <v>841</v>
      </c>
      <c r="B58" s="16" t="s">
        <v>783</v>
      </c>
      <c r="C58" s="123" t="n">
        <f aca="false">C55*1000000000/(C14*8760)</f>
        <v>1.11286669150028</v>
      </c>
      <c r="D58" s="123" t="n">
        <f aca="false">D55*1000000000/(D14*8760)</f>
        <v>1.60502925637165</v>
      </c>
      <c r="E58" s="123" t="n">
        <f aca="false">E55*1000000000/(E14*8760)</f>
        <v>2.76720095633376</v>
      </c>
      <c r="F58" s="123" t="n">
        <f aca="false">F55*1000000000/(F14*8760)</f>
        <v>1.54359016643037</v>
      </c>
      <c r="G58" s="123" t="n">
        <f aca="false">G55*1000000000/(G14*8760)</f>
        <v>2.07676472784428</v>
      </c>
      <c r="H58" s="123" t="n">
        <f aca="false">H55*1000000000/(H14*8760)</f>
        <v>3.37961397142862</v>
      </c>
      <c r="I58" s="123" t="n">
        <f aca="false">I55*1000000000/(I14*8760)</f>
        <v>2.04424655562441</v>
      </c>
      <c r="J58" s="123" t="n">
        <f aca="false">J55*1000000000/(J14*8760)</f>
        <v>2.98751288214055</v>
      </c>
      <c r="K58" s="123" t="n">
        <f aca="false">K55*1000000000/(K14*8760)</f>
        <v>5.6029441686335</v>
      </c>
      <c r="L58" s="123" t="n">
        <f aca="false">L55*1000000000/(L14*8760)</f>
        <v>3.41070829238845</v>
      </c>
      <c r="M58" s="123" t="n">
        <f aca="false">M55*1000000000/(M14*8760)</f>
        <v>4.71670281161092</v>
      </c>
      <c r="N58" s="123" t="n">
        <f aca="false">N55*1000000000/(N14*8760)</f>
        <v>8.09104040200768</v>
      </c>
      <c r="O58" s="123" t="n">
        <f aca="false">O55*1000000000/(O14*8760)</f>
        <v>5.63852017134344</v>
      </c>
      <c r="P58" s="123" t="n">
        <f aca="false">P55*1000000000/(P14*8760)</f>
        <v>8.6706876752155</v>
      </c>
      <c r="Q58" s="123" t="n">
        <f aca="false">Q55*1000000000/(Q14*8760)</f>
        <v>15.9170129511363</v>
      </c>
    </row>
    <row r="59" customFormat="false" ht="15" hidden="false" customHeight="true" outlineLevel="0" collapsed="false">
      <c r="A59" s="20" t="s">
        <v>842</v>
      </c>
      <c r="B59" s="16" t="s">
        <v>843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111.138491982987</v>
      </c>
      <c r="G59" s="17" t="n">
        <f aca="false">G55*1000000000/(G12*8760)</f>
        <v>149.527060404788</v>
      </c>
      <c r="H59" s="17" t="n">
        <f aca="false">H55*1000000000/(H12*8760)</f>
        <v>243.33220594286</v>
      </c>
      <c r="I59" s="17" t="n">
        <f aca="false">I55*1000000000/(I12*8760)</f>
        <v>147.185752004958</v>
      </c>
      <c r="J59" s="17" t="n">
        <f aca="false">J55*1000000000/(J12*8760)</f>
        <v>215.10092751412</v>
      </c>
      <c r="K59" s="17" t="n">
        <f aca="false">K55*1000000000/(K12*8760)</f>
        <v>403.411980141612</v>
      </c>
      <c r="L59" s="17" t="n">
        <f aca="false">L55*1000000000/(L12*8760)</f>
        <v>245.570997051969</v>
      </c>
      <c r="M59" s="17" t="n">
        <f aca="false">M55*1000000000/(M12*8760)</f>
        <v>339.602602435986</v>
      </c>
      <c r="N59" s="17" t="n">
        <f aca="false">N55*1000000000/(N12*8760)</f>
        <v>582.554908944553</v>
      </c>
      <c r="O59" s="17" t="n">
        <f aca="false">O55*1000000000/(O12*8760)</f>
        <v>811.946904673456</v>
      </c>
      <c r="P59" s="17" t="n">
        <f aca="false">P55*1000000000/(P12*8760)</f>
        <v>1248.57902523103</v>
      </c>
      <c r="Q59" s="17" t="n">
        <f aca="false">Q55*1000000000/(Q12*8760)</f>
        <v>2292.04986496363</v>
      </c>
    </row>
    <row r="60" customFormat="false" ht="15" hidden="false" customHeight="true" outlineLevel="0" collapsed="false">
      <c r="A60" s="20" t="s">
        <v>844</v>
      </c>
      <c r="B60" s="16" t="s">
        <v>845</v>
      </c>
      <c r="C60" s="122" t="n">
        <f aca="false">C8*C41*C15*8760/1000000</f>
        <v>6.7452</v>
      </c>
      <c r="D60" s="122" t="n">
        <f aca="false">D8*D41*D15*8760/1000000</f>
        <v>8.4096</v>
      </c>
      <c r="E60" s="122" t="n">
        <f aca="false">E8*E41*E15*8760/1000000</f>
        <v>10.2492</v>
      </c>
      <c r="F60" s="122" t="n">
        <f aca="false">F8*F41*F15*8760/1000000</f>
        <v>6.7452</v>
      </c>
      <c r="G60" s="122" t="n">
        <f aca="false">G8*G41*G15*8760/1000000</f>
        <v>8.4096</v>
      </c>
      <c r="H60" s="122" t="n">
        <f aca="false">H8*H41*H15*8760/1000000</f>
        <v>10.2492</v>
      </c>
      <c r="I60" s="122" t="n">
        <f aca="false">I8*I41*I15*8760/1000000</f>
        <v>6.7452</v>
      </c>
      <c r="J60" s="122" t="n">
        <f aca="false">J8*J41*J15*8760/1000000</f>
        <v>8.4096</v>
      </c>
      <c r="K60" s="122" t="n">
        <f aca="false">K8*K41*K15*8760/1000000</f>
        <v>10.2492</v>
      </c>
      <c r="L60" s="122" t="n">
        <f aca="false">L8*L41*L15*8760/1000000</f>
        <v>6.7452</v>
      </c>
      <c r="M60" s="122" t="n">
        <f aca="false">M8*M41*M15*8760/1000000</f>
        <v>8.4096</v>
      </c>
      <c r="N60" s="122" t="n">
        <f aca="false">N8*N41*N15*8760/1000000</f>
        <v>10.2492</v>
      </c>
      <c r="O60" s="122" t="n">
        <f aca="false">O8*O41*O15*8760/1000000</f>
        <v>6.7452</v>
      </c>
      <c r="P60" s="122" t="n">
        <f aca="false">P8*P41*P15*8760/1000000</f>
        <v>8.4096</v>
      </c>
      <c r="Q60" s="122" t="n">
        <f aca="false">Q8*Q41*Q15*8760/1000000</f>
        <v>10.2492</v>
      </c>
    </row>
    <row r="61" customFormat="false" ht="15" hidden="false" customHeight="true" outlineLevel="0" collapsed="false">
      <c r="A61" s="20" t="s">
        <v>846</v>
      </c>
      <c r="B61" s="16" t="s">
        <v>69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0.809766042004059</v>
      </c>
      <c r="G61" s="22" t="n">
        <f aca="false">(G53+G54)/G55</f>
        <v>0.766095590400698</v>
      </c>
      <c r="H61" s="22" t="n">
        <f aca="false">(H53+H54)/H55</f>
        <v>0.780108967630634</v>
      </c>
      <c r="I61" s="22" t="n">
        <f aca="false">(I53+I54)/I55</f>
        <v>0.828997601784114</v>
      </c>
      <c r="J61" s="22" t="n">
        <f aca="false">(J53+J54)/J55</f>
        <v>0.793280404979426</v>
      </c>
      <c r="K61" s="22" t="n">
        <f aca="false">(K53+K54)/K55</f>
        <v>0.814709071940211</v>
      </c>
      <c r="L61" s="22" t="n">
        <f aca="false">(L53+L54)/L55</f>
        <v>0.829501994093552</v>
      </c>
      <c r="M61" s="22" t="n">
        <f aca="false">(M53+M54)/M55</f>
        <v>0.789583452593095</v>
      </c>
      <c r="N61" s="22" t="n">
        <f aca="false">(N53+N54)/N55</f>
        <v>0.805801129507785</v>
      </c>
      <c r="O61" s="22" t="n">
        <f aca="false">(O53+O54)/O55</f>
        <v>0.844423009771864</v>
      </c>
      <c r="P61" s="22" t="n">
        <f aca="false">(P53+P54)/P55</f>
        <v>0.811548259839511</v>
      </c>
      <c r="Q61" s="22" t="n">
        <f aca="false">(Q53+Q54)/Q55</f>
        <v>0.828532926277334</v>
      </c>
    </row>
    <row r="62" customFormat="false" ht="15" hidden="false" customHeight="true" outlineLevel="0" collapsed="false">
      <c r="A62" s="20" t="s">
        <v>847</v>
      </c>
      <c r="B62" s="16" t="s">
        <v>69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0.0587475354077446</v>
      </c>
      <c r="G62" s="22" t="n">
        <f aca="false">G43/G55</f>
        <v>0.0725861230018252</v>
      </c>
      <c r="H62" s="22" t="n">
        <f aca="false">H43/H55</f>
        <v>0.0679514055285632</v>
      </c>
      <c r="I62" s="22" t="n">
        <f aca="false">I43/I55</f>
        <v>0.0467444643421081</v>
      </c>
      <c r="J62" s="22" t="n">
        <f aca="false">J43/J55</f>
        <v>0.053170766364212</v>
      </c>
      <c r="K62" s="22" t="n">
        <f aca="false">K43/K55</f>
        <v>0.043190780615826</v>
      </c>
      <c r="L62" s="22" t="n">
        <f aca="false">L43/L55</f>
        <v>0.0464296559332015</v>
      </c>
      <c r="M62" s="22" t="n">
        <f aca="false">M43/M55</f>
        <v>0.0558111245996902</v>
      </c>
      <c r="N62" s="22" t="n">
        <f aca="false">N43/N55</f>
        <v>0.0495655076784986</v>
      </c>
      <c r="O62" s="22" t="n">
        <f aca="false">O43/O55</f>
        <v>0.0371169421644513</v>
      </c>
      <c r="P62" s="22" t="n">
        <f aca="false">P43/P55</f>
        <v>0.0401238899146584</v>
      </c>
      <c r="Q62" s="22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9" t="s">
        <v>848</v>
      </c>
    </row>
    <row r="2" customFormat="false" ht="15" hidden="false" customHeight="false" outlineLevel="0" collapsed="false">
      <c r="A2" s="50" t="s">
        <v>849</v>
      </c>
    </row>
    <row r="4" customFormat="false" ht="15" hidden="false" customHeight="false" outlineLevel="0" collapsed="false">
      <c r="A4" s="10" t="s">
        <v>276</v>
      </c>
      <c r="B4" s="10" t="s">
        <v>53</v>
      </c>
      <c r="C4" s="10" t="s">
        <v>277</v>
      </c>
      <c r="D4" s="10" t="s">
        <v>57</v>
      </c>
      <c r="H4" s="10" t="s">
        <v>278</v>
      </c>
    </row>
    <row r="5" customFormat="false" ht="15" hidden="false" customHeight="false" outlineLevel="0" collapsed="false">
      <c r="A5" s="52" t="s">
        <v>850</v>
      </c>
      <c r="B5" s="52"/>
      <c r="C5" s="128" t="s">
        <v>851</v>
      </c>
      <c r="D5" s="50" t="s">
        <v>62</v>
      </c>
      <c r="H5" s="78" t="s">
        <v>852</v>
      </c>
    </row>
    <row r="6" customFormat="false" ht="26.85" hidden="false" customHeight="false" outlineLevel="0" collapsed="false">
      <c r="A6" s="52" t="s">
        <v>853</v>
      </c>
      <c r="B6" s="53" t="s">
        <v>69</v>
      </c>
      <c r="C6" s="57" t="n">
        <v>0.25</v>
      </c>
      <c r="D6" s="50" t="s">
        <v>74</v>
      </c>
      <c r="H6" s="78" t="s">
        <v>854</v>
      </c>
    </row>
    <row r="7" customFormat="false" ht="15" hidden="false" customHeight="false" outlineLevel="0" collapsed="false">
      <c r="A7" s="53" t="s">
        <v>855</v>
      </c>
      <c r="B7" s="53" t="s">
        <v>69</v>
      </c>
      <c r="C7" s="57" t="n">
        <v>0.9</v>
      </c>
      <c r="D7" s="50" t="s">
        <v>74</v>
      </c>
      <c r="H7" s="78" t="s">
        <v>856</v>
      </c>
    </row>
    <row r="8" customFormat="false" ht="15" hidden="false" customHeight="false" outlineLevel="0" collapsed="false">
      <c r="A8" s="53" t="s">
        <v>857</v>
      </c>
      <c r="B8" s="53" t="s">
        <v>73</v>
      </c>
      <c r="C8" s="69" t="n">
        <v>0.8</v>
      </c>
      <c r="D8" s="50" t="s">
        <v>70</v>
      </c>
      <c r="H8" s="85" t="s">
        <v>858</v>
      </c>
    </row>
    <row r="9" customFormat="false" ht="15" hidden="false" customHeight="false" outlineLevel="0" collapsed="false">
      <c r="A9" s="53" t="s">
        <v>859</v>
      </c>
      <c r="B9" s="53" t="s">
        <v>73</v>
      </c>
      <c r="C9" s="69" t="n">
        <v>0.6</v>
      </c>
      <c r="D9" s="50" t="s">
        <v>70</v>
      </c>
      <c r="H9" s="85" t="s">
        <v>860</v>
      </c>
    </row>
    <row r="10" customFormat="false" ht="15" hidden="false" customHeight="false" outlineLevel="0" collapsed="false">
      <c r="A10" s="52" t="s">
        <v>861</v>
      </c>
      <c r="B10" s="52" t="s">
        <v>65</v>
      </c>
      <c r="C10" s="58" t="n">
        <v>0</v>
      </c>
      <c r="D10" s="50" t="s">
        <v>70</v>
      </c>
      <c r="H10" s="78" t="s">
        <v>862</v>
      </c>
    </row>
    <row r="11" customFormat="false" ht="26.85" hidden="false" customHeight="false" outlineLevel="0" collapsed="false">
      <c r="A11" s="53" t="s">
        <v>863</v>
      </c>
      <c r="B11" s="53" t="s">
        <v>69</v>
      </c>
      <c r="C11" s="57" t="n">
        <v>0.85</v>
      </c>
      <c r="D11" s="50" t="s">
        <v>74</v>
      </c>
      <c r="H11" s="78" t="s">
        <v>864</v>
      </c>
    </row>
    <row r="12" customFormat="false" ht="15" hidden="false" customHeight="false" outlineLevel="0" collapsed="false">
      <c r="A12" s="53" t="s">
        <v>865</v>
      </c>
      <c r="B12" s="52" t="s">
        <v>340</v>
      </c>
      <c r="C12" s="58" t="n">
        <v>16</v>
      </c>
      <c r="D12" s="50" t="s">
        <v>74</v>
      </c>
      <c r="H12" s="78" t="s">
        <v>866</v>
      </c>
    </row>
    <row r="13" customFormat="false" ht="26.85" hidden="false" customHeight="false" outlineLevel="0" collapsed="false">
      <c r="A13" s="52" t="s">
        <v>867</v>
      </c>
      <c r="B13" s="53" t="s">
        <v>73</v>
      </c>
      <c r="C13" s="68" t="n">
        <v>8</v>
      </c>
      <c r="D13" s="50" t="s">
        <v>74</v>
      </c>
      <c r="H13" s="78" t="s">
        <v>868</v>
      </c>
    </row>
    <row r="14" customFormat="false" ht="15" hidden="false" customHeight="false" outlineLevel="0" collapsed="false">
      <c r="A14" s="52" t="s">
        <v>869</v>
      </c>
      <c r="B14" s="52"/>
      <c r="C14" s="97" t="s">
        <v>870</v>
      </c>
      <c r="D14" s="50" t="s">
        <v>62</v>
      </c>
      <c r="H14" s="78" t="s">
        <v>871</v>
      </c>
    </row>
    <row r="15" customFormat="false" ht="15" hidden="false" customHeight="false" outlineLevel="0" collapsed="false">
      <c r="A15" s="52" t="s">
        <v>872</v>
      </c>
      <c r="B15" s="52" t="s">
        <v>65</v>
      </c>
      <c r="C15" s="58" t="n">
        <v>3</v>
      </c>
      <c r="D15" s="50" t="s">
        <v>70</v>
      </c>
      <c r="H15" s="85" t="s">
        <v>873</v>
      </c>
    </row>
    <row r="16" customFormat="false" ht="15" hidden="false" customHeight="false" outlineLevel="0" collapsed="false">
      <c r="A16" s="52" t="s">
        <v>874</v>
      </c>
      <c r="B16" s="52" t="s">
        <v>875</v>
      </c>
      <c r="C16" s="58" t="n">
        <v>4</v>
      </c>
      <c r="D16" s="50" t="s">
        <v>62</v>
      </c>
      <c r="E16" s="72" t="str">
        <f aca="false">INDEX(Spec_Rack!$C$4:$G$4,$C$16)</f>
        <v>VR200 NVL72</v>
      </c>
      <c r="H16" s="78" t="s">
        <v>876</v>
      </c>
    </row>
    <row r="17" customFormat="false" ht="15" hidden="false" customHeight="false" outlineLevel="0" collapsed="false">
      <c r="A17" s="52" t="s">
        <v>877</v>
      </c>
      <c r="B17" s="52" t="s">
        <v>875</v>
      </c>
      <c r="C17" s="58" t="n">
        <v>3</v>
      </c>
      <c r="D17" s="50" t="s">
        <v>62</v>
      </c>
      <c r="E17" s="72" t="str">
        <f aca="false">INDEX(Spec_Rack!$C$4:$G$4,$C$17)</f>
        <v>GB300 NVL72</v>
      </c>
      <c r="H17" s="78" t="s">
        <v>878</v>
      </c>
    </row>
    <row r="19" customFormat="false" ht="15" hidden="false" customHeight="false" outlineLevel="0" collapsed="false">
      <c r="A19" s="59" t="s">
        <v>879</v>
      </c>
      <c r="B19" s="60"/>
      <c r="C19" s="60"/>
      <c r="D19" s="60"/>
      <c r="E19" s="60"/>
      <c r="F19" s="60"/>
      <c r="G19" s="60"/>
      <c r="H19" s="60"/>
    </row>
    <row r="20" customFormat="false" ht="15" hidden="false" customHeight="false" outlineLevel="0" collapsed="false">
      <c r="A20" s="10" t="s">
        <v>134</v>
      </c>
      <c r="C20" s="72" t="str">
        <f aca="false">Spec_Rack!C4</f>
        <v>Hopper H100</v>
      </c>
      <c r="D20" s="72" t="str">
        <f aca="false">Spec_Rack!D4</f>
        <v>GB200 NVL72</v>
      </c>
      <c r="E20" s="72" t="str">
        <f aca="false">Spec_Rack!E4</f>
        <v>GB300 NVL72</v>
      </c>
      <c r="F20" s="72" t="str">
        <f aca="false">Spec_Rack!F4</f>
        <v>VR200 NVL72</v>
      </c>
      <c r="G20" s="72" t="str">
        <f aca="false">Spec_Rack!G4</f>
        <v>Rubin Ultra NVL576</v>
      </c>
    </row>
    <row r="21" customFormat="false" ht="26.85" hidden="false" customHeight="false" outlineLevel="0" collapsed="false">
      <c r="A21" s="52" t="s">
        <v>880</v>
      </c>
      <c r="B21" s="53" t="s">
        <v>73</v>
      </c>
      <c r="C21" s="69" t="n">
        <v>0.8</v>
      </c>
      <c r="D21" s="69" t="n">
        <v>1</v>
      </c>
      <c r="E21" s="69" t="n">
        <v>1</v>
      </c>
      <c r="F21" s="69" t="n">
        <v>0.9</v>
      </c>
      <c r="G21" s="69" t="n">
        <v>0.9</v>
      </c>
      <c r="H21" s="78" t="s">
        <v>881</v>
      </c>
    </row>
    <row r="23" customFormat="false" ht="15" hidden="false" customHeight="false" outlineLevel="0" collapsed="false">
      <c r="A23" s="59" t="s">
        <v>882</v>
      </c>
      <c r="B23" s="60"/>
      <c r="C23" s="60"/>
      <c r="D23" s="60"/>
      <c r="E23" s="60"/>
      <c r="F23" s="60"/>
      <c r="G23" s="60"/>
      <c r="H23" s="60"/>
    </row>
    <row r="24" customFormat="false" ht="15" hidden="false" customHeight="false" outlineLevel="0" collapsed="false">
      <c r="A24" s="10" t="s">
        <v>310</v>
      </c>
      <c r="B24" s="10" t="s">
        <v>53</v>
      </c>
      <c r="C24" s="72" t="str">
        <f aca="false">Arch!C4</f>
        <v>Luna（低層）</v>
      </c>
      <c r="D24" s="72" t="str">
        <f aca="false">Arch!D4</f>
        <v>Sol（中層）</v>
      </c>
      <c r="E24" s="72" t="str">
        <f aca="false">Arch!E4</f>
        <v>Astra（頂層）</v>
      </c>
      <c r="H24" s="10" t="s">
        <v>278</v>
      </c>
    </row>
    <row r="25" customFormat="false" ht="24.6" hidden="false" customHeight="false" outlineLevel="0" collapsed="false">
      <c r="A25" s="52" t="s">
        <v>883</v>
      </c>
      <c r="B25" s="53" t="s">
        <v>884</v>
      </c>
      <c r="C25" s="90" t="n">
        <f aca="false">SRC_MOD_029</f>
        <v>32</v>
      </c>
      <c r="D25" s="90" t="n">
        <f aca="false">SRC_MOD_030</f>
        <v>33</v>
      </c>
      <c r="E25" s="129" t="n">
        <v>60</v>
      </c>
      <c r="H25" s="78" t="s">
        <v>885</v>
      </c>
    </row>
    <row r="26" customFormat="false" ht="15" hidden="false" customHeight="false" outlineLevel="0" collapsed="false">
      <c r="A26" s="52" t="s">
        <v>886</v>
      </c>
      <c r="B26" s="53" t="s">
        <v>248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8" t="s">
        <v>887</v>
      </c>
    </row>
    <row r="27" customFormat="false" ht="15" hidden="false" customHeight="false" outlineLevel="0" collapsed="false">
      <c r="A27" s="52" t="s">
        <v>888</v>
      </c>
      <c r="B27" s="53" t="s">
        <v>884</v>
      </c>
      <c r="C27" s="129" t="n">
        <v>1</v>
      </c>
      <c r="D27" s="129" t="n">
        <v>1</v>
      </c>
      <c r="E27" s="129" t="n">
        <v>2</v>
      </c>
      <c r="H27" s="78" t="s">
        <v>889</v>
      </c>
    </row>
    <row r="28" customFormat="false" ht="15" hidden="false" customHeight="false" outlineLevel="0" collapsed="false">
      <c r="A28" s="52" t="s">
        <v>890</v>
      </c>
      <c r="B28" s="53" t="s">
        <v>248</v>
      </c>
      <c r="C28" s="55" t="n">
        <v>131072</v>
      </c>
      <c r="D28" s="55" t="n">
        <v>131072</v>
      </c>
      <c r="E28" s="55" t="n">
        <v>131072</v>
      </c>
      <c r="H28" s="78" t="s">
        <v>70</v>
      </c>
    </row>
    <row r="29" customFormat="false" ht="15" hidden="false" customHeight="false" outlineLevel="0" collapsed="false">
      <c r="A29" s="53" t="s">
        <v>891</v>
      </c>
      <c r="B29" s="53" t="s">
        <v>884</v>
      </c>
      <c r="C29" s="130" t="n">
        <v>0.05</v>
      </c>
      <c r="D29" s="130" t="n">
        <v>0.05</v>
      </c>
      <c r="E29" s="130" t="n">
        <v>0.1</v>
      </c>
      <c r="H29" s="78" t="s">
        <v>892</v>
      </c>
    </row>
    <row r="30" customFormat="false" ht="15" hidden="false" customHeight="false" outlineLevel="0" collapsed="false">
      <c r="A30" s="53" t="s">
        <v>893</v>
      </c>
      <c r="B30" s="53" t="s">
        <v>248</v>
      </c>
      <c r="C30" s="55" t="n">
        <v>16384</v>
      </c>
      <c r="D30" s="55" t="n">
        <v>16384</v>
      </c>
      <c r="E30" s="55" t="n">
        <v>16384</v>
      </c>
      <c r="H30" s="78" t="s">
        <v>70</v>
      </c>
    </row>
    <row r="31" customFormat="false" ht="15" hidden="false" customHeight="false" outlineLevel="0" collapsed="false">
      <c r="A31" s="52" t="s">
        <v>894</v>
      </c>
      <c r="B31" s="53" t="s">
        <v>312</v>
      </c>
      <c r="C31" s="55" t="n">
        <v>20</v>
      </c>
      <c r="D31" s="55" t="n">
        <v>20</v>
      </c>
      <c r="E31" s="55" t="n">
        <v>20</v>
      </c>
      <c r="H31" s="85" t="s">
        <v>895</v>
      </c>
    </row>
    <row r="32" customFormat="false" ht="15" hidden="false" customHeight="false" outlineLevel="0" collapsed="false">
      <c r="A32" s="53" t="s">
        <v>896</v>
      </c>
      <c r="B32" s="53" t="s">
        <v>248</v>
      </c>
      <c r="C32" s="55" t="n">
        <v>4096</v>
      </c>
      <c r="D32" s="55" t="n">
        <v>8192</v>
      </c>
      <c r="E32" s="55" t="n">
        <v>16384</v>
      </c>
      <c r="H32" s="78" t="s">
        <v>70</v>
      </c>
    </row>
    <row r="33" customFormat="false" ht="15" hidden="false" customHeight="false" outlineLevel="0" collapsed="false">
      <c r="A33" s="53" t="s">
        <v>897</v>
      </c>
      <c r="B33" s="53" t="s">
        <v>248</v>
      </c>
      <c r="C33" s="55" t="n">
        <v>8192</v>
      </c>
      <c r="D33" s="55" t="n">
        <v>16384</v>
      </c>
      <c r="E33" s="55" t="n">
        <v>32768</v>
      </c>
      <c r="H33" s="78" t="s">
        <v>898</v>
      </c>
    </row>
    <row r="34" customFormat="false" ht="39.55" hidden="false" customHeight="false" outlineLevel="0" collapsed="false">
      <c r="A34" s="53" t="s">
        <v>899</v>
      </c>
      <c r="B34" s="53" t="s">
        <v>884</v>
      </c>
      <c r="C34" s="131" t="n">
        <v>2.36</v>
      </c>
      <c r="D34" s="131" t="n">
        <v>2.36</v>
      </c>
      <c r="E34" s="131" t="n">
        <v>9.6</v>
      </c>
      <c r="H34" s="78" t="s">
        <v>900</v>
      </c>
    </row>
    <row r="35" customFormat="false" ht="15" hidden="false" customHeight="false" outlineLevel="0" collapsed="false">
      <c r="A35" s="53" t="s">
        <v>901</v>
      </c>
      <c r="B35" s="53" t="s">
        <v>884</v>
      </c>
      <c r="C35" s="130" t="n">
        <v>0.2</v>
      </c>
      <c r="D35" s="130" t="n">
        <v>0.2</v>
      </c>
      <c r="E35" s="130" t="n">
        <v>0.2</v>
      </c>
      <c r="H35" s="78" t="s">
        <v>902</v>
      </c>
    </row>
    <row r="36" customFormat="false" ht="15" hidden="false" customHeight="false" outlineLevel="0" collapsed="false">
      <c r="A36" s="52" t="s">
        <v>903</v>
      </c>
      <c r="B36" s="52" t="s">
        <v>65</v>
      </c>
      <c r="C36" s="58" t="n">
        <v>1</v>
      </c>
      <c r="D36" s="58" t="n">
        <v>2</v>
      </c>
      <c r="E36" s="58" t="n">
        <v>3</v>
      </c>
      <c r="H36" s="78" t="s">
        <v>904</v>
      </c>
    </row>
    <row r="37" customFormat="false" ht="15" hidden="false" customHeight="false" outlineLevel="0" collapsed="false">
      <c r="A37" s="52" t="s">
        <v>905</v>
      </c>
      <c r="B37" s="53" t="s">
        <v>884</v>
      </c>
      <c r="C37" s="129" t="n">
        <v>1</v>
      </c>
      <c r="D37" s="129" t="n">
        <v>2</v>
      </c>
      <c r="E37" s="129" t="n">
        <v>3</v>
      </c>
      <c r="H37" s="78" t="s">
        <v>906</v>
      </c>
    </row>
    <row r="38" customFormat="false" ht="15" hidden="false" customHeight="false" outlineLevel="0" collapsed="false">
      <c r="A38" s="52" t="s">
        <v>907</v>
      </c>
      <c r="B38" s="53" t="s">
        <v>884</v>
      </c>
      <c r="C38" s="130" t="n">
        <v>0.02</v>
      </c>
      <c r="D38" s="130" t="n">
        <v>0.05</v>
      </c>
      <c r="E38" s="130" t="n">
        <v>0.1</v>
      </c>
      <c r="H38" s="78" t="s">
        <v>70</v>
      </c>
    </row>
    <row r="40" customFormat="false" ht="15" hidden="false" customHeight="false" outlineLevel="0" collapsed="false">
      <c r="A40" s="59" t="s">
        <v>908</v>
      </c>
      <c r="B40" s="60"/>
      <c r="C40" s="60"/>
      <c r="D40" s="60"/>
      <c r="E40" s="60"/>
      <c r="F40" s="60"/>
      <c r="G40" s="60"/>
      <c r="H40" s="60"/>
    </row>
    <row r="41" customFormat="false" ht="15" hidden="false" customHeight="false" outlineLevel="0" collapsed="false">
      <c r="A41" s="53" t="s">
        <v>909</v>
      </c>
      <c r="B41" s="53" t="s">
        <v>884</v>
      </c>
      <c r="C41" s="90" t="n">
        <f aca="false">SRC_MOD_039</f>
        <v>14.8</v>
      </c>
      <c r="H41" s="78" t="s">
        <v>910</v>
      </c>
    </row>
    <row r="42" customFormat="false" ht="15" hidden="false" customHeight="false" outlineLevel="0" collapsed="false">
      <c r="A42" s="53" t="s">
        <v>911</v>
      </c>
      <c r="B42" s="53" t="s">
        <v>912</v>
      </c>
      <c r="C42" s="86" t="n">
        <f aca="false">SRC_MOD_040</f>
        <v>2.664</v>
      </c>
      <c r="H42" s="78" t="s">
        <v>913</v>
      </c>
    </row>
    <row r="43" customFormat="false" ht="15" hidden="false" customHeight="false" outlineLevel="0" collapsed="false">
      <c r="A43" s="53" t="s">
        <v>914</v>
      </c>
      <c r="B43" s="53" t="s">
        <v>248</v>
      </c>
      <c r="C43" s="54" t="n">
        <f aca="false">SRC_MOD_042</f>
        <v>4096</v>
      </c>
      <c r="H43" s="78" t="s">
        <v>915</v>
      </c>
    </row>
    <row r="44" customFormat="false" ht="15" hidden="false" customHeight="false" outlineLevel="0" collapsed="false">
      <c r="A44" s="53" t="s">
        <v>916</v>
      </c>
      <c r="B44" s="53" t="s">
        <v>73</v>
      </c>
      <c r="C44" s="132" t="n">
        <v>0.055</v>
      </c>
      <c r="H44" s="78" t="s">
        <v>917</v>
      </c>
    </row>
    <row r="45" customFormat="false" ht="15" hidden="false" customHeight="false" outlineLevel="0" collapsed="false">
      <c r="A45" s="53" t="s">
        <v>918</v>
      </c>
      <c r="B45" s="53" t="s">
        <v>73</v>
      </c>
      <c r="C45" s="100" t="n">
        <f aca="false">SRC_MOD_036</f>
        <v>1</v>
      </c>
      <c r="H45" s="78" t="s">
        <v>919</v>
      </c>
    </row>
    <row r="46" customFormat="false" ht="15" hidden="false" customHeight="false" outlineLevel="0" collapsed="false">
      <c r="A46" s="52" t="s">
        <v>920</v>
      </c>
      <c r="B46" s="53" t="s">
        <v>271</v>
      </c>
      <c r="C46" s="133" t="n">
        <v>2E+026</v>
      </c>
      <c r="H46" s="78" t="s">
        <v>921</v>
      </c>
    </row>
    <row r="47" customFormat="false" ht="15" hidden="false" customHeight="false" outlineLevel="0" collapsed="false">
      <c r="A47" s="52" t="s">
        <v>922</v>
      </c>
      <c r="B47" s="53" t="s">
        <v>271</v>
      </c>
      <c r="C47" s="133" t="n">
        <v>5E+026</v>
      </c>
      <c r="H47" s="85" t="s">
        <v>95</v>
      </c>
    </row>
    <row r="48" customFormat="false" ht="15" hidden="false" customHeight="false" outlineLevel="0" collapsed="false">
      <c r="A48" s="52" t="s">
        <v>923</v>
      </c>
      <c r="B48" s="53" t="s">
        <v>271</v>
      </c>
      <c r="C48" s="133" t="n">
        <v>2E+027</v>
      </c>
      <c r="H48" s="8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9" t="s">
        <v>924</v>
      </c>
    </row>
    <row r="2" customFormat="false" ht="15" hidden="false" customHeight="false" outlineLevel="0" collapsed="false">
      <c r="A2" s="50" t="s">
        <v>925</v>
      </c>
    </row>
    <row r="3" customFormat="false" ht="15" hidden="false" customHeight="false" outlineLevel="0" collapsed="false">
      <c r="A3" s="10" t="s">
        <v>926</v>
      </c>
      <c r="R3" s="10" t="s">
        <v>927</v>
      </c>
      <c r="S3" s="10" t="s">
        <v>927</v>
      </c>
    </row>
    <row r="4" customFormat="false" ht="15" hidden="false" customHeight="false" outlineLevel="0" collapsed="false">
      <c r="A4" s="1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  <c r="R4" s="72" t="str">
        <f aca="false">INDEX(Spec_Rack!$C$4:$G$4,R6)</f>
        <v>VR200 NVL72</v>
      </c>
      <c r="S4" s="72" t="str">
        <f aca="false">INDEX(Spec_Rack!$C$4:$G$4,S6)</f>
        <v>VR200 NVL72</v>
      </c>
    </row>
    <row r="5" customFormat="false" ht="15" hidden="false" customHeight="false" outlineLevel="0" collapsed="false">
      <c r="A5" s="10" t="s">
        <v>653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  <c r="R5" s="72" t="str">
        <f aca="false">INDEX(Arch!$C$4:$E$4,R7)</f>
        <v>Sol（中層）</v>
      </c>
      <c r="S5" s="72" t="str">
        <f aca="false">INDEX(Arch!$C$4:$E$4,S7)</f>
        <v>Astra（頂層）</v>
      </c>
    </row>
    <row r="6" customFormat="false" ht="15" hidden="false" customHeight="false" outlineLevel="0" collapsed="false">
      <c r="A6" s="10" t="s">
        <v>390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10" t="s">
        <v>654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82" t="s">
        <v>655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656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657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658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82" t="s">
        <v>659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2" t="s">
        <v>413</v>
      </c>
      <c r="B14" s="53" t="s">
        <v>414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3" t="s">
        <v>415</v>
      </c>
      <c r="B15" s="53" t="s">
        <v>660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416</v>
      </c>
      <c r="B16" s="53" t="s">
        <v>301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661</v>
      </c>
      <c r="B17" s="53" t="s">
        <v>301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193</v>
      </c>
      <c r="B18" s="53" t="s">
        <v>662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663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2" t="s">
        <v>664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1" t="n">
        <v>1</v>
      </c>
      <c r="S20" s="71" t="n">
        <v>1</v>
      </c>
    </row>
    <row r="21" customFormat="false" ht="15" hidden="false" customHeight="false" outlineLevel="0" collapsed="false">
      <c r="A21" s="52" t="s">
        <v>665</v>
      </c>
      <c r="B21" s="53" t="s">
        <v>662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147</v>
      </c>
      <c r="B22" s="52" t="s">
        <v>666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667</v>
      </c>
      <c r="B23" s="53" t="s">
        <v>668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669</v>
      </c>
      <c r="B24" s="53" t="s">
        <v>670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671</v>
      </c>
      <c r="B25" s="52" t="s">
        <v>672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673</v>
      </c>
      <c r="B26" s="53" t="s">
        <v>674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82" t="s">
        <v>675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676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423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677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425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678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82" t="s">
        <v>679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3" t="s">
        <v>311</v>
      </c>
      <c r="B41" s="53" t="s">
        <v>312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680</v>
      </c>
      <c r="B42" s="53" t="s">
        <v>315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681</v>
      </c>
      <c r="B43" s="53" t="s">
        <v>248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318</v>
      </c>
      <c r="B44" s="53" t="s">
        <v>248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319</v>
      </c>
      <c r="B45" s="53" t="s">
        <v>248</v>
      </c>
      <c r="C45" s="66" t="n">
        <f aca="false">C43+C44/2</f>
        <v>8192</v>
      </c>
      <c r="D45" s="66" t="n">
        <f aca="false">D43+D44/2</f>
        <v>16384</v>
      </c>
      <c r="E45" s="66" t="n">
        <f aca="false">E43+E44/2</f>
        <v>32768</v>
      </c>
      <c r="F45" s="66" t="n">
        <f aca="false">F43+F44/2</f>
        <v>8192</v>
      </c>
      <c r="G45" s="66" t="n">
        <f aca="false">G43+G44/2</f>
        <v>16384</v>
      </c>
      <c r="H45" s="66" t="n">
        <f aca="false">H43+H44/2</f>
        <v>32768</v>
      </c>
      <c r="I45" s="66" t="n">
        <f aca="false">I43+I44/2</f>
        <v>8192</v>
      </c>
      <c r="J45" s="66" t="n">
        <f aca="false">J43+J44/2</f>
        <v>16384</v>
      </c>
      <c r="K45" s="66" t="n">
        <f aca="false">K43+K44/2</f>
        <v>32768</v>
      </c>
      <c r="L45" s="66" t="n">
        <f aca="false">L43+L44/2</f>
        <v>8192</v>
      </c>
      <c r="M45" s="66" t="n">
        <f aca="false">M43+M44/2</f>
        <v>16384</v>
      </c>
      <c r="N45" s="66" t="n">
        <f aca="false">N43+N44/2</f>
        <v>32768</v>
      </c>
      <c r="O45" s="66" t="n">
        <f aca="false">O43+O44/2</f>
        <v>8192</v>
      </c>
      <c r="P45" s="66" t="n">
        <f aca="false">P43+P44/2</f>
        <v>16384</v>
      </c>
      <c r="Q45" s="66" t="n">
        <f aca="false">Q43+Q44/2</f>
        <v>32768</v>
      </c>
      <c r="R45" s="66" t="n">
        <f aca="false">R43+R44/2</f>
        <v>16384</v>
      </c>
      <c r="S45" s="66" t="n">
        <f aca="false">S43+S44/2</f>
        <v>32768</v>
      </c>
    </row>
    <row r="46" customFormat="false" ht="15" hidden="false" customHeight="false" outlineLevel="0" collapsed="false">
      <c r="A46" s="53" t="s">
        <v>320</v>
      </c>
      <c r="B46" s="53" t="s">
        <v>248</v>
      </c>
      <c r="C46" s="66" t="n">
        <f aca="false">C43/2</f>
        <v>2048</v>
      </c>
      <c r="D46" s="66" t="n">
        <f aca="false">D43/2</f>
        <v>4096</v>
      </c>
      <c r="E46" s="66" t="n">
        <f aca="false">E43/2</f>
        <v>8192</v>
      </c>
      <c r="F46" s="66" t="n">
        <f aca="false">F43/2</f>
        <v>2048</v>
      </c>
      <c r="G46" s="66" t="n">
        <f aca="false">G43/2</f>
        <v>4096</v>
      </c>
      <c r="H46" s="66" t="n">
        <f aca="false">H43/2</f>
        <v>8192</v>
      </c>
      <c r="I46" s="66" t="n">
        <f aca="false">I43/2</f>
        <v>2048</v>
      </c>
      <c r="J46" s="66" t="n">
        <f aca="false">J43/2</f>
        <v>4096</v>
      </c>
      <c r="K46" s="66" t="n">
        <f aca="false">K43/2</f>
        <v>8192</v>
      </c>
      <c r="L46" s="66" t="n">
        <f aca="false">L43/2</f>
        <v>2048</v>
      </c>
      <c r="M46" s="66" t="n">
        <f aca="false">M43/2</f>
        <v>4096</v>
      </c>
      <c r="N46" s="66" t="n">
        <f aca="false">N43/2</f>
        <v>8192</v>
      </c>
      <c r="O46" s="66" t="n">
        <f aca="false">O43/2</f>
        <v>2048</v>
      </c>
      <c r="P46" s="66" t="n">
        <f aca="false">P43/2</f>
        <v>4096</v>
      </c>
      <c r="Q46" s="66" t="n">
        <f aca="false">Q43/2</f>
        <v>8192</v>
      </c>
      <c r="R46" s="66" t="n">
        <f aca="false">R43/2</f>
        <v>4096</v>
      </c>
      <c r="S46" s="66" t="n">
        <f aca="false">S43/2</f>
        <v>8192</v>
      </c>
    </row>
    <row r="47" customFormat="false" ht="15" hidden="false" customHeight="false" outlineLevel="0" collapsed="false">
      <c r="A47" s="53" t="s">
        <v>682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  <c r="R47" s="84" t="n">
        <f aca="false">Serving!$C$6</f>
        <v>3</v>
      </c>
      <c r="S47" s="84" t="n">
        <f aca="false">Serving!$C$6</f>
        <v>3</v>
      </c>
    </row>
    <row r="48" customFormat="false" ht="15" hidden="false" customHeight="false" outlineLevel="0" collapsed="false">
      <c r="A48" s="52" t="s">
        <v>683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684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2.533</v>
      </c>
    </row>
    <row r="50" customFormat="false" ht="15" hidden="false" customHeight="false" outlineLevel="0" collapsed="false">
      <c r="A50" s="52" t="s">
        <v>307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685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686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687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688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689</v>
      </c>
      <c r="B55" s="53" t="s">
        <v>452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690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691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692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693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694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695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696</v>
      </c>
      <c r="B62" s="53" t="s">
        <v>417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82" t="s">
        <v>697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3" t="s">
        <v>698</v>
      </c>
      <c r="B64" s="53" t="s">
        <v>248</v>
      </c>
      <c r="C64" s="66" t="n">
        <f aca="false">C36*IF(C37=0,C45,MIN(C45,C37))+(1-C36)*(C45/C38+C39)</f>
        <v>2208</v>
      </c>
      <c r="D64" s="66" t="n">
        <f aca="false">D36*IF(D37=0,D45,MIN(D45,D37))+(1-D36)*(D45/D38+D39)</f>
        <v>2240</v>
      </c>
      <c r="E64" s="66" t="n">
        <f aca="false">E36*IF(E37=0,E45,MIN(E45,E37))+(1-E36)*(E45/E38+E39)</f>
        <v>32768</v>
      </c>
      <c r="F64" s="66" t="n">
        <f aca="false">F36*IF(F37=0,F45,MIN(F45,F37))+(1-F36)*(F45/F38+F39)</f>
        <v>2208</v>
      </c>
      <c r="G64" s="66" t="n">
        <f aca="false">G36*IF(G37=0,G45,MIN(G45,G37))+(1-G36)*(G45/G38+G39)</f>
        <v>2240</v>
      </c>
      <c r="H64" s="66" t="n">
        <f aca="false">H36*IF(H37=0,H45,MIN(H45,H37))+(1-H36)*(H45/H38+H39)</f>
        <v>32768</v>
      </c>
      <c r="I64" s="66" t="n">
        <f aca="false">I36*IF(I37=0,I45,MIN(I45,I37))+(1-I36)*(I45/I38+I39)</f>
        <v>2208</v>
      </c>
      <c r="J64" s="66" t="n">
        <f aca="false">J36*IF(J37=0,J45,MIN(J45,J37))+(1-J36)*(J45/J38+J39)</f>
        <v>2240</v>
      </c>
      <c r="K64" s="66" t="n">
        <f aca="false">K36*IF(K37=0,K45,MIN(K45,K37))+(1-K36)*(K45/K38+K39)</f>
        <v>32768</v>
      </c>
      <c r="L64" s="66" t="n">
        <f aca="false">L36*IF(L37=0,L45,MIN(L45,L37))+(1-L36)*(L45/L38+L39)</f>
        <v>2208</v>
      </c>
      <c r="M64" s="66" t="n">
        <f aca="false">M36*IF(M37=0,M45,MIN(M45,M37))+(1-M36)*(M45/M38+M39)</f>
        <v>2240</v>
      </c>
      <c r="N64" s="66" t="n">
        <f aca="false">N36*IF(N37=0,N45,MIN(N45,N37))+(1-N36)*(N45/N38+N39)</f>
        <v>32768</v>
      </c>
      <c r="O64" s="66" t="n">
        <f aca="false">O36*IF(O37=0,O45,MIN(O45,O37))+(1-O36)*(O45/O38+O39)</f>
        <v>2208</v>
      </c>
      <c r="P64" s="66" t="n">
        <f aca="false">P36*IF(P37=0,P45,MIN(P45,P37))+(1-P36)*(P45/P38+P39)</f>
        <v>2240</v>
      </c>
      <c r="Q64" s="66" t="n">
        <f aca="false">Q36*IF(Q37=0,Q45,MIN(Q45,Q37))+(1-Q36)*(Q45/Q38+Q39)</f>
        <v>32768</v>
      </c>
      <c r="R64" s="66" t="n">
        <f aca="false">R36*IF(R37=0,R45,MIN(R45,R37))+(1-R36)*(R45/R38+R39)</f>
        <v>2240</v>
      </c>
      <c r="S64" s="66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430</v>
      </c>
      <c r="B65" s="53" t="s">
        <v>431</v>
      </c>
      <c r="C65" s="65" t="n">
        <f aca="false">(2*C28*1000000000+C35*C64)*C10/1000000000</f>
        <v>38.444499968</v>
      </c>
      <c r="D65" s="65" t="n">
        <f aca="false">(2*D28*1000000000+D35*D64)*D10/1000000000</f>
        <v>133.81935616</v>
      </c>
      <c r="E65" s="65" t="n">
        <f aca="false">(2*E28*1000000000+E35*E64)*E10/1000000000</f>
        <v>521.0612736</v>
      </c>
      <c r="F65" s="65" t="n">
        <f aca="false">(2*F28*1000000000+F35*F64)*F10/1000000000</f>
        <v>38.444499968</v>
      </c>
      <c r="G65" s="65" t="n">
        <f aca="false">(2*G28*1000000000+G35*G64)*G10/1000000000</f>
        <v>133.81935616</v>
      </c>
      <c r="H65" s="65" t="n">
        <f aca="false">(2*H28*1000000000+H35*H64)*H10/1000000000</f>
        <v>521.0612736</v>
      </c>
      <c r="I65" s="65" t="n">
        <f aca="false">(2*I28*1000000000+I35*I64)*I10/1000000000</f>
        <v>38.444499968</v>
      </c>
      <c r="J65" s="65" t="n">
        <f aca="false">(2*J28*1000000000+J35*J64)*J10/1000000000</f>
        <v>133.81935616</v>
      </c>
      <c r="K65" s="65" t="n">
        <f aca="false">(2*K28*1000000000+K35*K64)*K10/1000000000</f>
        <v>521.0612736</v>
      </c>
      <c r="L65" s="65" t="n">
        <f aca="false">(2*L28*1000000000+L35*L64)*L10/1000000000</f>
        <v>38.444499968</v>
      </c>
      <c r="M65" s="65" t="n">
        <f aca="false">(2*M28*1000000000+M35*M64)*M10/1000000000</f>
        <v>133.81935616</v>
      </c>
      <c r="N65" s="65" t="n">
        <f aca="false">(2*N28*1000000000+N35*N64)*N10/1000000000</f>
        <v>521.0612736</v>
      </c>
      <c r="O65" s="65" t="n">
        <f aca="false">(2*O28*1000000000+O35*O64)*O10/1000000000</f>
        <v>38.444499968</v>
      </c>
      <c r="P65" s="65" t="n">
        <f aca="false">(2*P28*1000000000+P35*P64)*P10/1000000000</f>
        <v>133.81935616</v>
      </c>
      <c r="Q65" s="65" t="n">
        <f aca="false">(2*Q28*1000000000+Q35*Q64)*Q10/1000000000</f>
        <v>521.0612736</v>
      </c>
      <c r="R65" s="65" t="n">
        <f aca="false">(2*R28*1000000000+R35*R64)*R10/1000000000</f>
        <v>133.81935616</v>
      </c>
      <c r="S65" s="65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699</v>
      </c>
      <c r="B66" s="53" t="s">
        <v>248</v>
      </c>
      <c r="C66" s="66" t="n">
        <f aca="false">C36*IF(C37=0,C46,MIN(C46,C37))+(1-C36)*(C46/C38+C39)</f>
        <v>1096</v>
      </c>
      <c r="D66" s="66" t="n">
        <f aca="false">D36*IF(D37=0,D46,MIN(D46,D37))+(1-D36)*(D46/D38+D39)</f>
        <v>2128</v>
      </c>
      <c r="E66" s="66" t="n">
        <f aca="false">E36*IF(E37=0,E46,MIN(E46,E37))+(1-E36)*(E46/E38+E39)</f>
        <v>8192</v>
      </c>
      <c r="F66" s="66" t="n">
        <f aca="false">F36*IF(F37=0,F46,MIN(F46,F37))+(1-F36)*(F46/F38+F39)</f>
        <v>1096</v>
      </c>
      <c r="G66" s="66" t="n">
        <f aca="false">G36*IF(G37=0,G46,MIN(G46,G37))+(1-G36)*(G46/G38+G39)</f>
        <v>2128</v>
      </c>
      <c r="H66" s="66" t="n">
        <f aca="false">H36*IF(H37=0,H46,MIN(H46,H37))+(1-H36)*(H46/H38+H39)</f>
        <v>8192</v>
      </c>
      <c r="I66" s="66" t="n">
        <f aca="false">I36*IF(I37=0,I46,MIN(I46,I37))+(1-I36)*(I46/I38+I39)</f>
        <v>1096</v>
      </c>
      <c r="J66" s="66" t="n">
        <f aca="false">J36*IF(J37=0,J46,MIN(J46,J37))+(1-J36)*(J46/J38+J39)</f>
        <v>2128</v>
      </c>
      <c r="K66" s="66" t="n">
        <f aca="false">K36*IF(K37=0,K46,MIN(K46,K37))+(1-K36)*(K46/K38+K39)</f>
        <v>8192</v>
      </c>
      <c r="L66" s="66" t="n">
        <f aca="false">L36*IF(L37=0,L46,MIN(L46,L37))+(1-L36)*(L46/L38+L39)</f>
        <v>1096</v>
      </c>
      <c r="M66" s="66" t="n">
        <f aca="false">M36*IF(M37=0,M46,MIN(M46,M37))+(1-M36)*(M46/M38+M39)</f>
        <v>2128</v>
      </c>
      <c r="N66" s="66" t="n">
        <f aca="false">N36*IF(N37=0,N46,MIN(N46,N37))+(1-N36)*(N46/N38+N39)</f>
        <v>8192</v>
      </c>
      <c r="O66" s="66" t="n">
        <f aca="false">O36*IF(O37=0,O46,MIN(O46,O37))+(1-O36)*(O46/O38+O39)</f>
        <v>1096</v>
      </c>
      <c r="P66" s="66" t="n">
        <f aca="false">P36*IF(P37=0,P46,MIN(P46,P37))+(1-P36)*(P46/P38+P39)</f>
        <v>2128</v>
      </c>
      <c r="Q66" s="66" t="n">
        <f aca="false">Q36*IF(Q37=0,Q46,MIN(Q46,Q37))+(1-Q36)*(Q46/Q38+Q39)</f>
        <v>8192</v>
      </c>
      <c r="R66" s="66" t="n">
        <f aca="false">R36*IF(R37=0,R46,MIN(R46,R37))+(1-R36)*(R46/R38+R39)</f>
        <v>2128</v>
      </c>
      <c r="S66" s="66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433</v>
      </c>
      <c r="B67" s="53" t="s">
        <v>431</v>
      </c>
      <c r="C67" s="65" t="n">
        <f aca="false">(2*C28*1000000000+C35*C66)*C10/1000000000</f>
        <v>32.177161216</v>
      </c>
      <c r="D67" s="65" t="n">
        <f aca="false">(2*D28*1000000000+D35*D66)*D10/1000000000</f>
        <v>132.028388352</v>
      </c>
      <c r="E67" s="65" t="n">
        <f aca="false">(2*E28*1000000000+E35*E66)*E10/1000000000</f>
        <v>400.2653184</v>
      </c>
      <c r="F67" s="65" t="n">
        <f aca="false">(2*F28*1000000000+F35*F66)*F10/1000000000</f>
        <v>32.177161216</v>
      </c>
      <c r="G67" s="65" t="n">
        <f aca="false">(2*G28*1000000000+G35*G66)*G10/1000000000</f>
        <v>132.028388352</v>
      </c>
      <c r="H67" s="65" t="n">
        <f aca="false">(2*H28*1000000000+H35*H66)*H10/1000000000</f>
        <v>400.2653184</v>
      </c>
      <c r="I67" s="65" t="n">
        <f aca="false">(2*I28*1000000000+I35*I66)*I10/1000000000</f>
        <v>32.177161216</v>
      </c>
      <c r="J67" s="65" t="n">
        <f aca="false">(2*J28*1000000000+J35*J66)*J10/1000000000</f>
        <v>132.028388352</v>
      </c>
      <c r="K67" s="65" t="n">
        <f aca="false">(2*K28*1000000000+K35*K66)*K10/1000000000</f>
        <v>400.2653184</v>
      </c>
      <c r="L67" s="65" t="n">
        <f aca="false">(2*L28*1000000000+L35*L66)*L10/1000000000</f>
        <v>32.177161216</v>
      </c>
      <c r="M67" s="65" t="n">
        <f aca="false">(2*M28*1000000000+M35*M66)*M10/1000000000</f>
        <v>132.028388352</v>
      </c>
      <c r="N67" s="65" t="n">
        <f aca="false">(2*N28*1000000000+N35*N66)*N10/1000000000</f>
        <v>400.2653184</v>
      </c>
      <c r="O67" s="65" t="n">
        <f aca="false">(2*O28*1000000000+O35*O66)*O10/1000000000</f>
        <v>32.177161216</v>
      </c>
      <c r="P67" s="65" t="n">
        <f aca="false">(2*P28*1000000000+P35*P66)*P10/1000000000</f>
        <v>132.028388352</v>
      </c>
      <c r="Q67" s="65" t="n">
        <f aca="false">(2*Q28*1000000000+Q35*Q66)*Q10/1000000000</f>
        <v>400.2653184</v>
      </c>
      <c r="R67" s="65" t="n">
        <f aca="false">(2*R28*1000000000+R35*R66)*R10/1000000000</f>
        <v>132.028388352</v>
      </c>
      <c r="S67" s="65" t="n">
        <f aca="false">(2*S28*1000000000+S35*S66)*S10/1000000000</f>
        <v>400.2653184</v>
      </c>
    </row>
    <row r="68" customFormat="false" ht="15" hidden="false" customHeight="false" outlineLevel="0" collapsed="false">
      <c r="A68" s="82" t="s">
        <v>700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2" t="s">
        <v>434</v>
      </c>
      <c r="B69" s="53" t="s">
        <v>273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  <c r="R69" s="66" t="n">
        <f aca="false">R15*(1-R56)</f>
        <v>259.2</v>
      </c>
      <c r="S69" s="66" t="n">
        <f aca="false">S15*(1-S56)</f>
        <v>259.2</v>
      </c>
    </row>
    <row r="70" customFormat="false" ht="15" hidden="false" customHeight="false" outlineLevel="0" collapsed="false">
      <c r="A70" s="52" t="s">
        <v>701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702</v>
      </c>
      <c r="B71" s="53" t="s">
        <v>662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  <c r="R71" s="66" t="n">
        <f aca="false">MAX(R18,CEILING(R33*R19/(R58*R69),1))</f>
        <v>32</v>
      </c>
      <c r="S71" s="66" t="n">
        <f aca="false">MAX(S18,CEILING(S33*S19/(S58*S69),1))</f>
        <v>39</v>
      </c>
    </row>
    <row r="72" customFormat="false" ht="15" hidden="false" customHeight="false" outlineLevel="0" collapsed="false">
      <c r="A72" s="52" t="s">
        <v>437</v>
      </c>
      <c r="B72" s="53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  <c r="R72" s="65" t="n">
        <f aca="false">R32*R20/R70+R33*R19/R71</f>
        <v>69.6440972222222</v>
      </c>
      <c r="S72" s="65" t="n">
        <f aca="false">S32*S20/S70+S33*S19/S71</f>
        <v>150.37841191067</v>
      </c>
    </row>
    <row r="73" customFormat="false" ht="15" hidden="false" customHeight="false" outlineLevel="0" collapsed="false">
      <c r="A73" s="52" t="s">
        <v>703</v>
      </c>
      <c r="B73" s="53" t="s">
        <v>69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  <c r="R73" s="76" t="n">
        <f aca="false">R72/R69</f>
        <v>0.268688646690672</v>
      </c>
      <c r="S73" s="76" t="n">
        <f aca="false">S72/S69</f>
        <v>0.580163626198573</v>
      </c>
    </row>
    <row r="74" customFormat="false" ht="15" hidden="false" customHeight="false" outlineLevel="0" collapsed="false">
      <c r="A74" s="82" t="s">
        <v>704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3" t="s">
        <v>705</v>
      </c>
      <c r="B75" s="53" t="s">
        <v>312</v>
      </c>
      <c r="C75" s="66" t="n">
        <f aca="false">C51*C14*1000000000000000/(C67*1000000000)</f>
        <v>9225.48754401592</v>
      </c>
      <c r="D75" s="66" t="n">
        <f aca="false">D51*D14*1000000000000000/(D67*1000000000)</f>
        <v>2248.38009238263</v>
      </c>
      <c r="E75" s="66" t="n">
        <f aca="false">E51*E14*1000000000000000/(E67*1000000000)</f>
        <v>741.633077746063</v>
      </c>
      <c r="F75" s="66" t="n">
        <f aca="false">F51*F14*1000000000000000/(F67*1000000000)</f>
        <v>93233.8306621113</v>
      </c>
      <c r="G75" s="66" t="n">
        <f aca="false">G51*G14*1000000000000000/(G67*1000000000)</f>
        <v>22722.3859765804</v>
      </c>
      <c r="H75" s="66" t="n">
        <f aca="false">H51*H14*1000000000000000/(H67*1000000000)</f>
        <v>7495.02857752464</v>
      </c>
      <c r="I75" s="66" t="n">
        <f aca="false">I51*I14*1000000000000000/(I67*1000000000)</f>
        <v>139850.745993167</v>
      </c>
      <c r="J75" s="66" t="n">
        <f aca="false">J51*J14*1000000000000000/(J67*1000000000)</f>
        <v>34083.5789648707</v>
      </c>
      <c r="K75" s="66" t="n">
        <f aca="false">K51*K14*1000000000000000/(K67*1000000000)</f>
        <v>11242.542866287</v>
      </c>
      <c r="L75" s="66" t="n">
        <f aca="false">L51*L14*1000000000000000/(L67*1000000000)</f>
        <v>326318.40731739</v>
      </c>
      <c r="M75" s="66" t="n">
        <f aca="false">M51*M14*1000000000000000/(M67*1000000000)</f>
        <v>79528.3509180315</v>
      </c>
      <c r="N75" s="66" t="n">
        <f aca="false">N51*N14*1000000000000000/(N67*1000000000)</f>
        <v>26232.6000213363</v>
      </c>
      <c r="O75" s="66" t="n">
        <f aca="false">O51*O14*1000000000000000/(O67*1000000000)</f>
        <v>680606.963833413</v>
      </c>
      <c r="P75" s="66" t="n">
        <f aca="false">P51*P14*1000000000000000/(P67*1000000000)</f>
        <v>165873.417629037</v>
      </c>
      <c r="Q75" s="66" t="n">
        <f aca="false">Q51*Q14*1000000000000000/(Q67*1000000000)</f>
        <v>54713.7086159299</v>
      </c>
      <c r="R75" s="66" t="n">
        <f aca="false">R51*R14*1000000000000000/(R67*1000000000)</f>
        <v>39764.1754590158</v>
      </c>
      <c r="S75" s="66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706</v>
      </c>
      <c r="B76" s="53" t="s">
        <v>315</v>
      </c>
      <c r="C76" s="67" t="n">
        <f aca="false">C43*C67*1000000000/(C51*C14*1000000000000000*C21)</f>
        <v>0.0554984219053125</v>
      </c>
      <c r="D76" s="67" t="n">
        <f aca="false">D43*D67*1000000000/(D51*D14*1000000000000000*D21)</f>
        <v>0.455439008497383</v>
      </c>
      <c r="E76" s="67" t="n">
        <f aca="false">E43*E67*1000000000/(E51*E14*1000000000000000*E21)</f>
        <v>2.76147337740677</v>
      </c>
      <c r="F76" s="67" t="n">
        <f aca="false">F43*F67*1000000000/(F51*F14*1000000000000000*F21)</f>
        <v>0.0109831376950613</v>
      </c>
      <c r="G76" s="67" t="n">
        <f aca="false">G43*G67*1000000000/(G51*G14*1000000000000000*G21)</f>
        <v>0.090131379781632</v>
      </c>
      <c r="H76" s="67" t="n">
        <f aca="false">H43*H67*1000000000/(H51*H14*1000000000000000*H21)</f>
        <v>0.5464955813888</v>
      </c>
      <c r="I76" s="67" t="n">
        <f aca="false">I43*I67*1000000000/(I51*I14*1000000000000000*I21)</f>
        <v>0.00732209179670756</v>
      </c>
      <c r="J76" s="67" t="n">
        <f aca="false">J43*J67*1000000000/(J51*J14*1000000000000000*J21)</f>
        <v>0.060087586521088</v>
      </c>
      <c r="K76" s="67" t="n">
        <f aca="false">K43*K67*1000000000/(K51*K14*1000000000000000*K21)</f>
        <v>0.364330387592533</v>
      </c>
      <c r="L76" s="67" t="n">
        <f aca="false">L43*L67*1000000000/(L51*L14*1000000000000000*L21)</f>
        <v>0.0031380393414461</v>
      </c>
      <c r="M76" s="67" t="n">
        <f aca="false">M43*M67*1000000000/(M51*M14*1000000000000000*M21)</f>
        <v>0.025751822794752</v>
      </c>
      <c r="N76" s="67" t="n">
        <f aca="false">N43*N67*1000000000/(N51*N14*1000000000000000*N21)</f>
        <v>0.156141594682514</v>
      </c>
      <c r="O76" s="67" t="n">
        <f aca="false">O43*O67*1000000000/(O51*O14*1000000000000000*O21)</f>
        <v>0.000752269705141187</v>
      </c>
      <c r="P76" s="67" t="n">
        <f aca="false">P43*P67*1000000000/(P51*P14*1000000000000000*P21)</f>
        <v>0.00617338217682411</v>
      </c>
      <c r="Q76" s="67" t="n">
        <f aca="false">Q43*Q67*1000000000/(Q51*Q14*1000000000000000*Q21)</f>
        <v>0.0374312042047123</v>
      </c>
      <c r="R76" s="67" t="n">
        <f aca="false">R43*R67*1000000000/(R51*R14*1000000000000000*R21)</f>
        <v>0.051503645589504</v>
      </c>
      <c r="S76" s="67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707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82" t="s">
        <v>708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2" t="s">
        <v>709</v>
      </c>
      <c r="B79" s="53" t="s">
        <v>442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  <c r="R79" s="62" t="n">
        <f aca="false">R72/R16+(R29+R47)*R55/1000</f>
        <v>13.4234686812516</v>
      </c>
      <c r="S79" s="62" t="n">
        <f aca="false">S72/S16+(S29+S47)*S55/1000</f>
        <v>23.3440741336009</v>
      </c>
    </row>
    <row r="80" customFormat="false" ht="15" hidden="false" customHeight="false" outlineLevel="0" collapsed="false">
      <c r="A80" s="52" t="s">
        <v>710</v>
      </c>
      <c r="B80" s="53" t="s">
        <v>442</v>
      </c>
      <c r="C80" s="63" t="n">
        <f aca="false">(C47+1)*C65/(C14*C53)/1000</f>
        <v>1.43728766876026</v>
      </c>
      <c r="D80" s="63" t="n">
        <f aca="false">(D47+1)*D65/(D14*D53)/1000</f>
        <v>5.00297599423326</v>
      </c>
      <c r="E80" s="63" t="n">
        <f aca="false">(E47+1)*E65/(E14*E53)/1000</f>
        <v>19.4804183651021</v>
      </c>
      <c r="F80" s="63" t="n">
        <f aca="false">(F47+1)*F65/(F14*F53)/1000</f>
        <v>0.426658844471483</v>
      </c>
      <c r="G80" s="63" t="n">
        <f aca="false">(G47+1)*G65/(G14*G53)/1000</f>
        <v>1.48513342388814</v>
      </c>
      <c r="H80" s="63" t="n">
        <f aca="false">(H47+1)*H65/(H14*H53)/1000</f>
        <v>5.78276219168057</v>
      </c>
      <c r="I80" s="63" t="n">
        <f aca="false">(I47+1)*I65/(I14*I53)/1000</f>
        <v>0.284439229647656</v>
      </c>
      <c r="J80" s="63" t="n">
        <f aca="false">(J47+1)*J65/(J14*J53)/1000</f>
        <v>0.990088949258762</v>
      </c>
      <c r="K80" s="63" t="n">
        <f aca="false">(K47+1)*K65/(K14*K53)/1000</f>
        <v>3.85517479445372</v>
      </c>
      <c r="L80" s="63" t="n">
        <f aca="false">(L47+1)*L65/(L14*L53)/1000</f>
        <v>0.121902526991852</v>
      </c>
      <c r="M80" s="63" t="n">
        <f aca="false">(M47+1)*M65/(M14*M53)/1000</f>
        <v>0.424323835396612</v>
      </c>
      <c r="N80" s="63" t="n">
        <f aca="false">(N47+1)*N65/(N14*N53)/1000</f>
        <v>1.65221776905159</v>
      </c>
      <c r="O80" s="63" t="n">
        <f aca="false">(O47+1)*O65/(O14*O53)/1000</f>
        <v>0.0584464170508881</v>
      </c>
      <c r="P80" s="63" t="n">
        <f aca="false">(P47+1)*P65/(P14*P53)/1000</f>
        <v>0.203442934779198</v>
      </c>
      <c r="Q80" s="63" t="n">
        <f aca="false">(Q47+1)*Q65/(Q14*Q53)/1000</f>
        <v>0.792159204339804</v>
      </c>
      <c r="R80" s="63" t="n">
        <f aca="false">(R47+1)*R65/(R14*R53)/1000</f>
        <v>0.848647670793225</v>
      </c>
      <c r="S80" s="63" t="n">
        <f aca="false">(S47+1)*S65/(S14*S53)/1000</f>
        <v>3.30443553810318</v>
      </c>
    </row>
    <row r="81" customFormat="false" ht="15" hidden="false" customHeight="false" outlineLevel="0" collapsed="false">
      <c r="A81" s="52" t="s">
        <v>711</v>
      </c>
      <c r="B81" s="53" t="s">
        <v>442</v>
      </c>
      <c r="C81" s="63" t="n">
        <f aca="false">C34*C45/(C16*C60)/1000000000</f>
        <v>0.00976402558635395</v>
      </c>
      <c r="D81" s="63" t="n">
        <f aca="false">D34*D45/(D16*D60)/1000000000</f>
        <v>0.0277025842217484</v>
      </c>
      <c r="E81" s="63" t="n">
        <f aca="false">E34*E45/(E16*E60)/1000000000</f>
        <v>0.80487710021322</v>
      </c>
      <c r="F81" s="63" t="n">
        <f aca="false">F34*F45/(F16*F60)/1000000000</f>
        <v>0.00408868571428572</v>
      </c>
      <c r="G81" s="63" t="n">
        <f aca="false">G34*G45/(G16*G60)/1000000000</f>
        <v>0.0116004571428571</v>
      </c>
      <c r="H81" s="63" t="n">
        <f aca="false">H34*H45/(H16*H60)/1000000000</f>
        <v>0.337042285714286</v>
      </c>
      <c r="I81" s="63" t="n">
        <f aca="false">I34*I45/(I16*I60)/1000000000</f>
        <v>0.00408868571428572</v>
      </c>
      <c r="J81" s="63" t="n">
        <f aca="false">J34*J45/(J16*J60)/1000000000</f>
        <v>0.0116004571428571</v>
      </c>
      <c r="K81" s="63" t="n">
        <f aca="false">K34*K45/(K16*K60)/1000000000</f>
        <v>0.337042285714286</v>
      </c>
      <c r="L81" s="63" t="n">
        <f aca="false">L34*L45/(L16*L60)/1000000000</f>
        <v>0.00148679480519481</v>
      </c>
      <c r="M81" s="63" t="n">
        <f aca="false">M34*M45/(M16*M60)/1000000000</f>
        <v>0.00421834805194805</v>
      </c>
      <c r="N81" s="63" t="n">
        <f aca="false">N34*N45/(N16*N60)/1000000000</f>
        <v>0.122560831168831</v>
      </c>
      <c r="O81" s="63" t="n">
        <f aca="false">O34*O45/(O16*O60)/1000000000</f>
        <v>0.00102217142857143</v>
      </c>
      <c r="P81" s="63" t="n">
        <f aca="false">P34*P45/(P16*P60)/1000000000</f>
        <v>0.00290011428571429</v>
      </c>
      <c r="Q81" s="63" t="n">
        <f aca="false">Q34*Q45/(Q16*Q60)/1000000000</f>
        <v>0.0842605714285714</v>
      </c>
      <c r="R81" s="63" t="n">
        <f aca="false">R34*R45/(R16*R60)/1000000000</f>
        <v>0.00421834805194805</v>
      </c>
      <c r="S81" s="63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712</v>
      </c>
      <c r="B82" s="53" t="s">
        <v>442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  <c r="R82" s="63" t="n">
        <f aca="false">(R47+1)*R29*R31*R30*R59*(R71-1)/R71/(R17*R61)/1000000000</f>
        <v>0.0242048</v>
      </c>
      <c r="S82" s="6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713</v>
      </c>
      <c r="B83" s="53" t="s">
        <v>442</v>
      </c>
      <c r="C83" s="63" t="n">
        <f aca="false">MAX(C80,C81,C82)</f>
        <v>1.43728766876026</v>
      </c>
      <c r="D83" s="63" t="n">
        <f aca="false">MAX(D80,D81,D82)</f>
        <v>5.00297599423326</v>
      </c>
      <c r="E83" s="63" t="n">
        <f aca="false">MAX(E80,E81,E82)</f>
        <v>19.4804183651021</v>
      </c>
      <c r="F83" s="63" t="n">
        <f aca="false">MAX(F80,F81,F82)</f>
        <v>0.426658844471483</v>
      </c>
      <c r="G83" s="63" t="n">
        <f aca="false">MAX(G80,G81,G82)</f>
        <v>1.48513342388814</v>
      </c>
      <c r="H83" s="63" t="n">
        <f aca="false">MAX(H80,H81,H82)</f>
        <v>5.78276219168057</v>
      </c>
      <c r="I83" s="63" t="n">
        <f aca="false">MAX(I80,I81,I82)</f>
        <v>0.284439229647656</v>
      </c>
      <c r="J83" s="63" t="n">
        <f aca="false">MAX(J80,J81,J82)</f>
        <v>0.990088949258762</v>
      </c>
      <c r="K83" s="63" t="n">
        <f aca="false">MAX(K80,K81,K82)</f>
        <v>3.85517479445372</v>
      </c>
      <c r="L83" s="63" t="n">
        <f aca="false">MAX(L80,L81,L82)</f>
        <v>0.121902526991852</v>
      </c>
      <c r="M83" s="63" t="n">
        <f aca="false">MAX(M80,M81,M82)</f>
        <v>0.424323835396612</v>
      </c>
      <c r="N83" s="63" t="n">
        <f aca="false">MAX(N80,N81,N82)</f>
        <v>1.65221776905159</v>
      </c>
      <c r="O83" s="63" t="n">
        <f aca="false">MAX(O80,O81,O82)</f>
        <v>0.0584464170508881</v>
      </c>
      <c r="P83" s="63" t="n">
        <f aca="false">MAX(P80,P81,P82)</f>
        <v>0.203442934779198</v>
      </c>
      <c r="Q83" s="63" t="n">
        <f aca="false">MAX(Q80,Q81,Q82)</f>
        <v>0.792159204339804</v>
      </c>
      <c r="R83" s="63" t="n">
        <f aca="false">MAX(R80,R81,R82)</f>
        <v>0.848647670793225</v>
      </c>
      <c r="S83" s="63" t="n">
        <f aca="false">MAX(S80,S81,S82)</f>
        <v>3.30443553810318</v>
      </c>
    </row>
    <row r="84" customFormat="false" ht="15" hidden="false" customHeight="false" outlineLevel="0" collapsed="false">
      <c r="A84" s="52" t="s">
        <v>714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715</v>
      </c>
      <c r="B85" s="52" t="s">
        <v>446</v>
      </c>
      <c r="C85" s="65" t="n">
        <f aca="false">(1000*C49/C41-C79)/C83</f>
        <v>78.3947953006399</v>
      </c>
      <c r="D85" s="65" t="n">
        <f aca="false">(1000*D49/D41-D79)/D83</f>
        <v>20.1617231208348</v>
      </c>
      <c r="E85" s="65" t="n">
        <f aca="false">(1000*E49/E41-E79)/E83</f>
        <v>4.60352474627007</v>
      </c>
      <c r="F85" s="65" t="n">
        <f aca="false">(1000*F49/F41-F79)/F83</f>
        <v>276.540744182222</v>
      </c>
      <c r="G85" s="65" t="n">
        <f aca="false">(1000*G49/G41-G79)/G83</f>
        <v>74.3275848269718</v>
      </c>
      <c r="H85" s="65" t="n">
        <f aca="false">(1000*H49/H41-H79)/H83</f>
        <v>17.1031926702505</v>
      </c>
      <c r="I85" s="65" t="n">
        <f aca="false">(1000*I49/I41-I79)/I83</f>
        <v>414.811116273332</v>
      </c>
      <c r="J85" s="65" t="n">
        <f aca="false">(1000*J49/J41-J79)/J83</f>
        <v>111.491377240458</v>
      </c>
      <c r="K85" s="65" t="n">
        <f aca="false">(1000*K49/K41-K79)/K83</f>
        <v>24.7267643420613</v>
      </c>
      <c r="L85" s="65" t="n">
        <f aca="false">(1000*L49/L41-L79)/L83</f>
        <v>974.619605802452</v>
      </c>
      <c r="M85" s="65" t="n">
        <f aca="false">(1000*M49/M41-M79)/M83</f>
        <v>269.153505816754</v>
      </c>
      <c r="N85" s="65" t="n">
        <f aca="false">(1000*N49/N41-N79)/N83</f>
        <v>63.4020072197159</v>
      </c>
      <c r="O85" s="65" t="n">
        <f aca="false">(1000*O49/O41-O79)/O83</f>
        <v>2036.59267282163</v>
      </c>
      <c r="P85" s="65" t="n">
        <f aca="false">(1000*P49/P41-P79)/P83</f>
        <v>566.86464931404</v>
      </c>
      <c r="Q85" s="65" t="n">
        <f aca="false">(1000*Q49/Q41-Q79)/Q83</f>
        <v>135.733618780264</v>
      </c>
      <c r="R85" s="65" t="n">
        <f aca="false">(1000*R49/R41-R79)/R83</f>
        <v>133.419951783897</v>
      </c>
      <c r="S85" s="65" t="n">
        <f aca="false">(1000*S49/S41-S79)/S83</f>
        <v>31.2628056063393</v>
      </c>
    </row>
    <row r="86" customFormat="false" ht="15" hidden="false" customHeight="false" outlineLevel="0" collapsed="false">
      <c r="A86" s="53" t="s">
        <v>716</v>
      </c>
      <c r="B86" s="52" t="s">
        <v>446</v>
      </c>
      <c r="C86" s="66" t="n">
        <f aca="false">(C69-C72)*1000000000/(C34*C45)</f>
        <v>2718.08712981468</v>
      </c>
      <c r="D86" s="66" t="n">
        <f aca="false">(D69-D72)*1000000000/(D34*D45)</f>
        <v>572.29812662692</v>
      </c>
      <c r="E86" s="66" t="n">
        <f aca="false">(E69-E72)*1000000000/(E34*E45)</f>
        <v>16.4784039406273</v>
      </c>
      <c r="F86" s="66" t="n">
        <f aca="false">(F69-F72)*1000000000/(F34*F45)</f>
        <v>6860.87326841406</v>
      </c>
      <c r="G86" s="66" t="n">
        <f aca="false">(G69-G72)*1000000000/(G34*G45)</f>
        <v>1837.26853644195</v>
      </c>
      <c r="H86" s="66" t="n">
        <f aca="false">(H69-H72)*1000000000/(H34*H45)</f>
        <v>41.0605015418913</v>
      </c>
      <c r="I86" s="66" t="n">
        <f aca="false">(I69-I72)*1000000000/(I34*I45)</f>
        <v>10870.1951601851</v>
      </c>
      <c r="J86" s="66" t="n">
        <f aca="false">(J69-J72)*1000000000/(J34*J45)</f>
        <v>3250.39018682026</v>
      </c>
      <c r="K86" s="66" t="n">
        <f aca="false">(K69-K72)*1000000000/(K34*K45)</f>
        <v>74.5336338210063</v>
      </c>
      <c r="L86" s="66" t="n">
        <f aca="false">(L69-L72)*1000000000/(L34*L45)</f>
        <v>10870.1951601851</v>
      </c>
      <c r="M86" s="66" t="n">
        <f aca="false">(M69-M72)*1000000000/(M34*M45)</f>
        <v>3250.39018682026</v>
      </c>
      <c r="N86" s="66" t="n">
        <f aca="false">(N69-N72)*1000000000/(N34*N45)</f>
        <v>74.5336338210063</v>
      </c>
      <c r="O86" s="66" t="n">
        <f aca="false">(O69-O72)*1000000000/(O34*O45)</f>
        <v>39907.1423866668</v>
      </c>
      <c r="P86" s="66" t="n">
        <f aca="false">(P69-P72)*1000000000/(P34*P45)</f>
        <v>13660.7600574619</v>
      </c>
      <c r="Q86" s="66" t="n">
        <f aca="false">(Q69-Q72)*1000000000/(Q34*Q45)</f>
        <v>443.883721740069</v>
      </c>
      <c r="R86" s="66" t="n">
        <f aca="false">(R69-R72)*1000000000/(R34*R45)</f>
        <v>2917.92538314035</v>
      </c>
      <c r="S86" s="66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717</v>
      </c>
      <c r="B87" s="52" t="s">
        <v>446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5" t="n">
        <f aca="false">MAX(0,MIN(R85,R86))</f>
        <v>133.419951783897</v>
      </c>
      <c r="S87" s="65" t="n">
        <f aca="false">MAX(0,MIN(S85,S86))</f>
        <v>31.2628056063393</v>
      </c>
    </row>
    <row r="88" customFormat="false" ht="15" hidden="false" customHeight="false" outlineLevel="0" collapsed="false">
      <c r="A88" s="53" t="s">
        <v>718</v>
      </c>
      <c r="B88" s="53" t="s">
        <v>312</v>
      </c>
      <c r="C88" s="61" t="n">
        <f aca="false">IF(C87&gt;0,C87*C49/((C79+C87*C83)/1000),0)</f>
        <v>1567.8959060128</v>
      </c>
      <c r="D88" s="61" t="n">
        <f aca="false">IF(D87&gt;0,D87*D49/((D79+D87*D83)/1000),0)</f>
        <v>403.234462416695</v>
      </c>
      <c r="E88" s="61" t="n">
        <f aca="false">IF(E87&gt;0,E87*E49/((E79+E87*E83)/1000),0)</f>
        <v>92.0704949254014</v>
      </c>
      <c r="F88" s="61" t="n">
        <f aca="false">IF(F87&gt;0,F87*F49/((F79+F87*F83)/1000),0)</f>
        <v>5530.81488364443</v>
      </c>
      <c r="G88" s="61" t="n">
        <f aca="false">IF(G87&gt;0,G87*G49/((G79+G87*G83)/1000),0)</f>
        <v>1486.55169653944</v>
      </c>
      <c r="H88" s="61" t="n">
        <f aca="false">IF(H87&gt;0,H87*H49/((H79+H87*H83)/1000),0)</f>
        <v>342.06385340501</v>
      </c>
      <c r="I88" s="61" t="n">
        <f aca="false">IF(I87&gt;0,I87*I49/((I79+I87*I83)/1000),0)</f>
        <v>8296.22232546665</v>
      </c>
      <c r="J88" s="61" t="n">
        <f aca="false">IF(J87&gt;0,J87*J49/((J79+J87*J83)/1000),0)</f>
        <v>2229.82754480915</v>
      </c>
      <c r="K88" s="61" t="n">
        <f aca="false">IF(K87&gt;0,K87*K49/((K79+K87*K83)/1000),0)</f>
        <v>494.535286841225</v>
      </c>
      <c r="L88" s="61" t="n">
        <f aca="false">IF(L87&gt;0,L87*L49/((L79+L87*L83)/1000),0)</f>
        <v>19492.392116049</v>
      </c>
      <c r="M88" s="61" t="n">
        <f aca="false">IF(M87&gt;0,M87*M49/((M79+M87*M83)/1000),0)</f>
        <v>5383.07011633508</v>
      </c>
      <c r="N88" s="61" t="n">
        <f aca="false">IF(N87&gt;0,N87*N49/((N79+N87*N83)/1000),0)</f>
        <v>1268.04014439432</v>
      </c>
      <c r="O88" s="61" t="n">
        <f aca="false">IF(O87&gt;0,O87*O49/((O79+O87*O83)/1000),0)</f>
        <v>40731.8534564327</v>
      </c>
      <c r="P88" s="61" t="n">
        <f aca="false">IF(P87&gt;0,P87*P49/((P79+P87*P83)/1000),0)</f>
        <v>11337.2929862808</v>
      </c>
      <c r="Q88" s="61" t="n">
        <f aca="false">IF(Q87&gt;0,Q87*Q49/((Q79+Q87*Q83)/1000),0)</f>
        <v>2714.67237560528</v>
      </c>
      <c r="R88" s="66" t="n">
        <f aca="false">IF(R87&gt;0,R87*R49/((R79+R87*R83)/1000),0)</f>
        <v>2668.39903567794</v>
      </c>
      <c r="S88" s="66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719</v>
      </c>
      <c r="B89" s="53" t="s">
        <v>312</v>
      </c>
      <c r="C89" s="66" t="n">
        <f aca="false">IF(C87&gt;0,C49/((C79+C87*C83)/1000),0)</f>
        <v>20</v>
      </c>
      <c r="D89" s="66" t="n">
        <f aca="false">IF(D87&gt;0,D49/((D79+D87*D83)/1000),0)</f>
        <v>20</v>
      </c>
      <c r="E89" s="66" t="n">
        <f aca="false">IF(E87&gt;0,E49/((E79+E87*E83)/1000),0)</f>
        <v>20</v>
      </c>
      <c r="F89" s="66" t="n">
        <f aca="false">IF(F87&gt;0,F49/((F79+F87*F83)/1000),0)</f>
        <v>20</v>
      </c>
      <c r="G89" s="66" t="n">
        <f aca="false">IF(G87&gt;0,G49/((G79+G87*G83)/1000),0)</f>
        <v>20</v>
      </c>
      <c r="H89" s="66" t="n">
        <f aca="false">IF(H87&gt;0,H49/((H79+H87*H83)/1000),0)</f>
        <v>20</v>
      </c>
      <c r="I89" s="66" t="n">
        <f aca="false">IF(I87&gt;0,I49/((I79+I87*I83)/1000),0)</f>
        <v>20</v>
      </c>
      <c r="J89" s="66" t="n">
        <f aca="false">IF(J87&gt;0,J49/((J79+J87*J83)/1000),0)</f>
        <v>20</v>
      </c>
      <c r="K89" s="66" t="n">
        <f aca="false">IF(K87&gt;0,K49/((K79+K87*K83)/1000),0)</f>
        <v>20</v>
      </c>
      <c r="L89" s="66" t="n">
        <f aca="false">IF(L87&gt;0,L49/((L79+L87*L83)/1000),0)</f>
        <v>20</v>
      </c>
      <c r="M89" s="66" t="n">
        <f aca="false">IF(M87&gt;0,M49/((M79+M87*M83)/1000),0)</f>
        <v>20</v>
      </c>
      <c r="N89" s="66" t="n">
        <f aca="false">IF(N87&gt;0,N49/((N79+N87*N83)/1000),0)</f>
        <v>20</v>
      </c>
      <c r="O89" s="66" t="n">
        <f aca="false">IF(O87&gt;0,O49/((O79+O87*O83)/1000),0)</f>
        <v>20</v>
      </c>
      <c r="P89" s="66" t="n">
        <f aca="false">IF(P87&gt;0,P49/((P79+P87*P83)/1000),0)</f>
        <v>20</v>
      </c>
      <c r="Q89" s="66" t="n">
        <f aca="false">IF(Q87&gt;0,Q49/((Q79+Q87*Q83)/1000),0)</f>
        <v>20</v>
      </c>
      <c r="R89" s="66" t="n">
        <f aca="false">IF(R87&gt;0,R49/((R79+R87*R83)/1000),0)</f>
        <v>20</v>
      </c>
      <c r="S89" s="66" t="n">
        <f aca="false">IF(S87&gt;0,S49/((S79+S87*S83)/1000),0)</f>
        <v>20</v>
      </c>
    </row>
    <row r="90" customFormat="false" ht="15" hidden="false" customHeight="false" outlineLevel="0" collapsed="false">
      <c r="A90" s="52" t="s">
        <v>720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721</v>
      </c>
      <c r="B91" s="53" t="s">
        <v>69</v>
      </c>
      <c r="C91" s="76" t="n">
        <f aca="false">C87*C34*C45/1000000000/C69</f>
        <v>0.0249302417482284</v>
      </c>
      <c r="D91" s="76" t="n">
        <f aca="false">D87*D34*D45/1000000000/D69</f>
        <v>0.0181910714991752</v>
      </c>
      <c r="E91" s="76" t="n">
        <f aca="false">E87*E34*E45/1000000000/E69</f>
        <v>0.120678639108622</v>
      </c>
      <c r="F91" s="76" t="n">
        <f aca="false">F87*F34*F45/1000000000/F69</f>
        <v>0.0378246945332881</v>
      </c>
      <c r="G91" s="76" t="n">
        <f aca="false">G87*G34*G45/1000000000/G69</f>
        <v>0.0288441468875582</v>
      </c>
      <c r="H91" s="76" t="n">
        <f aca="false">H87*H34*H45/1000000000/H69</f>
        <v>0.192838681262372</v>
      </c>
      <c r="I91" s="76" t="n">
        <f aca="false">I87*I34*I45/1000000000/I69</f>
        <v>0.0366426728291228</v>
      </c>
      <c r="J91" s="76" t="n">
        <f aca="false">J87*J34*J45/1000000000/J69</f>
        <v>0.027942767297322</v>
      </c>
      <c r="K91" s="76" t="n">
        <f aca="false">K87*K34*K45/1000000000/K69</f>
        <v>0.18005480310237</v>
      </c>
      <c r="L91" s="76" t="n">
        <f aca="false">L87*L34*L45/1000000000/L69</f>
        <v>0.0860938049807124</v>
      </c>
      <c r="M91" s="76" t="n">
        <f aca="false">M87*M34*M45/1000000000/M69</f>
        <v>0.0674571788998119</v>
      </c>
      <c r="N91" s="76" t="n">
        <f aca="false">N87*N34*N45/1000000000/N69</f>
        <v>0.461679327239034</v>
      </c>
      <c r="O91" s="76" t="n">
        <f aca="false">O87*O34*O45/1000000000/O69</f>
        <v>0.0505980135158797</v>
      </c>
      <c r="P91" s="76" t="n">
        <f aca="false">P87*P34*P45/1000000000/P69</f>
        <v>0.0399576592805363</v>
      </c>
      <c r="Q91" s="76" t="n">
        <f aca="false">Q87*Q34*Q45/1000000000/Q69</f>
        <v>0.277982451261981</v>
      </c>
      <c r="R91" s="76" t="n">
        <f aca="false">R87*R34*R45/1000000000/R69</f>
        <v>0.0334386636688214</v>
      </c>
      <c r="S91" s="76" t="n">
        <f aca="false">S87*S34*S45/1000000000/S69</f>
        <v>0.227648803135228</v>
      </c>
    </row>
    <row r="92" customFormat="false" ht="15" hidden="false" customHeight="false" outlineLevel="0" collapsed="false">
      <c r="A92" s="82" t="s">
        <v>722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723</v>
      </c>
      <c r="B93" s="53" t="s">
        <v>724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725</v>
      </c>
      <c r="B94" s="53" t="s">
        <v>69</v>
      </c>
      <c r="C94" s="76" t="n">
        <f aca="false">IF(C93&gt;0,(C43/C75)/C93,0)</f>
        <v>0.0783208956428775</v>
      </c>
      <c r="D94" s="76" t="n">
        <f aca="false">IF(D93&gt;0,(D43/D75)/D93,0)</f>
        <v>0.0822928373296488</v>
      </c>
      <c r="E94" s="76" t="n">
        <f aca="false">IF(E93&gt;0,(E43/E75)/E93,0)</f>
        <v>0.058444964700719</v>
      </c>
      <c r="F94" s="76" t="n">
        <f aca="false">IF(F93&gt;0,(F43/F75)/F93,0)</f>
        <v>0.0288065561398336</v>
      </c>
      <c r="G94" s="76" t="n">
        <f aca="false">IF(G93&gt;0,(G43/G75)/G93,0)</f>
        <v>0.0316750430402346</v>
      </c>
      <c r="H94" s="76" t="n">
        <f aca="false">IF(H93&gt;0,(H43/H75)/H93,0)</f>
        <v>0.022310276133119</v>
      </c>
      <c r="I94" s="76" t="n">
        <f aca="false">IF(I93&gt;0,(I43/I75)/I93,0)</f>
        <v>0.0288065561398336</v>
      </c>
      <c r="J94" s="76" t="n">
        <f aca="false">IF(J93&gt;0,(J43/J75)/J93,0)</f>
        <v>0.0316750430402346</v>
      </c>
      <c r="K94" s="76" t="n">
        <f aca="false">IF(K93&gt;0,(K43/K75)/K93,0)</f>
        <v>0.0215206023817103</v>
      </c>
      <c r="L94" s="76" t="n">
        <f aca="false">IF(L93&gt;0,(L43/L75)/L93,0)</f>
        <v>0.0290009598158636</v>
      </c>
      <c r="M94" s="76" t="n">
        <f aca="false">IF(M93&gt;0,(M43/M75)/M93,0)</f>
        <v>0.0327358159916043</v>
      </c>
      <c r="N94" s="76" t="n">
        <f aca="false">IF(N93&gt;0,(N43/N75)/N93,0)</f>
        <v>0.0235988029007699</v>
      </c>
      <c r="O94" s="76" t="n">
        <f aca="false">IF(O93&gt;0,(O43/O75)/O93,0)</f>
        <v>0.0290538007994844</v>
      </c>
      <c r="P94" s="76" t="n">
        <f aca="false">IF(P93&gt;0,(P43/P75)/P93,0)</f>
        <v>0.033045227257514</v>
      </c>
      <c r="Q94" s="76" t="n">
        <f aca="false">IF(Q93&gt;0,(Q43/Q75)/Q93,0)</f>
        <v>0.024207435273478</v>
      </c>
      <c r="R94" s="76" t="n">
        <f aca="false">IF(R93&gt;0,(R43/R75)/R93,0)</f>
        <v>0.032463558926365</v>
      </c>
      <c r="S94" s="76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726</v>
      </c>
      <c r="B95" s="53" t="s">
        <v>312</v>
      </c>
      <c r="C95" s="61" t="n">
        <f aca="false">IF(C93&gt;0,C22*(C43+C44)/C93,0)</f>
        <v>69364.6509301956</v>
      </c>
      <c r="D95" s="61" t="n">
        <f aca="false">IF(D93&gt;0,D22*(D43+D44)/D93,0)</f>
        <v>17762.4554109758</v>
      </c>
      <c r="E95" s="61" t="n">
        <f aca="false">IF(E93&gt;0,E22*(E43+E44)/E93,0)</f>
        <v>4161.09302877641</v>
      </c>
      <c r="F95" s="61" t="n">
        <f aca="false">IF(F93&gt;0,F22*(F43+F44)/F93,0)</f>
        <v>580121.044653568</v>
      </c>
      <c r="G95" s="61" t="n">
        <f aca="false">IF(G93&gt;0,G22*(G43+G44)/G93,0)</f>
        <v>155462.231617562</v>
      </c>
      <c r="H95" s="61" t="n">
        <f aca="false">IF(H93&gt;0,H22*(H43+H44)/H93,0)</f>
        <v>36118.6899530816</v>
      </c>
      <c r="I95" s="61" t="n">
        <f aca="false">IF(I93&gt;0,I22*(I43+I44)/I93,0)</f>
        <v>870181.566980352</v>
      </c>
      <c r="J95" s="61" t="n">
        <f aca="false">IF(J93&gt;0,J22*(J43+J44)/J93,0)</f>
        <v>233193.347426342</v>
      </c>
      <c r="K95" s="61" t="n">
        <f aca="false">IF(K93&gt;0,K22*(K43+K44)/K93,0)</f>
        <v>52260.3996734942</v>
      </c>
      <c r="L95" s="61" t="n">
        <f aca="false">IF(L93&gt;0,L22*(L43+L44)/L93,0)</f>
        <v>2044126.15584226</v>
      </c>
      <c r="M95" s="61" t="n">
        <f aca="false">IF(M93&gt;0,M22*(M43+M44)/M93,0)</f>
        <v>562339.899741978</v>
      </c>
      <c r="N95" s="61" t="n">
        <f aca="false">IF(N93&gt;0,N22*(N43+N44)/N93,0)</f>
        <v>133716.518815301</v>
      </c>
      <c r="O95" s="61" t="n">
        <f aca="false">IF(O93&gt;0,O22*(O43+O44)/O93,0)</f>
        <v>8542462.67278178</v>
      </c>
      <c r="P95" s="61" t="n">
        <f aca="false">IF(P93&gt;0,P22*(P43+P44)/P93,0)</f>
        <v>2367932.30562185</v>
      </c>
      <c r="Q95" s="61" t="n">
        <f aca="false">IF(Q93&gt;0,Q22*(Q43+Q44)/Q93,0)</f>
        <v>572174.73787337</v>
      </c>
      <c r="R95" s="66" t="n">
        <f aca="false">IF(R93&gt;0,R22*(R43+R44)/R93,0)</f>
        <v>278831.517085168</v>
      </c>
      <c r="S95" s="66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727</v>
      </c>
      <c r="B96" s="53" t="s">
        <v>312</v>
      </c>
      <c r="C96" s="66" t="n">
        <f aca="false">C95*C44/(C43+C44)</f>
        <v>46243.1006201304</v>
      </c>
      <c r="D96" s="66" t="n">
        <f aca="false">D95*D44/(D43+D44)</f>
        <v>11841.6369406506</v>
      </c>
      <c r="E96" s="66" t="n">
        <f aca="false">E95*E44/(E43+E44)</f>
        <v>2774.06201918427</v>
      </c>
      <c r="F96" s="66" t="n">
        <f aca="false">F95*F44/(F43+F44)</f>
        <v>386747.363102379</v>
      </c>
      <c r="G96" s="66" t="n">
        <f aca="false">G95*G44/(G43+G44)</f>
        <v>103641.487745041</v>
      </c>
      <c r="H96" s="66" t="n">
        <f aca="false">H95*H44/(H43+H44)</f>
        <v>24079.1266353877</v>
      </c>
      <c r="I96" s="66" t="n">
        <f aca="false">I95*I44/(I43+I44)</f>
        <v>580121.044653568</v>
      </c>
      <c r="J96" s="66" t="n">
        <f aca="false">J95*J44/(J43+J44)</f>
        <v>155462.231617562</v>
      </c>
      <c r="K96" s="66" t="n">
        <f aca="false">K95*K44/(K43+K44)</f>
        <v>34840.2664489961</v>
      </c>
      <c r="L96" s="66" t="n">
        <f aca="false">L95*L44/(L43+L44)</f>
        <v>1362750.7705615</v>
      </c>
      <c r="M96" s="66" t="n">
        <f aca="false">M95*M44/(M43+M44)</f>
        <v>374893.266494652</v>
      </c>
      <c r="N96" s="66" t="n">
        <f aca="false">N95*N44/(N43+N44)</f>
        <v>89144.3458768675</v>
      </c>
      <c r="O96" s="66" t="n">
        <f aca="false">O95*O44/(O43+O44)</f>
        <v>5694975.11518786</v>
      </c>
      <c r="P96" s="66" t="n">
        <f aca="false">P95*P44/(P43+P44)</f>
        <v>1578621.53708123</v>
      </c>
      <c r="Q96" s="66" t="n">
        <f aca="false">Q95*Q44/(Q43+Q44)</f>
        <v>381449.825248913</v>
      </c>
      <c r="R96" s="66" t="n">
        <f aca="false">R95*R44/(R43+R44)</f>
        <v>185887.678056779</v>
      </c>
      <c r="S96" s="66" t="n">
        <f aca="false">S95*S44/(S43+S44)</f>
        <v>43970.4020363522</v>
      </c>
    </row>
    <row r="97" customFormat="false" ht="15" hidden="false" customHeight="false" outlineLevel="0" collapsed="false">
      <c r="A97" s="52" t="s">
        <v>728</v>
      </c>
      <c r="B97" s="53" t="s">
        <v>312</v>
      </c>
      <c r="C97" s="66" t="n">
        <f aca="false">C95-C96</f>
        <v>23121.5503100652</v>
      </c>
      <c r="D97" s="66" t="n">
        <f aca="false">D95-D96</f>
        <v>5920.81847032528</v>
      </c>
      <c r="E97" s="66" t="n">
        <f aca="false">E95-E96</f>
        <v>1387.03100959214</v>
      </c>
      <c r="F97" s="66" t="n">
        <f aca="false">F95-F96</f>
        <v>193373.681551189</v>
      </c>
      <c r="G97" s="66" t="n">
        <f aca="false">G95-G96</f>
        <v>51820.7438725206</v>
      </c>
      <c r="H97" s="66" t="n">
        <f aca="false">H95-H96</f>
        <v>12039.5633176939</v>
      </c>
      <c r="I97" s="66" t="n">
        <f aca="false">I95-I96</f>
        <v>290060.522326784</v>
      </c>
      <c r="J97" s="66" t="n">
        <f aca="false">J95-J96</f>
        <v>77731.1158087808</v>
      </c>
      <c r="K97" s="66" t="n">
        <f aca="false">K95-K96</f>
        <v>17420.1332244981</v>
      </c>
      <c r="L97" s="66" t="n">
        <f aca="false">L95-L96</f>
        <v>681375.385280752</v>
      </c>
      <c r="M97" s="66" t="n">
        <f aca="false">M95-M96</f>
        <v>187446.633247326</v>
      </c>
      <c r="N97" s="66" t="n">
        <f aca="false">N95-N96</f>
        <v>44572.1729384337</v>
      </c>
      <c r="O97" s="66" t="n">
        <f aca="false">O95-O96</f>
        <v>2847487.55759393</v>
      </c>
      <c r="P97" s="66" t="n">
        <f aca="false">P95-P96</f>
        <v>789310.768540617</v>
      </c>
      <c r="Q97" s="66" t="n">
        <f aca="false">Q95-Q96</f>
        <v>190724.912624457</v>
      </c>
      <c r="R97" s="66" t="n">
        <f aca="false">R95-R96</f>
        <v>92943.8390283894</v>
      </c>
      <c r="S97" s="66" t="n">
        <f aca="false">S95-S96</f>
        <v>21985.2010181761</v>
      </c>
    </row>
    <row r="98" customFormat="false" ht="15" hidden="false" customHeight="false" outlineLevel="0" collapsed="false">
      <c r="A98" s="52" t="s">
        <v>729</v>
      </c>
      <c r="B98" s="53" t="s">
        <v>730</v>
      </c>
      <c r="C98" s="61" t="n">
        <f aca="false">C95*C25*8760*3600/1000000</f>
        <v>49084945212.4937</v>
      </c>
      <c r="D98" s="61" t="n">
        <f aca="false">D95*D25*8760*3600/1000000</f>
        <v>12569358296.9877</v>
      </c>
      <c r="E98" s="61" t="n">
        <f aca="false">E95*E25*8760*3600/1000000</f>
        <v>2944540491.48351</v>
      </c>
      <c r="F98" s="61" t="n">
        <f aca="false">F95*F25*8760*3600/1000000</f>
        <v>129453277841.443</v>
      </c>
      <c r="G98" s="61" t="n">
        <f aca="false">G95*G25*8760*3600/1000000</f>
        <v>34691200481.1981</v>
      </c>
      <c r="H98" s="61" t="n">
        <f aca="false">H95*H25*8760*3600/1000000</f>
        <v>8059840009.00606</v>
      </c>
      <c r="I98" s="61" t="n">
        <f aca="false">I95*I25*8760*3600/1000000</f>
        <v>184273338193.603</v>
      </c>
      <c r="J98" s="61" t="n">
        <f aca="false">J95*J25*8760*3600/1000000</f>
        <v>49382011990.7954</v>
      </c>
      <c r="K98" s="61" t="n">
        <f aca="false">K95*K25*8760*3600/1000000</f>
        <v>11066883818.9537</v>
      </c>
      <c r="L98" s="61" t="n">
        <f aca="false">L95*L25*8760*3600/1000000</f>
        <v>261206355049.999</v>
      </c>
      <c r="M98" s="61" t="n">
        <f aca="false">M95*M25*8760*3600/1000000</f>
        <v>71857969769.1218</v>
      </c>
      <c r="N98" s="61" t="n">
        <f aca="false">N95*N25*8760*3600/1000000</f>
        <v>17086814524.58</v>
      </c>
      <c r="O98" s="61" t="n">
        <f aca="false">O95*O25*8760*3600/1000000</f>
        <v>412982692667.282</v>
      </c>
      <c r="P98" s="61" t="n">
        <f aca="false">P95*P25*8760*3600/1000000</f>
        <v>114476948520.409</v>
      </c>
      <c r="Q98" s="61" t="n">
        <f aca="false">Q95*Q25*8760*3600/1000000</f>
        <v>27661609183.9699</v>
      </c>
      <c r="R98" s="66" t="n">
        <f aca="false">R95*R25*8760*3600/1000000</f>
        <v>35630170888.777</v>
      </c>
      <c r="S98" s="66" t="n">
        <f aca="false">S95*S25*8760*3600/1000000</f>
        <v>8428062338.40266</v>
      </c>
    </row>
    <row r="99" customFormat="false" ht="15" hidden="false" customHeight="false" outlineLevel="0" collapsed="false">
      <c r="A99" s="52" t="s">
        <v>731</v>
      </c>
      <c r="B99" s="53" t="s">
        <v>730</v>
      </c>
      <c r="C99" s="66" t="n">
        <f aca="false">C96*C25*8760*3600/1000000</f>
        <v>32723296808.3292</v>
      </c>
      <c r="D99" s="66" t="n">
        <f aca="false">D96*D25*8760*3600/1000000</f>
        <v>8379572197.99182</v>
      </c>
      <c r="E99" s="66" t="n">
        <f aca="false">E96*E25*8760*3600/1000000</f>
        <v>1963026994.32234</v>
      </c>
      <c r="F99" s="66" t="n">
        <f aca="false">F96*F25*8760*3600/1000000</f>
        <v>86302185227.6288</v>
      </c>
      <c r="G99" s="66" t="n">
        <f aca="false">G96*G25*8760*3600/1000000</f>
        <v>23127466987.4654</v>
      </c>
      <c r="H99" s="66" t="n">
        <f aca="false">H96*H25*8760*3600/1000000</f>
        <v>5373226672.67071</v>
      </c>
      <c r="I99" s="66" t="n">
        <f aca="false">I96*I25*8760*3600/1000000</f>
        <v>122848892129.069</v>
      </c>
      <c r="J99" s="66" t="n">
        <f aca="false">J96*J25*8760*3600/1000000</f>
        <v>32921341327.1969</v>
      </c>
      <c r="K99" s="66" t="n">
        <f aca="false">K96*K25*8760*3600/1000000</f>
        <v>7377922545.96916</v>
      </c>
      <c r="L99" s="66" t="n">
        <f aca="false">L96*L25*8760*3600/1000000</f>
        <v>174137570033.333</v>
      </c>
      <c r="M99" s="66" t="n">
        <f aca="false">M96*M25*8760*3600/1000000</f>
        <v>47905313179.4145</v>
      </c>
      <c r="N99" s="66" t="n">
        <f aca="false">N96*N25*8760*3600/1000000</f>
        <v>11391209683.0534</v>
      </c>
      <c r="O99" s="66" t="n">
        <f aca="false">O96*O25*8760*3600/1000000</f>
        <v>275321795111.521</v>
      </c>
      <c r="P99" s="66" t="n">
        <f aca="false">P96*P25*8760*3600/1000000</f>
        <v>76317965680.2727</v>
      </c>
      <c r="Q99" s="66" t="n">
        <f aca="false">Q96*Q25*8760*3600/1000000</f>
        <v>18441072789.3132</v>
      </c>
      <c r="R99" s="66" t="n">
        <f aca="false">R96*R25*8760*3600/1000000</f>
        <v>23753447259.1846</v>
      </c>
      <c r="S99" s="66" t="n">
        <f aca="false">S96*S25*8760*3600/1000000</f>
        <v>5618708225.60177</v>
      </c>
    </row>
    <row r="100" customFormat="false" ht="15" hidden="false" customHeight="false" outlineLevel="0" collapsed="false">
      <c r="A100" s="82" t="s">
        <v>732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2" t="s">
        <v>733</v>
      </c>
      <c r="B101" s="53" t="s">
        <v>734</v>
      </c>
      <c r="C101" s="65" t="n">
        <f aca="false">1000000/C75</f>
        <v>108.395355283813</v>
      </c>
      <c r="D101" s="65" t="n">
        <f aca="false">1000000/D75</f>
        <v>444.764656735725</v>
      </c>
      <c r="E101" s="65" t="n">
        <f aca="false">1000000/E75</f>
        <v>1348.3756725619</v>
      </c>
      <c r="F101" s="65" t="n">
        <f aca="false">1000000/F75</f>
        <v>10.7257204053333</v>
      </c>
      <c r="G101" s="65" t="n">
        <f aca="false">1000000/G75</f>
        <v>44.009462784</v>
      </c>
      <c r="H101" s="65" t="n">
        <f aca="false">1000000/H75</f>
        <v>133.4217728</v>
      </c>
      <c r="I101" s="65" t="n">
        <f aca="false">1000000/I75</f>
        <v>7.15048027022222</v>
      </c>
      <c r="J101" s="65" t="n">
        <f aca="false">1000000/J75</f>
        <v>29.339641856</v>
      </c>
      <c r="K101" s="65" t="n">
        <f aca="false">1000000/K75</f>
        <v>88.9478485333333</v>
      </c>
      <c r="L101" s="65" t="n">
        <f aca="false">1000000/L75</f>
        <v>3.06449154438095</v>
      </c>
      <c r="M101" s="65" t="n">
        <f aca="false">1000000/M75</f>
        <v>12.574132224</v>
      </c>
      <c r="N101" s="65" t="n">
        <f aca="false">1000000/N75</f>
        <v>38.1205065142857</v>
      </c>
      <c r="O101" s="65" t="n">
        <f aca="false">1000000/O75</f>
        <v>1.46927676785388</v>
      </c>
      <c r="P101" s="65" t="n">
        <f aca="false">1000000/P75</f>
        <v>6.02869353205479</v>
      </c>
      <c r="Q101" s="65" t="n">
        <f aca="false">1000000/Q75</f>
        <v>18.2769551780822</v>
      </c>
      <c r="R101" s="65" t="n">
        <f aca="false">1000000/R75</f>
        <v>25.148264448</v>
      </c>
      <c r="S101" s="65" t="n">
        <f aca="false">1000000/S75</f>
        <v>76.2410130285714</v>
      </c>
    </row>
    <row r="102" customFormat="false" ht="15" hidden="false" customHeight="false" outlineLevel="0" collapsed="false">
      <c r="A102" s="52" t="s">
        <v>735</v>
      </c>
      <c r="B102" s="53" t="s">
        <v>734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736</v>
      </c>
      <c r="B103" s="53" t="s">
        <v>734</v>
      </c>
      <c r="C103" s="65" t="n">
        <f aca="false">IF(C88&gt;0,1000000/C88,0)</f>
        <v>637.797443162555</v>
      </c>
      <c r="D103" s="65" t="n">
        <f aca="false">IF(D88&gt;0,1000000/D88,0)</f>
        <v>2479.94676349518</v>
      </c>
      <c r="E103" s="65" t="n">
        <f aca="false">IF(E88&gt;0,1000000/E88,0)</f>
        <v>10861.2427989035</v>
      </c>
      <c r="F103" s="65" t="n">
        <f aca="false">IF(F88&gt;0,1000000/F88,0)</f>
        <v>180.805183510512</v>
      </c>
      <c r="G103" s="65" t="n">
        <f aca="false">IF(G88&gt;0,1000000/G88,0)</f>
        <v>672.697762430943</v>
      </c>
      <c r="H103" s="65" t="n">
        <f aca="false">IF(H88&gt;0,1000000/H88,0)</f>
        <v>2923.43078652038</v>
      </c>
      <c r="I103" s="65" t="n">
        <f aca="false">IF(I88&gt;0,1000000/I88,0)</f>
        <v>120.536789007008</v>
      </c>
      <c r="J103" s="65" t="n">
        <f aca="false">IF(J88&gt;0,1000000/J88,0)</f>
        <v>448.465174953962</v>
      </c>
      <c r="K103" s="65" t="n">
        <f aca="false">IF(K88&gt;0,1000000/K88,0)</f>
        <v>2022.10039729897</v>
      </c>
      <c r="L103" s="65" t="n">
        <f aca="false">IF(L88&gt;0,1000000/L88,0)</f>
        <v>51.3020666753698</v>
      </c>
      <c r="M103" s="65" t="n">
        <f aca="false">IF(M88&gt;0,1000000/M88,0)</f>
        <v>185.7675970011</v>
      </c>
      <c r="N103" s="65" t="n">
        <f aca="false">IF(N88&gt;0,1000000/N88,0)</f>
        <v>788.618565761301</v>
      </c>
      <c r="O103" s="65" t="n">
        <f aca="false">IF(O88&gt;0,1000000/O88,0)</f>
        <v>24.5508101189064</v>
      </c>
      <c r="P103" s="65" t="n">
        <f aca="false">IF(P88&gt;0,1000000/P88,0)</f>
        <v>88.2044771366583</v>
      </c>
      <c r="Q103" s="65" t="n">
        <f aca="false">IF(Q88&gt;0,1000000/Q88,0)</f>
        <v>368.368576991554</v>
      </c>
      <c r="R103" s="65" t="n">
        <f aca="false">IF(R88&gt;0,1000000/R88,0)</f>
        <v>374.756543766303</v>
      </c>
      <c r="S103" s="65" t="n">
        <f aca="false">IF(S88&gt;0,1000000/S88,0)</f>
        <v>1599.34462151603</v>
      </c>
    </row>
    <row r="104" customFormat="false" ht="15" hidden="false" customHeight="false" outlineLevel="0" collapsed="false">
      <c r="A104" s="52" t="s">
        <v>737</v>
      </c>
      <c r="B104" s="53" t="s">
        <v>738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739</v>
      </c>
      <c r="B105" s="53" t="s">
        <v>738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82" t="s">
        <v>740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2" t="s">
        <v>741</v>
      </c>
      <c r="B107" s="53" t="s">
        <v>742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743</v>
      </c>
      <c r="B108" s="53" t="s">
        <v>670</v>
      </c>
      <c r="C108" s="84" t="n">
        <f aca="false">IF(C$6=1,Energy!$C$7,Energy!$C$6)</f>
        <v>40</v>
      </c>
      <c r="D108" s="84" t="n">
        <f aca="false">IF(D$6=1,Energy!$C$7,Energy!$C$6)</f>
        <v>40</v>
      </c>
      <c r="E108" s="84" t="n">
        <f aca="false">IF(E$6=1,Energy!$C$7,Energy!$C$6)</f>
        <v>40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  <c r="R108" s="84" t="n">
        <f aca="false">IF(R$6=1,Energy!$C$7,Energy!$C$6)</f>
        <v>10</v>
      </c>
      <c r="S108" s="84" t="n">
        <f aca="false">IF(S$6=1,Energy!$C$7,Energy!$C$6)</f>
        <v>10</v>
      </c>
    </row>
    <row r="109" customFormat="false" ht="15" hidden="false" customHeight="false" outlineLevel="0" collapsed="false">
      <c r="A109" s="53" t="s">
        <v>744</v>
      </c>
      <c r="B109" s="53" t="s">
        <v>431</v>
      </c>
      <c r="C109" s="65" t="n">
        <f aca="false">(C47+1)*C65/C49</f>
        <v>60.7098301902882</v>
      </c>
      <c r="D109" s="65" t="n">
        <f aca="false">(D47+1)*D65/D49</f>
        <v>211.321525716542</v>
      </c>
      <c r="E109" s="65" t="n">
        <f aca="false">(E47+1)*E65/E49</f>
        <v>822.836594709831</v>
      </c>
      <c r="F109" s="65" t="n">
        <f aca="false">(F47+1)*F65/F49</f>
        <v>60.7098301902882</v>
      </c>
      <c r="G109" s="65" t="n">
        <f aca="false">(G47+1)*G65/G49</f>
        <v>211.321525716542</v>
      </c>
      <c r="H109" s="65" t="n">
        <f aca="false">(H47+1)*H65/H49</f>
        <v>822.836594709831</v>
      </c>
      <c r="I109" s="65" t="n">
        <f aca="false">(I47+1)*I65/I49</f>
        <v>60.7098301902882</v>
      </c>
      <c r="J109" s="65" t="n">
        <f aca="false">(J47+1)*J65/J49</f>
        <v>211.321525716542</v>
      </c>
      <c r="K109" s="65" t="n">
        <f aca="false">(K47+1)*K65/K49</f>
        <v>822.836594709831</v>
      </c>
      <c r="L109" s="65" t="n">
        <f aca="false">(L47+1)*L65/L49</f>
        <v>60.7098301902882</v>
      </c>
      <c r="M109" s="65" t="n">
        <f aca="false">(M47+1)*M65/M49</f>
        <v>211.321525716542</v>
      </c>
      <c r="N109" s="65" t="n">
        <f aca="false">(N47+1)*N65/N49</f>
        <v>822.836594709831</v>
      </c>
      <c r="O109" s="65" t="n">
        <f aca="false">(O47+1)*O65/O49</f>
        <v>60.7098301902882</v>
      </c>
      <c r="P109" s="65" t="n">
        <f aca="false">(P47+1)*P65/P49</f>
        <v>211.321525716542</v>
      </c>
      <c r="Q109" s="65" t="n">
        <f aca="false">(Q47+1)*Q65/Q49</f>
        <v>822.836594709831</v>
      </c>
      <c r="R109" s="65" t="n">
        <f aca="false">(R47+1)*R65/R49</f>
        <v>211.321525716542</v>
      </c>
      <c r="S109" s="65" t="n">
        <f aca="false">(S47+1)*S65/S49</f>
        <v>822.836594709831</v>
      </c>
    </row>
    <row r="110" customFormat="false" ht="15" hidden="false" customHeight="false" outlineLevel="0" collapsed="false">
      <c r="A110" s="53" t="s">
        <v>745</v>
      </c>
      <c r="B110" s="53" t="s">
        <v>273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746</v>
      </c>
      <c r="B111" s="53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  <c r="R111" s="63" t="n">
        <f aca="false">(R47+1)*R29*R31*R30*R59/R49/1000000000</f>
        <v>0.0124286837741808</v>
      </c>
      <c r="S111" s="63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747</v>
      </c>
      <c r="B112" s="53" t="s">
        <v>748</v>
      </c>
      <c r="C112" s="63" t="n">
        <f aca="false">(C109*C107+C110*C24+C111*C108)/1000</f>
        <v>0.0148892599343803</v>
      </c>
      <c r="D112" s="63" t="n">
        <f aca="false">(D109*D107+D110*D24+D111*D108)/1000</f>
        <v>0.0672780957756061</v>
      </c>
      <c r="E112" s="63" t="n">
        <f aca="false">(E109*E107+E110*E24+E111*E108)/1000</f>
        <v>0.31018160804183</v>
      </c>
      <c r="F112" s="63" t="n">
        <f aca="false">(F109*F107+F110*F24+F111*F108)/1000</f>
        <v>0.00501508464788025</v>
      </c>
      <c r="G112" s="63" t="n">
        <f aca="false">(G109*G107+G110*G24+G111*G108)/1000</f>
        <v>0.0223605161094681</v>
      </c>
      <c r="H112" s="63" t="n">
        <f aca="false">(H109*H107+H110*H24+H111*H108)/1000</f>
        <v>0.130683138492882</v>
      </c>
      <c r="I112" s="63" t="n">
        <f aca="false">(I109*I107+I110*I24+I111*I108)/1000</f>
        <v>0.00392108421938273</v>
      </c>
      <c r="J112" s="63" t="n">
        <f aca="false">(J109*J107+J110*J24+J111*J108)/1000</f>
        <v>0.0168527326440223</v>
      </c>
      <c r="K112" s="63" t="n">
        <f aca="false">(K109*K107+K110*K24+K111*K108)/1000</f>
        <v>0.112947143658407</v>
      </c>
      <c r="L112" s="63" t="n">
        <f aca="false">(L109*L107+L110*L24+L111*L108)/1000</f>
        <v>0.00218770035322198</v>
      </c>
      <c r="M112" s="63" t="n">
        <f aca="false">(M109*M107+M110*M24+M111*M108)/1000</f>
        <v>0.00856746245994325</v>
      </c>
      <c r="N112" s="63" t="n">
        <f aca="false">(N109*N107+N110*N24+N111*N108)/1000</f>
        <v>0.0559847970224348</v>
      </c>
      <c r="O112" s="63" t="n">
        <f aca="false">(O109*O107+O110*O24+O111*O108)/1000</f>
        <v>0.00203654515238324</v>
      </c>
      <c r="P112" s="63" t="n">
        <f aca="false">(P109*P107+P110*P24+P111*P108)/1000</f>
        <v>0.00726697946740713</v>
      </c>
      <c r="Q112" s="63" t="n">
        <f aca="false">(Q109*Q107+Q110*Q24+Q111*Q108)/1000</f>
        <v>0.0430780053899161</v>
      </c>
      <c r="R112" s="63" t="n">
        <f aca="false">(R109*R107+R110*R24+R111*R108)/1000</f>
        <v>0.0178003024666916</v>
      </c>
      <c r="S112" s="63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749</v>
      </c>
      <c r="B113" s="53" t="s">
        <v>748</v>
      </c>
      <c r="C113" s="63" t="n">
        <f aca="false">C67*C107/1000</f>
        <v>0.00682890738288024</v>
      </c>
      <c r="D113" s="63" t="n">
        <f aca="false">D67*D107/1000</f>
        <v>0.0280201733743507</v>
      </c>
      <c r="E113" s="63" t="n">
        <f aca="false">E67*E107/1000</f>
        <v>0.0849476673713997</v>
      </c>
      <c r="F113" s="63" t="n">
        <f aca="false">F67*F107/1000</f>
        <v>0.002316755607552</v>
      </c>
      <c r="G113" s="63" t="n">
        <f aca="false">G67*G107/1000</f>
        <v>0.009506043961344</v>
      </c>
      <c r="H113" s="63" t="n">
        <f aca="false">H67*H107/1000</f>
        <v>0.0288191029248</v>
      </c>
      <c r="I113" s="63" t="n">
        <f aca="false">I67*I107/1000</f>
        <v>0.001801921028096</v>
      </c>
      <c r="J113" s="63" t="n">
        <f aca="false">J67*J107/1000</f>
        <v>0.007393589747712</v>
      </c>
      <c r="K113" s="63" t="n">
        <f aca="false">K67*K107/1000</f>
        <v>0.0224148578304</v>
      </c>
      <c r="L113" s="63" t="n">
        <f aca="false">L67*L107/1000</f>
        <v>0.000992895260379429</v>
      </c>
      <c r="M113" s="63" t="n">
        <f aca="false">M67*M107/1000</f>
        <v>0.004074018840576</v>
      </c>
      <c r="N113" s="63" t="n">
        <f aca="false">N67*N107/1000</f>
        <v>0.0123510441106286</v>
      </c>
      <c r="O113" s="63" t="n">
        <f aca="false">O67*O107/1000</f>
        <v>0.000952091345569315</v>
      </c>
      <c r="P113" s="63" t="n">
        <f aca="false">P67*P107/1000</f>
        <v>0.00390659340877151</v>
      </c>
      <c r="Q113" s="63" t="n">
        <f aca="false">Q67*Q107/1000</f>
        <v>0.0118434669553973</v>
      </c>
      <c r="R113" s="63" t="n">
        <f aca="false">R67*R107/1000</f>
        <v>0.008148037681152</v>
      </c>
      <c r="S113" s="63" t="n">
        <f aca="false">S67*S107/1000</f>
        <v>0.0247020882212571</v>
      </c>
    </row>
    <row r="114" customFormat="false" ht="15" hidden="false" customHeight="false" outlineLevel="0" collapsed="false">
      <c r="A114" s="52" t="s">
        <v>750</v>
      </c>
      <c r="B114" s="53" t="s">
        <v>674</v>
      </c>
      <c r="C114" s="65" t="n">
        <f aca="false">(C97*C113+C96*C112)/1000</f>
        <v>0.846420470920865</v>
      </c>
      <c r="D114" s="65" t="n">
        <f aca="false">(D97*D113+D96*D112)/1000</f>
        <v>0.962585144289615</v>
      </c>
      <c r="E114" s="65" t="n">
        <f aca="false">(E97*E113+E96*E112)/1000</f>
        <v>0.978288066754993</v>
      </c>
      <c r="F114" s="65" t="n">
        <f aca="false">(F97*F113+F96*F112)/1000</f>
        <v>2.3875703243896</v>
      </c>
      <c r="G114" s="65" t="n">
        <f aca="false">(G97*G113+G96*G112)/1000</f>
        <v>2.81008742569396</v>
      </c>
      <c r="H114" s="65" t="n">
        <f aca="false">(H97*H113+H96*H112)/1000</f>
        <v>3.49370525530228</v>
      </c>
      <c r="I114" s="65" t="n">
        <f aca="false">(I97*I113+I96*I112)/1000</f>
        <v>2.79736962812407</v>
      </c>
      <c r="J114" s="65" t="n">
        <f aca="false">(J97*J113+J96*J112)/1000</f>
        <v>3.19467540661585</v>
      </c>
      <c r="K114" s="65" t="n">
        <f aca="false">(K97*K113+K96*K112)/1000</f>
        <v>4.32557838932569</v>
      </c>
      <c r="L114" s="65" t="n">
        <f aca="false">(L97*L113+L96*L112)/1000</f>
        <v>3.65782473269539</v>
      </c>
      <c r="M114" s="65" t="n">
        <f aca="false">(M97*M113+M96*M112)/1000</f>
        <v>3.97554510263058</v>
      </c>
      <c r="N114" s="65" t="n">
        <f aca="false">(N97*N113+N96*N112)/1000</f>
        <v>5.54124098368331</v>
      </c>
      <c r="O114" s="65" t="n">
        <f aca="false">(O97*O113+O96*O112)/1000</f>
        <v>14.3091422239805</v>
      </c>
      <c r="P114" s="65" t="n">
        <f aca="false">(P97*P113+P96*P112)/1000</f>
        <v>14.5553265426291</v>
      </c>
      <c r="Q114" s="65" t="n">
        <f aca="false">(Q97*Q113+Q96*Q112)/1000</f>
        <v>18.690941828294</v>
      </c>
      <c r="R114" s="65" t="n">
        <f aca="false">(R97*R113+R96*R112)/1000</f>
        <v>4.0661667968759</v>
      </c>
      <c r="S114" s="65" t="n">
        <f aca="false">(S97*S113+S96*S112)/1000</f>
        <v>5.14215339632215</v>
      </c>
    </row>
    <row r="115" customFormat="false" ht="15" hidden="false" customHeight="false" outlineLevel="0" collapsed="false">
      <c r="A115" s="52" t="s">
        <v>751</v>
      </c>
      <c r="B115" s="53" t="s">
        <v>674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752</v>
      </c>
      <c r="B116" s="53" t="s">
        <v>69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6" t="n">
        <f aca="false">IF(R115&gt;0,R114/R115,0)</f>
        <v>0.0223907863264091</v>
      </c>
      <c r="S116" s="76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753</v>
      </c>
      <c r="B117" s="53" t="s">
        <v>754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2" t="n">
        <f aca="false">R95/(R115*1000)</f>
        <v>1.53541584298</v>
      </c>
      <c r="S117" s="62" t="n">
        <f aca="false">S95/(S115*1000)</f>
        <v>0.363191646776037</v>
      </c>
    </row>
    <row r="118" customFormat="false" ht="15" hidden="false" customHeight="false" outlineLevel="0" collapsed="false">
      <c r="A118" s="52" t="s">
        <v>755</v>
      </c>
      <c r="B118" s="53" t="s">
        <v>748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82" t="s">
        <v>928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 customFormat="false" ht="15" hidden="false" customHeight="false" outlineLevel="0" collapsed="false">
      <c r="A120" s="53" t="s">
        <v>929</v>
      </c>
      <c r="B120" s="53" t="s">
        <v>69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930</v>
      </c>
      <c r="B121" s="53" t="s">
        <v>69</v>
      </c>
      <c r="C121" s="136" t="n">
        <f aca="false">IF(C88&gt;0,C88*C65*1000000000/(INDEX(Spec_Rack!$C$40:$G$40,C$6)*1000000000000000),0)</f>
        <v>0.0304582991958243</v>
      </c>
      <c r="D121" s="136" t="n">
        <f aca="false">IF(D88&gt;0,D88*D65*1000000000/(INDEX(Spec_Rack!$C$40:$G$40,D$6)*1000000000000000),0)</f>
        <v>0.027266587237052</v>
      </c>
      <c r="E121" s="136" t="n">
        <f aca="false">IF(E88&gt;0,E88*E65*1000000000/(INDEX(Spec_Rack!$C$40:$G$40,E$6)*1000000000000000),0)</f>
        <v>0.0242417227624113</v>
      </c>
      <c r="F121" s="136" t="n">
        <f aca="false">IF(F88&gt;0,F88*F65*1000000000/(INDEX(Spec_Rack!$C$40:$G$40,F$6)*1000000000000000),0)</f>
        <v>0.0425258825234565</v>
      </c>
      <c r="G121" s="136" t="n">
        <f aca="false">IF(G88&gt;0,G88*G65*1000000000/(INDEX(Spec_Rack!$C$40:$G$40,G$6)*1000000000000000),0)</f>
        <v>0.0397858781858926</v>
      </c>
      <c r="H121" s="136" t="n">
        <f aca="false">IF(H88&gt;0,H88*H65*1000000000/(INDEX(Spec_Rack!$C$40:$G$40,H$6)*1000000000000000),0)</f>
        <v>0.0356472454215476</v>
      </c>
      <c r="I121" s="136" t="n">
        <f aca="false">IF(I88&gt;0,I88*I65*1000000000/(INDEX(Spec_Rack!$C$40:$G$40,I$6)*1000000000000000),0)</f>
        <v>0.0637888237851847</v>
      </c>
      <c r="J121" s="136" t="n">
        <f aca="false">IF(J88&gt;0,J88*J65*1000000000/(INDEX(Spec_Rack!$C$40:$G$40,J$6)*1000000000000000),0)</f>
        <v>0.0596788172788389</v>
      </c>
      <c r="K121" s="136" t="n">
        <f aca="false">IF(K88&gt;0,K88*K65*1000000000/(INDEX(Spec_Rack!$C$40:$G$40,K$6)*1000000000000000),0)</f>
        <v>0.0515366372803261</v>
      </c>
      <c r="L121" s="136" t="n">
        <f aca="false">IF(L88&gt;0,L88*L65*1000000000/(INDEX(Spec_Rack!$C$40:$G$40,L$6)*1000000000000000),0)</f>
        <v>0.0428214438903823</v>
      </c>
      <c r="M121" s="136" t="n">
        <f aca="false">IF(M88&gt;0,M88*M65*1000000000/(INDEX(Spec_Rack!$C$40:$G$40,M$6)*1000000000000000),0)</f>
        <v>0.0411633701218341</v>
      </c>
      <c r="N121" s="136" t="n">
        <f aca="false">IF(N88&gt;0,N88*N65*1000000000/(INDEX(Spec_Rack!$C$40:$G$40,N$6)*1000000000000000),0)</f>
        <v>0.0377558064350875</v>
      </c>
      <c r="O121" s="136" t="n">
        <f aca="false">IF(O88&gt;0,O88*O65*1000000000/(INDEX(Spec_Rack!$C$40:$G$40,O$6)*1000000000000000),0)</f>
        <v>0.0451272547234123</v>
      </c>
      <c r="P121" s="136" t="n">
        <f aca="false">IF(P88&gt;0,P88*P65*1000000000/(INDEX(Spec_Rack!$C$40:$G$40,P$6)*1000000000000000),0)</f>
        <v>0.0437218803464374</v>
      </c>
      <c r="Q121" s="136" t="n">
        <f aca="false">IF(Q88&gt;0,Q88*Q65*1000000000/(INDEX(Spec_Rack!$C$40:$G$40,Q$6)*1000000000000000),0)</f>
        <v>0.0407639955458106</v>
      </c>
      <c r="R121" s="136" t="n">
        <f aca="false">IF(R88&gt;0,R88*R65*1000000000/(INDEX(Spec_Rack!$C$40:$G$40,R$6)*1000000000000000),0)</f>
        <v>0.0204047680532792</v>
      </c>
      <c r="S121" s="136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931</v>
      </c>
    </row>
    <row r="2" customFormat="false" ht="15" hidden="false" customHeight="false" outlineLevel="0" collapsed="false">
      <c r="A2" s="64" t="s">
        <v>932</v>
      </c>
    </row>
    <row r="4" customFormat="false" ht="15" hidden="false" customHeight="false" outlineLevel="0" collapsed="false">
      <c r="A4" s="1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653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10" t="s">
        <v>390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10" t="s">
        <v>654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82" t="s">
        <v>933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934</v>
      </c>
      <c r="B10" s="53" t="s">
        <v>414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935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936</v>
      </c>
      <c r="B12" s="53" t="s">
        <v>414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937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938</v>
      </c>
      <c r="B14" s="53" t="s">
        <v>73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939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940</v>
      </c>
      <c r="B16" s="53" t="s">
        <v>69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941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942</v>
      </c>
      <c r="B18" s="52" t="s">
        <v>666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943</v>
      </c>
      <c r="B19" s="53" t="s">
        <v>783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944</v>
      </c>
      <c r="B20" s="53" t="s">
        <v>783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82" t="s">
        <v>675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425</v>
      </c>
      <c r="B23" s="53" t="s">
        <v>271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245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678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251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656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82" t="s">
        <v>945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customFormat="false" ht="15" hidden="false" customHeight="false" outlineLevel="0" collapsed="false">
      <c r="A30" s="52" t="s">
        <v>946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883</v>
      </c>
      <c r="B31" s="53" t="s">
        <v>884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947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948</v>
      </c>
      <c r="B33" s="53" t="s">
        <v>248</v>
      </c>
      <c r="C33" s="66" t="n">
        <f aca="false">C32/2</f>
        <v>2048</v>
      </c>
      <c r="D33" s="66" t="n">
        <f aca="false">D32/2</f>
        <v>2048</v>
      </c>
      <c r="E33" s="66" t="n">
        <f aca="false">E32/2</f>
        <v>4096</v>
      </c>
      <c r="F33" s="66" t="n">
        <f aca="false">F32/2</f>
        <v>2048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2048</v>
      </c>
      <c r="K33" s="66" t="n">
        <f aca="false">K32/2</f>
        <v>4096</v>
      </c>
      <c r="L33" s="66" t="n">
        <f aca="false">L32/2</f>
        <v>2048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2048</v>
      </c>
      <c r="Q33" s="66" t="n">
        <f aca="false">Q32/2</f>
        <v>4096</v>
      </c>
    </row>
    <row r="34" customFormat="false" ht="15" hidden="false" customHeight="false" outlineLevel="0" collapsed="false">
      <c r="A34" s="52" t="s">
        <v>949</v>
      </c>
      <c r="B34" s="53" t="s">
        <v>431</v>
      </c>
      <c r="C34" s="65" t="n">
        <f aca="false">3*(2*C22*1000000000+C23*C33)*C28/1000000000</f>
        <v>112.628173824</v>
      </c>
      <c r="D34" s="65" t="n">
        <f aca="false">3*(2*D22*1000000000+D23*D33)*D28/1000000000</f>
        <v>392.247376896</v>
      </c>
      <c r="E34" s="65" t="n">
        <f aca="false">3*(2*E22*1000000000+E23*E33)*E28/1000000000</f>
        <v>1140.3979776</v>
      </c>
      <c r="F34" s="65" t="n">
        <f aca="false">3*(2*F22*1000000000+F23*F33)*F28/1000000000</f>
        <v>112.628173824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112.628173824</v>
      </c>
      <c r="J34" s="65" t="n">
        <f aca="false">3*(2*J22*1000000000+J23*J33)*J28/1000000000</f>
        <v>392.247376896</v>
      </c>
      <c r="K34" s="65" t="n">
        <f aca="false">3*(2*K22*1000000000+K23*K33)*K28/1000000000</f>
        <v>1140.3979776</v>
      </c>
      <c r="L34" s="65" t="n">
        <f aca="false">3*(2*L22*1000000000+L23*L33)*L28/1000000000</f>
        <v>112.628173824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112.628173824</v>
      </c>
      <c r="P34" s="65" t="n">
        <f aca="false">3*(2*P22*1000000000+P23*P33)*P28/1000000000</f>
        <v>392.247376896</v>
      </c>
      <c r="Q34" s="65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950</v>
      </c>
      <c r="B35" s="53" t="s">
        <v>271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951</v>
      </c>
      <c r="B36" s="53" t="s">
        <v>952</v>
      </c>
      <c r="C36" s="61" t="n">
        <f aca="false">C35/(C12*1000000000000000*C16*1*C17)/3600</f>
        <v>2810452.31284038</v>
      </c>
      <c r="D36" s="61" t="n">
        <f aca="false">D35/(D12*1000000000000000*D16*1*D17)/3600</f>
        <v>10093764.9623267</v>
      </c>
      <c r="E36" s="61" t="n">
        <f aca="false">E35/(E12*1000000000000000*E16*1*E17)/3600</f>
        <v>53356445.3427657</v>
      </c>
      <c r="F36" s="61" t="n">
        <f aca="false">F35/(F12*1000000000000000*F16*1*F17)/3600</f>
        <v>889901.620337778</v>
      </c>
      <c r="G36" s="61" t="n">
        <f aca="false">G35/(G12*1000000000000000*G16*1*G17)/3600</f>
        <v>3196089.73767111</v>
      </c>
      <c r="H36" s="61" t="n">
        <f aca="false">H35/(H12*1000000000000000*H16*1*H17)/3600</f>
        <v>16894784.8533333</v>
      </c>
      <c r="I36" s="61" t="n">
        <f aca="false">I35/(I12*1000000000000000*I16*1*I17)/3600</f>
        <v>889901.620337778</v>
      </c>
      <c r="J36" s="61" t="n">
        <f aca="false">J35/(J12*1000000000000000*J16*1*J17)/3600</f>
        <v>3196089.73767111</v>
      </c>
      <c r="K36" s="61" t="n">
        <f aca="false">K35/(K12*1000000000000000*K16*1*K17)/3600</f>
        <v>16894784.8533333</v>
      </c>
      <c r="L36" s="61" t="n">
        <f aca="false">L35/(L12*1000000000000000*L16*1*L17)/3600</f>
        <v>282508.450900882</v>
      </c>
      <c r="M36" s="61" t="n">
        <f aca="false">M35/(M12*1000000000000000*M16*1*M17)/3600</f>
        <v>1014631.66275273</v>
      </c>
      <c r="N36" s="61" t="n">
        <f aca="false">N35/(N12*1000000000000000*N16*1*N17)/3600</f>
        <v>5363423.76296296</v>
      </c>
      <c r="O36" s="61" t="n">
        <f aca="false">O35/(O12*1000000000000000*O16*1*O17)/3600</f>
        <v>142475.443537909</v>
      </c>
      <c r="P36" s="61" t="n">
        <f aca="false">P35/(P12*1000000000000000*P16*1*P17)/3600</f>
        <v>511701.847209592</v>
      </c>
      <c r="Q36" s="61" t="n">
        <f aca="false">Q35/(Q12*1000000000000000*Q16*1*Q17)/3600</f>
        <v>2704896.71042801</v>
      </c>
    </row>
    <row r="37" customFormat="false" ht="15" hidden="false" customHeight="false" outlineLevel="0" collapsed="false">
      <c r="A37" s="82" t="s">
        <v>953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customFormat="false" ht="15" hidden="false" customHeight="false" outlineLevel="0" collapsed="false">
      <c r="A38" s="52" t="s">
        <v>954</v>
      </c>
      <c r="B38" s="53" t="s">
        <v>884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947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955</v>
      </c>
      <c r="B40" s="53" t="s">
        <v>248</v>
      </c>
      <c r="C40" s="66" t="n">
        <f aca="false">C24*IF(C25=0,C39/2,MIN(C39/2,C25))+(1-C24)*(C39/2/C26+C27)</f>
        <v>2432</v>
      </c>
      <c r="D40" s="66" t="n">
        <f aca="false">D24*IF(D25=0,D39/2,MIN(D39/2,D25))+(1-D24)*(D39/2/D26+D27)</f>
        <v>2432</v>
      </c>
      <c r="E40" s="66" t="n">
        <f aca="false">E24*IF(E25=0,E39/2,MIN(E39/2,E25))+(1-E24)*(E39/2/E26+E27)</f>
        <v>65536</v>
      </c>
      <c r="F40" s="66" t="n">
        <f aca="false">F24*IF(F25=0,F39/2,MIN(F39/2,F25))+(1-F24)*(F39/2/F26+F27)</f>
        <v>2432</v>
      </c>
      <c r="G40" s="66" t="n">
        <f aca="false">G24*IF(G25=0,G39/2,MIN(G39/2,G25))+(1-G24)*(G39/2/G26+G27)</f>
        <v>2432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2432</v>
      </c>
      <c r="J40" s="66" t="n">
        <f aca="false">J24*IF(J25=0,J39/2,MIN(J39/2,J25))+(1-J24)*(J39/2/J26+J27)</f>
        <v>2432</v>
      </c>
      <c r="K40" s="66" t="n">
        <f aca="false">K24*IF(K25=0,K39/2,MIN(K39/2,K25))+(1-K24)*(K39/2/K26+K27)</f>
        <v>65536</v>
      </c>
      <c r="L40" s="66" t="n">
        <f aca="false">L24*IF(L25=0,L39/2,MIN(L39/2,L25))+(1-L24)*(L39/2/L26+L27)</f>
        <v>2432</v>
      </c>
      <c r="M40" s="66" t="n">
        <f aca="false">M24*IF(M25=0,M39/2,MIN(M39/2,M25))+(1-M24)*(M39/2/M26+M27)</f>
        <v>2432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2432</v>
      </c>
      <c r="P40" s="66" t="n">
        <f aca="false">P24*IF(P25=0,P39/2,MIN(P39/2,P25))+(1-P24)*(P39/2/P26+P27)</f>
        <v>2432</v>
      </c>
      <c r="Q40" s="66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949</v>
      </c>
      <c r="B41" s="53" t="s">
        <v>431</v>
      </c>
      <c r="C41" s="65" t="n">
        <f aca="false">3*(2*C22*1000000000+C23*C40)*C28/1000000000</f>
        <v>119.120956416</v>
      </c>
      <c r="D41" s="65" t="n">
        <f aca="false">3*(2*D22*1000000000+D23*D40)*D28/1000000000</f>
        <v>410.668760064</v>
      </c>
      <c r="E41" s="65" t="n">
        <f aca="false">3*(2*E22*1000000000+E23*E40)*E28/1000000000</f>
        <v>2046.3676416</v>
      </c>
      <c r="F41" s="65" t="n">
        <f aca="false">3*(2*F22*1000000000+F23*F40)*F28/1000000000</f>
        <v>119.120956416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119.120956416</v>
      </c>
      <c r="J41" s="65" t="n">
        <f aca="false">3*(2*J22*1000000000+J23*J40)*J28/1000000000</f>
        <v>410.668760064</v>
      </c>
      <c r="K41" s="65" t="n">
        <f aca="false">3*(2*K22*1000000000+K23*K40)*K28/1000000000</f>
        <v>2046.3676416</v>
      </c>
      <c r="L41" s="65" t="n">
        <f aca="false">3*(2*L22*1000000000+L23*L40)*L28/1000000000</f>
        <v>119.120956416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119.120956416</v>
      </c>
      <c r="P41" s="65" t="n">
        <f aca="false">3*(2*P22*1000000000+P23*P40)*P28/1000000000</f>
        <v>410.668760064</v>
      </c>
      <c r="Q41" s="65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956</v>
      </c>
      <c r="B42" s="53" t="s">
        <v>271</v>
      </c>
      <c r="C42" s="137" t="n">
        <f aca="false">C41*1000000000*C38*1000000000000</f>
        <v>1.19120956416E+023</v>
      </c>
      <c r="D42" s="137" t="n">
        <f aca="false">D41*1000000000*D38*1000000000000</f>
        <v>4.10668760064E+023</v>
      </c>
      <c r="E42" s="137" t="n">
        <f aca="false">E41*1000000000*E38*1000000000000</f>
        <v>4.0927352832E+024</v>
      </c>
      <c r="F42" s="137" t="n">
        <f aca="false">F41*1000000000*F38*1000000000000</f>
        <v>1.19120956416E+023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1.19120956416E+023</v>
      </c>
      <c r="J42" s="137" t="n">
        <f aca="false">J41*1000000000*J38*1000000000000</f>
        <v>4.10668760064E+023</v>
      </c>
      <c r="K42" s="137" t="n">
        <f aca="false">K41*1000000000*K38*1000000000000</f>
        <v>4.0927352832E+024</v>
      </c>
      <c r="L42" s="137" t="n">
        <f aca="false">L41*1000000000*L38*1000000000000</f>
        <v>1.19120956416E+023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1.19120956416E+023</v>
      </c>
      <c r="P42" s="137" t="n">
        <f aca="false">P41*1000000000*P38*1000000000000</f>
        <v>4.10668760064E+023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957</v>
      </c>
      <c r="B43" s="53" t="s">
        <v>952</v>
      </c>
      <c r="C43" s="66" t="n">
        <f aca="false">C42/(C12*1000000000000000*C16*1*C17)/3600</f>
        <v>92889.6596485318</v>
      </c>
      <c r="D43" s="66" t="n">
        <f aca="false">D42/(D12*1000000000000000*D16*1*D17)/3600</f>
        <v>320236.52679056</v>
      </c>
      <c r="E43" s="66" t="n">
        <f aca="false">E42/(E12*1000000000000000*E16*1*E17)/3600</f>
        <v>3191485.35174892</v>
      </c>
      <c r="F43" s="66" t="n">
        <f aca="false">F42/(F12*1000000000000000*F16*1*F17)/3600</f>
        <v>29412.5818311111</v>
      </c>
      <c r="G43" s="66" t="n">
        <f aca="false">G42/(G12*1000000000000000*G16*1*G17)/3600</f>
        <v>101399.693842963</v>
      </c>
      <c r="H43" s="66" t="n">
        <f aca="false">H42/(H12*1000000000000000*H16*1*H17)/3600</f>
        <v>1010551.92177778</v>
      </c>
      <c r="I43" s="66" t="n">
        <f aca="false">I42/(I12*1000000000000000*I16*1*I17)/3600</f>
        <v>29412.5818311111</v>
      </c>
      <c r="J43" s="66" t="n">
        <f aca="false">J42/(J12*1000000000000000*J16*1*J17)/3600</f>
        <v>101399.693842963</v>
      </c>
      <c r="K43" s="66" t="n">
        <f aca="false">K42/(K12*1000000000000000*K16*1*K17)/3600</f>
        <v>1010551.92177778</v>
      </c>
      <c r="L43" s="66" t="n">
        <f aca="false">L42/(L12*1000000000000000*L16*1*L17)/3600</f>
        <v>9337.3275654321</v>
      </c>
      <c r="M43" s="66" t="n">
        <f aca="false">M42/(M12*1000000000000000*M16*1*M17)/3600</f>
        <v>32190.378997766</v>
      </c>
      <c r="N43" s="66" t="n">
        <f aca="false">N42/(N12*1000000000000000*N16*1*N17)/3600</f>
        <v>320810.133897707</v>
      </c>
      <c r="O43" s="66" t="n">
        <f aca="false">O42/(O12*1000000000000000*O16*1*O17)/3600</f>
        <v>4709.02687017469</v>
      </c>
      <c r="P43" s="66" t="n">
        <f aca="false">P42/(P12*1000000000000000*P16*1*P17)/3600</f>
        <v>16234.3409931097</v>
      </c>
      <c r="Q43" s="66" t="n">
        <f aca="false">Q42/(Q12*1000000000000000*Q16*1*Q17)/3600</f>
        <v>161791.854271178</v>
      </c>
    </row>
    <row r="44" customFormat="false" ht="15" hidden="false" customHeight="false" outlineLevel="0" collapsed="false">
      <c r="A44" s="82" t="s">
        <v>958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</row>
    <row r="45" customFormat="false" ht="15" hidden="false" customHeight="false" outlineLevel="0" collapsed="false">
      <c r="A45" s="53" t="s">
        <v>891</v>
      </c>
      <c r="B45" s="53" t="s">
        <v>884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947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955</v>
      </c>
      <c r="B47" s="53" t="s">
        <v>248</v>
      </c>
      <c r="C47" s="66" t="n">
        <f aca="false">C24*IF(C25=0,C46/2,MIN(C46/2,C25))+(1-C24)*(C46/2/C26+C27)</f>
        <v>2208</v>
      </c>
      <c r="D47" s="66" t="n">
        <f aca="false">D24*IF(D25=0,D46/2,MIN(D46/2,D25))+(1-D24)*(D46/2/D26+D27)</f>
        <v>2208</v>
      </c>
      <c r="E47" s="66" t="n">
        <f aca="false">E24*IF(E25=0,E46/2,MIN(E46/2,E25))+(1-E24)*(E46/2/E26+E27)</f>
        <v>8192</v>
      </c>
      <c r="F47" s="66" t="n">
        <f aca="false">F24*IF(F25=0,F46/2,MIN(F46/2,F25))+(1-F24)*(F46/2/F26+F27)</f>
        <v>2208</v>
      </c>
      <c r="G47" s="66" t="n">
        <f aca="false">G24*IF(G25=0,G46/2,MIN(G46/2,G25))+(1-G24)*(G46/2/G26+G27)</f>
        <v>2208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2208</v>
      </c>
      <c r="J47" s="66" t="n">
        <f aca="false">J24*IF(J25=0,J46/2,MIN(J46/2,J25))+(1-J24)*(J46/2/J26+J27)</f>
        <v>2208</v>
      </c>
      <c r="K47" s="66" t="n">
        <f aca="false">K24*IF(K25=0,K46/2,MIN(K46/2,K25))+(1-K24)*(K46/2/K26+K27)</f>
        <v>8192</v>
      </c>
      <c r="L47" s="66" t="n">
        <f aca="false">L24*IF(L25=0,L46/2,MIN(L46/2,L25))+(1-L24)*(L46/2/L26+L27)</f>
        <v>2208</v>
      </c>
      <c r="M47" s="66" t="n">
        <f aca="false">M24*IF(M25=0,M46/2,MIN(M46/2,M25))+(1-M24)*(M46/2/M26+M27)</f>
        <v>2208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2208</v>
      </c>
      <c r="P47" s="66" t="n">
        <f aca="false">P24*IF(P25=0,P46/2,MIN(P46/2,P25))+(1-P24)*(P46/2/P26+P27)</f>
        <v>2208</v>
      </c>
      <c r="Q47" s="66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949</v>
      </c>
      <c r="B48" s="53" t="s">
        <v>431</v>
      </c>
      <c r="C48" s="65" t="n">
        <f aca="false">3*(2*C22*1000000000+C23*C47)*C28/1000000000</f>
        <v>115.333499904</v>
      </c>
      <c r="D48" s="65" t="n">
        <f aca="false">3*(2*D22*1000000000+D23*D47)*D28/1000000000</f>
        <v>399.922953216</v>
      </c>
      <c r="E48" s="65" t="n">
        <f aca="false">3*(2*E22*1000000000+E23*E47)*E28/1000000000</f>
        <v>1200.7959552</v>
      </c>
      <c r="F48" s="65" t="n">
        <f aca="false">3*(2*F22*1000000000+F23*F47)*F28/1000000000</f>
        <v>115.333499904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115.333499904</v>
      </c>
      <c r="J48" s="65" t="n">
        <f aca="false">3*(2*J22*1000000000+J23*J47)*J28/1000000000</f>
        <v>399.922953216</v>
      </c>
      <c r="K48" s="65" t="n">
        <f aca="false">3*(2*K22*1000000000+K23*K47)*K28/1000000000</f>
        <v>1200.7959552</v>
      </c>
      <c r="L48" s="65" t="n">
        <f aca="false">3*(2*L22*1000000000+L23*L47)*L28/1000000000</f>
        <v>115.333499904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115.333499904</v>
      </c>
      <c r="P48" s="65" t="n">
        <f aca="false">3*(2*P22*1000000000+P23*P47)*P28/1000000000</f>
        <v>399.922953216</v>
      </c>
      <c r="Q48" s="65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959</v>
      </c>
      <c r="B49" s="53" t="s">
        <v>271</v>
      </c>
      <c r="C49" s="137" t="n">
        <f aca="false">C48*1000000000*C45*1000000000000</f>
        <v>5.7666749952E+021</v>
      </c>
      <c r="D49" s="137" t="n">
        <f aca="false">D48*1000000000*D45*1000000000000</f>
        <v>1.99961476608E+022</v>
      </c>
      <c r="E49" s="137" t="n">
        <f aca="false">E48*1000000000*E45*1000000000000</f>
        <v>1.2007959552E+023</v>
      </c>
      <c r="F49" s="137" t="n">
        <f aca="false">F48*1000000000*F45*1000000000000</f>
        <v>5.7666749952E+021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5.7666749952E+021</v>
      </c>
      <c r="J49" s="137" t="n">
        <f aca="false">J48*1000000000*J45*1000000000000</f>
        <v>1.99961476608E+022</v>
      </c>
      <c r="K49" s="137" t="n">
        <f aca="false">K48*1000000000*K45*1000000000000</f>
        <v>1.2007959552E+023</v>
      </c>
      <c r="L49" s="137" t="n">
        <f aca="false">L48*1000000000*L45*1000000000000</f>
        <v>5.7666749952E+021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5.7666749952E+021</v>
      </c>
      <c r="P49" s="137" t="n">
        <f aca="false">P48*1000000000*P45*1000000000000</f>
        <v>1.99961476608E+022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960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961</v>
      </c>
      <c r="B51" s="53" t="s">
        <v>952</v>
      </c>
      <c r="C51" s="66" t="n">
        <f aca="false">C49/(C12*1000000000000000*C16*C50*C17)/3600</f>
        <v>5621.01427956506</v>
      </c>
      <c r="D51" s="66" t="n">
        <f aca="false">D49/(D12*1000000000000000*D16*D50*D17)/3600</f>
        <v>19491.064024105</v>
      </c>
      <c r="E51" s="66" t="n">
        <f aca="false">E49/(E12*1000000000000000*E16*E50*E17)/3600</f>
        <v>117046.499354332</v>
      </c>
      <c r="F51" s="66" t="n">
        <f aca="false">F49/(F12*1000000000000000*F16*F50*F17)/3600</f>
        <v>1779.83796148148</v>
      </c>
      <c r="G51" s="66" t="n">
        <f aca="false">G49/(G12*1000000000000000*G16*G50*G17)/3600</f>
        <v>6171.65051259259</v>
      </c>
      <c r="H51" s="66" t="n">
        <f aca="false">H49/(H12*1000000000000000*H16*H50*H17)/3600</f>
        <v>37061.6035555556</v>
      </c>
      <c r="I51" s="66" t="n">
        <f aca="false">I49/(I12*1000000000000000*I16*I50*I17)/3600</f>
        <v>1779.83796148148</v>
      </c>
      <c r="J51" s="66" t="n">
        <f aca="false">J49/(J12*1000000000000000*J16*J50*J17)/3600</f>
        <v>6171.65051259259</v>
      </c>
      <c r="K51" s="66" t="n">
        <f aca="false">K49/(K12*1000000000000000*K16*K50*K17)/3600</f>
        <v>37061.6035555556</v>
      </c>
      <c r="L51" s="66" t="n">
        <f aca="false">L49/(L12*1000000000000000*L16*L50*L17)/3600</f>
        <v>565.027924279836</v>
      </c>
      <c r="M51" s="66" t="n">
        <f aca="false">M49/(M12*1000000000000000*M16*M50*M17)/3600</f>
        <v>1959.25413098178</v>
      </c>
      <c r="N51" s="66" t="n">
        <f aca="false">N49/(N12*1000000000000000*N16*N50*N17)/3600</f>
        <v>11765.5884303351</v>
      </c>
      <c r="O51" s="66" t="n">
        <f aca="false">O49/(O12*1000000000000000*O16*O50*O17)/3600</f>
        <v>284.956445962453</v>
      </c>
      <c r="P51" s="66" t="n">
        <f aca="false">P49/(P12*1000000000000000*P16*P50*P17)/3600</f>
        <v>988.096463751616</v>
      </c>
      <c r="Q51" s="66" t="n">
        <f aca="false">Q49/(Q12*1000000000000000*Q16*Q50*Q17)/3600</f>
        <v>5933.6541075177</v>
      </c>
    </row>
    <row r="52" customFormat="false" ht="15" hidden="false" customHeight="false" outlineLevel="0" collapsed="false">
      <c r="A52" s="82" t="s">
        <v>962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</row>
    <row r="53" customFormat="false" ht="15" hidden="false" customHeight="false" outlineLevel="0" collapsed="false">
      <c r="A53" s="53" t="s">
        <v>963</v>
      </c>
      <c r="B53" s="53" t="s">
        <v>884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964</v>
      </c>
      <c r="B54" s="53" t="s">
        <v>248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965</v>
      </c>
      <c r="B55" s="53" t="s">
        <v>248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966</v>
      </c>
      <c r="B56" s="52" t="s">
        <v>340</v>
      </c>
      <c r="C56" s="66" t="n">
        <f aca="false">C53*1000000000000/C55</f>
        <v>288085937.5</v>
      </c>
      <c r="D56" s="66" t="n">
        <f aca="false">D53*1000000000000/D55</f>
        <v>144042968.75</v>
      </c>
      <c r="E56" s="66" t="n">
        <f aca="false">E53*1000000000000/E55</f>
        <v>292968750</v>
      </c>
      <c r="F56" s="66" t="n">
        <f aca="false">F53*1000000000000/F55</f>
        <v>288085937.5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288085937.5</v>
      </c>
      <c r="J56" s="66" t="n">
        <f aca="false">J53*1000000000000/J55</f>
        <v>144042968.75</v>
      </c>
      <c r="K56" s="66" t="n">
        <f aca="false">K53*1000000000000/K55</f>
        <v>292968750</v>
      </c>
      <c r="L56" s="66" t="n">
        <f aca="false">L53*1000000000000/L55</f>
        <v>288085937.5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288085937.5</v>
      </c>
      <c r="P56" s="66" t="n">
        <f aca="false">P53*1000000000000/P55</f>
        <v>144042968.75</v>
      </c>
      <c r="Q56" s="66" t="n">
        <f aca="false">Q53*1000000000000/Q55</f>
        <v>292968750</v>
      </c>
    </row>
    <row r="57" customFormat="false" ht="15" hidden="false" customHeight="false" outlineLevel="0" collapsed="false">
      <c r="A57" s="53" t="s">
        <v>967</v>
      </c>
      <c r="B57" s="52" t="s">
        <v>340</v>
      </c>
      <c r="C57" s="84" t="n">
        <f aca="false">Train_In!$C$12</f>
        <v>16</v>
      </c>
      <c r="D57" s="84" t="n">
        <f aca="false">Train_In!$C$12</f>
        <v>16</v>
      </c>
      <c r="E57" s="84" t="n">
        <f aca="false">Train_In!$C$12</f>
        <v>16</v>
      </c>
      <c r="F57" s="84" t="n">
        <f aca="false">Train_In!$C$12</f>
        <v>16</v>
      </c>
      <c r="G57" s="84" t="n">
        <f aca="false">Train_In!$C$12</f>
        <v>16</v>
      </c>
      <c r="H57" s="84" t="n">
        <f aca="false">Train_In!$C$12</f>
        <v>16</v>
      </c>
      <c r="I57" s="84" t="n">
        <f aca="false">Train_In!$C$12</f>
        <v>16</v>
      </c>
      <c r="J57" s="84" t="n">
        <f aca="false">Train_In!$C$12</f>
        <v>16</v>
      </c>
      <c r="K57" s="84" t="n">
        <f aca="false">Train_In!$C$12</f>
        <v>16</v>
      </c>
      <c r="L57" s="84" t="n">
        <f aca="false">Train_In!$C$12</f>
        <v>16</v>
      </c>
      <c r="M57" s="84" t="n">
        <f aca="false">Train_In!$C$12</f>
        <v>16</v>
      </c>
      <c r="N57" s="84" t="n">
        <f aca="false">Train_In!$C$12</f>
        <v>16</v>
      </c>
      <c r="O57" s="84" t="n">
        <f aca="false">Train_In!$C$12</f>
        <v>16</v>
      </c>
      <c r="P57" s="84" t="n">
        <f aca="false">Train_In!$C$12</f>
        <v>16</v>
      </c>
      <c r="Q57" s="84" t="n">
        <f aca="false">Train_In!$C$12</f>
        <v>16</v>
      </c>
    </row>
    <row r="58" customFormat="false" ht="15" hidden="false" customHeight="false" outlineLevel="0" collapsed="false">
      <c r="A58" s="52" t="s">
        <v>968</v>
      </c>
      <c r="B58" s="53" t="s">
        <v>884</v>
      </c>
      <c r="C58" s="62" t="n">
        <f aca="false">C56*C54/C57/1000000000000</f>
        <v>0.07375</v>
      </c>
      <c r="D58" s="62" t="n">
        <f aca="false">D56*D54/D57/1000000000000</f>
        <v>0.07375</v>
      </c>
      <c r="E58" s="62" t="n">
        <f aca="false">E56*E54/E57/1000000000000</f>
        <v>0.3</v>
      </c>
      <c r="F58" s="62" t="n">
        <f aca="false">F56*F54/F57/1000000000000</f>
        <v>0.07375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0.07375</v>
      </c>
      <c r="K58" s="62" t="n">
        <f aca="false">K56*K54/K57/1000000000000</f>
        <v>0.3</v>
      </c>
      <c r="L58" s="62" t="n">
        <f aca="false">L56*L54/L57/1000000000000</f>
        <v>0.07375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0.07375</v>
      </c>
      <c r="P58" s="62" t="n">
        <f aca="false">P56*P54/P57/1000000000000</f>
        <v>0.07375</v>
      </c>
      <c r="Q58" s="62" t="n">
        <f aca="false">Q56*Q54/Q57/1000000000000</f>
        <v>0.3</v>
      </c>
    </row>
    <row r="59" customFormat="false" ht="15" hidden="false" customHeight="false" outlineLevel="0" collapsed="false">
      <c r="A59" s="53" t="s">
        <v>969</v>
      </c>
      <c r="B59" s="53" t="s">
        <v>734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970</v>
      </c>
      <c r="B60" s="53" t="s">
        <v>734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971</v>
      </c>
      <c r="B61" s="53" t="s">
        <v>431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972</v>
      </c>
      <c r="B62" s="53" t="s">
        <v>431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973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974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975</v>
      </c>
      <c r="B65" s="53" t="s">
        <v>952</v>
      </c>
      <c r="C65" s="66" t="n">
        <f aca="false">(C53*1000000*C59+C58*1000000*C60)/3600/C64</f>
        <v>494508.537031311</v>
      </c>
      <c r="D65" s="66" t="n">
        <f aca="false">(D53*1000000*D59+D58*1000000*D60)/3600/D64</f>
        <v>1923358.08996172</v>
      </c>
      <c r="E65" s="66" t="n">
        <f aca="false">(E53*1000000*E59+E58*1000000*E60)/3600/E64</f>
        <v>34206680.9056348</v>
      </c>
      <c r="F65" s="66" t="n">
        <f aca="false">(F53*1000000*F59+F58*1000000*F60)/3600/F64</f>
        <v>139703.024498268</v>
      </c>
      <c r="G65" s="66" t="n">
        <f aca="false">(G53*1000000*G59+G58*1000000*G60)/3600/G64</f>
        <v>519873.338959917</v>
      </c>
      <c r="H65" s="66" t="n">
        <f aca="false">(H53*1000000*H59+H58*1000000*H60)/3600/H64</f>
        <v>9184628.13151492</v>
      </c>
      <c r="I65" s="66" t="n">
        <f aca="false">(I53*1000000*I59+I58*1000000*I60)/3600/I64</f>
        <v>93135.3496655121</v>
      </c>
      <c r="J65" s="66" t="n">
        <f aca="false">(J53*1000000*J59+J58*1000000*J60)/3600/J64</f>
        <v>346582.225973278</v>
      </c>
      <c r="K65" s="66" t="n">
        <f aca="false">(K53*1000000*K59+K58*1000000*K60)/3600/K64</f>
        <v>6352564.76099022</v>
      </c>
      <c r="L65" s="66" t="n">
        <f aca="false">(L53*1000000*L59+L58*1000000*L60)/3600/L64</f>
        <v>39640.1580409382</v>
      </c>
      <c r="M65" s="66" t="n">
        <f aca="false">(M53*1000000*M59+M58*1000000*M60)/3600/M64</f>
        <v>143574.794501345</v>
      </c>
      <c r="N65" s="66" t="n">
        <f aca="false">(N53*1000000*N59+N58*1000000*N60)/3600/N64</f>
        <v>2477834.76577215</v>
      </c>
      <c r="O65" s="66" t="n">
        <f aca="false">(O53*1000000*O59+O58*1000000*O60)/3600/O64</f>
        <v>18970.023216421</v>
      </c>
      <c r="P65" s="66" t="n">
        <f aca="false">(P53*1000000*P59+P58*1000000*P60)/3600/P64</f>
        <v>68172.2817616021</v>
      </c>
      <c r="Q65" s="66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976</v>
      </c>
      <c r="B66" s="53" t="s">
        <v>271</v>
      </c>
      <c r="C66" s="137" t="n">
        <f aca="false">C53*1000000000000*C61*1000000000+C58*1000000000000*C62*1000000000</f>
        <v>9.310208556416E+022</v>
      </c>
      <c r="D66" s="137" t="n">
        <f aca="false">D53*1000000000000*D61*1000000000+D58*1000000000000*D62*1000000000</f>
        <v>3.2555077417856E+023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9.310208556416E+022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9.310208556416E+022</v>
      </c>
      <c r="J66" s="137" t="n">
        <f aca="false">J53*1000000000000*J61*1000000000+J58*1000000000000*J62*1000000000</f>
        <v>3.2555077417856E+023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9.310208556416E+022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9.310208556416E+022</v>
      </c>
      <c r="P66" s="137" t="n">
        <f aca="false">P53*1000000000000*P61*1000000000+P58*1000000000000*P62*1000000000</f>
        <v>3.2555077417856E+023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977</v>
      </c>
      <c r="B67" s="53" t="s">
        <v>884</v>
      </c>
      <c r="C67" s="65" t="n">
        <f aca="false">C56*(C54+C55)/1000000000000</f>
        <v>3.54</v>
      </c>
      <c r="D67" s="65" t="n">
        <f aca="false">D56*(D54+D55)/1000000000000</f>
        <v>3.54</v>
      </c>
      <c r="E67" s="65" t="n">
        <f aca="false">E56*(E54+E55)/1000000000000</f>
        <v>14.4</v>
      </c>
      <c r="F67" s="65" t="n">
        <f aca="false">F56*(F54+F55)/1000000000000</f>
        <v>3.54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3.54</v>
      </c>
      <c r="K67" s="65" t="n">
        <f aca="false">K56*(K54+K55)/1000000000000</f>
        <v>14.4</v>
      </c>
      <c r="L67" s="65" t="n">
        <f aca="false">L56*(L54+L55)/1000000000000</f>
        <v>3.54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3.54</v>
      </c>
      <c r="P67" s="65" t="n">
        <f aca="false">P56*(P54+P55)/1000000000000</f>
        <v>3.54</v>
      </c>
      <c r="Q67" s="65" t="n">
        <f aca="false">Q56*(Q54+Q55)/1000000000000</f>
        <v>14.4</v>
      </c>
    </row>
    <row r="68" customFormat="false" ht="15" hidden="false" customHeight="false" outlineLevel="0" collapsed="false">
      <c r="A68" s="53" t="s">
        <v>978</v>
      </c>
      <c r="B68" s="53" t="s">
        <v>248</v>
      </c>
      <c r="C68" s="66" t="n">
        <f aca="false">C24*IF(C25=0,(C54+C55)/2,MIN((C54+C55)/2,C25))+(1-C24)*((C54+C55)/2/C26+C27)</f>
        <v>2200</v>
      </c>
      <c r="D68" s="66" t="n">
        <f aca="false">D24*IF(D25=0,(D54+D55)/2,MIN((D54+D55)/2,D25))+(1-D24)*((D54+D55)/2/D26+D27)</f>
        <v>2224</v>
      </c>
      <c r="E68" s="66" t="n">
        <f aca="false">E24*IF(E25=0,(E54+E55)/2,MIN((E54+E55)/2,E25))+(1-E24)*((E54+E55)/2/E26+E27)</f>
        <v>24576</v>
      </c>
      <c r="F68" s="66" t="n">
        <f aca="false">F24*IF(F25=0,(F54+F55)/2,MIN((F54+F55)/2,F25))+(1-F24)*((F54+F55)/2/F26+F27)</f>
        <v>2200</v>
      </c>
      <c r="G68" s="66" t="n">
        <f aca="false">G24*IF(G25=0,(G54+G55)/2,MIN((G54+G55)/2,G25))+(1-G24)*((G54+G55)/2/G26+G27)</f>
        <v>2224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2200</v>
      </c>
      <c r="J68" s="66" t="n">
        <f aca="false">J24*IF(J25=0,(J54+J55)/2,MIN((J54+J55)/2,J25))+(1-J24)*((J54+J55)/2/J26+J27)</f>
        <v>2224</v>
      </c>
      <c r="K68" s="66" t="n">
        <f aca="false">K24*IF(K25=0,(K54+K55)/2,MIN((K54+K55)/2,K25))+(1-K24)*((K54+K55)/2/K26+K27)</f>
        <v>24576</v>
      </c>
      <c r="L68" s="66" t="n">
        <f aca="false">L24*IF(L25=0,(L54+L55)/2,MIN((L54+L55)/2,L25))+(1-L24)*((L54+L55)/2/L26+L27)</f>
        <v>2200</v>
      </c>
      <c r="M68" s="66" t="n">
        <f aca="false">M24*IF(M25=0,(M54+M55)/2,MIN((M54+M55)/2,M25))+(1-M24)*((M54+M55)/2/M26+M27)</f>
        <v>2224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2200</v>
      </c>
      <c r="P68" s="66" t="n">
        <f aca="false">P24*IF(P25=0,(P54+P55)/2,MIN((P54+P55)/2,P25))+(1-P24)*((P54+P55)/2/P26+P27)</f>
        <v>2224</v>
      </c>
      <c r="Q68" s="66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979</v>
      </c>
      <c r="B69" s="53" t="s">
        <v>431</v>
      </c>
      <c r="C69" s="65" t="n">
        <f aca="false">3*(2*C22*1000000000+C23*C68)*C28/1000000000</f>
        <v>115.1982336</v>
      </c>
      <c r="D69" s="65" t="n">
        <f aca="false">3*(2*D22*1000000000+D23*D68)*D28/1000000000</f>
        <v>400.690510848</v>
      </c>
      <c r="E69" s="65" t="n">
        <f aca="false">3*(2*E22*1000000000+E23*E68)*E28/1000000000</f>
        <v>1442.3878656</v>
      </c>
      <c r="F69" s="65" t="n">
        <f aca="false">3*(2*F22*1000000000+F23*F68)*F28/1000000000</f>
        <v>115.1982336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115.1982336</v>
      </c>
      <c r="J69" s="65" t="n">
        <f aca="false">3*(2*J22*1000000000+J23*J68)*J28/1000000000</f>
        <v>400.690510848</v>
      </c>
      <c r="K69" s="65" t="n">
        <f aca="false">3*(2*K22*1000000000+K23*K68)*K28/1000000000</f>
        <v>1442.3878656</v>
      </c>
      <c r="L69" s="65" t="n">
        <f aca="false">3*(2*L22*1000000000+L23*L68)*L28/1000000000</f>
        <v>115.1982336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115.1982336</v>
      </c>
      <c r="P69" s="65" t="n">
        <f aca="false">3*(2*P22*1000000000+P23*P68)*P28/1000000000</f>
        <v>400.690510848</v>
      </c>
      <c r="Q69" s="65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980</v>
      </c>
      <c r="B70" s="53" t="s">
        <v>271</v>
      </c>
      <c r="C70" s="137" t="n">
        <f aca="false">C69*1000000000*C67*1000000000000</f>
        <v>4.07801746944E+023</v>
      </c>
      <c r="D70" s="137" t="n">
        <f aca="false">D69*1000000000*D67*1000000000000</f>
        <v>1.41844440840192E+024</v>
      </c>
      <c r="E70" s="137" t="n">
        <f aca="false">E69*1000000000*E67*1000000000000</f>
        <v>2.077038526464E+025</v>
      </c>
      <c r="F70" s="137" t="n">
        <f aca="false">F69*1000000000*F67*1000000000000</f>
        <v>4.07801746944E+023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4.07801746944E+023</v>
      </c>
      <c r="J70" s="137" t="n">
        <f aca="false">J69*1000000000*J67*1000000000000</f>
        <v>1.41844440840192E+024</v>
      </c>
      <c r="K70" s="137" t="n">
        <f aca="false">K69*1000000000*K67*1000000000000</f>
        <v>2.077038526464E+025</v>
      </c>
      <c r="L70" s="137" t="n">
        <f aca="false">L69*1000000000*L67*1000000000000</f>
        <v>4.07801746944E+023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4.07801746944E+023</v>
      </c>
      <c r="P70" s="137" t="n">
        <f aca="false">P69*1000000000*P67*1000000000000</f>
        <v>1.41844440840192E+024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981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982</v>
      </c>
      <c r="B72" s="53" t="s">
        <v>952</v>
      </c>
      <c r="C72" s="66" t="n">
        <f aca="false">C70/(C12*1000000000000000*C16*C71*C17)/3600</f>
        <v>530001.417850392</v>
      </c>
      <c r="D72" s="66" t="n">
        <f aca="false">D70/(D12*1000000000000000*D16*D71*D17)/3600</f>
        <v>1843487.80560328</v>
      </c>
      <c r="E72" s="66" t="n">
        <f aca="false">E70/(E12*1000000000000000*E16*E71*E17)/3600</f>
        <v>26994326.8317332</v>
      </c>
      <c r="F72" s="66" t="n">
        <f aca="false">F70/(F12*1000000000000000*F16*F71*F17)/3600</f>
        <v>167819.648948148</v>
      </c>
      <c r="G72" s="66" t="n">
        <f aca="false">G70/(G12*1000000000000000*G16*G71*G17)/3600</f>
        <v>583721.978766222</v>
      </c>
      <c r="H72" s="66" t="n">
        <f aca="false">H70/(H12*1000000000000000*H16*H71*H17)/3600</f>
        <v>8547483.648</v>
      </c>
      <c r="I72" s="66" t="n">
        <f aca="false">I70/(I12*1000000000000000*I16*I71*I17)/3600</f>
        <v>167819.648948148</v>
      </c>
      <c r="J72" s="66" t="n">
        <f aca="false">J70/(J12*1000000000000000*J16*J71*J17)/3600</f>
        <v>583721.978766222</v>
      </c>
      <c r="K72" s="66" t="n">
        <f aca="false">K70/(K12*1000000000000000*K16*K71*K17)/3600</f>
        <v>8547483.648</v>
      </c>
      <c r="L72" s="66" t="n">
        <f aca="false">L70/(L12*1000000000000000*L16*L71*L17)/3600</f>
        <v>53276.0790311581</v>
      </c>
      <c r="M72" s="66" t="n">
        <f aca="false">M70/(M12*1000000000000000*M16*M71*M17)/3600</f>
        <v>185308.56468769</v>
      </c>
      <c r="N72" s="66" t="n">
        <f aca="false">N70/(N12*1000000000000000*N16*N71*N17)/3600</f>
        <v>2713486.87238095</v>
      </c>
      <c r="O72" s="66" t="n">
        <f aca="false">O70/(O12*1000000000000000*O16*O71*O17)/3600</f>
        <v>26868.3395690279</v>
      </c>
      <c r="P72" s="66" t="n">
        <f aca="false">P70/(P12*1000000000000000*P16*P71*P17)/3600</f>
        <v>93455.3280125236</v>
      </c>
      <c r="Q72" s="66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983</v>
      </c>
      <c r="B73" s="52"/>
      <c r="C73" s="84" t="n">
        <f aca="false">Train_In!$C$10</f>
        <v>0</v>
      </c>
      <c r="D73" s="84" t="n">
        <f aca="false">Train_In!$C$10</f>
        <v>0</v>
      </c>
      <c r="E73" s="84" t="n">
        <f aca="false">Train_In!$C$10</f>
        <v>0</v>
      </c>
      <c r="F73" s="84" t="n">
        <f aca="false">Train_In!$C$10</f>
        <v>0</v>
      </c>
      <c r="G73" s="84" t="n">
        <f aca="false">Train_In!$C$10</f>
        <v>0</v>
      </c>
      <c r="H73" s="84" t="n">
        <f aca="false">Train_In!$C$10</f>
        <v>0</v>
      </c>
      <c r="I73" s="84" t="n">
        <f aca="false">Train_In!$C$10</f>
        <v>0</v>
      </c>
      <c r="J73" s="84" t="n">
        <f aca="false">Train_In!$C$10</f>
        <v>0</v>
      </c>
      <c r="K73" s="84" t="n">
        <f aca="false">Train_In!$C$10</f>
        <v>0</v>
      </c>
      <c r="L73" s="84" t="n">
        <f aca="false">Train_In!$C$10</f>
        <v>0</v>
      </c>
      <c r="M73" s="84" t="n">
        <f aca="false">Train_In!$C$10</f>
        <v>0</v>
      </c>
      <c r="N73" s="84" t="n">
        <f aca="false">Train_In!$C$10</f>
        <v>0</v>
      </c>
      <c r="O73" s="84" t="n">
        <f aca="false">Train_In!$C$10</f>
        <v>0</v>
      </c>
      <c r="P73" s="84" t="n">
        <f aca="false">Train_In!$C$10</f>
        <v>0</v>
      </c>
      <c r="Q73" s="84" t="n">
        <f aca="false">Train_In!$C$10</f>
        <v>0</v>
      </c>
    </row>
    <row r="74" customFormat="false" ht="15" hidden="false" customHeight="false" outlineLevel="0" collapsed="false">
      <c r="A74" s="52" t="s">
        <v>984</v>
      </c>
      <c r="B74" s="53" t="s">
        <v>952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</row>
    <row r="75" customFormat="false" ht="15" hidden="false" customHeight="false" outlineLevel="0" collapsed="false">
      <c r="A75" s="53" t="s">
        <v>985</v>
      </c>
      <c r="B75" s="53" t="s">
        <v>952</v>
      </c>
      <c r="C75" s="61" t="n">
        <f aca="false">C65+C72+C74</f>
        <v>1024509.9548817</v>
      </c>
      <c r="D75" s="61" t="n">
        <f aca="false">D65+D72+D74</f>
        <v>3766845.895565</v>
      </c>
      <c r="E75" s="61" t="n">
        <f aca="false">E65+E72+E74</f>
        <v>61201007.737368</v>
      </c>
      <c r="F75" s="61" t="n">
        <f aca="false">F65+F72+F74</f>
        <v>307522.673446416</v>
      </c>
      <c r="G75" s="61" t="n">
        <f aca="false">G65+G72+G74</f>
        <v>1103595.31772614</v>
      </c>
      <c r="H75" s="61" t="n">
        <f aca="false">H65+H72+H74</f>
        <v>17732111.7795149</v>
      </c>
      <c r="I75" s="61" t="n">
        <f aca="false">I65+I72+I74</f>
        <v>260954.99861366</v>
      </c>
      <c r="J75" s="61" t="n">
        <f aca="false">J65+J72+J74</f>
        <v>930304.2047395</v>
      </c>
      <c r="K75" s="61" t="n">
        <f aca="false">K65+K72+K74</f>
        <v>14900048.4089902</v>
      </c>
      <c r="L75" s="61" t="n">
        <f aca="false">L65+L72+L74</f>
        <v>92916.2370720963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45838.3627854489</v>
      </c>
      <c r="P75" s="61" t="n">
        <f aca="false">P65+P72+P74</f>
        <v>161627.609774126</v>
      </c>
      <c r="Q75" s="61" t="n">
        <f aca="false">Q65+Q72+Q74</f>
        <v>2525931.18877804</v>
      </c>
    </row>
    <row r="76" customFormat="false" ht="15" hidden="false" customHeight="false" outlineLevel="0" collapsed="false">
      <c r="A76" s="53" t="s">
        <v>986</v>
      </c>
      <c r="B76" s="53" t="s">
        <v>271</v>
      </c>
      <c r="C76" s="137" t="n">
        <f aca="false">C66+C70*(1+C73/3)</f>
        <v>5.0090383250816E+023</v>
      </c>
      <c r="D76" s="137" t="n">
        <f aca="false">D66+D70*(1+D73/3)</f>
        <v>1.74399518258048E+024</v>
      </c>
      <c r="E76" s="137" t="n">
        <f aca="false">E66+E70*(1+E73/3)</f>
        <v>2.589265308672E+025</v>
      </c>
      <c r="F76" s="137" t="n">
        <f aca="false">F66+F70*(1+F73/3)</f>
        <v>5.0090383250816E+023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5.0090383250816E+023</v>
      </c>
      <c r="J76" s="137" t="n">
        <f aca="false">J66+J70*(1+J73/3)</f>
        <v>1.74399518258048E+024</v>
      </c>
      <c r="K76" s="137" t="n">
        <f aca="false">K66+K70*(1+K73/3)</f>
        <v>2.589265308672E+025</v>
      </c>
      <c r="L76" s="137" t="n">
        <f aca="false">L66+L70*(1+L73/3)</f>
        <v>5.0090383250816E+023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5.0090383250816E+023</v>
      </c>
      <c r="P76" s="137" t="n">
        <f aca="false">P66+P70*(1+P73/3)</f>
        <v>1.74399518258048E+024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3" t="s">
        <v>987</v>
      </c>
      <c r="B77" s="53" t="s">
        <v>69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988</v>
      </c>
      <c r="B78" s="53" t="s">
        <v>73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989</v>
      </c>
      <c r="B79" s="53" t="s">
        <v>73</v>
      </c>
      <c r="C79" s="67" t="n">
        <f aca="false">C76/C35</f>
        <v>0.138981608547971</v>
      </c>
      <c r="D79" s="67" t="n">
        <f aca="false">D76/D35</f>
        <v>0.134732166431</v>
      </c>
      <c r="E79" s="67" t="n">
        <f aca="false">E76/E35</f>
        <v>0.37841545371748</v>
      </c>
      <c r="F79" s="67" t="n">
        <f aca="false">F76/F35</f>
        <v>0.138981608547971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0.138981608547971</v>
      </c>
      <c r="J79" s="67" t="n">
        <f aca="false">J76/J35</f>
        <v>0.134732166431</v>
      </c>
      <c r="K79" s="67" t="n">
        <f aca="false">K76/K35</f>
        <v>0.37841545371748</v>
      </c>
      <c r="L79" s="67" t="n">
        <f aca="false">L76/L35</f>
        <v>0.138981608547971</v>
      </c>
      <c r="M79" s="67" t="n">
        <f aca="false">M76/M35</f>
        <v>0.134732166431</v>
      </c>
      <c r="N79" s="67" t="n">
        <f aca="false">N76/N35</f>
        <v>0.37841545371748</v>
      </c>
      <c r="O79" s="67" t="n">
        <f aca="false">O76/O35</f>
        <v>0.138981608547971</v>
      </c>
      <c r="P79" s="67" t="n">
        <f aca="false">P76/P35</f>
        <v>0.134732166431</v>
      </c>
      <c r="Q79" s="67" t="n">
        <f aca="false">Q76/Q35</f>
        <v>0.37841545371748</v>
      </c>
    </row>
    <row r="80" customFormat="false" ht="15" hidden="false" customHeight="false" outlineLevel="0" collapsed="false">
      <c r="A80" s="82" t="s">
        <v>990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customFormat="false" ht="15" hidden="false" customHeight="false" outlineLevel="0" collapsed="false">
      <c r="A81" s="52" t="s">
        <v>991</v>
      </c>
      <c r="B81" s="53" t="s">
        <v>884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992</v>
      </c>
      <c r="B82" s="52"/>
      <c r="C82" s="84" t="n">
        <f aca="false">INDEX(Train_In!$C$36:$E$36,C$7)</f>
        <v>1</v>
      </c>
      <c r="D82" s="84" t="n">
        <f aca="false">INDEX(Train_In!$C$36:$E$36,D$7)</f>
        <v>2</v>
      </c>
      <c r="E82" s="84" t="n">
        <f aca="false">INDEX(Train_In!$C$36:$E$36,E$7)</f>
        <v>3</v>
      </c>
      <c r="F82" s="84" t="n">
        <f aca="false">INDEX(Train_In!$C$36:$E$36,F$7)</f>
        <v>1</v>
      </c>
      <c r="G82" s="84" t="n">
        <f aca="false">INDEX(Train_In!$C$36:$E$36,G$7)</f>
        <v>2</v>
      </c>
      <c r="H82" s="84" t="n">
        <f aca="false">INDEX(Train_In!$C$36:$E$36,H$7)</f>
        <v>3</v>
      </c>
      <c r="I82" s="84" t="n">
        <f aca="false">INDEX(Train_In!$C$36:$E$36,I$7)</f>
        <v>1</v>
      </c>
      <c r="J82" s="84" t="n">
        <f aca="false">INDEX(Train_In!$C$36:$E$36,J$7)</f>
        <v>2</v>
      </c>
      <c r="K82" s="84" t="n">
        <f aca="false">INDEX(Train_In!$C$36:$E$36,K$7)</f>
        <v>3</v>
      </c>
      <c r="L82" s="84" t="n">
        <f aca="false">INDEX(Train_In!$C$36:$E$36,L$7)</f>
        <v>1</v>
      </c>
      <c r="M82" s="84" t="n">
        <f aca="false">INDEX(Train_In!$C$36:$E$36,M$7)</f>
        <v>2</v>
      </c>
      <c r="N82" s="84" t="n">
        <f aca="false">INDEX(Train_In!$C$36:$E$36,N$7)</f>
        <v>3</v>
      </c>
      <c r="O82" s="84" t="n">
        <f aca="false">INDEX(Train_In!$C$36:$E$36,O$7)</f>
        <v>1</v>
      </c>
      <c r="P82" s="84" t="n">
        <f aca="false">INDEX(Train_In!$C$36:$E$36,P$7)</f>
        <v>2</v>
      </c>
      <c r="Q82" s="84" t="n">
        <f aca="false">INDEX(Train_In!$C$36:$E$36,Q$7)</f>
        <v>3</v>
      </c>
    </row>
    <row r="83" customFormat="false" ht="15" hidden="false" customHeight="false" outlineLevel="0" collapsed="false">
      <c r="A83" s="52" t="s">
        <v>993</v>
      </c>
      <c r="B83" s="53" t="s">
        <v>884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994</v>
      </c>
      <c r="B84" s="53" t="s">
        <v>734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995</v>
      </c>
      <c r="B85" s="53" t="s">
        <v>431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996</v>
      </c>
      <c r="B86" s="53" t="s">
        <v>952</v>
      </c>
      <c r="C86" s="66" t="n">
        <f aca="false">C81*1000000*C59/3600/C64</f>
        <v>41686.1073962454</v>
      </c>
      <c r="D86" s="66" t="n">
        <f aca="false">D81*1000000*D59/3600/D64</f>
        <v>162088.023757855</v>
      </c>
      <c r="E86" s="66" t="n">
        <f aca="false">E81*1000000*E59/3600/E64</f>
        <v>709885.150255133</v>
      </c>
      <c r="F86" s="66" t="n">
        <f aca="false">F81*1000000*F59/3600/F64</f>
        <v>11817.332255589</v>
      </c>
      <c r="G86" s="66" t="n">
        <f aca="false">G81*1000000*G59/3600/G64</f>
        <v>43967.1740150943</v>
      </c>
      <c r="H86" s="66" t="n">
        <f aca="false">H81*1000000*H59/3600/H64</f>
        <v>191073.907615711</v>
      </c>
      <c r="I86" s="66" t="n">
        <f aca="false">I81*1000000*I59/3600/I64</f>
        <v>7878.22150372599</v>
      </c>
      <c r="J86" s="66" t="n">
        <f aca="false">J81*1000000*J59/3600/J64</f>
        <v>29311.4493433962</v>
      </c>
      <c r="K86" s="66" t="n">
        <f aca="false">K81*1000000*K59/3600/K64</f>
        <v>132163.424660063</v>
      </c>
      <c r="L86" s="66" t="n">
        <f aca="false">L81*1000000*L59/3600/L64</f>
        <v>3353.07625329214</v>
      </c>
      <c r="M86" s="66" t="n">
        <f aca="false">M81*1000000*M59/3600/M64</f>
        <v>12141.6730066078</v>
      </c>
      <c r="N86" s="66" t="n">
        <f aca="false">N81*1000000*N59/3600/N64</f>
        <v>51543.6971085818</v>
      </c>
      <c r="O86" s="66" t="n">
        <f aca="false">O81*1000000*O59/3600/O64</f>
        <v>1604.62811234682</v>
      </c>
      <c r="P86" s="66" t="n">
        <f aca="false">P81*1000000*P59/3600/P64</f>
        <v>5764.99850566394</v>
      </c>
      <c r="Q86" s="66" t="n">
        <f aca="false">Q81*1000000*Q59/3600/Q64</f>
        <v>24076.3775811473</v>
      </c>
    </row>
    <row r="87" customFormat="false" ht="15" hidden="false" customHeight="false" outlineLevel="0" collapsed="false">
      <c r="A87" s="52" t="s">
        <v>997</v>
      </c>
      <c r="B87" s="53" t="s">
        <v>952</v>
      </c>
      <c r="C87" s="66" t="n">
        <f aca="false">C83*1000000*C84/3600</f>
        <v>9032.94627365111</v>
      </c>
      <c r="D87" s="66" t="n">
        <f aca="false">D83*1000000*D84/3600</f>
        <v>37063.7213946438</v>
      </c>
      <c r="E87" s="66" t="n">
        <f aca="false">E83*1000000*E84/3600</f>
        <v>112364.639380158</v>
      </c>
      <c r="F87" s="66" t="n">
        <f aca="false">F83*1000000*F84/3600</f>
        <v>893.810033777778</v>
      </c>
      <c r="G87" s="66" t="n">
        <f aca="false">G83*1000000*G84/3600</f>
        <v>3667.455232</v>
      </c>
      <c r="H87" s="66" t="n">
        <f aca="false">H83*1000000*H84/3600</f>
        <v>11118.4810666667</v>
      </c>
      <c r="I87" s="66" t="n">
        <f aca="false">I83*1000000*I84/3600</f>
        <v>595.873355851852</v>
      </c>
      <c r="J87" s="66" t="n">
        <f aca="false">J83*1000000*J84/3600</f>
        <v>2444.97015466667</v>
      </c>
      <c r="K87" s="66" t="n">
        <f aca="false">K83*1000000*K84/3600</f>
        <v>7412.32071111111</v>
      </c>
      <c r="L87" s="66" t="n">
        <f aca="false">L83*1000000*L84/3600</f>
        <v>255.374295365079</v>
      </c>
      <c r="M87" s="66" t="n">
        <f aca="false">M83*1000000*M84/3600</f>
        <v>1047.844352</v>
      </c>
      <c r="N87" s="66" t="n">
        <f aca="false">N83*1000000*N84/3600</f>
        <v>3176.70887619048</v>
      </c>
      <c r="O87" s="66" t="n">
        <f aca="false">O83*1000000*O84/3600</f>
        <v>122.43973065449</v>
      </c>
      <c r="P87" s="66" t="n">
        <f aca="false">P83*1000000*P84/3600</f>
        <v>502.391127671233</v>
      </c>
      <c r="Q87" s="66" t="n">
        <f aca="false">Q83*1000000*Q84/3600</f>
        <v>1523.07959817352</v>
      </c>
    </row>
    <row r="88" customFormat="false" ht="15" hidden="false" customHeight="false" outlineLevel="0" collapsed="false">
      <c r="A88" s="52" t="s">
        <v>998</v>
      </c>
      <c r="B88" s="53" t="s">
        <v>271</v>
      </c>
      <c r="C88" s="137" t="n">
        <f aca="false">C69*1000000000*C83*1000000000000</f>
        <v>3.455947008E+022</v>
      </c>
      <c r="D88" s="137" t="n">
        <f aca="false">D69*1000000000*D83*1000000000000</f>
        <v>1.202071532544E+023</v>
      </c>
      <c r="E88" s="137" t="n">
        <f aca="false">E69*1000000000*E83*1000000000000</f>
        <v>4.3271635968E+023</v>
      </c>
      <c r="F88" s="137" t="n">
        <f aca="false">F69*1000000000*F83*1000000000000</f>
        <v>3.455947008E+022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3.455947008E+022</v>
      </c>
      <c r="J88" s="137" t="n">
        <f aca="false">J69*1000000000*J83*1000000000000</f>
        <v>1.202071532544E+023</v>
      </c>
      <c r="K88" s="137" t="n">
        <f aca="false">K69*1000000000*K83*1000000000000</f>
        <v>4.3271635968E+023</v>
      </c>
      <c r="L88" s="137" t="n">
        <f aca="false">L69*1000000000*L83*1000000000000</f>
        <v>3.455947008E+022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3.455947008E+022</v>
      </c>
      <c r="P88" s="137" t="n">
        <f aca="false">P69*1000000000*P83*1000000000000</f>
        <v>1.202071532544E+023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999</v>
      </c>
      <c r="B89" s="53" t="s">
        <v>952</v>
      </c>
      <c r="C89" s="66" t="n">
        <f aca="false">C88/(C12*1000000000000000*C16*C71*C17)/3600</f>
        <v>44915.374394101</v>
      </c>
      <c r="D89" s="66" t="n">
        <f aca="false">D88/(D12*1000000000000000*D16*D71*D17)/3600</f>
        <v>156227.780135871</v>
      </c>
      <c r="E89" s="66" t="n">
        <f aca="false">E88/(E12*1000000000000000*E16*E71*E17)/3600</f>
        <v>562381.808994442</v>
      </c>
      <c r="F89" s="66" t="n">
        <f aca="false">F88/(F12*1000000000000000*F16*F71*F17)/3600</f>
        <v>14222.0041481481</v>
      </c>
      <c r="G89" s="66" t="n">
        <f aca="false">G88/(G12*1000000000000000*G16*G71*G17)/3600</f>
        <v>49467.9643022222</v>
      </c>
      <c r="H89" s="66" t="n">
        <f aca="false">H88/(H12*1000000000000000*H16*H71*H17)/3600</f>
        <v>178072.576</v>
      </c>
      <c r="I89" s="66" t="n">
        <f aca="false">I88/(I12*1000000000000000*I16*I71*I17)/3600</f>
        <v>14222.0041481481</v>
      </c>
      <c r="J89" s="66" t="n">
        <f aca="false">J88/(J12*1000000000000000*J16*J71*J17)/3600</f>
        <v>49467.9643022222</v>
      </c>
      <c r="K89" s="66" t="n">
        <f aca="false">K88/(K12*1000000000000000*K16*K71*K17)/3600</f>
        <v>178072.576</v>
      </c>
      <c r="L89" s="66" t="n">
        <f aca="false">L88/(L12*1000000000000000*L16*L71*L17)/3600</f>
        <v>4514.92195179306</v>
      </c>
      <c r="M89" s="66" t="n">
        <f aca="false">M88/(M12*1000000000000000*M16*M71*M17)/3600</f>
        <v>15704.1156514991</v>
      </c>
      <c r="N89" s="66" t="n">
        <f aca="false">N88/(N12*1000000000000000*N16*N71*N17)/3600</f>
        <v>56530.9765079365</v>
      </c>
      <c r="O89" s="66" t="n">
        <f aca="false">O88/(O12*1000000000000000*O16*O71*O17)/3600</f>
        <v>2276.97792957863</v>
      </c>
      <c r="P89" s="66" t="n">
        <f aca="false">P88/(P12*1000000000000000*P16*P71*P17)/3600</f>
        <v>7919.94305190878</v>
      </c>
      <c r="Q89" s="66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1000</v>
      </c>
      <c r="B90" s="53" t="s">
        <v>952</v>
      </c>
      <c r="C90" s="66" t="n">
        <f aca="false">C86+C87+C89</f>
        <v>95634.4280639976</v>
      </c>
      <c r="D90" s="66" t="n">
        <f aca="false">D86+D87+D89</f>
        <v>355379.525288369</v>
      </c>
      <c r="E90" s="66" t="n">
        <f aca="false">E86+E87+E89</f>
        <v>1384631.59862973</v>
      </c>
      <c r="F90" s="66" t="n">
        <f aca="false">F86+F87+F89</f>
        <v>26933.1464375149</v>
      </c>
      <c r="G90" s="66" t="n">
        <f aca="false">G86+G87+G89</f>
        <v>97102.5935493165</v>
      </c>
      <c r="H90" s="66" t="n">
        <f aca="false">H86+H87+H89</f>
        <v>380264.964682378</v>
      </c>
      <c r="I90" s="66" t="n">
        <f aca="false">I86+I87+I89</f>
        <v>22696.099007726</v>
      </c>
      <c r="J90" s="66" t="n">
        <f aca="false">J86+J87+J89</f>
        <v>81224.3838002851</v>
      </c>
      <c r="K90" s="66" t="n">
        <f aca="false">K86+K87+K89</f>
        <v>317648.321371174</v>
      </c>
      <c r="L90" s="66" t="n">
        <f aca="false">L86+L87+L89</f>
        <v>8123.37250045029</v>
      </c>
      <c r="M90" s="66" t="n">
        <f aca="false">M86+M87+M89</f>
        <v>28893.633010107</v>
      </c>
      <c r="N90" s="66" t="n">
        <f aca="false">N86+N87+N89</f>
        <v>111251.382492709</v>
      </c>
      <c r="O90" s="66" t="n">
        <f aca="false">O86+O87+O89</f>
        <v>4004.04577257995</v>
      </c>
      <c r="P90" s="66" t="n">
        <f aca="false">P86+P87+P89</f>
        <v>14187.3326852439</v>
      </c>
      <c r="Q90" s="66" t="n">
        <f aca="false">Q86+Q87+Q89</f>
        <v>54109.3156487413</v>
      </c>
    </row>
    <row r="91" customFormat="false" ht="15" hidden="false" customHeight="false" outlineLevel="0" collapsed="false">
      <c r="A91" s="52" t="s">
        <v>1001</v>
      </c>
      <c r="B91" s="53" t="s">
        <v>271</v>
      </c>
      <c r="C91" s="137" t="n">
        <f aca="false">C81*1000000000000*C61*1000000000+C83*1000000000000*C85*1000000000+C88</f>
        <v>5.19015184384E+022</v>
      </c>
      <c r="D91" s="137" t="n">
        <f aca="false">D81*1000000000000*D61*1000000000+D83*1000000000000*D85*1000000000+D88</f>
        <v>1.86579540992E+023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5.19015184384E+022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5.19015184384E+022</v>
      </c>
      <c r="J91" s="137" t="n">
        <f aca="false">J81*1000000000000*J61*1000000000+J83*1000000000000*J85*1000000000+J88</f>
        <v>1.86579540992E+023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5.19015184384E+022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5.19015184384E+022</v>
      </c>
      <c r="P91" s="137" t="n">
        <f aca="false">P81*1000000000000*P61*1000000000+P83*1000000000000*P85*1000000000+P88</f>
        <v>1.86579540992E+023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82" t="s">
        <v>1002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1003</v>
      </c>
      <c r="B93" s="53" t="s">
        <v>884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1004</v>
      </c>
      <c r="B94" s="52"/>
      <c r="C94" s="84" t="n">
        <f aca="false">Train_In!$C$15</f>
        <v>3</v>
      </c>
      <c r="D94" s="84" t="n">
        <f aca="false">Train_In!$C$15</f>
        <v>3</v>
      </c>
      <c r="E94" s="84" t="n">
        <f aca="false">Train_In!$C$15</f>
        <v>3</v>
      </c>
      <c r="F94" s="84" t="n">
        <f aca="false">Train_In!$C$15</f>
        <v>3</v>
      </c>
      <c r="G94" s="84" t="n">
        <f aca="false">Train_In!$C$15</f>
        <v>3</v>
      </c>
      <c r="H94" s="84" t="n">
        <f aca="false">Train_In!$C$15</f>
        <v>3</v>
      </c>
      <c r="I94" s="84" t="n">
        <f aca="false">Train_In!$C$15</f>
        <v>3</v>
      </c>
      <c r="J94" s="84" t="n">
        <f aca="false">Train_In!$C$15</f>
        <v>3</v>
      </c>
      <c r="K94" s="84" t="n">
        <f aca="false">Train_In!$C$15</f>
        <v>3</v>
      </c>
      <c r="L94" s="84" t="n">
        <f aca="false">Train_In!$C$15</f>
        <v>3</v>
      </c>
      <c r="M94" s="84" t="n">
        <f aca="false">Train_In!$C$15</f>
        <v>3</v>
      </c>
      <c r="N94" s="84" t="n">
        <f aca="false">Train_In!$C$15</f>
        <v>3</v>
      </c>
      <c r="O94" s="84" t="n">
        <f aca="false">Train_In!$C$15</f>
        <v>3</v>
      </c>
      <c r="P94" s="84" t="n">
        <f aca="false">Train_In!$C$15</f>
        <v>3</v>
      </c>
      <c r="Q94" s="84" t="n">
        <f aca="false">Train_In!$C$15</f>
        <v>3</v>
      </c>
    </row>
    <row r="95" customFormat="false" ht="15" hidden="false" customHeight="false" outlineLevel="0" collapsed="false">
      <c r="A95" s="52" t="s">
        <v>1005</v>
      </c>
      <c r="B95" s="53" t="s">
        <v>734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1006</v>
      </c>
      <c r="B96" s="53" t="s">
        <v>431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1007</v>
      </c>
      <c r="B97" s="53" t="s">
        <v>952</v>
      </c>
      <c r="C97" s="66" t="n">
        <f aca="false">C93*1000000*C95/3600</f>
        <v>3017011.88858431</v>
      </c>
      <c r="D97" s="66" t="n">
        <f aca="false">D93*1000000*D95/3600</f>
        <v>6034023.77716863</v>
      </c>
      <c r="E97" s="66" t="n">
        <f aca="false">E93*1000000*E95/3600</f>
        <v>9051035.66575294</v>
      </c>
      <c r="F97" s="66" t="n">
        <f aca="false">F93*1000000*F95/3600</f>
        <v>812064.107366772</v>
      </c>
      <c r="G97" s="66" t="n">
        <f aca="false">G93*1000000*G95/3600</f>
        <v>1624128.21473354</v>
      </c>
      <c r="H97" s="66" t="n">
        <f aca="false">H93*1000000*H95/3600</f>
        <v>2436192.32210032</v>
      </c>
      <c r="I97" s="66" t="n">
        <f aca="false">I93*1000000*I95/3600</f>
        <v>561694.554805268</v>
      </c>
      <c r="J97" s="66" t="n">
        <f aca="false">J93*1000000*J95/3600</f>
        <v>1123389.10961054</v>
      </c>
      <c r="K97" s="66" t="n">
        <f aca="false">K93*1000000*K95/3600</f>
        <v>1685083.66441581</v>
      </c>
      <c r="L97" s="66" t="n">
        <f aca="false">L93*1000000*L95/3600</f>
        <v>219060.712711473</v>
      </c>
      <c r="M97" s="66" t="n">
        <f aca="false">M93*1000000*M95/3600</f>
        <v>438121.425422945</v>
      </c>
      <c r="N97" s="66" t="n">
        <f aca="false">N93*1000000*N95/3600</f>
        <v>657182.138134418</v>
      </c>
      <c r="O97" s="66" t="n">
        <f aca="false">O93*1000000*O95/3600</f>
        <v>102324.604719876</v>
      </c>
      <c r="P97" s="66" t="n">
        <f aca="false">P93*1000000*P95/3600</f>
        <v>204649.209439752</v>
      </c>
      <c r="Q97" s="66" t="n">
        <f aca="false">Q93*1000000*Q95/3600</f>
        <v>306973.814159628</v>
      </c>
    </row>
    <row r="98" customFormat="false" ht="15" hidden="false" customHeight="false" outlineLevel="0" collapsed="false">
      <c r="A98" s="52" t="s">
        <v>1008</v>
      </c>
      <c r="B98" s="53" t="s">
        <v>271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907</v>
      </c>
      <c r="B99" s="53" t="s">
        <v>884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1009</v>
      </c>
      <c r="B100" s="53" t="s">
        <v>952</v>
      </c>
      <c r="C100" s="66" t="n">
        <f aca="false">C99*1000000*C59/3600</f>
        <v>3543.31912868086</v>
      </c>
      <c r="D100" s="66" t="n">
        <f aca="false">D99*1000000*D59/3600</f>
        <v>34443.7050485441</v>
      </c>
      <c r="E100" s="66" t="n">
        <f aca="false">E99*1000000*E59/3600</f>
        <v>301701.188858432</v>
      </c>
      <c r="F100" s="66" t="n">
        <f aca="false">F99*1000000*F59/3600</f>
        <v>1004.47324172506</v>
      </c>
      <c r="G100" s="66" t="n">
        <f aca="false">G99*1000000*G59/3600</f>
        <v>9343.02447820754</v>
      </c>
      <c r="H100" s="66" t="n">
        <f aca="false">H99*1000000*H59/3600</f>
        <v>81206.4107366772</v>
      </c>
      <c r="I100" s="66" t="n">
        <f aca="false">I99*1000000*I59/3600</f>
        <v>669.648827816709</v>
      </c>
      <c r="J100" s="66" t="n">
        <f aca="false">J99*1000000*J59/3600</f>
        <v>6228.68298547169</v>
      </c>
      <c r="K100" s="66" t="n">
        <f aca="false">K99*1000000*K59/3600</f>
        <v>56169.4554805268</v>
      </c>
      <c r="L100" s="66" t="n">
        <f aca="false">L99*1000000*L59/3600</f>
        <v>285.011481529832</v>
      </c>
      <c r="M100" s="66" t="n">
        <f aca="false">M99*1000000*M59/3600</f>
        <v>2580.10551390417</v>
      </c>
      <c r="N100" s="66" t="n">
        <f aca="false">N99*1000000*N59/3600</f>
        <v>21906.0712711473</v>
      </c>
      <c r="O100" s="66" t="n">
        <f aca="false">O99*1000000*O59/3600</f>
        <v>136.39338954948</v>
      </c>
      <c r="P100" s="66" t="n">
        <f aca="false">P99*1000000*P59/3600</f>
        <v>1225.06218245359</v>
      </c>
      <c r="Q100" s="66" t="n">
        <f aca="false">Q99*1000000*Q59/3600</f>
        <v>10232.4604719876</v>
      </c>
    </row>
    <row r="101" customFormat="false" ht="15" hidden="false" customHeight="false" outlineLevel="0" collapsed="false">
      <c r="A101" s="52" t="s">
        <v>1010</v>
      </c>
      <c r="B101" s="53" t="s">
        <v>271</v>
      </c>
      <c r="C101" s="137" t="n">
        <f aca="false">C99*1000000000000*C61*1000000000</f>
        <v>7.6888999936E+020</v>
      </c>
      <c r="D101" s="137" t="n">
        <f aca="false">D99*1000000000000*D61*1000000000</f>
        <v>6.690967808E+021</v>
      </c>
      <c r="E101" s="137" t="n">
        <f aca="false">E99*1000000000000*E61*1000000000</f>
        <v>5.210612736E+022</v>
      </c>
      <c r="F101" s="137" t="n">
        <f aca="false">F99*1000000000000*F61*1000000000</f>
        <v>7.6888999936E+020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7.6888999936E+020</v>
      </c>
      <c r="J101" s="137" t="n">
        <f aca="false">J99*1000000000000*J61*1000000000</f>
        <v>6.690967808E+021</v>
      </c>
      <c r="K101" s="137" t="n">
        <f aca="false">K99*1000000000000*K61*1000000000</f>
        <v>5.210612736E+022</v>
      </c>
      <c r="L101" s="137" t="n">
        <f aca="false">L99*1000000000000*L61*1000000000</f>
        <v>7.6888999936E+020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7.6888999936E+020</v>
      </c>
      <c r="P101" s="137" t="n">
        <f aca="false">P99*1000000000000*P61*1000000000</f>
        <v>6.690967808E+021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82" t="s">
        <v>1011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customFormat="false" ht="15" hidden="false" customHeight="false" outlineLevel="0" collapsed="false">
      <c r="A103" s="52" t="s">
        <v>1012</v>
      </c>
      <c r="B103" s="53" t="s">
        <v>952</v>
      </c>
      <c r="C103" s="66" t="n">
        <f aca="false">C36+C43</f>
        <v>2903341.97248891</v>
      </c>
      <c r="D103" s="66" t="n">
        <f aca="false">D36+D43</f>
        <v>10414001.4891172</v>
      </c>
      <c r="E103" s="66" t="n">
        <f aca="false">E36+E43</f>
        <v>56547930.6945146</v>
      </c>
      <c r="F103" s="66" t="n">
        <f aca="false">F36+F43</f>
        <v>919314.202168889</v>
      </c>
      <c r="G103" s="66" t="n">
        <f aca="false">G36+G43</f>
        <v>3297489.43151407</v>
      </c>
      <c r="H103" s="66" t="n">
        <f aca="false">H36+H43</f>
        <v>17905336.7751111</v>
      </c>
      <c r="I103" s="66" t="n">
        <f aca="false">I36+I43</f>
        <v>919314.202168889</v>
      </c>
      <c r="J103" s="66" t="n">
        <f aca="false">J36+J43</f>
        <v>3297489.43151407</v>
      </c>
      <c r="K103" s="66" t="n">
        <f aca="false">K36+K43</f>
        <v>17905336.7751111</v>
      </c>
      <c r="L103" s="66" t="n">
        <f aca="false">L36+L43</f>
        <v>291845.778466314</v>
      </c>
      <c r="M103" s="66" t="n">
        <f aca="false">M36+M43</f>
        <v>1046822.0417505</v>
      </c>
      <c r="N103" s="66" t="n">
        <f aca="false">N36+N43</f>
        <v>5684233.89686067</v>
      </c>
      <c r="O103" s="66" t="n">
        <f aca="false">O36+O43</f>
        <v>147184.470408083</v>
      </c>
      <c r="P103" s="66" t="n">
        <f aca="false">P36+P43</f>
        <v>527936.188202702</v>
      </c>
      <c r="Q103" s="66" t="n">
        <f aca="false">Q36+Q43</f>
        <v>2866688.56469919</v>
      </c>
    </row>
    <row r="104" customFormat="false" ht="15" hidden="false" customHeight="false" outlineLevel="0" collapsed="false">
      <c r="A104" s="52" t="s">
        <v>1013</v>
      </c>
      <c r="B104" s="53" t="s">
        <v>952</v>
      </c>
      <c r="C104" s="66" t="n">
        <f aca="false">C51+C75+C90</f>
        <v>1125765.39722527</v>
      </c>
      <c r="D104" s="66" t="n">
        <f aca="false">D51+D75+D90</f>
        <v>4141716.48487748</v>
      </c>
      <c r="E104" s="66" t="n">
        <f aca="false">E51+E75+E90</f>
        <v>62702685.8353521</v>
      </c>
      <c r="F104" s="66" t="n">
        <f aca="false">F51+F75+F90</f>
        <v>336235.657845413</v>
      </c>
      <c r="G104" s="66" t="n">
        <f aca="false">G51+G75+G90</f>
        <v>1206869.56178805</v>
      </c>
      <c r="H104" s="66" t="n">
        <f aca="false">H51+H75+H90</f>
        <v>18149438.3477529</v>
      </c>
      <c r="I104" s="66" t="n">
        <f aca="false">I51+I75+I90</f>
        <v>285430.935582868</v>
      </c>
      <c r="J104" s="66" t="n">
        <f aca="false">J51+J75+J90</f>
        <v>1017700.23905238</v>
      </c>
      <c r="K104" s="66" t="n">
        <f aca="false">K51+K75+K90</f>
        <v>15254758.333917</v>
      </c>
      <c r="L104" s="66" t="n">
        <f aca="false">L51+L75+L90</f>
        <v>101604.637496826</v>
      </c>
      <c r="M104" s="66" t="n">
        <f aca="false">M51+M75+M90</f>
        <v>359736.246330123</v>
      </c>
      <c r="N104" s="66" t="n">
        <f aca="false">N51+N75+N90</f>
        <v>5314338.60907615</v>
      </c>
      <c r="O104" s="66" t="n">
        <f aca="false">O51+O75+O90</f>
        <v>50127.3650039913</v>
      </c>
      <c r="P104" s="66" t="n">
        <f aca="false">P51+P75+P90</f>
        <v>176803.038923121</v>
      </c>
      <c r="Q104" s="66" t="n">
        <f aca="false">Q51+Q75+Q90</f>
        <v>2585974.1585343</v>
      </c>
    </row>
    <row r="105" customFormat="false" ht="15" hidden="false" customHeight="false" outlineLevel="0" collapsed="false">
      <c r="A105" s="52" t="s">
        <v>1014</v>
      </c>
      <c r="B105" s="53" t="s">
        <v>952</v>
      </c>
      <c r="C105" s="66" t="n">
        <f aca="false">C97+C100</f>
        <v>3020555.207713</v>
      </c>
      <c r="D105" s="66" t="n">
        <f aca="false">D97+D100</f>
        <v>6068467.48221717</v>
      </c>
      <c r="E105" s="66" t="n">
        <f aca="false">E97+E100</f>
        <v>9352736.85461137</v>
      </c>
      <c r="F105" s="66" t="n">
        <f aca="false">F97+F100</f>
        <v>813068.580608498</v>
      </c>
      <c r="G105" s="66" t="n">
        <f aca="false">G97+G100</f>
        <v>1633471.23921175</v>
      </c>
      <c r="H105" s="66" t="n">
        <f aca="false">H97+H100</f>
        <v>2517398.73283699</v>
      </c>
      <c r="I105" s="66" t="n">
        <f aca="false">I97+I100</f>
        <v>562364.203633085</v>
      </c>
      <c r="J105" s="66" t="n">
        <f aca="false">J97+J100</f>
        <v>1129617.79259601</v>
      </c>
      <c r="K105" s="66" t="n">
        <f aca="false">K97+K100</f>
        <v>1741253.11989633</v>
      </c>
      <c r="L105" s="66" t="n">
        <f aca="false">L97+L100</f>
        <v>219345.724193002</v>
      </c>
      <c r="M105" s="66" t="n">
        <f aca="false">M97+M100</f>
        <v>440701.530936849</v>
      </c>
      <c r="N105" s="66" t="n">
        <f aca="false">N97+N100</f>
        <v>679088.209405565</v>
      </c>
      <c r="O105" s="66" t="n">
        <f aca="false">O97+O100</f>
        <v>102460.998109426</v>
      </c>
      <c r="P105" s="66" t="n">
        <f aca="false">P97+P100</f>
        <v>205874.271622206</v>
      </c>
      <c r="Q105" s="66" t="n">
        <f aca="false">Q97+Q100</f>
        <v>317206.274631616</v>
      </c>
    </row>
    <row r="106" customFormat="false" ht="15" hidden="false" customHeight="false" outlineLevel="0" collapsed="false">
      <c r="A106" s="52" t="s">
        <v>1015</v>
      </c>
      <c r="B106" s="53" t="s">
        <v>952</v>
      </c>
      <c r="C106" s="61" t="n">
        <f aca="false">C103+C104+C105</f>
        <v>7049662.57742717</v>
      </c>
      <c r="D106" s="61" t="n">
        <f aca="false">D103+D104+D105</f>
        <v>20624185.4562119</v>
      </c>
      <c r="E106" s="61" t="n">
        <f aca="false">E103+E104+E105</f>
        <v>128603353.384478</v>
      </c>
      <c r="F106" s="61" t="n">
        <f aca="false">F103+F104+F105</f>
        <v>2068618.4406228</v>
      </c>
      <c r="G106" s="61" t="n">
        <f aca="false">G103+G104+G105</f>
        <v>6137830.23251387</v>
      </c>
      <c r="H106" s="61" t="n">
        <f aca="false">H103+H104+H105</f>
        <v>38572173.855701</v>
      </c>
      <c r="I106" s="61" t="n">
        <f aca="false">I103+I104+I105</f>
        <v>1767109.34138484</v>
      </c>
      <c r="J106" s="61" t="n">
        <f aca="false">J103+J104+J105</f>
        <v>5444807.46316246</v>
      </c>
      <c r="K106" s="61" t="n">
        <f aca="false">K103+K104+K105</f>
        <v>34901348.2289244</v>
      </c>
      <c r="L106" s="61" t="n">
        <f aca="false">L103+L104+L105</f>
        <v>612796.140156143</v>
      </c>
      <c r="M106" s="61" t="n">
        <f aca="false">M103+M104+M105</f>
        <v>1847259.81901747</v>
      </c>
      <c r="N106" s="61" t="n">
        <f aca="false">N103+N104+N105</f>
        <v>11677660.7153424</v>
      </c>
      <c r="O106" s="61" t="n">
        <f aca="false">O103+O104+O105</f>
        <v>299772.8335215</v>
      </c>
      <c r="P106" s="61" t="n">
        <f aca="false">P103+P104+P105</f>
        <v>910613.498748029</v>
      </c>
      <c r="Q106" s="61" t="n">
        <f aca="false">Q103+Q104+Q105</f>
        <v>5769868.9978651</v>
      </c>
    </row>
    <row r="107" customFormat="false" ht="15" hidden="false" customHeight="false" outlineLevel="0" collapsed="false">
      <c r="A107" s="52" t="s">
        <v>1016</v>
      </c>
      <c r="B107" s="53" t="s">
        <v>271</v>
      </c>
      <c r="C107" s="137" t="n">
        <f aca="false">C35+C42</f>
        <v>3.723222518784E+024</v>
      </c>
      <c r="D107" s="137" t="n">
        <f aca="false">D35+D42</f>
        <v>1.3354832197632E+025</v>
      </c>
      <c r="E107" s="137" t="n">
        <f aca="false">E35+E42</f>
        <v>7.25166139392E+025</v>
      </c>
      <c r="F107" s="137" t="n">
        <f aca="false">F35+F42</f>
        <v>3.723222518784E+024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3.723222518784E+024</v>
      </c>
      <c r="J107" s="137" t="n">
        <f aca="false">J35+J42</f>
        <v>1.3354832197632E+025</v>
      </c>
      <c r="K107" s="137" t="n">
        <f aca="false">K35+K42</f>
        <v>7.25166139392E+025</v>
      </c>
      <c r="L107" s="137" t="n">
        <f aca="false">L35+L42</f>
        <v>3.723222518784E+024</v>
      </c>
      <c r="M107" s="137" t="n">
        <f aca="false">M35+M42</f>
        <v>1.3354832197632E+025</v>
      </c>
      <c r="N107" s="137" t="n">
        <f aca="false">N35+N42</f>
        <v>7.25166139392E+025</v>
      </c>
      <c r="O107" s="137" t="n">
        <f aca="false">O35+O42</f>
        <v>3.723222518784E+024</v>
      </c>
      <c r="P107" s="137" t="n">
        <f aca="false">P35+P42</f>
        <v>1.3354832197632E+025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2" t="s">
        <v>1017</v>
      </c>
      <c r="B108" s="53" t="s">
        <v>271</v>
      </c>
      <c r="C108" s="137" t="n">
        <f aca="false">C49+C76+C91</f>
        <v>5.5857202594176E+023</v>
      </c>
      <c r="D108" s="137" t="n">
        <f aca="false">D49+D76+D91</f>
        <v>1.95057087123328E+024</v>
      </c>
      <c r="E108" s="137" t="n">
        <f aca="false">E49+E76+E91</f>
        <v>2.666974089216E+025</v>
      </c>
      <c r="F108" s="137" t="n">
        <f aca="false">F49+F76+F91</f>
        <v>5.5857202594176E+023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5.5857202594176E+023</v>
      </c>
      <c r="J108" s="137" t="n">
        <f aca="false">J49+J76+J91</f>
        <v>1.95057087123328E+024</v>
      </c>
      <c r="K108" s="137" t="n">
        <f aca="false">K49+K76+K91</f>
        <v>2.666974089216E+025</v>
      </c>
      <c r="L108" s="137" t="n">
        <f aca="false">L49+L76+L91</f>
        <v>5.5857202594176E+023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5.5857202594176E+023</v>
      </c>
      <c r="P108" s="137" t="n">
        <f aca="false">P49+P76+P91</f>
        <v>1.95057087123328E+024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2" t="s">
        <v>1018</v>
      </c>
      <c r="B109" s="53" t="s">
        <v>271</v>
      </c>
      <c r="C109" s="137" t="n">
        <f aca="false">C107+C108+C98+C101</f>
        <v>4.80362470832512E+024</v>
      </c>
      <c r="D109" s="137" t="n">
        <f aca="false">D107+D108+D98+D101</f>
        <v>1.63542165838733E+025</v>
      </c>
      <c r="E109" s="137" t="n">
        <f aca="false">E107+E108+E98+E101</f>
        <v>1.0080164477952E+026</v>
      </c>
      <c r="F109" s="137" t="n">
        <f aca="false">F107+F108+F98+F101</f>
        <v>4.80362470832512E+024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4.80362470832512E+024</v>
      </c>
      <c r="J109" s="137" t="n">
        <f aca="false">J107+J108+J98+J101</f>
        <v>1.63542165838733E+025</v>
      </c>
      <c r="K109" s="137" t="n">
        <f aca="false">K107+K108+K98+K101</f>
        <v>1.0080164477952E+026</v>
      </c>
      <c r="L109" s="137" t="n">
        <f aca="false">L107+L108+L98+L101</f>
        <v>4.80362470832512E+024</v>
      </c>
      <c r="M109" s="137" t="n">
        <f aca="false">M107+M108+M98+M101</f>
        <v>1.63542165838733E+025</v>
      </c>
      <c r="N109" s="137" t="n">
        <f aca="false">N107+N108+N98+N101</f>
        <v>1.0080164477952E+026</v>
      </c>
      <c r="O109" s="137" t="n">
        <f aca="false">O107+O108+O98+O101</f>
        <v>4.80362470832512E+024</v>
      </c>
      <c r="P109" s="137" t="n">
        <f aca="false">P107+P108+P98+P101</f>
        <v>1.63542165838733E+025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2" t="s">
        <v>1019</v>
      </c>
      <c r="B110" s="53" t="s">
        <v>69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1020</v>
      </c>
      <c r="B111" s="53" t="s">
        <v>69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1021</v>
      </c>
      <c r="B112" s="53" t="s">
        <v>952</v>
      </c>
      <c r="C112" s="66" t="n">
        <f aca="false">C65+C74+C86+C87+C97+C100</f>
        <v>3565782.7984142</v>
      </c>
      <c r="D112" s="66" t="n">
        <f aca="false">D65+D74+D86+D87+D97+D100</f>
        <v>8190977.31733139</v>
      </c>
      <c r="E112" s="66" t="n">
        <f aca="false">E65+E74+E86+E87+E97+E100</f>
        <v>44381667.5498815</v>
      </c>
      <c r="F112" s="66" t="n">
        <f aca="false">F65+F74+F86+F87+F97+F100</f>
        <v>965482.747396132</v>
      </c>
      <c r="G112" s="66" t="n">
        <f aca="false">G65+G74+G86+G87+G97+G100</f>
        <v>2200979.20741876</v>
      </c>
      <c r="H112" s="66" t="n">
        <f aca="false">H65+H74+H86+H87+H97+H100</f>
        <v>11904219.2530343</v>
      </c>
      <c r="I112" s="66" t="n">
        <f aca="false">I65+I74+I86+I87+I97+I100</f>
        <v>663973.648158175</v>
      </c>
      <c r="J112" s="66" t="n">
        <f aca="false">J65+J74+J86+J87+J97+J100</f>
        <v>1507956.43806735</v>
      </c>
      <c r="K112" s="66" t="n">
        <f aca="false">K65+K74+K86+K87+K97+K100</f>
        <v>8233393.62625773</v>
      </c>
      <c r="L112" s="66" t="n">
        <f aca="false">L65+L74+L86+L87+L97+L100</f>
        <v>262594.332782598</v>
      </c>
      <c r="M112" s="66" t="n">
        <f aca="false">M65+M74+M86+M87+M97+M100</f>
        <v>597465.842796802</v>
      </c>
      <c r="N112" s="66" t="n">
        <f aca="false">N65+N74+N86+N87+N97+N100</f>
        <v>3211643.38116249</v>
      </c>
      <c r="O112" s="66" t="n">
        <f aca="false">O65+O74+O86+O87+O97+O100</f>
        <v>123158.089168848</v>
      </c>
      <c r="P112" s="66" t="n">
        <f aca="false">P65+P74+P86+P87+P97+P100</f>
        <v>280313.943017143</v>
      </c>
      <c r="Q112" s="66" t="n">
        <f aca="false">Q65+Q74+Q86+Q87+Q97+Q100</f>
        <v>1500263.7140568</v>
      </c>
    </row>
    <row r="113" customFormat="false" ht="15" hidden="false" customHeight="false" outlineLevel="0" collapsed="false">
      <c r="A113" s="52" t="s">
        <v>1022</v>
      </c>
      <c r="B113" s="53" t="s">
        <v>952</v>
      </c>
      <c r="C113" s="66" t="n">
        <f aca="false">C36+C43+C51+C72+C89</f>
        <v>3483879.77901297</v>
      </c>
      <c r="D113" s="66" t="n">
        <f aca="false">D36+D43+D51+D72+D89</f>
        <v>12433208.1388805</v>
      </c>
      <c r="E113" s="66" t="n">
        <f aca="false">E36+E43+E51+E72+E89</f>
        <v>84221685.8345966</v>
      </c>
      <c r="F113" s="66" t="n">
        <f aca="false">F36+F43+F51+F72+F89</f>
        <v>1103135.69322667</v>
      </c>
      <c r="G113" s="66" t="n">
        <f aca="false">G36+G43+G51+G72+G89</f>
        <v>3936851.02509511</v>
      </c>
      <c r="H113" s="66" t="n">
        <f aca="false">H36+H43+H51+H72+H89</f>
        <v>26667954.6026667</v>
      </c>
      <c r="I113" s="66" t="n">
        <f aca="false">I36+I43+I51+I72+I89</f>
        <v>1103135.69322667</v>
      </c>
      <c r="J113" s="66" t="n">
        <f aca="false">J36+J43+J51+J72+J89</f>
        <v>3936851.02509511</v>
      </c>
      <c r="K113" s="66" t="n">
        <f aca="false">K36+K43+K51+K72+K89</f>
        <v>26667954.6026667</v>
      </c>
      <c r="L113" s="66" t="n">
        <f aca="false">L36+L43+L51+L72+L89</f>
        <v>350201.807373545</v>
      </c>
      <c r="M113" s="66" t="n">
        <f aca="false">M36+M43+M51+M72+M89</f>
        <v>1249793.97622067</v>
      </c>
      <c r="N113" s="66" t="n">
        <f aca="false">N36+N43+N51+N72+N89</f>
        <v>8466017.33417989</v>
      </c>
      <c r="O113" s="66" t="n">
        <f aca="false">O36+O43+O51+O72+O89</f>
        <v>176614.744352652</v>
      </c>
      <c r="P113" s="66" t="n">
        <f aca="false">P36+P43+P51+P72+P89</f>
        <v>630299.555730886</v>
      </c>
      <c r="Q113" s="66" t="n">
        <f aca="false">Q36+Q43+Q51+Q72+Q89</f>
        <v>4269605.2838083</v>
      </c>
    </row>
    <row r="114" customFormat="false" ht="15" hidden="false" customHeight="false" outlineLevel="0" collapsed="false">
      <c r="A114" s="52" t="s">
        <v>1023</v>
      </c>
      <c r="B114" s="53" t="s">
        <v>69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1024</v>
      </c>
      <c r="B115" s="53" t="s">
        <v>808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1025</v>
      </c>
      <c r="B116" s="53" t="s">
        <v>808</v>
      </c>
      <c r="C116" s="65" t="n">
        <f aca="false">C106*C20/1000000</f>
        <v>8.40210847562928</v>
      </c>
      <c r="D116" s="65" t="n">
        <f aca="false">D106*D20/1000000</f>
        <v>24.5808422064691</v>
      </c>
      <c r="E116" s="65" t="n">
        <f aca="false">E106*E20/1000000</f>
        <v>153.275325393009</v>
      </c>
      <c r="F116" s="65" t="n">
        <f aca="false">F106*F20/1000000</f>
        <v>3.18260056598927</v>
      </c>
      <c r="G116" s="65" t="n">
        <f aca="false">G106*G20/1000000</f>
        <v>9.44314407545527</v>
      </c>
      <c r="H116" s="65" t="n">
        <f aca="false">H106*H20/1000000</f>
        <v>59.3438692868033</v>
      </c>
      <c r="I116" s="65" t="n">
        <f aca="false">I106*I20/1000000</f>
        <v>3.94109385962977</v>
      </c>
      <c r="J116" s="65" t="n">
        <f aca="false">J106*J20/1000000</f>
        <v>12.1432764557282</v>
      </c>
      <c r="K116" s="65" t="n">
        <f aca="false">K106*K20/1000000</f>
        <v>77.8386973440025</v>
      </c>
      <c r="L116" s="65" t="n">
        <f aca="false">L106*L20/1000000</f>
        <v>2.15549421193612</v>
      </c>
      <c r="M116" s="65" t="n">
        <f aca="false">M106*M20/1000000</f>
        <v>6.49768754551842</v>
      </c>
      <c r="N116" s="65" t="n">
        <f aca="false">N106*N20/1000000</f>
        <v>41.0758626424452</v>
      </c>
      <c r="O116" s="65" t="n">
        <f aca="false">O106*O20/1000000</f>
        <v>1.95034869040868</v>
      </c>
      <c r="P116" s="65" t="n">
        <f aca="false">P106*P20/1000000</f>
        <v>5.92453233299509</v>
      </c>
      <c r="Q116" s="65" t="n">
        <f aca="false">Q106*Q20/1000000</f>
        <v>37.5392803664737</v>
      </c>
    </row>
    <row r="117" customFormat="false" ht="15" hidden="false" customHeight="false" outlineLevel="0" collapsed="false">
      <c r="A117" s="52" t="s">
        <v>1026</v>
      </c>
      <c r="B117" s="53" t="s">
        <v>69</v>
      </c>
      <c r="C117" s="138" t="n">
        <f aca="false">C106/(C18*8760)</f>
        <v>0.00112075516120009</v>
      </c>
      <c r="D117" s="138" t="n">
        <f aca="false">D106/(D18*8760)</f>
        <v>0.00327883243229397</v>
      </c>
      <c r="E117" s="138" t="n">
        <f aca="false">E106/(E18*8760)</f>
        <v>0.0204453575572259</v>
      </c>
      <c r="F117" s="138" t="n">
        <f aca="false">F106/(F18*8760)</f>
        <v>0.00046350664532171</v>
      </c>
      <c r="G117" s="138" t="n">
        <f aca="false">G106/(G18*8760)</f>
        <v>0.00137527783991433</v>
      </c>
      <c r="H117" s="138" t="n">
        <f aca="false">H106/(H18*8760)</f>
        <v>0.00864270498393075</v>
      </c>
      <c r="I117" s="138" t="n">
        <f aca="false">I106/(I18*8760)</f>
        <v>0.000417235067966348</v>
      </c>
      <c r="J117" s="138" t="n">
        <f aca="false">J106/(J18*8760)</f>
        <v>0.00128558236819457</v>
      </c>
      <c r="K117" s="138" t="n">
        <f aca="false">K106/(K18*8760)</f>
        <v>0.00824061423895847</v>
      </c>
      <c r="L117" s="138" t="n">
        <f aca="false">L106/(L18*8760)</f>
        <v>0.000239778358005986</v>
      </c>
      <c r="M117" s="138" t="n">
        <f aca="false">M106/(M18*8760)</f>
        <v>0.000722806325283942</v>
      </c>
      <c r="N117" s="138" t="n">
        <f aca="false">N106/(N18*8760)</f>
        <v>0.00456930148248379</v>
      </c>
      <c r="O117" s="138" t="n">
        <f aca="false">O106/(O18*8760)</f>
        <v>0.000155018496303824</v>
      </c>
      <c r="P117" s="138" t="n">
        <f aca="false">P106/(P18*8760)</f>
        <v>0.000470896357190282</v>
      </c>
      <c r="Q117" s="138" t="n">
        <f aca="false">Q106/(Q18*8760)</f>
        <v>0.00298371405244414</v>
      </c>
    </row>
    <row r="118" customFormat="false" ht="15" hidden="false" customHeight="false" outlineLevel="0" collapsed="false">
      <c r="A118" s="82" t="s">
        <v>1027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</row>
    <row r="119" customFormat="false" ht="15" hidden="false" customHeight="false" outlineLevel="0" collapsed="false">
      <c r="A119" s="52" t="s">
        <v>1028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1029</v>
      </c>
      <c r="B120" s="53" t="s">
        <v>952</v>
      </c>
      <c r="C120" s="61" t="n">
        <f aca="false">C106*C119</f>
        <v>56397300.6194174</v>
      </c>
      <c r="D120" s="61" t="n">
        <f aca="false">D106*D119</f>
        <v>164993483.649695</v>
      </c>
      <c r="E120" s="61" t="n">
        <f aca="false">E106*E119</f>
        <v>1028826827.07582</v>
      </c>
      <c r="F120" s="61" t="n">
        <f aca="false">F106*F119</f>
        <v>16548947.5249824</v>
      </c>
      <c r="G120" s="61" t="n">
        <f aca="false">G106*G119</f>
        <v>49102641.860111</v>
      </c>
      <c r="H120" s="61" t="n">
        <f aca="false">H106*H119</f>
        <v>308577390.845608</v>
      </c>
      <c r="I120" s="61" t="n">
        <f aca="false">I106*I119</f>
        <v>14136874.7310787</v>
      </c>
      <c r="J120" s="61" t="n">
        <f aca="false">J106*J119</f>
        <v>43558459.7052997</v>
      </c>
      <c r="K120" s="61" t="n">
        <f aca="false">K106*K119</f>
        <v>279210785.831395</v>
      </c>
      <c r="L120" s="61" t="n">
        <f aca="false">L106*L119</f>
        <v>4902369.12124914</v>
      </c>
      <c r="M120" s="61" t="n">
        <f aca="false">M106*M119</f>
        <v>14778078.5521398</v>
      </c>
      <c r="N120" s="61" t="n">
        <f aca="false">N106*N119</f>
        <v>93421285.7227391</v>
      </c>
      <c r="O120" s="61" t="n">
        <f aca="false">O106*O119</f>
        <v>2398182.668172</v>
      </c>
      <c r="P120" s="61" t="n">
        <f aca="false">P106*P119</f>
        <v>7284907.98998423</v>
      </c>
      <c r="Q120" s="61" t="n">
        <f aca="false">Q106*Q119</f>
        <v>46158951.9829208</v>
      </c>
    </row>
    <row r="121" customFormat="false" ht="15" hidden="false" customHeight="false" outlineLevel="0" collapsed="false">
      <c r="A121" s="52" t="s">
        <v>1030</v>
      </c>
      <c r="B121" s="53" t="s">
        <v>952</v>
      </c>
      <c r="C121" s="66" t="n">
        <f aca="false">C120-C106</f>
        <v>49347638.0419902</v>
      </c>
      <c r="D121" s="66" t="n">
        <f aca="false">D120-D106</f>
        <v>144369298.193483</v>
      </c>
      <c r="E121" s="66" t="n">
        <f aca="false">E120-E106</f>
        <v>900223473.691346</v>
      </c>
      <c r="F121" s="66" t="n">
        <f aca="false">F120-F106</f>
        <v>14480329.0843596</v>
      </c>
      <c r="G121" s="66" t="n">
        <f aca="false">G120-G106</f>
        <v>42964811.6275971</v>
      </c>
      <c r="H121" s="66" t="n">
        <f aca="false">H120-H106</f>
        <v>270005216.989907</v>
      </c>
      <c r="I121" s="66" t="n">
        <f aca="false">I120-I106</f>
        <v>12369765.3896939</v>
      </c>
      <c r="J121" s="66" t="n">
        <f aca="false">J120-J106</f>
        <v>38113652.2421372</v>
      </c>
      <c r="K121" s="66" t="n">
        <f aca="false">K120-K106</f>
        <v>244309437.602471</v>
      </c>
      <c r="L121" s="66" t="n">
        <f aca="false">L120-L106</f>
        <v>4289572.981093</v>
      </c>
      <c r="M121" s="66" t="n">
        <f aca="false">M120-M106</f>
        <v>12930818.7331223</v>
      </c>
      <c r="N121" s="66" t="n">
        <f aca="false">N120-N106</f>
        <v>81743625.0073967</v>
      </c>
      <c r="O121" s="66" t="n">
        <f aca="false">O120-O106</f>
        <v>2098409.8346505</v>
      </c>
      <c r="P121" s="66" t="n">
        <f aca="false">P120-P106</f>
        <v>6374294.4912362</v>
      </c>
      <c r="Q121" s="66" t="n">
        <f aca="false">Q120-Q106</f>
        <v>40389082.9850557</v>
      </c>
    </row>
    <row r="122" customFormat="false" ht="15" hidden="false" customHeight="false" outlineLevel="0" collapsed="false">
      <c r="A122" s="52" t="s">
        <v>1031</v>
      </c>
      <c r="B122" s="53" t="s">
        <v>808</v>
      </c>
      <c r="C122" s="61" t="n">
        <f aca="false">C120*C19/1000000</f>
        <v>90.5193174745518</v>
      </c>
      <c r="D122" s="61" t="n">
        <f aca="false">D120*D19/1000000</f>
        <v>264.819368368438</v>
      </c>
      <c r="E122" s="61" t="n">
        <f aca="false">E120*E19/1000000</f>
        <v>1651.29715719671</v>
      </c>
      <c r="F122" s="61" t="n">
        <f aca="false">F120*F19/1000000</f>
        <v>34.3682705028293</v>
      </c>
      <c r="G122" s="61" t="n">
        <f aca="false">G120*G19/1000000</f>
        <v>101.974634659049</v>
      </c>
      <c r="H122" s="61" t="n">
        <f aca="false">H120*H19/1000000</f>
        <v>640.842641118376</v>
      </c>
      <c r="I122" s="61" t="n">
        <f aca="false">I120*I19/1000000</f>
        <v>42.2340953723049</v>
      </c>
      <c r="J122" s="61" t="n">
        <f aca="false">J120*J19/1000000</f>
        <v>130.131459495783</v>
      </c>
      <c r="K122" s="61" t="n">
        <f aca="false">K120*K19/1000000</f>
        <v>834.145819503879</v>
      </c>
      <c r="L122" s="61" t="n">
        <f aca="false">L120*L19/1000000</f>
        <v>23.1230182177504</v>
      </c>
      <c r="M122" s="61" t="n">
        <f aca="false">M120*M19/1000000</f>
        <v>69.7038046570847</v>
      </c>
      <c r="N122" s="61" t="n">
        <f aca="false">N120*N19/1000000</f>
        <v>440.64044103275</v>
      </c>
      <c r="O122" s="61" t="n">
        <f aca="false">O120*O19/1000000</f>
        <v>20.7938929038344</v>
      </c>
      <c r="P122" s="61" t="n">
        <f aca="false">P120*P19/1000000</f>
        <v>63.1651619238351</v>
      </c>
      <c r="Q122" s="61" t="n">
        <f aca="false">Q120*Q19/1000000</f>
        <v>400.229856059175</v>
      </c>
    </row>
    <row r="123" customFormat="false" ht="15" hidden="false" customHeight="false" outlineLevel="0" collapsed="false">
      <c r="A123" s="52" t="s">
        <v>1032</v>
      </c>
      <c r="B123" s="53" t="s">
        <v>69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82" t="s">
        <v>1033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customFormat="false" ht="15" hidden="false" customHeight="false" outlineLevel="0" collapsed="false">
      <c r="A125" s="52" t="s">
        <v>1034</v>
      </c>
      <c r="B125" s="53" t="s">
        <v>952</v>
      </c>
      <c r="C125" s="66" t="n">
        <f aca="false">C103</f>
        <v>2903341.97248891</v>
      </c>
      <c r="D125" s="66" t="n">
        <f aca="false">D103</f>
        <v>10414001.4891172</v>
      </c>
      <c r="E125" s="66" t="n">
        <f aca="false">E103</f>
        <v>56547930.6945146</v>
      </c>
      <c r="F125" s="66" t="n">
        <f aca="false">F103</f>
        <v>919314.202168889</v>
      </c>
      <c r="G125" s="66" t="n">
        <f aca="false">G103</f>
        <v>3297489.43151407</v>
      </c>
      <c r="H125" s="66" t="n">
        <f aca="false">H103</f>
        <v>17905336.7751111</v>
      </c>
      <c r="I125" s="66" t="n">
        <f aca="false">I103</f>
        <v>919314.202168889</v>
      </c>
      <c r="J125" s="66" t="n">
        <f aca="false">J103</f>
        <v>3297489.43151407</v>
      </c>
      <c r="K125" s="66" t="n">
        <f aca="false">K103</f>
        <v>17905336.7751111</v>
      </c>
      <c r="L125" s="66" t="n">
        <f aca="false">L103</f>
        <v>291845.778466314</v>
      </c>
      <c r="M125" s="66" t="n">
        <f aca="false">M103</f>
        <v>1046822.0417505</v>
      </c>
      <c r="N125" s="66" t="n">
        <f aca="false">N103</f>
        <v>5684233.89686067</v>
      </c>
      <c r="O125" s="66" t="n">
        <f aca="false">O103</f>
        <v>147184.470408083</v>
      </c>
      <c r="P125" s="66" t="n">
        <f aca="false">P103</f>
        <v>527936.188202702</v>
      </c>
      <c r="Q125" s="66" t="n">
        <f aca="false">Q103</f>
        <v>2866688.56469919</v>
      </c>
    </row>
    <row r="126" customFormat="false" ht="15" hidden="false" customHeight="false" outlineLevel="0" collapsed="false">
      <c r="A126" s="52" t="s">
        <v>1035</v>
      </c>
      <c r="B126" s="53" t="s">
        <v>952</v>
      </c>
      <c r="C126" s="66" t="n">
        <f aca="false">C65+C74+C86+C87</f>
        <v>545227.590701208</v>
      </c>
      <c r="D126" s="66" t="n">
        <f aca="false">D65+D74+D86+D87</f>
        <v>2122509.83511422</v>
      </c>
      <c r="E126" s="66" t="n">
        <f aca="false">E65+E74+E86+E87</f>
        <v>35028930.6952701</v>
      </c>
      <c r="F126" s="66" t="n">
        <f aca="false">F65+F74+F86+F87</f>
        <v>152414.166787635</v>
      </c>
      <c r="G126" s="66" t="n">
        <f aca="false">G65+G74+G86+G87</f>
        <v>567507.968207011</v>
      </c>
      <c r="H126" s="66" t="n">
        <f aca="false">H65+H74+H86+H87</f>
        <v>9386820.5201973</v>
      </c>
      <c r="I126" s="66" t="n">
        <f aca="false">I65+I74+I86+I87</f>
        <v>101609.44452509</v>
      </c>
      <c r="J126" s="66" t="n">
        <f aca="false">J65+J74+J86+J87</f>
        <v>378338.645471341</v>
      </c>
      <c r="K126" s="66" t="n">
        <f aca="false">K65+K74+K86+K87</f>
        <v>6492140.5063614</v>
      </c>
      <c r="L126" s="66" t="n">
        <f aca="false">L65+L74+L86+L87</f>
        <v>43248.6085895954</v>
      </c>
      <c r="M126" s="66" t="n">
        <f aca="false">M65+M74+M86+M87</f>
        <v>156764.311859953</v>
      </c>
      <c r="N126" s="66" t="n">
        <f aca="false">N65+N74+N86+N87</f>
        <v>2532555.17175692</v>
      </c>
      <c r="O126" s="66" t="n">
        <f aca="false">O65+O74+O86+O87</f>
        <v>20697.0910594223</v>
      </c>
      <c r="P126" s="66" t="n">
        <f aca="false">P65+P74+P86+P87</f>
        <v>74439.6713949373</v>
      </c>
      <c r="Q126" s="66" t="n">
        <f aca="false">Q65+Q74+Q86+Q87</f>
        <v>1183057.43942518</v>
      </c>
    </row>
    <row r="127" customFormat="false" ht="15" hidden="false" customHeight="false" outlineLevel="0" collapsed="false">
      <c r="A127" s="52" t="s">
        <v>1036</v>
      </c>
      <c r="B127" s="53" t="s">
        <v>952</v>
      </c>
      <c r="C127" s="66" t="n">
        <f aca="false">C51+C72+C89</f>
        <v>580537.806524058</v>
      </c>
      <c r="D127" s="66" t="n">
        <f aca="false">D51+D72+D89</f>
        <v>2019206.64976326</v>
      </c>
      <c r="E127" s="66" t="n">
        <f aca="false">E51+E72+E89</f>
        <v>27673755.140082</v>
      </c>
      <c r="F127" s="66" t="n">
        <f aca="false">F51+F72+F89</f>
        <v>183821.491057778</v>
      </c>
      <c r="G127" s="66" t="n">
        <f aca="false">G51+G72+G89</f>
        <v>639361.593581037</v>
      </c>
      <c r="H127" s="66" t="n">
        <f aca="false">H51+H72+H89</f>
        <v>8762617.82755555</v>
      </c>
      <c r="I127" s="66" t="n">
        <f aca="false">I51+I72+I89</f>
        <v>183821.491057778</v>
      </c>
      <c r="J127" s="66" t="n">
        <f aca="false">J51+J72+J89</f>
        <v>639361.593581037</v>
      </c>
      <c r="K127" s="66" t="n">
        <f aca="false">K51+K72+K89</f>
        <v>8762617.82755555</v>
      </c>
      <c r="L127" s="66" t="n">
        <f aca="false">L51+L72+L89</f>
        <v>58356.028907231</v>
      </c>
      <c r="M127" s="66" t="n">
        <f aca="false">M51+M72+M89</f>
        <v>202971.93447017</v>
      </c>
      <c r="N127" s="66" t="n">
        <f aca="false">N51+N72+N89</f>
        <v>2781783.43731922</v>
      </c>
      <c r="O127" s="66" t="n">
        <f aca="false">O51+O72+O89</f>
        <v>29430.273944569</v>
      </c>
      <c r="P127" s="66" t="n">
        <f aca="false">P51+P72+P89</f>
        <v>102363.367528184</v>
      </c>
      <c r="Q127" s="66" t="n">
        <f aca="false">Q51+Q72+Q89</f>
        <v>1402916.71910912</v>
      </c>
    </row>
    <row r="128" customFormat="false" ht="15" hidden="false" customHeight="false" outlineLevel="0" collapsed="false">
      <c r="A128" s="52" t="s">
        <v>1037</v>
      </c>
      <c r="B128" s="53" t="s">
        <v>952</v>
      </c>
      <c r="C128" s="66" t="n">
        <f aca="false">C105</f>
        <v>3020555.207713</v>
      </c>
      <c r="D128" s="66" t="n">
        <f aca="false">D105</f>
        <v>6068467.48221717</v>
      </c>
      <c r="E128" s="66" t="n">
        <f aca="false">E105</f>
        <v>9352736.85461137</v>
      </c>
      <c r="F128" s="66" t="n">
        <f aca="false">F105</f>
        <v>813068.580608498</v>
      </c>
      <c r="G128" s="66" t="n">
        <f aca="false">G105</f>
        <v>1633471.23921175</v>
      </c>
      <c r="H128" s="66" t="n">
        <f aca="false">H105</f>
        <v>2517398.73283699</v>
      </c>
      <c r="I128" s="66" t="n">
        <f aca="false">I105</f>
        <v>562364.203633085</v>
      </c>
      <c r="J128" s="66" t="n">
        <f aca="false">J105</f>
        <v>1129617.79259601</v>
      </c>
      <c r="K128" s="66" t="n">
        <f aca="false">K105</f>
        <v>1741253.11989633</v>
      </c>
      <c r="L128" s="66" t="n">
        <f aca="false">L105</f>
        <v>219345.724193002</v>
      </c>
      <c r="M128" s="66" t="n">
        <f aca="false">M105</f>
        <v>440701.530936849</v>
      </c>
      <c r="N128" s="66" t="n">
        <f aca="false">N105</f>
        <v>679088.209405565</v>
      </c>
      <c r="O128" s="66" t="n">
        <f aca="false">O105</f>
        <v>102460.998109426</v>
      </c>
      <c r="P128" s="66" t="n">
        <f aca="false">P105</f>
        <v>205874.271622206</v>
      </c>
      <c r="Q128" s="66" t="n">
        <f aca="false">Q105</f>
        <v>317206.274631616</v>
      </c>
    </row>
    <row r="129" customFormat="false" ht="15" hidden="false" customHeight="false" outlineLevel="0" collapsed="false">
      <c r="A129" s="52" t="s">
        <v>1038</v>
      </c>
      <c r="B129" s="53" t="s">
        <v>952</v>
      </c>
      <c r="C129" s="66" t="n">
        <f aca="false">C121</f>
        <v>49347638.0419902</v>
      </c>
      <c r="D129" s="66" t="n">
        <f aca="false">D121</f>
        <v>144369298.193483</v>
      </c>
      <c r="E129" s="66" t="n">
        <f aca="false">E121</f>
        <v>900223473.691346</v>
      </c>
      <c r="F129" s="66" t="n">
        <f aca="false">F121</f>
        <v>14480329.0843596</v>
      </c>
      <c r="G129" s="66" t="n">
        <f aca="false">G121</f>
        <v>42964811.6275971</v>
      </c>
      <c r="H129" s="66" t="n">
        <f aca="false">H121</f>
        <v>270005216.989907</v>
      </c>
      <c r="I129" s="66" t="n">
        <f aca="false">I121</f>
        <v>12369765.3896939</v>
      </c>
      <c r="J129" s="66" t="n">
        <f aca="false">J121</f>
        <v>38113652.2421372</v>
      </c>
      <c r="K129" s="66" t="n">
        <f aca="false">K121</f>
        <v>244309437.602471</v>
      </c>
      <c r="L129" s="66" t="n">
        <f aca="false">L121</f>
        <v>4289572.981093</v>
      </c>
      <c r="M129" s="66" t="n">
        <f aca="false">M121</f>
        <v>12930818.7331223</v>
      </c>
      <c r="N129" s="66" t="n">
        <f aca="false">N121</f>
        <v>81743625.0073967</v>
      </c>
      <c r="O129" s="66" t="n">
        <f aca="false">O121</f>
        <v>2098409.8346505</v>
      </c>
      <c r="P129" s="66" t="n">
        <f aca="false">P121</f>
        <v>6374294.4912362</v>
      </c>
      <c r="Q129" s="66" t="n">
        <f aca="false">Q121</f>
        <v>40389082.9850557</v>
      </c>
    </row>
    <row r="130" customFormat="false" ht="15" hidden="false" customHeight="false" outlineLevel="0" collapsed="false">
      <c r="A130" s="82" t="s">
        <v>1039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customFormat="false" ht="15" hidden="false" customHeight="false" outlineLevel="0" collapsed="false">
      <c r="A131" s="52" t="s">
        <v>1040</v>
      </c>
      <c r="B131" s="53" t="s">
        <v>952</v>
      </c>
      <c r="C131" s="61" t="n">
        <f aca="false">SUMPRODUCT(($C$6:$Q$6=C$6)*$C$106:$Q$106)</f>
        <v>156277201.418117</v>
      </c>
      <c r="D131" s="61" t="n">
        <f aca="false">SUMPRODUCT(($C$6:$Q$6=D$6)*$C$106:$Q$106)</f>
        <v>156277201.418117</v>
      </c>
      <c r="E131" s="61" t="n">
        <f aca="false">SUMPRODUCT(($C$6:$Q$6=E$6)*$C$106:$Q$106)</f>
        <v>156277201.418117</v>
      </c>
      <c r="F131" s="61" t="n">
        <f aca="false">SUMPRODUCT(($C$6:$Q$6=F$6)*$C$106:$Q$106)</f>
        <v>46778622.5288376</v>
      </c>
      <c r="G131" s="61" t="n">
        <f aca="false">SUMPRODUCT(($C$6:$Q$6=G$6)*$C$106:$Q$106)</f>
        <v>46778622.5288376</v>
      </c>
      <c r="H131" s="61" t="n">
        <f aca="false">SUMPRODUCT(($C$6:$Q$6=H$6)*$C$106:$Q$106)</f>
        <v>46778622.5288376</v>
      </c>
      <c r="I131" s="61" t="n">
        <f aca="false">SUMPRODUCT(($C$6:$Q$6=I$6)*$C$106:$Q$106)</f>
        <v>42113265.0334717</v>
      </c>
      <c r="J131" s="61" t="n">
        <f aca="false">SUMPRODUCT(($C$6:$Q$6=J$6)*$C$106:$Q$106)</f>
        <v>42113265.0334717</v>
      </c>
      <c r="K131" s="61" t="n">
        <f aca="false">SUMPRODUCT(($C$6:$Q$6=K$6)*$C$106:$Q$106)</f>
        <v>42113265.0334717</v>
      </c>
      <c r="L131" s="61" t="n">
        <f aca="false">SUMPRODUCT(($C$6:$Q$6=L$6)*$C$106:$Q$106)</f>
        <v>14137716.674516</v>
      </c>
      <c r="M131" s="61" t="n">
        <f aca="false">SUMPRODUCT(($C$6:$Q$6=M$6)*$C$106:$Q$106)</f>
        <v>14137716.674516</v>
      </c>
      <c r="N131" s="61" t="n">
        <f aca="false">SUMPRODUCT(($C$6:$Q$6=N$6)*$C$106:$Q$106)</f>
        <v>14137716.674516</v>
      </c>
      <c r="O131" s="61" t="n">
        <f aca="false">SUMPRODUCT(($C$6:$Q$6=O$6)*$C$106:$Q$106)</f>
        <v>6980255.33013463</v>
      </c>
      <c r="P131" s="61" t="n">
        <f aca="false">SUMPRODUCT(($C$6:$Q$6=P$6)*$C$106:$Q$106)</f>
        <v>6980255.33013463</v>
      </c>
      <c r="Q131" s="61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1041</v>
      </c>
      <c r="B132" s="53" t="s">
        <v>952</v>
      </c>
      <c r="C132" s="61" t="n">
        <f aca="false">SUMPRODUCT(($C$6:$Q$6=C$6)*$C$120:$Q$120)</f>
        <v>1250217611.34494</v>
      </c>
      <c r="D132" s="61" t="n">
        <f aca="false">SUMPRODUCT(($C$6:$Q$6=D$6)*$C$120:$Q$120)</f>
        <v>1250217611.34494</v>
      </c>
      <c r="E132" s="61" t="n">
        <f aca="false">SUMPRODUCT(($C$6:$Q$6=E$6)*$C$120:$Q$120)</f>
        <v>1250217611.34494</v>
      </c>
      <c r="F132" s="61" t="n">
        <f aca="false">SUMPRODUCT(($C$6:$Q$6=F$6)*$C$120:$Q$120)</f>
        <v>374228980.230701</v>
      </c>
      <c r="G132" s="61" t="n">
        <f aca="false">SUMPRODUCT(($C$6:$Q$6=G$6)*$C$120:$Q$120)</f>
        <v>374228980.230701</v>
      </c>
      <c r="H132" s="61" t="n">
        <f aca="false">SUMPRODUCT(($C$6:$Q$6=H$6)*$C$120:$Q$120)</f>
        <v>374228980.230701</v>
      </c>
      <c r="I132" s="61" t="n">
        <f aca="false">SUMPRODUCT(($C$6:$Q$6=I$6)*$C$120:$Q$120)</f>
        <v>336906120.267774</v>
      </c>
      <c r="J132" s="61" t="n">
        <f aca="false">SUMPRODUCT(($C$6:$Q$6=J$6)*$C$120:$Q$120)</f>
        <v>336906120.267774</v>
      </c>
      <c r="K132" s="61" t="n">
        <f aca="false">SUMPRODUCT(($C$6:$Q$6=K$6)*$C$120:$Q$120)</f>
        <v>336906120.267774</v>
      </c>
      <c r="L132" s="61" t="n">
        <f aca="false">SUMPRODUCT(($C$6:$Q$6=L$6)*$C$120:$Q$120)</f>
        <v>113101733.396128</v>
      </c>
      <c r="M132" s="61" t="n">
        <f aca="false">SUMPRODUCT(($C$6:$Q$6=M$6)*$C$120:$Q$120)</f>
        <v>113101733.396128</v>
      </c>
      <c r="N132" s="61" t="n">
        <f aca="false">SUMPRODUCT(($C$6:$Q$6=N$6)*$C$120:$Q$120)</f>
        <v>113101733.396128</v>
      </c>
      <c r="O132" s="61" t="n">
        <f aca="false">SUMPRODUCT(($C$6:$Q$6=O$6)*$C$120:$Q$120)</f>
        <v>55842042.6410771</v>
      </c>
      <c r="P132" s="61" t="n">
        <f aca="false">SUMPRODUCT(($C$6:$Q$6=P$6)*$C$120:$Q$120)</f>
        <v>55842042.6410771</v>
      </c>
      <c r="Q132" s="61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1042</v>
      </c>
      <c r="B133" s="53" t="s">
        <v>808</v>
      </c>
      <c r="C133" s="61" t="n">
        <f aca="false">SUMPRODUCT(($C$6:$Q$6=C$6)*$C$122:$Q$122)</f>
        <v>2006.6358430397</v>
      </c>
      <c r="D133" s="61" t="n">
        <f aca="false">SUMPRODUCT(($C$6:$Q$6=D$6)*$C$122:$Q$122)</f>
        <v>2006.6358430397</v>
      </c>
      <c r="E133" s="61" t="n">
        <f aca="false">SUMPRODUCT(($C$6:$Q$6=E$6)*$C$122:$Q$122)</f>
        <v>2006.6358430397</v>
      </c>
      <c r="F133" s="61" t="n">
        <f aca="false">SUMPRODUCT(($C$6:$Q$6=F$6)*$C$122:$Q$122)</f>
        <v>777.185546280254</v>
      </c>
      <c r="G133" s="61" t="n">
        <f aca="false">SUMPRODUCT(($C$6:$Q$6=G$6)*$C$122:$Q$122)</f>
        <v>777.185546280254</v>
      </c>
      <c r="H133" s="61" t="n">
        <f aca="false">SUMPRODUCT(($C$6:$Q$6=H$6)*$C$122:$Q$122)</f>
        <v>777.185546280254</v>
      </c>
      <c r="I133" s="61" t="n">
        <f aca="false">SUMPRODUCT(($C$6:$Q$6=I$6)*$C$122:$Q$122)</f>
        <v>1006.51137437197</v>
      </c>
      <c r="J133" s="61" t="n">
        <f aca="false">SUMPRODUCT(($C$6:$Q$6=J$6)*$C$122:$Q$122)</f>
        <v>1006.51137437197</v>
      </c>
      <c r="K133" s="61" t="n">
        <f aca="false">SUMPRODUCT(($C$6:$Q$6=K$6)*$C$122:$Q$122)</f>
        <v>1006.51137437197</v>
      </c>
      <c r="L133" s="61" t="n">
        <f aca="false">SUMPRODUCT(($C$6:$Q$6=L$6)*$C$122:$Q$122)</f>
        <v>533.467263907585</v>
      </c>
      <c r="M133" s="61" t="n">
        <f aca="false">SUMPRODUCT(($C$6:$Q$6=M$6)*$C$122:$Q$122)</f>
        <v>533.467263907585</v>
      </c>
      <c r="N133" s="61" t="n">
        <f aca="false">SUMPRODUCT(($C$6:$Q$6=N$6)*$C$122:$Q$122)</f>
        <v>533.467263907585</v>
      </c>
      <c r="O133" s="61" t="n">
        <f aca="false">SUMPRODUCT(($C$6:$Q$6=O$6)*$C$122:$Q$122)</f>
        <v>484.188910886845</v>
      </c>
      <c r="P133" s="61" t="n">
        <f aca="false">SUMPRODUCT(($C$6:$Q$6=P$6)*$C$122:$Q$122)</f>
        <v>484.188910886845</v>
      </c>
      <c r="Q133" s="61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1043</v>
      </c>
      <c r="B134" s="53" t="s">
        <v>69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9" t="s">
        <v>1044</v>
      </c>
    </row>
    <row r="2" customFormat="false" ht="15" hidden="false" customHeight="false" outlineLevel="0" collapsed="false">
      <c r="A2" s="64" t="s">
        <v>1045</v>
      </c>
    </row>
    <row r="3" customFormat="false" ht="43.5" hidden="false" customHeight="true" outlineLevel="0" collapsed="false">
      <c r="A3" s="10" t="s">
        <v>760</v>
      </c>
      <c r="C3" s="112" t="s">
        <v>55</v>
      </c>
      <c r="D3" s="112"/>
      <c r="E3" s="112" t="s">
        <v>1046</v>
      </c>
      <c r="F3" s="112"/>
      <c r="G3" s="112" t="s">
        <v>1047</v>
      </c>
      <c r="H3" s="112"/>
      <c r="I3" s="113" t="s">
        <v>1048</v>
      </c>
      <c r="J3" s="113"/>
      <c r="K3" s="112" t="s">
        <v>1049</v>
      </c>
      <c r="L3" s="112"/>
      <c r="M3" s="112" t="s">
        <v>1050</v>
      </c>
      <c r="N3" s="112"/>
      <c r="O3" s="113" t="s">
        <v>1051</v>
      </c>
      <c r="P3" s="113"/>
      <c r="Q3" s="113" t="s">
        <v>1052</v>
      </c>
      <c r="R3" s="113"/>
      <c r="S3" s="113" t="s">
        <v>1053</v>
      </c>
      <c r="T3" s="113"/>
      <c r="U3" s="113" t="s">
        <v>1054</v>
      </c>
      <c r="V3" s="113"/>
      <c r="W3" s="113" t="s">
        <v>1055</v>
      </c>
      <c r="X3" s="113"/>
      <c r="Y3" s="112" t="s">
        <v>1056</v>
      </c>
      <c r="Z3" s="112"/>
      <c r="AA3" s="112" t="s">
        <v>1057</v>
      </c>
      <c r="AB3" s="112"/>
      <c r="AC3" s="112" t="s">
        <v>1058</v>
      </c>
      <c r="AD3" s="112"/>
      <c r="AE3" s="112" t="s">
        <v>1059</v>
      </c>
      <c r="AF3" s="112"/>
      <c r="AG3" s="113" t="s">
        <v>1060</v>
      </c>
      <c r="AH3" s="113"/>
    </row>
    <row r="4" customFormat="false" ht="15" hidden="false" customHeight="false" outlineLevel="0" collapsed="false">
      <c r="A4" s="10" t="s">
        <v>134</v>
      </c>
      <c r="C4" s="72" t="str">
        <f aca="false">INDEX(Spec_Rack!$C$4:$G$4,C6)</f>
        <v>VR200 NVL72</v>
      </c>
      <c r="D4" s="72" t="str">
        <f aca="false">INDEX(Spec_Rack!$C$4:$G$4,D6)</f>
        <v>VR200 NVL72</v>
      </c>
      <c r="E4" s="72" t="str">
        <f aca="false">INDEX(Spec_Rack!$C$4:$G$4,E6)</f>
        <v>VR200 NVL72</v>
      </c>
      <c r="F4" s="72" t="str">
        <f aca="false">INDEX(Spec_Rack!$C$4:$G$4,F6)</f>
        <v>VR200 NVL72</v>
      </c>
      <c r="G4" s="72" t="str">
        <f aca="false">INDEX(Spec_Rack!$C$4:$G$4,G6)</f>
        <v>VR200 NVL72</v>
      </c>
      <c r="H4" s="72" t="str">
        <f aca="false">INDEX(Spec_Rack!$C$4:$G$4,H6)</f>
        <v>VR200 NVL72</v>
      </c>
      <c r="I4" s="72" t="str">
        <f aca="false">INDEX(Spec_Rack!$C$4:$G$4,I6)</f>
        <v>VR200 NVL72</v>
      </c>
      <c r="J4" s="72" t="str">
        <f aca="false">INDEX(Spec_Rack!$C$4:$G$4,J6)</f>
        <v>VR200 NVL72</v>
      </c>
      <c r="K4" s="72" t="str">
        <f aca="false">INDEX(Spec_Rack!$C$4:$G$4,K6)</f>
        <v>VR200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VR200 NVL72</v>
      </c>
      <c r="P4" s="72" t="str">
        <f aca="false">INDEX(Spec_Rack!$C$4:$G$4,P6)</f>
        <v>VR200 NVL72</v>
      </c>
      <c r="Q4" s="72" t="str">
        <f aca="false">INDEX(Spec_Rack!$C$4:$G$4,Q6)</f>
        <v>VR200 NVL72</v>
      </c>
      <c r="R4" s="72" t="str">
        <f aca="false">INDEX(Spec_Rack!$C$4:$G$4,R6)</f>
        <v>VR200 NVL72</v>
      </c>
      <c r="S4" s="72" t="str">
        <f aca="false">INDEX(Spec_Rack!$C$4:$G$4,S6)</f>
        <v>VR200 NVL72</v>
      </c>
      <c r="T4" s="72" t="str">
        <f aca="false">INDEX(Spec_Rack!$C$4:$G$4,T6)</f>
        <v>VR200 NVL72</v>
      </c>
      <c r="U4" s="72" t="str">
        <f aca="false">INDEX(Spec_Rack!$C$4:$G$4,U6)</f>
        <v>VR200 NVL72</v>
      </c>
      <c r="V4" s="72" t="str">
        <f aca="false">INDEX(Spec_Rack!$C$4:$G$4,V6)</f>
        <v>VR200 NVL72</v>
      </c>
      <c r="W4" s="72" t="str">
        <f aca="false">INDEX(Spec_Rack!$C$4:$G$4,W6)</f>
        <v>VR200 NVL72</v>
      </c>
      <c r="X4" s="72" t="str">
        <f aca="false">INDEX(Spec_Rack!$C$4:$G$4,X6)</f>
        <v>VR200 NVL72</v>
      </c>
      <c r="Y4" s="72" t="str">
        <f aca="false">INDEX(Spec_Rack!$C$4:$G$4,Y6)</f>
        <v>VR200 NVL72</v>
      </c>
      <c r="Z4" s="72" t="str">
        <f aca="false">INDEX(Spec_Rack!$C$4:$G$4,Z6)</f>
        <v>VR200 NVL72</v>
      </c>
      <c r="AA4" s="72" t="str">
        <f aca="false">INDEX(Spec_Rack!$C$4:$G$4,AA6)</f>
        <v>VR200 NVL72</v>
      </c>
      <c r="AB4" s="72" t="str">
        <f aca="false">INDEX(Spec_Rack!$C$4:$G$4,AB6)</f>
        <v>VR200 NVL72</v>
      </c>
      <c r="AC4" s="72" t="str">
        <f aca="false">INDEX(Spec_Rack!$C$4:$G$4,AC6)</f>
        <v>VR200 NVL72</v>
      </c>
      <c r="AD4" s="72" t="str">
        <f aca="false">INDEX(Spec_Rack!$C$4:$G$4,AD6)</f>
        <v>VR200 NVL72</v>
      </c>
      <c r="AE4" s="72" t="str">
        <f aca="false">INDEX(Spec_Rack!$C$4:$G$4,AE6)</f>
        <v>VR200 NVL72</v>
      </c>
      <c r="AF4" s="72" t="str">
        <f aca="false">INDEX(Spec_Rack!$C$4:$G$4,AF6)</f>
        <v>VR200 NVL72</v>
      </c>
      <c r="AG4" s="72" t="str">
        <f aca="false">INDEX(Spec_Rack!$C$4:$G$4,AG6)</f>
        <v>VR200 NVL72</v>
      </c>
      <c r="AH4" s="72" t="str">
        <f aca="false">INDEX(Spec_Rack!$C$4:$G$4,AH6)</f>
        <v>VR200 NVL72</v>
      </c>
    </row>
    <row r="5" customFormat="false" ht="15" hidden="false" customHeight="false" outlineLevel="0" collapsed="false">
      <c r="A5" s="10" t="s">
        <v>653</v>
      </c>
      <c r="C5" s="72" t="str">
        <f aca="false">INDEX(Arch!$C$4:$E$4,C7)</f>
        <v>Sol（中層）</v>
      </c>
      <c r="D5" s="72" t="str">
        <f aca="false">INDEX(Arch!$C$4:$E$4,D7)</f>
        <v>Astra（頂層）</v>
      </c>
      <c r="E5" s="72" t="str">
        <f aca="false">INDEX(Arch!$C$4:$E$4,E7)</f>
        <v>Sol（中層）</v>
      </c>
      <c r="F5" s="72" t="str">
        <f aca="false">INDEX(Arch!$C$4:$E$4,F7)</f>
        <v>Astra（頂層）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Sol（中層）</v>
      </c>
      <c r="J5" s="72" t="str">
        <f aca="false">INDEX(Arch!$C$4:$E$4,J7)</f>
        <v>Astra（頂層）</v>
      </c>
      <c r="K5" s="72" t="str">
        <f aca="false">INDEX(Arch!$C$4:$E$4,K7)</f>
        <v>Sol（中層）</v>
      </c>
      <c r="L5" s="72" t="str">
        <f aca="false">INDEX(Arch!$C$4:$E$4,L7)</f>
        <v>Astra（頂層）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Sol（中層）</v>
      </c>
      <c r="P5" s="72" t="str">
        <f aca="false">INDEX(Arch!$C$4:$E$4,P7)</f>
        <v>Astra（頂層）</v>
      </c>
      <c r="Q5" s="72" t="str">
        <f aca="false">INDEX(Arch!$C$4:$E$4,Q7)</f>
        <v>Sol（中層）</v>
      </c>
      <c r="R5" s="72" t="str">
        <f aca="false">INDEX(Arch!$C$4:$E$4,R7)</f>
        <v>Astra（頂層）</v>
      </c>
      <c r="S5" s="72" t="str">
        <f aca="false">INDEX(Arch!$C$4:$E$4,S7)</f>
        <v>Sol（中層）</v>
      </c>
      <c r="T5" s="72" t="str">
        <f aca="false">INDEX(Arch!$C$4:$E$4,T7)</f>
        <v>Astra（頂層）</v>
      </c>
      <c r="U5" s="72" t="str">
        <f aca="false">INDEX(Arch!$C$4:$E$4,U7)</f>
        <v>Sol（中層）</v>
      </c>
      <c r="V5" s="72" t="str">
        <f aca="false">INDEX(Arch!$C$4:$E$4,V7)</f>
        <v>Astra（頂層）</v>
      </c>
      <c r="W5" s="72" t="str">
        <f aca="false">INDEX(Arch!$C$4:$E$4,W7)</f>
        <v>Sol（中層）</v>
      </c>
      <c r="X5" s="72" t="str">
        <f aca="false">INDEX(Arch!$C$4:$E$4,X7)</f>
        <v>Astra（頂層）</v>
      </c>
      <c r="Y5" s="72" t="str">
        <f aca="false">INDEX(Arch!$C$4:$E$4,Y7)</f>
        <v>Sol（中層）</v>
      </c>
      <c r="Z5" s="72" t="str">
        <f aca="false">INDEX(Arch!$C$4:$E$4,Z7)</f>
        <v>Astra（頂層）</v>
      </c>
      <c r="AA5" s="72" t="str">
        <f aca="false">INDEX(Arch!$C$4:$E$4,AA7)</f>
        <v>Sol（中層）</v>
      </c>
      <c r="AB5" s="72" t="str">
        <f aca="false">INDEX(Arch!$C$4:$E$4,AB7)</f>
        <v>Astra（頂層）</v>
      </c>
      <c r="AC5" s="72" t="str">
        <f aca="false">INDEX(Arch!$C$4:$E$4,AC7)</f>
        <v>Sol（中層）</v>
      </c>
      <c r="AD5" s="72" t="str">
        <f aca="false">INDEX(Arch!$C$4:$E$4,AD7)</f>
        <v>Astra（頂層）</v>
      </c>
      <c r="AE5" s="72" t="str">
        <f aca="false">INDEX(Arch!$C$4:$E$4,AE7)</f>
        <v>Sol（中層）</v>
      </c>
      <c r="AF5" s="72" t="str">
        <f aca="false">INDEX(Arch!$C$4:$E$4,AF7)</f>
        <v>Astra（頂層）</v>
      </c>
      <c r="AG5" s="72" t="str">
        <f aca="false">INDEX(Arch!$C$4:$E$4,AG7)</f>
        <v>Sol（中層）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10" t="s">
        <v>390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10" t="s">
        <v>654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9" customFormat="false" ht="15" hidden="false" customHeight="false" outlineLevel="0" collapsed="false">
      <c r="A9" s="82" t="s">
        <v>933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3" t="s">
        <v>934</v>
      </c>
      <c r="B10" s="53" t="s">
        <v>414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935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936</v>
      </c>
      <c r="B12" s="53" t="s">
        <v>414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937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70" t="n">
        <v>0.15</v>
      </c>
      <c r="F13" s="70" t="n">
        <v>0.15</v>
      </c>
      <c r="G13" s="70" t="n">
        <v>0.4</v>
      </c>
      <c r="H13" s="70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938</v>
      </c>
      <c r="B14" s="53" t="s">
        <v>73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939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940</v>
      </c>
      <c r="B16" s="53" t="s">
        <v>69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941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0" t="n">
        <v>0.8</v>
      </c>
      <c r="AH17" s="70" t="n">
        <v>0.8</v>
      </c>
    </row>
    <row r="18" customFormat="false" ht="15" hidden="false" customHeight="false" outlineLevel="0" collapsed="false">
      <c r="A18" s="52" t="s">
        <v>942</v>
      </c>
      <c r="B18" s="52" t="s">
        <v>666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943</v>
      </c>
      <c r="B19" s="53" t="s">
        <v>783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944</v>
      </c>
      <c r="B20" s="53" t="s">
        <v>783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82" t="s">
        <v>675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425</v>
      </c>
      <c r="B23" s="53" t="s">
        <v>271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245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678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251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656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82" t="s">
        <v>945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customFormat="false" ht="15" hidden="false" customHeight="false" outlineLevel="0" collapsed="false">
      <c r="A30" s="52" t="s">
        <v>946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1" t="n">
        <v>0.5</v>
      </c>
      <c r="L30" s="71" t="n">
        <v>0.5</v>
      </c>
      <c r="M30" s="71" t="n">
        <v>1.67</v>
      </c>
      <c r="N30" s="71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883</v>
      </c>
      <c r="B31" s="53" t="s">
        <v>884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947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948</v>
      </c>
      <c r="B33" s="53" t="s">
        <v>248</v>
      </c>
      <c r="C33" s="66" t="n">
        <f aca="false">C32/2</f>
        <v>2048</v>
      </c>
      <c r="D33" s="66" t="n">
        <f aca="false">D32/2</f>
        <v>4096</v>
      </c>
      <c r="E33" s="66" t="n">
        <f aca="false">E32/2</f>
        <v>2048</v>
      </c>
      <c r="F33" s="66" t="n">
        <f aca="false">F32/2</f>
        <v>4096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4096</v>
      </c>
      <c r="K33" s="66" t="n">
        <f aca="false">K32/2</f>
        <v>2048</v>
      </c>
      <c r="L33" s="66" t="n">
        <f aca="false">L32/2</f>
        <v>4096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4096</v>
      </c>
      <c r="Q33" s="66" t="n">
        <f aca="false">Q32/2</f>
        <v>2048</v>
      </c>
      <c r="R33" s="66" t="n">
        <f aca="false">R32/2</f>
        <v>4096</v>
      </c>
      <c r="S33" s="66" t="n">
        <f aca="false">S32/2</f>
        <v>2048</v>
      </c>
      <c r="T33" s="66" t="n">
        <f aca="false">T32/2</f>
        <v>4096</v>
      </c>
      <c r="U33" s="66" t="n">
        <f aca="false">U32/2</f>
        <v>2048</v>
      </c>
      <c r="V33" s="66" t="n">
        <f aca="false">V32/2</f>
        <v>4096</v>
      </c>
      <c r="W33" s="66" t="n">
        <f aca="false">W32/2</f>
        <v>2048</v>
      </c>
      <c r="X33" s="66" t="n">
        <f aca="false">X32/2</f>
        <v>4096</v>
      </c>
      <c r="Y33" s="66" t="n">
        <f aca="false">Y32/2</f>
        <v>2048</v>
      </c>
      <c r="Z33" s="66" t="n">
        <f aca="false">Z32/2</f>
        <v>4096</v>
      </c>
      <c r="AA33" s="66" t="n">
        <f aca="false">AA32/2</f>
        <v>2048</v>
      </c>
      <c r="AB33" s="66" t="n">
        <f aca="false">AB32/2</f>
        <v>4096</v>
      </c>
      <c r="AC33" s="66" t="n">
        <f aca="false">AC32/2</f>
        <v>2048</v>
      </c>
      <c r="AD33" s="66" t="n">
        <f aca="false">AD32/2</f>
        <v>4096</v>
      </c>
      <c r="AE33" s="66" t="n">
        <f aca="false">AE32/2</f>
        <v>2048</v>
      </c>
      <c r="AF33" s="66" t="n">
        <f aca="false">AF32/2</f>
        <v>4096</v>
      </c>
      <c r="AG33" s="66" t="n">
        <f aca="false">AG32/2</f>
        <v>2048</v>
      </c>
      <c r="AH33" s="66" t="n">
        <f aca="false">AH32/2</f>
        <v>4096</v>
      </c>
    </row>
    <row r="34" customFormat="false" ht="15" hidden="false" customHeight="false" outlineLevel="0" collapsed="false">
      <c r="A34" s="52" t="s">
        <v>949</v>
      </c>
      <c r="B34" s="53" t="s">
        <v>431</v>
      </c>
      <c r="C34" s="65" t="n">
        <f aca="false">3*(2*C22*1000000000+C23*C33)*C28/1000000000</f>
        <v>392.247376896</v>
      </c>
      <c r="D34" s="65" t="n">
        <f aca="false">3*(2*D22*1000000000+D23*D33)*D28/1000000000</f>
        <v>1140.3979776</v>
      </c>
      <c r="E34" s="65" t="n">
        <f aca="false">3*(2*E22*1000000000+E23*E33)*E28/1000000000</f>
        <v>392.247376896</v>
      </c>
      <c r="F34" s="65" t="n">
        <f aca="false">3*(2*F22*1000000000+F23*F33)*F28/1000000000</f>
        <v>1140.3979776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392.247376896</v>
      </c>
      <c r="J34" s="65" t="n">
        <f aca="false">3*(2*J22*1000000000+J23*J33)*J28/1000000000</f>
        <v>1140.3979776</v>
      </c>
      <c r="K34" s="65" t="n">
        <f aca="false">3*(2*K22*1000000000+K23*K33)*K28/1000000000</f>
        <v>392.247376896</v>
      </c>
      <c r="L34" s="65" t="n">
        <f aca="false">3*(2*L22*1000000000+L23*L33)*L28/1000000000</f>
        <v>1140.3979776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392.247376896</v>
      </c>
      <c r="P34" s="65" t="n">
        <f aca="false">3*(2*P22*1000000000+P23*P33)*P28/1000000000</f>
        <v>1140.3979776</v>
      </c>
      <c r="Q34" s="65" t="n">
        <f aca="false">3*(2*Q22*1000000000+Q23*Q33)*Q28/1000000000</f>
        <v>392.247376896</v>
      </c>
      <c r="R34" s="65" t="n">
        <f aca="false">3*(2*R22*1000000000+R23*R33)*R28/1000000000</f>
        <v>1140.3979776</v>
      </c>
      <c r="S34" s="65" t="n">
        <f aca="false">3*(2*S22*1000000000+S23*S33)*S28/1000000000</f>
        <v>392.247376896</v>
      </c>
      <c r="T34" s="65" t="n">
        <f aca="false">3*(2*T22*1000000000+T23*T33)*T28/1000000000</f>
        <v>1140.3979776</v>
      </c>
      <c r="U34" s="65" t="n">
        <f aca="false">3*(2*U22*1000000000+U23*U33)*U28/1000000000</f>
        <v>392.247376896</v>
      </c>
      <c r="V34" s="65" t="n">
        <f aca="false">3*(2*V22*1000000000+V23*V33)*V28/1000000000</f>
        <v>1140.3979776</v>
      </c>
      <c r="W34" s="65" t="n">
        <f aca="false">3*(2*W22*1000000000+W23*W33)*W28/1000000000</f>
        <v>392.247376896</v>
      </c>
      <c r="X34" s="65" t="n">
        <f aca="false">3*(2*X22*1000000000+X23*X33)*X28/1000000000</f>
        <v>1140.3979776</v>
      </c>
      <c r="Y34" s="65" t="n">
        <f aca="false">3*(2*Y22*1000000000+Y23*Y33)*Y28/1000000000</f>
        <v>392.247376896</v>
      </c>
      <c r="Z34" s="65" t="n">
        <f aca="false">3*(2*Z22*1000000000+Z23*Z33)*Z28/1000000000</f>
        <v>1140.3979776</v>
      </c>
      <c r="AA34" s="65" t="n">
        <f aca="false">3*(2*AA22*1000000000+AA23*AA33)*AA28/1000000000</f>
        <v>392.247376896</v>
      </c>
      <c r="AB34" s="65" t="n">
        <f aca="false">3*(2*AB22*1000000000+AB23*AB33)*AB28/1000000000</f>
        <v>1140.3979776</v>
      </c>
      <c r="AC34" s="65" t="n">
        <f aca="false">3*(2*AC22*1000000000+AC23*AC33)*AC28/1000000000</f>
        <v>392.247376896</v>
      </c>
      <c r="AD34" s="65" t="n">
        <f aca="false">3*(2*AD22*1000000000+AD23*AD33)*AD28/1000000000</f>
        <v>1140.3979776</v>
      </c>
      <c r="AE34" s="65" t="n">
        <f aca="false">3*(2*AE22*1000000000+AE23*AE33)*AE28/1000000000</f>
        <v>392.247376896</v>
      </c>
      <c r="AF34" s="65" t="n">
        <f aca="false">3*(2*AF22*1000000000+AF23*AF33)*AF28/1000000000</f>
        <v>1140.3979776</v>
      </c>
      <c r="AG34" s="65" t="n">
        <f aca="false">3*(2*AG22*1000000000+AG23*AG33)*AG28/1000000000</f>
        <v>392.247376896</v>
      </c>
      <c r="AH34" s="65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950</v>
      </c>
      <c r="B35" s="53" t="s">
        <v>271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951</v>
      </c>
      <c r="B36" s="53" t="s">
        <v>952</v>
      </c>
      <c r="C36" s="61" t="n">
        <f aca="false">C35/(C12*1000000000000000*C16*1*C17)/3600</f>
        <v>1014631.66275273</v>
      </c>
      <c r="D36" s="61" t="n">
        <f aca="false">D35/(D12*1000000000000000*D16*1*D17)/3600</f>
        <v>5363423.76296296</v>
      </c>
      <c r="E36" s="61" t="n">
        <f aca="false">E35/(E12*1000000000000000*E16*1*E17)/3600</f>
        <v>1691052.77125456</v>
      </c>
      <c r="F36" s="61" t="n">
        <f aca="false">F35/(F12*1000000000000000*F16*1*F17)/3600</f>
        <v>8939039.60493827</v>
      </c>
      <c r="G36" s="61" t="n">
        <f aca="false">G35/(G12*1000000000000000*G16*1*G17)/3600</f>
        <v>634144.789220458</v>
      </c>
      <c r="H36" s="61" t="n">
        <f aca="false">H35/(H12*1000000000000000*H16*1*H17)/3600</f>
        <v>3352139.85185185</v>
      </c>
      <c r="I36" s="61" t="n">
        <f aca="false">I35/(I12*1000000000000000*I16*1*I17)/3600</f>
        <v>507315.831376367</v>
      </c>
      <c r="J36" s="61" t="n">
        <f aca="false">J35/(J12*1000000000000000*J16*1*J17)/3600</f>
        <v>2681711.88148148</v>
      </c>
      <c r="K36" s="61" t="n">
        <f aca="false">K35/(K12*1000000000000000*K16*1*K17)/3600</f>
        <v>507315.831376367</v>
      </c>
      <c r="L36" s="61" t="n">
        <f aca="false">L35/(L12*1000000000000000*L16*1*L17)/3600</f>
        <v>2681711.88148148</v>
      </c>
      <c r="M36" s="61" t="n">
        <f aca="false">M35/(M12*1000000000000000*M16*1*M17)/3600</f>
        <v>1694434.87679707</v>
      </c>
      <c r="N36" s="61" t="n">
        <f aca="false">N35/(N12*1000000000000000*N16*1*N17)/3600</f>
        <v>8956917.68414815</v>
      </c>
      <c r="O36" s="61" t="n">
        <f aca="false">O35/(O12*1000000000000000*O16*1*O17)/3600</f>
        <v>1014631.66275273</v>
      </c>
      <c r="P36" s="61" t="n">
        <f aca="false">P35/(P12*1000000000000000*P16*1*P17)/3600</f>
        <v>5363423.76296296</v>
      </c>
      <c r="Q36" s="61" t="n">
        <f aca="false">Q35/(Q12*1000000000000000*Q16*1*Q17)/3600</f>
        <v>1014631.66275273</v>
      </c>
      <c r="R36" s="61" t="n">
        <f aca="false">R35/(R12*1000000000000000*R16*1*R17)/3600</f>
        <v>5363423.76296296</v>
      </c>
      <c r="S36" s="61" t="n">
        <f aca="false">S35/(S12*1000000000000000*S16*1*S17)/3600</f>
        <v>1014631.66275273</v>
      </c>
      <c r="T36" s="61" t="n">
        <f aca="false">T35/(T12*1000000000000000*T16*1*T17)/3600</f>
        <v>5363423.76296296</v>
      </c>
      <c r="U36" s="61" t="n">
        <f aca="false">U35/(U12*1000000000000000*U16*1*U17)/3600</f>
        <v>1014631.66275273</v>
      </c>
      <c r="V36" s="61" t="n">
        <f aca="false">V35/(V12*1000000000000000*V16*1*V17)/3600</f>
        <v>5363423.76296296</v>
      </c>
      <c r="W36" s="61" t="n">
        <f aca="false">W35/(W12*1000000000000000*W16*1*W17)/3600</f>
        <v>1014631.66275273</v>
      </c>
      <c r="X36" s="61" t="n">
        <f aca="false">X35/(X12*1000000000000000*X16*1*X17)/3600</f>
        <v>5363423.76296296</v>
      </c>
      <c r="Y36" s="61" t="n">
        <f aca="false">Y35/(Y12*1000000000000000*Y16*1*Y17)/3600</f>
        <v>1014631.66275273</v>
      </c>
      <c r="Z36" s="61" t="n">
        <f aca="false">Z35/(Z12*1000000000000000*Z16*1*Z17)/3600</f>
        <v>5363423.76296296</v>
      </c>
      <c r="AA36" s="61" t="n">
        <f aca="false">AA35/(AA12*1000000000000000*AA16*1*AA17)/3600</f>
        <v>1014631.66275273</v>
      </c>
      <c r="AB36" s="61" t="n">
        <f aca="false">AB35/(AB12*1000000000000000*AB16*1*AB17)/3600</f>
        <v>5363423.76296296</v>
      </c>
      <c r="AC36" s="61" t="n">
        <f aca="false">AC35/(AC12*1000000000000000*AC16*1*AC17)/3600</f>
        <v>1014631.66275273</v>
      </c>
      <c r="AD36" s="61" t="n">
        <f aca="false">AD35/(AD12*1000000000000000*AD16*1*AD17)/3600</f>
        <v>5363423.76296296</v>
      </c>
      <c r="AE36" s="61" t="n">
        <f aca="false">AE35/(AE12*1000000000000000*AE16*1*AE17)/3600</f>
        <v>1014631.66275273</v>
      </c>
      <c r="AF36" s="61" t="n">
        <f aca="false">AF35/(AF12*1000000000000000*AF16*1*AF17)/3600</f>
        <v>5363423.76296296</v>
      </c>
      <c r="AG36" s="61" t="n">
        <f aca="false">AG35/(AG12*1000000000000000*AG16*1*AG17)/3600</f>
        <v>1141460.62059683</v>
      </c>
      <c r="AH36" s="61" t="n">
        <f aca="false">AH35/(AH12*1000000000000000*AH16*1*AH17)/3600</f>
        <v>6033851.73333333</v>
      </c>
    </row>
    <row r="37" customFormat="false" ht="15" hidden="false" customHeight="false" outlineLevel="0" collapsed="false">
      <c r="A37" s="82" t="s">
        <v>953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customFormat="false" ht="15" hidden="false" customHeight="false" outlineLevel="0" collapsed="false">
      <c r="A38" s="52" t="s">
        <v>954</v>
      </c>
      <c r="B38" s="53" t="s">
        <v>884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947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955</v>
      </c>
      <c r="B40" s="53" t="s">
        <v>248</v>
      </c>
      <c r="C40" s="66" t="n">
        <f aca="false">C24*IF(C25=0,C39/2,MIN(C39/2,C25))+(1-C24)*(C39/2/C26+C27)</f>
        <v>2432</v>
      </c>
      <c r="D40" s="66" t="n">
        <f aca="false">D24*IF(D25=0,D39/2,MIN(D39/2,D25))+(1-D24)*(D39/2/D26+D27)</f>
        <v>65536</v>
      </c>
      <c r="E40" s="66" t="n">
        <f aca="false">E24*IF(E25=0,E39/2,MIN(E39/2,E25))+(1-E24)*(E39/2/E26+E27)</f>
        <v>2432</v>
      </c>
      <c r="F40" s="66" t="n">
        <f aca="false">F24*IF(F25=0,F39/2,MIN(F39/2,F25))+(1-F24)*(F39/2/F26+F27)</f>
        <v>65536</v>
      </c>
      <c r="G40" s="66" t="n">
        <f aca="false">G24*IF(G25=0,G39/2,MIN(G39/2,G25))+(1-G24)*(G39/2/G26+G27)</f>
        <v>2432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2432</v>
      </c>
      <c r="J40" s="66" t="n">
        <f aca="false">J24*IF(J25=0,J39/2,MIN(J39/2,J25))+(1-J24)*(J39/2/J26+J27)</f>
        <v>65536</v>
      </c>
      <c r="K40" s="66" t="n">
        <f aca="false">K24*IF(K25=0,K39/2,MIN(K39/2,K25))+(1-K24)*(K39/2/K26+K27)</f>
        <v>2432</v>
      </c>
      <c r="L40" s="66" t="n">
        <f aca="false">L24*IF(L25=0,L39/2,MIN(L39/2,L25))+(1-L24)*(L39/2/L26+L27)</f>
        <v>65536</v>
      </c>
      <c r="M40" s="66" t="n">
        <f aca="false">M24*IF(M25=0,M39/2,MIN(M39/2,M25))+(1-M24)*(M39/2/M26+M27)</f>
        <v>2432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2432</v>
      </c>
      <c r="P40" s="66" t="n">
        <f aca="false">P24*IF(P25=0,P39/2,MIN(P39/2,P25))+(1-P24)*(P39/2/P26+P27)</f>
        <v>65536</v>
      </c>
      <c r="Q40" s="66" t="n">
        <f aca="false">Q24*IF(Q25=0,Q39/2,MIN(Q39/2,Q25))+(1-Q24)*(Q39/2/Q26+Q27)</f>
        <v>2432</v>
      </c>
      <c r="R40" s="66" t="n">
        <f aca="false">R24*IF(R25=0,R39/2,MIN(R39/2,R25))+(1-R24)*(R39/2/R26+R27)</f>
        <v>65536</v>
      </c>
      <c r="S40" s="66" t="n">
        <f aca="false">S24*IF(S25=0,S39/2,MIN(S39/2,S25))+(1-S24)*(S39/2/S26+S27)</f>
        <v>2432</v>
      </c>
      <c r="T40" s="66" t="n">
        <f aca="false">T24*IF(T25=0,T39/2,MIN(T39/2,T25))+(1-T24)*(T39/2/T26+T27)</f>
        <v>65536</v>
      </c>
      <c r="U40" s="66" t="n">
        <f aca="false">U24*IF(U25=0,U39/2,MIN(U39/2,U25))+(1-U24)*(U39/2/U26+U27)</f>
        <v>2432</v>
      </c>
      <c r="V40" s="66" t="n">
        <f aca="false">V24*IF(V25=0,V39/2,MIN(V39/2,V25))+(1-V24)*(V39/2/V26+V27)</f>
        <v>65536</v>
      </c>
      <c r="W40" s="66" t="n">
        <f aca="false">W24*IF(W25=0,W39/2,MIN(W39/2,W25))+(1-W24)*(W39/2/W26+W27)</f>
        <v>2432</v>
      </c>
      <c r="X40" s="66" t="n">
        <f aca="false">X24*IF(X25=0,X39/2,MIN(X39/2,X25))+(1-X24)*(X39/2/X26+X27)</f>
        <v>65536</v>
      </c>
      <c r="Y40" s="66" t="n">
        <f aca="false">Y24*IF(Y25=0,Y39/2,MIN(Y39/2,Y25))+(1-Y24)*(Y39/2/Y26+Y27)</f>
        <v>2432</v>
      </c>
      <c r="Z40" s="66" t="n">
        <f aca="false">Z24*IF(Z25=0,Z39/2,MIN(Z39/2,Z25))+(1-Z24)*(Z39/2/Z26+Z27)</f>
        <v>65536</v>
      </c>
      <c r="AA40" s="66" t="n">
        <f aca="false">AA24*IF(AA25=0,AA39/2,MIN(AA39/2,AA25))+(1-AA24)*(AA39/2/AA26+AA27)</f>
        <v>2432</v>
      </c>
      <c r="AB40" s="66" t="n">
        <f aca="false">AB24*IF(AB25=0,AB39/2,MIN(AB39/2,AB25))+(1-AB24)*(AB39/2/AB26+AB27)</f>
        <v>65536</v>
      </c>
      <c r="AC40" s="66" t="n">
        <f aca="false">AC24*IF(AC25=0,AC39/2,MIN(AC39/2,AC25))+(1-AC24)*(AC39/2/AC26+AC27)</f>
        <v>2432</v>
      </c>
      <c r="AD40" s="66" t="n">
        <f aca="false">AD24*IF(AD25=0,AD39/2,MIN(AD39/2,AD25))+(1-AD24)*(AD39/2/AD26+AD27)</f>
        <v>65536</v>
      </c>
      <c r="AE40" s="66" t="n">
        <f aca="false">AE24*IF(AE25=0,AE39/2,MIN(AE39/2,AE25))+(1-AE24)*(AE39/2/AE26+AE27)</f>
        <v>2432</v>
      </c>
      <c r="AF40" s="66" t="n">
        <f aca="false">AF24*IF(AF25=0,AF39/2,MIN(AF39/2,AF25))+(1-AF24)*(AF39/2/AF26+AF27)</f>
        <v>65536</v>
      </c>
      <c r="AG40" s="66" t="n">
        <f aca="false">AG24*IF(AG25=0,AG39/2,MIN(AG39/2,AG25))+(1-AG24)*(AG39/2/AG26+AG27)</f>
        <v>2432</v>
      </c>
      <c r="AH40" s="66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949</v>
      </c>
      <c r="B41" s="53" t="s">
        <v>431</v>
      </c>
      <c r="C41" s="65" t="n">
        <f aca="false">3*(2*C22*1000000000+C23*C40)*C28/1000000000</f>
        <v>410.668760064</v>
      </c>
      <c r="D41" s="65" t="n">
        <f aca="false">3*(2*D22*1000000000+D23*D40)*D28/1000000000</f>
        <v>2046.3676416</v>
      </c>
      <c r="E41" s="65" t="n">
        <f aca="false">3*(2*E22*1000000000+E23*E40)*E28/1000000000</f>
        <v>410.668760064</v>
      </c>
      <c r="F41" s="65" t="n">
        <f aca="false">3*(2*F22*1000000000+F23*F40)*F28/1000000000</f>
        <v>2046.3676416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410.668760064</v>
      </c>
      <c r="J41" s="65" t="n">
        <f aca="false">3*(2*J22*1000000000+J23*J40)*J28/1000000000</f>
        <v>2046.3676416</v>
      </c>
      <c r="K41" s="65" t="n">
        <f aca="false">3*(2*K22*1000000000+K23*K40)*K28/1000000000</f>
        <v>410.668760064</v>
      </c>
      <c r="L41" s="65" t="n">
        <f aca="false">3*(2*L22*1000000000+L23*L40)*L28/1000000000</f>
        <v>2046.3676416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410.668760064</v>
      </c>
      <c r="P41" s="65" t="n">
        <f aca="false">3*(2*P22*1000000000+P23*P40)*P28/1000000000</f>
        <v>2046.3676416</v>
      </c>
      <c r="Q41" s="65" t="n">
        <f aca="false">3*(2*Q22*1000000000+Q23*Q40)*Q28/1000000000</f>
        <v>410.668760064</v>
      </c>
      <c r="R41" s="65" t="n">
        <f aca="false">3*(2*R22*1000000000+R23*R40)*R28/1000000000</f>
        <v>2046.3676416</v>
      </c>
      <c r="S41" s="65" t="n">
        <f aca="false">3*(2*S22*1000000000+S23*S40)*S28/1000000000</f>
        <v>410.668760064</v>
      </c>
      <c r="T41" s="65" t="n">
        <f aca="false">3*(2*T22*1000000000+T23*T40)*T28/1000000000</f>
        <v>2046.3676416</v>
      </c>
      <c r="U41" s="65" t="n">
        <f aca="false">3*(2*U22*1000000000+U23*U40)*U28/1000000000</f>
        <v>410.668760064</v>
      </c>
      <c r="V41" s="65" t="n">
        <f aca="false">3*(2*V22*1000000000+V23*V40)*V28/1000000000</f>
        <v>2046.3676416</v>
      </c>
      <c r="W41" s="65" t="n">
        <f aca="false">3*(2*W22*1000000000+W23*W40)*W28/1000000000</f>
        <v>410.668760064</v>
      </c>
      <c r="X41" s="65" t="n">
        <f aca="false">3*(2*X22*1000000000+X23*X40)*X28/1000000000</f>
        <v>2046.3676416</v>
      </c>
      <c r="Y41" s="65" t="n">
        <f aca="false">3*(2*Y22*1000000000+Y23*Y40)*Y28/1000000000</f>
        <v>410.668760064</v>
      </c>
      <c r="Z41" s="65" t="n">
        <f aca="false">3*(2*Z22*1000000000+Z23*Z40)*Z28/1000000000</f>
        <v>2046.3676416</v>
      </c>
      <c r="AA41" s="65" t="n">
        <f aca="false">3*(2*AA22*1000000000+AA23*AA40)*AA28/1000000000</f>
        <v>410.668760064</v>
      </c>
      <c r="AB41" s="65" t="n">
        <f aca="false">3*(2*AB22*1000000000+AB23*AB40)*AB28/1000000000</f>
        <v>2046.3676416</v>
      </c>
      <c r="AC41" s="65" t="n">
        <f aca="false">3*(2*AC22*1000000000+AC23*AC40)*AC28/1000000000</f>
        <v>410.668760064</v>
      </c>
      <c r="AD41" s="65" t="n">
        <f aca="false">3*(2*AD22*1000000000+AD23*AD40)*AD28/1000000000</f>
        <v>2046.3676416</v>
      </c>
      <c r="AE41" s="65" t="n">
        <f aca="false">3*(2*AE22*1000000000+AE23*AE40)*AE28/1000000000</f>
        <v>410.668760064</v>
      </c>
      <c r="AF41" s="65" t="n">
        <f aca="false">3*(2*AF22*1000000000+AF23*AF40)*AF28/1000000000</f>
        <v>2046.3676416</v>
      </c>
      <c r="AG41" s="65" t="n">
        <f aca="false">3*(2*AG22*1000000000+AG23*AG40)*AG28/1000000000</f>
        <v>410.668760064</v>
      </c>
      <c r="AH41" s="65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956</v>
      </c>
      <c r="B42" s="53" t="s">
        <v>271</v>
      </c>
      <c r="C42" s="137" t="n">
        <f aca="false">C41*1000000000*C38*1000000000000</f>
        <v>4.10668760064E+023</v>
      </c>
      <c r="D42" s="137" t="n">
        <f aca="false">D41*1000000000*D38*1000000000000</f>
        <v>4.0927352832E+024</v>
      </c>
      <c r="E42" s="137" t="n">
        <f aca="false">E41*1000000000*E38*1000000000000</f>
        <v>4.10668760064E+023</v>
      </c>
      <c r="F42" s="137" t="n">
        <f aca="false">F41*1000000000*F38*1000000000000</f>
        <v>4.0927352832E+024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4.10668760064E+023</v>
      </c>
      <c r="J42" s="137" t="n">
        <f aca="false">J41*1000000000*J38*1000000000000</f>
        <v>4.0927352832E+024</v>
      </c>
      <c r="K42" s="137" t="n">
        <f aca="false">K41*1000000000*K38*1000000000000</f>
        <v>4.10668760064E+023</v>
      </c>
      <c r="L42" s="137" t="n">
        <f aca="false">L41*1000000000*L38*1000000000000</f>
        <v>4.0927352832E+024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4.10668760064E+023</v>
      </c>
      <c r="P42" s="137" t="n">
        <f aca="false">P41*1000000000*P38*1000000000000</f>
        <v>4.0927352832E+024</v>
      </c>
      <c r="Q42" s="137" t="n">
        <f aca="false">Q41*1000000000*Q38*1000000000000</f>
        <v>4.10668760064E+023</v>
      </c>
      <c r="R42" s="137" t="n">
        <f aca="false">R41*1000000000*R38*1000000000000</f>
        <v>4.0927352832E+024</v>
      </c>
      <c r="S42" s="137" t="n">
        <f aca="false">S41*1000000000*S38*1000000000000</f>
        <v>4.10668760064E+023</v>
      </c>
      <c r="T42" s="137" t="n">
        <f aca="false">T41*1000000000*T38*1000000000000</f>
        <v>4.0927352832E+024</v>
      </c>
      <c r="U42" s="137" t="n">
        <f aca="false">U41*1000000000*U38*1000000000000</f>
        <v>4.10668760064E+023</v>
      </c>
      <c r="V42" s="137" t="n">
        <f aca="false">V41*1000000000*V38*1000000000000</f>
        <v>4.0927352832E+024</v>
      </c>
      <c r="W42" s="137" t="n">
        <f aca="false">W41*1000000000*W38*1000000000000</f>
        <v>4.10668760064E+023</v>
      </c>
      <c r="X42" s="137" t="n">
        <f aca="false">X41*1000000000*X38*1000000000000</f>
        <v>4.0927352832E+024</v>
      </c>
      <c r="Y42" s="137" t="n">
        <f aca="false">Y41*1000000000*Y38*1000000000000</f>
        <v>4.10668760064E+023</v>
      </c>
      <c r="Z42" s="137" t="n">
        <f aca="false">Z41*1000000000*Z38*1000000000000</f>
        <v>4.0927352832E+024</v>
      </c>
      <c r="AA42" s="137" t="n">
        <f aca="false">AA41*1000000000*AA38*1000000000000</f>
        <v>4.10668760064E+023</v>
      </c>
      <c r="AB42" s="137" t="n">
        <f aca="false">AB41*1000000000*AB38*1000000000000</f>
        <v>4.0927352832E+024</v>
      </c>
      <c r="AC42" s="137" t="n">
        <f aca="false">AC41*1000000000*AC38*1000000000000</f>
        <v>4.10668760064E+023</v>
      </c>
      <c r="AD42" s="137" t="n">
        <f aca="false">AD41*1000000000*AD38*1000000000000</f>
        <v>4.0927352832E+024</v>
      </c>
      <c r="AE42" s="137" t="n">
        <f aca="false">AE41*1000000000*AE38*1000000000000</f>
        <v>4.10668760064E+023</v>
      </c>
      <c r="AF42" s="137" t="n">
        <f aca="false">AF41*1000000000*AF38*1000000000000</f>
        <v>4.0927352832E+024</v>
      </c>
      <c r="AG42" s="137" t="n">
        <f aca="false">AG41*1000000000*AG38*1000000000000</f>
        <v>4.10668760064E+023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957</v>
      </c>
      <c r="B43" s="53" t="s">
        <v>952</v>
      </c>
      <c r="C43" s="66" t="n">
        <f aca="false">C42/(C12*1000000000000000*C16*1*C17)/3600</f>
        <v>32190.378997766</v>
      </c>
      <c r="D43" s="66" t="n">
        <f aca="false">D42/(D12*1000000000000000*D16*1*D17)/3600</f>
        <v>320810.133897707</v>
      </c>
      <c r="E43" s="66" t="n">
        <f aca="false">E42/(E12*1000000000000000*E16*1*E17)/3600</f>
        <v>53650.6316629434</v>
      </c>
      <c r="F43" s="66" t="n">
        <f aca="false">F42/(F12*1000000000000000*F16*1*F17)/3600</f>
        <v>534683.556496179</v>
      </c>
      <c r="G43" s="66" t="n">
        <f aca="false">G42/(G12*1000000000000000*G16*1*G17)/3600</f>
        <v>20118.9868736038</v>
      </c>
      <c r="H43" s="66" t="n">
        <f aca="false">H42/(H12*1000000000000000*H16*1*H17)/3600</f>
        <v>200506.333686067</v>
      </c>
      <c r="I43" s="66" t="n">
        <f aca="false">I42/(I12*1000000000000000*I16*1*I17)/3600</f>
        <v>16095.189498883</v>
      </c>
      <c r="J43" s="66" t="n">
        <f aca="false">J42/(J12*1000000000000000*J16*1*J17)/3600</f>
        <v>160405.066948854</v>
      </c>
      <c r="K43" s="66" t="n">
        <f aca="false">K42/(K12*1000000000000000*K16*1*K17)/3600</f>
        <v>32190.378997766</v>
      </c>
      <c r="L43" s="66" t="n">
        <f aca="false">L42/(L12*1000000000000000*L16*1*L17)/3600</f>
        <v>320810.133897707</v>
      </c>
      <c r="M43" s="66" t="n">
        <f aca="false">M42/(M12*1000000000000000*M16*1*M17)/3600</f>
        <v>32190.378997766</v>
      </c>
      <c r="N43" s="66" t="n">
        <f aca="false">N42/(N12*1000000000000000*N16*1*N17)/3600</f>
        <v>320810.133897707</v>
      </c>
      <c r="O43" s="66" t="n">
        <f aca="false">O42/(O12*1000000000000000*O16*1*O17)/3600</f>
        <v>32190.378997766</v>
      </c>
      <c r="P43" s="66" t="n">
        <f aca="false">P42/(P12*1000000000000000*P16*1*P17)/3600</f>
        <v>320810.133897707</v>
      </c>
      <c r="Q43" s="66" t="n">
        <f aca="false">Q42/(Q12*1000000000000000*Q16*1*Q17)/3600</f>
        <v>32190.378997766</v>
      </c>
      <c r="R43" s="66" t="n">
        <f aca="false">R42/(R12*1000000000000000*R16*1*R17)/3600</f>
        <v>320810.133897707</v>
      </c>
      <c r="S43" s="66" t="n">
        <f aca="false">S42/(S12*1000000000000000*S16*1*S17)/3600</f>
        <v>32190.378997766</v>
      </c>
      <c r="T43" s="66" t="n">
        <f aca="false">T42/(T12*1000000000000000*T16*1*T17)/3600</f>
        <v>320810.133897707</v>
      </c>
      <c r="U43" s="66" t="n">
        <f aca="false">U42/(U12*1000000000000000*U16*1*U17)/3600</f>
        <v>32190.378997766</v>
      </c>
      <c r="V43" s="66" t="n">
        <f aca="false">V42/(V12*1000000000000000*V16*1*V17)/3600</f>
        <v>320810.133897707</v>
      </c>
      <c r="W43" s="66" t="n">
        <f aca="false">W42/(W12*1000000000000000*W16*1*W17)/3600</f>
        <v>32190.378997766</v>
      </c>
      <c r="X43" s="66" t="n">
        <f aca="false">X42/(X12*1000000000000000*X16*1*X17)/3600</f>
        <v>320810.133897707</v>
      </c>
      <c r="Y43" s="66" t="n">
        <f aca="false">Y42/(Y12*1000000000000000*Y16*1*Y17)/3600</f>
        <v>32190.378997766</v>
      </c>
      <c r="Z43" s="66" t="n">
        <f aca="false">Z42/(Z12*1000000000000000*Z16*1*Z17)/3600</f>
        <v>320810.133897707</v>
      </c>
      <c r="AA43" s="66" t="n">
        <f aca="false">AA42/(AA12*1000000000000000*AA16*1*AA17)/3600</f>
        <v>32190.378997766</v>
      </c>
      <c r="AB43" s="66" t="n">
        <f aca="false">AB42/(AB12*1000000000000000*AB16*1*AB17)/3600</f>
        <v>320810.133897707</v>
      </c>
      <c r="AC43" s="66" t="n">
        <f aca="false">AC42/(AC12*1000000000000000*AC16*1*AC17)/3600</f>
        <v>32190.378997766</v>
      </c>
      <c r="AD43" s="66" t="n">
        <f aca="false">AD42/(AD12*1000000000000000*AD16*1*AD17)/3600</f>
        <v>320810.133897707</v>
      </c>
      <c r="AE43" s="66" t="n">
        <f aca="false">AE42/(AE12*1000000000000000*AE16*1*AE17)/3600</f>
        <v>32190.378997766</v>
      </c>
      <c r="AF43" s="66" t="n">
        <f aca="false">AF42/(AF12*1000000000000000*AF16*1*AF17)/3600</f>
        <v>320810.133897707</v>
      </c>
      <c r="AG43" s="66" t="n">
        <f aca="false">AG42/(AG12*1000000000000000*AG16*1*AG17)/3600</f>
        <v>36214.1763724868</v>
      </c>
      <c r="AH43" s="66" t="n">
        <f aca="false">AH42/(AH12*1000000000000000*AH16*1*AH17)/3600</f>
        <v>360911.400634921</v>
      </c>
    </row>
    <row r="44" customFormat="false" ht="15" hidden="false" customHeight="false" outlineLevel="0" collapsed="false">
      <c r="A44" s="82" t="s">
        <v>958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customFormat="false" ht="15" hidden="false" customHeight="false" outlineLevel="0" collapsed="false">
      <c r="A45" s="53" t="s">
        <v>891</v>
      </c>
      <c r="B45" s="53" t="s">
        <v>884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947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955</v>
      </c>
      <c r="B47" s="53" t="s">
        <v>248</v>
      </c>
      <c r="C47" s="66" t="n">
        <f aca="false">C24*IF(C25=0,C46/2,MIN(C46/2,C25))+(1-C24)*(C46/2/C26+C27)</f>
        <v>2208</v>
      </c>
      <c r="D47" s="66" t="n">
        <f aca="false">D24*IF(D25=0,D46/2,MIN(D46/2,D25))+(1-D24)*(D46/2/D26+D27)</f>
        <v>8192</v>
      </c>
      <c r="E47" s="66" t="n">
        <f aca="false">E24*IF(E25=0,E46/2,MIN(E46/2,E25))+(1-E24)*(E46/2/E26+E27)</f>
        <v>2208</v>
      </c>
      <c r="F47" s="66" t="n">
        <f aca="false">F24*IF(F25=0,F46/2,MIN(F46/2,F25))+(1-F24)*(F46/2/F26+F27)</f>
        <v>8192</v>
      </c>
      <c r="G47" s="66" t="n">
        <f aca="false">G24*IF(G25=0,G46/2,MIN(G46/2,G25))+(1-G24)*(G46/2/G26+G27)</f>
        <v>2208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2208</v>
      </c>
      <c r="J47" s="66" t="n">
        <f aca="false">J24*IF(J25=0,J46/2,MIN(J46/2,J25))+(1-J24)*(J46/2/J26+J27)</f>
        <v>8192</v>
      </c>
      <c r="K47" s="66" t="n">
        <f aca="false">K24*IF(K25=0,K46/2,MIN(K46/2,K25))+(1-K24)*(K46/2/K26+K27)</f>
        <v>2208</v>
      </c>
      <c r="L47" s="66" t="n">
        <f aca="false">L24*IF(L25=0,L46/2,MIN(L46/2,L25))+(1-L24)*(L46/2/L26+L27)</f>
        <v>8192</v>
      </c>
      <c r="M47" s="66" t="n">
        <f aca="false">M24*IF(M25=0,M46/2,MIN(M46/2,M25))+(1-M24)*(M46/2/M26+M27)</f>
        <v>2208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2208</v>
      </c>
      <c r="P47" s="66" t="n">
        <f aca="false">P24*IF(P25=0,P46/2,MIN(P46/2,P25))+(1-P24)*(P46/2/P26+P27)</f>
        <v>8192</v>
      </c>
      <c r="Q47" s="66" t="n">
        <f aca="false">Q24*IF(Q25=0,Q46/2,MIN(Q46/2,Q25))+(1-Q24)*(Q46/2/Q26+Q27)</f>
        <v>2208</v>
      </c>
      <c r="R47" s="66" t="n">
        <f aca="false">R24*IF(R25=0,R46/2,MIN(R46/2,R25))+(1-R24)*(R46/2/R26+R27)</f>
        <v>8192</v>
      </c>
      <c r="S47" s="66" t="n">
        <f aca="false">S24*IF(S25=0,S46/2,MIN(S46/2,S25))+(1-S24)*(S46/2/S26+S27)</f>
        <v>2208</v>
      </c>
      <c r="T47" s="66" t="n">
        <f aca="false">T24*IF(T25=0,T46/2,MIN(T46/2,T25))+(1-T24)*(T46/2/T26+T27)</f>
        <v>8192</v>
      </c>
      <c r="U47" s="66" t="n">
        <f aca="false">U24*IF(U25=0,U46/2,MIN(U46/2,U25))+(1-U24)*(U46/2/U26+U27)</f>
        <v>2208</v>
      </c>
      <c r="V47" s="66" t="n">
        <f aca="false">V24*IF(V25=0,V46/2,MIN(V46/2,V25))+(1-V24)*(V46/2/V26+V27)</f>
        <v>8192</v>
      </c>
      <c r="W47" s="66" t="n">
        <f aca="false">W24*IF(W25=0,W46/2,MIN(W46/2,W25))+(1-W24)*(W46/2/W26+W27)</f>
        <v>2208</v>
      </c>
      <c r="X47" s="66" t="n">
        <f aca="false">X24*IF(X25=0,X46/2,MIN(X46/2,X25))+(1-X24)*(X46/2/X26+X27)</f>
        <v>8192</v>
      </c>
      <c r="Y47" s="66" t="n">
        <f aca="false">Y24*IF(Y25=0,Y46/2,MIN(Y46/2,Y25))+(1-Y24)*(Y46/2/Y26+Y27)</f>
        <v>2208</v>
      </c>
      <c r="Z47" s="66" t="n">
        <f aca="false">Z24*IF(Z25=0,Z46/2,MIN(Z46/2,Z25))+(1-Z24)*(Z46/2/Z26+Z27)</f>
        <v>8192</v>
      </c>
      <c r="AA47" s="66" t="n">
        <f aca="false">AA24*IF(AA25=0,AA46/2,MIN(AA46/2,AA25))+(1-AA24)*(AA46/2/AA26+AA27)</f>
        <v>2208</v>
      </c>
      <c r="AB47" s="66" t="n">
        <f aca="false">AB24*IF(AB25=0,AB46/2,MIN(AB46/2,AB25))+(1-AB24)*(AB46/2/AB26+AB27)</f>
        <v>8192</v>
      </c>
      <c r="AC47" s="66" t="n">
        <f aca="false">AC24*IF(AC25=0,AC46/2,MIN(AC46/2,AC25))+(1-AC24)*(AC46/2/AC26+AC27)</f>
        <v>2208</v>
      </c>
      <c r="AD47" s="66" t="n">
        <f aca="false">AD24*IF(AD25=0,AD46/2,MIN(AD46/2,AD25))+(1-AD24)*(AD46/2/AD26+AD27)</f>
        <v>8192</v>
      </c>
      <c r="AE47" s="66" t="n">
        <f aca="false">AE24*IF(AE25=0,AE46/2,MIN(AE46/2,AE25))+(1-AE24)*(AE46/2/AE26+AE27)</f>
        <v>2208</v>
      </c>
      <c r="AF47" s="66" t="n">
        <f aca="false">AF24*IF(AF25=0,AF46/2,MIN(AF46/2,AF25))+(1-AF24)*(AF46/2/AF26+AF27)</f>
        <v>8192</v>
      </c>
      <c r="AG47" s="66" t="n">
        <f aca="false">AG24*IF(AG25=0,AG46/2,MIN(AG46/2,AG25))+(1-AG24)*(AG46/2/AG26+AG27)</f>
        <v>2208</v>
      </c>
      <c r="AH47" s="66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949</v>
      </c>
      <c r="B48" s="53" t="s">
        <v>431</v>
      </c>
      <c r="C48" s="65" t="n">
        <f aca="false">3*(2*C22*1000000000+C23*C47)*C28/1000000000</f>
        <v>399.922953216</v>
      </c>
      <c r="D48" s="65" t="n">
        <f aca="false">3*(2*D22*1000000000+D23*D47)*D28/1000000000</f>
        <v>1200.7959552</v>
      </c>
      <c r="E48" s="65" t="n">
        <f aca="false">3*(2*E22*1000000000+E23*E47)*E28/1000000000</f>
        <v>399.922953216</v>
      </c>
      <c r="F48" s="65" t="n">
        <f aca="false">3*(2*F22*1000000000+F23*F47)*F28/1000000000</f>
        <v>1200.7959552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399.922953216</v>
      </c>
      <c r="J48" s="65" t="n">
        <f aca="false">3*(2*J22*1000000000+J23*J47)*J28/1000000000</f>
        <v>1200.7959552</v>
      </c>
      <c r="K48" s="65" t="n">
        <f aca="false">3*(2*K22*1000000000+K23*K47)*K28/1000000000</f>
        <v>399.922953216</v>
      </c>
      <c r="L48" s="65" t="n">
        <f aca="false">3*(2*L22*1000000000+L23*L47)*L28/1000000000</f>
        <v>1200.7959552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399.922953216</v>
      </c>
      <c r="P48" s="65" t="n">
        <f aca="false">3*(2*P22*1000000000+P23*P47)*P28/1000000000</f>
        <v>1200.7959552</v>
      </c>
      <c r="Q48" s="65" t="n">
        <f aca="false">3*(2*Q22*1000000000+Q23*Q47)*Q28/1000000000</f>
        <v>399.922953216</v>
      </c>
      <c r="R48" s="65" t="n">
        <f aca="false">3*(2*R22*1000000000+R23*R47)*R28/1000000000</f>
        <v>1200.7959552</v>
      </c>
      <c r="S48" s="65" t="n">
        <f aca="false">3*(2*S22*1000000000+S23*S47)*S28/1000000000</f>
        <v>399.922953216</v>
      </c>
      <c r="T48" s="65" t="n">
        <f aca="false">3*(2*T22*1000000000+T23*T47)*T28/1000000000</f>
        <v>1200.7959552</v>
      </c>
      <c r="U48" s="65" t="n">
        <f aca="false">3*(2*U22*1000000000+U23*U47)*U28/1000000000</f>
        <v>399.922953216</v>
      </c>
      <c r="V48" s="65" t="n">
        <f aca="false">3*(2*V22*1000000000+V23*V47)*V28/1000000000</f>
        <v>1200.7959552</v>
      </c>
      <c r="W48" s="65" t="n">
        <f aca="false">3*(2*W22*1000000000+W23*W47)*W28/1000000000</f>
        <v>399.922953216</v>
      </c>
      <c r="X48" s="65" t="n">
        <f aca="false">3*(2*X22*1000000000+X23*X47)*X28/1000000000</f>
        <v>1200.7959552</v>
      </c>
      <c r="Y48" s="65" t="n">
        <f aca="false">3*(2*Y22*1000000000+Y23*Y47)*Y28/1000000000</f>
        <v>399.922953216</v>
      </c>
      <c r="Z48" s="65" t="n">
        <f aca="false">3*(2*Z22*1000000000+Z23*Z47)*Z28/1000000000</f>
        <v>1200.7959552</v>
      </c>
      <c r="AA48" s="65" t="n">
        <f aca="false">3*(2*AA22*1000000000+AA23*AA47)*AA28/1000000000</f>
        <v>399.922953216</v>
      </c>
      <c r="AB48" s="65" t="n">
        <f aca="false">3*(2*AB22*1000000000+AB23*AB47)*AB28/1000000000</f>
        <v>1200.7959552</v>
      </c>
      <c r="AC48" s="65" t="n">
        <f aca="false">3*(2*AC22*1000000000+AC23*AC47)*AC28/1000000000</f>
        <v>399.922953216</v>
      </c>
      <c r="AD48" s="65" t="n">
        <f aca="false">3*(2*AD22*1000000000+AD23*AD47)*AD28/1000000000</f>
        <v>1200.7959552</v>
      </c>
      <c r="AE48" s="65" t="n">
        <f aca="false">3*(2*AE22*1000000000+AE23*AE47)*AE28/1000000000</f>
        <v>399.922953216</v>
      </c>
      <c r="AF48" s="65" t="n">
        <f aca="false">3*(2*AF22*1000000000+AF23*AF47)*AF28/1000000000</f>
        <v>1200.7959552</v>
      </c>
      <c r="AG48" s="65" t="n">
        <f aca="false">3*(2*AG22*1000000000+AG23*AG47)*AG28/1000000000</f>
        <v>399.922953216</v>
      </c>
      <c r="AH48" s="65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959</v>
      </c>
      <c r="B49" s="53" t="s">
        <v>271</v>
      </c>
      <c r="C49" s="137" t="n">
        <f aca="false">C48*1000000000*C45*1000000000000</f>
        <v>1.99961476608E+022</v>
      </c>
      <c r="D49" s="137" t="n">
        <f aca="false">D48*1000000000*D45*1000000000000</f>
        <v>1.2007959552E+023</v>
      </c>
      <c r="E49" s="137" t="n">
        <f aca="false">E48*1000000000*E45*1000000000000</f>
        <v>1.99961476608E+022</v>
      </c>
      <c r="F49" s="137" t="n">
        <f aca="false">F48*1000000000*F45*1000000000000</f>
        <v>1.2007959552E+023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1.99961476608E+022</v>
      </c>
      <c r="J49" s="137" t="n">
        <f aca="false">J48*1000000000*J45*1000000000000</f>
        <v>1.2007959552E+023</v>
      </c>
      <c r="K49" s="137" t="n">
        <f aca="false">K48*1000000000*K45*1000000000000</f>
        <v>1.99961476608E+022</v>
      </c>
      <c r="L49" s="137" t="n">
        <f aca="false">L48*1000000000*L45*1000000000000</f>
        <v>1.2007959552E+023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1.99961476608E+022</v>
      </c>
      <c r="P49" s="137" t="n">
        <f aca="false">P48*1000000000*P45*1000000000000</f>
        <v>1.2007959552E+023</v>
      </c>
      <c r="Q49" s="137" t="n">
        <f aca="false">Q48*1000000000*Q45*1000000000000</f>
        <v>1.99961476608E+022</v>
      </c>
      <c r="R49" s="137" t="n">
        <f aca="false">R48*1000000000*R45*1000000000000</f>
        <v>1.2007959552E+023</v>
      </c>
      <c r="S49" s="137" t="n">
        <f aca="false">S48*1000000000*S45*1000000000000</f>
        <v>1.99961476608E+022</v>
      </c>
      <c r="T49" s="137" t="n">
        <f aca="false">T48*1000000000*T45*1000000000000</f>
        <v>1.2007959552E+023</v>
      </c>
      <c r="U49" s="137" t="n">
        <f aca="false">U48*1000000000*U45*1000000000000</f>
        <v>1.99961476608E+022</v>
      </c>
      <c r="V49" s="137" t="n">
        <f aca="false">V48*1000000000*V45*1000000000000</f>
        <v>1.2007959552E+023</v>
      </c>
      <c r="W49" s="137" t="n">
        <f aca="false">W48*1000000000*W45*1000000000000</f>
        <v>1.99961476608E+022</v>
      </c>
      <c r="X49" s="137" t="n">
        <f aca="false">X48*1000000000*X45*1000000000000</f>
        <v>1.2007959552E+023</v>
      </c>
      <c r="Y49" s="137" t="n">
        <f aca="false">Y48*1000000000*Y45*1000000000000</f>
        <v>1.99961476608E+022</v>
      </c>
      <c r="Z49" s="137" t="n">
        <f aca="false">Z48*1000000000*Z45*1000000000000</f>
        <v>1.2007959552E+023</v>
      </c>
      <c r="AA49" s="137" t="n">
        <f aca="false">AA48*1000000000*AA45*1000000000000</f>
        <v>1.99961476608E+022</v>
      </c>
      <c r="AB49" s="137" t="n">
        <f aca="false">AB48*1000000000*AB45*1000000000000</f>
        <v>1.2007959552E+023</v>
      </c>
      <c r="AC49" s="137" t="n">
        <f aca="false">AC48*1000000000*AC45*1000000000000</f>
        <v>1.99961476608E+022</v>
      </c>
      <c r="AD49" s="137" t="n">
        <f aca="false">AD48*1000000000*AD45*1000000000000</f>
        <v>1.2007959552E+023</v>
      </c>
      <c r="AE49" s="137" t="n">
        <f aca="false">AE48*1000000000*AE45*1000000000000</f>
        <v>1.99961476608E+022</v>
      </c>
      <c r="AF49" s="137" t="n">
        <f aca="false">AF48*1000000000*AF45*1000000000000</f>
        <v>1.2007959552E+023</v>
      </c>
      <c r="AG49" s="137" t="n">
        <f aca="false">AG48*1000000000*AG45*1000000000000</f>
        <v>1.99961476608E+022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960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961</v>
      </c>
      <c r="B51" s="53" t="s">
        <v>952</v>
      </c>
      <c r="C51" s="66" t="n">
        <f aca="false">C49/(C12*1000000000000000*C16*C50*C17)/3600</f>
        <v>1959.25413098178</v>
      </c>
      <c r="D51" s="66" t="n">
        <f aca="false">D49/(D12*1000000000000000*D16*D50*D17)/3600</f>
        <v>11765.5884303351</v>
      </c>
      <c r="E51" s="66" t="n">
        <f aca="false">E49/(E12*1000000000000000*E16*E50*E17)/3600</f>
        <v>3265.42355163629</v>
      </c>
      <c r="F51" s="66" t="n">
        <f aca="false">F49/(F12*1000000000000000*F16*F50*F17)/3600</f>
        <v>19609.3140505585</v>
      </c>
      <c r="G51" s="66" t="n">
        <f aca="false">G49/(G12*1000000000000000*G16*G50*G17)/3600</f>
        <v>1224.53383186361</v>
      </c>
      <c r="H51" s="66" t="n">
        <f aca="false">H49/(H12*1000000000000000*H16*H50*H17)/3600</f>
        <v>7353.49276895943</v>
      </c>
      <c r="I51" s="66" t="n">
        <f aca="false">I49/(I12*1000000000000000*I16*I50*I17)/3600</f>
        <v>979.627065490888</v>
      </c>
      <c r="J51" s="66" t="n">
        <f aca="false">J49/(J12*1000000000000000*J16*J50*J17)/3600</f>
        <v>5882.79421516755</v>
      </c>
      <c r="K51" s="66" t="n">
        <f aca="false">K49/(K12*1000000000000000*K16*K50*K17)/3600</f>
        <v>1959.25413098178</v>
      </c>
      <c r="L51" s="66" t="n">
        <f aca="false">L49/(L12*1000000000000000*L16*L50*L17)/3600</f>
        <v>11765.5884303351</v>
      </c>
      <c r="M51" s="66" t="n">
        <f aca="false">M49/(M12*1000000000000000*M16*M50*M17)/3600</f>
        <v>1959.25413098178</v>
      </c>
      <c r="N51" s="66" t="n">
        <f aca="false">N49/(N12*1000000000000000*N16*N50*N17)/3600</f>
        <v>11765.5884303351</v>
      </c>
      <c r="O51" s="66" t="n">
        <f aca="false">O49/(O12*1000000000000000*O16*O50*O17)/3600</f>
        <v>1959.25413098178</v>
      </c>
      <c r="P51" s="66" t="n">
        <f aca="false">P49/(P12*1000000000000000*P16*P50*P17)/3600</f>
        <v>11765.5884303351</v>
      </c>
      <c r="Q51" s="66" t="n">
        <f aca="false">Q49/(Q12*1000000000000000*Q16*Q50*Q17)/3600</f>
        <v>1959.25413098178</v>
      </c>
      <c r="R51" s="66" t="n">
        <f aca="false">R49/(R12*1000000000000000*R16*R50*R17)/3600</f>
        <v>11765.5884303351</v>
      </c>
      <c r="S51" s="66" t="n">
        <f aca="false">S49/(S12*1000000000000000*S16*S50*S17)/3600</f>
        <v>1959.25413098178</v>
      </c>
      <c r="T51" s="66" t="n">
        <f aca="false">T49/(T12*1000000000000000*T16*T50*T17)/3600</f>
        <v>11765.5884303351</v>
      </c>
      <c r="U51" s="66" t="n">
        <f aca="false">U49/(U12*1000000000000000*U16*U50*U17)/3600</f>
        <v>1959.25413098178</v>
      </c>
      <c r="V51" s="66" t="n">
        <f aca="false">V49/(V12*1000000000000000*V16*V50*V17)/3600</f>
        <v>11765.5884303351</v>
      </c>
      <c r="W51" s="66" t="n">
        <f aca="false">W49/(W12*1000000000000000*W16*W50*W17)/3600</f>
        <v>1959.25413098178</v>
      </c>
      <c r="X51" s="66" t="n">
        <f aca="false">X49/(X12*1000000000000000*X16*X50*X17)/3600</f>
        <v>11765.5884303351</v>
      </c>
      <c r="Y51" s="66" t="n">
        <f aca="false">Y49/(Y12*1000000000000000*Y16*Y50*Y17)/3600</f>
        <v>1959.25413098178</v>
      </c>
      <c r="Z51" s="66" t="n">
        <f aca="false">Z49/(Z12*1000000000000000*Z16*Z50*Z17)/3600</f>
        <v>11765.5884303351</v>
      </c>
      <c r="AA51" s="66" t="n">
        <f aca="false">AA49/(AA12*1000000000000000*AA16*AA50*AA17)/3600</f>
        <v>1959.25413098178</v>
      </c>
      <c r="AB51" s="66" t="n">
        <f aca="false">AB49/(AB12*1000000000000000*AB16*AB50*AB17)/3600</f>
        <v>11765.5884303351</v>
      </c>
      <c r="AC51" s="66" t="n">
        <f aca="false">AC49/(AC12*1000000000000000*AC16*AC50*AC17)/3600</f>
        <v>1959.25413098178</v>
      </c>
      <c r="AD51" s="66" t="n">
        <f aca="false">AD49/(AD12*1000000000000000*AD16*AD50*AD17)/3600</f>
        <v>11765.5884303351</v>
      </c>
      <c r="AE51" s="66" t="n">
        <f aca="false">AE49/(AE12*1000000000000000*AE16*AE50*AE17)/3600</f>
        <v>1959.25413098178</v>
      </c>
      <c r="AF51" s="66" t="n">
        <f aca="false">AF49/(AF12*1000000000000000*AF16*AF50*AF17)/3600</f>
        <v>11765.5884303351</v>
      </c>
      <c r="AG51" s="66" t="n">
        <f aca="false">AG49/(AG12*1000000000000000*AG16*AG50*AG17)/3600</f>
        <v>2204.1608973545</v>
      </c>
      <c r="AH51" s="66" t="n">
        <f aca="false">AH49/(AH12*1000000000000000*AH16*AH50*AH17)/3600</f>
        <v>13236.286984127</v>
      </c>
    </row>
    <row r="52" customFormat="false" ht="15" hidden="false" customHeight="false" outlineLevel="0" collapsed="false">
      <c r="A52" s="82" t="s">
        <v>962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Format="false" ht="15" hidden="false" customHeight="false" outlineLevel="0" collapsed="false">
      <c r="A53" s="53" t="s">
        <v>963</v>
      </c>
      <c r="B53" s="53" t="s">
        <v>884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39" t="n">
        <f aca="false">INDEX(Train_In!$C$34:$E$34,O$7)*0.3</f>
        <v>0.708</v>
      </c>
      <c r="P53" s="139" t="n">
        <f aca="false">INDEX(Train_In!$C$34:$E$34,P$7)*0.3</f>
        <v>2.88</v>
      </c>
      <c r="Q53" s="139" t="n">
        <f aca="false">INDEX(Train_In!$C$34:$E$34,Q$7)*3</f>
        <v>7.08</v>
      </c>
      <c r="R53" s="139" t="n">
        <f aca="false">INDEX(Train_In!$C$34:$E$34,R$7)*3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964</v>
      </c>
      <c r="B54" s="53" t="s">
        <v>248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965</v>
      </c>
      <c r="B55" s="53" t="s">
        <v>248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966</v>
      </c>
      <c r="B56" s="52" t="s">
        <v>340</v>
      </c>
      <c r="C56" s="66" t="n">
        <f aca="false">C53*1000000000000/C55</f>
        <v>144042968.75</v>
      </c>
      <c r="D56" s="66" t="n">
        <f aca="false">D53*1000000000000/D55</f>
        <v>292968750</v>
      </c>
      <c r="E56" s="66" t="n">
        <f aca="false">E53*1000000000000/E55</f>
        <v>144042968.75</v>
      </c>
      <c r="F56" s="66" t="n">
        <f aca="false">F53*1000000000000/F55</f>
        <v>292968750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144042968.75</v>
      </c>
      <c r="J56" s="66" t="n">
        <f aca="false">J53*1000000000000/J55</f>
        <v>292968750</v>
      </c>
      <c r="K56" s="66" t="n">
        <f aca="false">K53*1000000000000/K55</f>
        <v>144042968.75</v>
      </c>
      <c r="L56" s="66" t="n">
        <f aca="false">L53*1000000000000/L55</f>
        <v>292968750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43212890.625</v>
      </c>
      <c r="P56" s="66" t="n">
        <f aca="false">P53*1000000000000/P55</f>
        <v>87890625</v>
      </c>
      <c r="Q56" s="66" t="n">
        <f aca="false">Q53*1000000000000/Q55</f>
        <v>432128906.25</v>
      </c>
      <c r="R56" s="66" t="n">
        <f aca="false">R53*1000000000000/R55</f>
        <v>878906250</v>
      </c>
      <c r="S56" s="66" t="n">
        <f aca="false">S53*1000000000000/S55</f>
        <v>144042968.75</v>
      </c>
      <c r="T56" s="66" t="n">
        <f aca="false">T53*1000000000000/T55</f>
        <v>292968750</v>
      </c>
      <c r="U56" s="66" t="n">
        <f aca="false">U53*1000000000000/U55</f>
        <v>144042968.75</v>
      </c>
      <c r="V56" s="66" t="n">
        <f aca="false">V53*1000000000000/V55</f>
        <v>292968750</v>
      </c>
      <c r="W56" s="66" t="n">
        <f aca="false">W53*1000000000000/W55</f>
        <v>144042968.75</v>
      </c>
      <c r="X56" s="66" t="n">
        <f aca="false">X53*1000000000000/X55</f>
        <v>292968750</v>
      </c>
      <c r="Y56" s="66" t="n">
        <f aca="false">Y53*1000000000000/Y55</f>
        <v>144042968.75</v>
      </c>
      <c r="Z56" s="66" t="n">
        <f aca="false">Z53*1000000000000/Z55</f>
        <v>292968750</v>
      </c>
      <c r="AA56" s="66" t="n">
        <f aca="false">AA53*1000000000000/AA55</f>
        <v>144042968.75</v>
      </c>
      <c r="AB56" s="66" t="n">
        <f aca="false">AB53*1000000000000/AB55</f>
        <v>292968750</v>
      </c>
      <c r="AC56" s="66" t="n">
        <f aca="false">AC53*1000000000000/AC55</f>
        <v>144042968.75</v>
      </c>
      <c r="AD56" s="66" t="n">
        <f aca="false">AD53*1000000000000/AD55</f>
        <v>292968750</v>
      </c>
      <c r="AE56" s="66" t="n">
        <f aca="false">AE53*1000000000000/AE55</f>
        <v>144042968.75</v>
      </c>
      <c r="AF56" s="66" t="n">
        <f aca="false">AF53*1000000000000/AF55</f>
        <v>292968750</v>
      </c>
      <c r="AG56" s="66" t="n">
        <f aca="false">AG53*1000000000000/AG55</f>
        <v>144042968.75</v>
      </c>
      <c r="AH56" s="66" t="n">
        <f aca="false">AH53*1000000000000/AH55</f>
        <v>292968750</v>
      </c>
    </row>
    <row r="57" customFormat="false" ht="15" hidden="false" customHeight="false" outlineLevel="0" collapsed="false">
      <c r="A57" s="53" t="s">
        <v>967</v>
      </c>
      <c r="B57" s="52" t="s">
        <v>340</v>
      </c>
      <c r="C57" s="84" t="n">
        <f aca="false">Train_In!$C$12</f>
        <v>16</v>
      </c>
      <c r="D57" s="84" t="n">
        <f aca="false">Train_In!$C$12</f>
        <v>16</v>
      </c>
      <c r="E57" s="84" t="n">
        <f aca="false">Train_In!$C$12</f>
        <v>16</v>
      </c>
      <c r="F57" s="84" t="n">
        <f aca="false">Train_In!$C$12</f>
        <v>16</v>
      </c>
      <c r="G57" s="84" t="n">
        <f aca="false">Train_In!$C$12</f>
        <v>16</v>
      </c>
      <c r="H57" s="84" t="n">
        <f aca="false">Train_In!$C$12</f>
        <v>16</v>
      </c>
      <c r="I57" s="84" t="n">
        <f aca="false">Train_In!$C$12</f>
        <v>16</v>
      </c>
      <c r="J57" s="84" t="n">
        <f aca="false">Train_In!$C$12</f>
        <v>16</v>
      </c>
      <c r="K57" s="84" t="n">
        <f aca="false">Train_In!$C$12</f>
        <v>16</v>
      </c>
      <c r="L57" s="84" t="n">
        <f aca="false">Train_In!$C$12</f>
        <v>16</v>
      </c>
      <c r="M57" s="84" t="n">
        <f aca="false">Train_In!$C$12</f>
        <v>16</v>
      </c>
      <c r="N57" s="84" t="n">
        <f aca="false">Train_In!$C$12</f>
        <v>16</v>
      </c>
      <c r="O57" s="84" t="n">
        <f aca="false">Train_In!$C$12</f>
        <v>16</v>
      </c>
      <c r="P57" s="84" t="n">
        <f aca="false">Train_In!$C$12</f>
        <v>16</v>
      </c>
      <c r="Q57" s="84" t="n">
        <f aca="false">Train_In!$C$12</f>
        <v>16</v>
      </c>
      <c r="R57" s="84" t="n">
        <f aca="false">Train_In!$C$12</f>
        <v>16</v>
      </c>
      <c r="S57" s="84" t="n">
        <f aca="false">Train_In!$C$12</f>
        <v>16</v>
      </c>
      <c r="T57" s="84" t="n">
        <f aca="false">Train_In!$C$12</f>
        <v>16</v>
      </c>
      <c r="U57" s="84" t="n">
        <f aca="false">Train_In!$C$12</f>
        <v>16</v>
      </c>
      <c r="V57" s="84" t="n">
        <f aca="false">Train_In!$C$12</f>
        <v>16</v>
      </c>
      <c r="W57" s="84" t="n">
        <f aca="false">Train_In!$C$12</f>
        <v>16</v>
      </c>
      <c r="X57" s="84" t="n">
        <f aca="false">Train_In!$C$12</f>
        <v>16</v>
      </c>
      <c r="Y57" s="84" t="n">
        <f aca="false">Train_In!$C$12</f>
        <v>16</v>
      </c>
      <c r="Z57" s="84" t="n">
        <f aca="false">Train_In!$C$12</f>
        <v>16</v>
      </c>
      <c r="AA57" s="84" t="n">
        <f aca="false">Train_In!$C$12</f>
        <v>16</v>
      </c>
      <c r="AB57" s="84" t="n">
        <f aca="false">Train_In!$C$12</f>
        <v>16</v>
      </c>
      <c r="AC57" s="84" t="n">
        <f aca="false">Train_In!$C$12</f>
        <v>16</v>
      </c>
      <c r="AD57" s="84" t="n">
        <f aca="false">Train_In!$C$12</f>
        <v>16</v>
      </c>
      <c r="AE57" s="84" t="n">
        <f aca="false">Train_In!$C$12</f>
        <v>16</v>
      </c>
      <c r="AF57" s="84" t="n">
        <f aca="false">Train_In!$C$12</f>
        <v>16</v>
      </c>
      <c r="AG57" s="84" t="n">
        <f aca="false">Train_In!$C$12</f>
        <v>16</v>
      </c>
      <c r="AH57" s="84" t="n">
        <f aca="false">Train_In!$C$12</f>
        <v>16</v>
      </c>
    </row>
    <row r="58" customFormat="false" ht="15" hidden="false" customHeight="false" outlineLevel="0" collapsed="false">
      <c r="A58" s="52" t="s">
        <v>968</v>
      </c>
      <c r="B58" s="53" t="s">
        <v>884</v>
      </c>
      <c r="C58" s="62" t="n">
        <f aca="false">C56*C54/C57/1000000000000</f>
        <v>0.07375</v>
      </c>
      <c r="D58" s="62" t="n">
        <f aca="false">D56*D54/D57/1000000000000</f>
        <v>0.3</v>
      </c>
      <c r="E58" s="62" t="n">
        <f aca="false">E56*E54/E57/1000000000000</f>
        <v>0.07375</v>
      </c>
      <c r="F58" s="62" t="n">
        <f aca="false">F56*F54/F57/1000000000000</f>
        <v>0.3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0.3</v>
      </c>
      <c r="K58" s="62" t="n">
        <f aca="false">K56*K54/K57/1000000000000</f>
        <v>0.07375</v>
      </c>
      <c r="L58" s="62" t="n">
        <f aca="false">L56*L54/L57/1000000000000</f>
        <v>0.3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0.022125</v>
      </c>
      <c r="P58" s="62" t="n">
        <f aca="false">P56*P54/P57/1000000000000</f>
        <v>0.09</v>
      </c>
      <c r="Q58" s="62" t="n">
        <f aca="false">Q56*Q54/Q57/1000000000000</f>
        <v>0.22125</v>
      </c>
      <c r="R58" s="62" t="n">
        <f aca="false">R56*R54/R57/1000000000000</f>
        <v>0.9</v>
      </c>
      <c r="S58" s="62" t="n">
        <f aca="false">S56*S54/S57/1000000000000</f>
        <v>0.07375</v>
      </c>
      <c r="T58" s="62" t="n">
        <f aca="false">T56*T54/T57/1000000000000</f>
        <v>0.3</v>
      </c>
      <c r="U58" s="62" t="n">
        <f aca="false">U56*U54/U57/1000000000000</f>
        <v>0.07375</v>
      </c>
      <c r="V58" s="62" t="n">
        <f aca="false">V56*V54/V57/1000000000000</f>
        <v>0.3</v>
      </c>
      <c r="W58" s="62" t="n">
        <f aca="false">W56*W54/W57/1000000000000</f>
        <v>0.07375</v>
      </c>
      <c r="X58" s="62" t="n">
        <f aca="false">X56*X54/X57/1000000000000</f>
        <v>0.3</v>
      </c>
      <c r="Y58" s="62" t="n">
        <f aca="false">Y56*Y54/Y57/1000000000000</f>
        <v>0.07375</v>
      </c>
      <c r="Z58" s="62" t="n">
        <f aca="false">Z56*Z54/Z57/1000000000000</f>
        <v>0.3</v>
      </c>
      <c r="AA58" s="62" t="n">
        <f aca="false">AA56*AA54/AA57/1000000000000</f>
        <v>0.07375</v>
      </c>
      <c r="AB58" s="62" t="n">
        <f aca="false">AB56*AB54/AB57/1000000000000</f>
        <v>0.3</v>
      </c>
      <c r="AC58" s="62" t="n">
        <f aca="false">AC56*AC54/AC57/1000000000000</f>
        <v>0.07375</v>
      </c>
      <c r="AD58" s="62" t="n">
        <f aca="false">AD56*AD54/AD57/1000000000000</f>
        <v>0.3</v>
      </c>
      <c r="AE58" s="62" t="n">
        <f aca="false">AE56*AE54/AE57/1000000000000</f>
        <v>0.07375</v>
      </c>
      <c r="AF58" s="62" t="n">
        <f aca="false">AF56*AF54/AF57/1000000000000</f>
        <v>0.3</v>
      </c>
      <c r="AG58" s="62" t="n">
        <f aca="false">AG56*AG54/AG57/1000000000000</f>
        <v>0.07375</v>
      </c>
      <c r="AH58" s="62" t="n">
        <f aca="false">AH56*AH54/AH57/1000000000000</f>
        <v>0.3</v>
      </c>
    </row>
    <row r="59" customFormat="false" ht="15" hidden="false" customHeight="false" outlineLevel="0" collapsed="false">
      <c r="A59" s="53" t="s">
        <v>969</v>
      </c>
      <c r="B59" s="53" t="s">
        <v>734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39" t="n">
        <f aca="false">Perf_Batch!R103</f>
        <v>374.756543766303</v>
      </c>
      <c r="X59" s="139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970</v>
      </c>
      <c r="B60" s="53" t="s">
        <v>734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39" t="n">
        <f aca="false">Perf_Batch!R101</f>
        <v>25.148264448</v>
      </c>
      <c r="X60" s="139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971</v>
      </c>
      <c r="B61" s="53" t="s">
        <v>431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39" t="n">
        <f aca="false">Perf_Batch!R65</f>
        <v>133.81935616</v>
      </c>
      <c r="X61" s="139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972</v>
      </c>
      <c r="B62" s="53" t="s">
        <v>431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39" t="n">
        <f aca="false">Perf_Batch!R67</f>
        <v>132.028388352</v>
      </c>
      <c r="X62" s="139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973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974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0" t="n">
        <v>0.6</v>
      </c>
      <c r="T64" s="70" t="n">
        <v>0.6</v>
      </c>
      <c r="U64" s="70" t="n">
        <v>0.95</v>
      </c>
      <c r="V64" s="70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975</v>
      </c>
      <c r="B65" s="53" t="s">
        <v>952</v>
      </c>
      <c r="C65" s="66" t="n">
        <f aca="false">(C53*1000000*C59+C58*1000000*C60)/3600/C64</f>
        <v>143574.794501345</v>
      </c>
      <c r="D65" s="66" t="n">
        <f aca="false">(D53*1000000*D59+D58*1000000*D60)/3600/D64</f>
        <v>2477834.76577215</v>
      </c>
      <c r="E65" s="66" t="n">
        <f aca="false">(E53*1000000*E59+E58*1000000*E60)/3600/E64</f>
        <v>143574.794501345</v>
      </c>
      <c r="F65" s="66" t="n">
        <f aca="false">(F53*1000000*F59+F58*1000000*F60)/3600/F64</f>
        <v>2477834.76577215</v>
      </c>
      <c r="G65" s="66" t="n">
        <f aca="false">(G53*1000000*G59+G58*1000000*G60)/3600/G64</f>
        <v>143574.794501345</v>
      </c>
      <c r="H65" s="66" t="n">
        <f aca="false">(H53*1000000*H59+H58*1000000*H60)/3600/H64</f>
        <v>2477834.76577215</v>
      </c>
      <c r="I65" s="66" t="n">
        <f aca="false">(I53*1000000*I59+I58*1000000*I60)/3600/I64</f>
        <v>143574.794501345</v>
      </c>
      <c r="J65" s="66" t="n">
        <f aca="false">(J53*1000000*J59+J58*1000000*J60)/3600/J64</f>
        <v>2477834.76577215</v>
      </c>
      <c r="K65" s="66" t="n">
        <f aca="false">(K53*1000000*K59+K58*1000000*K60)/3600/K64</f>
        <v>143574.794501345</v>
      </c>
      <c r="L65" s="66" t="n">
        <f aca="false">(L53*1000000*L59+L58*1000000*L60)/3600/L64</f>
        <v>2477834.76577215</v>
      </c>
      <c r="M65" s="66" t="n">
        <f aca="false">(M53*1000000*M59+M58*1000000*M60)/3600/M64</f>
        <v>143574.794501345</v>
      </c>
      <c r="N65" s="66" t="n">
        <f aca="false">(N53*1000000*N59+N58*1000000*N60)/3600/N64</f>
        <v>2477834.76577215</v>
      </c>
      <c r="O65" s="66" t="n">
        <f aca="false">(O53*1000000*O59+O58*1000000*O60)/3600/O64</f>
        <v>43072.4383504035</v>
      </c>
      <c r="P65" s="66" t="n">
        <f aca="false">(P53*1000000*P59+P58*1000000*P60)/3600/P64</f>
        <v>743350.429731645</v>
      </c>
      <c r="Q65" s="66" t="n">
        <f aca="false">(Q53*1000000*Q59+Q58*1000000*Q60)/3600/Q64</f>
        <v>430724.383504035</v>
      </c>
      <c r="R65" s="66" t="n">
        <f aca="false">(R53*1000000*R59+R58*1000000*R60)/3600/R64</f>
        <v>7433504.29731645</v>
      </c>
      <c r="S65" s="66" t="n">
        <f aca="false">(S53*1000000*S59+S58*1000000*S60)/3600/S64</f>
        <v>203397.625543572</v>
      </c>
      <c r="T65" s="66" t="n">
        <f aca="false">(T53*1000000*T59+T58*1000000*T60)/3600/T64</f>
        <v>3510265.91817721</v>
      </c>
      <c r="U65" s="66" t="n">
        <f aca="false">(U53*1000000*U59+U58*1000000*U60)/3600/U64</f>
        <v>128461.658238046</v>
      </c>
      <c r="V65" s="66" t="n">
        <f aca="false">(V53*1000000*V59+V58*1000000*V60)/3600/V64</f>
        <v>2217010.05358561</v>
      </c>
      <c r="W65" s="66" t="n">
        <f aca="false">(W53*1000000*W59+W58*1000000*W60)/3600/W64</f>
        <v>289634.028690038</v>
      </c>
      <c r="X65" s="66" t="n">
        <f aca="false">(X53*1000000*X59+X58*1000000*X60)/3600/X64</f>
        <v>5025026.36289623</v>
      </c>
      <c r="Y65" s="66" t="n">
        <f aca="false">(Y53*1000000*Y59+Y58*1000000*Y60)/3600/Y64</f>
        <v>143574.794501345</v>
      </c>
      <c r="Z65" s="66" t="n">
        <f aca="false">(Z53*1000000*Z59+Z58*1000000*Z60)/3600/Z64</f>
        <v>2477834.76577215</v>
      </c>
      <c r="AA65" s="66" t="n">
        <f aca="false">(AA53*1000000*AA59+AA58*1000000*AA60)/3600/AA64</f>
        <v>143574.794501345</v>
      </c>
      <c r="AB65" s="66" t="n">
        <f aca="false">(AB53*1000000*AB59+AB58*1000000*AB60)/3600/AB64</f>
        <v>2477834.76577215</v>
      </c>
      <c r="AC65" s="66" t="n">
        <f aca="false">(AC53*1000000*AC59+AC58*1000000*AC60)/3600/AC64</f>
        <v>143574.794501345</v>
      </c>
      <c r="AD65" s="66" t="n">
        <f aca="false">(AD53*1000000*AD59+AD58*1000000*AD60)/3600/AD64</f>
        <v>2477834.76577215</v>
      </c>
      <c r="AE65" s="66" t="n">
        <f aca="false">(AE53*1000000*AE59+AE58*1000000*AE60)/3600/AE64</f>
        <v>143574.794501345</v>
      </c>
      <c r="AF65" s="66" t="n">
        <f aca="false">(AF53*1000000*AF59+AF58*1000000*AF60)/3600/AF64</f>
        <v>2477834.76577215</v>
      </c>
      <c r="AG65" s="66" t="n">
        <f aca="false">(AG53*1000000*AG59+AG58*1000000*AG60)/3600/AG64</f>
        <v>143574.794501345</v>
      </c>
      <c r="AH65" s="66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976</v>
      </c>
      <c r="B66" s="53" t="s">
        <v>271</v>
      </c>
      <c r="C66" s="137" t="n">
        <f aca="false">C53*1000000000000*C61*1000000000+C58*1000000000000*C62*1000000000</f>
        <v>3.2555077417856E+023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3.2555077417856E+023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3.2555077417856E+023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3.2555077417856E+023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9.7665232253568E+022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9.7665232253568E+023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3.2555077417856E+023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3.2555077417856E+023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3.2555077417856E+023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3.2555077417856E+023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3.2555077417856E+023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3.2555077417856E+023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3.2555077417856E+023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3.2555077417856E+023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977</v>
      </c>
      <c r="B67" s="53" t="s">
        <v>884</v>
      </c>
      <c r="C67" s="65" t="n">
        <f aca="false">C56*(C54+C55)/1000000000000</f>
        <v>3.54</v>
      </c>
      <c r="D67" s="65" t="n">
        <f aca="false">D56*(D54+D55)/1000000000000</f>
        <v>14.4</v>
      </c>
      <c r="E67" s="65" t="n">
        <f aca="false">E56*(E54+E55)/1000000000000</f>
        <v>3.54</v>
      </c>
      <c r="F67" s="65" t="n">
        <f aca="false">F56*(F54+F55)/1000000000000</f>
        <v>14.4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14.4</v>
      </c>
      <c r="K67" s="65" t="n">
        <f aca="false">K56*(K54+K55)/1000000000000</f>
        <v>3.54</v>
      </c>
      <c r="L67" s="65" t="n">
        <f aca="false">L56*(L54+L55)/1000000000000</f>
        <v>14.4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1.062</v>
      </c>
      <c r="P67" s="65" t="n">
        <f aca="false">P56*(P54+P55)/1000000000000</f>
        <v>4.32</v>
      </c>
      <c r="Q67" s="65" t="n">
        <f aca="false">Q56*(Q54+Q55)/1000000000000</f>
        <v>10.62</v>
      </c>
      <c r="R67" s="65" t="n">
        <f aca="false">R56*(R54+R55)/1000000000000</f>
        <v>43.2</v>
      </c>
      <c r="S67" s="65" t="n">
        <f aca="false">S56*(S54+S55)/1000000000000</f>
        <v>3.54</v>
      </c>
      <c r="T67" s="65" t="n">
        <f aca="false">T56*(T54+T55)/1000000000000</f>
        <v>14.4</v>
      </c>
      <c r="U67" s="65" t="n">
        <f aca="false">U56*(U54+U55)/1000000000000</f>
        <v>3.54</v>
      </c>
      <c r="V67" s="65" t="n">
        <f aca="false">V56*(V54+V55)/1000000000000</f>
        <v>14.4</v>
      </c>
      <c r="W67" s="65" t="n">
        <f aca="false">W56*(W54+W55)/1000000000000</f>
        <v>3.54</v>
      </c>
      <c r="X67" s="65" t="n">
        <f aca="false">X56*(X54+X55)/1000000000000</f>
        <v>14.4</v>
      </c>
      <c r="Y67" s="65" t="n">
        <f aca="false">Y56*(Y54+Y55)/1000000000000</f>
        <v>3.54</v>
      </c>
      <c r="Z67" s="65" t="n">
        <f aca="false">Z56*(Z54+Z55)/1000000000000</f>
        <v>14.4</v>
      </c>
      <c r="AA67" s="65" t="n">
        <f aca="false">AA56*(AA54+AA55)/1000000000000</f>
        <v>3.54</v>
      </c>
      <c r="AB67" s="65" t="n">
        <f aca="false">AB56*(AB54+AB55)/1000000000000</f>
        <v>14.4</v>
      </c>
      <c r="AC67" s="65" t="n">
        <f aca="false">AC56*(AC54+AC55)/1000000000000</f>
        <v>3.54</v>
      </c>
      <c r="AD67" s="65" t="n">
        <f aca="false">AD56*(AD54+AD55)/1000000000000</f>
        <v>14.4</v>
      </c>
      <c r="AE67" s="65" t="n">
        <f aca="false">AE56*(AE54+AE55)/1000000000000</f>
        <v>3.54</v>
      </c>
      <c r="AF67" s="65" t="n">
        <f aca="false">AF56*(AF54+AF55)/1000000000000</f>
        <v>14.4</v>
      </c>
      <c r="AG67" s="65" t="n">
        <f aca="false">AG56*(AG54+AG55)/1000000000000</f>
        <v>3.54</v>
      </c>
      <c r="AH67" s="65" t="n">
        <f aca="false">AH56*(AH54+AH55)/1000000000000</f>
        <v>14.4</v>
      </c>
    </row>
    <row r="68" customFormat="false" ht="15" hidden="false" customHeight="false" outlineLevel="0" collapsed="false">
      <c r="A68" s="53" t="s">
        <v>978</v>
      </c>
      <c r="B68" s="53" t="s">
        <v>248</v>
      </c>
      <c r="C68" s="66" t="n">
        <f aca="false">C24*IF(C25=0,(C54+C55)/2,MIN((C54+C55)/2,C25))+(1-C24)*((C54+C55)/2/C26+C27)</f>
        <v>2224</v>
      </c>
      <c r="D68" s="66" t="n">
        <f aca="false">D24*IF(D25=0,(D54+D55)/2,MIN((D54+D55)/2,D25))+(1-D24)*((D54+D55)/2/D26+D27)</f>
        <v>24576</v>
      </c>
      <c r="E68" s="66" t="n">
        <f aca="false">E24*IF(E25=0,(E54+E55)/2,MIN((E54+E55)/2,E25))+(1-E24)*((E54+E55)/2/E26+E27)</f>
        <v>2224</v>
      </c>
      <c r="F68" s="66" t="n">
        <f aca="false">F24*IF(F25=0,(F54+F55)/2,MIN((F54+F55)/2,F25))+(1-F24)*((F54+F55)/2/F26+F27)</f>
        <v>24576</v>
      </c>
      <c r="G68" s="66" t="n">
        <f aca="false">G24*IF(G25=0,(G54+G55)/2,MIN((G54+G55)/2,G25))+(1-G24)*((G54+G55)/2/G26+G27)</f>
        <v>2224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2224</v>
      </c>
      <c r="J68" s="66" t="n">
        <f aca="false">J24*IF(J25=0,(J54+J55)/2,MIN((J54+J55)/2,J25))+(1-J24)*((J54+J55)/2/J26+J27)</f>
        <v>24576</v>
      </c>
      <c r="K68" s="66" t="n">
        <f aca="false">K24*IF(K25=0,(K54+K55)/2,MIN((K54+K55)/2,K25))+(1-K24)*((K54+K55)/2/K26+K27)</f>
        <v>2224</v>
      </c>
      <c r="L68" s="66" t="n">
        <f aca="false">L24*IF(L25=0,(L54+L55)/2,MIN((L54+L55)/2,L25))+(1-L24)*((L54+L55)/2/L26+L27)</f>
        <v>24576</v>
      </c>
      <c r="M68" s="66" t="n">
        <f aca="false">M24*IF(M25=0,(M54+M55)/2,MIN((M54+M55)/2,M25))+(1-M24)*((M54+M55)/2/M26+M27)</f>
        <v>2224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2224</v>
      </c>
      <c r="P68" s="66" t="n">
        <f aca="false">P24*IF(P25=0,(P54+P55)/2,MIN((P54+P55)/2,P25))+(1-P24)*((P54+P55)/2/P26+P27)</f>
        <v>24576</v>
      </c>
      <c r="Q68" s="66" t="n">
        <f aca="false">Q24*IF(Q25=0,(Q54+Q55)/2,MIN((Q54+Q55)/2,Q25))+(1-Q24)*((Q54+Q55)/2/Q26+Q27)</f>
        <v>2224</v>
      </c>
      <c r="R68" s="66" t="n">
        <f aca="false">R24*IF(R25=0,(R54+R55)/2,MIN((R54+R55)/2,R25))+(1-R24)*((R54+R55)/2/R26+R27)</f>
        <v>24576</v>
      </c>
      <c r="S68" s="66" t="n">
        <f aca="false">S24*IF(S25=0,(S54+S55)/2,MIN((S54+S55)/2,S25))+(1-S24)*((S54+S55)/2/S26+S27)</f>
        <v>2224</v>
      </c>
      <c r="T68" s="66" t="n">
        <f aca="false">T24*IF(T25=0,(T54+T55)/2,MIN((T54+T55)/2,T25))+(1-T24)*((T54+T55)/2/T26+T27)</f>
        <v>24576</v>
      </c>
      <c r="U68" s="66" t="n">
        <f aca="false">U24*IF(U25=0,(U54+U55)/2,MIN((U54+U55)/2,U25))+(1-U24)*((U54+U55)/2/U26+U27)</f>
        <v>2224</v>
      </c>
      <c r="V68" s="66" t="n">
        <f aca="false">V24*IF(V25=0,(V54+V55)/2,MIN((V54+V55)/2,V25))+(1-V24)*((V54+V55)/2/V26+V27)</f>
        <v>24576</v>
      </c>
      <c r="W68" s="66" t="n">
        <f aca="false">W24*IF(W25=0,(W54+W55)/2,MIN((W54+W55)/2,W25))+(1-W24)*((W54+W55)/2/W26+W27)</f>
        <v>2224</v>
      </c>
      <c r="X68" s="66" t="n">
        <f aca="false">X24*IF(X25=0,(X54+X55)/2,MIN((X54+X55)/2,X25))+(1-X24)*((X54+X55)/2/X26+X27)</f>
        <v>24576</v>
      </c>
      <c r="Y68" s="66" t="n">
        <f aca="false">Y24*IF(Y25=0,(Y54+Y55)/2,MIN((Y54+Y55)/2,Y25))+(1-Y24)*((Y54+Y55)/2/Y26+Y27)</f>
        <v>2224</v>
      </c>
      <c r="Z68" s="66" t="n">
        <f aca="false">Z24*IF(Z25=0,(Z54+Z55)/2,MIN((Z54+Z55)/2,Z25))+(1-Z24)*((Z54+Z55)/2/Z26+Z27)</f>
        <v>24576</v>
      </c>
      <c r="AA68" s="66" t="n">
        <f aca="false">AA24*IF(AA25=0,(AA54+AA55)/2,MIN((AA54+AA55)/2,AA25))+(1-AA24)*((AA54+AA55)/2/AA26+AA27)</f>
        <v>2224</v>
      </c>
      <c r="AB68" s="66" t="n">
        <f aca="false">AB24*IF(AB25=0,(AB54+AB55)/2,MIN((AB54+AB55)/2,AB25))+(1-AB24)*((AB54+AB55)/2/AB26+AB27)</f>
        <v>24576</v>
      </c>
      <c r="AC68" s="66" t="n">
        <f aca="false">AC24*IF(AC25=0,(AC54+AC55)/2,MIN((AC54+AC55)/2,AC25))+(1-AC24)*((AC54+AC55)/2/AC26+AC27)</f>
        <v>2224</v>
      </c>
      <c r="AD68" s="66" t="n">
        <f aca="false">AD24*IF(AD25=0,(AD54+AD55)/2,MIN((AD54+AD55)/2,AD25))+(1-AD24)*((AD54+AD55)/2/AD26+AD27)</f>
        <v>24576</v>
      </c>
      <c r="AE68" s="66" t="n">
        <f aca="false">AE24*IF(AE25=0,(AE54+AE55)/2,MIN((AE54+AE55)/2,AE25))+(1-AE24)*((AE54+AE55)/2/AE26+AE27)</f>
        <v>2224</v>
      </c>
      <c r="AF68" s="66" t="n">
        <f aca="false">AF24*IF(AF25=0,(AF54+AF55)/2,MIN((AF54+AF55)/2,AF25))+(1-AF24)*((AF54+AF55)/2/AF26+AF27)</f>
        <v>24576</v>
      </c>
      <c r="AG68" s="66" t="n">
        <f aca="false">AG24*IF(AG25=0,(AG54+AG55)/2,MIN((AG54+AG55)/2,AG25))+(1-AG24)*((AG54+AG55)/2/AG26+AG27)</f>
        <v>2224</v>
      </c>
      <c r="AH68" s="66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979</v>
      </c>
      <c r="B69" s="53" t="s">
        <v>431</v>
      </c>
      <c r="C69" s="65" t="n">
        <f aca="false">3*(2*C22*1000000000+C23*C68)*C28/1000000000</f>
        <v>400.690510848</v>
      </c>
      <c r="D69" s="65" t="n">
        <f aca="false">3*(2*D22*1000000000+D23*D68)*D28/1000000000</f>
        <v>1442.3878656</v>
      </c>
      <c r="E69" s="65" t="n">
        <f aca="false">3*(2*E22*1000000000+E23*E68)*E28/1000000000</f>
        <v>400.690510848</v>
      </c>
      <c r="F69" s="65" t="n">
        <f aca="false">3*(2*F22*1000000000+F23*F68)*F28/1000000000</f>
        <v>1442.3878656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400.690510848</v>
      </c>
      <c r="J69" s="65" t="n">
        <f aca="false">3*(2*J22*1000000000+J23*J68)*J28/1000000000</f>
        <v>1442.3878656</v>
      </c>
      <c r="K69" s="65" t="n">
        <f aca="false">3*(2*K22*1000000000+K23*K68)*K28/1000000000</f>
        <v>400.690510848</v>
      </c>
      <c r="L69" s="65" t="n">
        <f aca="false">3*(2*L22*1000000000+L23*L68)*L28/1000000000</f>
        <v>1442.3878656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400.690510848</v>
      </c>
      <c r="P69" s="65" t="n">
        <f aca="false">3*(2*P22*1000000000+P23*P68)*P28/1000000000</f>
        <v>1442.3878656</v>
      </c>
      <c r="Q69" s="65" t="n">
        <f aca="false">3*(2*Q22*1000000000+Q23*Q68)*Q28/1000000000</f>
        <v>400.690510848</v>
      </c>
      <c r="R69" s="65" t="n">
        <f aca="false">3*(2*R22*1000000000+R23*R68)*R28/1000000000</f>
        <v>1442.3878656</v>
      </c>
      <c r="S69" s="65" t="n">
        <f aca="false">3*(2*S22*1000000000+S23*S68)*S28/1000000000</f>
        <v>400.690510848</v>
      </c>
      <c r="T69" s="65" t="n">
        <f aca="false">3*(2*T22*1000000000+T23*T68)*T28/1000000000</f>
        <v>1442.3878656</v>
      </c>
      <c r="U69" s="65" t="n">
        <f aca="false">3*(2*U22*1000000000+U23*U68)*U28/1000000000</f>
        <v>400.690510848</v>
      </c>
      <c r="V69" s="65" t="n">
        <f aca="false">3*(2*V22*1000000000+V23*V68)*V28/1000000000</f>
        <v>1442.3878656</v>
      </c>
      <c r="W69" s="65" t="n">
        <f aca="false">3*(2*W22*1000000000+W23*W68)*W28/1000000000</f>
        <v>400.690510848</v>
      </c>
      <c r="X69" s="65" t="n">
        <f aca="false">3*(2*X22*1000000000+X23*X68)*X28/1000000000</f>
        <v>1442.3878656</v>
      </c>
      <c r="Y69" s="65" t="n">
        <f aca="false">3*(2*Y22*1000000000+Y23*Y68)*Y28/1000000000</f>
        <v>400.690510848</v>
      </c>
      <c r="Z69" s="65" t="n">
        <f aca="false">3*(2*Z22*1000000000+Z23*Z68)*Z28/1000000000</f>
        <v>1442.3878656</v>
      </c>
      <c r="AA69" s="65" t="n">
        <f aca="false">3*(2*AA22*1000000000+AA23*AA68)*AA28/1000000000</f>
        <v>400.690510848</v>
      </c>
      <c r="AB69" s="65" t="n">
        <f aca="false">3*(2*AB22*1000000000+AB23*AB68)*AB28/1000000000</f>
        <v>1442.3878656</v>
      </c>
      <c r="AC69" s="65" t="n">
        <f aca="false">3*(2*AC22*1000000000+AC23*AC68)*AC28/1000000000</f>
        <v>400.690510848</v>
      </c>
      <c r="AD69" s="65" t="n">
        <f aca="false">3*(2*AD22*1000000000+AD23*AD68)*AD28/1000000000</f>
        <v>1442.3878656</v>
      </c>
      <c r="AE69" s="65" t="n">
        <f aca="false">3*(2*AE22*1000000000+AE23*AE68)*AE28/1000000000</f>
        <v>400.690510848</v>
      </c>
      <c r="AF69" s="65" t="n">
        <f aca="false">3*(2*AF22*1000000000+AF23*AF68)*AF28/1000000000</f>
        <v>1442.3878656</v>
      </c>
      <c r="AG69" s="65" t="n">
        <f aca="false">3*(2*AG22*1000000000+AG23*AG68)*AG28/1000000000</f>
        <v>400.690510848</v>
      </c>
      <c r="AH69" s="65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980</v>
      </c>
      <c r="B70" s="53" t="s">
        <v>271</v>
      </c>
      <c r="C70" s="137" t="n">
        <f aca="false">C69*1000000000*C67*1000000000000</f>
        <v>1.41844440840192E+024</v>
      </c>
      <c r="D70" s="137" t="n">
        <f aca="false">D69*1000000000*D67*1000000000000</f>
        <v>2.077038526464E+025</v>
      </c>
      <c r="E70" s="137" t="n">
        <f aca="false">E69*1000000000*E67*1000000000000</f>
        <v>1.41844440840192E+024</v>
      </c>
      <c r="F70" s="137" t="n">
        <f aca="false">F69*1000000000*F67*1000000000000</f>
        <v>2.077038526464E+025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1.41844440840192E+024</v>
      </c>
      <c r="J70" s="137" t="n">
        <f aca="false">J69*1000000000*J67*1000000000000</f>
        <v>2.077038526464E+025</v>
      </c>
      <c r="K70" s="137" t="n">
        <f aca="false">K69*1000000000*K67*1000000000000</f>
        <v>1.41844440840192E+024</v>
      </c>
      <c r="L70" s="137" t="n">
        <f aca="false">L69*1000000000*L67*1000000000000</f>
        <v>2.077038526464E+025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4.25533322520576E+023</v>
      </c>
      <c r="P70" s="137" t="n">
        <f aca="false">P69*1000000000*P67*1000000000000</f>
        <v>6.231115579392E+024</v>
      </c>
      <c r="Q70" s="137" t="n">
        <f aca="false">Q69*1000000000*Q67*1000000000000</f>
        <v>4.25533322520576E+024</v>
      </c>
      <c r="R70" s="137" t="n">
        <f aca="false">R69*1000000000*R67*1000000000000</f>
        <v>6.231115579392E+025</v>
      </c>
      <c r="S70" s="137" t="n">
        <f aca="false">S69*1000000000*S67*1000000000000</f>
        <v>1.41844440840192E+024</v>
      </c>
      <c r="T70" s="137" t="n">
        <f aca="false">T69*1000000000*T67*1000000000000</f>
        <v>2.077038526464E+025</v>
      </c>
      <c r="U70" s="137" t="n">
        <f aca="false">U69*1000000000*U67*1000000000000</f>
        <v>1.41844440840192E+024</v>
      </c>
      <c r="V70" s="137" t="n">
        <f aca="false">V69*1000000000*V67*1000000000000</f>
        <v>2.077038526464E+025</v>
      </c>
      <c r="W70" s="137" t="n">
        <f aca="false">W69*1000000000*W67*1000000000000</f>
        <v>1.41844440840192E+024</v>
      </c>
      <c r="X70" s="137" t="n">
        <f aca="false">X69*1000000000*X67*1000000000000</f>
        <v>2.077038526464E+025</v>
      </c>
      <c r="Y70" s="137" t="n">
        <f aca="false">Y69*1000000000*Y67*1000000000000</f>
        <v>1.41844440840192E+024</v>
      </c>
      <c r="Z70" s="137" t="n">
        <f aca="false">Z69*1000000000*Z67*1000000000000</f>
        <v>2.077038526464E+025</v>
      </c>
      <c r="AA70" s="137" t="n">
        <f aca="false">AA69*1000000000*AA67*1000000000000</f>
        <v>1.41844440840192E+024</v>
      </c>
      <c r="AB70" s="137" t="n">
        <f aca="false">AB69*1000000000*AB67*1000000000000</f>
        <v>2.077038526464E+025</v>
      </c>
      <c r="AC70" s="137" t="n">
        <f aca="false">AC69*1000000000*AC67*1000000000000</f>
        <v>1.41844440840192E+024</v>
      </c>
      <c r="AD70" s="137" t="n">
        <f aca="false">AD69*1000000000*AD67*1000000000000</f>
        <v>2.077038526464E+025</v>
      </c>
      <c r="AE70" s="137" t="n">
        <f aca="false">AE69*1000000000*AE67*1000000000000</f>
        <v>1.41844440840192E+024</v>
      </c>
      <c r="AF70" s="137" t="n">
        <f aca="false">AF69*1000000000*AF67*1000000000000</f>
        <v>2.077038526464E+025</v>
      </c>
      <c r="AG70" s="137" t="n">
        <f aca="false">AG69*1000000000*AG67*1000000000000</f>
        <v>1.41844440840192E+024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981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982</v>
      </c>
      <c r="B72" s="53" t="s">
        <v>952</v>
      </c>
      <c r="C72" s="66" t="n">
        <f aca="false">C70/(C12*1000000000000000*C16*C71*C17)/3600</f>
        <v>185308.56468769</v>
      </c>
      <c r="D72" s="66" t="n">
        <f aca="false">D70/(D12*1000000000000000*D16*D71*D17)/3600</f>
        <v>2713486.87238095</v>
      </c>
      <c r="E72" s="66" t="n">
        <f aca="false">E70/(E12*1000000000000000*E16*E71*E17)/3600</f>
        <v>308847.607812816</v>
      </c>
      <c r="F72" s="66" t="n">
        <f aca="false">F70/(F12*1000000000000000*F16*F71*F17)/3600</f>
        <v>4522478.12063492</v>
      </c>
      <c r="G72" s="66" t="n">
        <f aca="false">G70/(G12*1000000000000000*G16*G71*G17)/3600</f>
        <v>115817.852929806</v>
      </c>
      <c r="H72" s="66" t="n">
        <f aca="false">H70/(H12*1000000000000000*H16*H71*H17)/3600</f>
        <v>1695929.29523809</v>
      </c>
      <c r="I72" s="66" t="n">
        <f aca="false">I70/(I12*1000000000000000*I16*I71*I17)/3600</f>
        <v>92654.2823438448</v>
      </c>
      <c r="J72" s="66" t="n">
        <f aca="false">J70/(J12*1000000000000000*J16*J71*J17)/3600</f>
        <v>1356743.43619048</v>
      </c>
      <c r="K72" s="66" t="n">
        <f aca="false">K70/(K12*1000000000000000*K16*K71*K17)/3600</f>
        <v>185308.56468769</v>
      </c>
      <c r="L72" s="66" t="n">
        <f aca="false">L70/(L12*1000000000000000*L16*L71*L17)/3600</f>
        <v>2713486.87238095</v>
      </c>
      <c r="M72" s="66" t="n">
        <f aca="false">M70/(M12*1000000000000000*M16*M71*M17)/3600</f>
        <v>185308.56468769</v>
      </c>
      <c r="N72" s="66" t="n">
        <f aca="false">N70/(N12*1000000000000000*N16*N71*N17)/3600</f>
        <v>2713486.87238095</v>
      </c>
      <c r="O72" s="66" t="n">
        <f aca="false">O70/(O12*1000000000000000*O16*O71*O17)/3600</f>
        <v>55592.5694063069</v>
      </c>
      <c r="P72" s="66" t="n">
        <f aca="false">P70/(P12*1000000000000000*P16*P71*P17)/3600</f>
        <v>814046.061714286</v>
      </c>
      <c r="Q72" s="66" t="n">
        <f aca="false">Q70/(Q12*1000000000000000*Q16*Q71*Q17)/3600</f>
        <v>555925.694063069</v>
      </c>
      <c r="R72" s="66" t="n">
        <f aca="false">R70/(R12*1000000000000000*R16*R71*R17)/3600</f>
        <v>8140460.61714286</v>
      </c>
      <c r="S72" s="66" t="n">
        <f aca="false">S70/(S12*1000000000000000*S16*S71*S17)/3600</f>
        <v>185308.56468769</v>
      </c>
      <c r="T72" s="66" t="n">
        <f aca="false">T70/(T12*1000000000000000*T16*T71*T17)/3600</f>
        <v>2713486.87238095</v>
      </c>
      <c r="U72" s="66" t="n">
        <f aca="false">U70/(U12*1000000000000000*U16*U71*U17)/3600</f>
        <v>185308.56468769</v>
      </c>
      <c r="V72" s="66" t="n">
        <f aca="false">V70/(V12*1000000000000000*V16*V71*V17)/3600</f>
        <v>2713486.87238095</v>
      </c>
      <c r="W72" s="66" t="n">
        <f aca="false">W70/(W12*1000000000000000*W16*W71*W17)/3600</f>
        <v>185308.56468769</v>
      </c>
      <c r="X72" s="66" t="n">
        <f aca="false">X70/(X12*1000000000000000*X16*X71*X17)/3600</f>
        <v>2713486.87238095</v>
      </c>
      <c r="Y72" s="66" t="n">
        <f aca="false">Y70/(Y12*1000000000000000*Y16*Y71*Y17)/3600</f>
        <v>185308.56468769</v>
      </c>
      <c r="Z72" s="66" t="n">
        <f aca="false">Z70/(Z12*1000000000000000*Z16*Z71*Z17)/3600</f>
        <v>2713486.87238095</v>
      </c>
      <c r="AA72" s="66" t="n">
        <f aca="false">AA70/(AA12*1000000000000000*AA16*AA71*AA17)/3600</f>
        <v>185308.56468769</v>
      </c>
      <c r="AB72" s="66" t="n">
        <f aca="false">AB70/(AB12*1000000000000000*AB16*AB71*AB17)/3600</f>
        <v>2713486.87238095</v>
      </c>
      <c r="AC72" s="66" t="n">
        <f aca="false">AC70/(AC12*1000000000000000*AC16*AC71*AC17)/3600</f>
        <v>185308.56468769</v>
      </c>
      <c r="AD72" s="66" t="n">
        <f aca="false">AD70/(AD12*1000000000000000*AD16*AD71*AD17)/3600</f>
        <v>2713486.87238095</v>
      </c>
      <c r="AE72" s="66" t="n">
        <f aca="false">AE70/(AE12*1000000000000000*AE16*AE71*AE17)/3600</f>
        <v>185308.56468769</v>
      </c>
      <c r="AF72" s="66" t="n">
        <f aca="false">AF70/(AF12*1000000000000000*AF16*AF71*AF17)/3600</f>
        <v>2713486.87238095</v>
      </c>
      <c r="AG72" s="66" t="n">
        <f aca="false">AG70/(AG12*1000000000000000*AG16*AG71*AG17)/3600</f>
        <v>208472.135273651</v>
      </c>
      <c r="AH72" s="66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983</v>
      </c>
      <c r="B73" s="52"/>
      <c r="C73" s="84" t="n">
        <f aca="false">Train_In!$C$10</f>
        <v>0</v>
      </c>
      <c r="D73" s="84" t="n">
        <f aca="false">Train_In!$C$10</f>
        <v>0</v>
      </c>
      <c r="E73" s="84" t="n">
        <f aca="false">Train_In!$C$10</f>
        <v>0</v>
      </c>
      <c r="F73" s="84" t="n">
        <f aca="false">Train_In!$C$10</f>
        <v>0</v>
      </c>
      <c r="G73" s="84" t="n">
        <f aca="false">Train_In!$C$10</f>
        <v>0</v>
      </c>
      <c r="H73" s="84" t="n">
        <f aca="false">Train_In!$C$10</f>
        <v>0</v>
      </c>
      <c r="I73" s="84" t="n">
        <f aca="false">Train_In!$C$10</f>
        <v>0</v>
      </c>
      <c r="J73" s="84" t="n">
        <f aca="false">Train_In!$C$10</f>
        <v>0</v>
      </c>
      <c r="K73" s="84" t="n">
        <f aca="false">Train_In!$C$10</f>
        <v>0</v>
      </c>
      <c r="L73" s="84" t="n">
        <f aca="false">Train_In!$C$10</f>
        <v>0</v>
      </c>
      <c r="M73" s="84" t="n">
        <f aca="false">Train_In!$C$10</f>
        <v>0</v>
      </c>
      <c r="N73" s="84" t="n">
        <f aca="false">Train_In!$C$10</f>
        <v>0</v>
      </c>
      <c r="O73" s="84" t="n">
        <f aca="false">Train_In!$C$10</f>
        <v>0</v>
      </c>
      <c r="P73" s="84" t="n">
        <f aca="false">Train_In!$C$10</f>
        <v>0</v>
      </c>
      <c r="Q73" s="84" t="n">
        <f aca="false">Train_In!$C$10</f>
        <v>0</v>
      </c>
      <c r="R73" s="84" t="n">
        <f aca="false">Train_In!$C$10</f>
        <v>0</v>
      </c>
      <c r="S73" s="84" t="n">
        <f aca="false">Train_In!$C$10</f>
        <v>0</v>
      </c>
      <c r="T73" s="84" t="n">
        <f aca="false">Train_In!$C$10</f>
        <v>0</v>
      </c>
      <c r="U73" s="84" t="n">
        <f aca="false">Train_In!$C$10</f>
        <v>0</v>
      </c>
      <c r="V73" s="84" t="n">
        <f aca="false">Train_In!$C$10</f>
        <v>0</v>
      </c>
      <c r="W73" s="84" t="n">
        <f aca="false">Train_In!$C$10</f>
        <v>0</v>
      </c>
      <c r="X73" s="84" t="n">
        <f aca="false">Train_In!$C$10</f>
        <v>0</v>
      </c>
      <c r="Y73" s="84" t="n">
        <f aca="false">Train_In!$C$10</f>
        <v>0</v>
      </c>
      <c r="Z73" s="84" t="n">
        <f aca="false">Train_In!$C$10</f>
        <v>0</v>
      </c>
      <c r="AA73" s="84" t="n">
        <f aca="false">Train_In!$C$10</f>
        <v>0</v>
      </c>
      <c r="AB73" s="84" t="n">
        <f aca="false">Train_In!$C$10</f>
        <v>0</v>
      </c>
      <c r="AC73" s="84" t="n">
        <f aca="false">Train_In!$C$10</f>
        <v>0</v>
      </c>
      <c r="AD73" s="84" t="n">
        <f aca="false">Train_In!$C$10</f>
        <v>0</v>
      </c>
      <c r="AE73" s="84" t="n">
        <f aca="false">Train_In!$C$10</f>
        <v>0</v>
      </c>
      <c r="AF73" s="84" t="n">
        <f aca="false">Train_In!$C$10</f>
        <v>0</v>
      </c>
      <c r="AG73" s="84" t="n">
        <f aca="false">Train_In!$C$10</f>
        <v>0</v>
      </c>
      <c r="AH73" s="84" t="n">
        <f aca="false">Train_In!$C$10</f>
        <v>0</v>
      </c>
    </row>
    <row r="74" customFormat="false" ht="15" hidden="false" customHeight="false" outlineLevel="0" collapsed="false">
      <c r="A74" s="52" t="s">
        <v>984</v>
      </c>
      <c r="B74" s="53" t="s">
        <v>952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  <c r="R74" s="66" t="n">
        <f aca="false">R73*R72/3</f>
        <v>0</v>
      </c>
      <c r="S74" s="66" t="n">
        <f aca="false">S73*S72/3</f>
        <v>0</v>
      </c>
      <c r="T74" s="66" t="n">
        <f aca="false">T73*T72/3</f>
        <v>0</v>
      </c>
      <c r="U74" s="66" t="n">
        <f aca="false">U73*U72/3</f>
        <v>0</v>
      </c>
      <c r="V74" s="66" t="n">
        <f aca="false">V73*V72/3</f>
        <v>0</v>
      </c>
      <c r="W74" s="66" t="n">
        <f aca="false">W73*W72/3</f>
        <v>0</v>
      </c>
      <c r="X74" s="66" t="n">
        <f aca="false">X73*X72/3</f>
        <v>0</v>
      </c>
      <c r="Y74" s="66" t="n">
        <f aca="false">Y73*Y72/3</f>
        <v>0</v>
      </c>
      <c r="Z74" s="66" t="n">
        <f aca="false">Z73*Z72/3</f>
        <v>0</v>
      </c>
      <c r="AA74" s="66" t="n">
        <f aca="false">AA73*AA72/3</f>
        <v>0</v>
      </c>
      <c r="AB74" s="66" t="n">
        <f aca="false">AB73*AB72/3</f>
        <v>0</v>
      </c>
      <c r="AC74" s="66" t="n">
        <f aca="false">AC73*AC72/3</f>
        <v>0</v>
      </c>
      <c r="AD74" s="66" t="n">
        <f aca="false">AD73*AD72/3</f>
        <v>0</v>
      </c>
      <c r="AE74" s="66" t="n">
        <f aca="false">AE73*AE72/3</f>
        <v>0</v>
      </c>
      <c r="AF74" s="66" t="n">
        <f aca="false">AF73*AF72/3</f>
        <v>0</v>
      </c>
      <c r="AG74" s="66" t="n">
        <f aca="false">AG73*AG72/3</f>
        <v>0</v>
      </c>
      <c r="AH74" s="66" t="n">
        <f aca="false">AH73*AH72/3</f>
        <v>0</v>
      </c>
    </row>
    <row r="75" customFormat="false" ht="15" hidden="false" customHeight="false" outlineLevel="0" collapsed="false">
      <c r="A75" s="53" t="s">
        <v>985</v>
      </c>
      <c r="B75" s="53" t="s">
        <v>952</v>
      </c>
      <c r="C75" s="61" t="n">
        <f aca="false">C65+C72+C74</f>
        <v>328883.359189035</v>
      </c>
      <c r="D75" s="61" t="n">
        <f aca="false">D65+D72+D74</f>
        <v>5191321.6381531</v>
      </c>
      <c r="E75" s="61" t="n">
        <f aca="false">E65+E72+E74</f>
        <v>452422.402314161</v>
      </c>
      <c r="F75" s="61" t="n">
        <f aca="false">F65+F72+F74</f>
        <v>7000312.88640707</v>
      </c>
      <c r="G75" s="61" t="n">
        <f aca="false">G65+G72+G74</f>
        <v>259392.647431151</v>
      </c>
      <c r="H75" s="61" t="n">
        <f aca="false">H65+H72+H74</f>
        <v>4173764.06101024</v>
      </c>
      <c r="I75" s="61" t="n">
        <f aca="false">I65+I72+I74</f>
        <v>236229.07684519</v>
      </c>
      <c r="J75" s="61" t="n">
        <f aca="false">J65+J72+J74</f>
        <v>3834578.20196263</v>
      </c>
      <c r="K75" s="61" t="n">
        <f aca="false">K65+K72+K74</f>
        <v>328883.359189035</v>
      </c>
      <c r="L75" s="61" t="n">
        <f aca="false">L65+L72+L74</f>
        <v>5191321.6381531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98665.0077567104</v>
      </c>
      <c r="P75" s="61" t="n">
        <f aca="false">P65+P72+P74</f>
        <v>1557396.49144593</v>
      </c>
      <c r="Q75" s="61" t="n">
        <f aca="false">Q65+Q72+Q74</f>
        <v>986650.077567104</v>
      </c>
      <c r="R75" s="61" t="n">
        <f aca="false">R65+R72+R74</f>
        <v>15573964.9144593</v>
      </c>
      <c r="S75" s="61" t="n">
        <f aca="false">S65+S72+S74</f>
        <v>388706.190231262</v>
      </c>
      <c r="T75" s="61" t="n">
        <f aca="false">T65+T72+T74</f>
        <v>6223752.79055816</v>
      </c>
      <c r="U75" s="61" t="n">
        <f aca="false">U65+U72+U74</f>
        <v>313770.222925735</v>
      </c>
      <c r="V75" s="61" t="n">
        <f aca="false">V65+V72+V74</f>
        <v>4930496.92596656</v>
      </c>
      <c r="W75" s="61" t="n">
        <f aca="false">W65+W72+W74</f>
        <v>474942.593377727</v>
      </c>
      <c r="X75" s="61" t="n">
        <f aca="false">X65+X72+X74</f>
        <v>7738513.23527718</v>
      </c>
      <c r="Y75" s="61" t="n">
        <f aca="false">Y65+Y72+Y74</f>
        <v>328883.359189035</v>
      </c>
      <c r="Z75" s="61" t="n">
        <f aca="false">Z65+Z72+Z74</f>
        <v>5191321.6381531</v>
      </c>
      <c r="AA75" s="61" t="n">
        <f aca="false">AA65+AA72+AA74</f>
        <v>328883.359189035</v>
      </c>
      <c r="AB75" s="61" t="n">
        <f aca="false">AB65+AB72+AB74</f>
        <v>5191321.6381531</v>
      </c>
      <c r="AC75" s="61" t="n">
        <f aca="false">AC65+AC72+AC74</f>
        <v>328883.359189035</v>
      </c>
      <c r="AD75" s="61" t="n">
        <f aca="false">AD65+AD72+AD74</f>
        <v>5191321.6381531</v>
      </c>
      <c r="AE75" s="61" t="n">
        <f aca="false">AE65+AE72+AE74</f>
        <v>328883.359189035</v>
      </c>
      <c r="AF75" s="61" t="n">
        <f aca="false">AF65+AF72+AF74</f>
        <v>5191321.6381531</v>
      </c>
      <c r="AG75" s="61" t="n">
        <f aca="false">AG65+AG72+AG74</f>
        <v>352046.929774996</v>
      </c>
      <c r="AH75" s="61" t="n">
        <f aca="false">AH65+AH72+AH74</f>
        <v>5530507.49720072</v>
      </c>
    </row>
    <row r="76" customFormat="false" ht="15" hidden="false" customHeight="false" outlineLevel="0" collapsed="false">
      <c r="A76" s="53" t="s">
        <v>986</v>
      </c>
      <c r="B76" s="53" t="s">
        <v>271</v>
      </c>
      <c r="C76" s="137" t="n">
        <f aca="false">C66+C70*(1+C73/3)</f>
        <v>1.74399518258048E+024</v>
      </c>
      <c r="D76" s="137" t="n">
        <f aca="false">D66+D70*(1+D73/3)</f>
        <v>2.589265308672E+025</v>
      </c>
      <c r="E76" s="137" t="n">
        <f aca="false">E66+E70*(1+E73/3)</f>
        <v>1.74399518258048E+024</v>
      </c>
      <c r="F76" s="137" t="n">
        <f aca="false">F66+F70*(1+F73/3)</f>
        <v>2.589265308672E+025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1.74399518258048E+024</v>
      </c>
      <c r="J76" s="137" t="n">
        <f aca="false">J66+J70*(1+J73/3)</f>
        <v>2.589265308672E+025</v>
      </c>
      <c r="K76" s="137" t="n">
        <f aca="false">K66+K70*(1+K73/3)</f>
        <v>1.74399518258048E+024</v>
      </c>
      <c r="L76" s="137" t="n">
        <f aca="false">L66+L70*(1+L73/3)</f>
        <v>2.589265308672E+025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5.23198554774144E+023</v>
      </c>
      <c r="P76" s="137" t="n">
        <f aca="false">P66+P70*(1+P73/3)</f>
        <v>7.767795926016E+024</v>
      </c>
      <c r="Q76" s="137" t="n">
        <f aca="false">Q66+Q70*(1+Q73/3)</f>
        <v>5.23198554774144E+024</v>
      </c>
      <c r="R76" s="137" t="n">
        <f aca="false">R66+R70*(1+R73/3)</f>
        <v>7.767795926016E+025</v>
      </c>
      <c r="S76" s="137" t="n">
        <f aca="false">S66+S70*(1+S73/3)</f>
        <v>1.74399518258048E+024</v>
      </c>
      <c r="T76" s="137" t="n">
        <f aca="false">T66+T70*(1+T73/3)</f>
        <v>2.589265308672E+025</v>
      </c>
      <c r="U76" s="137" t="n">
        <f aca="false">U66+U70*(1+U73/3)</f>
        <v>1.74399518258048E+024</v>
      </c>
      <c r="V76" s="137" t="n">
        <f aca="false">V66+V70*(1+V73/3)</f>
        <v>2.589265308672E+025</v>
      </c>
      <c r="W76" s="137" t="n">
        <f aca="false">W66+W70*(1+W73/3)</f>
        <v>1.74399518258048E+024</v>
      </c>
      <c r="X76" s="137" t="n">
        <f aca="false">X66+X70*(1+X73/3)</f>
        <v>2.589265308672E+025</v>
      </c>
      <c r="Y76" s="137" t="n">
        <f aca="false">Y66+Y70*(1+Y73/3)</f>
        <v>1.74399518258048E+024</v>
      </c>
      <c r="Z76" s="137" t="n">
        <f aca="false">Z66+Z70*(1+Z73/3)</f>
        <v>2.589265308672E+025</v>
      </c>
      <c r="AA76" s="137" t="n">
        <f aca="false">AA66+AA70*(1+AA73/3)</f>
        <v>1.74399518258048E+024</v>
      </c>
      <c r="AB76" s="137" t="n">
        <f aca="false">AB66+AB70*(1+AB73/3)</f>
        <v>2.589265308672E+025</v>
      </c>
      <c r="AC76" s="137" t="n">
        <f aca="false">AC66+AC70*(1+AC73/3)</f>
        <v>1.74399518258048E+024</v>
      </c>
      <c r="AD76" s="137" t="n">
        <f aca="false">AD66+AD70*(1+AD73/3)</f>
        <v>2.589265308672E+025</v>
      </c>
      <c r="AE76" s="137" t="n">
        <f aca="false">AE66+AE70*(1+AE73/3)</f>
        <v>1.74399518258048E+024</v>
      </c>
      <c r="AF76" s="137" t="n">
        <f aca="false">AF66+AF70*(1+AF73/3)</f>
        <v>2.589265308672E+025</v>
      </c>
      <c r="AG76" s="137" t="n">
        <f aca="false">AG66+AG70*(1+AG73/3)</f>
        <v>1.74399518258048E+024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3" t="s">
        <v>987</v>
      </c>
      <c r="B77" s="53" t="s">
        <v>69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988</v>
      </c>
      <c r="B78" s="53" t="s">
        <v>73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989</v>
      </c>
      <c r="B79" s="53" t="s">
        <v>73</v>
      </c>
      <c r="C79" s="67" t="n">
        <f aca="false">C76/C35</f>
        <v>0.134732166431</v>
      </c>
      <c r="D79" s="67" t="n">
        <f aca="false">D76/D35</f>
        <v>0.37841545371748</v>
      </c>
      <c r="E79" s="67" t="n">
        <f aca="false">E76/E35</f>
        <v>0.134732166431</v>
      </c>
      <c r="F79" s="67" t="n">
        <f aca="false">F76/F35</f>
        <v>0.37841545371748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0.134732166431</v>
      </c>
      <c r="J79" s="67" t="n">
        <f aca="false">J76/J35</f>
        <v>0.37841545371748</v>
      </c>
      <c r="K79" s="67" t="n">
        <f aca="false">K76/K35</f>
        <v>0.269464332862</v>
      </c>
      <c r="L79" s="67" t="n">
        <f aca="false">L76/L35</f>
        <v>0.756830907434959</v>
      </c>
      <c r="M79" s="67" t="n">
        <f aca="false">M76/M35</f>
        <v>0.0806779439706588</v>
      </c>
      <c r="N79" s="67" t="n">
        <f aca="false">N76/N35</f>
        <v>0.226596080070347</v>
      </c>
      <c r="O79" s="67" t="n">
        <f aca="false">O76/O35</f>
        <v>0.0404196499293001</v>
      </c>
      <c r="P79" s="67" t="n">
        <f aca="false">P76/P35</f>
        <v>0.113524636115244</v>
      </c>
      <c r="Q79" s="67" t="n">
        <f aca="false">Q76/Q35</f>
        <v>0.404196499293001</v>
      </c>
      <c r="R79" s="67" t="n">
        <f aca="false">R76/R35</f>
        <v>1.13524636115244</v>
      </c>
      <c r="S79" s="67" t="n">
        <f aca="false">S76/S35</f>
        <v>0.134732166431</v>
      </c>
      <c r="T79" s="67" t="n">
        <f aca="false">T76/T35</f>
        <v>0.37841545371748</v>
      </c>
      <c r="U79" s="67" t="n">
        <f aca="false">U76/U35</f>
        <v>0.134732166431</v>
      </c>
      <c r="V79" s="67" t="n">
        <f aca="false">V76/V35</f>
        <v>0.37841545371748</v>
      </c>
      <c r="W79" s="67" t="n">
        <f aca="false">W76/W35</f>
        <v>0.134732166431</v>
      </c>
      <c r="X79" s="67" t="n">
        <f aca="false">X76/X35</f>
        <v>0.37841545371748</v>
      </c>
      <c r="Y79" s="67" t="n">
        <f aca="false">Y76/Y35</f>
        <v>0.134732166431</v>
      </c>
      <c r="Z79" s="67" t="n">
        <f aca="false">Z76/Z35</f>
        <v>0.37841545371748</v>
      </c>
      <c r="AA79" s="67" t="n">
        <f aca="false">AA76/AA35</f>
        <v>0.134732166431</v>
      </c>
      <c r="AB79" s="67" t="n">
        <f aca="false">AB76/AB35</f>
        <v>0.37841545371748</v>
      </c>
      <c r="AC79" s="67" t="n">
        <f aca="false">AC76/AC35</f>
        <v>0.134732166431</v>
      </c>
      <c r="AD79" s="67" t="n">
        <f aca="false">AD76/AD35</f>
        <v>0.37841545371748</v>
      </c>
      <c r="AE79" s="67" t="n">
        <f aca="false">AE76/AE35</f>
        <v>0.134732166431</v>
      </c>
      <c r="AF79" s="67" t="n">
        <f aca="false">AF76/AF35</f>
        <v>0.37841545371748</v>
      </c>
      <c r="AG79" s="67" t="n">
        <f aca="false">AG76/AG35</f>
        <v>0.134732166431</v>
      </c>
      <c r="AH79" s="67" t="n">
        <f aca="false">AH76/AH35</f>
        <v>0.37841545371748</v>
      </c>
    </row>
    <row r="80" customFormat="false" ht="15" hidden="false" customHeight="false" outlineLevel="0" collapsed="false">
      <c r="A80" s="82" t="s">
        <v>990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Format="false" ht="15" hidden="false" customHeight="false" outlineLevel="0" collapsed="false">
      <c r="A81" s="52" t="s">
        <v>991</v>
      </c>
      <c r="B81" s="53" t="s">
        <v>884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992</v>
      </c>
      <c r="B82" s="52"/>
      <c r="C82" s="84" t="n">
        <f aca="false">INDEX(Train_In!$C$36:$E$36,C$7)</f>
        <v>2</v>
      </c>
      <c r="D82" s="84" t="n">
        <f aca="false">INDEX(Train_In!$C$36:$E$36,D$7)</f>
        <v>3</v>
      </c>
      <c r="E82" s="84" t="n">
        <f aca="false">INDEX(Train_In!$C$36:$E$36,E$7)</f>
        <v>2</v>
      </c>
      <c r="F82" s="84" t="n">
        <f aca="false">INDEX(Train_In!$C$36:$E$36,F$7)</f>
        <v>3</v>
      </c>
      <c r="G82" s="84" t="n">
        <f aca="false">INDEX(Train_In!$C$36:$E$36,G$7)</f>
        <v>2</v>
      </c>
      <c r="H82" s="84" t="n">
        <f aca="false">INDEX(Train_In!$C$36:$E$36,H$7)</f>
        <v>3</v>
      </c>
      <c r="I82" s="84" t="n">
        <f aca="false">INDEX(Train_In!$C$36:$E$36,I$7)</f>
        <v>2</v>
      </c>
      <c r="J82" s="84" t="n">
        <f aca="false">INDEX(Train_In!$C$36:$E$36,J$7)</f>
        <v>3</v>
      </c>
      <c r="K82" s="84" t="n">
        <f aca="false">INDEX(Train_In!$C$36:$E$36,K$7)</f>
        <v>2</v>
      </c>
      <c r="L82" s="84" t="n">
        <f aca="false">INDEX(Train_In!$C$36:$E$36,L$7)</f>
        <v>3</v>
      </c>
      <c r="M82" s="84" t="n">
        <f aca="false">INDEX(Train_In!$C$36:$E$36,M$7)</f>
        <v>2</v>
      </c>
      <c r="N82" s="84" t="n">
        <f aca="false">INDEX(Train_In!$C$36:$E$36,N$7)</f>
        <v>3</v>
      </c>
      <c r="O82" s="84" t="n">
        <f aca="false">INDEX(Train_In!$C$36:$E$36,O$7)</f>
        <v>2</v>
      </c>
      <c r="P82" s="84" t="n">
        <f aca="false">INDEX(Train_In!$C$36:$E$36,P$7)</f>
        <v>3</v>
      </c>
      <c r="Q82" s="84" t="n">
        <f aca="false">INDEX(Train_In!$C$36:$E$36,Q$7)</f>
        <v>2</v>
      </c>
      <c r="R82" s="84" t="n">
        <f aca="false">INDEX(Train_In!$C$36:$E$36,R$7)</f>
        <v>3</v>
      </c>
      <c r="S82" s="84" t="n">
        <f aca="false">INDEX(Train_In!$C$36:$E$36,S$7)</f>
        <v>2</v>
      </c>
      <c r="T82" s="84" t="n">
        <f aca="false">INDEX(Train_In!$C$36:$E$36,T$7)</f>
        <v>3</v>
      </c>
      <c r="U82" s="84" t="n">
        <f aca="false">INDEX(Train_In!$C$36:$E$36,U$7)</f>
        <v>2</v>
      </c>
      <c r="V82" s="84" t="n">
        <f aca="false">INDEX(Train_In!$C$36:$E$36,V$7)</f>
        <v>3</v>
      </c>
      <c r="W82" s="84" t="n">
        <f aca="false">INDEX(Train_In!$C$36:$E$36,W$7)</f>
        <v>2</v>
      </c>
      <c r="X82" s="84" t="n">
        <f aca="false">INDEX(Train_In!$C$36:$E$36,X$7)</f>
        <v>3</v>
      </c>
      <c r="Y82" s="84" t="n">
        <f aca="false">INDEX(Train_In!$C$36:$E$36,Y$7)</f>
        <v>2</v>
      </c>
      <c r="Z82" s="84" t="n">
        <f aca="false">INDEX(Train_In!$C$36:$E$36,Z$7)</f>
        <v>3</v>
      </c>
      <c r="AA82" s="84" t="n">
        <f aca="false">INDEX(Train_In!$C$36:$E$36,AA$7)</f>
        <v>2</v>
      </c>
      <c r="AB82" s="84" t="n">
        <f aca="false">INDEX(Train_In!$C$36:$E$36,AB$7)</f>
        <v>3</v>
      </c>
      <c r="AC82" s="84" t="n">
        <f aca="false">INDEX(Train_In!$C$36:$E$36,AC$7)</f>
        <v>2</v>
      </c>
      <c r="AD82" s="84" t="n">
        <f aca="false">INDEX(Train_In!$C$36:$E$36,AD$7)</f>
        <v>3</v>
      </c>
      <c r="AE82" s="84" t="n">
        <f aca="false">INDEX(Train_In!$C$36:$E$36,AE$7)</f>
        <v>2</v>
      </c>
      <c r="AF82" s="84" t="n">
        <f aca="false">INDEX(Train_In!$C$36:$E$36,AF$7)</f>
        <v>3</v>
      </c>
      <c r="AG82" s="84" t="n">
        <f aca="false">INDEX(Train_In!$C$36:$E$36,AG$7)</f>
        <v>2</v>
      </c>
      <c r="AH82" s="84" t="n">
        <f aca="false">INDEX(Train_In!$C$36:$E$36,AH$7)</f>
        <v>3</v>
      </c>
    </row>
    <row r="83" customFormat="false" ht="15" hidden="false" customHeight="false" outlineLevel="0" collapsed="false">
      <c r="A83" s="52" t="s">
        <v>993</v>
      </c>
      <c r="B83" s="53" t="s">
        <v>884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  <c r="R83" s="62" t="n">
        <f aca="false">R81*1000000000000/R55*(R54+R55)/1000000000000</f>
        <v>0.3</v>
      </c>
      <c r="S83" s="62" t="n">
        <f aca="false">S81*1000000000000/S55*(S54+S55)/1000000000000</f>
        <v>0.3</v>
      </c>
      <c r="T83" s="62" t="n">
        <f aca="false">T81*1000000000000/T55*(T54+T55)/1000000000000</f>
        <v>0.3</v>
      </c>
      <c r="U83" s="62" t="n">
        <f aca="false">U81*1000000000000/U55*(U54+U55)/1000000000000</f>
        <v>0.3</v>
      </c>
      <c r="V83" s="62" t="n">
        <f aca="false">V81*1000000000000/V55*(V54+V55)/1000000000000</f>
        <v>0.3</v>
      </c>
      <c r="W83" s="62" t="n">
        <f aca="false">W81*1000000000000/W55*(W54+W55)/1000000000000</f>
        <v>0.3</v>
      </c>
      <c r="X83" s="62" t="n">
        <f aca="false">X81*1000000000000/X55*(X54+X55)/1000000000000</f>
        <v>0.3</v>
      </c>
      <c r="Y83" s="62" t="n">
        <f aca="false">Y81*1000000000000/Y55*(Y54+Y55)/1000000000000</f>
        <v>0.3</v>
      </c>
      <c r="Z83" s="62" t="n">
        <f aca="false">Z81*1000000000000/Z55*(Z54+Z55)/1000000000000</f>
        <v>0.3</v>
      </c>
      <c r="AA83" s="62" t="n">
        <f aca="false">AA81*1000000000000/AA55*(AA54+AA55)/1000000000000</f>
        <v>0.3</v>
      </c>
      <c r="AB83" s="62" t="n">
        <f aca="false">AB81*1000000000000/AB55*(AB54+AB55)/1000000000000</f>
        <v>0.3</v>
      </c>
      <c r="AC83" s="62" t="n">
        <f aca="false">AC81*1000000000000/AC55*(AC54+AC55)/1000000000000</f>
        <v>0.3</v>
      </c>
      <c r="AD83" s="62" t="n">
        <f aca="false">AD81*1000000000000/AD55*(AD54+AD55)/1000000000000</f>
        <v>0.3</v>
      </c>
      <c r="AE83" s="62" t="n">
        <f aca="false">AE81*1000000000000/AE55*(AE54+AE55)/1000000000000</f>
        <v>0.3</v>
      </c>
      <c r="AF83" s="62" t="n">
        <f aca="false">AF81*1000000000000/AF55*(AF54+AF55)/1000000000000</f>
        <v>0.3</v>
      </c>
      <c r="AG83" s="62" t="n">
        <f aca="false">AG81*1000000000000/AG55*(AG54+AG55)/1000000000000</f>
        <v>0.3</v>
      </c>
      <c r="AH83" s="62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994</v>
      </c>
      <c r="B84" s="53" t="s">
        <v>734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995</v>
      </c>
      <c r="B85" s="53" t="s">
        <v>431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996</v>
      </c>
      <c r="B86" s="53" t="s">
        <v>952</v>
      </c>
      <c r="C86" s="66" t="n">
        <f aca="false">C81*1000000*C59/3600/C64</f>
        <v>12141.6730066078</v>
      </c>
      <c r="D86" s="66" t="n">
        <f aca="false">D81*1000000*D59/3600/D64</f>
        <v>51543.6971085818</v>
      </c>
      <c r="E86" s="66" t="n">
        <f aca="false">E81*1000000*E59/3600/E64</f>
        <v>12141.6730066078</v>
      </c>
      <c r="F86" s="66" t="n">
        <f aca="false">F81*1000000*F59/3600/F64</f>
        <v>51543.6971085818</v>
      </c>
      <c r="G86" s="66" t="n">
        <f aca="false">G81*1000000*G59/3600/G64</f>
        <v>12141.6730066078</v>
      </c>
      <c r="H86" s="66" t="n">
        <f aca="false">H81*1000000*H59/3600/H64</f>
        <v>51543.6971085818</v>
      </c>
      <c r="I86" s="66" t="n">
        <f aca="false">I81*1000000*I59/3600/I64</f>
        <v>12141.6730066078</v>
      </c>
      <c r="J86" s="66" t="n">
        <f aca="false">J81*1000000*J59/3600/J64</f>
        <v>51543.6971085818</v>
      </c>
      <c r="K86" s="66" t="n">
        <f aca="false">K81*1000000*K59/3600/K64</f>
        <v>12141.6730066078</v>
      </c>
      <c r="L86" s="66" t="n">
        <f aca="false">L81*1000000*L59/3600/L64</f>
        <v>51543.6971085818</v>
      </c>
      <c r="M86" s="66" t="n">
        <f aca="false">M81*1000000*M59/3600/M64</f>
        <v>12141.6730066078</v>
      </c>
      <c r="N86" s="66" t="n">
        <f aca="false">N81*1000000*N59/3600/N64</f>
        <v>51543.6971085818</v>
      </c>
      <c r="O86" s="66" t="n">
        <f aca="false">O81*1000000*O59/3600/O64</f>
        <v>12141.6730066078</v>
      </c>
      <c r="P86" s="66" t="n">
        <f aca="false">P81*1000000*P59/3600/P64</f>
        <v>51543.6971085818</v>
      </c>
      <c r="Q86" s="66" t="n">
        <f aca="false">Q81*1000000*Q59/3600/Q64</f>
        <v>12141.6730066078</v>
      </c>
      <c r="R86" s="66" t="n">
        <f aca="false">R81*1000000*R59/3600/R64</f>
        <v>51543.6971085818</v>
      </c>
      <c r="S86" s="66" t="n">
        <f aca="false">S81*1000000*S59/3600/S64</f>
        <v>17200.7034260278</v>
      </c>
      <c r="T86" s="66" t="n">
        <f aca="false">T81*1000000*T59/3600/T64</f>
        <v>73020.2375704909</v>
      </c>
      <c r="U86" s="66" t="n">
        <f aca="false">U81*1000000*U59/3600/U64</f>
        <v>10863.602163807</v>
      </c>
      <c r="V86" s="66" t="n">
        <f aca="false">V81*1000000*V59/3600/V64</f>
        <v>46118.0447813626</v>
      </c>
      <c r="W86" s="66" t="n">
        <f aca="false">W81*1000000*W59/3600/W64</f>
        <v>24493.8917494316</v>
      </c>
      <c r="X86" s="66" t="n">
        <f aca="false">X81*1000000*X59/3600/X64</f>
        <v>104532.328203662</v>
      </c>
      <c r="Y86" s="66" t="n">
        <f aca="false">Y81*1000000*Y59/3600/Y64</f>
        <v>12141.6730066078</v>
      </c>
      <c r="Z86" s="66" t="n">
        <f aca="false">Z81*1000000*Z59/3600/Z64</f>
        <v>51543.6971085818</v>
      </c>
      <c r="AA86" s="66" t="n">
        <f aca="false">AA81*1000000*AA59/3600/AA64</f>
        <v>12141.6730066078</v>
      </c>
      <c r="AB86" s="66" t="n">
        <f aca="false">AB81*1000000*AB59/3600/AB64</f>
        <v>51543.6971085818</v>
      </c>
      <c r="AC86" s="66" t="n">
        <f aca="false">AC81*1000000*AC59/3600/AC64</f>
        <v>12141.6730066078</v>
      </c>
      <c r="AD86" s="66" t="n">
        <f aca="false">AD81*1000000*AD59/3600/AD64</f>
        <v>51543.6971085818</v>
      </c>
      <c r="AE86" s="66" t="n">
        <f aca="false">AE81*1000000*AE59/3600/AE64</f>
        <v>12141.6730066078</v>
      </c>
      <c r="AF86" s="66" t="n">
        <f aca="false">AF81*1000000*AF59/3600/AF64</f>
        <v>51543.6971085818</v>
      </c>
      <c r="AG86" s="66" t="n">
        <f aca="false">AG81*1000000*AG59/3600/AG64</f>
        <v>12141.6730066078</v>
      </c>
      <c r="AH86" s="66" t="n">
        <f aca="false">AH81*1000000*AH59/3600/AH64</f>
        <v>51543.6971085818</v>
      </c>
    </row>
    <row r="87" customFormat="false" ht="15" hidden="false" customHeight="false" outlineLevel="0" collapsed="false">
      <c r="A87" s="52" t="s">
        <v>997</v>
      </c>
      <c r="B87" s="53" t="s">
        <v>952</v>
      </c>
      <c r="C87" s="66" t="n">
        <f aca="false">C83*1000000*C84/3600</f>
        <v>1047.844352</v>
      </c>
      <c r="D87" s="66" t="n">
        <f aca="false">D83*1000000*D84/3600</f>
        <v>3176.70887619048</v>
      </c>
      <c r="E87" s="66" t="n">
        <f aca="false">E83*1000000*E84/3600</f>
        <v>1047.844352</v>
      </c>
      <c r="F87" s="66" t="n">
        <f aca="false">F83*1000000*F84/3600</f>
        <v>3176.70887619048</v>
      </c>
      <c r="G87" s="66" t="n">
        <f aca="false">G83*1000000*G84/3600</f>
        <v>1047.844352</v>
      </c>
      <c r="H87" s="66" t="n">
        <f aca="false">H83*1000000*H84/3600</f>
        <v>3176.70887619048</v>
      </c>
      <c r="I87" s="66" t="n">
        <f aca="false">I83*1000000*I84/3600</f>
        <v>1047.844352</v>
      </c>
      <c r="J87" s="66" t="n">
        <f aca="false">J83*1000000*J84/3600</f>
        <v>3176.70887619048</v>
      </c>
      <c r="K87" s="66" t="n">
        <f aca="false">K83*1000000*K84/3600</f>
        <v>1047.844352</v>
      </c>
      <c r="L87" s="66" t="n">
        <f aca="false">L83*1000000*L84/3600</f>
        <v>3176.70887619048</v>
      </c>
      <c r="M87" s="66" t="n">
        <f aca="false">M83*1000000*M84/3600</f>
        <v>1047.844352</v>
      </c>
      <c r="N87" s="66" t="n">
        <f aca="false">N83*1000000*N84/3600</f>
        <v>3176.70887619048</v>
      </c>
      <c r="O87" s="66" t="n">
        <f aca="false">O83*1000000*O84/3600</f>
        <v>1047.844352</v>
      </c>
      <c r="P87" s="66" t="n">
        <f aca="false">P83*1000000*P84/3600</f>
        <v>3176.70887619048</v>
      </c>
      <c r="Q87" s="66" t="n">
        <f aca="false">Q83*1000000*Q84/3600</f>
        <v>1047.844352</v>
      </c>
      <c r="R87" s="66" t="n">
        <f aca="false">R83*1000000*R84/3600</f>
        <v>3176.70887619048</v>
      </c>
      <c r="S87" s="66" t="n">
        <f aca="false">S83*1000000*S84/3600</f>
        <v>1047.844352</v>
      </c>
      <c r="T87" s="66" t="n">
        <f aca="false">T83*1000000*T84/3600</f>
        <v>3176.70887619048</v>
      </c>
      <c r="U87" s="66" t="n">
        <f aca="false">U83*1000000*U84/3600</f>
        <v>1047.844352</v>
      </c>
      <c r="V87" s="66" t="n">
        <f aca="false">V83*1000000*V84/3600</f>
        <v>3176.70887619048</v>
      </c>
      <c r="W87" s="66" t="n">
        <f aca="false">W83*1000000*W84/3600</f>
        <v>1047.844352</v>
      </c>
      <c r="X87" s="66" t="n">
        <f aca="false">X83*1000000*X84/3600</f>
        <v>3176.70887619048</v>
      </c>
      <c r="Y87" s="66" t="n">
        <f aca="false">Y83*1000000*Y84/3600</f>
        <v>1047.844352</v>
      </c>
      <c r="Z87" s="66" t="n">
        <f aca="false">Z83*1000000*Z84/3600</f>
        <v>3176.70887619048</v>
      </c>
      <c r="AA87" s="66" t="n">
        <f aca="false">AA83*1000000*AA84/3600</f>
        <v>1047.844352</v>
      </c>
      <c r="AB87" s="66" t="n">
        <f aca="false">AB83*1000000*AB84/3600</f>
        <v>3176.70887619048</v>
      </c>
      <c r="AC87" s="66" t="n">
        <f aca="false">AC83*1000000*AC84/3600</f>
        <v>1047.844352</v>
      </c>
      <c r="AD87" s="66" t="n">
        <f aca="false">AD83*1000000*AD84/3600</f>
        <v>3176.70887619048</v>
      </c>
      <c r="AE87" s="66" t="n">
        <f aca="false">AE83*1000000*AE84/3600</f>
        <v>1047.844352</v>
      </c>
      <c r="AF87" s="66" t="n">
        <f aca="false">AF83*1000000*AF84/3600</f>
        <v>3176.70887619048</v>
      </c>
      <c r="AG87" s="66" t="n">
        <f aca="false">AG83*1000000*AG84/3600</f>
        <v>1047.844352</v>
      </c>
      <c r="AH87" s="66" t="n">
        <f aca="false">AH83*1000000*AH84/3600</f>
        <v>3176.70887619048</v>
      </c>
    </row>
    <row r="88" customFormat="false" ht="15" hidden="false" customHeight="false" outlineLevel="0" collapsed="false">
      <c r="A88" s="52" t="s">
        <v>998</v>
      </c>
      <c r="B88" s="53" t="s">
        <v>271</v>
      </c>
      <c r="C88" s="137" t="n">
        <f aca="false">C69*1000000000*C83*1000000000000</f>
        <v>1.202071532544E+023</v>
      </c>
      <c r="D88" s="137" t="n">
        <f aca="false">D69*1000000000*D83*1000000000000</f>
        <v>4.3271635968E+023</v>
      </c>
      <c r="E88" s="137" t="n">
        <f aca="false">E69*1000000000*E83*1000000000000</f>
        <v>1.202071532544E+023</v>
      </c>
      <c r="F88" s="137" t="n">
        <f aca="false">F69*1000000000*F83*1000000000000</f>
        <v>4.3271635968E+023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1.202071532544E+023</v>
      </c>
      <c r="J88" s="137" t="n">
        <f aca="false">J69*1000000000*J83*1000000000000</f>
        <v>4.3271635968E+023</v>
      </c>
      <c r="K88" s="137" t="n">
        <f aca="false">K69*1000000000*K83*1000000000000</f>
        <v>1.202071532544E+023</v>
      </c>
      <c r="L88" s="137" t="n">
        <f aca="false">L69*1000000000*L83*1000000000000</f>
        <v>4.3271635968E+023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1.202071532544E+023</v>
      </c>
      <c r="P88" s="137" t="n">
        <f aca="false">P69*1000000000*P83*1000000000000</f>
        <v>4.3271635968E+023</v>
      </c>
      <c r="Q88" s="137" t="n">
        <f aca="false">Q69*1000000000*Q83*1000000000000</f>
        <v>1.202071532544E+023</v>
      </c>
      <c r="R88" s="137" t="n">
        <f aca="false">R69*1000000000*R83*1000000000000</f>
        <v>4.3271635968E+023</v>
      </c>
      <c r="S88" s="137" t="n">
        <f aca="false">S69*1000000000*S83*1000000000000</f>
        <v>1.202071532544E+023</v>
      </c>
      <c r="T88" s="137" t="n">
        <f aca="false">T69*1000000000*T83*1000000000000</f>
        <v>4.3271635968E+023</v>
      </c>
      <c r="U88" s="137" t="n">
        <f aca="false">U69*1000000000*U83*1000000000000</f>
        <v>1.202071532544E+023</v>
      </c>
      <c r="V88" s="137" t="n">
        <f aca="false">V69*1000000000*V83*1000000000000</f>
        <v>4.3271635968E+023</v>
      </c>
      <c r="W88" s="137" t="n">
        <f aca="false">W69*1000000000*W83*1000000000000</f>
        <v>1.202071532544E+023</v>
      </c>
      <c r="X88" s="137" t="n">
        <f aca="false">X69*1000000000*X83*1000000000000</f>
        <v>4.3271635968E+023</v>
      </c>
      <c r="Y88" s="137" t="n">
        <f aca="false">Y69*1000000000*Y83*1000000000000</f>
        <v>1.202071532544E+023</v>
      </c>
      <c r="Z88" s="137" t="n">
        <f aca="false">Z69*1000000000*Z83*1000000000000</f>
        <v>4.3271635968E+023</v>
      </c>
      <c r="AA88" s="137" t="n">
        <f aca="false">AA69*1000000000*AA83*1000000000000</f>
        <v>1.202071532544E+023</v>
      </c>
      <c r="AB88" s="137" t="n">
        <f aca="false">AB69*1000000000*AB83*1000000000000</f>
        <v>4.3271635968E+023</v>
      </c>
      <c r="AC88" s="137" t="n">
        <f aca="false">AC69*1000000000*AC83*1000000000000</f>
        <v>1.202071532544E+023</v>
      </c>
      <c r="AD88" s="137" t="n">
        <f aca="false">AD69*1000000000*AD83*1000000000000</f>
        <v>4.3271635968E+023</v>
      </c>
      <c r="AE88" s="137" t="n">
        <f aca="false">AE69*1000000000*AE83*1000000000000</f>
        <v>1.202071532544E+023</v>
      </c>
      <c r="AF88" s="137" t="n">
        <f aca="false">AF69*1000000000*AF83*1000000000000</f>
        <v>4.3271635968E+023</v>
      </c>
      <c r="AG88" s="137" t="n">
        <f aca="false">AG69*1000000000*AG83*1000000000000</f>
        <v>1.202071532544E+023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999</v>
      </c>
      <c r="B89" s="53" t="s">
        <v>952</v>
      </c>
      <c r="C89" s="66" t="n">
        <f aca="false">C88/(C12*1000000000000000*C16*C71*C17)/3600</f>
        <v>15704.1156514991</v>
      </c>
      <c r="D89" s="66" t="n">
        <f aca="false">D88/(D12*1000000000000000*D16*D71*D17)/3600</f>
        <v>56530.9765079365</v>
      </c>
      <c r="E89" s="66" t="n">
        <f aca="false">E88/(E12*1000000000000000*E16*E71*E17)/3600</f>
        <v>26173.5260858319</v>
      </c>
      <c r="F89" s="66" t="n">
        <f aca="false">F88/(F12*1000000000000000*F16*F71*F17)/3600</f>
        <v>94218.2941798942</v>
      </c>
      <c r="G89" s="66" t="n">
        <f aca="false">G88/(G12*1000000000000000*G16*G71*G17)/3600</f>
        <v>9815.07228218695</v>
      </c>
      <c r="H89" s="66" t="n">
        <f aca="false">H88/(H12*1000000000000000*H16*H71*H17)/3600</f>
        <v>35331.8603174603</v>
      </c>
      <c r="I89" s="66" t="n">
        <f aca="false">I88/(I12*1000000000000000*I16*I71*I17)/3600</f>
        <v>7852.05782574956</v>
      </c>
      <c r="J89" s="66" t="n">
        <f aca="false">J88/(J12*1000000000000000*J16*J71*J17)/3600</f>
        <v>28265.4882539683</v>
      </c>
      <c r="K89" s="66" t="n">
        <f aca="false">K88/(K12*1000000000000000*K16*K71*K17)/3600</f>
        <v>15704.1156514991</v>
      </c>
      <c r="L89" s="66" t="n">
        <f aca="false">L88/(L12*1000000000000000*L16*L71*L17)/3600</f>
        <v>56530.9765079365</v>
      </c>
      <c r="M89" s="66" t="n">
        <f aca="false">M88/(M12*1000000000000000*M16*M71*M17)/3600</f>
        <v>15704.1156514991</v>
      </c>
      <c r="N89" s="66" t="n">
        <f aca="false">N88/(N12*1000000000000000*N16*N71*N17)/3600</f>
        <v>56530.9765079365</v>
      </c>
      <c r="O89" s="66" t="n">
        <f aca="false">O88/(O12*1000000000000000*O16*O71*O17)/3600</f>
        <v>15704.1156514991</v>
      </c>
      <c r="P89" s="66" t="n">
        <f aca="false">P88/(P12*1000000000000000*P16*P71*P17)/3600</f>
        <v>56530.9765079365</v>
      </c>
      <c r="Q89" s="66" t="n">
        <f aca="false">Q88/(Q12*1000000000000000*Q16*Q71*Q17)/3600</f>
        <v>15704.1156514991</v>
      </c>
      <c r="R89" s="66" t="n">
        <f aca="false">R88/(R12*1000000000000000*R16*R71*R17)/3600</f>
        <v>56530.9765079365</v>
      </c>
      <c r="S89" s="66" t="n">
        <f aca="false">S88/(S12*1000000000000000*S16*S71*S17)/3600</f>
        <v>15704.1156514991</v>
      </c>
      <c r="T89" s="66" t="n">
        <f aca="false">T88/(T12*1000000000000000*T16*T71*T17)/3600</f>
        <v>56530.9765079365</v>
      </c>
      <c r="U89" s="66" t="n">
        <f aca="false">U88/(U12*1000000000000000*U16*U71*U17)/3600</f>
        <v>15704.1156514991</v>
      </c>
      <c r="V89" s="66" t="n">
        <f aca="false">V88/(V12*1000000000000000*V16*V71*V17)/3600</f>
        <v>56530.9765079365</v>
      </c>
      <c r="W89" s="66" t="n">
        <f aca="false">W88/(W12*1000000000000000*W16*W71*W17)/3600</f>
        <v>15704.1156514991</v>
      </c>
      <c r="X89" s="66" t="n">
        <f aca="false">X88/(X12*1000000000000000*X16*X71*X17)/3600</f>
        <v>56530.9765079365</v>
      </c>
      <c r="Y89" s="66" t="n">
        <f aca="false">Y88/(Y12*1000000000000000*Y16*Y71*Y17)/3600</f>
        <v>15704.1156514991</v>
      </c>
      <c r="Z89" s="66" t="n">
        <f aca="false">Z88/(Z12*1000000000000000*Z16*Z71*Z17)/3600</f>
        <v>56530.9765079365</v>
      </c>
      <c r="AA89" s="66" t="n">
        <f aca="false">AA88/(AA12*1000000000000000*AA16*AA71*AA17)/3600</f>
        <v>15704.1156514991</v>
      </c>
      <c r="AB89" s="66" t="n">
        <f aca="false">AB88/(AB12*1000000000000000*AB16*AB71*AB17)/3600</f>
        <v>56530.9765079365</v>
      </c>
      <c r="AC89" s="66" t="n">
        <f aca="false">AC88/(AC12*1000000000000000*AC16*AC71*AC17)/3600</f>
        <v>15704.1156514991</v>
      </c>
      <c r="AD89" s="66" t="n">
        <f aca="false">AD88/(AD12*1000000000000000*AD16*AD71*AD17)/3600</f>
        <v>56530.9765079365</v>
      </c>
      <c r="AE89" s="66" t="n">
        <f aca="false">AE88/(AE12*1000000000000000*AE16*AE71*AE17)/3600</f>
        <v>15704.1156514991</v>
      </c>
      <c r="AF89" s="66" t="n">
        <f aca="false">AF88/(AF12*1000000000000000*AF16*AF71*AF17)/3600</f>
        <v>56530.9765079365</v>
      </c>
      <c r="AG89" s="66" t="n">
        <f aca="false">AG88/(AG12*1000000000000000*AG16*AG71*AG17)/3600</f>
        <v>17667.1301079365</v>
      </c>
      <c r="AH89" s="66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1000</v>
      </c>
      <c r="B90" s="53" t="s">
        <v>952</v>
      </c>
      <c r="C90" s="66" t="n">
        <f aca="false">C86+C87+C89</f>
        <v>28893.633010107</v>
      </c>
      <c r="D90" s="66" t="n">
        <f aca="false">D86+D87+D89</f>
        <v>111251.382492709</v>
      </c>
      <c r="E90" s="66" t="n">
        <f aca="false">E86+E87+E89</f>
        <v>39363.0434444397</v>
      </c>
      <c r="F90" s="66" t="n">
        <f aca="false">F86+F87+F89</f>
        <v>148938.700164666</v>
      </c>
      <c r="G90" s="66" t="n">
        <f aca="false">G86+G87+G89</f>
        <v>23004.5896407948</v>
      </c>
      <c r="H90" s="66" t="n">
        <f aca="false">H86+H87+H89</f>
        <v>90052.2663022326</v>
      </c>
      <c r="I90" s="66" t="n">
        <f aca="false">I86+I87+I89</f>
        <v>21041.5751843574</v>
      </c>
      <c r="J90" s="66" t="n">
        <f aca="false">J86+J87+J89</f>
        <v>82985.8942387405</v>
      </c>
      <c r="K90" s="66" t="n">
        <f aca="false">K86+K87+K89</f>
        <v>28893.633010107</v>
      </c>
      <c r="L90" s="66" t="n">
        <f aca="false">L86+L87+L89</f>
        <v>111251.382492709</v>
      </c>
      <c r="M90" s="66" t="n">
        <f aca="false">M86+M87+M89</f>
        <v>28893.633010107</v>
      </c>
      <c r="N90" s="66" t="n">
        <f aca="false">N86+N87+N89</f>
        <v>111251.382492709</v>
      </c>
      <c r="O90" s="66" t="n">
        <f aca="false">O86+O87+O89</f>
        <v>28893.633010107</v>
      </c>
      <c r="P90" s="66" t="n">
        <f aca="false">P86+P87+P89</f>
        <v>111251.382492709</v>
      </c>
      <c r="Q90" s="66" t="n">
        <f aca="false">Q86+Q87+Q89</f>
        <v>28893.633010107</v>
      </c>
      <c r="R90" s="66" t="n">
        <f aca="false">R86+R87+R89</f>
        <v>111251.382492709</v>
      </c>
      <c r="S90" s="66" t="n">
        <f aca="false">S86+S87+S89</f>
        <v>33952.6634295269</v>
      </c>
      <c r="T90" s="66" t="n">
        <f aca="false">T86+T87+T89</f>
        <v>132727.922954618</v>
      </c>
      <c r="U90" s="66" t="n">
        <f aca="false">U86+U87+U89</f>
        <v>27615.5621673061</v>
      </c>
      <c r="V90" s="66" t="n">
        <f aca="false">V86+V87+V89</f>
        <v>105825.73016549</v>
      </c>
      <c r="W90" s="66" t="n">
        <f aca="false">W86+W87+W89</f>
        <v>41245.8517529307</v>
      </c>
      <c r="X90" s="66" t="n">
        <f aca="false">X86+X87+X89</f>
        <v>164240.013587789</v>
      </c>
      <c r="Y90" s="66" t="n">
        <f aca="false">Y86+Y87+Y89</f>
        <v>28893.633010107</v>
      </c>
      <c r="Z90" s="66" t="n">
        <f aca="false">Z86+Z87+Z89</f>
        <v>111251.382492709</v>
      </c>
      <c r="AA90" s="66" t="n">
        <f aca="false">AA86+AA87+AA89</f>
        <v>28893.633010107</v>
      </c>
      <c r="AB90" s="66" t="n">
        <f aca="false">AB86+AB87+AB89</f>
        <v>111251.382492709</v>
      </c>
      <c r="AC90" s="66" t="n">
        <f aca="false">AC86+AC87+AC89</f>
        <v>28893.633010107</v>
      </c>
      <c r="AD90" s="66" t="n">
        <f aca="false">AD86+AD87+AD89</f>
        <v>111251.382492709</v>
      </c>
      <c r="AE90" s="66" t="n">
        <f aca="false">AE86+AE87+AE89</f>
        <v>28893.633010107</v>
      </c>
      <c r="AF90" s="66" t="n">
        <f aca="false">AF86+AF87+AF89</f>
        <v>111251.382492709</v>
      </c>
      <c r="AG90" s="66" t="n">
        <f aca="false">AG86+AG87+AG89</f>
        <v>30856.6474665444</v>
      </c>
      <c r="AH90" s="66" t="n">
        <f aca="false">AH86+AH87+AH89</f>
        <v>118317.754556201</v>
      </c>
    </row>
    <row r="91" customFormat="false" ht="15" hidden="false" customHeight="false" outlineLevel="0" collapsed="false">
      <c r="A91" s="52" t="s">
        <v>1001</v>
      </c>
      <c r="B91" s="53" t="s">
        <v>271</v>
      </c>
      <c r="C91" s="137" t="n">
        <f aca="false">C81*1000000000000*C61*1000000000+C83*1000000000000*C85*1000000000+C88</f>
        <v>1.86579540992E+023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1.86579540992E+023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1.86579540992E+023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1.86579540992E+023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1.86579540992E+023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1.86579540992E+023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1.86579540992E+023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1.86579540992E+023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1.86579540992E+023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1.86579540992E+023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1.86579540992E+023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1.86579540992E+023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1.86579540992E+023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1.86579540992E+023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82" t="s">
        <v>1002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2" t="s">
        <v>1003</v>
      </c>
      <c r="B93" s="53" t="s">
        <v>884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40" t="n">
        <v>0</v>
      </c>
      <c r="Z93" s="140" t="n">
        <v>0</v>
      </c>
      <c r="AA93" s="139" t="n">
        <f aca="false">INDEX(Train_In!$C$37:$E$37,AA$7)*3</f>
        <v>6</v>
      </c>
      <c r="AB93" s="139" t="n">
        <f aca="false">INDEX(Train_In!$C$37:$E$37,AB$7)*3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1004</v>
      </c>
      <c r="B94" s="52"/>
      <c r="C94" s="84" t="n">
        <f aca="false">Train_In!$C$15</f>
        <v>3</v>
      </c>
      <c r="D94" s="84" t="n">
        <f aca="false">Train_In!$C$15</f>
        <v>3</v>
      </c>
      <c r="E94" s="84" t="n">
        <f aca="false">Train_In!$C$15</f>
        <v>3</v>
      </c>
      <c r="F94" s="84" t="n">
        <f aca="false">Train_In!$C$15</f>
        <v>3</v>
      </c>
      <c r="G94" s="84" t="n">
        <f aca="false">Train_In!$C$15</f>
        <v>3</v>
      </c>
      <c r="H94" s="84" t="n">
        <f aca="false">Train_In!$C$15</f>
        <v>3</v>
      </c>
      <c r="I94" s="84" t="n">
        <f aca="false">Train_In!$C$15</f>
        <v>3</v>
      </c>
      <c r="J94" s="84" t="n">
        <f aca="false">Train_In!$C$15</f>
        <v>3</v>
      </c>
      <c r="K94" s="84" t="n">
        <f aca="false">Train_In!$C$15</f>
        <v>3</v>
      </c>
      <c r="L94" s="84" t="n">
        <f aca="false">Train_In!$C$15</f>
        <v>3</v>
      </c>
      <c r="M94" s="84" t="n">
        <f aca="false">Train_In!$C$15</f>
        <v>3</v>
      </c>
      <c r="N94" s="84" t="n">
        <f aca="false">Train_In!$C$15</f>
        <v>3</v>
      </c>
      <c r="O94" s="84" t="n">
        <f aca="false">Train_In!$C$15</f>
        <v>3</v>
      </c>
      <c r="P94" s="84" t="n">
        <f aca="false">Train_In!$C$15</f>
        <v>3</v>
      </c>
      <c r="Q94" s="84" t="n">
        <f aca="false">Train_In!$C$15</f>
        <v>3</v>
      </c>
      <c r="R94" s="84" t="n">
        <f aca="false">Train_In!$C$15</f>
        <v>3</v>
      </c>
      <c r="S94" s="84" t="n">
        <f aca="false">Train_In!$C$15</f>
        <v>3</v>
      </c>
      <c r="T94" s="84" t="n">
        <f aca="false">Train_In!$C$15</f>
        <v>3</v>
      </c>
      <c r="U94" s="84" t="n">
        <f aca="false">Train_In!$C$15</f>
        <v>3</v>
      </c>
      <c r="V94" s="84" t="n">
        <f aca="false">Train_In!$C$15</f>
        <v>3</v>
      </c>
      <c r="W94" s="84" t="n">
        <f aca="false">Train_In!$C$15</f>
        <v>3</v>
      </c>
      <c r="X94" s="84" t="n">
        <f aca="false">Train_In!$C$15</f>
        <v>3</v>
      </c>
      <c r="Y94" s="84" t="n">
        <f aca="false">Train_In!$C$15</f>
        <v>3</v>
      </c>
      <c r="Z94" s="84" t="n">
        <f aca="false">Train_In!$C$15</f>
        <v>3</v>
      </c>
      <c r="AA94" s="84" t="n">
        <f aca="false">Train_In!$C$15</f>
        <v>3</v>
      </c>
      <c r="AB94" s="84" t="n">
        <f aca="false">Train_In!$C$15</f>
        <v>3</v>
      </c>
      <c r="AC94" s="84" t="n">
        <f aca="false">Train_In!$C$15</f>
        <v>3</v>
      </c>
      <c r="AD94" s="84" t="n">
        <f aca="false">Train_In!$C$15</f>
        <v>3</v>
      </c>
      <c r="AE94" s="84" t="n">
        <f aca="false">Train_In!$C$15</f>
        <v>3</v>
      </c>
      <c r="AF94" s="84" t="n">
        <f aca="false">Train_In!$C$15</f>
        <v>3</v>
      </c>
      <c r="AG94" s="84" t="n">
        <f aca="false">Train_In!$C$15</f>
        <v>3</v>
      </c>
      <c r="AH94" s="84" t="n">
        <f aca="false">Train_In!$C$15</f>
        <v>3</v>
      </c>
    </row>
    <row r="95" customFormat="false" ht="15" hidden="false" customHeight="false" outlineLevel="0" collapsed="false">
      <c r="A95" s="52" t="s">
        <v>1005</v>
      </c>
      <c r="B95" s="53" t="s">
        <v>734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1006</v>
      </c>
      <c r="B96" s="53" t="s">
        <v>431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1007</v>
      </c>
      <c r="B97" s="53" t="s">
        <v>952</v>
      </c>
      <c r="C97" s="66" t="n">
        <f aca="false">C93*1000000*C95/3600</f>
        <v>438121.425422945</v>
      </c>
      <c r="D97" s="66" t="n">
        <f aca="false">D93*1000000*D95/3600</f>
        <v>657182.138134418</v>
      </c>
      <c r="E97" s="66" t="n">
        <f aca="false">E93*1000000*E95/3600</f>
        <v>438121.425422945</v>
      </c>
      <c r="F97" s="66" t="n">
        <f aca="false">F93*1000000*F95/3600</f>
        <v>657182.138134418</v>
      </c>
      <c r="G97" s="66" t="n">
        <f aca="false">G93*1000000*G95/3600</f>
        <v>438121.425422945</v>
      </c>
      <c r="H97" s="66" t="n">
        <f aca="false">H93*1000000*H95/3600</f>
        <v>657182.138134418</v>
      </c>
      <c r="I97" s="66" t="n">
        <f aca="false">I93*1000000*I95/3600</f>
        <v>438121.425422945</v>
      </c>
      <c r="J97" s="66" t="n">
        <f aca="false">J93*1000000*J95/3600</f>
        <v>657182.138134418</v>
      </c>
      <c r="K97" s="66" t="n">
        <f aca="false">K93*1000000*K95/3600</f>
        <v>438121.425422945</v>
      </c>
      <c r="L97" s="66" t="n">
        <f aca="false">L93*1000000*L95/3600</f>
        <v>657182.138134418</v>
      </c>
      <c r="M97" s="66" t="n">
        <f aca="false">M93*1000000*M95/3600</f>
        <v>438121.425422945</v>
      </c>
      <c r="N97" s="66" t="n">
        <f aca="false">N93*1000000*N95/3600</f>
        <v>657182.138134418</v>
      </c>
      <c r="O97" s="66" t="n">
        <f aca="false">O93*1000000*O95/3600</f>
        <v>438121.425422945</v>
      </c>
      <c r="P97" s="66" t="n">
        <f aca="false">P93*1000000*P95/3600</f>
        <v>657182.138134418</v>
      </c>
      <c r="Q97" s="66" t="n">
        <f aca="false">Q93*1000000*Q95/3600</f>
        <v>438121.425422945</v>
      </c>
      <c r="R97" s="66" t="n">
        <f aca="false">R93*1000000*R95/3600</f>
        <v>657182.138134418</v>
      </c>
      <c r="S97" s="66" t="n">
        <f aca="false">S93*1000000*S95/3600</f>
        <v>438121.425422945</v>
      </c>
      <c r="T97" s="66" t="n">
        <f aca="false">T93*1000000*T95/3600</f>
        <v>657182.138134418</v>
      </c>
      <c r="U97" s="66" t="n">
        <f aca="false">U93*1000000*U95/3600</f>
        <v>438121.425422945</v>
      </c>
      <c r="V97" s="66" t="n">
        <f aca="false">V93*1000000*V95/3600</f>
        <v>657182.138134418</v>
      </c>
      <c r="W97" s="66" t="n">
        <f aca="false">W93*1000000*W95/3600</f>
        <v>438121.425422945</v>
      </c>
      <c r="X97" s="66" t="n">
        <f aca="false">X93*1000000*X95/3600</f>
        <v>657182.138134418</v>
      </c>
      <c r="Y97" s="66" t="n">
        <f aca="false">Y93*1000000*Y95/3600</f>
        <v>0</v>
      </c>
      <c r="Z97" s="66" t="n">
        <f aca="false">Z93*1000000*Z95/3600</f>
        <v>0</v>
      </c>
      <c r="AA97" s="66" t="n">
        <f aca="false">AA93*1000000*AA95/3600</f>
        <v>1314364.27626884</v>
      </c>
      <c r="AB97" s="66" t="n">
        <f aca="false">AB93*1000000*AB95/3600</f>
        <v>1971546.41440325</v>
      </c>
      <c r="AC97" s="66" t="n">
        <f aca="false">AC93*1000000*AC95/3600</f>
        <v>438121.425422945</v>
      </c>
      <c r="AD97" s="66" t="n">
        <f aca="false">AD93*1000000*AD95/3600</f>
        <v>657182.138134418</v>
      </c>
      <c r="AE97" s="66" t="n">
        <f aca="false">AE93*1000000*AE95/3600</f>
        <v>438121.425422945</v>
      </c>
      <c r="AF97" s="66" t="n">
        <f aca="false">AF93*1000000*AF95/3600</f>
        <v>657182.138134418</v>
      </c>
      <c r="AG97" s="66" t="n">
        <f aca="false">AG93*1000000*AG95/3600</f>
        <v>438121.425422945</v>
      </c>
      <c r="AH97" s="66" t="n">
        <f aca="false">AH93*1000000*AH95/3600</f>
        <v>657182.138134418</v>
      </c>
    </row>
    <row r="98" customFormat="false" ht="15" hidden="false" customHeight="false" outlineLevel="0" collapsed="false">
      <c r="A98" s="52" t="s">
        <v>1008</v>
      </c>
      <c r="B98" s="53" t="s">
        <v>271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907</v>
      </c>
      <c r="B99" s="53" t="s">
        <v>884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1009</v>
      </c>
      <c r="B100" s="53" t="s">
        <v>952</v>
      </c>
      <c r="C100" s="66" t="n">
        <f aca="false">C99*1000000*C59/3600</f>
        <v>2580.10551390417</v>
      </c>
      <c r="D100" s="66" t="n">
        <f aca="false">D99*1000000*D59/3600</f>
        <v>21906.0712711473</v>
      </c>
      <c r="E100" s="66" t="n">
        <f aca="false">E99*1000000*E59/3600</f>
        <v>2580.10551390417</v>
      </c>
      <c r="F100" s="66" t="n">
        <f aca="false">F99*1000000*F59/3600</f>
        <v>21906.0712711473</v>
      </c>
      <c r="G100" s="66" t="n">
        <f aca="false">G99*1000000*G59/3600</f>
        <v>2580.10551390417</v>
      </c>
      <c r="H100" s="66" t="n">
        <f aca="false">H99*1000000*H59/3600</f>
        <v>21906.0712711473</v>
      </c>
      <c r="I100" s="66" t="n">
        <f aca="false">I99*1000000*I59/3600</f>
        <v>2580.10551390417</v>
      </c>
      <c r="J100" s="66" t="n">
        <f aca="false">J99*1000000*J59/3600</f>
        <v>21906.0712711473</v>
      </c>
      <c r="K100" s="66" t="n">
        <f aca="false">K99*1000000*K59/3600</f>
        <v>2580.10551390417</v>
      </c>
      <c r="L100" s="66" t="n">
        <f aca="false">L99*1000000*L59/3600</f>
        <v>21906.0712711473</v>
      </c>
      <c r="M100" s="66" t="n">
        <f aca="false">M99*1000000*M59/3600</f>
        <v>2580.10551390417</v>
      </c>
      <c r="N100" s="66" t="n">
        <f aca="false">N99*1000000*N59/3600</f>
        <v>21906.0712711473</v>
      </c>
      <c r="O100" s="66" t="n">
        <f aca="false">O99*1000000*O59/3600</f>
        <v>2580.10551390417</v>
      </c>
      <c r="P100" s="66" t="n">
        <f aca="false">P99*1000000*P59/3600</f>
        <v>21906.0712711473</v>
      </c>
      <c r="Q100" s="66" t="n">
        <f aca="false">Q99*1000000*Q59/3600</f>
        <v>2580.10551390417</v>
      </c>
      <c r="R100" s="66" t="n">
        <f aca="false">R99*1000000*R59/3600</f>
        <v>21906.0712711473</v>
      </c>
      <c r="S100" s="66" t="n">
        <f aca="false">S99*1000000*S59/3600</f>
        <v>2580.10551390417</v>
      </c>
      <c r="T100" s="66" t="n">
        <f aca="false">T99*1000000*T59/3600</f>
        <v>21906.0712711473</v>
      </c>
      <c r="U100" s="66" t="n">
        <f aca="false">U99*1000000*U59/3600</f>
        <v>2580.10551390417</v>
      </c>
      <c r="V100" s="66" t="n">
        <f aca="false">V99*1000000*V59/3600</f>
        <v>21906.0712711473</v>
      </c>
      <c r="W100" s="66" t="n">
        <f aca="false">W99*1000000*W59/3600</f>
        <v>5204.95199675421</v>
      </c>
      <c r="X100" s="66" t="n">
        <f aca="false">X99*1000000*X59/3600</f>
        <v>44426.2394865564</v>
      </c>
      <c r="Y100" s="66" t="n">
        <f aca="false">Y99*1000000*Y59/3600</f>
        <v>2580.10551390417</v>
      </c>
      <c r="Z100" s="66" t="n">
        <f aca="false">Z99*1000000*Z59/3600</f>
        <v>21906.0712711473</v>
      </c>
      <c r="AA100" s="66" t="n">
        <f aca="false">AA99*1000000*AA59/3600</f>
        <v>2580.10551390417</v>
      </c>
      <c r="AB100" s="66" t="n">
        <f aca="false">AB99*1000000*AB59/3600</f>
        <v>21906.0712711473</v>
      </c>
      <c r="AC100" s="66" t="n">
        <f aca="false">AC99*1000000*AC59/3600</f>
        <v>2580.10551390417</v>
      </c>
      <c r="AD100" s="66" t="n">
        <f aca="false">AD99*1000000*AD59/3600</f>
        <v>21906.0712711473</v>
      </c>
      <c r="AE100" s="66" t="n">
        <f aca="false">AE99*1000000*AE59/3600</f>
        <v>2580.10551390417</v>
      </c>
      <c r="AF100" s="66" t="n">
        <f aca="false">AF99*1000000*AF59/3600</f>
        <v>21906.0712711473</v>
      </c>
      <c r="AG100" s="66" t="n">
        <f aca="false">AG99*1000000*AG59/3600</f>
        <v>2580.10551390417</v>
      </c>
      <c r="AH100" s="66" t="n">
        <f aca="false">AH99*1000000*AH59/3600</f>
        <v>21906.0712711473</v>
      </c>
    </row>
    <row r="101" customFormat="false" ht="15" hidden="false" customHeight="false" outlineLevel="0" collapsed="false">
      <c r="A101" s="52" t="s">
        <v>1010</v>
      </c>
      <c r="B101" s="53" t="s">
        <v>271</v>
      </c>
      <c r="C101" s="137" t="n">
        <f aca="false">C99*1000000000000*C61*1000000000</f>
        <v>6.690967808E+021</v>
      </c>
      <c r="D101" s="137" t="n">
        <f aca="false">D99*1000000000000*D61*1000000000</f>
        <v>5.210612736E+022</v>
      </c>
      <c r="E101" s="137" t="n">
        <f aca="false">E99*1000000000000*E61*1000000000</f>
        <v>6.690967808E+021</v>
      </c>
      <c r="F101" s="137" t="n">
        <f aca="false">F99*1000000000000*F61*1000000000</f>
        <v>5.210612736E+022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6.690967808E+021</v>
      </c>
      <c r="J101" s="137" t="n">
        <f aca="false">J99*1000000000000*J61*1000000000</f>
        <v>5.210612736E+022</v>
      </c>
      <c r="K101" s="137" t="n">
        <f aca="false">K99*1000000000000*K61*1000000000</f>
        <v>6.690967808E+021</v>
      </c>
      <c r="L101" s="137" t="n">
        <f aca="false">L99*1000000000000*L61*1000000000</f>
        <v>5.210612736E+022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6.690967808E+021</v>
      </c>
      <c r="P101" s="137" t="n">
        <f aca="false">P99*1000000000000*P61*1000000000</f>
        <v>5.210612736E+022</v>
      </c>
      <c r="Q101" s="137" t="n">
        <f aca="false">Q99*1000000000000*Q61*1000000000</f>
        <v>6.690967808E+021</v>
      </c>
      <c r="R101" s="137" t="n">
        <f aca="false">R99*1000000000000*R61*1000000000</f>
        <v>5.210612736E+022</v>
      </c>
      <c r="S101" s="137" t="n">
        <f aca="false">S99*1000000000000*S61*1000000000</f>
        <v>6.690967808E+021</v>
      </c>
      <c r="T101" s="137" t="n">
        <f aca="false">T99*1000000000000*T61*1000000000</f>
        <v>5.210612736E+022</v>
      </c>
      <c r="U101" s="137" t="n">
        <f aca="false">U99*1000000000000*U61*1000000000</f>
        <v>6.690967808E+021</v>
      </c>
      <c r="V101" s="137" t="n">
        <f aca="false">V99*1000000000000*V61*1000000000</f>
        <v>5.210612736E+022</v>
      </c>
      <c r="W101" s="137" t="n">
        <f aca="false">W99*1000000000000*W61*1000000000</f>
        <v>6.690967808E+021</v>
      </c>
      <c r="X101" s="137" t="n">
        <f aca="false">X99*1000000000000*X61*1000000000</f>
        <v>5.210612736E+022</v>
      </c>
      <c r="Y101" s="137" t="n">
        <f aca="false">Y99*1000000000000*Y61*1000000000</f>
        <v>6.690967808E+021</v>
      </c>
      <c r="Z101" s="137" t="n">
        <f aca="false">Z99*1000000000000*Z61*1000000000</f>
        <v>5.210612736E+022</v>
      </c>
      <c r="AA101" s="137" t="n">
        <f aca="false">AA99*1000000000000*AA61*1000000000</f>
        <v>6.690967808E+021</v>
      </c>
      <c r="AB101" s="137" t="n">
        <f aca="false">AB99*1000000000000*AB61*1000000000</f>
        <v>5.210612736E+022</v>
      </c>
      <c r="AC101" s="137" t="n">
        <f aca="false">AC99*1000000000000*AC61*1000000000</f>
        <v>6.690967808E+021</v>
      </c>
      <c r="AD101" s="137" t="n">
        <f aca="false">AD99*1000000000000*AD61*1000000000</f>
        <v>5.210612736E+022</v>
      </c>
      <c r="AE101" s="137" t="n">
        <f aca="false">AE99*1000000000000*AE61*1000000000</f>
        <v>6.690967808E+021</v>
      </c>
      <c r="AF101" s="137" t="n">
        <f aca="false">AF99*1000000000000*AF61*1000000000</f>
        <v>5.210612736E+022</v>
      </c>
      <c r="AG101" s="137" t="n">
        <f aca="false">AG99*1000000000000*AG61*1000000000</f>
        <v>6.690967808E+021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82" t="s">
        <v>1011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Format="false" ht="15" hidden="false" customHeight="false" outlineLevel="0" collapsed="false">
      <c r="A103" s="52" t="s">
        <v>1012</v>
      </c>
      <c r="B103" s="53" t="s">
        <v>952</v>
      </c>
      <c r="C103" s="66" t="n">
        <f aca="false">C36+C43</f>
        <v>1046822.0417505</v>
      </c>
      <c r="D103" s="66" t="n">
        <f aca="false">D36+D43</f>
        <v>5684233.89686067</v>
      </c>
      <c r="E103" s="66" t="n">
        <f aca="false">E36+E43</f>
        <v>1744703.4029175</v>
      </c>
      <c r="F103" s="66" t="n">
        <f aca="false">F36+F43</f>
        <v>9473723.16143445</v>
      </c>
      <c r="G103" s="66" t="n">
        <f aca="false">G36+G43</f>
        <v>654263.776094062</v>
      </c>
      <c r="H103" s="66" t="n">
        <f aca="false">H36+H43</f>
        <v>3552646.18553792</v>
      </c>
      <c r="I103" s="66" t="n">
        <f aca="false">I36+I43</f>
        <v>523411.02087525</v>
      </c>
      <c r="J103" s="66" t="n">
        <f aca="false">J36+J43</f>
        <v>2842116.94843034</v>
      </c>
      <c r="K103" s="66" t="n">
        <f aca="false">K36+K43</f>
        <v>539506.210374133</v>
      </c>
      <c r="L103" s="66" t="n">
        <f aca="false">L36+L43</f>
        <v>3002522.01537919</v>
      </c>
      <c r="M103" s="66" t="n">
        <f aca="false">M36+M43</f>
        <v>1726625.25579483</v>
      </c>
      <c r="N103" s="66" t="n">
        <f aca="false">N36+N43</f>
        <v>9277727.81804586</v>
      </c>
      <c r="O103" s="66" t="n">
        <f aca="false">O36+O43</f>
        <v>1046822.0417505</v>
      </c>
      <c r="P103" s="66" t="n">
        <f aca="false">P36+P43</f>
        <v>5684233.89686067</v>
      </c>
      <c r="Q103" s="66" t="n">
        <f aca="false">Q36+Q43</f>
        <v>1046822.0417505</v>
      </c>
      <c r="R103" s="66" t="n">
        <f aca="false">R36+R43</f>
        <v>5684233.89686067</v>
      </c>
      <c r="S103" s="66" t="n">
        <f aca="false">S36+S43</f>
        <v>1046822.0417505</v>
      </c>
      <c r="T103" s="66" t="n">
        <f aca="false">T36+T43</f>
        <v>5684233.89686067</v>
      </c>
      <c r="U103" s="66" t="n">
        <f aca="false">U36+U43</f>
        <v>1046822.0417505</v>
      </c>
      <c r="V103" s="66" t="n">
        <f aca="false">V36+V43</f>
        <v>5684233.89686067</v>
      </c>
      <c r="W103" s="66" t="n">
        <f aca="false">W36+W43</f>
        <v>1046822.0417505</v>
      </c>
      <c r="X103" s="66" t="n">
        <f aca="false">X36+X43</f>
        <v>5684233.89686067</v>
      </c>
      <c r="Y103" s="66" t="n">
        <f aca="false">Y36+Y43</f>
        <v>1046822.0417505</v>
      </c>
      <c r="Z103" s="66" t="n">
        <f aca="false">Z36+Z43</f>
        <v>5684233.89686067</v>
      </c>
      <c r="AA103" s="66" t="n">
        <f aca="false">AA36+AA43</f>
        <v>1046822.0417505</v>
      </c>
      <c r="AB103" s="66" t="n">
        <f aca="false">AB36+AB43</f>
        <v>5684233.89686067</v>
      </c>
      <c r="AC103" s="66" t="n">
        <f aca="false">AC36+AC43</f>
        <v>1046822.0417505</v>
      </c>
      <c r="AD103" s="66" t="n">
        <f aca="false">AD36+AD43</f>
        <v>5684233.89686067</v>
      </c>
      <c r="AE103" s="66" t="n">
        <f aca="false">AE36+AE43</f>
        <v>1046822.0417505</v>
      </c>
      <c r="AF103" s="66" t="n">
        <f aca="false">AF36+AF43</f>
        <v>5684233.89686067</v>
      </c>
      <c r="AG103" s="66" t="n">
        <f aca="false">AG36+AG43</f>
        <v>1177674.79696931</v>
      </c>
      <c r="AH103" s="66" t="n">
        <f aca="false">AH36+AH43</f>
        <v>6394763.13396825</v>
      </c>
    </row>
    <row r="104" customFormat="false" ht="15" hidden="false" customHeight="false" outlineLevel="0" collapsed="false">
      <c r="A104" s="52" t="s">
        <v>1013</v>
      </c>
      <c r="B104" s="53" t="s">
        <v>952</v>
      </c>
      <c r="C104" s="66" t="n">
        <f aca="false">C51+C75+C90</f>
        <v>359736.246330123</v>
      </c>
      <c r="D104" s="66" t="n">
        <f aca="false">D51+D75+D90</f>
        <v>5314338.60907615</v>
      </c>
      <c r="E104" s="66" t="n">
        <f aca="false">E51+E75+E90</f>
        <v>495050.869310237</v>
      </c>
      <c r="F104" s="66" t="n">
        <f aca="false">F51+F75+F90</f>
        <v>7168860.90062229</v>
      </c>
      <c r="G104" s="66" t="n">
        <f aca="false">G51+G75+G90</f>
        <v>283621.770903809</v>
      </c>
      <c r="H104" s="66" t="n">
        <f aca="false">H51+H75+H90</f>
        <v>4271169.82008144</v>
      </c>
      <c r="I104" s="66" t="n">
        <f aca="false">I51+I75+I90</f>
        <v>258250.279095038</v>
      </c>
      <c r="J104" s="66" t="n">
        <f aca="false">J51+J75+J90</f>
        <v>3923446.89041653</v>
      </c>
      <c r="K104" s="66" t="n">
        <f aca="false">K51+K75+K90</f>
        <v>359736.246330123</v>
      </c>
      <c r="L104" s="66" t="n">
        <f aca="false">L51+L75+L90</f>
        <v>5314338.60907615</v>
      </c>
      <c r="M104" s="66" t="n">
        <f aca="false">M51+M75+M90</f>
        <v>359736.246330123</v>
      </c>
      <c r="N104" s="66" t="n">
        <f aca="false">N51+N75+N90</f>
        <v>5314338.60907615</v>
      </c>
      <c r="O104" s="66" t="n">
        <f aca="false">O51+O75+O90</f>
        <v>129517.894897799</v>
      </c>
      <c r="P104" s="66" t="n">
        <f aca="false">P51+P75+P90</f>
        <v>1680413.46236897</v>
      </c>
      <c r="Q104" s="66" t="n">
        <f aca="false">Q51+Q75+Q90</f>
        <v>1017502.96470819</v>
      </c>
      <c r="R104" s="66" t="n">
        <f aca="false">R51+R75+R90</f>
        <v>15696981.8853823</v>
      </c>
      <c r="S104" s="66" t="n">
        <f aca="false">S51+S75+S90</f>
        <v>424618.107791771</v>
      </c>
      <c r="T104" s="66" t="n">
        <f aca="false">T51+T75+T90</f>
        <v>6368246.30194312</v>
      </c>
      <c r="U104" s="66" t="n">
        <f aca="false">U51+U75+U90</f>
        <v>343345.039224023</v>
      </c>
      <c r="V104" s="66" t="n">
        <f aca="false">V51+V75+V90</f>
        <v>5048088.24456238</v>
      </c>
      <c r="W104" s="66" t="n">
        <f aca="false">W51+W75+W90</f>
        <v>518147.69926164</v>
      </c>
      <c r="X104" s="66" t="n">
        <f aca="false">X51+X75+X90</f>
        <v>7914518.83729531</v>
      </c>
      <c r="Y104" s="66" t="n">
        <f aca="false">Y51+Y75+Y90</f>
        <v>359736.246330123</v>
      </c>
      <c r="Z104" s="66" t="n">
        <f aca="false">Z51+Z75+Z90</f>
        <v>5314338.60907615</v>
      </c>
      <c r="AA104" s="66" t="n">
        <f aca="false">AA51+AA75+AA90</f>
        <v>359736.246330123</v>
      </c>
      <c r="AB104" s="66" t="n">
        <f aca="false">AB51+AB75+AB90</f>
        <v>5314338.60907615</v>
      </c>
      <c r="AC104" s="66" t="n">
        <f aca="false">AC51+AC75+AC90</f>
        <v>359736.246330123</v>
      </c>
      <c r="AD104" s="66" t="n">
        <f aca="false">AD51+AD75+AD90</f>
        <v>5314338.60907615</v>
      </c>
      <c r="AE104" s="66" t="n">
        <f aca="false">AE51+AE75+AE90</f>
        <v>359736.246330123</v>
      </c>
      <c r="AF104" s="66" t="n">
        <f aca="false">AF51+AF75+AF90</f>
        <v>5314338.60907615</v>
      </c>
      <c r="AG104" s="66" t="n">
        <f aca="false">AG51+AG75+AG90</f>
        <v>385107.738138895</v>
      </c>
      <c r="AH104" s="66" t="n">
        <f aca="false">AH51+AH75+AH90</f>
        <v>5662061.53874105</v>
      </c>
    </row>
    <row r="105" customFormat="false" ht="15" hidden="false" customHeight="false" outlineLevel="0" collapsed="false">
      <c r="A105" s="52" t="s">
        <v>1014</v>
      </c>
      <c r="B105" s="53" t="s">
        <v>952</v>
      </c>
      <c r="C105" s="66" t="n">
        <f aca="false">C97+C100</f>
        <v>440701.530936849</v>
      </c>
      <c r="D105" s="66" t="n">
        <f aca="false">D97+D100</f>
        <v>679088.209405565</v>
      </c>
      <c r="E105" s="66" t="n">
        <f aca="false">E97+E100</f>
        <v>440701.530936849</v>
      </c>
      <c r="F105" s="66" t="n">
        <f aca="false">F97+F100</f>
        <v>679088.209405565</v>
      </c>
      <c r="G105" s="66" t="n">
        <f aca="false">G97+G100</f>
        <v>440701.530936849</v>
      </c>
      <c r="H105" s="66" t="n">
        <f aca="false">H97+H100</f>
        <v>679088.209405565</v>
      </c>
      <c r="I105" s="66" t="n">
        <f aca="false">I97+I100</f>
        <v>440701.530936849</v>
      </c>
      <c r="J105" s="66" t="n">
        <f aca="false">J97+J100</f>
        <v>679088.209405565</v>
      </c>
      <c r="K105" s="66" t="n">
        <f aca="false">K97+K100</f>
        <v>440701.530936849</v>
      </c>
      <c r="L105" s="66" t="n">
        <f aca="false">L97+L100</f>
        <v>679088.209405565</v>
      </c>
      <c r="M105" s="66" t="n">
        <f aca="false">M97+M100</f>
        <v>440701.530936849</v>
      </c>
      <c r="N105" s="66" t="n">
        <f aca="false">N97+N100</f>
        <v>679088.209405565</v>
      </c>
      <c r="O105" s="66" t="n">
        <f aca="false">O97+O100</f>
        <v>440701.530936849</v>
      </c>
      <c r="P105" s="66" t="n">
        <f aca="false">P97+P100</f>
        <v>679088.209405565</v>
      </c>
      <c r="Q105" s="66" t="n">
        <f aca="false">Q97+Q100</f>
        <v>440701.530936849</v>
      </c>
      <c r="R105" s="66" t="n">
        <f aca="false">R97+R100</f>
        <v>679088.209405565</v>
      </c>
      <c r="S105" s="66" t="n">
        <f aca="false">S97+S100</f>
        <v>440701.530936849</v>
      </c>
      <c r="T105" s="66" t="n">
        <f aca="false">T97+T100</f>
        <v>679088.209405565</v>
      </c>
      <c r="U105" s="66" t="n">
        <f aca="false">U97+U100</f>
        <v>440701.530936849</v>
      </c>
      <c r="V105" s="66" t="n">
        <f aca="false">V97+V100</f>
        <v>679088.209405565</v>
      </c>
      <c r="W105" s="66" t="n">
        <f aca="false">W97+W100</f>
        <v>443326.377419699</v>
      </c>
      <c r="X105" s="66" t="n">
        <f aca="false">X97+X100</f>
        <v>701608.377620974</v>
      </c>
      <c r="Y105" s="66" t="n">
        <f aca="false">Y97+Y100</f>
        <v>2580.10551390417</v>
      </c>
      <c r="Z105" s="66" t="n">
        <f aca="false">Z97+Z100</f>
        <v>21906.0712711473</v>
      </c>
      <c r="AA105" s="66" t="n">
        <f aca="false">AA97+AA100</f>
        <v>1316944.38178274</v>
      </c>
      <c r="AB105" s="66" t="n">
        <f aca="false">AB97+AB100</f>
        <v>1993452.4856744</v>
      </c>
      <c r="AC105" s="66" t="n">
        <f aca="false">AC97+AC100</f>
        <v>440701.530936849</v>
      </c>
      <c r="AD105" s="66" t="n">
        <f aca="false">AD97+AD100</f>
        <v>679088.209405565</v>
      </c>
      <c r="AE105" s="66" t="n">
        <f aca="false">AE97+AE100</f>
        <v>440701.530936849</v>
      </c>
      <c r="AF105" s="66" t="n">
        <f aca="false">AF97+AF100</f>
        <v>679088.209405565</v>
      </c>
      <c r="AG105" s="66" t="n">
        <f aca="false">AG97+AG100</f>
        <v>440701.530936849</v>
      </c>
      <c r="AH105" s="66" t="n">
        <f aca="false">AH97+AH100</f>
        <v>679088.209405565</v>
      </c>
    </row>
    <row r="106" customFormat="false" ht="15" hidden="false" customHeight="false" outlineLevel="0" collapsed="false">
      <c r="A106" s="52" t="s">
        <v>1015</v>
      </c>
      <c r="B106" s="53" t="s">
        <v>952</v>
      </c>
      <c r="C106" s="61" t="n">
        <f aca="false">C103+C104+C105</f>
        <v>1847259.81901747</v>
      </c>
      <c r="D106" s="61" t="n">
        <f aca="false">D103+D104+D105</f>
        <v>11677660.7153424</v>
      </c>
      <c r="E106" s="61" t="n">
        <f aca="false">E103+E104+E105</f>
        <v>2680455.80316459</v>
      </c>
      <c r="F106" s="61" t="n">
        <f aca="false">F103+F104+F105</f>
        <v>17321672.2714623</v>
      </c>
      <c r="G106" s="61" t="n">
        <f aca="false">G103+G104+G105</f>
        <v>1378587.07793472</v>
      </c>
      <c r="H106" s="61" t="n">
        <f aca="false">H103+H104+H105</f>
        <v>8502904.21502492</v>
      </c>
      <c r="I106" s="61" t="n">
        <f aca="false">I103+I104+I105</f>
        <v>1222362.83090714</v>
      </c>
      <c r="J106" s="61" t="n">
        <f aca="false">J103+J104+J105</f>
        <v>7444652.04825243</v>
      </c>
      <c r="K106" s="61" t="n">
        <f aca="false">K103+K104+K105</f>
        <v>1339943.98764111</v>
      </c>
      <c r="L106" s="61" t="n">
        <f aca="false">L103+L104+L105</f>
        <v>8995948.8338609</v>
      </c>
      <c r="M106" s="61" t="n">
        <f aca="false">M103+M104+M105</f>
        <v>2527063.0330618</v>
      </c>
      <c r="N106" s="61" t="n">
        <f aca="false">N103+N104+N105</f>
        <v>15271154.6365276</v>
      </c>
      <c r="O106" s="61" t="n">
        <f aca="false">O103+O104+O105</f>
        <v>1617041.46758515</v>
      </c>
      <c r="P106" s="61" t="n">
        <f aca="false">P103+P104+P105</f>
        <v>8043735.56863521</v>
      </c>
      <c r="Q106" s="61" t="n">
        <f aca="false">Q103+Q104+Q105</f>
        <v>2505026.53739554</v>
      </c>
      <c r="R106" s="61" t="n">
        <f aca="false">R103+R104+R105</f>
        <v>22060303.9916486</v>
      </c>
      <c r="S106" s="61" t="n">
        <f aca="false">S103+S104+S105</f>
        <v>1912141.68047912</v>
      </c>
      <c r="T106" s="61" t="n">
        <f aca="false">T103+T104+T105</f>
        <v>12731568.4082094</v>
      </c>
      <c r="U106" s="61" t="n">
        <f aca="false">U103+U104+U105</f>
        <v>1830868.61191137</v>
      </c>
      <c r="V106" s="61" t="n">
        <f aca="false">V103+V104+V105</f>
        <v>11411410.3508286</v>
      </c>
      <c r="W106" s="61" t="n">
        <f aca="false">W103+W104+W105</f>
        <v>2008296.11843184</v>
      </c>
      <c r="X106" s="61" t="n">
        <f aca="false">X103+X104+X105</f>
        <v>14300361.111777</v>
      </c>
      <c r="Y106" s="61" t="n">
        <f aca="false">Y103+Y104+Y105</f>
        <v>1409138.39359453</v>
      </c>
      <c r="Z106" s="61" t="n">
        <f aca="false">Z103+Z104+Z105</f>
        <v>11020478.577208</v>
      </c>
      <c r="AA106" s="61" t="n">
        <f aca="false">AA103+AA104+AA105</f>
        <v>2723502.66986336</v>
      </c>
      <c r="AB106" s="61" t="n">
        <f aca="false">AB103+AB104+AB105</f>
        <v>12992024.9916112</v>
      </c>
      <c r="AC106" s="61" t="n">
        <f aca="false">AC103+AC104+AC105</f>
        <v>1847259.81901747</v>
      </c>
      <c r="AD106" s="61" t="n">
        <f aca="false">AD103+AD104+AD105</f>
        <v>11677660.7153424</v>
      </c>
      <c r="AE106" s="61" t="n">
        <f aca="false">AE103+AE104+AE105</f>
        <v>1847259.81901747</v>
      </c>
      <c r="AF106" s="61" t="n">
        <f aca="false">AF103+AF104+AF105</f>
        <v>11677660.7153424</v>
      </c>
      <c r="AG106" s="61" t="n">
        <f aca="false">AG103+AG104+AG105</f>
        <v>2003484.06604506</v>
      </c>
      <c r="AH106" s="61" t="n">
        <f aca="false">AH103+AH104+AH105</f>
        <v>12735912.8821149</v>
      </c>
    </row>
    <row r="107" customFormat="false" ht="15" hidden="false" customHeight="false" outlineLevel="0" collapsed="false">
      <c r="A107" s="52" t="s">
        <v>1016</v>
      </c>
      <c r="B107" s="53" t="s">
        <v>271</v>
      </c>
      <c r="C107" s="137" t="n">
        <f aca="false">C35+C42</f>
        <v>1.3354832197632E+025</v>
      </c>
      <c r="D107" s="137" t="n">
        <f aca="false">D35+D42</f>
        <v>7.25166139392E+025</v>
      </c>
      <c r="E107" s="137" t="n">
        <f aca="false">E35+E42</f>
        <v>1.3354832197632E+025</v>
      </c>
      <c r="F107" s="137" t="n">
        <f aca="false">F35+F42</f>
        <v>7.25166139392E+025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1.3354832197632E+025</v>
      </c>
      <c r="J107" s="137" t="n">
        <f aca="false">J35+J42</f>
        <v>7.25166139392E+025</v>
      </c>
      <c r="K107" s="137" t="n">
        <f aca="false">K35+K42</f>
        <v>6.882750478848E+024</v>
      </c>
      <c r="L107" s="137" t="n">
        <f aca="false">L35+L42</f>
        <v>3.83046746112E+025</v>
      </c>
      <c r="M107" s="137" t="n">
        <f aca="false">M35+M42</f>
        <v>2.20274217008026E+025</v>
      </c>
      <c r="N107" s="137" t="n">
        <f aca="false">N35+N42</f>
        <v>1.1836061263872E+026</v>
      </c>
      <c r="O107" s="137" t="n">
        <f aca="false">O35+O42</f>
        <v>1.3354832197632E+025</v>
      </c>
      <c r="P107" s="137" t="n">
        <f aca="false">P35+P42</f>
        <v>7.25166139392E+025</v>
      </c>
      <c r="Q107" s="137" t="n">
        <f aca="false">Q35+Q42</f>
        <v>1.3354832197632E+025</v>
      </c>
      <c r="R107" s="137" t="n">
        <f aca="false">R35+R42</f>
        <v>7.25166139392E+025</v>
      </c>
      <c r="S107" s="137" t="n">
        <f aca="false">S35+S42</f>
        <v>1.3354832197632E+025</v>
      </c>
      <c r="T107" s="137" t="n">
        <f aca="false">T35+T42</f>
        <v>7.25166139392E+025</v>
      </c>
      <c r="U107" s="137" t="n">
        <f aca="false">U35+U42</f>
        <v>1.3354832197632E+025</v>
      </c>
      <c r="V107" s="137" t="n">
        <f aca="false">V35+V42</f>
        <v>7.25166139392E+025</v>
      </c>
      <c r="W107" s="137" t="n">
        <f aca="false">W35+W42</f>
        <v>1.3354832197632E+025</v>
      </c>
      <c r="X107" s="137" t="n">
        <f aca="false">X35+X42</f>
        <v>7.25166139392E+025</v>
      </c>
      <c r="Y107" s="137" t="n">
        <f aca="false">Y35+Y42</f>
        <v>1.3354832197632E+025</v>
      </c>
      <c r="Z107" s="137" t="n">
        <f aca="false">Z35+Z42</f>
        <v>7.25166139392E+025</v>
      </c>
      <c r="AA107" s="137" t="n">
        <f aca="false">AA35+AA42</f>
        <v>1.3354832197632E+025</v>
      </c>
      <c r="AB107" s="137" t="n">
        <f aca="false">AB35+AB42</f>
        <v>7.25166139392E+025</v>
      </c>
      <c r="AC107" s="137" t="n">
        <f aca="false">AC35+AC42</f>
        <v>1.3354832197632E+025</v>
      </c>
      <c r="AD107" s="137" t="n">
        <f aca="false">AD35+AD42</f>
        <v>7.25166139392E+025</v>
      </c>
      <c r="AE107" s="137" t="n">
        <f aca="false">AE35+AE42</f>
        <v>1.3354832197632E+025</v>
      </c>
      <c r="AF107" s="137" t="n">
        <f aca="false">AF35+AF42</f>
        <v>7.25166139392E+025</v>
      </c>
      <c r="AG107" s="137" t="n">
        <f aca="false">AG35+AG42</f>
        <v>1.3354832197632E+025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2" t="s">
        <v>1017</v>
      </c>
      <c r="B108" s="53" t="s">
        <v>271</v>
      </c>
      <c r="C108" s="137" t="n">
        <f aca="false">C49+C76+C91</f>
        <v>1.95057087123328E+024</v>
      </c>
      <c r="D108" s="137" t="n">
        <f aca="false">D49+D76+D91</f>
        <v>2.666974089216E+025</v>
      </c>
      <c r="E108" s="137" t="n">
        <f aca="false">E49+E76+E91</f>
        <v>1.95057087123328E+024</v>
      </c>
      <c r="F108" s="137" t="n">
        <f aca="false">F49+F76+F91</f>
        <v>2.666974089216E+025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1.95057087123328E+024</v>
      </c>
      <c r="J108" s="137" t="n">
        <f aca="false">J49+J76+J91</f>
        <v>2.666974089216E+025</v>
      </c>
      <c r="K108" s="137" t="n">
        <f aca="false">K49+K76+K91</f>
        <v>1.95057087123328E+024</v>
      </c>
      <c r="L108" s="137" t="n">
        <f aca="false">L49+L76+L91</f>
        <v>2.666974089216E+025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7.29774243426944E+023</v>
      </c>
      <c r="P108" s="137" t="n">
        <f aca="false">P49+P76+P91</f>
        <v>8.544883731456E+024</v>
      </c>
      <c r="Q108" s="137" t="n">
        <f aca="false">Q49+Q76+Q91</f>
        <v>5.43856123639424E+024</v>
      </c>
      <c r="R108" s="137" t="n">
        <f aca="false">R49+R76+R91</f>
        <v>7.84550470656E+025</v>
      </c>
      <c r="S108" s="137" t="n">
        <f aca="false">S49+S76+S91</f>
        <v>1.95057087123328E+024</v>
      </c>
      <c r="T108" s="137" t="n">
        <f aca="false">T49+T76+T91</f>
        <v>2.666974089216E+025</v>
      </c>
      <c r="U108" s="137" t="n">
        <f aca="false">U49+U76+U91</f>
        <v>1.95057087123328E+024</v>
      </c>
      <c r="V108" s="137" t="n">
        <f aca="false">V49+V76+V91</f>
        <v>2.666974089216E+025</v>
      </c>
      <c r="W108" s="137" t="n">
        <f aca="false">W49+W76+W91</f>
        <v>1.95057087123328E+024</v>
      </c>
      <c r="X108" s="137" t="n">
        <f aca="false">X49+X76+X91</f>
        <v>2.666974089216E+025</v>
      </c>
      <c r="Y108" s="137" t="n">
        <f aca="false">Y49+Y76+Y91</f>
        <v>1.95057087123328E+024</v>
      </c>
      <c r="Z108" s="137" t="n">
        <f aca="false">Z49+Z76+Z91</f>
        <v>2.666974089216E+025</v>
      </c>
      <c r="AA108" s="137" t="n">
        <f aca="false">AA49+AA76+AA91</f>
        <v>1.95057087123328E+024</v>
      </c>
      <c r="AB108" s="137" t="n">
        <f aca="false">AB49+AB76+AB91</f>
        <v>2.666974089216E+025</v>
      </c>
      <c r="AC108" s="137" t="n">
        <f aca="false">AC49+AC76+AC91</f>
        <v>1.95057087123328E+024</v>
      </c>
      <c r="AD108" s="137" t="n">
        <f aca="false">AD49+AD76+AD91</f>
        <v>2.666974089216E+025</v>
      </c>
      <c r="AE108" s="137" t="n">
        <f aca="false">AE49+AE76+AE91</f>
        <v>1.95057087123328E+024</v>
      </c>
      <c r="AF108" s="137" t="n">
        <f aca="false">AF49+AF76+AF91</f>
        <v>2.666974089216E+025</v>
      </c>
      <c r="AG108" s="137" t="n">
        <f aca="false">AG49+AG76+AG91</f>
        <v>1.95057087123328E+024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2" t="s">
        <v>1018</v>
      </c>
      <c r="B109" s="53" t="s">
        <v>271</v>
      </c>
      <c r="C109" s="137" t="n">
        <f aca="false">C107+C108+C98+C101</f>
        <v>1.63542165838733E+025</v>
      </c>
      <c r="D109" s="137" t="n">
        <f aca="false">D107+D108+D98+D101</f>
        <v>1.0080164477952E+026</v>
      </c>
      <c r="E109" s="137" t="n">
        <f aca="false">E107+E108+E98+E101</f>
        <v>1.63542165838733E+025</v>
      </c>
      <c r="F109" s="137" t="n">
        <f aca="false">F107+F108+F98+F101</f>
        <v>1.0080164477952E+026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1.63542165838733E+025</v>
      </c>
      <c r="J109" s="137" t="n">
        <f aca="false">J107+J108+J98+J101</f>
        <v>1.0080164477952E+026</v>
      </c>
      <c r="K109" s="137" t="n">
        <f aca="false">K107+K108+K98+K101</f>
        <v>9.88213486508928E+024</v>
      </c>
      <c r="L109" s="137" t="n">
        <f aca="false">L107+L108+L98+L101</f>
        <v>6.658970545152E+025</v>
      </c>
      <c r="M109" s="137" t="n">
        <f aca="false">M107+M108+M98+M101</f>
        <v>2.50268060870438E+025</v>
      </c>
      <c r="N109" s="137" t="n">
        <f aca="false">N107+N108+N98+N101</f>
        <v>1.4664564347904E+026</v>
      </c>
      <c r="O109" s="137" t="n">
        <f aca="false">O107+O108+O98+O101</f>
        <v>1.51334199560669E+025</v>
      </c>
      <c r="P109" s="137" t="n">
        <f aca="false">P107+P108+P98+P101</f>
        <v>8.2676787618816E+025</v>
      </c>
      <c r="Q109" s="137" t="n">
        <f aca="false">Q107+Q108+Q98+Q101</f>
        <v>1.98422069490342E+025</v>
      </c>
      <c r="R109" s="137" t="n">
        <f aca="false">R107+R108+R98+R101</f>
        <v>1.5258695095296E+026</v>
      </c>
      <c r="S109" s="137" t="n">
        <f aca="false">S107+S108+S98+S101</f>
        <v>1.63542165838733E+025</v>
      </c>
      <c r="T109" s="137" t="n">
        <f aca="false">T107+T108+T98+T101</f>
        <v>1.0080164477952E+026</v>
      </c>
      <c r="U109" s="137" t="n">
        <f aca="false">U107+U108+U98+U101</f>
        <v>1.63542165838733E+025</v>
      </c>
      <c r="V109" s="137" t="n">
        <f aca="false">V107+V108+V98+V101</f>
        <v>1.0080164477952E+026</v>
      </c>
      <c r="W109" s="137" t="n">
        <f aca="false">W107+W108+W98+W101</f>
        <v>1.63542165838733E+025</v>
      </c>
      <c r="X109" s="137" t="n">
        <f aca="false">X107+X108+X98+X101</f>
        <v>1.0080164477952E+026</v>
      </c>
      <c r="Y109" s="137" t="n">
        <f aca="false">Y107+Y108+Y98+Y101</f>
        <v>1.53120940366733E+025</v>
      </c>
      <c r="Z109" s="137" t="n">
        <f aca="false">Z107+Z108+Z98+Z101</f>
        <v>9.923846095872E+025</v>
      </c>
      <c r="AA109" s="137" t="n">
        <f aca="false">AA107+AA108+AA98+AA101</f>
        <v>1.84384616782733E+025</v>
      </c>
      <c r="AB109" s="137" t="n">
        <f aca="false">AB107+AB108+AB98+AB101</f>
        <v>1.0392801242112E+026</v>
      </c>
      <c r="AC109" s="137" t="n">
        <f aca="false">AC107+AC108+AC98+AC101</f>
        <v>1.63542165838733E+025</v>
      </c>
      <c r="AD109" s="137" t="n">
        <f aca="false">AD107+AD108+AD98+AD101</f>
        <v>1.0080164477952E+026</v>
      </c>
      <c r="AE109" s="137" t="n">
        <f aca="false">AE107+AE108+AE98+AE101</f>
        <v>1.63542165838733E+025</v>
      </c>
      <c r="AF109" s="137" t="n">
        <f aca="false">AF107+AF108+AF98+AF101</f>
        <v>1.0080164477952E+026</v>
      </c>
      <c r="AG109" s="137" t="n">
        <f aca="false">AG107+AG108+AG98+AG101</f>
        <v>1.63542165838733E+025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1019</v>
      </c>
      <c r="B110" s="53" t="s">
        <v>69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1020</v>
      </c>
      <c r="B111" s="53" t="s">
        <v>69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1021</v>
      </c>
      <c r="B112" s="53" t="s">
        <v>952</v>
      </c>
      <c r="C112" s="66" t="n">
        <f aca="false">C65+C74+C86+C87+C97+C100</f>
        <v>597465.842796802</v>
      </c>
      <c r="D112" s="66" t="n">
        <f aca="false">D65+D74+D86+D87+D97+D100</f>
        <v>3211643.38116249</v>
      </c>
      <c r="E112" s="66" t="n">
        <f aca="false">E65+E74+E86+E87+E97+E100</f>
        <v>597465.842796802</v>
      </c>
      <c r="F112" s="66" t="n">
        <f aca="false">F65+F74+F86+F87+F97+F100</f>
        <v>3211643.38116249</v>
      </c>
      <c r="G112" s="66" t="n">
        <f aca="false">G65+G74+G86+G87+G97+G100</f>
        <v>597465.842796802</v>
      </c>
      <c r="H112" s="66" t="n">
        <f aca="false">H65+H74+H86+H87+H97+H100</f>
        <v>3211643.38116249</v>
      </c>
      <c r="I112" s="66" t="n">
        <f aca="false">I65+I74+I86+I87+I97+I100</f>
        <v>597465.842796802</v>
      </c>
      <c r="J112" s="66" t="n">
        <f aca="false">J65+J74+J86+J87+J97+J100</f>
        <v>3211643.38116249</v>
      </c>
      <c r="K112" s="66" t="n">
        <f aca="false">K65+K74+K86+K87+K97+K100</f>
        <v>597465.842796802</v>
      </c>
      <c r="L112" s="66" t="n">
        <f aca="false">L65+L74+L86+L87+L97+L100</f>
        <v>3211643.38116249</v>
      </c>
      <c r="M112" s="66" t="n">
        <f aca="false">M65+M74+M86+M87+M97+M100</f>
        <v>597465.842796802</v>
      </c>
      <c r="N112" s="66" t="n">
        <f aca="false">N65+N74+N86+N87+N97+N100</f>
        <v>3211643.38116249</v>
      </c>
      <c r="O112" s="66" t="n">
        <f aca="false">O65+O74+O86+O87+O97+O100</f>
        <v>496963.486645861</v>
      </c>
      <c r="P112" s="66" t="n">
        <f aca="false">P65+P74+P86+P87+P97+P100</f>
        <v>1477159.04512198</v>
      </c>
      <c r="Q112" s="66" t="n">
        <f aca="false">Q65+Q74+Q86+Q87+Q97+Q100</f>
        <v>884615.431799492</v>
      </c>
      <c r="R112" s="66" t="n">
        <f aca="false">R65+R74+R86+R87+R97+R100</f>
        <v>8167312.91270679</v>
      </c>
      <c r="S112" s="66" t="n">
        <f aca="false">S65+S74+S86+S87+S97+S100</f>
        <v>662347.704258449</v>
      </c>
      <c r="T112" s="66" t="n">
        <f aca="false">T65+T74+T86+T87+T97+T100</f>
        <v>4265551.07402946</v>
      </c>
      <c r="U112" s="66" t="n">
        <f aca="false">U65+U74+U86+U87+U97+U100</f>
        <v>581074.635690702</v>
      </c>
      <c r="V112" s="66" t="n">
        <f aca="false">V65+V74+V86+V87+V97+V100</f>
        <v>2945393.01664873</v>
      </c>
      <c r="W112" s="66" t="n">
        <f aca="false">W65+W74+W86+W87+W97+W100</f>
        <v>758502.142211168</v>
      </c>
      <c r="X112" s="66" t="n">
        <f aca="false">X65+X74+X86+X87+X97+X100</f>
        <v>5834343.77759706</v>
      </c>
      <c r="Y112" s="66" t="n">
        <f aca="false">Y65+Y74+Y86+Y87+Y97+Y100</f>
        <v>159344.417373857</v>
      </c>
      <c r="Z112" s="66" t="n">
        <f aca="false">Z65+Z74+Z86+Z87+Z97+Z100</f>
        <v>2554461.24302807</v>
      </c>
      <c r="AA112" s="66" t="n">
        <f aca="false">AA65+AA74+AA86+AA87+AA97+AA100</f>
        <v>1473708.69364269</v>
      </c>
      <c r="AB112" s="66" t="n">
        <f aca="false">AB65+AB74+AB86+AB87+AB97+AB100</f>
        <v>4526007.65743132</v>
      </c>
      <c r="AC112" s="66" t="n">
        <f aca="false">AC65+AC74+AC86+AC87+AC97+AC100</f>
        <v>597465.842796802</v>
      </c>
      <c r="AD112" s="66" t="n">
        <f aca="false">AD65+AD74+AD86+AD87+AD97+AD100</f>
        <v>3211643.38116249</v>
      </c>
      <c r="AE112" s="66" t="n">
        <f aca="false">AE65+AE74+AE86+AE87+AE97+AE100</f>
        <v>597465.842796802</v>
      </c>
      <c r="AF112" s="66" t="n">
        <f aca="false">AF65+AF74+AF86+AF87+AF97+AF100</f>
        <v>3211643.38116249</v>
      </c>
      <c r="AG112" s="66" t="n">
        <f aca="false">AG65+AG74+AG86+AG87+AG97+AG100</f>
        <v>597465.842796802</v>
      </c>
      <c r="AH112" s="66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1022</v>
      </c>
      <c r="B113" s="53" t="s">
        <v>952</v>
      </c>
      <c r="C113" s="66" t="n">
        <f aca="false">C36+C43+C51+C72+C89</f>
        <v>1249793.97622067</v>
      </c>
      <c r="D113" s="66" t="n">
        <f aca="false">D36+D43+D51+D72+D89</f>
        <v>8466017.33417989</v>
      </c>
      <c r="E113" s="66" t="n">
        <f aca="false">E36+E43+E51+E72+E89</f>
        <v>2082989.96036778</v>
      </c>
      <c r="F113" s="66" t="n">
        <f aca="false">F36+F43+F51+F72+F89</f>
        <v>14110028.8902998</v>
      </c>
      <c r="G113" s="66" t="n">
        <f aca="false">G36+G43+G51+G72+G89</f>
        <v>781121.235137919</v>
      </c>
      <c r="H113" s="66" t="n">
        <f aca="false">H36+H43+H51+H72+H89</f>
        <v>5291260.83386243</v>
      </c>
      <c r="I113" s="66" t="n">
        <f aca="false">I36+I43+I51+I72+I89</f>
        <v>624896.988110335</v>
      </c>
      <c r="J113" s="66" t="n">
        <f aca="false">J36+J43+J51+J72+J89</f>
        <v>4233008.66708995</v>
      </c>
      <c r="K113" s="66" t="n">
        <f aca="false">K36+K43+K51+K72+K89</f>
        <v>742478.144844303</v>
      </c>
      <c r="L113" s="66" t="n">
        <f aca="false">L36+L43+L51+L72+L89</f>
        <v>5784305.45269841</v>
      </c>
      <c r="M113" s="66" t="n">
        <f aca="false">M36+M43+M51+M72+M89</f>
        <v>1929597.190265</v>
      </c>
      <c r="N113" s="66" t="n">
        <f aca="false">N36+N43+N51+N72+N89</f>
        <v>12059511.2553651</v>
      </c>
      <c r="O113" s="66" t="n">
        <f aca="false">O36+O43+O51+O72+O89</f>
        <v>1120077.98093929</v>
      </c>
      <c r="P113" s="66" t="n">
        <f aca="false">P36+P43+P51+P72+P89</f>
        <v>6566576.52351323</v>
      </c>
      <c r="Q113" s="66" t="n">
        <f aca="false">Q36+Q43+Q51+Q72+Q89</f>
        <v>1620411.10559605</v>
      </c>
      <c r="R113" s="66" t="n">
        <f aca="false">R36+R43+R51+R72+R89</f>
        <v>13892991.0789418</v>
      </c>
      <c r="S113" s="66" t="n">
        <f aca="false">S36+S43+S51+S72+S89</f>
        <v>1249793.97622067</v>
      </c>
      <c r="T113" s="66" t="n">
        <f aca="false">T36+T43+T51+T72+T89</f>
        <v>8466017.33417989</v>
      </c>
      <c r="U113" s="66" t="n">
        <f aca="false">U36+U43+U51+U72+U89</f>
        <v>1249793.97622067</v>
      </c>
      <c r="V113" s="66" t="n">
        <f aca="false">V36+V43+V51+V72+V89</f>
        <v>8466017.33417989</v>
      </c>
      <c r="W113" s="66" t="n">
        <f aca="false">W36+W43+W51+W72+W89</f>
        <v>1249793.97622067</v>
      </c>
      <c r="X113" s="66" t="n">
        <f aca="false">X36+X43+X51+X72+X89</f>
        <v>8466017.33417989</v>
      </c>
      <c r="Y113" s="66" t="n">
        <f aca="false">Y36+Y43+Y51+Y72+Y89</f>
        <v>1249793.97622067</v>
      </c>
      <c r="Z113" s="66" t="n">
        <f aca="false">Z36+Z43+Z51+Z72+Z89</f>
        <v>8466017.33417989</v>
      </c>
      <c r="AA113" s="66" t="n">
        <f aca="false">AA36+AA43+AA51+AA72+AA89</f>
        <v>1249793.97622067</v>
      </c>
      <c r="AB113" s="66" t="n">
        <f aca="false">AB36+AB43+AB51+AB72+AB89</f>
        <v>8466017.33417989</v>
      </c>
      <c r="AC113" s="66" t="n">
        <f aca="false">AC36+AC43+AC51+AC72+AC89</f>
        <v>1249793.97622067</v>
      </c>
      <c r="AD113" s="66" t="n">
        <f aca="false">AD36+AD43+AD51+AD72+AD89</f>
        <v>8466017.33417989</v>
      </c>
      <c r="AE113" s="66" t="n">
        <f aca="false">AE36+AE43+AE51+AE72+AE89</f>
        <v>1249793.97622067</v>
      </c>
      <c r="AF113" s="66" t="n">
        <f aca="false">AF36+AF43+AF51+AF72+AF89</f>
        <v>8466017.33417989</v>
      </c>
      <c r="AG113" s="66" t="n">
        <f aca="false">AG36+AG43+AG51+AG72+AG89</f>
        <v>1406018.22324825</v>
      </c>
      <c r="AH113" s="66" t="n">
        <f aca="false">AH36+AH43+AH51+AH72+AH89</f>
        <v>9524269.50095238</v>
      </c>
    </row>
    <row r="114" customFormat="false" ht="15" hidden="false" customHeight="false" outlineLevel="0" collapsed="false">
      <c r="A114" s="52" t="s">
        <v>1023</v>
      </c>
      <c r="B114" s="53" t="s">
        <v>69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1024</v>
      </c>
      <c r="B115" s="53" t="s">
        <v>808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1025</v>
      </c>
      <c r="B116" s="53" t="s">
        <v>808</v>
      </c>
      <c r="C116" s="65" t="n">
        <f aca="false">C106*C20/1000000</f>
        <v>6.49768754551842</v>
      </c>
      <c r="D116" s="65" t="n">
        <f aca="false">D106*D20/1000000</f>
        <v>41.0758626424452</v>
      </c>
      <c r="E116" s="65" t="n">
        <f aca="false">E106*E20/1000000</f>
        <v>9.42843237817992</v>
      </c>
      <c r="F116" s="65" t="n">
        <f aca="false">F106*F20/1000000</f>
        <v>60.9285239829968</v>
      </c>
      <c r="G116" s="65" t="n">
        <f aca="false">G106*G20/1000000</f>
        <v>4.84914357714633</v>
      </c>
      <c r="H116" s="65" t="n">
        <f aca="false">H106*H20/1000000</f>
        <v>29.908740638385</v>
      </c>
      <c r="I116" s="65" t="n">
        <f aca="false">I106*I20/1000000</f>
        <v>4.2996289210223</v>
      </c>
      <c r="J116" s="65" t="n">
        <f aca="false">J106*J20/1000000</f>
        <v>26.1863666370315</v>
      </c>
      <c r="K116" s="65" t="n">
        <f aca="false">K106*K20/1000000</f>
        <v>4.71321752931256</v>
      </c>
      <c r="L116" s="65" t="n">
        <f aca="false">L106*L20/1000000</f>
        <v>31.6430120420143</v>
      </c>
      <c r="M116" s="65" t="n">
        <f aca="false">M106*M20/1000000</f>
        <v>8.88887736723427</v>
      </c>
      <c r="N116" s="65" t="n">
        <f aca="false">N106*N20/1000000</f>
        <v>53.7158824470228</v>
      </c>
      <c r="O116" s="65" t="n">
        <f aca="false">O106*O20/1000000</f>
        <v>5.68790058460935</v>
      </c>
      <c r="P116" s="65" t="n">
        <f aca="false">P106*P20/1000000</f>
        <v>28.2936270716719</v>
      </c>
      <c r="Q116" s="65" t="n">
        <f aca="false">Q106*Q20/1000000</f>
        <v>8.81136457668719</v>
      </c>
      <c r="R116" s="65" t="n">
        <f aca="false">R106*R20/1000000</f>
        <v>77.5965357017975</v>
      </c>
      <c r="S116" s="65" t="n">
        <f aca="false">S106*S20/1000000</f>
        <v>6.7259077768087</v>
      </c>
      <c r="T116" s="65" t="n">
        <f aca="false">T106*T20/1000000</f>
        <v>44.7829550717658</v>
      </c>
      <c r="U116" s="65" t="n">
        <f aca="false">U106*U20/1000000</f>
        <v>6.44003190813983</v>
      </c>
      <c r="V116" s="65" t="n">
        <f aca="false">V106*V20/1000000</f>
        <v>40.1393340287221</v>
      </c>
      <c r="W116" s="65" t="n">
        <f aca="false">W106*W20/1000000</f>
        <v>7.06412846861372</v>
      </c>
      <c r="X116" s="65" t="n">
        <f aca="false">X106*X20/1000000</f>
        <v>50.3011419053284</v>
      </c>
      <c r="Y116" s="65" t="n">
        <f aca="false">Y106*Y20/1000000</f>
        <v>4.95660702176752</v>
      </c>
      <c r="Z116" s="65" t="n">
        <f aca="false">Z106*Z20/1000000</f>
        <v>38.7642418568189</v>
      </c>
      <c r="AA116" s="65" t="n">
        <f aca="false">AA106*AA20/1000000</f>
        <v>9.57984859302023</v>
      </c>
      <c r="AB116" s="65" t="n">
        <f aca="false">AB106*AB20/1000000</f>
        <v>45.699104213698</v>
      </c>
      <c r="AC116" s="65" t="n">
        <f aca="false">AC106*AC20/1000000</f>
        <v>6.49768754551842</v>
      </c>
      <c r="AD116" s="65" t="n">
        <f aca="false">AD106*AD20/1000000</f>
        <v>41.0758626424452</v>
      </c>
      <c r="AE116" s="65" t="n">
        <f aca="false">AE106*AE20/1000000</f>
        <v>6.49768754551842</v>
      </c>
      <c r="AF116" s="65" t="n">
        <f aca="false">AF106*AF20/1000000</f>
        <v>41.0758626424452</v>
      </c>
      <c r="AG116" s="65" t="n">
        <f aca="false">AG106*AG20/1000000</f>
        <v>7.04720220164245</v>
      </c>
      <c r="AH116" s="65" t="n">
        <f aca="false">AH106*AH20/1000000</f>
        <v>44.7982366437987</v>
      </c>
    </row>
    <row r="117" customFormat="false" ht="15" hidden="false" customHeight="false" outlineLevel="0" collapsed="false">
      <c r="A117" s="52" t="s">
        <v>1026</v>
      </c>
      <c r="B117" s="53" t="s">
        <v>69</v>
      </c>
      <c r="C117" s="138" t="n">
        <f aca="false">C106/(C18*8760)</f>
        <v>0.000722806325283942</v>
      </c>
      <c r="D117" s="138" t="n">
        <f aca="false">D106/(D18*8760)</f>
        <v>0.00456930148248379</v>
      </c>
      <c r="E117" s="138" t="n">
        <f aca="false">E106/(E18*8760)</f>
        <v>0.00104882398741391</v>
      </c>
      <c r="F117" s="138" t="n">
        <f aca="false">F106/(F18*8760)</f>
        <v>0.00677772241533826</v>
      </c>
      <c r="G117" s="138" t="n">
        <f aca="false">G106/(G18*8760)</f>
        <v>0.000539421390335832</v>
      </c>
      <c r="H117" s="138" t="n">
        <f aca="false">H106/(H18*8760)</f>
        <v>0.00332706470775315</v>
      </c>
      <c r="I117" s="138" t="n">
        <f aca="false">I106/(I18*8760)</f>
        <v>0.000478293078686463</v>
      </c>
      <c r="J117" s="138" t="n">
        <f aca="false">J106/(J18*8760)</f>
        <v>0.00291298578284294</v>
      </c>
      <c r="K117" s="138" t="n">
        <f aca="false">K106/(K18*8760)</f>
        <v>0.000524300902245749</v>
      </c>
      <c r="L117" s="138" t="n">
        <f aca="false">L106/(L18*8760)</f>
        <v>0.00351998600960413</v>
      </c>
      <c r="M117" s="138" t="n">
        <f aca="false">M106/(M18*8760)</f>
        <v>0.000988803592155121</v>
      </c>
      <c r="N117" s="138" t="n">
        <f aca="false">N106/(N18*8760)</f>
        <v>0.00597538421614254</v>
      </c>
      <c r="O117" s="138" t="n">
        <f aca="false">O106/(O18*8760)</f>
        <v>0.000632725179741442</v>
      </c>
      <c r="P117" s="138" t="n">
        <f aca="false">P106/(P18*8760)</f>
        <v>0.00314739858901568</v>
      </c>
      <c r="Q117" s="138" t="n">
        <f aca="false">Q106/(Q18*8760)</f>
        <v>0.000980181026833943</v>
      </c>
      <c r="R117" s="138" t="n">
        <f aca="false">R106/(R18*8760)</f>
        <v>0.00863188117810696</v>
      </c>
      <c r="S117" s="138" t="n">
        <f aca="false">S106/(S18*8760)</f>
        <v>0.000748193668947173</v>
      </c>
      <c r="T117" s="138" t="n">
        <f aca="false">T106/(T18*8760)</f>
        <v>0.0049816804769421</v>
      </c>
      <c r="U117" s="138" t="n">
        <f aca="false">U106/(U18*8760)</f>
        <v>0.000716392680569021</v>
      </c>
      <c r="V117" s="138" t="n">
        <f aca="false">V106/(V18*8760)</f>
        <v>0.00446512152598906</v>
      </c>
      <c r="W117" s="138" t="n">
        <f aca="false">W106/(W18*8760)</f>
        <v>0.000785817524151968</v>
      </c>
      <c r="X117" s="138" t="n">
        <f aca="false">X106/(X18*8760)</f>
        <v>0.00559552660596204</v>
      </c>
      <c r="Y117" s="138" t="n">
        <f aca="false">Y106/(Y18*8760)</f>
        <v>0.000551375682838335</v>
      </c>
      <c r="Z117" s="138" t="n">
        <f aca="false">Z106/(Z18*8760)</f>
        <v>0.00431215551881538</v>
      </c>
      <c r="AA117" s="138" t="n">
        <f aca="false">AA106/(AA18*8760)</f>
        <v>0.00106566761017516</v>
      </c>
      <c r="AB117" s="138" t="n">
        <f aca="false">AB106/(AB18*8760)</f>
        <v>0.00508359340982061</v>
      </c>
      <c r="AC117" s="138" t="n">
        <f aca="false">AC106/(AC18*8760)</f>
        <v>0.000722806325283942</v>
      </c>
      <c r="AD117" s="138" t="n">
        <f aca="false">AD106/(AD18*8760)</f>
        <v>0.00456930148248379</v>
      </c>
      <c r="AE117" s="138" t="n">
        <f aca="false">AE106/(AE18*8760)</f>
        <v>0.000722806325283942</v>
      </c>
      <c r="AF117" s="138" t="n">
        <f aca="false">AF106/(AF18*8760)</f>
        <v>0.00456930148248379</v>
      </c>
      <c r="AG117" s="138" t="n">
        <f aca="false">AG106/(AG18*8760)</f>
        <v>0.000783934636933312</v>
      </c>
      <c r="AH117" s="138" t="n">
        <f aca="false">AH106/(AH18*8760)</f>
        <v>0.00498338040739401</v>
      </c>
    </row>
    <row r="118" customFormat="false" ht="15" hidden="false" customHeight="false" outlineLevel="0" collapsed="false">
      <c r="A118" s="82" t="s">
        <v>1027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Format="false" ht="15" hidden="false" customHeight="false" outlineLevel="0" collapsed="false">
      <c r="A119" s="52" t="s">
        <v>1028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1" t="n">
        <v>4.4</v>
      </c>
      <c r="AD119" s="141" t="n">
        <v>4.4</v>
      </c>
      <c r="AE119" s="141" t="n">
        <v>10.4</v>
      </c>
      <c r="AF119" s="141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1029</v>
      </c>
      <c r="B120" s="53" t="s">
        <v>952</v>
      </c>
      <c r="C120" s="61" t="n">
        <f aca="false">C106*C119</f>
        <v>14778078.5521398</v>
      </c>
      <c r="D120" s="61" t="n">
        <f aca="false">D106*D119</f>
        <v>93421285.7227391</v>
      </c>
      <c r="E120" s="61" t="n">
        <f aca="false">E106*E119</f>
        <v>21443646.4253167</v>
      </c>
      <c r="F120" s="61" t="n">
        <f aca="false">F106*F119</f>
        <v>138573378.171698</v>
      </c>
      <c r="G120" s="61" t="n">
        <f aca="false">G106*G119</f>
        <v>11028696.6234778</v>
      </c>
      <c r="H120" s="61" t="n">
        <f aca="false">H106*H119</f>
        <v>68023233.7201994</v>
      </c>
      <c r="I120" s="61" t="n">
        <f aca="false">I106*I119</f>
        <v>9778902.6472571</v>
      </c>
      <c r="J120" s="61" t="n">
        <f aca="false">J106*J119</f>
        <v>59557216.3860195</v>
      </c>
      <c r="K120" s="61" t="n">
        <f aca="false">K106*K119</f>
        <v>10719551.9011288</v>
      </c>
      <c r="L120" s="61" t="n">
        <f aca="false">L106*L119</f>
        <v>71967590.6708872</v>
      </c>
      <c r="M120" s="61" t="n">
        <f aca="false">M106*M119</f>
        <v>20216504.2644944</v>
      </c>
      <c r="N120" s="61" t="n">
        <f aca="false">N106*N119</f>
        <v>122169237.092221</v>
      </c>
      <c r="O120" s="61" t="n">
        <f aca="false">O106*O119</f>
        <v>12936331.7406812</v>
      </c>
      <c r="P120" s="61" t="n">
        <f aca="false">P106*P119</f>
        <v>64349884.5490817</v>
      </c>
      <c r="Q120" s="61" t="n">
        <f aca="false">Q106*Q119</f>
        <v>20040212.2991643</v>
      </c>
      <c r="R120" s="61" t="n">
        <f aca="false">R106*R119</f>
        <v>176482431.933189</v>
      </c>
      <c r="S120" s="61" t="n">
        <f aca="false">S106*S119</f>
        <v>15297133.443833</v>
      </c>
      <c r="T120" s="61" t="n">
        <f aca="false">T106*T119</f>
        <v>101852547.265675</v>
      </c>
      <c r="U120" s="61" t="n">
        <f aca="false">U106*U119</f>
        <v>14646948.895291</v>
      </c>
      <c r="V120" s="61" t="n">
        <f aca="false">V106*V119</f>
        <v>91291282.806629</v>
      </c>
      <c r="W120" s="61" t="n">
        <f aca="false">W106*W119</f>
        <v>16066368.9474547</v>
      </c>
      <c r="X120" s="61" t="n">
        <f aca="false">X106*X119</f>
        <v>114402888.894216</v>
      </c>
      <c r="Y120" s="61" t="n">
        <f aca="false">Y106*Y119</f>
        <v>11273107.1487562</v>
      </c>
      <c r="Z120" s="61" t="n">
        <f aca="false">Z106*Z119</f>
        <v>88163828.6176637</v>
      </c>
      <c r="AA120" s="61" t="n">
        <f aca="false">AA106*AA119</f>
        <v>21788021.3589069</v>
      </c>
      <c r="AB120" s="61" t="n">
        <f aca="false">AB106*AB119</f>
        <v>103936199.93289</v>
      </c>
      <c r="AC120" s="61" t="n">
        <f aca="false">AC106*AC119</f>
        <v>8127943.20367688</v>
      </c>
      <c r="AD120" s="61" t="n">
        <f aca="false">AD106*AD119</f>
        <v>51381707.1475065</v>
      </c>
      <c r="AE120" s="61" t="n">
        <f aca="false">AE106*AE119</f>
        <v>19211502.1177817</v>
      </c>
      <c r="AF120" s="61" t="n">
        <f aca="false">AF106*AF119</f>
        <v>121447671.439561</v>
      </c>
      <c r="AG120" s="61" t="n">
        <f aca="false">AG106*AG119</f>
        <v>16027872.5283604</v>
      </c>
      <c r="AH120" s="61" t="n">
        <f aca="false">AH106*AH119</f>
        <v>101887303.056919</v>
      </c>
    </row>
    <row r="121" customFormat="false" ht="15" hidden="false" customHeight="false" outlineLevel="0" collapsed="false">
      <c r="A121" s="52" t="s">
        <v>1030</v>
      </c>
      <c r="B121" s="53" t="s">
        <v>952</v>
      </c>
      <c r="C121" s="66" t="n">
        <f aca="false">C120-C106</f>
        <v>12930818.7331223</v>
      </c>
      <c r="D121" s="66" t="n">
        <f aca="false">D120-D106</f>
        <v>81743625.0073967</v>
      </c>
      <c r="E121" s="66" t="n">
        <f aca="false">E120-E106</f>
        <v>18763190.6221521</v>
      </c>
      <c r="F121" s="66" t="n">
        <f aca="false">F120-F106</f>
        <v>121251705.900236</v>
      </c>
      <c r="G121" s="66" t="n">
        <f aca="false">G120-G106</f>
        <v>9650109.54554305</v>
      </c>
      <c r="H121" s="66" t="n">
        <f aca="false">H120-H106</f>
        <v>59520329.5051744</v>
      </c>
      <c r="I121" s="66" t="n">
        <f aca="false">I120-I106</f>
        <v>8556539.81634996</v>
      </c>
      <c r="J121" s="66" t="n">
        <f aca="false">J120-J106</f>
        <v>52112564.337767</v>
      </c>
      <c r="K121" s="66" t="n">
        <f aca="false">K120-K106</f>
        <v>9379607.91348774</v>
      </c>
      <c r="L121" s="66" t="n">
        <f aca="false">L120-L106</f>
        <v>62971641.8370263</v>
      </c>
      <c r="M121" s="66" t="n">
        <f aca="false">M120-M106</f>
        <v>17689441.2314326</v>
      </c>
      <c r="N121" s="66" t="n">
        <f aca="false">N120-N106</f>
        <v>106898082.455693</v>
      </c>
      <c r="O121" s="66" t="n">
        <f aca="false">O120-O106</f>
        <v>11319290.273096</v>
      </c>
      <c r="P121" s="66" t="n">
        <f aca="false">P120-P106</f>
        <v>56306148.9804465</v>
      </c>
      <c r="Q121" s="66" t="n">
        <f aca="false">Q120-Q106</f>
        <v>17535185.7617688</v>
      </c>
      <c r="R121" s="66" t="n">
        <f aca="false">R120-R106</f>
        <v>154422127.94154</v>
      </c>
      <c r="S121" s="66" t="n">
        <f aca="false">S120-S106</f>
        <v>13384991.7633538</v>
      </c>
      <c r="T121" s="66" t="n">
        <f aca="false">T120-T106</f>
        <v>89120978.8574655</v>
      </c>
      <c r="U121" s="66" t="n">
        <f aca="false">U120-U106</f>
        <v>12816080.2833796</v>
      </c>
      <c r="V121" s="66" t="n">
        <f aca="false">V120-V106</f>
        <v>79879872.4558003</v>
      </c>
      <c r="W121" s="66" t="n">
        <f aca="false">W120-W106</f>
        <v>14058072.8290229</v>
      </c>
      <c r="X121" s="66" t="n">
        <f aca="false">X120-X106</f>
        <v>100102527.782439</v>
      </c>
      <c r="Y121" s="66" t="n">
        <f aca="false">Y120-Y106</f>
        <v>9863968.75516169</v>
      </c>
      <c r="Z121" s="66" t="n">
        <f aca="false">Z120-Z106</f>
        <v>77143350.0404557</v>
      </c>
      <c r="AA121" s="66" t="n">
        <f aca="false">AA120-AA106</f>
        <v>19064518.6890435</v>
      </c>
      <c r="AB121" s="66" t="n">
        <f aca="false">AB120-AB106</f>
        <v>90944174.9412785</v>
      </c>
      <c r="AC121" s="66" t="n">
        <f aca="false">AC120-AC106</f>
        <v>6280683.38465941</v>
      </c>
      <c r="AD121" s="66" t="n">
        <f aca="false">AD120-AD106</f>
        <v>39704046.4321641</v>
      </c>
      <c r="AE121" s="66" t="n">
        <f aca="false">AE120-AE106</f>
        <v>17364242.2987642</v>
      </c>
      <c r="AF121" s="66" t="n">
        <f aca="false">AF120-AF106</f>
        <v>109770010.724218</v>
      </c>
      <c r="AG121" s="66" t="n">
        <f aca="false">AG120-AG106</f>
        <v>14024388.4623154</v>
      </c>
      <c r="AH121" s="66" t="n">
        <f aca="false">AH120-AH106</f>
        <v>89151390.1748041</v>
      </c>
    </row>
    <row r="122" customFormat="false" ht="15" hidden="false" customHeight="false" outlineLevel="0" collapsed="false">
      <c r="A122" s="52" t="s">
        <v>1031</v>
      </c>
      <c r="B122" s="53" t="s">
        <v>808</v>
      </c>
      <c r="C122" s="61" t="n">
        <f aca="false">C120*C19/1000000</f>
        <v>69.7038046570847</v>
      </c>
      <c r="D122" s="61" t="n">
        <f aca="false">D120*D19/1000000</f>
        <v>440.64044103275</v>
      </c>
      <c r="E122" s="61" t="n">
        <f aca="false">E120*E19/1000000</f>
        <v>101.143307385482</v>
      </c>
      <c r="F122" s="61" t="n">
        <f aca="false">F120*F19/1000000</f>
        <v>653.609442436873</v>
      </c>
      <c r="G122" s="61" t="n">
        <f aca="false">G120*G19/1000000</f>
        <v>52.0190843723614</v>
      </c>
      <c r="H122" s="61" t="n">
        <f aca="false">H120*H19/1000000</f>
        <v>320.845377742931</v>
      </c>
      <c r="I122" s="61" t="n">
        <f aca="false">I120*I19/1000000</f>
        <v>46.124177610787</v>
      </c>
      <c r="J122" s="61" t="n">
        <f aca="false">J120*J19/1000000</f>
        <v>280.913689979658</v>
      </c>
      <c r="K122" s="61" t="n">
        <f aca="false">K120*K19/1000000</f>
        <v>50.5609405912636</v>
      </c>
      <c r="L122" s="61" t="n">
        <f aca="false">L120*L19/1000000</f>
        <v>339.449737262237</v>
      </c>
      <c r="M122" s="61" t="n">
        <f aca="false">M120*M19/1000000</f>
        <v>95.355242505285</v>
      </c>
      <c r="N122" s="61" t="n">
        <f aca="false">N120*N19/1000000</f>
        <v>576.235984085237</v>
      </c>
      <c r="O122" s="61" t="n">
        <f aca="false">O120*O19/1000000</f>
        <v>61.0168322932025</v>
      </c>
      <c r="P122" s="61" t="n">
        <f aca="false">P120*P19/1000000</f>
        <v>303.519281379491</v>
      </c>
      <c r="Q122" s="61" t="n">
        <f aca="false">Q120*Q19/1000000</f>
        <v>94.5237256967481</v>
      </c>
      <c r="R122" s="61" t="n">
        <f aca="false">R120*R19/1000000</f>
        <v>832.415182899203</v>
      </c>
      <c r="S122" s="61" t="n">
        <f aca="false">S120*S19/1000000</f>
        <v>72.1520323241143</v>
      </c>
      <c r="T122" s="61" t="n">
        <f aca="false">T120*T19/1000000</f>
        <v>480.408196057742</v>
      </c>
      <c r="U122" s="61" t="n">
        <f aca="false">U120*U19/1000000</f>
        <v>69.0853050359404</v>
      </c>
      <c r="V122" s="61" t="n">
        <f aca="false">V120*V19/1000000</f>
        <v>430.593850289594</v>
      </c>
      <c r="W122" s="61" t="n">
        <f aca="false">W120*W19/1000000</f>
        <v>75.7802875868379</v>
      </c>
      <c r="X122" s="61" t="n">
        <f aca="false">X120*X19/1000000</f>
        <v>539.604427703758</v>
      </c>
      <c r="Y122" s="61" t="n">
        <f aca="false">Y120*Y19/1000000</f>
        <v>53.1718961841296</v>
      </c>
      <c r="Z122" s="61" t="n">
        <f aca="false">Z120*Z19/1000000</f>
        <v>415.842578323317</v>
      </c>
      <c r="AA122" s="61" t="n">
        <f aca="false">AA120*AA19/1000000</f>
        <v>102.767621602995</v>
      </c>
      <c r="AB122" s="61" t="n">
        <f aca="false">AB120*AB19/1000000</f>
        <v>490.236166451615</v>
      </c>
      <c r="AC122" s="61" t="n">
        <f aca="false">AC120*AC19/1000000</f>
        <v>38.3370925613966</v>
      </c>
      <c r="AD122" s="61" t="n">
        <f aca="false">AD120*AD19/1000000</f>
        <v>242.352242568013</v>
      </c>
      <c r="AE122" s="61" t="n">
        <f aca="false">AE120*AE19/1000000</f>
        <v>90.6149460542101</v>
      </c>
      <c r="AF122" s="61" t="n">
        <f aca="false">AF120*AF19/1000000</f>
        <v>572.832573342575</v>
      </c>
      <c r="AG122" s="61" t="n">
        <f aca="false">AG120*AG19/1000000</f>
        <v>75.5987114186591</v>
      </c>
      <c r="AH122" s="61" t="n">
        <f aca="false">AH120*AH19/1000000</f>
        <v>480.572128796023</v>
      </c>
    </row>
    <row r="123" customFormat="false" ht="15" hidden="false" customHeight="false" outlineLevel="0" collapsed="false">
      <c r="A123" s="52" t="s">
        <v>1032</v>
      </c>
      <c r="B123" s="53" t="s">
        <v>69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82" t="s">
        <v>1033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Format="false" ht="15" hidden="false" customHeight="false" outlineLevel="0" collapsed="false">
      <c r="A125" s="52" t="s">
        <v>1034</v>
      </c>
      <c r="B125" s="53" t="s">
        <v>952</v>
      </c>
      <c r="C125" s="66" t="n">
        <f aca="false">C103</f>
        <v>1046822.0417505</v>
      </c>
      <c r="D125" s="66" t="n">
        <f aca="false">D103</f>
        <v>5684233.89686067</v>
      </c>
      <c r="E125" s="66" t="n">
        <f aca="false">E103</f>
        <v>1744703.4029175</v>
      </c>
      <c r="F125" s="66" t="n">
        <f aca="false">F103</f>
        <v>9473723.16143445</v>
      </c>
      <c r="G125" s="66" t="n">
        <f aca="false">G103</f>
        <v>654263.776094062</v>
      </c>
      <c r="H125" s="66" t="n">
        <f aca="false">H103</f>
        <v>3552646.18553792</v>
      </c>
      <c r="I125" s="66" t="n">
        <f aca="false">I103</f>
        <v>523411.02087525</v>
      </c>
      <c r="J125" s="66" t="n">
        <f aca="false">J103</f>
        <v>2842116.94843034</v>
      </c>
      <c r="K125" s="66" t="n">
        <f aca="false">K103</f>
        <v>539506.210374133</v>
      </c>
      <c r="L125" s="66" t="n">
        <f aca="false">L103</f>
        <v>3002522.01537919</v>
      </c>
      <c r="M125" s="66" t="n">
        <f aca="false">M103</f>
        <v>1726625.25579483</v>
      </c>
      <c r="N125" s="66" t="n">
        <f aca="false">N103</f>
        <v>9277727.81804586</v>
      </c>
      <c r="O125" s="66" t="n">
        <f aca="false">O103</f>
        <v>1046822.0417505</v>
      </c>
      <c r="P125" s="66" t="n">
        <f aca="false">P103</f>
        <v>5684233.89686067</v>
      </c>
      <c r="Q125" s="66" t="n">
        <f aca="false">Q103</f>
        <v>1046822.0417505</v>
      </c>
      <c r="R125" s="66" t="n">
        <f aca="false">R103</f>
        <v>5684233.89686067</v>
      </c>
      <c r="S125" s="66" t="n">
        <f aca="false">S103</f>
        <v>1046822.0417505</v>
      </c>
      <c r="T125" s="66" t="n">
        <f aca="false">T103</f>
        <v>5684233.89686067</v>
      </c>
      <c r="U125" s="66" t="n">
        <f aca="false">U103</f>
        <v>1046822.0417505</v>
      </c>
      <c r="V125" s="66" t="n">
        <f aca="false">V103</f>
        <v>5684233.89686067</v>
      </c>
      <c r="W125" s="66" t="n">
        <f aca="false">W103</f>
        <v>1046822.0417505</v>
      </c>
      <c r="X125" s="66" t="n">
        <f aca="false">X103</f>
        <v>5684233.89686067</v>
      </c>
      <c r="Y125" s="66" t="n">
        <f aca="false">Y103</f>
        <v>1046822.0417505</v>
      </c>
      <c r="Z125" s="66" t="n">
        <f aca="false">Z103</f>
        <v>5684233.89686067</v>
      </c>
      <c r="AA125" s="66" t="n">
        <f aca="false">AA103</f>
        <v>1046822.0417505</v>
      </c>
      <c r="AB125" s="66" t="n">
        <f aca="false">AB103</f>
        <v>5684233.89686067</v>
      </c>
      <c r="AC125" s="66" t="n">
        <f aca="false">AC103</f>
        <v>1046822.0417505</v>
      </c>
      <c r="AD125" s="66" t="n">
        <f aca="false">AD103</f>
        <v>5684233.89686067</v>
      </c>
      <c r="AE125" s="66" t="n">
        <f aca="false">AE103</f>
        <v>1046822.0417505</v>
      </c>
      <c r="AF125" s="66" t="n">
        <f aca="false">AF103</f>
        <v>5684233.89686067</v>
      </c>
      <c r="AG125" s="66" t="n">
        <f aca="false">AG103</f>
        <v>1177674.79696931</v>
      </c>
      <c r="AH125" s="66" t="n">
        <f aca="false">AH103</f>
        <v>6394763.13396825</v>
      </c>
    </row>
    <row r="126" customFormat="false" ht="15" hidden="false" customHeight="false" outlineLevel="0" collapsed="false">
      <c r="A126" s="52" t="s">
        <v>1035</v>
      </c>
      <c r="B126" s="53" t="s">
        <v>952</v>
      </c>
      <c r="C126" s="66" t="n">
        <f aca="false">C65+C74+C86+C87</f>
        <v>156764.311859953</v>
      </c>
      <c r="D126" s="66" t="n">
        <f aca="false">D65+D74+D86+D87</f>
        <v>2532555.17175692</v>
      </c>
      <c r="E126" s="66" t="n">
        <f aca="false">E65+E74+E86+E87</f>
        <v>156764.311859953</v>
      </c>
      <c r="F126" s="66" t="n">
        <f aca="false">F65+F74+F86+F87</f>
        <v>2532555.17175692</v>
      </c>
      <c r="G126" s="66" t="n">
        <f aca="false">G65+G74+G86+G87</f>
        <v>156764.311859953</v>
      </c>
      <c r="H126" s="66" t="n">
        <f aca="false">H65+H74+H86+H87</f>
        <v>2532555.17175692</v>
      </c>
      <c r="I126" s="66" t="n">
        <f aca="false">I65+I74+I86+I87</f>
        <v>156764.311859953</v>
      </c>
      <c r="J126" s="66" t="n">
        <f aca="false">J65+J74+J86+J87</f>
        <v>2532555.17175692</v>
      </c>
      <c r="K126" s="66" t="n">
        <f aca="false">K65+K74+K86+K87</f>
        <v>156764.311859953</v>
      </c>
      <c r="L126" s="66" t="n">
        <f aca="false">L65+L74+L86+L87</f>
        <v>2532555.17175692</v>
      </c>
      <c r="M126" s="66" t="n">
        <f aca="false">M65+M74+M86+M87</f>
        <v>156764.311859953</v>
      </c>
      <c r="N126" s="66" t="n">
        <f aca="false">N65+N74+N86+N87</f>
        <v>2532555.17175692</v>
      </c>
      <c r="O126" s="66" t="n">
        <f aca="false">O65+O74+O86+O87</f>
        <v>56261.9557090114</v>
      </c>
      <c r="P126" s="66" t="n">
        <f aca="false">P65+P74+P86+P87</f>
        <v>798070.835716417</v>
      </c>
      <c r="Q126" s="66" t="n">
        <f aca="false">Q65+Q74+Q86+Q87</f>
        <v>443913.900862643</v>
      </c>
      <c r="R126" s="66" t="n">
        <f aca="false">R65+R74+R86+R87</f>
        <v>7488224.70330122</v>
      </c>
      <c r="S126" s="66" t="n">
        <f aca="false">S65+S74+S86+S87</f>
        <v>221646.1733216</v>
      </c>
      <c r="T126" s="66" t="n">
        <f aca="false">T65+T74+T86+T87</f>
        <v>3586462.86462389</v>
      </c>
      <c r="U126" s="66" t="n">
        <f aca="false">U65+U74+U86+U87</f>
        <v>140373.104753853</v>
      </c>
      <c r="V126" s="66" t="n">
        <f aca="false">V65+V74+V86+V87</f>
        <v>2266304.80724316</v>
      </c>
      <c r="W126" s="66" t="n">
        <f aca="false">W65+W74+W86+W87</f>
        <v>315175.764791469</v>
      </c>
      <c r="X126" s="66" t="n">
        <f aca="false">X65+X74+X86+X87</f>
        <v>5132735.39997608</v>
      </c>
      <c r="Y126" s="66" t="n">
        <f aca="false">Y65+Y74+Y86+Y87</f>
        <v>156764.311859953</v>
      </c>
      <c r="Z126" s="66" t="n">
        <f aca="false">Z65+Z74+Z86+Z87</f>
        <v>2532555.17175692</v>
      </c>
      <c r="AA126" s="66" t="n">
        <f aca="false">AA65+AA74+AA86+AA87</f>
        <v>156764.311859953</v>
      </c>
      <c r="AB126" s="66" t="n">
        <f aca="false">AB65+AB74+AB86+AB87</f>
        <v>2532555.17175692</v>
      </c>
      <c r="AC126" s="66" t="n">
        <f aca="false">AC65+AC74+AC86+AC87</f>
        <v>156764.311859953</v>
      </c>
      <c r="AD126" s="66" t="n">
        <f aca="false">AD65+AD74+AD86+AD87</f>
        <v>2532555.17175692</v>
      </c>
      <c r="AE126" s="66" t="n">
        <f aca="false">AE65+AE74+AE86+AE87</f>
        <v>156764.311859953</v>
      </c>
      <c r="AF126" s="66" t="n">
        <f aca="false">AF65+AF74+AF86+AF87</f>
        <v>2532555.17175692</v>
      </c>
      <c r="AG126" s="66" t="n">
        <f aca="false">AG65+AG74+AG86+AG87</f>
        <v>156764.311859953</v>
      </c>
      <c r="AH126" s="66" t="n">
        <f aca="false">AH65+AH74+AH86+AH87</f>
        <v>2532555.17175692</v>
      </c>
    </row>
    <row r="127" customFormat="false" ht="15" hidden="false" customHeight="false" outlineLevel="0" collapsed="false">
      <c r="A127" s="52" t="s">
        <v>1036</v>
      </c>
      <c r="B127" s="53" t="s">
        <v>952</v>
      </c>
      <c r="C127" s="66" t="n">
        <f aca="false">C51+C72+C89</f>
        <v>202971.93447017</v>
      </c>
      <c r="D127" s="66" t="n">
        <f aca="false">D51+D72+D89</f>
        <v>2781783.43731922</v>
      </c>
      <c r="E127" s="66" t="n">
        <f aca="false">E51+E72+E89</f>
        <v>338286.557450284</v>
      </c>
      <c r="F127" s="66" t="n">
        <f aca="false">F51+F72+F89</f>
        <v>4636305.72886537</v>
      </c>
      <c r="G127" s="66" t="n">
        <f aca="false">G51+G72+G89</f>
        <v>126857.459043857</v>
      </c>
      <c r="H127" s="66" t="n">
        <f aca="false">H51+H72+H89</f>
        <v>1738614.64832451</v>
      </c>
      <c r="I127" s="66" t="n">
        <f aca="false">I51+I72+I89</f>
        <v>101485.967235085</v>
      </c>
      <c r="J127" s="66" t="n">
        <f aca="false">J51+J72+J89</f>
        <v>1390891.71865961</v>
      </c>
      <c r="K127" s="66" t="n">
        <f aca="false">K51+K72+K89</f>
        <v>202971.93447017</v>
      </c>
      <c r="L127" s="66" t="n">
        <f aca="false">L51+L72+L89</f>
        <v>2781783.43731922</v>
      </c>
      <c r="M127" s="66" t="n">
        <f aca="false">M51+M72+M89</f>
        <v>202971.93447017</v>
      </c>
      <c r="N127" s="66" t="n">
        <f aca="false">N51+N72+N89</f>
        <v>2781783.43731922</v>
      </c>
      <c r="O127" s="66" t="n">
        <f aca="false">O51+O72+O89</f>
        <v>73255.9391887878</v>
      </c>
      <c r="P127" s="66" t="n">
        <f aca="false">P51+P72+P89</f>
        <v>882342.626652557</v>
      </c>
      <c r="Q127" s="66" t="n">
        <f aca="false">Q51+Q72+Q89</f>
        <v>573589.06384555</v>
      </c>
      <c r="R127" s="66" t="n">
        <f aca="false">R51+R72+R89</f>
        <v>8208757.18208113</v>
      </c>
      <c r="S127" s="66" t="n">
        <f aca="false">S51+S72+S89</f>
        <v>202971.93447017</v>
      </c>
      <c r="T127" s="66" t="n">
        <f aca="false">T51+T72+T89</f>
        <v>2781783.43731922</v>
      </c>
      <c r="U127" s="66" t="n">
        <f aca="false">U51+U72+U89</f>
        <v>202971.93447017</v>
      </c>
      <c r="V127" s="66" t="n">
        <f aca="false">V51+V72+V89</f>
        <v>2781783.43731922</v>
      </c>
      <c r="W127" s="66" t="n">
        <f aca="false">W51+W72+W89</f>
        <v>202971.93447017</v>
      </c>
      <c r="X127" s="66" t="n">
        <f aca="false">X51+X72+X89</f>
        <v>2781783.43731922</v>
      </c>
      <c r="Y127" s="66" t="n">
        <f aca="false">Y51+Y72+Y89</f>
        <v>202971.93447017</v>
      </c>
      <c r="Z127" s="66" t="n">
        <f aca="false">Z51+Z72+Z89</f>
        <v>2781783.43731922</v>
      </c>
      <c r="AA127" s="66" t="n">
        <f aca="false">AA51+AA72+AA89</f>
        <v>202971.93447017</v>
      </c>
      <c r="AB127" s="66" t="n">
        <f aca="false">AB51+AB72+AB89</f>
        <v>2781783.43731922</v>
      </c>
      <c r="AC127" s="66" t="n">
        <f aca="false">AC51+AC72+AC89</f>
        <v>202971.93447017</v>
      </c>
      <c r="AD127" s="66" t="n">
        <f aca="false">AD51+AD72+AD89</f>
        <v>2781783.43731922</v>
      </c>
      <c r="AE127" s="66" t="n">
        <f aca="false">AE51+AE72+AE89</f>
        <v>202971.93447017</v>
      </c>
      <c r="AF127" s="66" t="n">
        <f aca="false">AF51+AF72+AF89</f>
        <v>2781783.43731922</v>
      </c>
      <c r="AG127" s="66" t="n">
        <f aca="false">AG51+AG72+AG89</f>
        <v>228343.426278942</v>
      </c>
      <c r="AH127" s="66" t="n">
        <f aca="false">AH51+AH72+AH89</f>
        <v>3129506.36698413</v>
      </c>
    </row>
    <row r="128" customFormat="false" ht="15" hidden="false" customHeight="false" outlineLevel="0" collapsed="false">
      <c r="A128" s="52" t="s">
        <v>1037</v>
      </c>
      <c r="B128" s="53" t="s">
        <v>952</v>
      </c>
      <c r="C128" s="66" t="n">
        <f aca="false">C105</f>
        <v>440701.530936849</v>
      </c>
      <c r="D128" s="66" t="n">
        <f aca="false">D105</f>
        <v>679088.209405565</v>
      </c>
      <c r="E128" s="66" t="n">
        <f aca="false">E105</f>
        <v>440701.530936849</v>
      </c>
      <c r="F128" s="66" t="n">
        <f aca="false">F105</f>
        <v>679088.209405565</v>
      </c>
      <c r="G128" s="66" t="n">
        <f aca="false">G105</f>
        <v>440701.530936849</v>
      </c>
      <c r="H128" s="66" t="n">
        <f aca="false">H105</f>
        <v>679088.209405565</v>
      </c>
      <c r="I128" s="66" t="n">
        <f aca="false">I105</f>
        <v>440701.530936849</v>
      </c>
      <c r="J128" s="66" t="n">
        <f aca="false">J105</f>
        <v>679088.209405565</v>
      </c>
      <c r="K128" s="66" t="n">
        <f aca="false">K105</f>
        <v>440701.530936849</v>
      </c>
      <c r="L128" s="66" t="n">
        <f aca="false">L105</f>
        <v>679088.209405565</v>
      </c>
      <c r="M128" s="66" t="n">
        <f aca="false">M105</f>
        <v>440701.530936849</v>
      </c>
      <c r="N128" s="66" t="n">
        <f aca="false">N105</f>
        <v>679088.209405565</v>
      </c>
      <c r="O128" s="66" t="n">
        <f aca="false">O105</f>
        <v>440701.530936849</v>
      </c>
      <c r="P128" s="66" t="n">
        <f aca="false">P105</f>
        <v>679088.209405565</v>
      </c>
      <c r="Q128" s="66" t="n">
        <f aca="false">Q105</f>
        <v>440701.530936849</v>
      </c>
      <c r="R128" s="66" t="n">
        <f aca="false">R105</f>
        <v>679088.209405565</v>
      </c>
      <c r="S128" s="66" t="n">
        <f aca="false">S105</f>
        <v>440701.530936849</v>
      </c>
      <c r="T128" s="66" t="n">
        <f aca="false">T105</f>
        <v>679088.209405565</v>
      </c>
      <c r="U128" s="66" t="n">
        <f aca="false">U105</f>
        <v>440701.530936849</v>
      </c>
      <c r="V128" s="66" t="n">
        <f aca="false">V105</f>
        <v>679088.209405565</v>
      </c>
      <c r="W128" s="66" t="n">
        <f aca="false">W105</f>
        <v>443326.377419699</v>
      </c>
      <c r="X128" s="66" t="n">
        <f aca="false">X105</f>
        <v>701608.377620974</v>
      </c>
      <c r="Y128" s="66" t="n">
        <f aca="false">Y105</f>
        <v>2580.10551390417</v>
      </c>
      <c r="Z128" s="66" t="n">
        <f aca="false">Z105</f>
        <v>21906.0712711473</v>
      </c>
      <c r="AA128" s="66" t="n">
        <f aca="false">AA105</f>
        <v>1316944.38178274</v>
      </c>
      <c r="AB128" s="66" t="n">
        <f aca="false">AB105</f>
        <v>1993452.4856744</v>
      </c>
      <c r="AC128" s="66" t="n">
        <f aca="false">AC105</f>
        <v>440701.530936849</v>
      </c>
      <c r="AD128" s="66" t="n">
        <f aca="false">AD105</f>
        <v>679088.209405565</v>
      </c>
      <c r="AE128" s="66" t="n">
        <f aca="false">AE105</f>
        <v>440701.530936849</v>
      </c>
      <c r="AF128" s="66" t="n">
        <f aca="false">AF105</f>
        <v>679088.209405565</v>
      </c>
      <c r="AG128" s="66" t="n">
        <f aca="false">AG105</f>
        <v>440701.530936849</v>
      </c>
      <c r="AH128" s="66" t="n">
        <f aca="false">AH105</f>
        <v>679088.209405565</v>
      </c>
    </row>
    <row r="129" customFormat="false" ht="15" hidden="false" customHeight="false" outlineLevel="0" collapsed="false">
      <c r="A129" s="52" t="s">
        <v>1038</v>
      </c>
      <c r="B129" s="53" t="s">
        <v>952</v>
      </c>
      <c r="C129" s="66" t="n">
        <f aca="false">C121</f>
        <v>12930818.7331223</v>
      </c>
      <c r="D129" s="66" t="n">
        <f aca="false">D121</f>
        <v>81743625.0073967</v>
      </c>
      <c r="E129" s="66" t="n">
        <f aca="false">E121</f>
        <v>18763190.6221521</v>
      </c>
      <c r="F129" s="66" t="n">
        <f aca="false">F121</f>
        <v>121251705.900236</v>
      </c>
      <c r="G129" s="66" t="n">
        <f aca="false">G121</f>
        <v>9650109.54554305</v>
      </c>
      <c r="H129" s="66" t="n">
        <f aca="false">H121</f>
        <v>59520329.5051744</v>
      </c>
      <c r="I129" s="66" t="n">
        <f aca="false">I121</f>
        <v>8556539.81634996</v>
      </c>
      <c r="J129" s="66" t="n">
        <f aca="false">J121</f>
        <v>52112564.337767</v>
      </c>
      <c r="K129" s="66" t="n">
        <f aca="false">K121</f>
        <v>9379607.91348774</v>
      </c>
      <c r="L129" s="66" t="n">
        <f aca="false">L121</f>
        <v>62971641.8370263</v>
      </c>
      <c r="M129" s="66" t="n">
        <f aca="false">M121</f>
        <v>17689441.2314326</v>
      </c>
      <c r="N129" s="66" t="n">
        <f aca="false">N121</f>
        <v>106898082.455693</v>
      </c>
      <c r="O129" s="66" t="n">
        <f aca="false">O121</f>
        <v>11319290.273096</v>
      </c>
      <c r="P129" s="66" t="n">
        <f aca="false">P121</f>
        <v>56306148.9804465</v>
      </c>
      <c r="Q129" s="66" t="n">
        <f aca="false">Q121</f>
        <v>17535185.7617688</v>
      </c>
      <c r="R129" s="66" t="n">
        <f aca="false">R121</f>
        <v>154422127.94154</v>
      </c>
      <c r="S129" s="66" t="n">
        <f aca="false">S121</f>
        <v>13384991.7633538</v>
      </c>
      <c r="T129" s="66" t="n">
        <f aca="false">T121</f>
        <v>89120978.8574655</v>
      </c>
      <c r="U129" s="66" t="n">
        <f aca="false">U121</f>
        <v>12816080.2833796</v>
      </c>
      <c r="V129" s="66" t="n">
        <f aca="false">V121</f>
        <v>79879872.4558003</v>
      </c>
      <c r="W129" s="66" t="n">
        <f aca="false">W121</f>
        <v>14058072.8290229</v>
      </c>
      <c r="X129" s="66" t="n">
        <f aca="false">X121</f>
        <v>100102527.782439</v>
      </c>
      <c r="Y129" s="66" t="n">
        <f aca="false">Y121</f>
        <v>9863968.75516169</v>
      </c>
      <c r="Z129" s="66" t="n">
        <f aca="false">Z121</f>
        <v>77143350.0404557</v>
      </c>
      <c r="AA129" s="66" t="n">
        <f aca="false">AA121</f>
        <v>19064518.6890435</v>
      </c>
      <c r="AB129" s="66" t="n">
        <f aca="false">AB121</f>
        <v>90944174.9412785</v>
      </c>
      <c r="AC129" s="66" t="n">
        <f aca="false">AC121</f>
        <v>6280683.38465941</v>
      </c>
      <c r="AD129" s="66" t="n">
        <f aca="false">AD121</f>
        <v>39704046.4321641</v>
      </c>
      <c r="AE129" s="66" t="n">
        <f aca="false">AE121</f>
        <v>17364242.2987642</v>
      </c>
      <c r="AF129" s="66" t="n">
        <f aca="false">AF121</f>
        <v>109770010.724218</v>
      </c>
      <c r="AG129" s="66" t="n">
        <f aca="false">AG121</f>
        <v>14024388.4623154</v>
      </c>
      <c r="AH129" s="66" t="n">
        <f aca="false">AH121</f>
        <v>89151390.1748041</v>
      </c>
    </row>
    <row r="130" customFormat="false" ht="15" hidden="false" customHeight="false" outlineLevel="0" collapsed="false">
      <c r="A130" s="82" t="s">
        <v>1061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Format="false" ht="15" hidden="false" customHeight="false" outlineLevel="0" collapsed="false">
      <c r="A131" s="52" t="s">
        <v>1062</v>
      </c>
      <c r="B131" s="53" t="s">
        <v>73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1063</v>
      </c>
      <c r="B132" s="53" t="s">
        <v>73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1064</v>
      </c>
      <c r="B133" s="53" t="s">
        <v>73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1065</v>
      </c>
    </row>
    <row r="2" customFormat="false" ht="15" hidden="false" customHeight="false" outlineLevel="0" collapsed="false">
      <c r="A2" s="50" t="s">
        <v>1066</v>
      </c>
    </row>
    <row r="4" customFormat="false" ht="15" hidden="false" customHeight="false" outlineLevel="0" collapsed="false">
      <c r="A4" s="82" t="s">
        <v>1067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10" t="s">
        <v>310</v>
      </c>
      <c r="B5" s="10" t="s">
        <v>53</v>
      </c>
      <c r="C5" s="10" t="s">
        <v>1068</v>
      </c>
      <c r="D5" s="51" t="s">
        <v>1069</v>
      </c>
      <c r="E5" s="51" t="s">
        <v>1070</v>
      </c>
      <c r="F5" s="10" t="s">
        <v>57</v>
      </c>
      <c r="G5" s="10" t="s">
        <v>278</v>
      </c>
    </row>
    <row r="6" customFormat="false" ht="15" hidden="false" customHeight="false" outlineLevel="0" collapsed="false">
      <c r="A6" s="52" t="s">
        <v>1071</v>
      </c>
      <c r="B6" s="53" t="s">
        <v>738</v>
      </c>
      <c r="C6" s="142" t="n">
        <v>0.1</v>
      </c>
      <c r="D6" s="142" t="n">
        <v>2</v>
      </c>
      <c r="E6" s="142" t="n">
        <v>10</v>
      </c>
      <c r="F6" s="50" t="s">
        <v>105</v>
      </c>
      <c r="G6" s="78" t="s">
        <v>1072</v>
      </c>
    </row>
    <row r="7" customFormat="false" ht="15" hidden="false" customHeight="false" outlineLevel="0" collapsed="false">
      <c r="A7" s="52" t="s">
        <v>1073</v>
      </c>
      <c r="B7" s="53" t="s">
        <v>738</v>
      </c>
      <c r="C7" s="142" t="n">
        <v>0.01</v>
      </c>
      <c r="D7" s="142" t="n">
        <v>0.2</v>
      </c>
      <c r="E7" s="142" t="n">
        <v>1</v>
      </c>
      <c r="F7" s="50" t="s">
        <v>105</v>
      </c>
      <c r="G7" s="85" t="s">
        <v>1074</v>
      </c>
    </row>
    <row r="8" customFormat="false" ht="15" hidden="false" customHeight="false" outlineLevel="0" collapsed="false">
      <c r="A8" s="52" t="s">
        <v>1075</v>
      </c>
      <c r="B8" s="53" t="s">
        <v>738</v>
      </c>
      <c r="C8" s="142" t="n">
        <v>0.5</v>
      </c>
      <c r="D8" s="142" t="n">
        <v>10</v>
      </c>
      <c r="E8" s="142" t="n">
        <v>50</v>
      </c>
      <c r="F8" s="50" t="s">
        <v>105</v>
      </c>
      <c r="G8" s="85" t="s">
        <v>1076</v>
      </c>
    </row>
    <row r="10" customFormat="false" ht="15" hidden="false" customHeight="false" outlineLevel="0" collapsed="false">
      <c r="A10" s="82" t="s">
        <v>1077</v>
      </c>
      <c r="B10" s="60"/>
      <c r="C10" s="60"/>
      <c r="D10" s="60"/>
      <c r="E10" s="60"/>
      <c r="F10" s="60"/>
      <c r="G10" s="60"/>
    </row>
    <row r="11" customFormat="false" ht="15" hidden="false" customHeight="false" outlineLevel="0" collapsed="false">
      <c r="A11" s="10" t="s">
        <v>310</v>
      </c>
      <c r="B11" s="10" t="s">
        <v>53</v>
      </c>
      <c r="C11" s="10" t="s">
        <v>55</v>
      </c>
      <c r="D11" s="10" t="s">
        <v>1078</v>
      </c>
      <c r="E11" s="10" t="s">
        <v>1079</v>
      </c>
      <c r="F11" s="10" t="s">
        <v>57</v>
      </c>
      <c r="G11" s="10" t="s">
        <v>278</v>
      </c>
    </row>
    <row r="12" customFormat="false" ht="15" hidden="false" customHeight="false" outlineLevel="0" collapsed="false">
      <c r="A12" s="5" t="s">
        <v>1080</v>
      </c>
      <c r="B12" s="53" t="s">
        <v>69</v>
      </c>
      <c r="C12" s="57" t="n">
        <v>0.2</v>
      </c>
      <c r="D12" s="57" t="n">
        <v>0.1</v>
      </c>
      <c r="E12" s="57" t="n">
        <v>0.3</v>
      </c>
      <c r="F12" s="50" t="s">
        <v>70</v>
      </c>
      <c r="G12" s="85" t="s">
        <v>1081</v>
      </c>
    </row>
    <row r="13" customFormat="false" ht="15" hidden="false" customHeight="false" outlineLevel="0" collapsed="false">
      <c r="A13" s="5" t="s">
        <v>1082</v>
      </c>
      <c r="B13" s="53" t="s">
        <v>69</v>
      </c>
      <c r="C13" s="57" t="n">
        <v>0.55</v>
      </c>
      <c r="D13" s="57" t="n">
        <v>0.3</v>
      </c>
      <c r="E13" s="57" t="n">
        <v>0.75</v>
      </c>
      <c r="F13" s="50" t="s">
        <v>70</v>
      </c>
      <c r="G13" s="85" t="s">
        <v>1083</v>
      </c>
    </row>
    <row r="14" customFormat="false" ht="26.85" hidden="false" customHeight="false" outlineLevel="0" collapsed="false">
      <c r="A14" s="5" t="s">
        <v>1084</v>
      </c>
      <c r="B14" s="53" t="s">
        <v>73</v>
      </c>
      <c r="C14" s="69" t="n">
        <v>0</v>
      </c>
      <c r="D14" s="69" t="n">
        <v>0</v>
      </c>
      <c r="E14" s="69" t="n">
        <v>0.5</v>
      </c>
      <c r="F14" s="50" t="s">
        <v>70</v>
      </c>
      <c r="G14" s="78" t="s">
        <v>1085</v>
      </c>
    </row>
    <row r="15" customFormat="false" ht="15" hidden="false" customHeight="false" outlineLevel="0" collapsed="false">
      <c r="A15" s="5" t="s">
        <v>1086</v>
      </c>
      <c r="B15" s="53" t="s">
        <v>73</v>
      </c>
      <c r="C15" s="69" t="n">
        <v>1</v>
      </c>
      <c r="D15" s="69" t="n">
        <v>0.5</v>
      </c>
      <c r="E15" s="69" t="n">
        <v>7</v>
      </c>
      <c r="F15" s="50" t="s">
        <v>70</v>
      </c>
      <c r="G15" s="85" t="s">
        <v>1087</v>
      </c>
    </row>
    <row r="16" customFormat="false" ht="15" hidden="false" customHeight="false" outlineLevel="0" collapsed="false">
      <c r="A16" s="5" t="s">
        <v>1088</v>
      </c>
      <c r="B16" s="52" t="s">
        <v>65</v>
      </c>
      <c r="C16" s="58" t="n">
        <v>2</v>
      </c>
      <c r="D16" s="58" t="n">
        <v>1</v>
      </c>
      <c r="E16" s="58" t="n">
        <v>2</v>
      </c>
      <c r="F16" s="50" t="s">
        <v>62</v>
      </c>
      <c r="G16" s="78" t="s">
        <v>1089</v>
      </c>
    </row>
    <row r="17" customFormat="false" ht="15" hidden="false" customHeight="false" outlineLevel="0" collapsed="false">
      <c r="A17" s="5" t="s">
        <v>1090</v>
      </c>
      <c r="B17" s="53" t="s">
        <v>1091</v>
      </c>
      <c r="C17" s="58" t="n">
        <v>35</v>
      </c>
      <c r="F17" s="50" t="s">
        <v>105</v>
      </c>
      <c r="G17" s="78" t="s">
        <v>1092</v>
      </c>
    </row>
    <row r="18" customFormat="false" ht="15" hidden="false" customHeight="false" outlineLevel="0" collapsed="false">
      <c r="A18" s="5" t="s">
        <v>1093</v>
      </c>
      <c r="B18" s="53" t="s">
        <v>73</v>
      </c>
      <c r="C18" s="69" t="n">
        <v>0.5</v>
      </c>
      <c r="F18" s="50" t="s">
        <v>105</v>
      </c>
      <c r="G18" s="78" t="s">
        <v>1094</v>
      </c>
    </row>
    <row r="20" customFormat="false" ht="15" hidden="false" customHeight="false" outlineLevel="0" collapsed="false">
      <c r="A20" s="82" t="s">
        <v>1095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10" t="s">
        <v>310</v>
      </c>
      <c r="B21" s="10" t="s">
        <v>53</v>
      </c>
      <c r="C21" s="10" t="s">
        <v>1068</v>
      </c>
      <c r="D21" s="51" t="s">
        <v>1069</v>
      </c>
      <c r="E21" s="51" t="s">
        <v>1070</v>
      </c>
      <c r="F21" s="10" t="s">
        <v>57</v>
      </c>
      <c r="G21" s="10" t="s">
        <v>278</v>
      </c>
    </row>
    <row r="22" customFormat="false" ht="15" hidden="false" customHeight="false" outlineLevel="0" collapsed="false">
      <c r="A22" s="52" t="s">
        <v>1096</v>
      </c>
      <c r="B22" s="52" t="s">
        <v>1097</v>
      </c>
      <c r="C22" s="58" t="n">
        <v>12</v>
      </c>
      <c r="D22" s="58" t="n">
        <v>12</v>
      </c>
      <c r="E22" s="58" t="n">
        <v>9</v>
      </c>
      <c r="F22" s="50" t="s">
        <v>70</v>
      </c>
      <c r="G22" s="64" t="s">
        <v>1098</v>
      </c>
    </row>
    <row r="23" customFormat="false" ht="15" hidden="false" customHeight="false" outlineLevel="0" collapsed="false">
      <c r="A23" s="52" t="s">
        <v>1099</v>
      </c>
      <c r="B23" s="52" t="s">
        <v>1097</v>
      </c>
      <c r="C23" s="58" t="n">
        <v>6</v>
      </c>
      <c r="D23" s="58" t="n">
        <v>6</v>
      </c>
      <c r="E23" s="58" t="n">
        <v>6</v>
      </c>
      <c r="F23" s="50" t="s">
        <v>70</v>
      </c>
      <c r="G23" s="64"/>
    </row>
    <row r="24" customFormat="false" ht="15" hidden="false" customHeight="false" outlineLevel="0" collapsed="false">
      <c r="A24" s="52" t="s">
        <v>1100</v>
      </c>
      <c r="B24" s="52" t="s">
        <v>1097</v>
      </c>
      <c r="C24" s="58" t="n">
        <v>24</v>
      </c>
      <c r="D24" s="58" t="n">
        <v>24</v>
      </c>
      <c r="E24" s="58" t="n">
        <v>18</v>
      </c>
      <c r="F24" s="50" t="s">
        <v>70</v>
      </c>
      <c r="G24" s="64"/>
    </row>
    <row r="26" customFormat="false" ht="15" hidden="false" customHeight="false" outlineLevel="0" collapsed="false">
      <c r="A26" s="82" t="s">
        <v>1101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10" t="s">
        <v>310</v>
      </c>
      <c r="B27" s="10" t="s">
        <v>53</v>
      </c>
      <c r="C27" s="10" t="s">
        <v>55</v>
      </c>
      <c r="D27" s="10" t="s">
        <v>1078</v>
      </c>
      <c r="E27" s="10" t="s">
        <v>1079</v>
      </c>
      <c r="F27" s="10" t="s">
        <v>57</v>
      </c>
      <c r="G27" s="10" t="s">
        <v>278</v>
      </c>
    </row>
    <row r="28" customFormat="false" ht="26.85" hidden="false" customHeight="false" outlineLevel="0" collapsed="false">
      <c r="A28" s="52" t="s">
        <v>1102</v>
      </c>
      <c r="B28" s="53" t="s">
        <v>69</v>
      </c>
      <c r="C28" s="57" t="n">
        <v>0.41</v>
      </c>
      <c r="D28" s="57" t="n">
        <v>0.3</v>
      </c>
      <c r="E28" s="57" t="n">
        <v>0.6</v>
      </c>
      <c r="F28" s="50" t="s">
        <v>1103</v>
      </c>
      <c r="G28" s="78" t="s">
        <v>1104</v>
      </c>
    </row>
    <row r="29" customFormat="false" ht="15" hidden="false" customHeight="false" outlineLevel="0" collapsed="false">
      <c r="A29" s="52" t="s">
        <v>1105</v>
      </c>
      <c r="B29" s="53" t="s">
        <v>69</v>
      </c>
      <c r="C29" s="57" t="n">
        <v>0.46</v>
      </c>
      <c r="D29" s="57" t="n">
        <v>0.35</v>
      </c>
      <c r="E29" s="57" t="n">
        <v>0.6</v>
      </c>
      <c r="F29" s="50" t="s">
        <v>175</v>
      </c>
      <c r="G29" s="78" t="s">
        <v>1106</v>
      </c>
    </row>
    <row r="30" customFormat="false" ht="15" hidden="false" customHeight="false" outlineLevel="0" collapsed="false">
      <c r="A30" s="10" t="s">
        <v>310</v>
      </c>
      <c r="B30" s="10" t="s">
        <v>53</v>
      </c>
      <c r="C30" s="10" t="s">
        <v>1068</v>
      </c>
      <c r="D30" s="51" t="s">
        <v>1069</v>
      </c>
      <c r="E30" s="51" t="s">
        <v>1070</v>
      </c>
      <c r="F30" s="10" t="s">
        <v>57</v>
      </c>
      <c r="G30" s="10" t="s">
        <v>278</v>
      </c>
    </row>
    <row r="31" customFormat="false" ht="15" hidden="false" customHeight="false" outlineLevel="0" collapsed="false">
      <c r="A31" s="52" t="s">
        <v>1107</v>
      </c>
      <c r="B31" s="53" t="s">
        <v>69</v>
      </c>
      <c r="C31" s="57" t="n">
        <v>0.4</v>
      </c>
      <c r="D31" s="57" t="n">
        <v>0.45</v>
      </c>
      <c r="E31" s="57" t="n">
        <v>0.15</v>
      </c>
      <c r="F31" s="50" t="s">
        <v>70</v>
      </c>
      <c r="G31" s="78" t="s">
        <v>1108</v>
      </c>
    </row>
    <row r="32" customFormat="false" ht="15" hidden="false" customHeight="false" outlineLevel="0" collapsed="false">
      <c r="A32" s="52" t="s">
        <v>1109</v>
      </c>
      <c r="B32" s="53" t="s">
        <v>69</v>
      </c>
      <c r="C32" s="57" t="n">
        <v>0.9</v>
      </c>
      <c r="D32" s="57" t="n">
        <v>0.1</v>
      </c>
      <c r="E32" s="57" t="n">
        <v>0</v>
      </c>
      <c r="F32" s="50" t="s">
        <v>70</v>
      </c>
      <c r="G32" s="78" t="s">
        <v>1110</v>
      </c>
    </row>
    <row r="34" customFormat="false" ht="15" hidden="false" customHeight="false" outlineLevel="0" collapsed="false">
      <c r="A34" s="82" t="s">
        <v>1111</v>
      </c>
      <c r="B34" s="60"/>
      <c r="C34" s="60"/>
      <c r="D34" s="60"/>
      <c r="E34" s="60"/>
      <c r="F34" s="60"/>
      <c r="G34" s="60"/>
    </row>
    <row r="35" customFormat="false" ht="15" hidden="false" customHeight="false" outlineLevel="0" collapsed="false">
      <c r="A35" s="10" t="s">
        <v>310</v>
      </c>
      <c r="B35" s="10" t="s">
        <v>53</v>
      </c>
      <c r="C35" s="10" t="s">
        <v>55</v>
      </c>
      <c r="D35" s="10" t="s">
        <v>1078</v>
      </c>
      <c r="E35" s="10" t="s">
        <v>1079</v>
      </c>
      <c r="F35" s="10" t="s">
        <v>57</v>
      </c>
      <c r="G35" s="10" t="s">
        <v>278</v>
      </c>
    </row>
    <row r="36" customFormat="false" ht="15" hidden="false" customHeight="false" outlineLevel="0" collapsed="false">
      <c r="A36" s="5" t="s">
        <v>1112</v>
      </c>
      <c r="B36" s="52" t="s">
        <v>65</v>
      </c>
      <c r="C36" s="58" t="n">
        <v>2</v>
      </c>
      <c r="D36" s="58" t="n">
        <v>1</v>
      </c>
      <c r="E36" s="58" t="n">
        <v>3</v>
      </c>
      <c r="F36" s="50" t="s">
        <v>70</v>
      </c>
      <c r="G36" s="85" t="s">
        <v>1113</v>
      </c>
    </row>
    <row r="37" customFormat="false" ht="15" hidden="false" customHeight="false" outlineLevel="0" collapsed="false">
      <c r="A37" s="5" t="s">
        <v>1114</v>
      </c>
      <c r="B37" s="53" t="s">
        <v>1091</v>
      </c>
      <c r="C37" s="143" t="n">
        <v>0.0833333333333333</v>
      </c>
      <c r="D37" s="143" t="n">
        <v>0.0833333333333333</v>
      </c>
      <c r="E37" s="143" t="n">
        <v>1</v>
      </c>
      <c r="F37" s="50" t="s">
        <v>74</v>
      </c>
      <c r="G37" s="78" t="s">
        <v>1115</v>
      </c>
    </row>
    <row r="38" customFormat="false" ht="15" hidden="false" customHeight="false" outlineLevel="0" collapsed="false">
      <c r="A38" s="5" t="s">
        <v>1116</v>
      </c>
      <c r="B38" s="52" t="s">
        <v>1117</v>
      </c>
      <c r="C38" s="58" t="n">
        <v>5</v>
      </c>
      <c r="D38" s="58" t="n">
        <v>1</v>
      </c>
      <c r="E38" s="58" t="n">
        <v>20</v>
      </c>
      <c r="F38" s="50" t="s">
        <v>70</v>
      </c>
      <c r="G38" s="85" t="s">
        <v>1118</v>
      </c>
    </row>
    <row r="39" customFormat="false" ht="15" hidden="false" customHeight="false" outlineLevel="0" collapsed="false">
      <c r="A39" s="6" t="s">
        <v>1119</v>
      </c>
      <c r="B39" s="53" t="s">
        <v>1120</v>
      </c>
      <c r="C39" s="69" t="n">
        <v>10</v>
      </c>
      <c r="D39" s="69" t="n">
        <v>5</v>
      </c>
      <c r="E39" s="69" t="n">
        <v>20</v>
      </c>
      <c r="F39" s="50" t="s">
        <v>70</v>
      </c>
      <c r="G39" s="78" t="s">
        <v>1121</v>
      </c>
    </row>
    <row r="40" customFormat="false" ht="15" hidden="false" customHeight="false" outlineLevel="0" collapsed="false">
      <c r="A40" s="6" t="s">
        <v>1122</v>
      </c>
      <c r="B40" s="52" t="s">
        <v>104</v>
      </c>
      <c r="C40" s="58" t="n">
        <v>4</v>
      </c>
      <c r="D40" s="58" t="n">
        <v>3</v>
      </c>
      <c r="E40" s="58" t="n">
        <v>6</v>
      </c>
      <c r="F40" s="50" t="s">
        <v>70</v>
      </c>
      <c r="G40" s="85"/>
    </row>
    <row r="41" customFormat="false" ht="15" hidden="false" customHeight="false" outlineLevel="0" collapsed="false">
      <c r="A41" s="6" t="s">
        <v>1123</v>
      </c>
      <c r="B41" s="53" t="s">
        <v>1120</v>
      </c>
      <c r="C41" s="69" t="n">
        <v>0.1</v>
      </c>
      <c r="D41" s="69" t="n">
        <v>0.05</v>
      </c>
      <c r="E41" s="69" t="n">
        <v>0.3</v>
      </c>
      <c r="F41" s="50" t="s">
        <v>70</v>
      </c>
      <c r="G41" s="85" t="s">
        <v>1124</v>
      </c>
    </row>
    <row r="42" customFormat="false" ht="15" hidden="false" customHeight="false" outlineLevel="0" collapsed="false">
      <c r="A42" s="6" t="s">
        <v>1125</v>
      </c>
      <c r="B42" s="52" t="s">
        <v>104</v>
      </c>
      <c r="C42" s="58" t="n">
        <v>5</v>
      </c>
      <c r="D42" s="58" t="n">
        <v>3</v>
      </c>
      <c r="E42" s="58" t="n">
        <v>6</v>
      </c>
      <c r="F42" s="50" t="s">
        <v>70</v>
      </c>
      <c r="G42" s="85"/>
    </row>
    <row r="44" customFormat="false" ht="15" hidden="false" customHeight="false" outlineLevel="0" collapsed="false">
      <c r="A44" s="82" t="s">
        <v>1126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</row>
    <row r="45" customFormat="false" ht="29.85" hidden="false" customHeight="false" outlineLevel="0" collapsed="false">
      <c r="A45" s="74" t="s">
        <v>1127</v>
      </c>
      <c r="B45" s="74" t="s">
        <v>1128</v>
      </c>
      <c r="C45" s="74" t="s">
        <v>1129</v>
      </c>
      <c r="D45" s="74" t="s">
        <v>1130</v>
      </c>
      <c r="E45" s="74" t="s">
        <v>1131</v>
      </c>
      <c r="F45" s="74" t="s">
        <v>1132</v>
      </c>
      <c r="G45" s="74" t="s">
        <v>1133</v>
      </c>
      <c r="H45" s="74" t="s">
        <v>1134</v>
      </c>
      <c r="I45" s="74" t="s">
        <v>1135</v>
      </c>
      <c r="J45" s="74" t="s">
        <v>1136</v>
      </c>
      <c r="K45" s="74" t="s">
        <v>1137</v>
      </c>
      <c r="L45" s="74" t="s">
        <v>57</v>
      </c>
      <c r="M45" s="74" t="s">
        <v>401</v>
      </c>
      <c r="N45" s="74" t="s">
        <v>1138</v>
      </c>
    </row>
    <row r="46" customFormat="false" ht="15" hidden="false" customHeight="false" outlineLevel="0" collapsed="false">
      <c r="A46" s="128" t="s">
        <v>1139</v>
      </c>
      <c r="B46" s="128" t="s">
        <v>1140</v>
      </c>
      <c r="C46" s="97" t="s">
        <v>1141</v>
      </c>
      <c r="D46" s="97" t="s">
        <v>585</v>
      </c>
      <c r="E46" s="142" t="n">
        <v>0.1</v>
      </c>
      <c r="F46" s="142" t="n">
        <v>0.01</v>
      </c>
      <c r="G46" s="142" t="n">
        <v>0.5</v>
      </c>
      <c r="H46" s="58" t="n">
        <v>0</v>
      </c>
      <c r="I46" s="58" t="n">
        <v>37</v>
      </c>
      <c r="J46" s="128" t="s">
        <v>1142</v>
      </c>
      <c r="K46" s="128" t="s">
        <v>1143</v>
      </c>
      <c r="L46" s="128" t="s">
        <v>105</v>
      </c>
      <c r="M46" s="78" t="s">
        <v>1144</v>
      </c>
      <c r="N46" s="58" t="n">
        <v>0</v>
      </c>
    </row>
    <row r="47" customFormat="false" ht="15" hidden="false" customHeight="false" outlineLevel="0" collapsed="false">
      <c r="A47" s="128" t="s">
        <v>1145</v>
      </c>
      <c r="B47" s="128" t="s">
        <v>1140</v>
      </c>
      <c r="C47" s="97" t="s">
        <v>1141</v>
      </c>
      <c r="D47" s="97" t="s">
        <v>585</v>
      </c>
      <c r="E47" s="142" t="n">
        <v>2</v>
      </c>
      <c r="F47" s="142" t="n">
        <v>0.2</v>
      </c>
      <c r="G47" s="142" t="n">
        <v>10</v>
      </c>
      <c r="H47" s="58" t="n">
        <v>0</v>
      </c>
      <c r="I47" s="58" t="n">
        <v>48</v>
      </c>
      <c r="J47" s="128" t="s">
        <v>1142</v>
      </c>
      <c r="K47" s="128" t="s">
        <v>1143</v>
      </c>
      <c r="L47" s="128" t="s">
        <v>105</v>
      </c>
      <c r="M47" s="78" t="s">
        <v>1146</v>
      </c>
      <c r="N47" s="58" t="n">
        <v>0</v>
      </c>
    </row>
    <row r="48" customFormat="false" ht="15" hidden="false" customHeight="false" outlineLevel="0" collapsed="false">
      <c r="A48" s="128" t="s">
        <v>1147</v>
      </c>
      <c r="B48" s="128" t="s">
        <v>1140</v>
      </c>
      <c r="C48" s="97" t="s">
        <v>1141</v>
      </c>
      <c r="D48" s="97" t="s">
        <v>585</v>
      </c>
      <c r="E48" s="142" t="n">
        <v>10</v>
      </c>
      <c r="F48" s="142" t="n">
        <v>1</v>
      </c>
      <c r="G48" s="142" t="n">
        <v>50</v>
      </c>
      <c r="H48" s="58" t="n">
        <v>0</v>
      </c>
      <c r="I48" s="58" t="n">
        <v>53</v>
      </c>
      <c r="J48" s="128" t="s">
        <v>1148</v>
      </c>
      <c r="K48" s="128" t="s">
        <v>1143</v>
      </c>
      <c r="L48" s="128" t="s">
        <v>105</v>
      </c>
      <c r="M48" s="78" t="s">
        <v>1149</v>
      </c>
      <c r="N48" s="58" t="n">
        <v>0</v>
      </c>
    </row>
    <row r="49" customFormat="false" ht="15" hidden="false" customHeight="false" outlineLevel="0" collapsed="false">
      <c r="A49" s="128" t="s">
        <v>1150</v>
      </c>
      <c r="B49" s="128" t="s">
        <v>1151</v>
      </c>
      <c r="C49" s="97" t="s">
        <v>1141</v>
      </c>
      <c r="D49" s="97" t="s">
        <v>585</v>
      </c>
      <c r="E49" s="142" t="n">
        <v>10</v>
      </c>
      <c r="F49" s="142" t="n">
        <v>0.25</v>
      </c>
      <c r="G49" s="142" t="n">
        <v>50</v>
      </c>
      <c r="H49" s="58" t="n">
        <v>0</v>
      </c>
      <c r="I49" s="58" t="n">
        <v>53</v>
      </c>
      <c r="J49" s="128" t="s">
        <v>1148</v>
      </c>
      <c r="K49" s="128" t="s">
        <v>1152</v>
      </c>
      <c r="L49" s="128" t="s">
        <v>175</v>
      </c>
      <c r="M49" s="78" t="s">
        <v>1153</v>
      </c>
      <c r="N49" s="58" t="n">
        <v>0</v>
      </c>
    </row>
    <row r="50" customFormat="false" ht="15" hidden="false" customHeight="false" outlineLevel="0" collapsed="false">
      <c r="A50" s="128" t="s">
        <v>1154</v>
      </c>
      <c r="B50" s="128" t="s">
        <v>1151</v>
      </c>
      <c r="C50" s="97" t="s">
        <v>1141</v>
      </c>
      <c r="D50" s="97" t="s">
        <v>585</v>
      </c>
      <c r="E50" s="142" t="n">
        <v>5</v>
      </c>
      <c r="F50" s="142" t="n">
        <v>0.5</v>
      </c>
      <c r="G50" s="142" t="n">
        <v>25</v>
      </c>
      <c r="H50" s="58" t="n">
        <v>0</v>
      </c>
      <c r="I50" s="58" t="n">
        <v>51</v>
      </c>
      <c r="J50" s="128" t="s">
        <v>1148</v>
      </c>
      <c r="K50" s="128" t="s">
        <v>1155</v>
      </c>
      <c r="L50" s="128" t="s">
        <v>175</v>
      </c>
      <c r="M50" s="78" t="s">
        <v>1156</v>
      </c>
      <c r="N50" s="58" t="n">
        <v>0</v>
      </c>
    </row>
    <row r="51" customFormat="false" ht="26.85" hidden="false" customHeight="false" outlineLevel="0" collapsed="false">
      <c r="A51" s="128" t="s">
        <v>1157</v>
      </c>
      <c r="B51" s="128" t="s">
        <v>1151</v>
      </c>
      <c r="C51" s="97" t="s">
        <v>1141</v>
      </c>
      <c r="D51" s="97" t="s">
        <v>585</v>
      </c>
      <c r="E51" s="142" t="n">
        <v>4</v>
      </c>
      <c r="F51" s="142" t="n">
        <v>0.2</v>
      </c>
      <c r="G51" s="142" t="n">
        <v>20</v>
      </c>
      <c r="H51" s="58" t="n">
        <v>0</v>
      </c>
      <c r="J51" s="97" t="s">
        <v>1158</v>
      </c>
      <c r="K51" s="128" t="s">
        <v>1159</v>
      </c>
      <c r="L51" s="128" t="s">
        <v>175</v>
      </c>
      <c r="M51" s="78" t="s">
        <v>1160</v>
      </c>
      <c r="N51" s="58" t="n">
        <v>0</v>
      </c>
    </row>
    <row r="52" customFormat="false" ht="15" hidden="false" customHeight="false" outlineLevel="0" collapsed="false">
      <c r="A52" s="128" t="s">
        <v>1161</v>
      </c>
      <c r="B52" s="128" t="s">
        <v>1162</v>
      </c>
      <c r="C52" s="97" t="s">
        <v>1163</v>
      </c>
      <c r="D52" s="97" t="s">
        <v>557</v>
      </c>
      <c r="E52" s="142" t="n">
        <v>0.3</v>
      </c>
      <c r="F52" s="142" t="n">
        <v>0.006</v>
      </c>
      <c r="G52" s="142" t="n">
        <v>1.2</v>
      </c>
      <c r="H52" s="58" t="n">
        <v>1</v>
      </c>
      <c r="I52" s="58" t="n">
        <v>39</v>
      </c>
      <c r="J52" s="128" t="s">
        <v>1142</v>
      </c>
      <c r="K52" s="128" t="s">
        <v>1164</v>
      </c>
      <c r="L52" s="128" t="s">
        <v>105</v>
      </c>
      <c r="M52" s="78" t="s">
        <v>1165</v>
      </c>
      <c r="N52" s="58" t="n">
        <v>1</v>
      </c>
    </row>
    <row r="53" customFormat="false" ht="15" hidden="false" customHeight="false" outlineLevel="0" collapsed="false">
      <c r="A53" s="128" t="s">
        <v>1166</v>
      </c>
      <c r="B53" s="128" t="s">
        <v>1162</v>
      </c>
      <c r="C53" s="97" t="s">
        <v>1163</v>
      </c>
      <c r="D53" s="97" t="s">
        <v>557</v>
      </c>
      <c r="E53" s="142" t="n">
        <v>1.32</v>
      </c>
      <c r="F53" s="142" t="n">
        <v>0.044</v>
      </c>
      <c r="G53" s="142" t="n">
        <v>3.96</v>
      </c>
      <c r="H53" s="58" t="n">
        <v>1</v>
      </c>
      <c r="I53" s="58" t="n">
        <v>36</v>
      </c>
      <c r="J53" s="128" t="s">
        <v>1148</v>
      </c>
      <c r="K53" s="128" t="s">
        <v>1164</v>
      </c>
      <c r="L53" s="128" t="s">
        <v>105</v>
      </c>
      <c r="M53" s="78" t="s">
        <v>1167</v>
      </c>
      <c r="N53" s="58" t="n">
        <v>1</v>
      </c>
    </row>
    <row r="54" customFormat="false" ht="15" hidden="false" customHeight="false" outlineLevel="0" collapsed="false">
      <c r="A54" s="128" t="s">
        <v>1168</v>
      </c>
      <c r="B54" s="128" t="s">
        <v>1169</v>
      </c>
      <c r="C54" s="97" t="s">
        <v>1163</v>
      </c>
      <c r="D54" s="97" t="s">
        <v>1170</v>
      </c>
      <c r="E54" s="142" t="n">
        <v>1.4</v>
      </c>
      <c r="F54" s="142" t="n">
        <v>0.26</v>
      </c>
      <c r="G54" s="142" t="n">
        <v>4.4</v>
      </c>
      <c r="H54" s="58" t="n">
        <v>0</v>
      </c>
      <c r="I54" s="58" t="n">
        <v>45</v>
      </c>
      <c r="J54" s="128" t="s">
        <v>1142</v>
      </c>
      <c r="K54" s="128" t="s">
        <v>1164</v>
      </c>
      <c r="L54" s="128" t="s">
        <v>105</v>
      </c>
      <c r="M54" s="78" t="s">
        <v>1171</v>
      </c>
      <c r="N54" s="58" t="n">
        <v>1</v>
      </c>
    </row>
    <row r="55" customFormat="false" ht="15" hidden="false" customHeight="false" outlineLevel="0" collapsed="false">
      <c r="A55" s="128" t="s">
        <v>1172</v>
      </c>
      <c r="B55" s="128" t="s">
        <v>1169</v>
      </c>
      <c r="C55" s="97" t="s">
        <v>1163</v>
      </c>
      <c r="D55" s="97" t="s">
        <v>557</v>
      </c>
      <c r="E55" s="142" t="n">
        <v>0.15</v>
      </c>
      <c r="F55" s="142" t="n">
        <v>0.03</v>
      </c>
      <c r="G55" s="142" t="n">
        <v>0.5</v>
      </c>
      <c r="H55" s="58" t="n">
        <v>0</v>
      </c>
      <c r="I55" s="58" t="n">
        <v>42</v>
      </c>
      <c r="J55" s="128" t="s">
        <v>1148</v>
      </c>
      <c r="K55" s="128" t="s">
        <v>1164</v>
      </c>
      <c r="L55" s="128" t="s">
        <v>105</v>
      </c>
      <c r="M55" s="78" t="s">
        <v>1173</v>
      </c>
      <c r="N55" s="58" t="n">
        <v>1</v>
      </c>
    </row>
    <row r="56" customFormat="false" ht="24.6" hidden="false" customHeight="false" outlineLevel="0" collapsed="false">
      <c r="A56" s="128" t="s">
        <v>1174</v>
      </c>
      <c r="B56" s="128" t="s">
        <v>1175</v>
      </c>
      <c r="C56" s="97" t="s">
        <v>1163</v>
      </c>
      <c r="D56" s="97" t="s">
        <v>1176</v>
      </c>
      <c r="E56" s="142" t="n">
        <v>2</v>
      </c>
      <c r="F56" s="142" t="n">
        <v>0.25</v>
      </c>
      <c r="G56" s="142" t="n">
        <v>6</v>
      </c>
      <c r="H56" s="58" t="n">
        <v>0</v>
      </c>
      <c r="I56" s="58" t="n">
        <v>40</v>
      </c>
      <c r="J56" s="128" t="s">
        <v>1148</v>
      </c>
      <c r="K56" s="128" t="s">
        <v>1152</v>
      </c>
      <c r="L56" s="128" t="s">
        <v>175</v>
      </c>
      <c r="M56" s="78" t="s">
        <v>1177</v>
      </c>
      <c r="N56" s="58" t="n">
        <v>1</v>
      </c>
    </row>
    <row r="57" customFormat="false" ht="15" hidden="false" customHeight="false" outlineLevel="0" collapsed="false">
      <c r="A57" s="128" t="s">
        <v>1178</v>
      </c>
      <c r="B57" s="128" t="s">
        <v>1179</v>
      </c>
      <c r="C57" s="97" t="s">
        <v>1163</v>
      </c>
      <c r="D57" s="97" t="s">
        <v>1180</v>
      </c>
      <c r="E57" s="142" t="n">
        <v>3</v>
      </c>
      <c r="F57" s="142" t="n">
        <v>0.3</v>
      </c>
      <c r="G57" s="142" t="n">
        <v>15</v>
      </c>
      <c r="H57" s="58" t="n">
        <v>0</v>
      </c>
      <c r="J57" s="97" t="s">
        <v>1158</v>
      </c>
      <c r="K57" s="128" t="s">
        <v>1181</v>
      </c>
      <c r="L57" s="128" t="s">
        <v>175</v>
      </c>
      <c r="M57" s="78" t="s">
        <v>1182</v>
      </c>
      <c r="N57" s="58" t="n">
        <v>1</v>
      </c>
    </row>
    <row r="58" customFormat="false" ht="15" hidden="false" customHeight="false" outlineLevel="0" collapsed="false">
      <c r="A58" s="128" t="s">
        <v>1183</v>
      </c>
      <c r="B58" s="128" t="s">
        <v>1184</v>
      </c>
      <c r="C58" s="97" t="s">
        <v>1163</v>
      </c>
      <c r="D58" s="97" t="s">
        <v>585</v>
      </c>
      <c r="E58" s="142" t="n">
        <v>0.3</v>
      </c>
      <c r="G58" s="142" t="n">
        <v>1.2</v>
      </c>
      <c r="H58" s="58" t="n">
        <v>0</v>
      </c>
      <c r="J58" s="97" t="s">
        <v>1158</v>
      </c>
      <c r="K58" s="128" t="s">
        <v>1155</v>
      </c>
      <c r="L58" s="128" t="s">
        <v>175</v>
      </c>
      <c r="M58" s="78" t="s">
        <v>1185</v>
      </c>
      <c r="N58" s="58" t="n">
        <v>1</v>
      </c>
    </row>
    <row r="59" customFormat="false" ht="15" hidden="false" customHeight="false" outlineLevel="0" collapsed="false">
      <c r="A59" s="64" t="s">
        <v>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1187</v>
      </c>
    </row>
    <row r="2" customFormat="false" ht="15" hidden="false" customHeight="false" outlineLevel="0" collapsed="false">
      <c r="A2" s="64" t="s">
        <v>1188</v>
      </c>
    </row>
    <row r="4" customFormat="false" ht="15" hidden="false" customHeight="false" outlineLevel="0" collapsed="false">
      <c r="A4" s="82" t="s">
        <v>1189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10" t="s">
        <v>310</v>
      </c>
      <c r="B5" s="10" t="s">
        <v>53</v>
      </c>
      <c r="C5" s="51" t="s">
        <v>216</v>
      </c>
      <c r="D5" s="51" t="s">
        <v>217</v>
      </c>
      <c r="E5" s="51" t="s">
        <v>218</v>
      </c>
      <c r="G5" s="10" t="s">
        <v>278</v>
      </c>
    </row>
    <row r="6" customFormat="false" ht="15" hidden="false" customHeight="false" outlineLevel="0" collapsed="false">
      <c r="A6" s="5" t="s">
        <v>1190</v>
      </c>
      <c r="B6" s="53" t="s">
        <v>271</v>
      </c>
      <c r="C6" s="144" t="n">
        <f aca="false">Training!L109</f>
        <v>4.80362470832512E+024</v>
      </c>
      <c r="D6" s="144" t="n">
        <f aca="false">Training!M109</f>
        <v>1.63542165838733E+025</v>
      </c>
      <c r="E6" s="144" t="n">
        <f aca="false">Training!N109</f>
        <v>1.0080164477952E+026</v>
      </c>
      <c r="G6" s="78" t="s">
        <v>1191</v>
      </c>
    </row>
    <row r="7" customFormat="false" ht="15" hidden="false" customHeight="false" outlineLevel="0" collapsed="false">
      <c r="A7" s="6" t="s">
        <v>1192</v>
      </c>
      <c r="B7" s="52"/>
      <c r="C7" s="67" t="n">
        <f aca="false">LN(C6)/LN(10)</f>
        <v>24.6815690700318</v>
      </c>
      <c r="D7" s="67" t="n">
        <f aca="false">LN(D6)/LN(10)</f>
        <v>25.2136297449483</v>
      </c>
      <c r="E7" s="67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1193</v>
      </c>
      <c r="B8" s="52" t="s">
        <v>1194</v>
      </c>
      <c r="C8" s="84" t="n">
        <f aca="false">Price_Frontier!C23</f>
        <v>37</v>
      </c>
      <c r="D8" s="84" t="n">
        <f aca="false">Price_Frontier!D23</f>
        <v>48</v>
      </c>
      <c r="E8" s="84" t="n">
        <f aca="false">Price_Frontier!E23</f>
        <v>53</v>
      </c>
      <c r="G8" s="78" t="s">
        <v>1195</v>
      </c>
    </row>
    <row r="9" customFormat="false" ht="15" hidden="false" customHeight="false" outlineLevel="0" collapsed="false">
      <c r="A9" s="5" t="s">
        <v>1196</v>
      </c>
      <c r="B9" s="52" t="s">
        <v>1197</v>
      </c>
      <c r="C9" s="77" t="str">
        <f aca="false">"—"</f>
        <v>—</v>
      </c>
      <c r="D9" s="77" t="n">
        <f aca="false">(D8-C8)/(D7-C7)</f>
        <v>20.6743338092531</v>
      </c>
      <c r="E9" s="77" t="n">
        <f aca="false">(E8-D8)/(E7-D7)</f>
        <v>6.33041307227077</v>
      </c>
      <c r="G9" s="78" t="s">
        <v>1198</v>
      </c>
    </row>
    <row r="10" customFormat="false" ht="15" hidden="false" customHeight="false" outlineLevel="0" collapsed="false">
      <c r="A10" s="5" t="s">
        <v>1199</v>
      </c>
      <c r="B10" s="53" t="s">
        <v>73</v>
      </c>
      <c r="C10" s="77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8" t="s">
        <v>1200</v>
      </c>
    </row>
    <row r="11" customFormat="false" ht="15" hidden="false" customHeight="false" outlineLevel="0" collapsed="false">
      <c r="A11" s="5" t="s">
        <v>1201</v>
      </c>
      <c r="B11" s="53" t="s">
        <v>73</v>
      </c>
      <c r="C11" s="77" t="str">
        <f aca="false">"—"</f>
        <v>—</v>
      </c>
      <c r="D11" s="77" t="n">
        <f aca="false">INDEX(IF_CostDec_Sol,1,11)/INDEX(IF_CostDec_Luna,1,11)</f>
        <v>3.21445360337565</v>
      </c>
      <c r="E11" s="77" t="n">
        <f aca="false">INDEX(IF_CostDec_Astra,1,11)/INDEX(IF_CostDec_Sol,1,11)</f>
        <v>5.1481316675009</v>
      </c>
      <c r="G11" s="85" t="s">
        <v>1202</v>
      </c>
    </row>
    <row r="13" customFormat="false" ht="15" hidden="false" customHeight="false" outlineLevel="0" collapsed="false">
      <c r="A13" s="82" t="s">
        <v>1203</v>
      </c>
      <c r="B13" s="60"/>
      <c r="C13" s="60"/>
      <c r="D13" s="60"/>
      <c r="E13" s="60"/>
      <c r="F13" s="60"/>
      <c r="G13" s="60"/>
    </row>
    <row r="14" customFormat="false" ht="26.85" hidden="false" customHeight="false" outlineLevel="0" collapsed="false">
      <c r="A14" s="52" t="s">
        <v>1204</v>
      </c>
      <c r="B14" s="53" t="s">
        <v>73</v>
      </c>
      <c r="C14" s="145" t="n">
        <f aca="false">Train_In!$C$47/E6</f>
        <v>4.96023652286263</v>
      </c>
      <c r="G14" s="85" t="s">
        <v>1205</v>
      </c>
    </row>
    <row r="16" customFormat="false" ht="15" hidden="false" customHeight="false" outlineLevel="0" collapsed="false">
      <c r="A16" s="82" t="s">
        <v>1206</v>
      </c>
      <c r="B16" s="60"/>
      <c r="C16" s="60"/>
      <c r="D16" s="60"/>
      <c r="E16" s="60"/>
      <c r="F16" s="60"/>
      <c r="G16" s="60"/>
    </row>
    <row r="17" customFormat="false" ht="15" hidden="false" customHeight="false" outlineLevel="0" collapsed="false">
      <c r="A17" s="50" t="s">
        <v>1207</v>
      </c>
    </row>
    <row r="18" customFormat="false" ht="15" hidden="false" customHeight="false" outlineLevel="0" collapsed="false">
      <c r="A18" s="50" t="s">
        <v>1208</v>
      </c>
    </row>
    <row r="19" customFormat="false" ht="15" hidden="false" customHeight="false" outlineLevel="0" collapsed="false">
      <c r="A19" s="50" t="s">
        <v>1209</v>
      </c>
    </row>
    <row r="20" customFormat="false" ht="15" hidden="false" customHeight="false" outlineLevel="0" collapsed="false">
      <c r="A20" s="50" t="s">
        <v>1210</v>
      </c>
    </row>
    <row r="21" customFormat="false" ht="15" hidden="false" customHeight="false" outlineLevel="0" collapsed="false">
      <c r="A21" s="50" t="s">
        <v>1211</v>
      </c>
    </row>
    <row r="22" customFormat="false" ht="15" hidden="false" customHeight="false" outlineLevel="0" collapsed="false">
      <c r="A22" s="50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9" t="s">
        <v>1213</v>
      </c>
    </row>
    <row r="2" customFormat="false" ht="15" hidden="false" customHeight="false" outlineLevel="0" collapsed="false">
      <c r="A2" s="64" t="s">
        <v>1214</v>
      </c>
    </row>
    <row r="4" customFormat="false" ht="15" hidden="false" customHeight="false" outlineLevel="0" collapsed="false">
      <c r="A4" s="82" t="s">
        <v>1215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30" hidden="false" customHeight="true" outlineLevel="0" collapsed="false">
      <c r="A5" s="74" t="s">
        <v>1127</v>
      </c>
      <c r="B5" s="74" t="s">
        <v>1129</v>
      </c>
      <c r="C5" s="74" t="s">
        <v>1135</v>
      </c>
      <c r="D5" s="74" t="s">
        <v>1216</v>
      </c>
      <c r="E5" s="74" t="s">
        <v>1071</v>
      </c>
      <c r="F5" s="74" t="s">
        <v>1073</v>
      </c>
      <c r="G5" s="74" t="s">
        <v>1217</v>
      </c>
      <c r="H5" s="74" t="s">
        <v>1218</v>
      </c>
      <c r="I5" s="74" t="s">
        <v>1219</v>
      </c>
      <c r="J5" s="74" t="s">
        <v>1220</v>
      </c>
      <c r="K5" s="74" t="s">
        <v>1221</v>
      </c>
      <c r="L5" s="74" t="s">
        <v>1222</v>
      </c>
      <c r="M5" s="74" t="s">
        <v>1223</v>
      </c>
      <c r="N5" s="74" t="s">
        <v>1224</v>
      </c>
      <c r="O5" s="74" t="s">
        <v>1225</v>
      </c>
      <c r="P5" s="74" t="s">
        <v>1226</v>
      </c>
    </row>
    <row r="6" customFormat="false" ht="15" hidden="false" customHeight="false" outlineLevel="0" collapsed="false">
      <c r="A6" s="83" t="str">
        <f aca="false">Cap_In!A46</f>
        <v>GPT-6 Luna</v>
      </c>
      <c r="B6" s="83" t="str">
        <f aca="false">Cap_In!C46</f>
        <v>美國</v>
      </c>
      <c r="C6" s="84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3" t="str">
        <f aca="false">Cap_In!A47</f>
        <v>GPT-6 Sol</v>
      </c>
      <c r="B7" s="83" t="str">
        <f aca="false">Cap_In!C47</f>
        <v>美國</v>
      </c>
      <c r="C7" s="84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3" t="str">
        <f aca="false">Cap_In!A48</f>
        <v>GPT-6 Astra</v>
      </c>
      <c r="B8" s="83" t="str">
        <f aca="false">Cap_In!C48</f>
        <v>美國</v>
      </c>
      <c r="C8" s="84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3" t="str">
        <f aca="false">Cap_In!A49</f>
        <v>Claude Fable 5.1</v>
      </c>
      <c r="B9" s="83" t="str">
        <f aca="false">Cap_In!C49</f>
        <v>美國</v>
      </c>
      <c r="C9" s="84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3" t="str">
        <f aca="false">Cap_In!A50</f>
        <v>Claude Opus 5</v>
      </c>
      <c r="B10" s="83" t="str">
        <f aca="false">Cap_In!C50</f>
        <v>美國</v>
      </c>
      <c r="C10" s="84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3" t="str">
        <f aca="false">Cap_In!A51</f>
        <v>Claude Opus 5.5</v>
      </c>
      <c r="B11" s="83" t="str">
        <f aca="false">Cap_In!C51</f>
        <v>美國</v>
      </c>
      <c r="C11" s="84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3" t="str">
        <f aca="false">Cap_In!A52</f>
        <v>DeepSeek V4.1-Flash</v>
      </c>
      <c r="B12" s="83" t="str">
        <f aca="false">Cap_In!C52</f>
        <v>中國</v>
      </c>
      <c r="C12" s="84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3" t="str">
        <f aca="false">Cap_In!A53</f>
        <v>DeepSeek V4-Pro-0813</v>
      </c>
      <c r="B13" s="83" t="str">
        <f aca="false">Cap_In!C53</f>
        <v>中國</v>
      </c>
      <c r="C13" s="84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3" t="str">
        <f aca="false">Cap_In!A54</f>
        <v>GLM-5.3</v>
      </c>
      <c r="B14" s="83" t="str">
        <f aca="false">Cap_In!C54</f>
        <v>中國</v>
      </c>
      <c r="C14" s="84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3" t="str">
        <f aca="false">Cap_In!A55</f>
        <v>GLM-5.3-Flash</v>
      </c>
      <c r="B15" s="83" t="str">
        <f aca="false">Cap_In!C55</f>
        <v>中國</v>
      </c>
      <c r="C15" s="84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3" t="str">
        <f aca="false">Cap_In!A56</f>
        <v>Qwen3.8-Max</v>
      </c>
      <c r="B16" s="83" t="str">
        <f aca="false">Cap_In!C56</f>
        <v>中國</v>
      </c>
      <c r="C16" s="84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3" t="str">
        <f aca="false">Cap_In!A57</f>
        <v>Kimi K3</v>
      </c>
      <c r="B17" s="83" t="str">
        <f aca="false">Cap_In!C57</f>
        <v>中國</v>
      </c>
      <c r="C17" s="84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3" t="str">
        <f aca="false">Cap_In!A58</f>
        <v>MiniMax M3</v>
      </c>
      <c r="B18" s="83" t="str">
        <f aca="false">Cap_In!C58</f>
        <v>中國</v>
      </c>
      <c r="C18" s="84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4" t="s">
        <v>1227</v>
      </c>
    </row>
    <row r="21" customFormat="false" ht="15" hidden="false" customHeight="false" outlineLevel="0" collapsed="false">
      <c r="A21" s="82" t="s">
        <v>1228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</row>
    <row r="22" customFormat="false" ht="15" hidden="false" customHeight="false" outlineLevel="0" collapsed="false">
      <c r="A22" s="10" t="s">
        <v>310</v>
      </c>
      <c r="B22" s="10" t="s">
        <v>53</v>
      </c>
      <c r="C22" s="51" t="s">
        <v>216</v>
      </c>
      <c r="D22" s="51" t="s">
        <v>217</v>
      </c>
      <c r="E22" s="51" t="s">
        <v>218</v>
      </c>
    </row>
    <row r="23" customFormat="false" ht="29.85" hidden="false" customHeight="false" outlineLevel="0" collapsed="false">
      <c r="A23" s="5" t="s">
        <v>1229</v>
      </c>
      <c r="B23" s="52" t="s">
        <v>1194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29.85" hidden="false" customHeight="false" outlineLevel="0" collapsed="false">
      <c r="A24" s="6" t="s">
        <v>1230</v>
      </c>
      <c r="B24" s="53" t="s">
        <v>738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1231</v>
      </c>
      <c r="B25" s="53" t="s">
        <v>738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1232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1233</v>
      </c>
      <c r="B27" s="53" t="s">
        <v>738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1234</v>
      </c>
      <c r="B28" s="53" t="s">
        <v>738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1235</v>
      </c>
      <c r="B29" s="53" t="s">
        <v>738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1236</v>
      </c>
      <c r="B30" s="53" t="s">
        <v>73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29.85" hidden="false" customHeight="false" outlineLevel="0" collapsed="false">
      <c r="A31" s="5" t="s">
        <v>1237</v>
      </c>
      <c r="B31" s="53" t="s">
        <v>738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1238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1239</v>
      </c>
      <c r="B33" s="53" t="s">
        <v>73</v>
      </c>
      <c r="C33" s="67" t="n">
        <f aca="false">IF(ISNUMBER(C31),C31/C24,"—")</f>
        <v>1.29646017699115</v>
      </c>
      <c r="D33" s="67" t="str">
        <f aca="false">IF(ISNUMBER(D31),D31/D24,"—")</f>
        <v>—</v>
      </c>
      <c r="E33" s="67" t="str">
        <f aca="false">IF(ISNUMBER(E31),E31/E24,"—")</f>
        <v>—</v>
      </c>
    </row>
    <row r="34" customFormat="false" ht="29.85" hidden="false" customHeight="false" outlineLevel="0" collapsed="false">
      <c r="A34" s="5" t="s">
        <v>1240</v>
      </c>
      <c r="B34" s="52" t="s">
        <v>340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82" t="s">
        <v>1241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customFormat="false" ht="44" hidden="false" customHeight="false" outlineLevel="0" collapsed="false">
      <c r="A37" s="6" t="s">
        <v>1242</v>
      </c>
      <c r="B37" s="53" t="s">
        <v>73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9.85" hidden="false" customHeight="false" outlineLevel="0" collapsed="false">
      <c r="A38" s="5" t="s">
        <v>1243</v>
      </c>
      <c r="B38" s="53" t="s">
        <v>73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82" t="s">
        <v>1244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customFormat="false" ht="15" hidden="false" customHeight="false" outlineLevel="0" collapsed="false">
      <c r="A41" s="5" t="s">
        <v>1245</v>
      </c>
      <c r="B41" s="53" t="s">
        <v>738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1246</v>
      </c>
      <c r="B42" s="53" t="s">
        <v>738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1247</v>
      </c>
      <c r="B43" s="53" t="s">
        <v>738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1248</v>
      </c>
      <c r="B44" s="53" t="s">
        <v>738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9.85" hidden="false" customHeight="false" outlineLevel="0" collapsed="false">
      <c r="A45" s="5" t="s">
        <v>1249</v>
      </c>
      <c r="B45" s="53" t="s">
        <v>738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1250</v>
      </c>
      <c r="B46" s="53" t="s">
        <v>738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1251</v>
      </c>
    </row>
    <row r="2" customFormat="false" ht="15" hidden="false" customHeight="false" outlineLevel="0" collapsed="false">
      <c r="A2" s="64" t="s">
        <v>1252</v>
      </c>
    </row>
    <row r="4" customFormat="false" ht="15" hidden="false" customHeight="false" outlineLevel="0" collapsed="false">
      <c r="A4" s="1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390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10" t="s">
        <v>1253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59" t="s">
        <v>1254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" t="s">
        <v>1255</v>
      </c>
      <c r="B10" s="53" t="s">
        <v>1256</v>
      </c>
      <c r="C10" s="146" t="n">
        <f aca="false">B4_SSDcost/(B4_SSDlife*8760)</f>
        <v>2.28310502283105E-006</v>
      </c>
      <c r="D10" s="146" t="n">
        <f aca="false">B4_SSDcost/(B4_SSDlife*8760)</f>
        <v>2.28310502283105E-006</v>
      </c>
      <c r="E10" s="146" t="n">
        <f aca="false">B4_SSDcost/(B4_SSDlife*8760)</f>
        <v>2.28310502283105E-006</v>
      </c>
      <c r="F10" s="146" t="n">
        <f aca="false">B4_SSDcost/(B4_SSDlife*8760)</f>
        <v>2.28310502283105E-006</v>
      </c>
      <c r="G10" s="146" t="n">
        <f aca="false">B4_SSDcost/(B4_SSDlife*8760)</f>
        <v>2.28310502283105E-006</v>
      </c>
      <c r="H10" s="146" t="n">
        <f aca="false">B4_SSDcost/(B4_SSDlife*8760)</f>
        <v>2.28310502283105E-006</v>
      </c>
      <c r="I10" s="146" t="n">
        <f aca="false">B4_SSDcost/(B4_SSDlife*8760)</f>
        <v>2.28310502283105E-006</v>
      </c>
      <c r="J10" s="146" t="n">
        <f aca="false">B4_SSDcost/(B4_SSDlife*8760)</f>
        <v>2.28310502283105E-006</v>
      </c>
      <c r="K10" s="146" t="n">
        <f aca="false">B4_SSDcost/(B4_SSDlife*8760)</f>
        <v>2.28310502283105E-006</v>
      </c>
      <c r="L10" s="146" t="n">
        <f aca="false">B4_SSDcost/(B4_SSDlife*8760)</f>
        <v>2.28310502283105E-006</v>
      </c>
      <c r="M10" s="146" t="n">
        <f aca="false">B4_SSDcost/(B4_SSDlife*8760)</f>
        <v>2.28310502283105E-006</v>
      </c>
      <c r="N10" s="146" t="n">
        <f aca="false">B4_SSDcost/(B4_SSDlife*8760)</f>
        <v>2.28310502283105E-006</v>
      </c>
      <c r="O10" s="146" t="n">
        <f aca="false">B4_SSDcost/(B4_SSDlife*8760)</f>
        <v>2.28310502283105E-006</v>
      </c>
      <c r="P10" s="146" t="n">
        <f aca="false">B4_SSDcost/(B4_SSDlife*8760)</f>
        <v>2.28310502283105E-006</v>
      </c>
      <c r="Q10" s="146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1257</v>
      </c>
      <c r="B11" s="53" t="s">
        <v>1256</v>
      </c>
      <c r="C11" s="146" t="n">
        <f aca="false">B4_DRAMcost/(B4_DRAMlife*8760)</f>
        <v>0.000285388127853881</v>
      </c>
      <c r="D11" s="146" t="n">
        <f aca="false">B4_DRAMcost/(B4_DRAMlife*8760)</f>
        <v>0.000285388127853881</v>
      </c>
      <c r="E11" s="146" t="n">
        <f aca="false">B4_DRAMcost/(B4_DRAMlife*8760)</f>
        <v>0.000285388127853881</v>
      </c>
      <c r="F11" s="146" t="n">
        <f aca="false">B4_DRAMcost/(B4_DRAMlife*8760)</f>
        <v>0.000285388127853881</v>
      </c>
      <c r="G11" s="146" t="n">
        <f aca="false">B4_DRAMcost/(B4_DRAMlife*8760)</f>
        <v>0.000285388127853881</v>
      </c>
      <c r="H11" s="146" t="n">
        <f aca="false">B4_DRAMcost/(B4_DRAMlife*8760)</f>
        <v>0.000285388127853881</v>
      </c>
      <c r="I11" s="146" t="n">
        <f aca="false">B4_DRAMcost/(B4_DRAMlife*8760)</f>
        <v>0.000285388127853881</v>
      </c>
      <c r="J11" s="146" t="n">
        <f aca="false">B4_DRAMcost/(B4_DRAMlife*8760)</f>
        <v>0.000285388127853881</v>
      </c>
      <c r="K11" s="146" t="n">
        <f aca="false">B4_DRAMcost/(B4_DRAMlife*8760)</f>
        <v>0.000285388127853881</v>
      </c>
      <c r="L11" s="146" t="n">
        <f aca="false">B4_DRAMcost/(B4_DRAMlife*8760)</f>
        <v>0.000285388127853881</v>
      </c>
      <c r="M11" s="146" t="n">
        <f aca="false">B4_DRAMcost/(B4_DRAMlife*8760)</f>
        <v>0.000285388127853881</v>
      </c>
      <c r="N11" s="146" t="n">
        <f aca="false">B4_DRAMcost/(B4_DRAMlife*8760)</f>
        <v>0.000285388127853881</v>
      </c>
      <c r="O11" s="146" t="n">
        <f aca="false">B4_DRAMcost/(B4_DRAMlife*8760)</f>
        <v>0.000285388127853881</v>
      </c>
      <c r="P11" s="146" t="n">
        <f aca="false">B4_DRAMcost/(B4_DRAMlife*8760)</f>
        <v>0.000285388127853881</v>
      </c>
      <c r="Q11" s="146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1258</v>
      </c>
      <c r="B12" s="53" t="s">
        <v>1256</v>
      </c>
      <c r="C12" s="147" t="n">
        <f aca="false">Unit_Cost!C$8/INDEX(Spec_Rack!$C$25:$G$25,1,C$6)</f>
        <v>0.0139108336437535</v>
      </c>
      <c r="D12" s="147" t="n">
        <f aca="false">Unit_Cost!D$8/INDEX(Spec_Rack!$C$25:$G$25,1,D$6)</f>
        <v>0.0200628657046456</v>
      </c>
      <c r="E12" s="147" t="n">
        <f aca="false">Unit_Cost!E$8/INDEX(Spec_Rack!$C$25:$G$25,1,E$6)</f>
        <v>0.034590011954172</v>
      </c>
      <c r="F12" s="147" t="n">
        <f aca="false">Unit_Cost!F$8/INDEX(Spec_Rack!$C$25:$G$25,1,F$6)</f>
        <v>0.0082988718625289</v>
      </c>
      <c r="G12" s="147" t="n">
        <f aca="false">Unit_Cost!G$8/INDEX(Spec_Rack!$C$25:$G$25,1,G$6)</f>
        <v>0.0111654017626037</v>
      </c>
      <c r="H12" s="147" t="n">
        <f aca="false">Unit_Cost!H$8/INDEX(Spec_Rack!$C$25:$G$25,1,H$6)</f>
        <v>0.0181699675883259</v>
      </c>
      <c r="I12" s="147" t="n">
        <f aca="false">Unit_Cost!I$8/INDEX(Spec_Rack!$C$25:$G$25,1,I$6)</f>
        <v>0.00709807831814032</v>
      </c>
      <c r="J12" s="147" t="n">
        <f aca="false">Unit_Cost!J$8/INDEX(Spec_Rack!$C$25:$G$25,1,J$6)</f>
        <v>0.0103733086185436</v>
      </c>
      <c r="K12" s="147" t="n">
        <f aca="false">Unit_Cost!K$8/INDEX(Spec_Rack!$C$25:$G$25,1,K$6)</f>
        <v>0.0194546672521997</v>
      </c>
      <c r="L12" s="147" t="n">
        <f aca="false">Unit_Cost!L$8/INDEX(Spec_Rack!$C$25:$G$25,1,L$6)</f>
        <v>0.0118427371263488</v>
      </c>
      <c r="M12" s="147" t="n">
        <f aca="false">Unit_Cost!M$8/INDEX(Spec_Rack!$C$25:$G$25,1,M$6)</f>
        <v>0.0163774403180935</v>
      </c>
      <c r="N12" s="147" t="n">
        <f aca="false">Unit_Cost!N$8/INDEX(Spec_Rack!$C$25:$G$25,1,N$6)</f>
        <v>0.0280938902847489</v>
      </c>
      <c r="O12" s="147" t="n">
        <f aca="false">Unit_Cost!O$8/INDEX(Spec_Rack!$C$25:$G$25,1,O$6)</f>
        <v>0.00550636735482758</v>
      </c>
      <c r="P12" s="147" t="n">
        <f aca="false">Unit_Cost!P$8/INDEX(Spec_Rack!$C$25:$G$25,1,P$6)</f>
        <v>0.00846746843282763</v>
      </c>
      <c r="Q12" s="147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1259</v>
      </c>
      <c r="B13" s="53" t="s">
        <v>1256</v>
      </c>
      <c r="C13" s="146" t="n">
        <f aca="false">CHOOSE(B4_StoreTier,C10,C11,C12)</f>
        <v>0.000285388127853881</v>
      </c>
      <c r="D13" s="146" t="n">
        <f aca="false">CHOOSE(B4_StoreTier,D10,D11,D12)</f>
        <v>0.000285388127853881</v>
      </c>
      <c r="E13" s="146" t="n">
        <f aca="false">CHOOSE(B4_StoreTier,E10,E11,E12)</f>
        <v>0.000285388127853881</v>
      </c>
      <c r="F13" s="146" t="n">
        <f aca="false">CHOOSE(B4_StoreTier,F10,F11,F12)</f>
        <v>0.000285388127853881</v>
      </c>
      <c r="G13" s="146" t="n">
        <f aca="false">CHOOSE(B4_StoreTier,G10,G11,G12)</f>
        <v>0.000285388127853881</v>
      </c>
      <c r="H13" s="146" t="n">
        <f aca="false">CHOOSE(B4_StoreTier,H10,H11,H12)</f>
        <v>0.000285388127853881</v>
      </c>
      <c r="I13" s="146" t="n">
        <f aca="false">CHOOSE(B4_StoreTier,I10,I11,I12)</f>
        <v>0.000285388127853881</v>
      </c>
      <c r="J13" s="146" t="n">
        <f aca="false">CHOOSE(B4_StoreTier,J10,J11,J12)</f>
        <v>0.000285388127853881</v>
      </c>
      <c r="K13" s="146" t="n">
        <f aca="false">CHOOSE(B4_StoreTier,K10,K11,K12)</f>
        <v>0.000285388127853881</v>
      </c>
      <c r="L13" s="146" t="n">
        <f aca="false">CHOOSE(B4_StoreTier,L10,L11,L12)</f>
        <v>0.000285388127853881</v>
      </c>
      <c r="M13" s="146" t="n">
        <f aca="false">CHOOSE(B4_StoreTier,M10,M11,M12)</f>
        <v>0.000285388127853881</v>
      </c>
      <c r="N13" s="146" t="n">
        <f aca="false">CHOOSE(B4_StoreTier,N10,N11,N12)</f>
        <v>0.000285388127853881</v>
      </c>
      <c r="O13" s="146" t="n">
        <f aca="false">CHOOSE(B4_StoreTier,O10,O11,O12)</f>
        <v>0.000285388127853881</v>
      </c>
      <c r="P13" s="146" t="n">
        <f aca="false">CHOOSE(B4_StoreTier,P10,P11,P12)</f>
        <v>0.000285388127853881</v>
      </c>
      <c r="Q13" s="146" t="n">
        <f aca="false">CHOOSE(B4_StoreTier,Q10,Q11,Q12)</f>
        <v>0.000285388127853881</v>
      </c>
    </row>
    <row r="15" customFormat="false" ht="15" hidden="false" customHeight="false" outlineLevel="0" collapsed="false">
      <c r="A15" s="82" t="s">
        <v>216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5" hidden="false" customHeight="false" outlineLevel="0" collapsed="false">
      <c r="A16" s="6" t="s">
        <v>1260</v>
      </c>
      <c r="B16" s="53" t="s">
        <v>225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1261</v>
      </c>
      <c r="B17" s="53" t="s">
        <v>738</v>
      </c>
      <c r="C17" s="148" t="n">
        <f aca="false">C16*1000000/1000000000*C$13*B4_Retain/B4_Hits</f>
        <v>1.32943302891933E-005</v>
      </c>
      <c r="D17" s="148" t="n">
        <f aca="false">D16*1000000/1000000000*D$13*B4_Retain/B4_Hits</f>
        <v>1.32943302891933E-005</v>
      </c>
      <c r="E17" s="148" t="n">
        <f aca="false">E16*1000000/1000000000*E$13*B4_Retain/B4_Hits</f>
        <v>1.32943302891933E-005</v>
      </c>
      <c r="F17" s="148" t="n">
        <f aca="false">F16*1000000/1000000000*F$13*B4_Retain/B4_Hits</f>
        <v>1.32943302891933E-005</v>
      </c>
      <c r="G17" s="148" t="n">
        <f aca="false">G16*1000000/1000000000*G$13*B4_Retain/B4_Hits</f>
        <v>1.32943302891933E-005</v>
      </c>
      <c r="H17" s="148" t="n">
        <f aca="false">H16*1000000/1000000000*H$13*B4_Retain/B4_Hits</f>
        <v>1.32943302891933E-005</v>
      </c>
      <c r="I17" s="148" t="n">
        <f aca="false">I16*1000000/1000000000*I$13*B4_Retain/B4_Hits</f>
        <v>1.32943302891933E-005</v>
      </c>
      <c r="J17" s="148" t="n">
        <f aca="false">J16*1000000/1000000000*J$13*B4_Retain/B4_Hits</f>
        <v>1.32943302891933E-005</v>
      </c>
      <c r="K17" s="148" t="n">
        <f aca="false">K16*1000000/1000000000*K$13*B4_Retain/B4_Hits</f>
        <v>1.32943302891933E-005</v>
      </c>
      <c r="L17" s="148" t="n">
        <f aca="false">L16*1000000/1000000000*L$13*B4_Retain/B4_Hits</f>
        <v>1.32943302891933E-005</v>
      </c>
      <c r="M17" s="148" t="n">
        <f aca="false">M16*1000000/1000000000*M$13*B4_Retain/B4_Hits</f>
        <v>1.32943302891933E-005</v>
      </c>
      <c r="N17" s="148" t="n">
        <f aca="false">N16*1000000/1000000000*N$13*B4_Retain/B4_Hits</f>
        <v>1.32943302891933E-005</v>
      </c>
      <c r="O17" s="148" t="n">
        <f aca="false">O16*1000000/1000000000*O$13*B4_Retain/B4_Hits</f>
        <v>1.32943302891933E-005</v>
      </c>
      <c r="P17" s="148" t="n">
        <f aca="false">P16*1000000/1000000000*P$13*B4_Retain/B4_Hits</f>
        <v>1.32943302891933E-005</v>
      </c>
      <c r="Q17" s="148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1262</v>
      </c>
      <c r="B18" s="53" t="s">
        <v>73</v>
      </c>
      <c r="C18" s="67" t="n">
        <f aca="false">IF(INDEX(IF_CostCache_Luna,1,C$7)&gt;0,C17/INDEX(IF_CostCache_Luna,1,C$7),0)</f>
        <v>1.53866476569162</v>
      </c>
      <c r="D18" s="67" t="n">
        <f aca="false">IF(INDEX(IF_CostCache_Luna,1,D$7)&gt;0,D17/INDEX(IF_CostCache_Luna,1,D$7),0)</f>
        <v>1.06685205912956</v>
      </c>
      <c r="E18" s="67" t="n">
        <f aca="false">IF(INDEX(IF_CostCache_Luna,1,E$7)&gt;0,E17/INDEX(IF_CostCache_Luna,1,E$7),0)</f>
        <v>0.618794512629808</v>
      </c>
      <c r="F18" s="67" t="n">
        <f aca="false">IF(INDEX(IF_CostCache_Luna,1,F$7)&gt;0,F17/INDEX(IF_CostCache_Luna,1,F$7),0)</f>
        <v>1.10931567482263</v>
      </c>
      <c r="G18" s="67" t="n">
        <f aca="false">IF(INDEX(IF_CostCache_Luna,1,G$7)&gt;0,G17/INDEX(IF_CostCache_Luna,1,G$7),0)</f>
        <v>0.824517454560544</v>
      </c>
      <c r="H18" s="67" t="n">
        <f aca="false">IF(INDEX(IF_CostCache_Luna,1,H$7)&gt;0,H17/INDEX(IF_CostCache_Luna,1,H$7),0)</f>
        <v>0.506664010031731</v>
      </c>
      <c r="I18" s="67" t="n">
        <f aca="false">IF(INDEX(IF_CostCache_Luna,1,I$7)&gt;0,I17/INDEX(IF_CostCache_Luna,1,I$7),0)</f>
        <v>0.837633191755707</v>
      </c>
      <c r="J18" s="67" t="n">
        <f aca="false">IF(INDEX(IF_CostCache_Luna,1,J$7)&gt;0,J17/INDEX(IF_CostCache_Luna,1,J$7),0)</f>
        <v>0.573161969395896</v>
      </c>
      <c r="K18" s="67" t="n">
        <f aca="false">IF(INDEX(IF_CostCache_Luna,1,K$7)&gt;0,K17/INDEX(IF_CostCache_Luna,1,K$7),0)</f>
        <v>0.305612320163616</v>
      </c>
      <c r="L18" s="67" t="n">
        <f aca="false">IF(INDEX(IF_CostCache_Luna,1,L$7)&gt;0,L17/INDEX(IF_CostCache_Luna,1,L$7),0)</f>
        <v>0.502044918630135</v>
      </c>
      <c r="M18" s="67" t="n">
        <f aca="false">IF(INDEX(IF_CostCache_Luna,1,M$7)&gt;0,M17/INDEX(IF_CostCache_Luna,1,M$7),0)</f>
        <v>0.363035119131974</v>
      </c>
      <c r="N18" s="67" t="n">
        <f aca="false">IF(INDEX(IF_CostCache_Luna,1,N$7)&gt;0,N17/INDEX(IF_CostCache_Luna,1,N$7),0)</f>
        <v>0.211632705071946</v>
      </c>
      <c r="O18" s="67" t="n">
        <f aca="false">IF(INDEX(IF_CostCache_Luna,1,O$7)&gt;0,O17/INDEX(IF_CostCache_Luna,1,O$7),0)</f>
        <v>0.303684072254601</v>
      </c>
      <c r="P18" s="67" t="n">
        <f aca="false">IF(INDEX(IF_CostCache_Luna,1,P$7)&gt;0,P17/INDEX(IF_CostCache_Luna,1,P$7),0)</f>
        <v>0.197484770673709</v>
      </c>
      <c r="Q18" s="67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1263</v>
      </c>
      <c r="B19" s="53" t="s">
        <v>69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82" t="s">
        <v>217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6" t="s">
        <v>1260</v>
      </c>
      <c r="B22" s="53" t="s">
        <v>225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1264</v>
      </c>
      <c r="B23" s="53" t="s">
        <v>738</v>
      </c>
      <c r="C23" s="148" t="n">
        <f aca="false">C22*1000000/1000000000*C$13*B4_Retain/B4_Hits</f>
        <v>1.8859398782344E-005</v>
      </c>
      <c r="D23" s="148" t="n">
        <f aca="false">D22*1000000/1000000000*D$13*B4_Retain/B4_Hits</f>
        <v>1.8859398782344E-005</v>
      </c>
      <c r="E23" s="148" t="n">
        <f aca="false">E22*1000000/1000000000*E$13*B4_Retain/B4_Hits</f>
        <v>1.8859398782344E-005</v>
      </c>
      <c r="F23" s="148" t="n">
        <f aca="false">F22*1000000/1000000000*F$13*B4_Retain/B4_Hits</f>
        <v>1.8859398782344E-005</v>
      </c>
      <c r="G23" s="148" t="n">
        <f aca="false">G22*1000000/1000000000*G$13*B4_Retain/B4_Hits</f>
        <v>1.8859398782344E-005</v>
      </c>
      <c r="H23" s="148" t="n">
        <f aca="false">H22*1000000/1000000000*H$13*B4_Retain/B4_Hits</f>
        <v>1.8859398782344E-005</v>
      </c>
      <c r="I23" s="148" t="n">
        <f aca="false">I22*1000000/1000000000*I$13*B4_Retain/B4_Hits</f>
        <v>1.8859398782344E-005</v>
      </c>
      <c r="J23" s="148" t="n">
        <f aca="false">J22*1000000/1000000000*J$13*B4_Retain/B4_Hits</f>
        <v>1.8859398782344E-005</v>
      </c>
      <c r="K23" s="148" t="n">
        <f aca="false">K22*1000000/1000000000*K$13*B4_Retain/B4_Hits</f>
        <v>1.8859398782344E-005</v>
      </c>
      <c r="L23" s="148" t="n">
        <f aca="false">L22*1000000/1000000000*L$13*B4_Retain/B4_Hits</f>
        <v>1.8859398782344E-005</v>
      </c>
      <c r="M23" s="148" t="n">
        <f aca="false">M22*1000000/1000000000*M$13*B4_Retain/B4_Hits</f>
        <v>1.8859398782344E-005</v>
      </c>
      <c r="N23" s="148" t="n">
        <f aca="false">N22*1000000/1000000000*N$13*B4_Retain/B4_Hits</f>
        <v>1.8859398782344E-005</v>
      </c>
      <c r="O23" s="148" t="n">
        <f aca="false">O22*1000000/1000000000*O$13*B4_Retain/B4_Hits</f>
        <v>1.8859398782344E-005</v>
      </c>
      <c r="P23" s="148" t="n">
        <f aca="false">P22*1000000/1000000000*P$13*B4_Retain/B4_Hits</f>
        <v>1.8859398782344E-005</v>
      </c>
      <c r="Q23" s="148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1262</v>
      </c>
      <c r="B24" s="53" t="s">
        <v>73</v>
      </c>
      <c r="C24" s="67" t="n">
        <f aca="false">IF(INDEX(IF_CostCache_Sol,1,C$7)&gt;0,C23/INDEX(IF_CostCache_Sol,1,C$7),0)</f>
        <v>1.53866476569163</v>
      </c>
      <c r="D24" s="67" t="n">
        <f aca="false">IF(INDEX(IF_CostCache_Sol,1,D$7)&gt;0,D23/INDEX(IF_CostCache_Sol,1,D$7),0)</f>
        <v>1.06685205912956</v>
      </c>
      <c r="E24" s="67" t="n">
        <f aca="false">IF(INDEX(IF_CostCache_Sol,1,E$7)&gt;0,E23/INDEX(IF_CostCache_Sol,1,E$7),0)</f>
        <v>0.618794512629808</v>
      </c>
      <c r="F24" s="67" t="n">
        <f aca="false">IF(INDEX(IF_CostCache_Sol,1,F$7)&gt;0,F23/INDEX(IF_CostCache_Sol,1,F$7),0)</f>
        <v>1.10931567482263</v>
      </c>
      <c r="G24" s="67" t="n">
        <f aca="false">IF(INDEX(IF_CostCache_Sol,1,G$7)&gt;0,G23/INDEX(IF_CostCache_Sol,1,G$7),0)</f>
        <v>0.824517454560545</v>
      </c>
      <c r="H24" s="67" t="n">
        <f aca="false">IF(INDEX(IF_CostCache_Sol,1,H$7)&gt;0,H23/INDEX(IF_CostCache_Sol,1,H$7),0)</f>
        <v>0.506664010031731</v>
      </c>
      <c r="I24" s="67" t="n">
        <f aca="false">IF(INDEX(IF_CostCache_Sol,1,I$7)&gt;0,I23/INDEX(IF_CostCache_Sol,1,I$7),0)</f>
        <v>0.837633191755707</v>
      </c>
      <c r="J24" s="67" t="n">
        <f aca="false">IF(INDEX(IF_CostCache_Sol,1,J$7)&gt;0,J23/INDEX(IF_CostCache_Sol,1,J$7),0)</f>
        <v>0.573161969395896</v>
      </c>
      <c r="K24" s="67" t="n">
        <f aca="false">IF(INDEX(IF_CostCache_Sol,1,K$7)&gt;0,K23/INDEX(IF_CostCache_Sol,1,K$7),0)</f>
        <v>0.305612320163616</v>
      </c>
      <c r="L24" s="67" t="n">
        <f aca="false">IF(INDEX(IF_CostCache_Sol,1,L$7)&gt;0,L23/INDEX(IF_CostCache_Sol,1,L$7),0)</f>
        <v>0.502044918630135</v>
      </c>
      <c r="M24" s="67" t="n">
        <f aca="false">IF(INDEX(IF_CostCache_Sol,1,M$7)&gt;0,M23/INDEX(IF_CostCache_Sol,1,M$7),0)</f>
        <v>0.363035119131974</v>
      </c>
      <c r="N24" s="67" t="n">
        <f aca="false">IF(INDEX(IF_CostCache_Sol,1,N$7)&gt;0,N23/INDEX(IF_CostCache_Sol,1,N$7),0)</f>
        <v>0.211632705071945</v>
      </c>
      <c r="O24" s="67" t="n">
        <f aca="false">IF(INDEX(IF_CostCache_Sol,1,O$7)&gt;0,O23/INDEX(IF_CostCache_Sol,1,O$7),0)</f>
        <v>0.303684072254601</v>
      </c>
      <c r="P24" s="67" t="n">
        <f aca="false">IF(INDEX(IF_CostCache_Sol,1,P$7)&gt;0,P23/INDEX(IF_CostCache_Sol,1,P$7),0)</f>
        <v>0.197484770673709</v>
      </c>
      <c r="Q24" s="67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1263</v>
      </c>
      <c r="B25" s="53" t="s">
        <v>69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82" t="s">
        <v>218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" t="s">
        <v>1260</v>
      </c>
      <c r="B28" s="53" t="s">
        <v>225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1265</v>
      </c>
      <c r="B29" s="53" t="s">
        <v>738</v>
      </c>
      <c r="C29" s="148" t="n">
        <f aca="false">C28*1000000/1000000000*C$13*B4_Retain/B4_Hits</f>
        <v>0.000273972602739726</v>
      </c>
      <c r="D29" s="148" t="n">
        <f aca="false">D28*1000000/1000000000*D$13*B4_Retain/B4_Hits</f>
        <v>0.000273972602739726</v>
      </c>
      <c r="E29" s="148" t="n">
        <f aca="false">E28*1000000/1000000000*E$13*B4_Retain/B4_Hits</f>
        <v>0.000273972602739726</v>
      </c>
      <c r="F29" s="148" t="n">
        <f aca="false">F28*1000000/1000000000*F$13*B4_Retain/B4_Hits</f>
        <v>0.000273972602739726</v>
      </c>
      <c r="G29" s="148" t="n">
        <f aca="false">G28*1000000/1000000000*G$13*B4_Retain/B4_Hits</f>
        <v>0.000273972602739726</v>
      </c>
      <c r="H29" s="148" t="n">
        <f aca="false">H28*1000000/1000000000*H$13*B4_Retain/B4_Hits</f>
        <v>0.000273972602739726</v>
      </c>
      <c r="I29" s="148" t="n">
        <f aca="false">I28*1000000/1000000000*I$13*B4_Retain/B4_Hits</f>
        <v>0.000273972602739726</v>
      </c>
      <c r="J29" s="148" t="n">
        <f aca="false">J28*1000000/1000000000*J$13*B4_Retain/B4_Hits</f>
        <v>0.000273972602739726</v>
      </c>
      <c r="K29" s="148" t="n">
        <f aca="false">K28*1000000/1000000000*K$13*B4_Retain/B4_Hits</f>
        <v>0.000273972602739726</v>
      </c>
      <c r="L29" s="148" t="n">
        <f aca="false">L28*1000000/1000000000*L$13*B4_Retain/B4_Hits</f>
        <v>0.000273972602739726</v>
      </c>
      <c r="M29" s="148" t="n">
        <f aca="false">M28*1000000/1000000000*M$13*B4_Retain/B4_Hits</f>
        <v>0.000273972602739726</v>
      </c>
      <c r="N29" s="148" t="n">
        <f aca="false">N28*1000000/1000000000*N$13*B4_Retain/B4_Hits</f>
        <v>0.000273972602739726</v>
      </c>
      <c r="O29" s="148" t="n">
        <f aca="false">O28*1000000/1000000000*O$13*B4_Retain/B4_Hits</f>
        <v>0.000273972602739726</v>
      </c>
      <c r="P29" s="148" t="n">
        <f aca="false">P28*1000000/1000000000*P$13*B4_Retain/B4_Hits</f>
        <v>0.000273972602739726</v>
      </c>
      <c r="Q29" s="148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1262</v>
      </c>
      <c r="B30" s="53" t="s">
        <v>73</v>
      </c>
      <c r="C30" s="67" t="n">
        <f aca="false">IF(INDEX(IF_CostCache_Astra,1,C$7)&gt;0,C29/INDEX(IF_CostCache_Astra,1,C$7),0)</f>
        <v>1.53866476569163</v>
      </c>
      <c r="D30" s="67" t="n">
        <f aca="false">IF(INDEX(IF_CostCache_Astra,1,D$7)&gt;0,D29/INDEX(IF_CostCache_Astra,1,D$7),0)</f>
        <v>1.06685205912956</v>
      </c>
      <c r="E30" s="67" t="n">
        <f aca="false">IF(INDEX(IF_CostCache_Astra,1,E$7)&gt;0,E29/INDEX(IF_CostCache_Astra,1,E$7),0)</f>
        <v>0.618794512629808</v>
      </c>
      <c r="F30" s="67" t="n">
        <f aca="false">IF(INDEX(IF_CostCache_Astra,1,F$7)&gt;0,F29/INDEX(IF_CostCache_Astra,1,F$7),0)</f>
        <v>1.10931567482263</v>
      </c>
      <c r="G30" s="67" t="n">
        <f aca="false">IF(INDEX(IF_CostCache_Astra,1,G$7)&gt;0,G29/INDEX(IF_CostCache_Astra,1,G$7),0)</f>
        <v>0.824517454560544</v>
      </c>
      <c r="H30" s="67" t="n">
        <f aca="false">IF(INDEX(IF_CostCache_Astra,1,H$7)&gt;0,H29/INDEX(IF_CostCache_Astra,1,H$7),0)</f>
        <v>0.506664010031731</v>
      </c>
      <c r="I30" s="67" t="n">
        <f aca="false">IF(INDEX(IF_CostCache_Astra,1,I$7)&gt;0,I29/INDEX(IF_CostCache_Astra,1,I$7),0)</f>
        <v>0.837633191755707</v>
      </c>
      <c r="J30" s="67" t="n">
        <f aca="false">IF(INDEX(IF_CostCache_Astra,1,J$7)&gt;0,J29/INDEX(IF_CostCache_Astra,1,J$7),0)</f>
        <v>0.573161969395896</v>
      </c>
      <c r="K30" s="67" t="n">
        <f aca="false">IF(INDEX(IF_CostCache_Astra,1,K$7)&gt;0,K29/INDEX(IF_CostCache_Astra,1,K$7),0)</f>
        <v>0.305612320163616</v>
      </c>
      <c r="L30" s="67" t="n">
        <f aca="false">IF(INDEX(IF_CostCache_Astra,1,L$7)&gt;0,L29/INDEX(IF_CostCache_Astra,1,L$7),0)</f>
        <v>0.502044918630135</v>
      </c>
      <c r="M30" s="67" t="n">
        <f aca="false">IF(INDEX(IF_CostCache_Astra,1,M$7)&gt;0,M29/INDEX(IF_CostCache_Astra,1,M$7),0)</f>
        <v>0.363035119131974</v>
      </c>
      <c r="N30" s="67" t="n">
        <f aca="false">IF(INDEX(IF_CostCache_Astra,1,N$7)&gt;0,N29/INDEX(IF_CostCache_Astra,1,N$7),0)</f>
        <v>0.211632705071946</v>
      </c>
      <c r="O30" s="67" t="n">
        <f aca="false">IF(INDEX(IF_CostCache_Astra,1,O$7)&gt;0,O29/INDEX(IF_CostCache_Astra,1,O$7),0)</f>
        <v>0.303684072254601</v>
      </c>
      <c r="P30" s="67" t="n">
        <f aca="false">IF(INDEX(IF_CostCache_Astra,1,P$7)&gt;0,P29/INDEX(IF_CostCache_Astra,1,P$7),0)</f>
        <v>0.197484770673709</v>
      </c>
      <c r="Q30" s="67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1263</v>
      </c>
      <c r="B31" s="53" t="s">
        <v>69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1266</v>
      </c>
    </row>
    <row r="2" customFormat="false" ht="15" hidden="false" customHeight="false" outlineLevel="0" collapsed="false">
      <c r="A2" s="64" t="s">
        <v>1267</v>
      </c>
    </row>
    <row r="4" customFormat="false" ht="15" hidden="false" customHeight="false" outlineLevel="0" collapsed="false">
      <c r="A4" s="1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390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10" t="s">
        <v>1253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1268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1269</v>
      </c>
      <c r="B10" s="53" t="s">
        <v>61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1270</v>
      </c>
      <c r="B11" s="53" t="s">
        <v>61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1271</v>
      </c>
      <c r="B12" s="53" t="s">
        <v>61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1272</v>
      </c>
      <c r="B13" s="53" t="s">
        <v>61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1273</v>
      </c>
      <c r="B14" s="53" t="s">
        <v>61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1274</v>
      </c>
      <c r="B15" s="53" t="s">
        <v>61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82" t="s">
        <v>1275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customFormat="false" ht="15" hidden="false" customHeight="false" outlineLevel="0" collapsed="false">
      <c r="A18" s="5" t="s">
        <v>1276</v>
      </c>
      <c r="B18" s="52" t="s">
        <v>1277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1278</v>
      </c>
      <c r="B19" s="53" t="s">
        <v>730</v>
      </c>
      <c r="C19" s="66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66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66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66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66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66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66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66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66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66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66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66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66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66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66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1279</v>
      </c>
      <c r="B20" s="53" t="s">
        <v>730</v>
      </c>
      <c r="C20" s="66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66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66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66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66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66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66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66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66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66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66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66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66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66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66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1280</v>
      </c>
      <c r="B21" s="53" t="s">
        <v>730</v>
      </c>
      <c r="C21" s="66" t="n">
        <f aca="false">IF(C18=1,C19*INDEX(B4_MixPaid,1,1),"SLO 不可達")</f>
        <v>828637304.762795</v>
      </c>
      <c r="D21" s="66" t="n">
        <f aca="false">IF(D18=1,D19*INDEX(B4_MixPaid,1,1),"SLO 不可達")</f>
        <v>828637304.762795</v>
      </c>
      <c r="E21" s="66" t="n">
        <f aca="false">IF(E18=1,E19*INDEX(B4_MixPaid,1,1),"SLO 不可達")</f>
        <v>828637304.762795</v>
      </c>
      <c r="F21" s="66" t="n">
        <f aca="false">IF(F18=1,F19*INDEX(B4_MixPaid,1,1),"SLO 不可達")</f>
        <v>4216803227.15036</v>
      </c>
      <c r="G21" s="66" t="n">
        <f aca="false">IF(G18=1,G19*INDEX(B4_MixPaid,1,1),"SLO 不可達")</f>
        <v>4216803227.15036</v>
      </c>
      <c r="H21" s="66" t="n">
        <f aca="false">IF(H18=1,H19*INDEX(B4_MixPaid,1,1),"SLO 不可達")</f>
        <v>4216803227.15036</v>
      </c>
      <c r="I21" s="66" t="n">
        <f aca="false">IF(I18=1,I19*INDEX(B4_MixPaid,1,1),"SLO 不可達")</f>
        <v>5373580517.06944</v>
      </c>
      <c r="J21" s="66" t="n">
        <f aca="false">IF(J18=1,J19*INDEX(B4_MixPaid,1,1),"SLO 不可達")</f>
        <v>5373580517.06944</v>
      </c>
      <c r="K21" s="66" t="n">
        <f aca="false">IF(K18=1,K19*INDEX(B4_MixPaid,1,1),"SLO 不可達")</f>
        <v>5373580517.06944</v>
      </c>
      <c r="L21" s="66" t="n">
        <f aca="false">IF(L18=1,L19*INDEX(B4_MixPaid,1,1),"SLO 不可達")</f>
        <v>10018290866.0078</v>
      </c>
      <c r="M21" s="66" t="n">
        <f aca="false">IF(M18=1,M19*INDEX(B4_MixPaid,1,1),"SLO 不可達")</f>
        <v>10018290866.0078</v>
      </c>
      <c r="N21" s="66" t="n">
        <f aca="false">IF(N18=1,N19*INDEX(B4_MixPaid,1,1),"SLO 不可達")</f>
        <v>10018290866.0078</v>
      </c>
      <c r="O21" s="66" t="n">
        <f aca="false">IF(O18=1,O19*INDEX(B4_MixPaid,1,1),"SLO 不可達")</f>
        <v>16746008128.2278</v>
      </c>
      <c r="P21" s="66" t="n">
        <f aca="false">IF(P18=1,P19*INDEX(B4_MixPaid,1,1),"SLO 不可達")</f>
        <v>16746008128.2278</v>
      </c>
      <c r="Q21" s="66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1281</v>
      </c>
      <c r="B22" s="53" t="s">
        <v>730</v>
      </c>
      <c r="C22" s="66" t="n">
        <f aca="false">IF(C18=1,C20*INDEX(B4_MixFree,1,1),"SLO 不可達")</f>
        <v>6147804651.43985</v>
      </c>
      <c r="D22" s="66" t="n">
        <f aca="false">IF(D18=1,D20*INDEX(B4_MixFree,1,1),"SLO 不可達")</f>
        <v>6147804651.43985</v>
      </c>
      <c r="E22" s="66" t="n">
        <f aca="false">IF(E18=1,E20*INDEX(B4_MixFree,1,1),"SLO 不可達")</f>
        <v>6147804651.43985</v>
      </c>
      <c r="F22" s="66" t="n">
        <f aca="false">IF(F18=1,F20*INDEX(B4_MixFree,1,1),"SLO 不可達")</f>
        <v>30391076611.8046</v>
      </c>
      <c r="G22" s="66" t="n">
        <f aca="false">IF(G18=1,G20*INDEX(B4_MixFree,1,1),"SLO 不可達")</f>
        <v>30391076611.8046</v>
      </c>
      <c r="H22" s="66" t="n">
        <f aca="false">IF(H18=1,H20*INDEX(B4_MixFree,1,1),"SLO 不可達")</f>
        <v>30391076611.8046</v>
      </c>
      <c r="I22" s="66" t="n">
        <f aca="false">IF(I18=1,I20*INDEX(B4_MixFree,1,1),"SLO 不可達")</f>
        <v>43260898695.9301</v>
      </c>
      <c r="J22" s="66" t="n">
        <f aca="false">IF(J18=1,J20*INDEX(B4_MixFree,1,1),"SLO 不可達")</f>
        <v>43260898695.9301</v>
      </c>
      <c r="K22" s="66" t="n">
        <f aca="false">IF(K18=1,K20*INDEX(B4_MixFree,1,1),"SLO 不可達")</f>
        <v>43260898695.9301</v>
      </c>
      <c r="L22" s="66" t="n">
        <f aca="false">IF(L18=1,L20*INDEX(B4_MixFree,1,1),"SLO 不可達")</f>
        <v>64988081280.6906</v>
      </c>
      <c r="M22" s="66" t="n">
        <f aca="false">IF(M18=1,M20*INDEX(B4_MixFree,1,1),"SLO 不可達")</f>
        <v>64988081280.6906</v>
      </c>
      <c r="N22" s="66" t="n">
        <f aca="false">IF(N18=1,N20*INDEX(B4_MixFree,1,1),"SLO 不可達")</f>
        <v>64988081280.6906</v>
      </c>
      <c r="O22" s="66" t="n">
        <f aca="false">IF(O18=1,O20*INDEX(B4_MixFree,1,1),"SLO 不可達")</f>
        <v>104277642390.735</v>
      </c>
      <c r="P22" s="66" t="n">
        <f aca="false">IF(P18=1,P20*INDEX(B4_MixFree,1,1),"SLO 不可達")</f>
        <v>104277642390.735</v>
      </c>
      <c r="Q22" s="66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1282</v>
      </c>
      <c r="B23" s="53" t="s">
        <v>61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1283</v>
      </c>
      <c r="B24" s="53" t="s">
        <v>730</v>
      </c>
      <c r="C24" s="66" t="n">
        <f aca="false">IF(C18=1,C19*INDEX(B4_MixPaid,1,2),"SLO 不可達")</f>
        <v>932216967.858144</v>
      </c>
      <c r="D24" s="66" t="n">
        <f aca="false">IF(D18=1,D19*INDEX(B4_MixPaid,1,2),"SLO 不可達")</f>
        <v>932216967.858144</v>
      </c>
      <c r="E24" s="66" t="n">
        <f aca="false">IF(E18=1,E19*INDEX(B4_MixPaid,1,2),"SLO 不可達")</f>
        <v>932216967.858144</v>
      </c>
      <c r="F24" s="66" t="n">
        <f aca="false">IF(F18=1,F19*INDEX(B4_MixPaid,1,2),"SLO 不可達")</f>
        <v>4743903630.54415</v>
      </c>
      <c r="G24" s="66" t="n">
        <f aca="false">IF(G18=1,G19*INDEX(B4_MixPaid,1,2),"SLO 不可達")</f>
        <v>4743903630.54415</v>
      </c>
      <c r="H24" s="66" t="n">
        <f aca="false">IF(H18=1,H19*INDEX(B4_MixPaid,1,2),"SLO 不可達")</f>
        <v>4743903630.54415</v>
      </c>
      <c r="I24" s="66" t="n">
        <f aca="false">IF(I18=1,I19*INDEX(B4_MixPaid,1,2),"SLO 不可達")</f>
        <v>6045278081.70311</v>
      </c>
      <c r="J24" s="66" t="n">
        <f aca="false">IF(J18=1,J19*INDEX(B4_MixPaid,1,2),"SLO 不可達")</f>
        <v>6045278081.70311</v>
      </c>
      <c r="K24" s="66" t="n">
        <f aca="false">IF(K18=1,K19*INDEX(B4_MixPaid,1,2),"SLO 不可達")</f>
        <v>6045278081.70311</v>
      </c>
      <c r="L24" s="66" t="n">
        <f aca="false">IF(L18=1,L19*INDEX(B4_MixPaid,1,2),"SLO 不可達")</f>
        <v>11270577224.2588</v>
      </c>
      <c r="M24" s="66" t="n">
        <f aca="false">IF(M18=1,M19*INDEX(B4_MixPaid,1,2),"SLO 不可達")</f>
        <v>11270577224.2588</v>
      </c>
      <c r="N24" s="66" t="n">
        <f aca="false">IF(N18=1,N19*INDEX(B4_MixPaid,1,2),"SLO 不可達")</f>
        <v>11270577224.2588</v>
      </c>
      <c r="O24" s="66" t="n">
        <f aca="false">IF(O18=1,O19*INDEX(B4_MixPaid,1,2),"SLO 不可達")</f>
        <v>18839259144.2563</v>
      </c>
      <c r="P24" s="66" t="n">
        <f aca="false">IF(P18=1,P19*INDEX(B4_MixPaid,1,2),"SLO 不可達")</f>
        <v>18839259144.2563</v>
      </c>
      <c r="Q24" s="66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1284</v>
      </c>
      <c r="B25" s="53" t="s">
        <v>730</v>
      </c>
      <c r="C25" s="66" t="n">
        <f aca="false">IF(C18=1,C20*INDEX(B4_MixFree,1,2),"SLO 不可達")</f>
        <v>683089405.715538</v>
      </c>
      <c r="D25" s="66" t="n">
        <f aca="false">IF(D18=1,D20*INDEX(B4_MixFree,1,2),"SLO 不可達")</f>
        <v>683089405.715538</v>
      </c>
      <c r="E25" s="66" t="n">
        <f aca="false">IF(E18=1,E20*INDEX(B4_MixFree,1,2),"SLO 不可達")</f>
        <v>683089405.715538</v>
      </c>
      <c r="F25" s="66" t="n">
        <f aca="false">IF(F18=1,F20*INDEX(B4_MixFree,1,2),"SLO 不可達")</f>
        <v>3376786290.20051</v>
      </c>
      <c r="G25" s="66" t="n">
        <f aca="false">IF(G18=1,G20*INDEX(B4_MixFree,1,2),"SLO 不可達")</f>
        <v>3376786290.20051</v>
      </c>
      <c r="H25" s="66" t="n">
        <f aca="false">IF(H18=1,H20*INDEX(B4_MixFree,1,2),"SLO 不可達")</f>
        <v>3376786290.20051</v>
      </c>
      <c r="I25" s="66" t="n">
        <f aca="false">IF(I18=1,I20*INDEX(B4_MixFree,1,2),"SLO 不可達")</f>
        <v>4806766521.77001</v>
      </c>
      <c r="J25" s="66" t="n">
        <f aca="false">IF(J18=1,J20*INDEX(B4_MixFree,1,2),"SLO 不可達")</f>
        <v>4806766521.77001</v>
      </c>
      <c r="K25" s="66" t="n">
        <f aca="false">IF(K18=1,K20*INDEX(B4_MixFree,1,2),"SLO 不可達")</f>
        <v>4806766521.77001</v>
      </c>
      <c r="L25" s="66" t="n">
        <f aca="false">IF(L18=1,L20*INDEX(B4_MixFree,1,2),"SLO 不可達")</f>
        <v>7220897920.07673</v>
      </c>
      <c r="M25" s="66" t="n">
        <f aca="false">IF(M18=1,M20*INDEX(B4_MixFree,1,2),"SLO 不可達")</f>
        <v>7220897920.07673</v>
      </c>
      <c r="N25" s="66" t="n">
        <f aca="false">IF(N18=1,N20*INDEX(B4_MixFree,1,2),"SLO 不可達")</f>
        <v>7220897920.07673</v>
      </c>
      <c r="O25" s="66" t="n">
        <f aca="false">IF(O18=1,O20*INDEX(B4_MixFree,1,2),"SLO 不可達")</f>
        <v>11586404710.0816</v>
      </c>
      <c r="P25" s="66" t="n">
        <f aca="false">IF(P18=1,P20*INDEX(B4_MixFree,1,2),"SLO 不可達")</f>
        <v>11586404710.0816</v>
      </c>
      <c r="Q25" s="66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1285</v>
      </c>
      <c r="B26" s="53" t="s">
        <v>61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1286</v>
      </c>
      <c r="B27" s="53" t="s">
        <v>730</v>
      </c>
      <c r="C27" s="66" t="n">
        <f aca="false">IF(C18=1,C19*INDEX(B4_MixPaid,1,3),"SLO 不可達")</f>
        <v>310738989.286048</v>
      </c>
      <c r="D27" s="66" t="n">
        <f aca="false">IF(D18=1,D19*INDEX(B4_MixPaid,1,3),"SLO 不可達")</f>
        <v>310738989.286048</v>
      </c>
      <c r="E27" s="66" t="n">
        <f aca="false">IF(E18=1,E19*INDEX(B4_MixPaid,1,3),"SLO 不可達")</f>
        <v>310738989.286048</v>
      </c>
      <c r="F27" s="66" t="n">
        <f aca="false">IF(F18=1,F19*INDEX(B4_MixPaid,1,3),"SLO 不可達")</f>
        <v>1581301210.18138</v>
      </c>
      <c r="G27" s="66" t="n">
        <f aca="false">IF(G18=1,G19*INDEX(B4_MixPaid,1,3),"SLO 不可達")</f>
        <v>1581301210.18138</v>
      </c>
      <c r="H27" s="66" t="n">
        <f aca="false">IF(H18=1,H19*INDEX(B4_MixPaid,1,3),"SLO 不可達")</f>
        <v>1581301210.18138</v>
      </c>
      <c r="I27" s="66" t="n">
        <f aca="false">IF(I18=1,I19*INDEX(B4_MixPaid,1,3),"SLO 不可達")</f>
        <v>2015092693.90104</v>
      </c>
      <c r="J27" s="66" t="n">
        <f aca="false">IF(J18=1,J19*INDEX(B4_MixPaid,1,3),"SLO 不可達")</f>
        <v>2015092693.90104</v>
      </c>
      <c r="K27" s="66" t="n">
        <f aca="false">IF(K18=1,K19*INDEX(B4_MixPaid,1,3),"SLO 不可達")</f>
        <v>2015092693.90104</v>
      </c>
      <c r="L27" s="66" t="n">
        <f aca="false">IF(L18=1,L19*INDEX(B4_MixPaid,1,3),"SLO 不可達")</f>
        <v>3756859074.75294</v>
      </c>
      <c r="M27" s="66" t="n">
        <f aca="false">IF(M18=1,M19*INDEX(B4_MixPaid,1,3),"SLO 不可達")</f>
        <v>3756859074.75294</v>
      </c>
      <c r="N27" s="66" t="n">
        <f aca="false">IF(N18=1,N19*INDEX(B4_MixPaid,1,3),"SLO 不可達")</f>
        <v>3756859074.75294</v>
      </c>
      <c r="O27" s="66" t="n">
        <f aca="false">IF(O18=1,O19*INDEX(B4_MixPaid,1,3),"SLO 不可達")</f>
        <v>6279753048.08542</v>
      </c>
      <c r="P27" s="66" t="n">
        <f aca="false">IF(P18=1,P19*INDEX(B4_MixPaid,1,3),"SLO 不可達")</f>
        <v>6279753048.08542</v>
      </c>
      <c r="Q27" s="66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1287</v>
      </c>
      <c r="B28" s="53" t="s">
        <v>730</v>
      </c>
      <c r="C28" s="66" t="n">
        <f aca="false">IF(C18=1,C20*INDEX(B4_MixFree,1,3),"SLO 不可達")</f>
        <v>0</v>
      </c>
      <c r="D28" s="66" t="n">
        <f aca="false">IF(D18=1,D20*INDEX(B4_MixFree,1,3),"SLO 不可達")</f>
        <v>0</v>
      </c>
      <c r="E28" s="66" t="n">
        <f aca="false">IF(E18=1,E20*INDEX(B4_MixFree,1,3),"SLO 不可達")</f>
        <v>0</v>
      </c>
      <c r="F28" s="66" t="n">
        <f aca="false">IF(F18=1,F20*INDEX(B4_MixFree,1,3),"SLO 不可達")</f>
        <v>0</v>
      </c>
      <c r="G28" s="66" t="n">
        <f aca="false">IF(G18=1,G20*INDEX(B4_MixFree,1,3),"SLO 不可達")</f>
        <v>0</v>
      </c>
      <c r="H28" s="66" t="n">
        <f aca="false">IF(H18=1,H20*INDEX(B4_MixFree,1,3),"SLO 不可達")</f>
        <v>0</v>
      </c>
      <c r="I28" s="66" t="n">
        <f aca="false">IF(I18=1,I20*INDEX(B4_MixFree,1,3),"SLO 不可達")</f>
        <v>0</v>
      </c>
      <c r="J28" s="66" t="n">
        <f aca="false">IF(J18=1,J20*INDEX(B4_MixFree,1,3),"SLO 不可達")</f>
        <v>0</v>
      </c>
      <c r="K28" s="66" t="n">
        <f aca="false">IF(K18=1,K20*INDEX(B4_MixFree,1,3),"SLO 不可達")</f>
        <v>0</v>
      </c>
      <c r="L28" s="66" t="n">
        <f aca="false">IF(L18=1,L20*INDEX(B4_MixFree,1,3),"SLO 不可達")</f>
        <v>0</v>
      </c>
      <c r="M28" s="66" t="n">
        <f aca="false">IF(M18=1,M20*INDEX(B4_MixFree,1,3),"SLO 不可達")</f>
        <v>0</v>
      </c>
      <c r="N28" s="66" t="n">
        <f aca="false">IF(N18=1,N20*INDEX(B4_MixFree,1,3),"SLO 不可達")</f>
        <v>0</v>
      </c>
      <c r="O28" s="66" t="n">
        <f aca="false">IF(O18=1,O20*INDEX(B4_MixFree,1,3),"SLO 不可達")</f>
        <v>0</v>
      </c>
      <c r="P28" s="66" t="n">
        <f aca="false">IF(P18=1,P20*INDEX(B4_MixFree,1,3),"SLO 不可達")</f>
        <v>0</v>
      </c>
      <c r="Q28" s="66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1288</v>
      </c>
      <c r="B29" s="53" t="s">
        <v>61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1289</v>
      </c>
      <c r="B30" s="53" t="s">
        <v>61</v>
      </c>
      <c r="C30" s="146" t="n">
        <f aca="false">IF(C18=1,C23+C26+C29-C10,"SLO 不可達")</f>
        <v>0</v>
      </c>
      <c r="D30" s="146" t="n">
        <f aca="false">IF(D18=1,D23+D26+D29-D10,"SLO 不可達")</f>
        <v>0</v>
      </c>
      <c r="E30" s="146" t="n">
        <f aca="false">IF(E18=1,E23+E26+E29-E10,"SLO 不可達")</f>
        <v>0</v>
      </c>
      <c r="F30" s="146" t="n">
        <f aca="false">IF(F18=1,F23+F26+F29-F10,"SLO 不可達")</f>
        <v>0</v>
      </c>
      <c r="G30" s="146" t="n">
        <f aca="false">IF(G18=1,G23+G26+G29-G10,"SLO 不可達")</f>
        <v>0</v>
      </c>
      <c r="H30" s="146" t="n">
        <f aca="false">IF(H18=1,H23+H26+H29-H10,"SLO 不可達")</f>
        <v>0</v>
      </c>
      <c r="I30" s="146" t="n">
        <f aca="false">IF(I18=1,I23+I26+I29-I10,"SLO 不可達")</f>
        <v>0</v>
      </c>
      <c r="J30" s="146" t="n">
        <f aca="false">IF(J18=1,J23+J26+J29-J10,"SLO 不可達")</f>
        <v>0</v>
      </c>
      <c r="K30" s="146" t="n">
        <f aca="false">IF(K18=1,K23+K26+K29-K10,"SLO 不可達")</f>
        <v>0</v>
      </c>
      <c r="L30" s="146" t="n">
        <f aca="false">IF(L18=1,L23+L26+L29-L10,"SLO 不可達")</f>
        <v>0</v>
      </c>
      <c r="M30" s="146" t="n">
        <f aca="false">IF(M18=1,M23+M26+M29-M10,"SLO 不可達")</f>
        <v>0</v>
      </c>
      <c r="N30" s="146" t="n">
        <f aca="false">IF(N18=1,N23+N26+N29-N10,"SLO 不可達")</f>
        <v>0</v>
      </c>
      <c r="O30" s="146" t="n">
        <f aca="false">IF(O18=1,O23+O26+O29-O10,"SLO 不可達")</f>
        <v>0</v>
      </c>
      <c r="P30" s="146" t="n">
        <f aca="false">IF(P18=1,P23+P26+P29-P10,"SLO 不可達")</f>
        <v>0</v>
      </c>
      <c r="Q30" s="146" t="n">
        <f aca="false">IF(Q18=1,Q23+Q26+Q29-Q10,"SLO 不可達")</f>
        <v>0</v>
      </c>
    </row>
    <row r="32" customFormat="false" ht="15" hidden="false" customHeight="false" outlineLevel="0" collapsed="false">
      <c r="A32" s="82" t="s">
        <v>1290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customFormat="false" ht="15" hidden="false" customHeight="false" outlineLevel="0" collapsed="false">
      <c r="A33" s="5" t="s">
        <v>1291</v>
      </c>
      <c r="B33" s="53" t="s">
        <v>69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1292</v>
      </c>
      <c r="B34" s="52" t="s">
        <v>340</v>
      </c>
      <c r="C34" s="79" t="n">
        <f aca="false">C13/C33</f>
        <v>2.96841065869139</v>
      </c>
      <c r="D34" s="79" t="n">
        <f aca="false">D13/D33</f>
        <v>2.96841065869139</v>
      </c>
      <c r="E34" s="79" t="n">
        <f aca="false">E13/E33</f>
        <v>2.96841065869139</v>
      </c>
      <c r="F34" s="79" t="n">
        <f aca="false">F13/F33</f>
        <v>7.03621371914259</v>
      </c>
      <c r="G34" s="79" t="n">
        <f aca="false">G13/G33</f>
        <v>7.03621371914259</v>
      </c>
      <c r="H34" s="79" t="n">
        <f aca="false">H13/H33</f>
        <v>7.03621371914259</v>
      </c>
      <c r="I34" s="79" t="n">
        <f aca="false">I13/I33</f>
        <v>7.41695648038075</v>
      </c>
      <c r="J34" s="79" t="n">
        <f aca="false">J13/J33</f>
        <v>7.41695648038075</v>
      </c>
      <c r="K34" s="79" t="n">
        <f aca="false">K13/K33</f>
        <v>7.41695648038075</v>
      </c>
      <c r="L34" s="79" t="n">
        <f aca="false">L13/L33</f>
        <v>13.3318000027365</v>
      </c>
      <c r="M34" s="79" t="n">
        <f aca="false">M13/M33</f>
        <v>13.3318000027365</v>
      </c>
      <c r="N34" s="79" t="n">
        <f aca="false">N13/N33</f>
        <v>13.3318000027365</v>
      </c>
      <c r="O34" s="79" t="n">
        <f aca="false">O13/O33</f>
        <v>20.4314631564128</v>
      </c>
      <c r="P34" s="79" t="n">
        <f aca="false">P13/P33</f>
        <v>20.4314631564128</v>
      </c>
      <c r="Q34" s="79" t="n">
        <f aca="false">Q13/Q33</f>
        <v>20.4314631564128</v>
      </c>
    </row>
    <row r="35" customFormat="false" ht="15" hidden="false" customHeight="false" outlineLevel="0" collapsed="false">
      <c r="A35" s="64" t="s">
        <v>1293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1294</v>
      </c>
    </row>
    <row r="2" customFormat="false" ht="15" hidden="false" customHeight="false" outlineLevel="0" collapsed="false">
      <c r="A2" s="64" t="s">
        <v>1295</v>
      </c>
    </row>
    <row r="4" customFormat="false" ht="15" hidden="false" customHeight="false" outlineLevel="0" collapsed="false">
      <c r="A4" s="1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390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10" t="s">
        <v>1253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216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1296</v>
      </c>
      <c r="B10" s="53" t="s">
        <v>808</v>
      </c>
      <c r="C10" s="65" t="n">
        <f aca="false">INDEX(IF_ProgCost_Luna,1,C$7)</f>
        <v>62.7626773498775</v>
      </c>
      <c r="D10" s="65" t="n">
        <f aca="false">INDEX(IF_ProgCost_Luna,1,D$7)</f>
        <v>90.5193174745518</v>
      </c>
      <c r="E10" s="65" t="n">
        <f aca="false">INDEX(IF_ProgCost_Luna,1,E$7)</f>
        <v>156.062664208694</v>
      </c>
      <c r="F10" s="65" t="n">
        <f aca="false">INDEX(IF_ProgCost_Luna,1,F$7)</f>
        <v>25.5447926643351</v>
      </c>
      <c r="G10" s="65" t="n">
        <f aca="false">INDEX(IF_ProgCost_Luna,1,G$7)</f>
        <v>34.3682705028293</v>
      </c>
      <c r="H10" s="65" t="n">
        <f aca="false">INDEX(IF_ProgCost_Luna,1,H$7)</f>
        <v>55.9290542678695</v>
      </c>
      <c r="I10" s="65" t="n">
        <f aca="false">INDEX(IF_ProgCost_Luna,1,I$7)</f>
        <v>28.8992574763015</v>
      </c>
      <c r="J10" s="65" t="n">
        <f aca="false">INDEX(IF_ProgCost_Luna,1,J$7)</f>
        <v>42.2340953723049</v>
      </c>
      <c r="K10" s="65" t="n">
        <f aca="false">INDEX(IF_ProgCost_Luna,1,K$7)</f>
        <v>79.2081198371999</v>
      </c>
      <c r="L10" s="65" t="n">
        <f aca="false">INDEX(IF_ProgCost_Luna,1,L$7)</f>
        <v>16.7205510141935</v>
      </c>
      <c r="M10" s="65" t="n">
        <f aca="false">INDEX(IF_ProgCost_Luna,1,M$7)</f>
        <v>23.1230182177504</v>
      </c>
      <c r="N10" s="65" t="n">
        <f aca="false">INDEX(IF_ProgCost_Luna,1,N$7)</f>
        <v>39.6652666255817</v>
      </c>
      <c r="O10" s="65" t="n">
        <f aca="false">INDEX(IF_ProgCost_Luna,1,O$7)</f>
        <v>13.5222013490541</v>
      </c>
      <c r="P10" s="65" t="n">
        <f aca="false">INDEX(IF_ProgCost_Luna,1,P$7)</f>
        <v>20.7938929038344</v>
      </c>
      <c r="Q10" s="65" t="n">
        <f aca="false">INDEX(IF_ProgCost_Luna,1,Q$7)</f>
        <v>38.1719045884844</v>
      </c>
    </row>
    <row r="11" customFormat="false" ht="15" hidden="false" customHeight="false" outlineLevel="0" collapsed="false">
      <c r="A11" s="5" t="s">
        <v>1297</v>
      </c>
      <c r="B11" s="53" t="s">
        <v>730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1298</v>
      </c>
      <c r="B12" s="53" t="s">
        <v>1299</v>
      </c>
      <c r="C12" s="66" t="n">
        <f aca="false">IF(ISNUMBER(C11),C11*INDEX(B4_Life,1,1)/12,"SLO 不可達")</f>
        <v>6976441956.20264</v>
      </c>
      <c r="D12" s="66" t="n">
        <f aca="false">IF(ISNUMBER(D11),D11*INDEX(B4_Life,1,1)/12,"SLO 不可達")</f>
        <v>6976441956.20264</v>
      </c>
      <c r="E12" s="66" t="n">
        <f aca="false">IF(ISNUMBER(E11),E11*INDEX(B4_Life,1,1)/12,"SLO 不可達")</f>
        <v>6976441956.20264</v>
      </c>
      <c r="F12" s="66" t="n">
        <f aca="false">IF(ISNUMBER(F11),F11*INDEX(B4_Life,1,1)/12,"SLO 不可達")</f>
        <v>34607879838.9549</v>
      </c>
      <c r="G12" s="66" t="n">
        <f aca="false">IF(ISNUMBER(G11),G11*INDEX(B4_Life,1,1)/12,"SLO 不可達")</f>
        <v>34607879838.9549</v>
      </c>
      <c r="H12" s="66" t="n">
        <f aca="false">IF(ISNUMBER(H11),H11*INDEX(B4_Life,1,1)/12,"SLO 不可達")</f>
        <v>34607879838.9549</v>
      </c>
      <c r="I12" s="66" t="n">
        <f aca="false">IF(ISNUMBER(I11),I11*INDEX(B4_Life,1,1)/12,"SLO 不可達")</f>
        <v>48634479212.9995</v>
      </c>
      <c r="J12" s="66" t="n">
        <f aca="false">IF(ISNUMBER(J11),J11*INDEX(B4_Life,1,1)/12,"SLO 不可達")</f>
        <v>48634479212.9995</v>
      </c>
      <c r="K12" s="66" t="n">
        <f aca="false">IF(ISNUMBER(K11),K11*INDEX(B4_Life,1,1)/12,"SLO 不可達")</f>
        <v>48634479212.9995</v>
      </c>
      <c r="L12" s="66" t="n">
        <f aca="false">IF(ISNUMBER(L11),L11*INDEX(B4_Life,1,1)/12,"SLO 不可達")</f>
        <v>75006372146.6984</v>
      </c>
      <c r="M12" s="66" t="n">
        <f aca="false">IF(ISNUMBER(M11),M11*INDEX(B4_Life,1,1)/12,"SLO 不可達")</f>
        <v>75006372146.6984</v>
      </c>
      <c r="N12" s="66" t="n">
        <f aca="false">IF(ISNUMBER(N11),N11*INDEX(B4_Life,1,1)/12,"SLO 不可達")</f>
        <v>75006372146.6984</v>
      </c>
      <c r="O12" s="66" t="n">
        <f aca="false">IF(ISNUMBER(O11),O11*INDEX(B4_Life,1,1)/12,"SLO 不可達")</f>
        <v>121023650518.963</v>
      </c>
      <c r="P12" s="66" t="n">
        <f aca="false">IF(ISNUMBER(P11),P11*INDEX(B4_Life,1,1)/12,"SLO 不可達")</f>
        <v>121023650518.963</v>
      </c>
      <c r="Q12" s="66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1300</v>
      </c>
      <c r="B13" s="53" t="s">
        <v>738</v>
      </c>
      <c r="C13" s="148" t="n">
        <f aca="false">IF(ISNUMBER(C12),IF(C12&gt;0,C10*1000000/C12,0),"SLO 不可達")</f>
        <v>0.0089963734728813</v>
      </c>
      <c r="D13" s="148" t="n">
        <f aca="false">IF(ISNUMBER(D12),IF(D12&gt;0,D10*1000000/D12,0),"SLO 不可達")</f>
        <v>0.0129749975765329</v>
      </c>
      <c r="E13" s="148" t="n">
        <f aca="false">IF(ISNUMBER(E12),IF(E12&gt;0,E10*1000000/E12,0),"SLO 不可達")</f>
        <v>0.0223699509274841</v>
      </c>
      <c r="F13" s="148" t="n">
        <f aca="false">IF(ISNUMBER(F12),IF(F12&gt;0,F10*1000000/F12,0),"SLO 不可達")</f>
        <v>0.000738120704972562</v>
      </c>
      <c r="G13" s="148" t="n">
        <f aca="false">IF(ISNUMBER(G12),IF(G12&gt;0,G10*1000000/G12,0),"SLO 不可達")</f>
        <v>0.000993076451454391</v>
      </c>
      <c r="H13" s="148" t="n">
        <f aca="false">IF(ISNUMBER(H12),IF(H12&gt;0,H10*1000000/H12,0),"SLO 不可達")</f>
        <v>0.00161607860776595</v>
      </c>
      <c r="I13" s="148" t="n">
        <f aca="false">IF(ISNUMBER(I12),IF(I12&gt;0,I10*1000000/I12,0),"SLO 不可達")</f>
        <v>0.000594213363522087</v>
      </c>
      <c r="J13" s="148" t="n">
        <f aca="false">IF(ISNUMBER(J12),IF(J12&gt;0,J10*1000000/J12,0),"SLO 不可達")</f>
        <v>0.000868398223970622</v>
      </c>
      <c r="K13" s="148" t="n">
        <f aca="false">IF(ISNUMBER(K12),IF(K12&gt;0,K10*1000000/K12,0),"SLO 不可達")</f>
        <v>0.00162864126683253</v>
      </c>
      <c r="L13" s="148" t="n">
        <f aca="false">IF(ISNUMBER(L12),IF(L12&gt;0,L10*1000000/L12,0),"SLO 不可達")</f>
        <v>0.000222921740322159</v>
      </c>
      <c r="M13" s="148" t="n">
        <f aca="false">IF(ISNUMBER(M12),IF(M12&gt;0,M10*1000000/M12,0),"SLO 不可達")</f>
        <v>0.000308280717437261</v>
      </c>
      <c r="N13" s="148" t="n">
        <f aca="false">IF(ISNUMBER(N12),IF(N12&gt;0,N10*1000000/N12,0),"SLO 不可達")</f>
        <v>0.000528825291643274</v>
      </c>
      <c r="O13" s="148" t="n">
        <f aca="false">IF(ISNUMBER(O12),IF(O12&gt;0,O10*1000000/O12,0),"SLO 不可達")</f>
        <v>0.000111731891172258</v>
      </c>
      <c r="P13" s="148" t="n">
        <f aca="false">IF(ISNUMBER(P12),IF(P12&gt;0,P10*1000000/P12,0),"SLO 不可達")</f>
        <v>0.000171816771471261</v>
      </c>
      <c r="Q13" s="148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1301</v>
      </c>
      <c r="B14" s="53" t="s">
        <v>738</v>
      </c>
      <c r="C14" s="149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9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9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9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9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9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9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9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9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9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9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9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9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9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9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1302</v>
      </c>
      <c r="B15" s="53" t="s">
        <v>738</v>
      </c>
      <c r="C15" s="150" t="n">
        <f aca="false">IF(ISNUMBER(C14),Fleet_1GW!C13/(1-Fleet_1GW!C13)*C14,"SLO 不可達")</f>
        <v>0.176326279813783</v>
      </c>
      <c r="D15" s="150" t="n">
        <f aca="false">IF(ISNUMBER(D14),Fleet_1GW!D13/(1-Fleet_1GW!D13)*D14,"SLO 不可達")</f>
        <v>0.254299250794601</v>
      </c>
      <c r="E15" s="150" t="n">
        <f aca="false">IF(ISNUMBER(E14),Fleet_1GW!E13/(1-Fleet_1GW!E13)*E14,"SLO 不可達")</f>
        <v>0.438421300507091</v>
      </c>
      <c r="F15" s="150" t="n">
        <f aca="false">IF(ISNUMBER(F14),Fleet_1GW!F13/(1-Fleet_1GW!F13)*F14,"SLO 不可達")</f>
        <v>0.0378881415493211</v>
      </c>
      <c r="G15" s="150" t="n">
        <f aca="false">IF(ISNUMBER(G14),Fleet_1GW!G13/(1-Fleet_1GW!G13)*G14,"SLO 不可達")</f>
        <v>0.0509697758505506</v>
      </c>
      <c r="H15" s="150" t="n">
        <f aca="false">IF(ISNUMBER(H14),Fleet_1GW!H13/(1-Fleet_1GW!H13)*H14,"SLO 不可達")</f>
        <v>0.0829356620492601</v>
      </c>
      <c r="I15" s="150" t="n">
        <f aca="false">IF(ISNUMBER(I14),Fleet_1GW!I13/(1-Fleet_1GW!I13)*I14,"SLO 不可達")</f>
        <v>0.0334593529513003</v>
      </c>
      <c r="J15" s="150" t="n">
        <f aca="false">IF(ISNUMBER(J14),Fleet_1GW!J13/(1-Fleet_1GW!J13)*J14,"SLO 不可達")</f>
        <v>0.0488911398448227</v>
      </c>
      <c r="K15" s="150" t="n">
        <f aca="false">IF(ISNUMBER(K14),Fleet_1GW!K13/(1-Fleet_1GW!K13)*K14,"SLO 不可達")</f>
        <v>0.0916794564773891</v>
      </c>
      <c r="L15" s="150" t="n">
        <f aca="false">IF(ISNUMBER(L14),Fleet_1GW!L13/(1-Fleet_1GW!L13)*L14,"SLO 不可達")</f>
        <v>0.0226731640318558</v>
      </c>
      <c r="M15" s="150" t="n">
        <f aca="false">IF(ISNUMBER(M14),Fleet_1GW!M13/(1-Fleet_1GW!M13)*M14,"SLO 不可達")</f>
        <v>0.0313489778020842</v>
      </c>
      <c r="N15" s="150" t="n">
        <f aca="false">IF(ISNUMBER(N14),Fleet_1GW!N13/(1-Fleet_1GW!N13)*N14,"SLO 不可達")</f>
        <v>0.0537649405808504</v>
      </c>
      <c r="O15" s="150" t="n">
        <f aca="false">IF(ISNUMBER(O14),Fleet_1GW!O13/(1-Fleet_1GW!O13)*O14,"SLO 不可達")</f>
        <v>0.0177478628481879</v>
      </c>
      <c r="P15" s="150" t="n">
        <f aca="false">IF(ISNUMBER(P14),Fleet_1GW!P13/(1-Fleet_1GW!P13)*P14,"SLO 不可達")</f>
        <v>0.0272835611500326</v>
      </c>
      <c r="Q15" s="150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1303</v>
      </c>
      <c r="B16" s="53" t="s">
        <v>73</v>
      </c>
      <c r="C16" s="65" t="n">
        <f aca="false">IF(AND(ISNUMBER(C13),ISNUMBER(C15)),IF(C13&gt;0,C15/C13,0),"SLO 不可達")</f>
        <v>19.5997065201107</v>
      </c>
      <c r="D16" s="65" t="n">
        <f aca="false">IF(AND(ISNUMBER(D13),ISNUMBER(D15)),IF(D13&gt;0,D15/D13,0),"SLO 不可達")</f>
        <v>19.599175205592</v>
      </c>
      <c r="E16" s="65" t="n">
        <f aca="false">IF(AND(ISNUMBER(E13),ISNUMBER(E15)),IF(E13&gt;0,E15/E13,0),"SLO 不可達")</f>
        <v>19.5986706420728</v>
      </c>
      <c r="F16" s="65" t="n">
        <f aca="false">IF(AND(ISNUMBER(F13),ISNUMBER(F15)),IF(F13&gt;0,F15/F13,0),"SLO 不可達")</f>
        <v>51.3305497245597</v>
      </c>
      <c r="G16" s="65" t="n">
        <f aca="false">IF(AND(ISNUMBER(G13),ISNUMBER(G15)),IF(G13&gt;0,G15/G13,0),"SLO 不可達")</f>
        <v>51.3251278649331</v>
      </c>
      <c r="H16" s="65" t="n">
        <f aca="false">IF(AND(ISNUMBER(H13),ISNUMBER(H15)),IF(H13&gt;0,H15/H13,0),"SLO 不可達")</f>
        <v>51.3190767149066</v>
      </c>
      <c r="I16" s="65" t="n">
        <f aca="false">IF(AND(ISNUMBER(I13),ISNUMBER(I15)),IF(I13&gt;0,I15/I13,0),"SLO 不可達")</f>
        <v>56.3086510760651</v>
      </c>
      <c r="J16" s="65" t="n">
        <f aca="false">IF(AND(ISNUMBER(J13),ISNUMBER(J15)),IF(J13&gt;0,J15/J13,0),"SLO 不可達")</f>
        <v>56.3003683048489</v>
      </c>
      <c r="K16" s="65" t="n">
        <f aca="false">IF(AND(ISNUMBER(K13),ISNUMBER(K15)),IF(K13&gt;0,K15/K13,0),"SLO 不可達")</f>
        <v>56.2919891227443</v>
      </c>
      <c r="L16" s="65" t="n">
        <f aca="false">IF(AND(ISNUMBER(L13),ISNUMBER(L15)),IF(L13&gt;0,L15/L13,0),"SLO 不可達")</f>
        <v>101.709075117973</v>
      </c>
      <c r="M16" s="65" t="n">
        <f aca="false">IF(AND(ISNUMBER(M13),ISNUMBER(M15)),IF(M13&gt;0,M15/M13,0),"SLO 不可達")</f>
        <v>101.689713397219</v>
      </c>
      <c r="N16" s="65" t="n">
        <f aca="false">IF(AND(ISNUMBER(N13),ISNUMBER(N15)),IF(N13&gt;0,N15/N13,0),"SLO 不可達")</f>
        <v>101.668625594251</v>
      </c>
      <c r="O16" s="65" t="n">
        <f aca="false">IF(AND(ISNUMBER(O13),ISNUMBER(O15)),IF(O13&gt;0,O15/O13,0),"SLO 不可達")</f>
        <v>158.843304825351</v>
      </c>
      <c r="P16" s="65" t="n">
        <f aca="false">IF(AND(ISNUMBER(P13),ISNUMBER(P15)),IF(P13&gt;0,P15/P13,0),"SLO 不可達")</f>
        <v>158.794516486396</v>
      </c>
      <c r="Q16" s="65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82" t="s">
        <v>217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customFormat="false" ht="15" hidden="false" customHeight="false" outlineLevel="0" collapsed="false">
      <c r="A19" s="5" t="s">
        <v>1296</v>
      </c>
      <c r="B19" s="53" t="s">
        <v>808</v>
      </c>
      <c r="C19" s="65" t="n">
        <f aca="false">INDEX(IF_ProgCost_Sol,1,C$7)</f>
        <v>183.615752268341</v>
      </c>
      <c r="D19" s="65" t="n">
        <f aca="false">INDEX(IF_ProgCost_Sol,1,D$7)</f>
        <v>264.819368368438</v>
      </c>
      <c r="E19" s="65" t="n">
        <f aca="false">INDEX(IF_ProgCost_Sol,1,E$7)</f>
        <v>456.570125744274</v>
      </c>
      <c r="F19" s="65" t="n">
        <f aca="false">INDEX(IF_ProgCost_Sol,1,F$7)</f>
        <v>75.7943551210198</v>
      </c>
      <c r="G19" s="65" t="n">
        <f aca="false">INDEX(IF_ProgCost_Sol,1,G$7)</f>
        <v>101.974634659049</v>
      </c>
      <c r="H19" s="65" t="n">
        <f aca="false">INDEX(IF_ProgCost_Sol,1,H$7)</f>
        <v>165.947974464487</v>
      </c>
      <c r="I19" s="65" t="n">
        <f aca="false">INDEX(IF_ProgCost_Sol,1,I$7)</f>
        <v>89.0442312208636</v>
      </c>
      <c r="J19" s="65" t="n">
        <f aca="false">INDEX(IF_ProgCost_Sol,1,J$7)</f>
        <v>130.131459495783</v>
      </c>
      <c r="K19" s="65" t="n">
        <f aca="false">INDEX(IF_ProgCost_Sol,1,K$7)</f>
        <v>244.055617800466</v>
      </c>
      <c r="L19" s="65" t="n">
        <f aca="false">INDEX(IF_ProgCost_Sol,1,L$7)</f>
        <v>50.4037150633511</v>
      </c>
      <c r="M19" s="65" t="n">
        <f aca="false">INDEX(IF_ProgCost_Sol,1,M$7)</f>
        <v>69.7038046570847</v>
      </c>
      <c r="N19" s="65" t="n">
        <f aca="false">INDEX(IF_ProgCost_Sol,1,N$7)</f>
        <v>119.570030629406</v>
      </c>
      <c r="O19" s="65" t="n">
        <f aca="false">INDEX(IF_ProgCost_Sol,1,O$7)</f>
        <v>41.0761006479071</v>
      </c>
      <c r="P19" s="65" t="n">
        <f aca="false">INDEX(IF_ProgCost_Sol,1,P$7)</f>
        <v>63.1651619238351</v>
      </c>
      <c r="Q19" s="65" t="n">
        <f aca="false">INDEX(IF_ProgCost_Sol,1,Q$7)</f>
        <v>115.953974824415</v>
      </c>
    </row>
    <row r="20" customFormat="false" ht="15" hidden="false" customHeight="false" outlineLevel="0" collapsed="false">
      <c r="A20" s="5" t="s">
        <v>1297</v>
      </c>
      <c r="B20" s="53" t="s">
        <v>730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1298</v>
      </c>
      <c r="B21" s="53" t="s">
        <v>1299</v>
      </c>
      <c r="C21" s="66" t="n">
        <f aca="false">IF(ISNUMBER(C20),C20*INDEX(B4_Life,1,2)/12,"SLO 不可達")</f>
        <v>1615306373.57368</v>
      </c>
      <c r="D21" s="66" t="n">
        <f aca="false">IF(ISNUMBER(D20),D20*INDEX(B4_Life,1,2)/12,"SLO 不可達")</f>
        <v>1615306373.57368</v>
      </c>
      <c r="E21" s="66" t="n">
        <f aca="false">IF(ISNUMBER(E20),E20*INDEX(B4_Life,1,2)/12,"SLO 不可達")</f>
        <v>1615306373.57368</v>
      </c>
      <c r="F21" s="66" t="n">
        <f aca="false">IF(ISNUMBER(F20),F20*INDEX(B4_Life,1,2)/12,"SLO 不可達")</f>
        <v>8120689920.74466</v>
      </c>
      <c r="G21" s="66" t="n">
        <f aca="false">IF(ISNUMBER(G20),G20*INDEX(B4_Life,1,2)/12,"SLO 不可達")</f>
        <v>8120689920.74466</v>
      </c>
      <c r="H21" s="66" t="n">
        <f aca="false">IF(ISNUMBER(H20),H20*INDEX(B4_Life,1,2)/12,"SLO 不可達")</f>
        <v>8120689920.74466</v>
      </c>
      <c r="I21" s="66" t="n">
        <f aca="false">IF(ISNUMBER(I20),I20*INDEX(B4_Life,1,2)/12,"SLO 不可達")</f>
        <v>10852044603.4731</v>
      </c>
      <c r="J21" s="66" t="n">
        <f aca="false">IF(ISNUMBER(J20),J20*INDEX(B4_Life,1,2)/12,"SLO 不可達")</f>
        <v>10852044603.4731</v>
      </c>
      <c r="K21" s="66" t="n">
        <f aca="false">IF(ISNUMBER(K20),K20*INDEX(B4_Life,1,2)/12,"SLO 不可達")</f>
        <v>10852044603.4731</v>
      </c>
      <c r="L21" s="66" t="n">
        <f aca="false">IF(ISNUMBER(L20),L20*INDEX(B4_Life,1,2)/12,"SLO 不可達")</f>
        <v>18491475144.3356</v>
      </c>
      <c r="M21" s="66" t="n">
        <f aca="false">IF(ISNUMBER(M20),M20*INDEX(B4_Life,1,2)/12,"SLO 不可達")</f>
        <v>18491475144.3356</v>
      </c>
      <c r="N21" s="66" t="n">
        <f aca="false">IF(ISNUMBER(N20),N20*INDEX(B4_Life,1,2)/12,"SLO 不可達")</f>
        <v>18491475144.3356</v>
      </c>
      <c r="O21" s="66" t="n">
        <f aca="false">IF(ISNUMBER(O20),O20*INDEX(B4_Life,1,2)/12,"SLO 不可達")</f>
        <v>30425663854.3379</v>
      </c>
      <c r="P21" s="66" t="n">
        <f aca="false">IF(ISNUMBER(P20),P20*INDEX(B4_Life,1,2)/12,"SLO 不可達")</f>
        <v>30425663854.3379</v>
      </c>
      <c r="Q21" s="66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1304</v>
      </c>
      <c r="B22" s="53" t="s">
        <v>738</v>
      </c>
      <c r="C22" s="148" t="n">
        <f aca="false">IF(ISNUMBER(C21),IF(C21&gt;0,C19*1000000/C21,0),"SLO 不可達")</f>
        <v>0.113672400030288</v>
      </c>
      <c r="D22" s="148" t="n">
        <f aca="false">IF(ISNUMBER(D21),IF(D21&gt;0,D19*1000000/D21,0),"SLO 不可達")</f>
        <v>0.163943740147917</v>
      </c>
      <c r="E22" s="148" t="n">
        <f aca="false">IF(ISNUMBER(E21),IF(E21&gt;0,E19*1000000/E21,0),"SLO 不可達")</f>
        <v>0.28265233965131</v>
      </c>
      <c r="F22" s="148" t="n">
        <f aca="false">IF(ISNUMBER(F21),IF(F21&gt;0,F19*1000000/F21,0),"SLO 不可達")</f>
        <v>0.00933348716189739</v>
      </c>
      <c r="G22" s="148" t="n">
        <f aca="false">IF(ISNUMBER(G21),IF(G21&gt;0,G19*1000000/G21,0),"SLO 不可達")</f>
        <v>0.0125573855983036</v>
      </c>
      <c r="H22" s="148" t="n">
        <f aca="false">IF(ISNUMBER(H21),IF(H21&gt;0,H19*1000000/H21,0),"SLO 不可達")</f>
        <v>0.0204352063782863</v>
      </c>
      <c r="I22" s="148" t="n">
        <f aca="false">IF(ISNUMBER(I21),IF(I21&gt;0,I19*1000000/I21,0),"SLO 不可達")</f>
        <v>0.00820529535902991</v>
      </c>
      <c r="J22" s="148" t="n">
        <f aca="false">IF(ISNUMBER(J21),IF(J21&gt;0,J19*1000000/J21,0),"SLO 不可達")</f>
        <v>0.0119914232064744</v>
      </c>
      <c r="K22" s="148" t="n">
        <f aca="false">IF(ISNUMBER(K21),IF(K21&gt;0,K19*1000000/K21,0),"SLO 不可達")</f>
        <v>0.0224893673697542</v>
      </c>
      <c r="L22" s="148" t="n">
        <f aca="false">IF(ISNUMBER(L21),IF(L21&gt;0,L19*1000000/L21,0),"SLO 不可達")</f>
        <v>0.00272578118673194</v>
      </c>
      <c r="M22" s="148" t="n">
        <f aca="false">IF(ISNUMBER(M21),IF(M21&gt;0,M19*1000000/M21,0),"SLO 不可達")</f>
        <v>0.00376951022636163</v>
      </c>
      <c r="N22" s="148" t="n">
        <f aca="false">IF(ISNUMBER(N21),IF(N21&gt;0,N19*1000000/N21,0),"SLO 不可達")</f>
        <v>0.00646622455461774</v>
      </c>
      <c r="O22" s="148" t="n">
        <f aca="false">IF(ISNUMBER(O21),IF(O21&gt;0,O19*1000000/O21,0),"SLO 不可達")</f>
        <v>0.00135004780321501</v>
      </c>
      <c r="P22" s="148" t="n">
        <f aca="false">IF(ISNUMBER(P21),IF(P21&gt;0,P19*1000000/P21,0),"SLO 不可達")</f>
        <v>0.00207604876679887</v>
      </c>
      <c r="Q22" s="148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1301</v>
      </c>
      <c r="B23" s="53" t="s">
        <v>738</v>
      </c>
      <c r="C23" s="149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9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9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9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9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9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9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9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9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9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9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9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9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9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9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1305</v>
      </c>
      <c r="B24" s="53" t="s">
        <v>738</v>
      </c>
      <c r="C24" s="150" t="n">
        <f aca="false">IF(ISNUMBER(C23),Fleet_1GW!C13/(1-Fleet_1GW!C13)*C23,"SLO 不可達")</f>
        <v>0.61423607421838</v>
      </c>
      <c r="D24" s="150" t="n">
        <f aca="false">IF(ISNUMBER(D23),Fleet_1GW!D13/(1-Fleet_1GW!D13)*D23,"SLO 不可達")</f>
        <v>0.885870691967473</v>
      </c>
      <c r="E24" s="150" t="n">
        <f aca="false">IF(ISNUMBER(E23),Fleet_1GW!E13/(1-Fleet_1GW!E13)*E23,"SLO 不可達")</f>
        <v>1.52729709862749</v>
      </c>
      <c r="F24" s="150" t="n">
        <f aca="false">IF(ISNUMBER(F23),Fleet_1GW!F13/(1-Fleet_1GW!F13)*F23,"SLO 不可達")</f>
        <v>0.133355626883983</v>
      </c>
      <c r="G24" s="150" t="n">
        <f aca="false">IF(ISNUMBER(G23),Fleet_1GW!G13/(1-Fleet_1GW!G13)*G23,"SLO 不可達")</f>
        <v>0.179410622009055</v>
      </c>
      <c r="H24" s="150" t="n">
        <f aca="false">IF(ISNUMBER(H23),Fleet_1GW!H13/(1-Fleet_1GW!H13)*H23,"SLO 不可達")</f>
        <v>0.291949216128891</v>
      </c>
      <c r="I24" s="150" t="n">
        <f aca="false">IF(ISNUMBER(I23),Fleet_1GW!I13/(1-Fleet_1GW!I13)*I23,"SLO 不可達")</f>
        <v>0.117750664610608</v>
      </c>
      <c r="J24" s="150" t="n">
        <f aca="false">IF(ISNUMBER(J23),Fleet_1GW!J13/(1-Fleet_1GW!J13)*J23,"SLO 不可達")</f>
        <v>0.172073553280807</v>
      </c>
      <c r="K24" s="150" t="n">
        <f aca="false">IF(ISNUMBER(K23),Fleet_1GW!K13/(1-Fleet_1GW!K13)*K23,"SLO 不可達")</f>
        <v>0.322696742730877</v>
      </c>
      <c r="L24" s="150" t="n">
        <f aca="false">IF(ISNUMBER(L23),Fleet_1GW!L13/(1-Fleet_1GW!L13)*L23,"SLO 不可達")</f>
        <v>0.0737657575334251</v>
      </c>
      <c r="M24" s="150" t="n">
        <f aca="false">IF(ISNUMBER(M23),Fleet_1GW!M13/(1-Fleet_1GW!M13)*M23,"SLO 不可達")</f>
        <v>0.102002940795623</v>
      </c>
      <c r="N24" s="150" t="n">
        <f aca="false">IF(ISNUMBER(N23),Fleet_1GW!N13/(1-Fleet_1GW!N13)*N23,"SLO 不可達")</f>
        <v>0.174960206332451</v>
      </c>
      <c r="O24" s="150" t="n">
        <f aca="false">IF(ISNUMBER(O23),Fleet_1GW!O13/(1-Fleet_1GW!O13)*O23,"SLO 不可達")</f>
        <v>0.0565211197168378</v>
      </c>
      <c r="P24" s="150" t="n">
        <f aca="false">IF(ISNUMBER(P23),Fleet_1GW!P13/(1-Fleet_1GW!P13)*P23,"SLO 不可達")</f>
        <v>0.0869039942730501</v>
      </c>
      <c r="Q24" s="150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1303</v>
      </c>
      <c r="B25" s="53" t="s">
        <v>73</v>
      </c>
      <c r="C25" s="65" t="n">
        <f aca="false">IF(AND(ISNUMBER(C22),ISNUMBER(C24)),IF(C22&gt;0,C24/C22,0),"SLO 不可達")</f>
        <v>5.40356387350596</v>
      </c>
      <c r="D25" s="65" t="n">
        <f aca="false">IF(AND(ISNUMBER(D22),ISNUMBER(D24)),IF(D22&gt;0,D24/D22,0),"SLO 不可達")</f>
        <v>5.40350422143721</v>
      </c>
      <c r="E25" s="65" t="n">
        <f aca="false">IF(AND(ISNUMBER(E22),ISNUMBER(E24)),IF(E22&gt;0,E24/E22,0),"SLO 不可達")</f>
        <v>5.40344757277303</v>
      </c>
      <c r="F25" s="65" t="n">
        <f aca="false">IF(AND(ISNUMBER(F22),ISNUMBER(F24)),IF(F22&gt;0,F24/F22,0),"SLO 不可達")</f>
        <v>14.2878673930563</v>
      </c>
      <c r="G25" s="65" t="n">
        <f aca="false">IF(AND(ISNUMBER(G22),ISNUMBER(G24)),IF(G22&gt;0,G24/G22,0),"SLO 不可達")</f>
        <v>14.2872591276716</v>
      </c>
      <c r="H25" s="65" t="n">
        <f aca="false">IF(AND(ISNUMBER(H22),ISNUMBER(H24)),IF(H22&gt;0,H24/H22,0),"SLO 不可達")</f>
        <v>14.2865802637112</v>
      </c>
      <c r="I25" s="65" t="n">
        <f aca="false">IF(AND(ISNUMBER(I22),ISNUMBER(I24)),IF(I22&gt;0,I24/I22,0),"SLO 不可達")</f>
        <v>14.3505699013045</v>
      </c>
      <c r="J25" s="65" t="n">
        <f aca="false">IF(AND(ISNUMBER(J22),ISNUMBER(J24)),IF(J22&gt;0,J24/J22,0),"SLO 不可達")</f>
        <v>14.3497189881433</v>
      </c>
      <c r="K25" s="65" t="n">
        <f aca="false">IF(AND(ISNUMBER(K22),ISNUMBER(K24)),IF(K22&gt;0,K24/K22,0),"SLO 不可達")</f>
        <v>14.3488581704112</v>
      </c>
      <c r="L25" s="65" t="n">
        <f aca="false">IF(AND(ISNUMBER(L22),ISNUMBER(L24)),IF(L22&gt;0,L24/L22,0),"SLO 不可達")</f>
        <v>27.0622447218025</v>
      </c>
      <c r="M25" s="65" t="n">
        <f aca="false">IF(AND(ISNUMBER(M22),ISNUMBER(M24)),IF(M22&gt;0,M24/M22,0),"SLO 不可達")</f>
        <v>27.0599984269248</v>
      </c>
      <c r="N25" s="65" t="n">
        <f aca="false">IF(AND(ISNUMBER(N22),ISNUMBER(N24)),IF(N22&gt;0,N24/N22,0),"SLO 不可達")</f>
        <v>27.0575518766211</v>
      </c>
      <c r="O25" s="65" t="n">
        <f aca="false">IF(AND(ISNUMBER(O22),ISNUMBER(O24)),IF(O22&gt;0,O24/O22,0),"SLO 不可達")</f>
        <v>41.8660136198425</v>
      </c>
      <c r="P25" s="65" t="n">
        <f aca="false">IF(AND(ISNUMBER(P22),ISNUMBER(P24)),IF(P22&gt;0,P24/P22,0),"SLO 不可達")</f>
        <v>41.8602855881128</v>
      </c>
      <c r="Q25" s="65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1306</v>
      </c>
      <c r="B26" s="53" t="s">
        <v>69</v>
      </c>
      <c r="C26" s="151" t="n">
        <f aca="false">IF(ISNUMBER(C22),C22/(INDEX(B4_EffRef,1,2)-INDEX(B4_EffRef,1,1)),"SLO 不可達")</f>
        <v>0.0744535689532334</v>
      </c>
      <c r="D26" s="151" t="n">
        <f aca="false">IF(ISNUMBER(D22),D22/(INDEX(B4_EffRef,1,2)-INDEX(B4_EffRef,1,1)),"SLO 不可達")</f>
        <v>0.107380477216119</v>
      </c>
      <c r="E26" s="151" t="n">
        <f aca="false">IF(ISNUMBER(E22),E22/(INDEX(B4_EffRef,1,2)-INDEX(B4_EffRef,1,1)),"SLO 不可達")</f>
        <v>0.185132674725037</v>
      </c>
      <c r="F26" s="151" t="n">
        <f aca="false">IF(ISNUMBER(F22),F22/(INDEX(B4_EffRef,1,2)-INDEX(B4_EffRef,1,1)),"SLO 不可達")</f>
        <v>0.00611328193824788</v>
      </c>
      <c r="G26" s="151" t="n">
        <f aca="false">IF(ISNUMBER(G22),G22/(INDEX(B4_EffRef,1,2)-INDEX(B4_EffRef,1,1)),"SLO 不可達")</f>
        <v>0.00822488285869329</v>
      </c>
      <c r="H26" s="151" t="n">
        <f aca="false">IF(ISNUMBER(H22),H22/(INDEX(B4_EffRef,1,2)-INDEX(B4_EffRef,1,1)),"SLO 不可達")</f>
        <v>0.0133847270467933</v>
      </c>
      <c r="I26" s="151" t="n">
        <f aca="false">IF(ISNUMBER(I22),I22/(INDEX(B4_EffRef,1,2)-INDEX(B4_EffRef,1,1)),"SLO 不可達")</f>
        <v>0.00537433469894542</v>
      </c>
      <c r="J26" s="151" t="n">
        <f aca="false">IF(ISNUMBER(J22),J22/(INDEX(B4_EffRef,1,2)-INDEX(B4_EffRef,1,1)),"SLO 不可達")</f>
        <v>0.00785418671826018</v>
      </c>
      <c r="K26" s="151" t="n">
        <f aca="false">IF(ISNUMBER(K22),K22/(INDEX(B4_EffRef,1,2)-INDEX(B4_EffRef,1,1)),"SLO 不可達")</f>
        <v>0.0147301690096492</v>
      </c>
      <c r="L26" s="151" t="n">
        <f aca="false">IF(ISNUMBER(L22),L22/(INDEX(B4_EffRef,1,2)-INDEX(B4_EffRef,1,1)),"SLO 不可達")</f>
        <v>0.00178534224212473</v>
      </c>
      <c r="M26" s="151" t="n">
        <f aca="false">IF(ISNUMBER(M22),M22/(INDEX(B4_EffRef,1,2)-INDEX(B4_EffRef,1,1)),"SLO 不可達")</f>
        <v>0.0024689677484029</v>
      </c>
      <c r="N26" s="151" t="n">
        <f aca="false">IF(ISNUMBER(N22),N22/(INDEX(B4_EffRef,1,2)-INDEX(B4_EffRef,1,1)),"SLO 不可達")</f>
        <v>0.00423527167206856</v>
      </c>
      <c r="O26" s="151" t="n">
        <f aca="false">IF(ISNUMBER(O22),O22/(INDEX(B4_EffRef,1,2)-INDEX(B4_EffRef,1,1)),"SLO 不可達")</f>
        <v>0.00088425930287429</v>
      </c>
      <c r="P26" s="151" t="n">
        <f aca="false">IF(ISNUMBER(P22),P22/(INDEX(B4_EffRef,1,2)-INDEX(B4_EffRef,1,1)),"SLO 不可達")</f>
        <v>0.00135977809888724</v>
      </c>
      <c r="Q26" s="151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82" t="s">
        <v>218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customFormat="false" ht="15" hidden="false" customHeight="false" outlineLevel="0" collapsed="false">
      <c r="A29" s="5" t="s">
        <v>1296</v>
      </c>
      <c r="B29" s="53" t="s">
        <v>808</v>
      </c>
      <c r="C29" s="65" t="n">
        <f aca="false">INDEX(IF_ProgCost_Astra,1,C$7)</f>
        <v>1144.9471071746</v>
      </c>
      <c r="D29" s="65" t="n">
        <f aca="false">INDEX(IF_ProgCost_Astra,1,D$7)</f>
        <v>1651.29715719671</v>
      </c>
      <c r="E29" s="65" t="n">
        <f aca="false">INDEX(IF_ProgCost_Astra,1,E$7)</f>
        <v>2846.97057978605</v>
      </c>
      <c r="F29" s="65" t="n">
        <f aca="false">INDEX(IF_ProgCost_Astra,1,F$7)</f>
        <v>476.317026092022</v>
      </c>
      <c r="G29" s="65" t="n">
        <f aca="false">INDEX(IF_ProgCost_Astra,1,G$7)</f>
        <v>640.842641118376</v>
      </c>
      <c r="H29" s="65" t="n">
        <f aca="false">INDEX(IF_ProgCost_Astra,1,H$7)</f>
        <v>1042.8724613688</v>
      </c>
      <c r="I29" s="65" t="n">
        <f aca="false">INDEX(IF_ProgCost_Astra,1,I$7)</f>
        <v>570.775687229015</v>
      </c>
      <c r="J29" s="65" t="n">
        <f aca="false">INDEX(IF_ProgCost_Astra,1,J$7)</f>
        <v>834.145819503879</v>
      </c>
      <c r="K29" s="65" t="n">
        <f aca="false">INDEX(IF_ProgCost_Astra,1,K$7)</f>
        <v>1564.40244429359</v>
      </c>
      <c r="L29" s="65" t="n">
        <f aca="false">INDEX(IF_ProgCost_Astra,1,L$7)</f>
        <v>318.632753900137</v>
      </c>
      <c r="M29" s="65" t="n">
        <f aca="false">INDEX(IF_ProgCost_Astra,1,M$7)</f>
        <v>440.64044103275</v>
      </c>
      <c r="N29" s="65" t="n">
        <f aca="false">INDEX(IF_ProgCost_Astra,1,N$7)</f>
        <v>755.875397190185</v>
      </c>
      <c r="O29" s="65" t="n">
        <f aca="false">INDEX(IF_ProgCost_Astra,1,O$7)</f>
        <v>260.268181843772</v>
      </c>
      <c r="P29" s="65" t="n">
        <f aca="false">INDEX(IF_ProgCost_Astra,1,P$7)</f>
        <v>400.229856059175</v>
      </c>
      <c r="Q29" s="65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1297</v>
      </c>
      <c r="B30" s="53" t="s">
        <v>730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1298</v>
      </c>
      <c r="B31" s="53" t="s">
        <v>1299</v>
      </c>
      <c r="C31" s="66" t="n">
        <f aca="false">IF(ISNUMBER(C30),C30*INDEX(B4_Life,1,3)/12,"SLO 不可達")</f>
        <v>233054241.964536</v>
      </c>
      <c r="D31" s="66" t="n">
        <f aca="false">IF(ISNUMBER(D30),D30*INDEX(B4_Life,1,3)/12,"SLO 不可達")</f>
        <v>233054241.964536</v>
      </c>
      <c r="E31" s="66" t="n">
        <f aca="false">IF(ISNUMBER(E30),E30*INDEX(B4_Life,1,3)/12,"SLO 不可達")</f>
        <v>233054241.964536</v>
      </c>
      <c r="F31" s="66" t="n">
        <f aca="false">IF(ISNUMBER(F30),F30*INDEX(B4_Life,1,3)/12,"SLO 不可達")</f>
        <v>1185975907.63604</v>
      </c>
      <c r="G31" s="66" t="n">
        <f aca="false">IF(ISNUMBER(G30),G30*INDEX(B4_Life,1,3)/12,"SLO 不可達")</f>
        <v>1185975907.63604</v>
      </c>
      <c r="H31" s="66" t="n">
        <f aca="false">IF(ISNUMBER(H30),H30*INDEX(B4_Life,1,3)/12,"SLO 不可達")</f>
        <v>1185975907.63604</v>
      </c>
      <c r="I31" s="66" t="n">
        <f aca="false">IF(ISNUMBER(I30),I30*INDEX(B4_Life,1,3)/12,"SLO 不可達")</f>
        <v>1511319520.42578</v>
      </c>
      <c r="J31" s="66" t="n">
        <f aca="false">IF(ISNUMBER(J30),J30*INDEX(B4_Life,1,3)/12,"SLO 不可達")</f>
        <v>1511319520.42578</v>
      </c>
      <c r="K31" s="66" t="n">
        <f aca="false">IF(ISNUMBER(K30),K30*INDEX(B4_Life,1,3)/12,"SLO 不可達")</f>
        <v>1511319520.42578</v>
      </c>
      <c r="L31" s="66" t="n">
        <f aca="false">IF(ISNUMBER(L30),L30*INDEX(B4_Life,1,3)/12,"SLO 不可達")</f>
        <v>2817644306.0647</v>
      </c>
      <c r="M31" s="66" t="n">
        <f aca="false">IF(ISNUMBER(M30),M30*INDEX(B4_Life,1,3)/12,"SLO 不可達")</f>
        <v>2817644306.0647</v>
      </c>
      <c r="N31" s="66" t="n">
        <f aca="false">IF(ISNUMBER(N30),N30*INDEX(B4_Life,1,3)/12,"SLO 不可達")</f>
        <v>2817644306.0647</v>
      </c>
      <c r="O31" s="66" t="n">
        <f aca="false">IF(ISNUMBER(O30),O30*INDEX(B4_Life,1,3)/12,"SLO 不可達")</f>
        <v>4709814786.06407</v>
      </c>
      <c r="P31" s="66" t="n">
        <f aca="false">IF(ISNUMBER(P30),P30*INDEX(B4_Life,1,3)/12,"SLO 不可達")</f>
        <v>4709814786.06407</v>
      </c>
      <c r="Q31" s="66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1307</v>
      </c>
      <c r="B32" s="53" t="s">
        <v>738</v>
      </c>
      <c r="C32" s="148" t="n">
        <f aca="false">IF(ISNUMBER(C31),IF(C31&gt;0,C29*1000000/C31,0),"SLO 不可達")</f>
        <v>4.91279239340697</v>
      </c>
      <c r="D32" s="148" t="n">
        <f aca="false">IF(ISNUMBER(D31),IF(D31&gt;0,D29*1000000/D31,0),"SLO 不可達")</f>
        <v>7.08546278015396</v>
      </c>
      <c r="E32" s="148" t="n">
        <f aca="false">IF(ISNUMBER(E31),IF(E31&gt;0,E29*1000000/E31,0),"SLO 不可達")</f>
        <v>12.2159140112081</v>
      </c>
      <c r="F32" s="148" t="n">
        <f aca="false">IF(ISNUMBER(F31),IF(F31&gt;0,F29*1000000/F31,0),"SLO 不可達")</f>
        <v>0.401624538091543</v>
      </c>
      <c r="G32" s="148" t="n">
        <f aca="false">IF(ISNUMBER(G31),IF(G31&gt;0,G29*1000000/G31,0),"SLO 不可達")</f>
        <v>0.54035047170203</v>
      </c>
      <c r="H32" s="148" t="n">
        <f aca="false">IF(ISNUMBER(H31),IF(H31&gt;0,H29*1000000/H31,0),"SLO 不可達")</f>
        <v>0.879336970215123</v>
      </c>
      <c r="I32" s="148" t="n">
        <f aca="false">IF(ISNUMBER(I31),IF(I31&gt;0,I29*1000000/I31,0),"SLO 不可達")</f>
        <v>0.377667117717246</v>
      </c>
      <c r="J32" s="148" t="n">
        <f aca="false">IF(ISNUMBER(J31),IF(J31&gt;0,J29*1000000/J31,0),"SLO 不可達")</f>
        <v>0.551932141569162</v>
      </c>
      <c r="K32" s="148" t="n">
        <f aca="false">IF(ISNUMBER(K31),IF(K31&gt;0,K29*1000000/K31,0),"SLO 不可達")</f>
        <v>1.03512356133193</v>
      </c>
      <c r="L32" s="148" t="n">
        <f aca="false">IF(ISNUMBER(L31),IF(L31&gt;0,L29*1000000/L31,0),"SLO 不可達")</f>
        <v>0.113084803931536</v>
      </c>
      <c r="M32" s="148" t="n">
        <f aca="false">IF(ISNUMBER(M31),IF(M31&gt;0,M29*1000000/M31,0),"SLO 不可達")</f>
        <v>0.156386113067684</v>
      </c>
      <c r="N32" s="148" t="n">
        <f aca="false">IF(ISNUMBER(N31),IF(N31&gt;0,N29*1000000/N31,0),"SLO 不可達")</f>
        <v>0.268265016830988</v>
      </c>
      <c r="O32" s="148" t="n">
        <f aca="false">IF(ISNUMBER(O31),IF(O31&gt;0,O29*1000000/O31,0),"SLO 不可達")</f>
        <v>0.0552608103855556</v>
      </c>
      <c r="P32" s="148" t="n">
        <f aca="false">IF(ISNUMBER(P31),IF(P31&gt;0,P29*1000000/P31,0),"SLO 不可達")</f>
        <v>0.0849778333626666</v>
      </c>
      <c r="Q32" s="148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1301</v>
      </c>
      <c r="B33" s="53" t="s">
        <v>738</v>
      </c>
      <c r="C33" s="149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9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9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9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9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9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9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9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9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9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9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9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9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9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9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1308</v>
      </c>
      <c r="B34" s="53" t="s">
        <v>738</v>
      </c>
      <c r="C34" s="150" t="n">
        <f aca="false">IF(ISNUMBER(C33),Fleet_1GW!C13/(1-Fleet_1GW!C13)*C33,"SLO 不可達")</f>
        <v>3.71498464151372</v>
      </c>
      <c r="D34" s="150" t="n">
        <f aca="false">IF(ISNUMBER(D33),Fleet_1GW!D13/(1-Fleet_1GW!D13)*D33,"SLO 不可達")</f>
        <v>5.35778541865553</v>
      </c>
      <c r="E34" s="150" t="n">
        <f aca="false">IF(ISNUMBER(E33),Fleet_1GW!E13/(1-Fleet_1GW!E13)*E33,"SLO 不可達")</f>
        <v>9.23702514175178</v>
      </c>
      <c r="F34" s="150" t="n">
        <f aca="false">IF(ISNUMBER(F33),Fleet_1GW!F13/(1-Fleet_1GW!F13)*F33,"SLO 不可達")</f>
        <v>0.729881548196879</v>
      </c>
      <c r="G34" s="150" t="n">
        <f aca="false">IF(ISNUMBER(G33),Fleet_1GW!G13/(1-Fleet_1GW!G13)*G33,"SLO 不可達")</f>
        <v>0.981880429763503</v>
      </c>
      <c r="H34" s="150" t="n">
        <f aca="false">IF(ISNUMBER(H33),Fleet_1GW!H13/(1-Fleet_1GW!H13)*H33,"SLO 不可達")</f>
        <v>1.59765728033665</v>
      </c>
      <c r="I34" s="150" t="n">
        <f aca="false">IF(ISNUMBER(I33),Fleet_1GW!I13/(1-Fleet_1GW!I13)*I33,"SLO 不可達")</f>
        <v>0.788003927244961</v>
      </c>
      <c r="J34" s="150" t="n">
        <f aca="false">IF(ISNUMBER(J33),Fleet_1GW!J13/(1-Fleet_1GW!J13)*J33,"SLO 不可達")</f>
        <v>1.15146035553695</v>
      </c>
      <c r="K34" s="150" t="n">
        <f aca="false">IF(ISNUMBER(K33),Fleet_1GW!K13/(1-Fleet_1GW!K13)*K33,"SLO 不可達")</f>
        <v>2.15923015194511</v>
      </c>
      <c r="L34" s="150" t="n">
        <f aca="false">IF(ISNUMBER(L33),Fleet_1GW!L13/(1-Fleet_1GW!L13)*L33,"SLO 不可達")</f>
        <v>0.359103209616456</v>
      </c>
      <c r="M34" s="150" t="n">
        <f aca="false">IF(ISNUMBER(M33),Fleet_1GW!M13/(1-Fleet_1GW!M13)*M33,"SLO 不可達")</f>
        <v>0.496484434075509</v>
      </c>
      <c r="N34" s="150" t="n">
        <f aca="false">IF(ISNUMBER(N33),Fleet_1GW!N13/(1-Fleet_1GW!N13)*N33,"SLO 不可達")</f>
        <v>0.851440464199517</v>
      </c>
      <c r="O34" s="150" t="n">
        <f aca="false">IF(ISNUMBER(O33),Fleet_1GW!O13/(1-Fleet_1GW!O13)*O33,"SLO 不可達")</f>
        <v>0.259169709254573</v>
      </c>
      <c r="P34" s="150" t="n">
        <f aca="false">IF(ISNUMBER(P33),Fleet_1GW!P13/(1-Fleet_1GW!P13)*P33,"SLO 不可達")</f>
        <v>0.398367917783687</v>
      </c>
      <c r="Q34" s="150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1303</v>
      </c>
      <c r="B35" s="53" t="s">
        <v>73</v>
      </c>
      <c r="C35" s="65" t="n">
        <f aca="false">IF(AND(ISNUMBER(C32),ISNUMBER(C34)),IF(C32&gt;0,C34/C32,0),"SLO 不可達")</f>
        <v>0.756185961877665</v>
      </c>
      <c r="D35" s="65" t="n">
        <f aca="false">IF(AND(ISNUMBER(D32),ISNUMBER(D34)),IF(D32&gt;0,D34/D32,0),"SLO 不可達")</f>
        <v>0.756165911090865</v>
      </c>
      <c r="E35" s="65" t="n">
        <f aca="false">IF(AND(ISNUMBER(E32),ISNUMBER(E34)),IF(E32&gt;0,E34/E32,0),"SLO 不可達")</f>
        <v>0.756146869835269</v>
      </c>
      <c r="F35" s="65" t="n">
        <f aca="false">IF(AND(ISNUMBER(F32),ISNUMBER(F34)),IF(F32&gt;0,F34/F32,0),"SLO 不可達")</f>
        <v>1.81732309401503</v>
      </c>
      <c r="G35" s="65" t="n">
        <f aca="false">IF(AND(ISNUMBER(G32),ISNUMBER(G34)),IF(G32&gt;0,G34/G32,0),"SLO 不可達")</f>
        <v>1.81711774336148</v>
      </c>
      <c r="H35" s="65" t="n">
        <f aca="false">IF(AND(ISNUMBER(H32),ISNUMBER(H34)),IF(H32&gt;0,H34/H32,0),"SLO 不可達")</f>
        <v>1.81688855859864</v>
      </c>
      <c r="I35" s="65" t="n">
        <f aca="false">IF(AND(ISNUMBER(I32),ISNUMBER(I34)),IF(I32&gt;0,I34/I32,0),"SLO 不可達")</f>
        <v>2.0865039350207</v>
      </c>
      <c r="J35" s="65" t="n">
        <f aca="false">IF(AND(ISNUMBER(J32),ISNUMBER(J34)),IF(J32&gt;0,J34/J32,0),"SLO 不可達")</f>
        <v>2.0862353699194</v>
      </c>
      <c r="K35" s="65" t="n">
        <f aca="false">IF(AND(ISNUMBER(K32),ISNUMBER(K34)),IF(K32&gt;0,K34/K32,0),"SLO 不可達")</f>
        <v>2.08596367873876</v>
      </c>
      <c r="L35" s="65" t="n">
        <f aca="false">IF(AND(ISNUMBER(L32),ISNUMBER(L34)),IF(L32&gt;0,L34/L32,0),"SLO 不可達")</f>
        <v>3.17552135328336</v>
      </c>
      <c r="M35" s="65" t="n">
        <f aca="false">IF(AND(ISNUMBER(M32),ISNUMBER(M34)),IF(M32&gt;0,M34/M32,0),"SLO 不可達")</f>
        <v>3.17473479157725</v>
      </c>
      <c r="N35" s="65" t="n">
        <f aca="false">IF(AND(ISNUMBER(N32),ISNUMBER(N34)),IF(N32&gt;0,N34/N32,0),"SLO 不可達")</f>
        <v>3.17387810851215</v>
      </c>
      <c r="O35" s="65" t="n">
        <f aca="false">IF(AND(ISNUMBER(O32),ISNUMBER(O34)),IF(O32&gt;0,O34/O32,0),"SLO 不可達")</f>
        <v>4.68993681863044</v>
      </c>
      <c r="P35" s="65" t="n">
        <f aca="false">IF(AND(ISNUMBER(P32),ISNUMBER(P34)),IF(P32&gt;0,P34/P32,0),"SLO 不可達")</f>
        <v>4.68790391587816</v>
      </c>
      <c r="Q35" s="65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1306</v>
      </c>
      <c r="B36" s="53" t="s">
        <v>69</v>
      </c>
      <c r="C36" s="151" t="n">
        <f aca="false">IF(ISNUMBER(C32),C32/(INDEX(B4_EffRef,1,3)-INDEX(B4_EffRef,1,2)),"SLO 不可達")</f>
        <v>0.764227245932362</v>
      </c>
      <c r="D36" s="151" t="n">
        <f aca="false">IF(ISNUMBER(D32),D32/(INDEX(B4_EffRef,1,3)-INDEX(B4_EffRef,1,2)),"SLO 不可達")</f>
        <v>1.10220487108313</v>
      </c>
      <c r="E36" s="151" t="n">
        <f aca="false">IF(ISNUMBER(E32),E32/(INDEX(B4_EffRef,1,3)-INDEX(B4_EffRef,1,2)),"SLO 不可達")</f>
        <v>1.9002908272413</v>
      </c>
      <c r="F36" s="151" t="n">
        <f aca="false">IF(ISNUMBER(F32),F32/(INDEX(B4_EffRef,1,3)-INDEX(B4_EffRef,1,2)),"SLO 不可達")</f>
        <v>0.0624761622446054</v>
      </c>
      <c r="G36" s="151" t="n">
        <f aca="false">IF(ISNUMBER(G32),G32/(INDEX(B4_EffRef,1,3)-INDEX(B4_EffRef,1,2)),"SLO 不可達")</f>
        <v>0.0840561781892677</v>
      </c>
      <c r="H36" s="151" t="n">
        <f aca="false">IF(ISNUMBER(H32),H32/(INDEX(B4_EffRef,1,3)-INDEX(B4_EffRef,1,2)),"SLO 不可達")</f>
        <v>0.136788452916484</v>
      </c>
      <c r="I36" s="151" t="n">
        <f aca="false">IF(ISNUMBER(I32),I32/(INDEX(B4_EffRef,1,3)-INDEX(B4_EffRef,1,2)),"SLO 不可達")</f>
        <v>0.0587493787931281</v>
      </c>
      <c r="J36" s="151" t="n">
        <f aca="false">IF(ISNUMBER(J32),J32/(INDEX(B4_EffRef,1,3)-INDEX(B4_EffRef,1,2)),"SLO 不可達")</f>
        <v>0.0858578068674374</v>
      </c>
      <c r="K36" s="151" t="n">
        <f aca="false">IF(ISNUMBER(K32),K32/(INDEX(B4_EffRef,1,3)-INDEX(B4_EffRef,1,2)),"SLO 不可達")</f>
        <v>0.161022401341042</v>
      </c>
      <c r="L36" s="151" t="n">
        <f aca="false">IF(ISNUMBER(L32),L32/(INDEX(B4_EffRef,1,3)-INDEX(B4_EffRef,1,2)),"SLO 不可達")</f>
        <v>0.0175913169832658</v>
      </c>
      <c r="M36" s="151" t="n">
        <f aca="false">IF(ISNUMBER(M32),M32/(INDEX(B4_EffRef,1,3)-INDEX(B4_EffRef,1,2)),"SLO 不可達")</f>
        <v>0.0243272092368839</v>
      </c>
      <c r="N36" s="151" t="n">
        <f aca="false">IF(ISNUMBER(N32),N32/(INDEX(B4_EffRef,1,3)-INDEX(B4_EffRef,1,2)),"SLO 不可達")</f>
        <v>0.0417309380440904</v>
      </c>
      <c r="O36" s="151" t="n">
        <f aca="false">IF(ISNUMBER(O32),O32/(INDEX(B4_EffRef,1,3)-INDEX(B4_EffRef,1,2)),"SLO 不可達")</f>
        <v>0.0085962958633504</v>
      </c>
      <c r="P36" s="151" t="n">
        <f aca="false">IF(ISNUMBER(P32),P32/(INDEX(B4_EffRef,1,3)-INDEX(B4_EffRef,1,2)),"SLO 不可達")</f>
        <v>0.0132190351953816</v>
      </c>
      <c r="Q36" s="151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82" t="s">
        <v>1309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" t="s">
        <v>1310</v>
      </c>
      <c r="B39" s="53" t="s">
        <v>1311</v>
      </c>
      <c r="C39" s="65" t="n">
        <f aca="false">IF(AND(ISNUMBER(C15),ISNUMBER(C24),ISNUMBER(C34)),(C15*C11+C24*C20+C34*C30)/1000000,"SLO 不可達")</f>
        <v>3376.70007475499</v>
      </c>
      <c r="D39" s="65" t="n">
        <f aca="false">IF(AND(ISNUMBER(D15),ISNUMBER(D24),ISNUMBER(D34)),(D15*D11+D24*D20+D34*D30)/1000000,"SLO 不可達")</f>
        <v>4869.92936337608</v>
      </c>
      <c r="E39" s="65" t="n">
        <f aca="false">IF(AND(ISNUMBER(E15),ISNUMBER(E24),ISNUMBER(E34)),(E15*E11+E24*E20+E34*E30)/1000000,"SLO 不可達")</f>
        <v>8395.97734966194</v>
      </c>
      <c r="F39" s="65" t="n">
        <f aca="false">IF(AND(ISNUMBER(F15),ISNUMBER(F24),ISNUMBER(F34)),(F15*F11+F24*F20+F34*F30)/1000000,"SLO 不可達")</f>
        <v>3548.33052062436</v>
      </c>
      <c r="G39" s="65" t="n">
        <f aca="false">IF(AND(ISNUMBER(G15),ISNUMBER(G24),ISNUMBER(G34)),(G15*G11+G24*G20+G34*G30)/1000000,"SLO 不可達")</f>
        <v>4773.54261971623</v>
      </c>
      <c r="H39" s="65" t="n">
        <f aca="false">IF(AND(ISNUMBER(H15),ISNUMBER(H24),ISNUMBER(H34)),(H15*H11+H24*H20+H34*H30)/1000000,"SLO 不可達")</f>
        <v>7767.4338742036</v>
      </c>
      <c r="I39" s="65" t="n">
        <f aca="false">IF(AND(ISNUMBER(I15),ISNUMBER(I24),ISNUMBER(I34)),(I15*I11+I24*I20+I34*I30)/1000000,"SLO 不可達")</f>
        <v>4493.01462659</v>
      </c>
      <c r="J39" s="65" t="n">
        <f aca="false">IF(AND(ISNUMBER(J15),ISNUMBER(J24),ISNUMBER(J34)),(J15*J11+J24*J20+J34*J30)/1000000,"SLO 不可達")</f>
        <v>6565.44434952351</v>
      </c>
      <c r="K39" s="65" t="n">
        <f aca="false">IF(AND(ISNUMBER(K15),ISNUMBER(K24),ISNUMBER(K34)),(K15*K11+K24*K20+K34*K30)/1000000,"SLO 不可達")</f>
        <v>12311.7509694551</v>
      </c>
      <c r="L39" s="65" t="n">
        <f aca="false">IF(AND(ISNUMBER(L15),ISNUMBER(L24),ISNUMBER(L34)),(L15*L11+L24*L20+L34*L30)/1000000,"SLO 不可達")</f>
        <v>4413.76960286942</v>
      </c>
      <c r="M39" s="65" t="n">
        <f aca="false">IF(AND(ISNUMBER(M15),ISNUMBER(M24),ISNUMBER(M34)),(M15*M11+M24*M20+M34*M30)/1000000,"SLO 不可達")</f>
        <v>6102.77999144325</v>
      </c>
      <c r="N39" s="65" t="n">
        <f aca="false">IF(AND(ISNUMBER(N15),ISNUMBER(N24),ISNUMBER(N34)),(N15*N11+N24*N20+N34*N30)/1000000,"SLO 不可達")</f>
        <v>10466.7272828365</v>
      </c>
      <c r="O39" s="65" t="n">
        <f aca="false">IF(AND(ISNUMBER(O15),ISNUMBER(O24),ISNUMBER(O34)),(O15*O11+O24*O20+O34*O30)/1000000,"SLO 不可達")</f>
        <v>5495.12551163568</v>
      </c>
      <c r="P39" s="65" t="n">
        <f aca="false">IF(AND(ISNUMBER(P15),ISNUMBER(P24),ISNUMBER(P34)),(P15*P11+P24*P20+P34*P30)/1000000,"SLO 不可達")</f>
        <v>8447.72003284697</v>
      </c>
      <c r="Q39" s="65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1312</v>
      </c>
      <c r="B40" s="53" t="s">
        <v>1311</v>
      </c>
      <c r="C40" s="65" t="n">
        <f aca="false">C10*12/INDEX(B4_Life,1,1)+C19*12/INDEX(B4_Life,1,2)+C29*12/INDEX(B4_Life,1,3)</f>
        <v>1772.97457251769</v>
      </c>
      <c r="D40" s="65" t="n">
        <f aca="false">D10*12/INDEX(B4_Life,1,1)+D19*12/INDEX(B4_Life,1,2)+D29*12/INDEX(B4_Life,1,3)</f>
        <v>2557.06822877194</v>
      </c>
      <c r="E40" s="65" t="n">
        <f aca="false">E10*12/INDEX(B4_Life,1,1)+E19*12/INDEX(B4_Life,1,2)+E29*12/INDEX(B4_Life,1,3)</f>
        <v>4408.59356300103</v>
      </c>
      <c r="F40" s="65" t="n">
        <f aca="false">F10*12/INDEX(B4_Life,1,1)+F19*12/INDEX(B4_Life,1,2)+F29*12/INDEX(B4_Life,1,3)</f>
        <v>736.428515908051</v>
      </c>
      <c r="G40" s="65" t="n">
        <f aca="false">G10*12/INDEX(B4_Life,1,1)+G19*12/INDEX(B4_Life,1,2)+G29*12/INDEX(B4_Life,1,3)</f>
        <v>990.799759986379</v>
      </c>
      <c r="H40" s="65" t="n">
        <f aca="false">H10*12/INDEX(B4_Life,1,1)+H19*12/INDEX(B4_Life,1,2)+H29*12/INDEX(B4_Life,1,3)</f>
        <v>1612.37364389076</v>
      </c>
      <c r="I40" s="65" t="n">
        <f aca="false">I10*12/INDEX(B4_Life,1,1)+I19*12/INDEX(B4_Life,1,2)+I29*12/INDEX(B4_Life,1,3)</f>
        <v>878.977738335852</v>
      </c>
      <c r="J40" s="65" t="n">
        <f aca="false">J10*12/INDEX(B4_Life,1,1)+J19*12/INDEX(B4_Life,1,2)+J29*12/INDEX(B4_Life,1,3)</f>
        <v>1284.55998087326</v>
      </c>
      <c r="K40" s="65" t="n">
        <f aca="false">K10*12/INDEX(B4_Life,1,1)+K19*12/INDEX(B4_Life,1,2)+K29*12/INDEX(B4_Life,1,3)</f>
        <v>2409.13366336246</v>
      </c>
      <c r="L40" s="65" t="n">
        <f aca="false">L10*12/INDEX(B4_Life,1,1)+L19*12/INDEX(B4_Life,1,2)+L29*12/INDEX(B4_Life,1,3)</f>
        <v>491.967937944394</v>
      </c>
      <c r="M40" s="65" t="n">
        <f aca="false">M10*12/INDEX(B4_Life,1,1)+M19*12/INDEX(B4_Life,1,2)+M29*12/INDEX(B4_Life,1,3)</f>
        <v>680.347410918502</v>
      </c>
      <c r="N40" s="65" t="n">
        <f aca="false">N10*12/INDEX(B4_Life,1,1)+N19*12/INDEX(B4_Life,1,2)+N29*12/INDEX(B4_Life,1,3)</f>
        <v>1167.06916017523</v>
      </c>
      <c r="O40" s="65" t="n">
        <f aca="false">O10*12/INDEX(B4_Life,1,1)+O19*12/INDEX(B4_Life,1,2)+O29*12/INDEX(B4_Life,1,3)</f>
        <v>401.622544455324</v>
      </c>
      <c r="P40" s="65" t="n">
        <f aca="false">P10*12/INDEX(B4_Life,1,1)+P19*12/INDEX(B4_Life,1,2)+P29*12/INDEX(B4_Life,1,3)</f>
        <v>617.59886290657</v>
      </c>
      <c r="Q40" s="65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1313</v>
      </c>
      <c r="B41" s="53" t="s">
        <v>73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1314</v>
      </c>
      <c r="B42" s="53" t="s">
        <v>1311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1315</v>
      </c>
      <c r="B43" s="53" t="s">
        <v>738</v>
      </c>
      <c r="C43" s="148" t="n">
        <f aca="false">IF(AND(ISNUMBER(C13),ISNUMBER(C41)),C13*C41,"SLO 不可達")</f>
        <v>0.0171339484780451</v>
      </c>
      <c r="D43" s="148" t="n">
        <f aca="false">IF(AND(ISNUMBER(D13),ISNUMBER(D41)),D13*D41,"SLO 不可達")</f>
        <v>0.0247108469679112</v>
      </c>
      <c r="E43" s="148" t="n">
        <f aca="false">IF(AND(ISNUMBER(E13),ISNUMBER(E41)),E13*E41,"SLO 不可達")</f>
        <v>0.0426026120612384</v>
      </c>
      <c r="F43" s="148" t="n">
        <f aca="false">IF(AND(ISNUMBER(F13),ISNUMBER(F41)),F13*F41,"SLO 不可達")</f>
        <v>0.00355648398830596</v>
      </c>
      <c r="G43" s="148" t="n">
        <f aca="false">IF(AND(ISNUMBER(G13),ISNUMBER(G41)),G13*G41,"SLO 不可達")</f>
        <v>0.00478451141905733</v>
      </c>
      <c r="H43" s="148" t="n">
        <f aca="false">IF(AND(ISNUMBER(H13),ISNUMBER(H41)),H13*H41,"SLO 不可達")</f>
        <v>0.00778528213289715</v>
      </c>
      <c r="I43" s="148" t="n">
        <f aca="false">IF(AND(ISNUMBER(I13),ISNUMBER(I41)),I13*I41,"SLO 不可達")</f>
        <v>0.00303740267492402</v>
      </c>
      <c r="J43" s="148" t="n">
        <f aca="false">IF(AND(ISNUMBER(J13),ISNUMBER(J41)),J13*J41,"SLO 不可達")</f>
        <v>0.00443842272653417</v>
      </c>
      <c r="K43" s="148" t="n">
        <f aca="false">IF(AND(ISNUMBER(K13),ISNUMBER(K41)),K13*K41,"SLO 不可達")</f>
        <v>0.0083230855974317</v>
      </c>
      <c r="L43" s="148" t="n">
        <f aca="false">IF(AND(ISNUMBER(L13),ISNUMBER(L41)),L13*L41,"SLO 不可達")</f>
        <v>0.0019999783021712</v>
      </c>
      <c r="M43" s="148" t="n">
        <f aca="false">IF(AND(ISNUMBER(M13),ISNUMBER(M41)),M13*M41,"SLO 不可達")</f>
        <v>0.00276530690634061</v>
      </c>
      <c r="N43" s="148" t="n">
        <f aca="false">IF(AND(ISNUMBER(N13),ISNUMBER(N41)),N13*N41,"SLO 不可達")</f>
        <v>0.00474270959834596</v>
      </c>
      <c r="O43" s="148" t="n">
        <f aca="false">IF(AND(ISNUMBER(O13),ISNUMBER(O41)),O13*O41,"SLO 不可達")</f>
        <v>0.0015287507489816</v>
      </c>
      <c r="P43" s="148" t="n">
        <f aca="false">IF(AND(ISNUMBER(P13),ISNUMBER(P41)),P13*P41,"SLO 不可達")</f>
        <v>0.00235016621550425</v>
      </c>
      <c r="Q43" s="148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1316</v>
      </c>
      <c r="B44" s="53" t="s">
        <v>738</v>
      </c>
      <c r="C44" s="152" t="n">
        <f aca="false">IF(AND(ISNUMBER(C42),ISNUMBER(C11)),IF(AND(C42&gt;0,C11&gt;0),C39*(Fleet_1GW!C21*INDEX(B4_EffRef,1,1)/1000000/C42)*1000000/C11,0),"SLO 不可達")</f>
        <v>0.00793466630668286</v>
      </c>
      <c r="D44" s="152" t="n">
        <f aca="false">IF(AND(ISNUMBER(D42),ISNUMBER(D11)),IF(AND(D42&gt;0,D11&gt;0),D39*(Fleet_1GW!D21*INDEX(B4_EffRef,1,1)/1000000/D42)*1000000/D11,0),"SLO 不可達")</f>
        <v>0.0114434991500717</v>
      </c>
      <c r="E44" s="152" t="n">
        <f aca="false">IF(AND(ISNUMBER(E42),ISNUMBER(E11)),IF(AND(E42&gt;0,E11&gt;0),E39*(Fleet_1GW!E21*INDEX(B4_EffRef,1,1)/1000000/E42)*1000000/E11,0),"SLO 不可達")</f>
        <v>0.0197291074460822</v>
      </c>
      <c r="F44" s="152" t="n">
        <f aca="false">IF(AND(ISNUMBER(F42),ISNUMBER(F11)),IF(AND(F42&gt;0,F11&gt;0),F39*(Fleet_1GW!F21*INDEX(B4_EffRef,1,1)/1000000/F42)*1000000/F11,0),"SLO 不可達")</f>
        <v>0.0016808123776379</v>
      </c>
      <c r="G44" s="152" t="n">
        <f aca="false">IF(AND(ISNUMBER(G42),ISNUMBER(G11)),IF(AND(G42&gt;0,G11&gt;0),G39*(Fleet_1GW!G21*INDEX(B4_EffRef,1,1)/1000000/G42)*1000000/G11,0),"SLO 不可達")</f>
        <v>0.00226118437213378</v>
      </c>
      <c r="H44" s="152" t="n">
        <f aca="false">IF(AND(ISNUMBER(H42),ISNUMBER(H11)),IF(AND(H42&gt;0,H11&gt;0),H39*(Fleet_1GW!H21*INDEX(B4_EffRef,1,1)/1000000/H42)*1000000/H11,0),"SLO 不可達")</f>
        <v>0.00367936383670034</v>
      </c>
      <c r="I44" s="152" t="n">
        <f aca="false">IF(AND(ISNUMBER(I42),ISNUMBER(I11)),IF(AND(I42&gt;0,I11&gt;0),I39*(Fleet_1GW!I21*INDEX(B4_EffRef,1,1)/1000000/I42)*1000000/I11,0),"SLO 不可達")</f>
        <v>0.00151448064576775</v>
      </c>
      <c r="J44" s="152" t="n">
        <f aca="false">IF(AND(ISNUMBER(J42),ISNUMBER(J11)),IF(AND(J42&gt;0,J11&gt;0),J39*(Fleet_1GW!J21*INDEX(B4_EffRef,1,1)/1000000/J42)*1000000/J11,0),"SLO 不可達")</f>
        <v>0.00221304385242233</v>
      </c>
      <c r="K44" s="152" t="n">
        <f aca="false">IF(AND(ISNUMBER(K42),ISNUMBER(K11)),IF(AND(K42&gt;0,K11&gt;0),K39*(Fleet_1GW!K21*INDEX(B4_EffRef,1,1)/1000000/K42)*1000000/K11,0),"SLO 不可達")</f>
        <v>0.00414997726657826</v>
      </c>
      <c r="L44" s="152" t="n">
        <f aca="false">IF(AND(ISNUMBER(L42),ISNUMBER(L11)),IF(AND(L42&gt;0,L11&gt;0),L39*(Fleet_1GW!L21*INDEX(B4_EffRef,1,1)/1000000/L42)*1000000/L11,0),"SLO 不可達")</f>
        <v>0.000964676422345127</v>
      </c>
      <c r="M44" s="152" t="n">
        <f aca="false">IF(AND(ISNUMBER(M42),ISNUMBER(M11)),IF(AND(M42&gt;0,M11&gt;0),M39*(Fleet_1GW!M21*INDEX(B4_EffRef,1,1)/1000000/M42)*1000000/M11,0),"SLO 不可達")</f>
        <v>0.00133382765712954</v>
      </c>
      <c r="N44" s="152" t="n">
        <f aca="false">IF(AND(ISNUMBER(N42),ISNUMBER(N11)),IF(AND(N42&gt;0,N11&gt;0),N39*(Fleet_1GW!N21*INDEX(B4_EffRef,1,1)/1000000/N42)*1000000/N11,0),"SLO 不可達")</f>
        <v>0.00228761488191517</v>
      </c>
      <c r="O44" s="152" t="n">
        <f aca="false">IF(AND(ISNUMBER(O42),ISNUMBER(O11)),IF(AND(O42&gt;0,O11&gt;0),O39*(Fleet_1GW!O21*INDEX(B4_EffRef,1,1)/1000000/O42)*1000000/O11,0),"SLO 不可達")</f>
        <v>0.000744350582672252</v>
      </c>
      <c r="P44" s="152" t="n">
        <f aca="false">IF(AND(ISNUMBER(P42),ISNUMBER(P11)),IF(AND(P42&gt;0,P11&gt;0),P39*(Fleet_1GW!P21*INDEX(B4_EffRef,1,1)/1000000/P42)*1000000/P11,0),"SLO 不可達")</f>
        <v>0.00114429876358365</v>
      </c>
      <c r="Q44" s="152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1317</v>
      </c>
      <c r="B45" s="53" t="s">
        <v>738</v>
      </c>
      <c r="C45" s="148" t="n">
        <f aca="false">IF(AND(ISNUMBER(C22),ISNUMBER(C41)),C22*C41,"SLO 不可達")</f>
        <v>0.216493573923505</v>
      </c>
      <c r="D45" s="148" t="n">
        <f aca="false">IF(AND(ISNUMBER(D22),ISNUMBER(D41)),D22*D41,"SLO 不可達")</f>
        <v>0.31223039929266</v>
      </c>
      <c r="E45" s="148" t="n">
        <f aca="false">IF(AND(ISNUMBER(E22),ISNUMBER(E41)),E22*E41,"SLO 不可達")</f>
        <v>0.538299257490613</v>
      </c>
      <c r="F45" s="148" t="n">
        <f aca="false">IF(AND(ISNUMBER(F22),ISNUMBER(F41)),F22*F41,"SLO 不可達")</f>
        <v>0.0449715032009314</v>
      </c>
      <c r="G45" s="148" t="n">
        <f aca="false">IF(AND(ISNUMBER(G22),ISNUMBER(G41)),G22*G41,"SLO 不可達")</f>
        <v>0.0604998282867341</v>
      </c>
      <c r="H45" s="148" t="n">
        <f aca="false">IF(AND(ISNUMBER(H22),ISNUMBER(H41)),H22*H41,"SLO 不可達")</f>
        <v>0.0984443741377582</v>
      </c>
      <c r="I45" s="148" t="n">
        <f aca="false">IF(AND(ISNUMBER(I22),ISNUMBER(I41)),I22*I41,"SLO 不可達")</f>
        <v>0.0419424866588896</v>
      </c>
      <c r="J45" s="148" t="n">
        <f aca="false">IF(AND(ISNUMBER(J22),ISNUMBER(J41)),J22*J41,"SLO 不可達")</f>
        <v>0.0612887081225833</v>
      </c>
      <c r="K45" s="148" t="n">
        <f aca="false">IF(AND(ISNUMBER(K22),ISNUMBER(K41)),K22*K41,"SLO 不可達")</f>
        <v>0.114930729966453</v>
      </c>
      <c r="L45" s="148" t="n">
        <f aca="false">IF(AND(ISNUMBER(L22),ISNUMBER(L41)),L22*L41,"SLO 不可達")</f>
        <v>0.0244547849933883</v>
      </c>
      <c r="M45" s="148" t="n">
        <f aca="false">IF(AND(ISNUMBER(M22),ISNUMBER(M41)),M22*M41,"SLO 不可達")</f>
        <v>0.0338128597504667</v>
      </c>
      <c r="N45" s="148" t="n">
        <f aca="false">IF(AND(ISNUMBER(N22),ISNUMBER(N41)),N22*N41,"SLO 不可達")</f>
        <v>0.0579916009027288</v>
      </c>
      <c r="O45" s="148" t="n">
        <f aca="false">IF(AND(ISNUMBER(O22),ISNUMBER(O41)),O22*O41,"SLO 不可達")</f>
        <v>0.018471777114593</v>
      </c>
      <c r="P45" s="148" t="n">
        <f aca="false">IF(AND(ISNUMBER(P22),ISNUMBER(P41)),P22*P41,"SLO 不可達")</f>
        <v>0.0283968766942292</v>
      </c>
      <c r="Q45" s="148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1318</v>
      </c>
      <c r="B46" s="53" t="s">
        <v>738</v>
      </c>
      <c r="C46" s="152" t="n">
        <f aca="false">IF(AND(ISNUMBER(C42),ISNUMBER(C20)),IF(AND(C42&gt;0,C20&gt;0),C39*(Fleet_1GW!C24*INDEX(B4_EffRef,1,2)/1000000/C42)*1000000/C20,0),"SLO 不可達")</f>
        <v>0.771063710458025</v>
      </c>
      <c r="D46" s="152" t="n">
        <f aca="false">IF(AND(ISNUMBER(D42),ISNUMBER(D20)),IF(AND(D42&gt;0,D20&gt;0),D39*(Fleet_1GW!D24*INDEX(B4_EffRef,1,2)/1000000/D42)*1000000/D20,0),"SLO 不可達")</f>
        <v>1.11204007506225</v>
      </c>
      <c r="E46" s="152" t="n">
        <f aca="false">IF(AND(ISNUMBER(E42),ISNUMBER(E20)),IF(AND(E42&gt;0,E20&gt;0),E39*(Fleet_1GW!E24*INDEX(B4_EffRef,1,2)/1000000/E42)*1000000/E20,0),"SLO 不可達")</f>
        <v>1.91720712673055</v>
      </c>
      <c r="F46" s="152" t="n">
        <f aca="false">IF(AND(ISNUMBER(F42),ISNUMBER(F20)),IF(AND(F42&gt;0,F20&gt;0),F39*(Fleet_1GW!F24*INDEX(B4_EffRef,1,2)/1000000/F42)*1000000/F20,0),"SLO 不可達")</f>
        <v>0.161169857574761</v>
      </c>
      <c r="G46" s="152" t="n">
        <f aca="false">IF(AND(ISNUMBER(G42),ISNUMBER(G20)),IF(AND(G42&gt;0,G20&gt;0),G39*(Fleet_1GW!G24*INDEX(B4_EffRef,1,2)/1000000/G42)*1000000/G20,0),"SLO 不可達")</f>
        <v>0.216820608924375</v>
      </c>
      <c r="H46" s="152" t="n">
        <f aca="false">IF(AND(ISNUMBER(H42),ISNUMBER(H20)),IF(AND(H42&gt;0,H20&gt;0),H39*(Fleet_1GW!H24*INDEX(B4_EffRef,1,2)/1000000/H42)*1000000/H20,0),"SLO 不可達")</f>
        <v>0.352807102932027</v>
      </c>
      <c r="I46" s="152" t="n">
        <f aca="false">IF(AND(ISNUMBER(I42),ISNUMBER(I20)),IF(AND(I42&gt;0,I20&gt;0),I39*(Fleet_1GW!I24*INDEX(B4_EffRef,1,2)/1000000/I42)*1000000/I20,0),"SLO 不可達")</f>
        <v>0.152714032605796</v>
      </c>
      <c r="J46" s="152" t="n">
        <f aca="false">IF(AND(ISNUMBER(J42),ISNUMBER(J20)),IF(AND(J42&gt;0,J20&gt;0),J39*(Fleet_1GW!J24*INDEX(B4_EffRef,1,2)/1000000/J42)*1000000/J20,0),"SLO 不可達")</f>
        <v>0.223154288555171</v>
      </c>
      <c r="K46" s="152" t="n">
        <f aca="false">IF(AND(ISNUMBER(K42),ISNUMBER(K20)),IF(AND(K42&gt;0,K20&gt;0),K39*(Fleet_1GW!K24*INDEX(B4_EffRef,1,2)/1000000/K42)*1000000/K20,0),"SLO 不可達")</f>
        <v>0.418466730078458</v>
      </c>
      <c r="L46" s="152" t="n">
        <f aca="false">IF(AND(ISNUMBER(L42),ISNUMBER(L20)),IF(AND(L42&gt;0,L20&gt;0),L39*(Fleet_1GW!L24*INDEX(B4_EffRef,1,2)/1000000/L42)*1000000/L20,0),"SLO 不可達")</f>
        <v>0.0880421793741483</v>
      </c>
      <c r="M46" s="152" t="n">
        <f aca="false">IF(AND(ISNUMBER(M42),ISNUMBER(M20)),IF(AND(M42&gt;0,M20&gt;0),M39*(Fleet_1GW!M24*INDEX(B4_EffRef,1,2)/1000000/M42)*1000000/M20,0),"SLO 不可達")</f>
        <v>0.121733144008765</v>
      </c>
      <c r="N46" s="152" t="n">
        <f aca="false">IF(AND(ISNUMBER(N42),ISNUMBER(N20)),IF(AND(N42&gt;0,N20&gt;0),N39*(Fleet_1GW!N24*INDEX(B4_EffRef,1,2)/1000000/N42)*1000000/N20,0),"SLO 不可達")</f>
        <v>0.208781509641261</v>
      </c>
      <c r="O46" s="152" t="n">
        <f aca="false">IF(AND(ISNUMBER(O42),ISNUMBER(O20)),IF(AND(O42&gt;0,O20&gt;0),O39*(Fleet_1GW!O24*INDEX(B4_EffRef,1,2)/1000000/O42)*1000000/O20,0),"SLO 不可達")</f>
        <v>0.0666177923766668</v>
      </c>
      <c r="P46" s="152" t="n">
        <f aca="false">IF(AND(ISNUMBER(P42),ISNUMBER(P20)),IF(AND(P42&gt;0,P20&gt;0),P39*(Fleet_1GW!P24*INDEX(B4_EffRef,1,2)/1000000/P42)*1000000/P20,0),"SLO 不可達")</f>
        <v>0.102412303051636</v>
      </c>
      <c r="Q46" s="152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1319</v>
      </c>
      <c r="B47" s="53" t="s">
        <v>738</v>
      </c>
      <c r="C47" s="148" t="n">
        <f aca="false">IF(AND(ISNUMBER(C32),ISNUMBER(C41)),C32*C41,"SLO 不可達")</f>
        <v>9.3566070823656</v>
      </c>
      <c r="D47" s="148" t="n">
        <f aca="false">IF(AND(ISNUMBER(D32),ISNUMBER(D41)),D32*D41,"SLO 不可達")</f>
        <v>13.4942442512579</v>
      </c>
      <c r="E47" s="148" t="n">
        <f aca="false">IF(AND(ISNUMBER(E32),ISNUMBER(E41)),E32*E41,"SLO 不可達")</f>
        <v>23.2646842757949</v>
      </c>
      <c r="F47" s="148" t="n">
        <f aca="false">IF(AND(ISNUMBER(F32),ISNUMBER(F41)),F32*F41,"SLO 不可達")</f>
        <v>1.93514587710481</v>
      </c>
      <c r="G47" s="148" t="n">
        <f aca="false">IF(AND(ISNUMBER(G32),ISNUMBER(G41)),G32*G41,"SLO 不可達")</f>
        <v>2.60333733456785</v>
      </c>
      <c r="H47" s="148" t="n">
        <f aca="false">IF(AND(ISNUMBER(H32),ISNUMBER(H41)),H32*H41,"SLO 不可達")</f>
        <v>4.23610978458245</v>
      </c>
      <c r="I47" s="148" t="n">
        <f aca="false">IF(AND(ISNUMBER(I32),ISNUMBER(I41)),I32*I41,"SLO 不可達")</f>
        <v>1.93049699654318</v>
      </c>
      <c r="J47" s="148" t="n">
        <f aca="false">IF(AND(ISNUMBER(J32),ISNUMBER(J41)),J32*J41,"SLO 不可達")</f>
        <v>2.82095021964038</v>
      </c>
      <c r="K47" s="148" t="n">
        <f aca="false">IF(AND(ISNUMBER(K32),ISNUMBER(K41)),K32*K41,"SLO 不可達")</f>
        <v>5.28994455705996</v>
      </c>
      <c r="L47" s="148" t="n">
        <f aca="false">IF(AND(ISNUMBER(L32),ISNUMBER(L41)),L32*L41,"SLO 不可達")</f>
        <v>1.01455853449515</v>
      </c>
      <c r="M47" s="148" t="n">
        <f aca="false">IF(AND(ISNUMBER(M32),ISNUMBER(M41)),M32*M41,"SLO 不可達")</f>
        <v>1.40279807999941</v>
      </c>
      <c r="N47" s="148" t="n">
        <f aca="false">IF(AND(ISNUMBER(N32),ISNUMBER(N41)),N32*N41,"SLO 不可達")</f>
        <v>2.40590435126733</v>
      </c>
      <c r="O47" s="148" t="n">
        <f aca="false">IF(AND(ISNUMBER(O32),ISNUMBER(O41)),O32*O41,"SLO 不可達")</f>
        <v>0.756095725042416</v>
      </c>
      <c r="P47" s="148" t="n">
        <f aca="false">IF(AND(ISNUMBER(P32),ISNUMBER(P41)),P32*P41,"SLO 不可達")</f>
        <v>1.16235470685173</v>
      </c>
      <c r="Q47" s="148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1320</v>
      </c>
      <c r="B48" s="53" t="s">
        <v>738</v>
      </c>
      <c r="C48" s="152" t="n">
        <f aca="false">IF(AND(ISNUMBER(C42),ISNUMBER(C30)),IF(AND(C42&gt;0,C30&gt;0),C39*(Fleet_1GW!C27*INDEX(B4_EffRef,1,3)/1000000/C42)*1000000/C30,0),"SLO 不可達")</f>
        <v>6.68033391837891</v>
      </c>
      <c r="D48" s="152" t="n">
        <f aca="false">IF(AND(ISNUMBER(D42),ISNUMBER(D30)),IF(AND(D42&gt;0,D30&gt;0),D39*(Fleet_1GW!D27*INDEX(B4_EffRef,1,3)/1000000/D42)*1000000/D30,0),"SLO 不可達")</f>
        <v>9.63448147186455</v>
      </c>
      <c r="E48" s="152" t="n">
        <f aca="false">IF(AND(ISNUMBER(E42),ISNUMBER(E30)),IF(AND(E42&gt;0,E30&gt;0),E39*(Fleet_1GW!E27*INDEX(B4_EffRef,1,3)/1000000/E42)*1000000/E30,0),"SLO 不可達")</f>
        <v>16.6102795703457</v>
      </c>
      <c r="F48" s="152" t="n">
        <f aca="false">IF(AND(ISNUMBER(F42),ISNUMBER(F30)),IF(AND(F42&gt;0,F30&gt;0),F39*(Fleet_1GW!F27*INDEX(B4_EffRef,1,3)/1000000/F42)*1000000/F30,0),"SLO 不可達")</f>
        <v>1.3794656677976</v>
      </c>
      <c r="G48" s="152" t="n">
        <f aca="false">IF(AND(ISNUMBER(G42),ISNUMBER(G30)),IF(AND(G42&gt;0,G30&gt;0),G39*(Fleet_1GW!G27*INDEX(B4_EffRef,1,3)/1000000/G42)*1000000/G30,0),"SLO 不可達")</f>
        <v>1.85578488796148</v>
      </c>
      <c r="H48" s="152" t="n">
        <f aca="false">IF(AND(ISNUMBER(H42),ISNUMBER(H30)),IF(AND(H42&gt;0,H30&gt;0),H39*(Fleet_1GW!H27*INDEX(B4_EffRef,1,3)/1000000/H42)*1000000/H30,0),"SLO 不可達")</f>
        <v>3.01970413806508</v>
      </c>
      <c r="I48" s="152" t="n">
        <f aca="false">IF(AND(ISNUMBER(I42),ISNUMBER(I30)),IF(AND(I42&gt;0,I30&gt;0),I39*(Fleet_1GW!I27*INDEX(B4_EffRef,1,3)/1000000/I42)*1000000/I30,0),"SLO 不可達")</f>
        <v>1.37070575663862</v>
      </c>
      <c r="J48" s="152" t="n">
        <f aca="false">IF(AND(ISNUMBER(J42),ISNUMBER(J30)),IF(AND(J42&gt;0,J30&gt;0),J39*(Fleet_1GW!J27*INDEX(B4_EffRef,1,3)/1000000/J42)*1000000/J30,0),"SLO 不可達")</f>
        <v>2.00295194044637</v>
      </c>
      <c r="K48" s="152" t="n">
        <f aca="false">IF(AND(ISNUMBER(K42),ISNUMBER(K30)),IF(AND(K42&gt;0,K30&gt;0),K39*(Fleet_1GW!K27*INDEX(B4_EffRef,1,3)/1000000/K42)*1000000/K30,0),"SLO 不可達")</f>
        <v>3.75600556211435</v>
      </c>
      <c r="L48" s="152" t="n">
        <f aca="false">IF(AND(ISNUMBER(L42),ISNUMBER(L30)),IF(AND(L42&gt;0,L30&gt;0),L39*(Fleet_1GW!L27*INDEX(B4_EffRef,1,3)/1000000/L42)*1000000/L30,0),"SLO 不可達")</f>
        <v>0.722247733703479</v>
      </c>
      <c r="M48" s="152" t="n">
        <f aca="false">IF(AND(ISNUMBER(M42),ISNUMBER(M30)),IF(AND(M42&gt;0,M30&gt;0),M39*(Fleet_1GW!M27*INDEX(B4_EffRef,1,3)/1000000/M42)*1000000/M30,0),"SLO 不可達")</f>
        <v>0.998629157091784</v>
      </c>
      <c r="N48" s="152" t="n">
        <f aca="false">IF(AND(ISNUMBER(N42),ISNUMBER(N30)),IF(AND(N42&gt;0,N30&gt;0),N39*(Fleet_1GW!N27*INDEX(B4_EffRef,1,3)/1000000/N42)*1000000/N30,0),"SLO 不可達")</f>
        <v>1.7127242107079</v>
      </c>
      <c r="O48" s="152" t="n">
        <f aca="false">IF(AND(ISNUMBER(O42),ISNUMBER(O30)),IF(AND(O42&gt;0,O30&gt;0),O39*(Fleet_1GW!O27*INDEX(B4_EffRef,1,3)/1000000/O42)*1000000/O30,0),"SLO 不可達")</f>
        <v>0.537943276338576</v>
      </c>
      <c r="P48" s="152" t="n">
        <f aca="false">IF(AND(ISNUMBER(P42),ISNUMBER(P30)),IF(AND(P42&gt;0,P30&gt;0),P39*(Fleet_1GW!P27*INDEX(B4_EffRef,1,3)/1000000/P42)*1000000/P30,0),"SLO 不可達")</f>
        <v>0.826986423228764</v>
      </c>
      <c r="Q48" s="152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1321</v>
      </c>
      <c r="B49" s="53" t="s">
        <v>69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4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1323</v>
      </c>
    </row>
    <row r="2" customFormat="false" ht="15" hidden="false" customHeight="false" outlineLevel="0" collapsed="false">
      <c r="A2" s="50" t="s">
        <v>1324</v>
      </c>
    </row>
    <row r="4" customFormat="false" ht="15" hidden="false" customHeight="false" outlineLevel="0" collapsed="false">
      <c r="A4" s="1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1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10" t="s">
        <v>390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10" t="s">
        <v>1253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1325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1326</v>
      </c>
      <c r="B10" s="53" t="s">
        <v>730</v>
      </c>
      <c r="C10" s="66" t="n">
        <f aca="false">INDEX(IF_TokGW_Luna,1,C$7)*IF_Util</f>
        <v>45233850422.1003</v>
      </c>
      <c r="D10" s="66" t="n">
        <f aca="false">INDEX(IF_TokGW_Luna,1,D$7)*IF_Util</f>
        <v>45233850422.1003</v>
      </c>
      <c r="E10" s="66" t="n">
        <f aca="false">INDEX(IF_TokGW_Luna,1,E$7)*IF_Util</f>
        <v>45233850422.1003</v>
      </c>
      <c r="F10" s="66" t="n">
        <f aca="false">INDEX(IF_TokGW_Luna,1,F$7)*IF_Util</f>
        <v>224155927458.194</v>
      </c>
      <c r="G10" s="66" t="n">
        <f aca="false">INDEX(IF_TokGW_Luna,1,G$7)*IF_Util</f>
        <v>224155927458.194</v>
      </c>
      <c r="H10" s="66" t="n">
        <f aca="false">INDEX(IF_TokGW_Luna,1,H$7)*IF_Util</f>
        <v>224155927458.194</v>
      </c>
      <c r="I10" s="66" t="n">
        <f aca="false">INDEX(IF_TokGW_Luna,1,I$7)*IF_Util</f>
        <v>319080070565.666</v>
      </c>
      <c r="J10" s="66" t="n">
        <f aca="false">INDEX(IF_TokGW_Luna,1,J$7)*IF_Util</f>
        <v>319080070565.666</v>
      </c>
      <c r="K10" s="66" t="n">
        <f aca="false">INDEX(IF_TokGW_Luna,1,K$7)*IF_Util</f>
        <v>319080070565.666</v>
      </c>
      <c r="L10" s="66" t="n">
        <f aca="false">INDEX(IF_TokGW_Luna,1,L$7)*IF_Util</f>
        <v>470742638128.374</v>
      </c>
      <c r="M10" s="66" t="n">
        <f aca="false">INDEX(IF_TokGW_Luna,1,M$7)*IF_Util</f>
        <v>470742638128.374</v>
      </c>
      <c r="N10" s="66" t="n">
        <f aca="false">INDEX(IF_TokGW_Luna,1,N$7)*IF_Util</f>
        <v>470742638128.374</v>
      </c>
      <c r="O10" s="66" t="n">
        <f aca="false">INDEX(IF_TokGW_Luna,1,O$7)*IF_Util</f>
        <v>751937236389.607</v>
      </c>
      <c r="P10" s="66" t="n">
        <f aca="false">INDEX(IF_TokGW_Luna,1,P$7)*IF_Util</f>
        <v>751937236389.607</v>
      </c>
      <c r="Q10" s="66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1327</v>
      </c>
      <c r="B11" s="53" t="s">
        <v>1328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1329</v>
      </c>
      <c r="B12" s="53" t="s">
        <v>1328</v>
      </c>
      <c r="C12" s="65" t="n">
        <f aca="false">C10*INDEX(B4_FrontRef,1,1)/1000000000</f>
        <v>3.63479118058477</v>
      </c>
      <c r="D12" s="65" t="n">
        <f aca="false">D10*INDEX(B4_FrontRef,1,1)/1000000000</f>
        <v>3.63479118058477</v>
      </c>
      <c r="E12" s="65" t="n">
        <f aca="false">E10*INDEX(B4_FrontRef,1,1)/1000000000</f>
        <v>3.63479118058477</v>
      </c>
      <c r="F12" s="65" t="n">
        <f aca="false">F10*INDEX(B4_FrontRef,1,1)/1000000000</f>
        <v>18.012174081974</v>
      </c>
      <c r="G12" s="65" t="n">
        <f aca="false">G10*INDEX(B4_FrontRef,1,1)/1000000000</f>
        <v>18.012174081974</v>
      </c>
      <c r="H12" s="65" t="n">
        <f aca="false">H10*INDEX(B4_FrontRef,1,1)/1000000000</f>
        <v>18.012174081974</v>
      </c>
      <c r="I12" s="65" t="n">
        <f aca="false">I10*INDEX(B4_FrontRef,1,1)/1000000000</f>
        <v>25.63985633701</v>
      </c>
      <c r="J12" s="65" t="n">
        <f aca="false">J10*INDEX(B4_FrontRef,1,1)/1000000000</f>
        <v>25.63985633701</v>
      </c>
      <c r="K12" s="65" t="n">
        <f aca="false">K10*INDEX(B4_FrontRef,1,1)/1000000000</f>
        <v>25.63985633701</v>
      </c>
      <c r="L12" s="65" t="n">
        <f aca="false">L10*INDEX(B4_FrontRef,1,1)/1000000000</f>
        <v>37.8267862104934</v>
      </c>
      <c r="M12" s="65" t="n">
        <f aca="false">M10*INDEX(B4_FrontRef,1,1)/1000000000</f>
        <v>37.8267862104934</v>
      </c>
      <c r="N12" s="65" t="n">
        <f aca="false">N10*INDEX(B4_FrontRef,1,1)/1000000000</f>
        <v>37.8267862104934</v>
      </c>
      <c r="O12" s="65" t="n">
        <f aca="false">O10*INDEX(B4_FrontRef,1,1)/1000000000</f>
        <v>60.422334372996</v>
      </c>
      <c r="P12" s="65" t="n">
        <f aca="false">P10*INDEX(B4_FrontRef,1,1)/1000000000</f>
        <v>60.422334372996</v>
      </c>
      <c r="Q12" s="65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1330</v>
      </c>
      <c r="B13" s="53" t="s">
        <v>1328</v>
      </c>
      <c r="C13" s="65" t="n">
        <f aca="false">INDEX(IF_TokGW_Luna,1,C$7)*INDEX(B4_EffRef,1,1)/1000000000</f>
        <v>6.05798530097461</v>
      </c>
      <c r="D13" s="65" t="n">
        <f aca="false">INDEX(IF_TokGW_Luna,1,D$7)*INDEX(B4_EffRef,1,1)/1000000000</f>
        <v>6.05798530097461</v>
      </c>
      <c r="E13" s="65" t="n">
        <f aca="false">INDEX(IF_TokGW_Luna,1,E$7)*INDEX(B4_EffRef,1,1)/1000000000</f>
        <v>6.05798530097461</v>
      </c>
      <c r="F13" s="65" t="n">
        <f aca="false">INDEX(IF_TokGW_Luna,1,F$7)*INDEX(B4_EffRef,1,1)/1000000000</f>
        <v>30.0202901366233</v>
      </c>
      <c r="G13" s="65" t="n">
        <f aca="false">INDEX(IF_TokGW_Luna,1,G$7)*INDEX(B4_EffRef,1,1)/1000000000</f>
        <v>30.0202901366233</v>
      </c>
      <c r="H13" s="65" t="n">
        <f aca="false">INDEX(IF_TokGW_Luna,1,H$7)*INDEX(B4_EffRef,1,1)/1000000000</f>
        <v>30.0202901366233</v>
      </c>
      <c r="I13" s="65" t="n">
        <f aca="false">INDEX(IF_TokGW_Luna,1,I$7)*INDEX(B4_EffRef,1,1)/1000000000</f>
        <v>42.7330938950166</v>
      </c>
      <c r="J13" s="65" t="n">
        <f aca="false">INDEX(IF_TokGW_Luna,1,J$7)*INDEX(B4_EffRef,1,1)/1000000000</f>
        <v>42.7330938950166</v>
      </c>
      <c r="K13" s="65" t="n">
        <f aca="false">INDEX(IF_TokGW_Luna,1,K$7)*INDEX(B4_EffRef,1,1)/1000000000</f>
        <v>42.7330938950166</v>
      </c>
      <c r="L13" s="65" t="n">
        <f aca="false">INDEX(IF_TokGW_Luna,1,L$7)*INDEX(B4_EffRef,1,1)/1000000000</f>
        <v>63.0446436841556</v>
      </c>
      <c r="M13" s="65" t="n">
        <f aca="false">INDEX(IF_TokGW_Luna,1,M$7)*INDEX(B4_EffRef,1,1)/1000000000</f>
        <v>63.0446436841556</v>
      </c>
      <c r="N13" s="65" t="n">
        <f aca="false">INDEX(IF_TokGW_Luna,1,N$7)*INDEX(B4_EffRef,1,1)/1000000000</f>
        <v>63.0446436841556</v>
      </c>
      <c r="O13" s="65" t="n">
        <f aca="false">INDEX(IF_TokGW_Luna,1,O$7)*INDEX(B4_EffRef,1,1)/1000000000</f>
        <v>100.70389062166</v>
      </c>
      <c r="P13" s="65" t="n">
        <f aca="false">INDEX(IF_TokGW_Luna,1,P$7)*INDEX(B4_EffRef,1,1)/1000000000</f>
        <v>100.70389062166</v>
      </c>
      <c r="Q13" s="65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1331</v>
      </c>
      <c r="B14" s="53" t="s">
        <v>1328</v>
      </c>
      <c r="C14" s="65" t="n">
        <f aca="false">INDEX(IF_HoldEcon,1,C$7)</f>
        <v>7.0000433103819</v>
      </c>
      <c r="D14" s="65" t="n">
        <f aca="false">INDEX(IF_HoldEcon,1,D$7)</f>
        <v>10.0957952959174</v>
      </c>
      <c r="E14" s="65" t="n">
        <f aca="false">INDEX(IF_HoldEcon,1,E$7)</f>
        <v>17.4059720636914</v>
      </c>
      <c r="F14" s="65" t="n">
        <f aca="false">INDEX(IF_HoldEcon,1,F$7)</f>
        <v>6.88900389081935</v>
      </c>
      <c r="G14" s="65" t="n">
        <f aca="false">INDEX(IF_HoldEcon,1,G$7)</f>
        <v>9.2685484797567</v>
      </c>
      <c r="H14" s="65" t="n">
        <f aca="false">INDEX(IF_HoldEcon,1,H$7)</f>
        <v>15.0831317178447</v>
      </c>
      <c r="I14" s="65" t="n">
        <f aca="false">INDEX(IF_HoldEcon,1,I$7)</f>
        <v>8.65796636448843</v>
      </c>
      <c r="J14" s="65" t="n">
        <f aca="false">INDEX(IF_HoldEcon,1,J$7)</f>
        <v>12.6529678995341</v>
      </c>
      <c r="K14" s="65" t="n">
        <f aca="false">INDEX(IF_HoldEcon,1,K$7)</f>
        <v>23.7300642726621</v>
      </c>
      <c r="L14" s="65" t="n">
        <f aca="false">INDEX(IF_HoldEcon,1,L$7)</f>
        <v>8.7166702372781</v>
      </c>
      <c r="M14" s="65" t="n">
        <f aca="false">INDEX(IF_HoldEcon,1,M$7)</f>
        <v>12.0543709668186</v>
      </c>
      <c r="N14" s="65" t="n">
        <f aca="false">INDEX(IF_HoldEcon,1,N$7)</f>
        <v>20.6780894215396</v>
      </c>
      <c r="O14" s="65" t="n">
        <f aca="false">INDEX(IF_HoldEcon,1,O$7)</f>
        <v>10.9036999386122</v>
      </c>
      <c r="P14" s="65" t="n">
        <f aca="false">INDEX(IF_HoldEcon,1,P$7)</f>
        <v>16.7672676161495</v>
      </c>
      <c r="Q14" s="65" t="n">
        <f aca="false">INDEX(IF_HoldEcon,1,Q$7)</f>
        <v>30.7801210005857</v>
      </c>
    </row>
    <row r="15" customFormat="false" ht="15" hidden="false" customHeight="false" outlineLevel="0" collapsed="false">
      <c r="A15" s="5" t="s">
        <v>1332</v>
      </c>
      <c r="B15" s="53" t="s">
        <v>73</v>
      </c>
      <c r="C15" s="79" t="n">
        <f aca="false">C11/C14</f>
        <v>0.519252670221902</v>
      </c>
      <c r="D15" s="79" t="n">
        <f aca="false">D11/D14</f>
        <v>0.360030198121652</v>
      </c>
      <c r="E15" s="79" t="n">
        <f aca="false">E11/E14</f>
        <v>0.20882437173198</v>
      </c>
      <c r="F15" s="79" t="n">
        <f aca="false">F11/F14</f>
        <v>2.61462678312287</v>
      </c>
      <c r="G15" s="79" t="n">
        <f aca="false">G11/G14</f>
        <v>1.94336514733824</v>
      </c>
      <c r="H15" s="79" t="n">
        <f aca="false">H11/H14</f>
        <v>1.19419324971245</v>
      </c>
      <c r="I15" s="79" t="n">
        <f aca="false">I11/I14</f>
        <v>2.96141787315952</v>
      </c>
      <c r="J15" s="79" t="n">
        <f aca="false">J11/J14</f>
        <v>2.02639068877699</v>
      </c>
      <c r="K15" s="79" t="n">
        <f aca="false">K11/K14</f>
        <v>1.08047985215733</v>
      </c>
      <c r="L15" s="79" t="n">
        <f aca="false">L11/L14</f>
        <v>4.33959128667294</v>
      </c>
      <c r="M15" s="79" t="n">
        <f aca="false">M11/M14</f>
        <v>3.13801411244246</v>
      </c>
      <c r="N15" s="79" t="n">
        <f aca="false">N11/N14</f>
        <v>1.82931727585483</v>
      </c>
      <c r="O15" s="79" t="n">
        <f aca="false">O11/O14</f>
        <v>5.54145241644337</v>
      </c>
      <c r="P15" s="79" t="n">
        <f aca="false">P11/P14</f>
        <v>3.60358859631964</v>
      </c>
      <c r="Q15" s="79" t="n">
        <f aca="false">Q11/Q14</f>
        <v>1.96303108658495</v>
      </c>
    </row>
    <row r="16" customFormat="false" ht="15" hidden="false" customHeight="false" outlineLevel="0" collapsed="false">
      <c r="A16" s="5" t="s">
        <v>1333</v>
      </c>
      <c r="B16" s="53" t="s">
        <v>73</v>
      </c>
      <c r="C16" s="77" t="n">
        <f aca="false">C12/C14</f>
        <v>0.519252670221902</v>
      </c>
      <c r="D16" s="77" t="n">
        <f aca="false">D12/D14</f>
        <v>0.360030198121652</v>
      </c>
      <c r="E16" s="77" t="n">
        <f aca="false">E12/E14</f>
        <v>0.20882437173198</v>
      </c>
      <c r="F16" s="77" t="n">
        <f aca="false">F12/F14</f>
        <v>2.61462678312287</v>
      </c>
      <c r="G16" s="77" t="n">
        <f aca="false">G12/G14</f>
        <v>1.94336514733824</v>
      </c>
      <c r="H16" s="77" t="n">
        <f aca="false">H12/H14</f>
        <v>1.19419324971245</v>
      </c>
      <c r="I16" s="77" t="n">
        <f aca="false">I12/I14</f>
        <v>2.96141787315952</v>
      </c>
      <c r="J16" s="77" t="n">
        <f aca="false">J12/J14</f>
        <v>2.02639068877699</v>
      </c>
      <c r="K16" s="77" t="n">
        <f aca="false">K12/K14</f>
        <v>1.08047985215733</v>
      </c>
      <c r="L16" s="77" t="n">
        <f aca="false">L12/L14</f>
        <v>4.33959128667294</v>
      </c>
      <c r="M16" s="77" t="n">
        <f aca="false">M12/M14</f>
        <v>3.13801411244246</v>
      </c>
      <c r="N16" s="77" t="n">
        <f aca="false">N12/N14</f>
        <v>1.82931727585483</v>
      </c>
      <c r="O16" s="77" t="n">
        <f aca="false">O12/O14</f>
        <v>5.54145241644337</v>
      </c>
      <c r="P16" s="77" t="n">
        <f aca="false">P12/P14</f>
        <v>3.60358859631964</v>
      </c>
      <c r="Q16" s="77" t="n">
        <f aca="false">Q12/Q14</f>
        <v>1.96303108658495</v>
      </c>
    </row>
    <row r="17" customFormat="false" ht="15" hidden="false" customHeight="false" outlineLevel="0" collapsed="false">
      <c r="A17" s="5" t="s">
        <v>1334</v>
      </c>
      <c r="B17" s="53" t="s">
        <v>738</v>
      </c>
      <c r="C17" s="149" t="n">
        <f aca="false">Amortize!C14</f>
        <v>0.12253182156551</v>
      </c>
      <c r="D17" s="149" t="n">
        <f aca="false">Amortize!D14</f>
        <v>0.176716428518282</v>
      </c>
      <c r="E17" s="149" t="n">
        <f aca="false">Amortize!E14</f>
        <v>0.304665649504928</v>
      </c>
      <c r="F17" s="149" t="n">
        <f aca="false">Amortize!F14</f>
        <v>0.0263290475173248</v>
      </c>
      <c r="G17" s="149" t="n">
        <f aca="false">Amortize!G14</f>
        <v>0.035419674743603</v>
      </c>
      <c r="H17" s="149" t="n">
        <f aca="false">Amortize!H14</f>
        <v>0.0576332566782994</v>
      </c>
      <c r="I17" s="149" t="n">
        <f aca="false">Amortize!I14</f>
        <v>0.023251414762768</v>
      </c>
      <c r="J17" s="149" t="n">
        <f aca="false">Amortize!J14</f>
        <v>0.0339751988752157</v>
      </c>
      <c r="K17" s="149" t="n">
        <f aca="false">Amortize!K14</f>
        <v>0.0637094528063213</v>
      </c>
      <c r="L17" s="149" t="n">
        <f aca="false">Amortize!L14</f>
        <v>0.0157559275475608</v>
      </c>
      <c r="M17" s="149" t="n">
        <f aca="false">Amortize!M14</f>
        <v>0.0217848828794144</v>
      </c>
      <c r="N17" s="149" t="n">
        <f aca="false">Amortize!N14</f>
        <v>0.0373620773527943</v>
      </c>
      <c r="O17" s="149" t="n">
        <f aca="false">Amortize!O14</f>
        <v>0.012333260623317</v>
      </c>
      <c r="P17" s="149" t="n">
        <f aca="false">Amortize!P14</f>
        <v>0.0189597628330735</v>
      </c>
      <c r="Q17" s="149" t="n">
        <f aca="false">Amortize!Q14</f>
        <v>0.0347958900892971</v>
      </c>
    </row>
    <row r="18" customFormat="false" ht="15" hidden="false" customHeight="false" outlineLevel="0" collapsed="false">
      <c r="A18" s="5" t="s">
        <v>1335</v>
      </c>
      <c r="B18" s="53" t="s">
        <v>738</v>
      </c>
      <c r="C18" s="150" t="n">
        <f aca="false">IF(AND(ISNUMBER(C17),ISNUMBER(Amortize!C13)),C17+Amortize!C13,"SLO 不可達")</f>
        <v>0.131528195038391</v>
      </c>
      <c r="D18" s="150" t="n">
        <f aca="false">IF(AND(ISNUMBER(D17),ISNUMBER(Amortize!D13)),D17+Amortize!D13,"SLO 不可達")</f>
        <v>0.189691426094815</v>
      </c>
      <c r="E18" s="150" t="n">
        <f aca="false">IF(AND(ISNUMBER(E17),ISNUMBER(Amortize!E13)),E17+Amortize!E13,"SLO 不可達")</f>
        <v>0.327035600432412</v>
      </c>
      <c r="F18" s="150" t="n">
        <f aca="false">IF(AND(ISNUMBER(F17),ISNUMBER(Amortize!F13)),F17+Amortize!F13,"SLO 不可達")</f>
        <v>0.0270671682222974</v>
      </c>
      <c r="G18" s="150" t="n">
        <f aca="false">IF(AND(ISNUMBER(G17),ISNUMBER(Amortize!G13)),G17+Amortize!G13,"SLO 不可達")</f>
        <v>0.0364127511950573</v>
      </c>
      <c r="H18" s="150" t="n">
        <f aca="false">IF(AND(ISNUMBER(H17),ISNUMBER(Amortize!H13)),H17+Amortize!H13,"SLO 不可達")</f>
        <v>0.0592493352860653</v>
      </c>
      <c r="I18" s="150" t="n">
        <f aca="false">IF(AND(ISNUMBER(I17),ISNUMBER(Amortize!I13)),I17+Amortize!I13,"SLO 不可達")</f>
        <v>0.0238456281262901</v>
      </c>
      <c r="J18" s="150" t="n">
        <f aca="false">IF(AND(ISNUMBER(J17),ISNUMBER(Amortize!J13)),J17+Amortize!J13,"SLO 不可達")</f>
        <v>0.0348435970991864</v>
      </c>
      <c r="K18" s="150" t="n">
        <f aca="false">IF(AND(ISNUMBER(K17),ISNUMBER(Amortize!K13)),K17+Amortize!K13,"SLO 不可達")</f>
        <v>0.0653380940731538</v>
      </c>
      <c r="L18" s="150" t="n">
        <f aca="false">IF(AND(ISNUMBER(L17),ISNUMBER(Amortize!L13)),L17+Amortize!L13,"SLO 不可達")</f>
        <v>0.015978849287883</v>
      </c>
      <c r="M18" s="150" t="n">
        <f aca="false">IF(AND(ISNUMBER(M17),ISNUMBER(Amortize!M13)),M17+Amortize!M13,"SLO 不可達")</f>
        <v>0.0220931635968517</v>
      </c>
      <c r="N18" s="150" t="n">
        <f aca="false">IF(AND(ISNUMBER(N17),ISNUMBER(Amortize!N13)),N17+Amortize!N13,"SLO 不可達")</f>
        <v>0.0378909026444376</v>
      </c>
      <c r="O18" s="150" t="n">
        <f aca="false">IF(AND(ISNUMBER(O17),ISNUMBER(Amortize!O13)),O17+Amortize!O13,"SLO 不可達")</f>
        <v>0.0124449925144892</v>
      </c>
      <c r="P18" s="150" t="n">
        <f aca="false">IF(AND(ISNUMBER(P17),ISNUMBER(Amortize!P13)),P17+Amortize!P13,"SLO 不可達")</f>
        <v>0.0191315796045448</v>
      </c>
      <c r="Q18" s="150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1336</v>
      </c>
      <c r="B19" s="53" t="s">
        <v>738</v>
      </c>
      <c r="C19" s="149" t="n">
        <f aca="false">IF(AND(ISNUMBER(C17),ISNUMBER(Amortize!C15)),C17+Amortize!C15,"SLO 不可達")</f>
        <v>0.298858101379293</v>
      </c>
      <c r="D19" s="149" t="n">
        <f aca="false">IF(AND(ISNUMBER(D17),ISNUMBER(Amortize!D15)),D17+Amortize!D15,"SLO 不可達")</f>
        <v>0.431015679312883</v>
      </c>
      <c r="E19" s="149" t="n">
        <f aca="false">IF(AND(ISNUMBER(E17),ISNUMBER(Amortize!E15)),E17+Amortize!E15,"SLO 不可達")</f>
        <v>0.743086950012019</v>
      </c>
      <c r="F19" s="149" t="n">
        <f aca="false">IF(AND(ISNUMBER(F17),ISNUMBER(Amortize!F15)),F17+Amortize!F15,"SLO 不可達")</f>
        <v>0.064217189066646</v>
      </c>
      <c r="G19" s="149" t="n">
        <f aca="false">IF(AND(ISNUMBER(G17),ISNUMBER(Amortize!G15)),G17+Amortize!G15,"SLO 不可達")</f>
        <v>0.0863894505941536</v>
      </c>
      <c r="H19" s="149" t="n">
        <f aca="false">IF(AND(ISNUMBER(H17),ISNUMBER(Amortize!H15)),H17+Amortize!H15,"SLO 不可達")</f>
        <v>0.14056891872756</v>
      </c>
      <c r="I19" s="149" t="n">
        <f aca="false">IF(AND(ISNUMBER(I17),ISNUMBER(Amortize!I15)),I17+Amortize!I15,"SLO 不可達")</f>
        <v>0.0567107677140682</v>
      </c>
      <c r="J19" s="149" t="n">
        <f aca="false">IF(AND(ISNUMBER(J17),ISNUMBER(Amortize!J15)),J17+Amortize!J15,"SLO 不可達")</f>
        <v>0.0828663387200384</v>
      </c>
      <c r="K19" s="149" t="n">
        <f aca="false">IF(AND(ISNUMBER(K17),ISNUMBER(Amortize!K15)),K17+Amortize!K15,"SLO 不可達")</f>
        <v>0.15538890928371</v>
      </c>
      <c r="L19" s="149" t="n">
        <f aca="false">IF(AND(ISNUMBER(L17),ISNUMBER(Amortize!L15)),L17+Amortize!L15,"SLO 不可達")</f>
        <v>0.0384290915794167</v>
      </c>
      <c r="M19" s="149" t="n">
        <f aca="false">IF(AND(ISNUMBER(M17),ISNUMBER(Amortize!M15)),M17+Amortize!M15,"SLO 不可達")</f>
        <v>0.0531338606814986</v>
      </c>
      <c r="N19" s="149" t="n">
        <f aca="false">IF(AND(ISNUMBER(N17),ISNUMBER(Amortize!N15)),N17+Amortize!N15,"SLO 不可達")</f>
        <v>0.0911270179336447</v>
      </c>
      <c r="O19" s="149" t="n">
        <f aca="false">IF(AND(ISNUMBER(O17),ISNUMBER(Amortize!O15)),O17+Amortize!O15,"SLO 不可達")</f>
        <v>0.0300811234715048</v>
      </c>
      <c r="P19" s="149" t="n">
        <f aca="false">IF(AND(ISNUMBER(P17),ISNUMBER(Amortize!P15)),P17+Amortize!P15,"SLO 不可達")</f>
        <v>0.0462433239831061</v>
      </c>
      <c r="Q19" s="149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1337</v>
      </c>
      <c r="B20" s="53" t="s">
        <v>738</v>
      </c>
      <c r="C20" s="150" t="n">
        <f aca="false">IF(AND(ISNUMBER(C17),ISNUMBER(Amortize!C43)),C17+Amortize!C43,"SLO 不可達")</f>
        <v>0.139665770043555</v>
      </c>
      <c r="D20" s="150" t="n">
        <f aca="false">IF(AND(ISNUMBER(D17),ISNUMBER(Amortize!D43)),D17+Amortize!D43,"SLO 不可達")</f>
        <v>0.201427275486193</v>
      </c>
      <c r="E20" s="150" t="n">
        <f aca="false">IF(AND(ISNUMBER(E17),ISNUMBER(Amortize!E43)),E17+Amortize!E43,"SLO 不可達")</f>
        <v>0.347268261566166</v>
      </c>
      <c r="F20" s="150" t="n">
        <f aca="false">IF(AND(ISNUMBER(F17),ISNUMBER(Amortize!F43)),F17+Amortize!F43,"SLO 不可達")</f>
        <v>0.0298855315056308</v>
      </c>
      <c r="G20" s="150" t="n">
        <f aca="false">IF(AND(ISNUMBER(G17),ISNUMBER(Amortize!G43)),G17+Amortize!G43,"SLO 不可達")</f>
        <v>0.0402041861626603</v>
      </c>
      <c r="H20" s="150" t="n">
        <f aca="false">IF(AND(ISNUMBER(H17),ISNUMBER(Amortize!H43)),H17+Amortize!H43,"SLO 不可達")</f>
        <v>0.0654185388111965</v>
      </c>
      <c r="I20" s="150" t="n">
        <f aca="false">IF(AND(ISNUMBER(I17),ISNUMBER(Amortize!I43)),I17+Amortize!I43,"SLO 不可達")</f>
        <v>0.026288817437692</v>
      </c>
      <c r="J20" s="150" t="n">
        <f aca="false">IF(AND(ISNUMBER(J17),ISNUMBER(Amortize!J43)),J17+Amortize!J43,"SLO 不可達")</f>
        <v>0.0384136216017499</v>
      </c>
      <c r="K20" s="150" t="n">
        <f aca="false">IF(AND(ISNUMBER(K17),ISNUMBER(Amortize!K43)),K17+Amortize!K43,"SLO 不可達")</f>
        <v>0.072032538403753</v>
      </c>
      <c r="L20" s="150" t="n">
        <f aca="false">IF(AND(ISNUMBER(L17),ISNUMBER(Amortize!L43)),L17+Amortize!L43,"SLO 不可達")</f>
        <v>0.017755905849732</v>
      </c>
      <c r="M20" s="150" t="n">
        <f aca="false">IF(AND(ISNUMBER(M17),ISNUMBER(Amortize!M43)),M17+Amortize!M43,"SLO 不可達")</f>
        <v>0.024550189785755</v>
      </c>
      <c r="N20" s="150" t="n">
        <f aca="false">IF(AND(ISNUMBER(N17),ISNUMBER(Amortize!N43)),N17+Amortize!N43,"SLO 不可達")</f>
        <v>0.0421047869511403</v>
      </c>
      <c r="O20" s="150" t="n">
        <f aca="false">IF(AND(ISNUMBER(O17),ISNUMBER(Amortize!O43)),O17+Amortize!O43,"SLO 不可達")</f>
        <v>0.0138620113722986</v>
      </c>
      <c r="P20" s="150" t="n">
        <f aca="false">IF(AND(ISNUMBER(P17),ISNUMBER(Amortize!P43)),P17+Amortize!P43,"SLO 不可達")</f>
        <v>0.0213099290485777</v>
      </c>
      <c r="Q20" s="150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1338</v>
      </c>
      <c r="B21" s="53" t="s">
        <v>69</v>
      </c>
      <c r="C21" s="76" t="n">
        <f aca="false">IF(ISNUMBER(C17),1-C17/INDEX(B4_EffRef,1,1),"SLO 不可達")</f>
        <v>-0.524870567048659</v>
      </c>
      <c r="D21" s="76" t="n">
        <f aca="false">IF(ISNUMBER(D17),1-D17/INDEX(B4_EffRef,1,1),"SLO 不可達")</f>
        <v>-1.19918121773304</v>
      </c>
      <c r="E21" s="76" t="n">
        <f aca="false">IF(ISNUMBER(E17),1-E17/INDEX(B4_EffRef,1,1),"SLO 不可達")</f>
        <v>-2.79146964262217</v>
      </c>
      <c r="F21" s="76" t="n">
        <f aca="false">IF(ISNUMBER(F17),1-F17/INDEX(B4_EffRef,1,1),"SLO 不可達")</f>
        <v>0.67234315866161</v>
      </c>
      <c r="G21" s="76" t="n">
        <f aca="false">IF(ISNUMBER(G17),1-G17/INDEX(B4_EffRef,1,1),"SLO 不可達")</f>
        <v>0.559213118511578</v>
      </c>
      <c r="H21" s="76" t="n">
        <f aca="false">IF(ISNUMBER(H17),1-H17/INDEX(B4_EffRef,1,1),"SLO 不可達")</f>
        <v>0.28277197164727</v>
      </c>
      <c r="I21" s="76" t="n">
        <f aca="false">IF(ISNUMBER(I17),1-I17/INDEX(B4_EffRef,1,1),"SLO 不可達")</f>
        <v>0.710643345042987</v>
      </c>
      <c r="J21" s="76" t="n">
        <f aca="false">IF(ISNUMBER(J17),1-J17/INDEX(B4_EffRef,1,1),"SLO 不可達")</f>
        <v>0.577189173289627</v>
      </c>
      <c r="K21" s="76" t="n">
        <f aca="false">IF(ISNUMBER(K17),1-K17/INDEX(B4_EffRef,1,1),"SLO 不可達")</f>
        <v>0.207155592841688</v>
      </c>
      <c r="L21" s="76" t="n">
        <f aca="false">IF(ISNUMBER(L17),1-L17/INDEX(B4_EffRef,1,1),"SLO 不可達")</f>
        <v>0.803922361825156</v>
      </c>
      <c r="M21" s="76" t="n">
        <f aca="false">IF(ISNUMBER(M17),1-M17/INDEX(B4_EffRef,1,1),"SLO 不可達")</f>
        <v>0.728893880095783</v>
      </c>
      <c r="N21" s="76" t="n">
        <f aca="false">IF(ISNUMBER(N17),1-N17/INDEX(B4_EffRef,1,1),"SLO 不可達")</f>
        <v>0.535040519669319</v>
      </c>
      <c r="O21" s="76" t="n">
        <f aca="false">IF(ISNUMBER(O17),1-O17/INDEX(B4_EffRef,1,1),"SLO 不可達")</f>
        <v>0.846516391579296</v>
      </c>
      <c r="P21" s="76" t="n">
        <f aca="false">IF(ISNUMBER(P17),1-P17/INDEX(B4_EffRef,1,1),"SLO 不可達")</f>
        <v>0.764051624035313</v>
      </c>
      <c r="Q21" s="76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1339</v>
      </c>
      <c r="B22" s="53" t="s">
        <v>69</v>
      </c>
      <c r="C22" s="76" t="n">
        <f aca="false">IF(ISNUMBER(C18),1-C18/INDEX(B4_EffRef,1,1),"SLO 不可達")</f>
        <v>-0.636827648431308</v>
      </c>
      <c r="D22" s="76" t="n">
        <f aca="false">IF(ISNUMBER(D18),1-D18/INDEX(B4_EffRef,1,1),"SLO 不可達")</f>
        <v>-1.36065104376844</v>
      </c>
      <c r="E22" s="76" t="n">
        <f aca="false">IF(ISNUMBER(E18),1-E18/INDEX(B4_EffRef,1,1),"SLO 不可達")</f>
        <v>-3.06985675316884</v>
      </c>
      <c r="F22" s="76" t="n">
        <f aca="false">IF(ISNUMBER(F18),1-F18/INDEX(B4_EffRef,1,1),"SLO 不可達")</f>
        <v>0.663157475109684</v>
      </c>
      <c r="G22" s="76" t="n">
        <f aca="false">IF(ISNUMBER(G18),1-G18/INDEX(B4_EffRef,1,1),"SLO 不可達")</f>
        <v>0.54685458966328</v>
      </c>
      <c r="H22" s="76" t="n">
        <f aca="false">IF(ISNUMBER(H18),1-H18/INDEX(B4_EffRef,1,1),"SLO 不可達")</f>
        <v>0.262660373928944</v>
      </c>
      <c r="I22" s="76" t="n">
        <f aca="false">IF(ISNUMBER(I18),1-I18/INDEX(B4_EffRef,1,1),"SLO 不可達")</f>
        <v>0.703248543782342</v>
      </c>
      <c r="J22" s="76" t="n">
        <f aca="false">IF(ISNUMBER(J18),1-J18/INDEX(B4_EffRef,1,1),"SLO 不可達")</f>
        <v>0.566382226365214</v>
      </c>
      <c r="K22" s="76" t="n">
        <f aca="false">IF(ISNUMBER(K18),1-K18/INDEX(B4_EffRef,1,1),"SLO 不可達")</f>
        <v>0.186887656722367</v>
      </c>
      <c r="L22" s="76" t="n">
        <f aca="false">IF(ISNUMBER(L18),1-L18/INDEX(B4_EffRef,1,1),"SLO 不可達")</f>
        <v>0.801148169813403</v>
      </c>
      <c r="M22" s="76" t="n">
        <f aca="false">IF(ISNUMBER(M18),1-M18/INDEX(B4_EffRef,1,1),"SLO 不可達")</f>
        <v>0.725057422052454</v>
      </c>
      <c r="N22" s="76" t="n">
        <f aca="false">IF(ISNUMBER(N18),1-N18/INDEX(B4_EffRef,1,1),"SLO 不可達")</f>
        <v>0.528459452710262</v>
      </c>
      <c r="O22" s="76" t="n">
        <f aca="false">IF(ISNUMBER(O18),1-O18/INDEX(B4_EffRef,1,1),"SLO 不可達")</f>
        <v>0.845125922800881</v>
      </c>
      <c r="P22" s="76" t="n">
        <f aca="false">IF(ISNUMBER(P18),1-P18/INDEX(B4_EffRef,1,1),"SLO 不可達")</f>
        <v>0.761913417531938</v>
      </c>
      <c r="Q22" s="76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1340</v>
      </c>
      <c r="B23" s="53" t="s">
        <v>69</v>
      </c>
      <c r="C23" s="76" t="n">
        <f aca="false">IF(ISNUMBER(C19),1-C19/INDEX(B4_EffRef,1,1),"SLO 不可達")</f>
        <v>-2.71919650499673</v>
      </c>
      <c r="D23" s="76" t="n">
        <f aca="false">IF(ISNUMBER(D19),1-D19/INDEX(B4_EffRef,1,1),"SLO 不可達")</f>
        <v>-4.36385662861718</v>
      </c>
      <c r="E23" s="76" t="n">
        <f aca="false">IF(ISNUMBER(E19),1-E19/INDEX(B4_EffRef,1,1),"SLO 不可達")</f>
        <v>-8.2474869332248</v>
      </c>
      <c r="F23" s="76" t="n">
        <f aca="false">IF(ISNUMBER(F19),1-F19/INDEX(B4_EffRef,1,1),"SLO 不可達")</f>
        <v>0.20083697234539</v>
      </c>
      <c r="G23" s="76" t="n">
        <f aca="false">IF(ISNUMBER(G19),1-G19/INDEX(B4_EffRef,1,1),"SLO 不可達")</f>
        <v>-0.0750899548498092</v>
      </c>
      <c r="H23" s="76" t="n">
        <f aca="false">IF(ISNUMBER(H19),1-H19/INDEX(B4_EffRef,1,1),"SLO 不可達")</f>
        <v>-0.749336654518854</v>
      </c>
      <c r="I23" s="76" t="n">
        <f aca="false">IF(ISNUMBER(I19),1-I19/INDEX(B4_EffRef,1,1),"SLO 不可達")</f>
        <v>0.294252061080456</v>
      </c>
      <c r="J23" s="76" t="n">
        <f aca="false">IF(ISNUMBER(J19),1-J19/INDEX(B4_EffRef,1,1),"SLO 不可達")</f>
        <v>-0.0312459188057872</v>
      </c>
      <c r="K23" s="76" t="n">
        <f aca="false">IF(ISNUMBER(K19),1-K19/INDEX(B4_EffRef,1,1),"SLO 不可達")</f>
        <v>-0.93376684672759</v>
      </c>
      <c r="L23" s="76" t="n">
        <f aca="false">IF(ISNUMBER(L19),1-L19/INDEX(B4_EffRef,1,1),"SLO 不可達")</f>
        <v>0.521761858110135</v>
      </c>
      <c r="M23" s="76" t="n">
        <f aca="false">IF(ISNUMBER(M19),1-M19/INDEX(B4_EffRef,1,1),"SLO 不可達")</f>
        <v>0.338765561209226</v>
      </c>
      <c r="N23" s="76" t="n">
        <f aca="false">IF(ISNUMBER(N19),1-N19/INDEX(B4_EffRef,1,1),"SLO 不可達")</f>
        <v>-0.134047513001662</v>
      </c>
      <c r="O23" s="76" t="n">
        <f aca="false">IF(ISNUMBER(O19),1-O19/INDEX(B4_EffRef,1,1),"SLO 不可達")</f>
        <v>0.62564973555926</v>
      </c>
      <c r="P23" s="76" t="n">
        <f aca="false">IF(ISNUMBER(P19),1-P19/INDEX(B4_EffRef,1,1),"SLO 不可達")</f>
        <v>0.424516156183691</v>
      </c>
      <c r="Q23" s="76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1341</v>
      </c>
      <c r="B24" s="53" t="s">
        <v>69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1342</v>
      </c>
      <c r="B25" s="53" t="s">
        <v>69</v>
      </c>
      <c r="C25" s="76" t="n">
        <f aca="false">IF(ISNUMBER(C19),1-C19/INDEX(B4_FrontRef,1,1),"SLO 不可達")</f>
        <v>-2.71919650499673</v>
      </c>
      <c r="D25" s="76" t="n">
        <f aca="false">IF(ISNUMBER(D19),1-D19/INDEX(B4_FrontRef,1,1),"SLO 不可達")</f>
        <v>-4.36385662861718</v>
      </c>
      <c r="E25" s="76" t="n">
        <f aca="false">IF(ISNUMBER(E19),1-E19/INDEX(B4_FrontRef,1,1),"SLO 不可達")</f>
        <v>-8.2474869332248</v>
      </c>
      <c r="F25" s="76" t="n">
        <f aca="false">IF(ISNUMBER(F19),1-F19/INDEX(B4_FrontRef,1,1),"SLO 不可達")</f>
        <v>0.20083697234539</v>
      </c>
      <c r="G25" s="76" t="n">
        <f aca="false">IF(ISNUMBER(G19),1-G19/INDEX(B4_FrontRef,1,1),"SLO 不可達")</f>
        <v>-0.0750899548498094</v>
      </c>
      <c r="H25" s="76" t="n">
        <f aca="false">IF(ISNUMBER(H19),1-H19/INDEX(B4_FrontRef,1,1),"SLO 不可達")</f>
        <v>-0.749336654518855</v>
      </c>
      <c r="I25" s="76" t="n">
        <f aca="false">IF(ISNUMBER(I19),1-I19/INDEX(B4_FrontRef,1,1),"SLO 不可達")</f>
        <v>0.294252061080456</v>
      </c>
      <c r="J25" s="76" t="n">
        <f aca="false">IF(ISNUMBER(J19),1-J19/INDEX(B4_FrontRef,1,1),"SLO 不可達")</f>
        <v>-0.0312459188057872</v>
      </c>
      <c r="K25" s="76" t="n">
        <f aca="false">IF(ISNUMBER(K19),1-K19/INDEX(B4_FrontRef,1,1),"SLO 不可達")</f>
        <v>-0.933766846727591</v>
      </c>
      <c r="L25" s="76" t="n">
        <f aca="false">IF(ISNUMBER(L19),1-L19/INDEX(B4_FrontRef,1,1),"SLO 不可達")</f>
        <v>0.521761858110135</v>
      </c>
      <c r="M25" s="76" t="n">
        <f aca="false">IF(ISNUMBER(M19),1-M19/INDEX(B4_FrontRef,1,1),"SLO 不可達")</f>
        <v>0.338765561209226</v>
      </c>
      <c r="N25" s="76" t="n">
        <f aca="false">IF(ISNUMBER(N19),1-N19/INDEX(B4_FrontRef,1,1),"SLO 不可達")</f>
        <v>-0.134047513001663</v>
      </c>
      <c r="O25" s="76" t="n">
        <f aca="false">IF(ISNUMBER(O19),1-O19/INDEX(B4_FrontRef,1,1),"SLO 不可達")</f>
        <v>0.62564973555926</v>
      </c>
      <c r="P25" s="76" t="n">
        <f aca="false">IF(ISNUMBER(P19),1-P19/INDEX(B4_FrontRef,1,1),"SLO 不可達")</f>
        <v>0.424516156183691</v>
      </c>
      <c r="Q25" s="76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82" t="s">
        <v>1343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" t="s">
        <v>1326</v>
      </c>
      <c r="B28" s="53" t="s">
        <v>730</v>
      </c>
      <c r="C28" s="66" t="n">
        <f aca="false">INDEX(IF_TokGW_Sol,1,C$7)*IF_Util</f>
        <v>12964700201.6398</v>
      </c>
      <c r="D28" s="66" t="n">
        <f aca="false">INDEX(IF_TokGW_Sol,1,D$7)*IF_Util</f>
        <v>12964700201.6398</v>
      </c>
      <c r="E28" s="66" t="n">
        <f aca="false">INDEX(IF_TokGW_Sol,1,E$7)*IF_Util</f>
        <v>12964700201.6398</v>
      </c>
      <c r="F28" s="66" t="n">
        <f aca="false">INDEX(IF_TokGW_Sol,1,F$7)*IF_Util</f>
        <v>63689000884.2049</v>
      </c>
      <c r="G28" s="66" t="n">
        <f aca="false">INDEX(IF_TokGW_Sol,1,G$7)*IF_Util</f>
        <v>63689000884.2049</v>
      </c>
      <c r="H28" s="66" t="n">
        <f aca="false">INDEX(IF_TokGW_Sol,1,H$7)*IF_Util</f>
        <v>63689000884.2049</v>
      </c>
      <c r="I28" s="66" t="n">
        <f aca="false">INDEX(IF_TokGW_Sol,1,I$7)*IF_Util</f>
        <v>90659618627.2123</v>
      </c>
      <c r="J28" s="66" t="n">
        <f aca="false">INDEX(IF_TokGW_Sol,1,J$7)*IF_Util</f>
        <v>90659618627.2123</v>
      </c>
      <c r="K28" s="66" t="n">
        <f aca="false">INDEX(IF_TokGW_Sol,1,K$7)*IF_Util</f>
        <v>90659618627.2123</v>
      </c>
      <c r="L28" s="66" t="n">
        <f aca="false">INDEX(IF_TokGW_Sol,1,L$7)*IF_Util</f>
        <v>142859012991.305</v>
      </c>
      <c r="M28" s="66" t="n">
        <f aca="false">INDEX(IF_TokGW_Sol,1,M$7)*IF_Util</f>
        <v>142859012991.305</v>
      </c>
      <c r="N28" s="66" t="n">
        <f aca="false">INDEX(IF_TokGW_Sol,1,N$7)*IF_Util</f>
        <v>142859012991.305</v>
      </c>
      <c r="O28" s="66" t="n">
        <f aca="false">INDEX(IF_TokGW_Sol,1,O$7)*IF_Util</f>
        <v>232093186435.663</v>
      </c>
      <c r="P28" s="66" t="n">
        <f aca="false">INDEX(IF_TokGW_Sol,1,P$7)*IF_Util</f>
        <v>232093186435.663</v>
      </c>
      <c r="Q28" s="66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1344</v>
      </c>
      <c r="B29" s="53" t="s">
        <v>1328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1345</v>
      </c>
      <c r="B30" s="53" t="s">
        <v>1328</v>
      </c>
      <c r="C30" s="65" t="n">
        <f aca="false">C28*INDEX(B4_FrontRef,1,2)/1000000000</f>
        <v>20.8357137462797</v>
      </c>
      <c r="D30" s="65" t="n">
        <f aca="false">D28*INDEX(B4_FrontRef,1,2)/1000000000</f>
        <v>20.8357137462797</v>
      </c>
      <c r="E30" s="65" t="n">
        <f aca="false">E28*INDEX(B4_FrontRef,1,2)/1000000000</f>
        <v>20.8357137462797</v>
      </c>
      <c r="F30" s="65" t="n">
        <f aca="false">F28*INDEX(B4_FrontRef,1,2)/1000000000</f>
        <v>102.355300976571</v>
      </c>
      <c r="G30" s="65" t="n">
        <f aca="false">G28*INDEX(B4_FrontRef,1,2)/1000000000</f>
        <v>102.355300976571</v>
      </c>
      <c r="H30" s="65" t="n">
        <f aca="false">H28*INDEX(B4_FrontRef,1,2)/1000000000</f>
        <v>102.355300976571</v>
      </c>
      <c r="I30" s="65" t="n">
        <f aca="false">I28*INDEX(B4_FrontRef,1,2)/1000000000</f>
        <v>145.700080424889</v>
      </c>
      <c r="J30" s="65" t="n">
        <f aca="false">J28*INDEX(B4_FrontRef,1,2)/1000000000</f>
        <v>145.700080424889</v>
      </c>
      <c r="K30" s="65" t="n">
        <f aca="false">K28*INDEX(B4_FrontRef,1,2)/1000000000</f>
        <v>145.700080424889</v>
      </c>
      <c r="L30" s="65" t="n">
        <f aca="false">L28*INDEX(B4_FrontRef,1,2)/1000000000</f>
        <v>229.590307100693</v>
      </c>
      <c r="M30" s="65" t="n">
        <f aca="false">M28*INDEX(B4_FrontRef,1,2)/1000000000</f>
        <v>229.590307100693</v>
      </c>
      <c r="N30" s="65" t="n">
        <f aca="false">N28*INDEX(B4_FrontRef,1,2)/1000000000</f>
        <v>229.590307100693</v>
      </c>
      <c r="O30" s="65" t="n">
        <f aca="false">O28*INDEX(B4_FrontRef,1,2)/1000000000</f>
        <v>372.999538733936</v>
      </c>
      <c r="P30" s="65" t="n">
        <f aca="false">P28*INDEX(B4_FrontRef,1,2)/1000000000</f>
        <v>372.999538733936</v>
      </c>
      <c r="Q30" s="65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1330</v>
      </c>
      <c r="B31" s="53" t="s">
        <v>1328</v>
      </c>
      <c r="C31" s="65" t="n">
        <f aca="false">INDEX(IF_TokGW_Sol,1,C$7)*INDEX(B4_EffRef,1,2)/1000000000</f>
        <v>34.7261895771329</v>
      </c>
      <c r="D31" s="65" t="n">
        <f aca="false">INDEX(IF_TokGW_Sol,1,D$7)*INDEX(B4_EffRef,1,2)/1000000000</f>
        <v>34.7261895771329</v>
      </c>
      <c r="E31" s="65" t="n">
        <f aca="false">INDEX(IF_TokGW_Sol,1,E$7)*INDEX(B4_EffRef,1,2)/1000000000</f>
        <v>34.7261895771329</v>
      </c>
      <c r="F31" s="65" t="n">
        <f aca="false">INDEX(IF_TokGW_Sol,1,F$7)*INDEX(B4_EffRef,1,2)/1000000000</f>
        <v>170.592168294285</v>
      </c>
      <c r="G31" s="65" t="n">
        <f aca="false">INDEX(IF_TokGW_Sol,1,G$7)*INDEX(B4_EffRef,1,2)/1000000000</f>
        <v>170.592168294285</v>
      </c>
      <c r="H31" s="65" t="n">
        <f aca="false">INDEX(IF_TokGW_Sol,1,H$7)*INDEX(B4_EffRef,1,2)/1000000000</f>
        <v>170.592168294285</v>
      </c>
      <c r="I31" s="65" t="n">
        <f aca="false">INDEX(IF_TokGW_Sol,1,I$7)*INDEX(B4_EffRef,1,2)/1000000000</f>
        <v>242.833467374815</v>
      </c>
      <c r="J31" s="65" t="n">
        <f aca="false">INDEX(IF_TokGW_Sol,1,J$7)*INDEX(B4_EffRef,1,2)/1000000000</f>
        <v>242.833467374815</v>
      </c>
      <c r="K31" s="65" t="n">
        <f aca="false">INDEX(IF_TokGW_Sol,1,K$7)*INDEX(B4_EffRef,1,2)/1000000000</f>
        <v>242.833467374815</v>
      </c>
      <c r="L31" s="65" t="n">
        <f aca="false">INDEX(IF_TokGW_Sol,1,L$7)*INDEX(B4_EffRef,1,2)/1000000000</f>
        <v>382.650511834488</v>
      </c>
      <c r="M31" s="65" t="n">
        <f aca="false">INDEX(IF_TokGW_Sol,1,M$7)*INDEX(B4_EffRef,1,2)/1000000000</f>
        <v>382.650511834488</v>
      </c>
      <c r="N31" s="65" t="n">
        <f aca="false">INDEX(IF_TokGW_Sol,1,N$7)*INDEX(B4_EffRef,1,2)/1000000000</f>
        <v>382.650511834488</v>
      </c>
      <c r="O31" s="65" t="n">
        <f aca="false">INDEX(IF_TokGW_Sol,1,O$7)*INDEX(B4_EffRef,1,2)/1000000000</f>
        <v>621.665897889894</v>
      </c>
      <c r="P31" s="65" t="n">
        <f aca="false">INDEX(IF_TokGW_Sol,1,P$7)*INDEX(B4_EffRef,1,2)/1000000000</f>
        <v>621.665897889894</v>
      </c>
      <c r="Q31" s="65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1331</v>
      </c>
      <c r="B32" s="53" t="s">
        <v>1328</v>
      </c>
      <c r="C32" s="65" t="n">
        <f aca="false">INDEX(IF_HoldEcon,1,C$7)</f>
        <v>7.0000433103819</v>
      </c>
      <c r="D32" s="65" t="n">
        <f aca="false">INDEX(IF_HoldEcon,1,D$7)</f>
        <v>10.0957952959174</v>
      </c>
      <c r="E32" s="65" t="n">
        <f aca="false">INDEX(IF_HoldEcon,1,E$7)</f>
        <v>17.4059720636914</v>
      </c>
      <c r="F32" s="65" t="n">
        <f aca="false">INDEX(IF_HoldEcon,1,F$7)</f>
        <v>6.88900389081935</v>
      </c>
      <c r="G32" s="65" t="n">
        <f aca="false">INDEX(IF_HoldEcon,1,G$7)</f>
        <v>9.2685484797567</v>
      </c>
      <c r="H32" s="65" t="n">
        <f aca="false">INDEX(IF_HoldEcon,1,H$7)</f>
        <v>15.0831317178447</v>
      </c>
      <c r="I32" s="65" t="n">
        <f aca="false">INDEX(IF_HoldEcon,1,I$7)</f>
        <v>8.65796636448843</v>
      </c>
      <c r="J32" s="65" t="n">
        <f aca="false">INDEX(IF_HoldEcon,1,J$7)</f>
        <v>12.6529678995341</v>
      </c>
      <c r="K32" s="65" t="n">
        <f aca="false">INDEX(IF_HoldEcon,1,K$7)</f>
        <v>23.7300642726621</v>
      </c>
      <c r="L32" s="65" t="n">
        <f aca="false">INDEX(IF_HoldEcon,1,L$7)</f>
        <v>8.7166702372781</v>
      </c>
      <c r="M32" s="65" t="n">
        <f aca="false">INDEX(IF_HoldEcon,1,M$7)</f>
        <v>12.0543709668186</v>
      </c>
      <c r="N32" s="65" t="n">
        <f aca="false">INDEX(IF_HoldEcon,1,N$7)</f>
        <v>20.6780894215396</v>
      </c>
      <c r="O32" s="65" t="n">
        <f aca="false">INDEX(IF_HoldEcon,1,O$7)</f>
        <v>10.9036999386122</v>
      </c>
      <c r="P32" s="65" t="n">
        <f aca="false">INDEX(IF_HoldEcon,1,P$7)</f>
        <v>16.7672676161495</v>
      </c>
      <c r="Q32" s="65" t="n">
        <f aca="false">INDEX(IF_HoldEcon,1,Q$7)</f>
        <v>30.7801210005857</v>
      </c>
    </row>
    <row r="33" customFormat="false" ht="15" hidden="false" customHeight="false" outlineLevel="0" collapsed="false">
      <c r="A33" s="5" t="s">
        <v>1332</v>
      </c>
      <c r="B33" s="53" t="s">
        <v>73</v>
      </c>
      <c r="C33" s="79" t="n">
        <f aca="false">C29/C32</f>
        <v>2.97651211891473</v>
      </c>
      <c r="D33" s="79" t="n">
        <f aca="false">D29/D32</f>
        <v>2.06380113062569</v>
      </c>
      <c r="E33" s="79" t="n">
        <f aca="false">E29/E32</f>
        <v>1.19704396112083</v>
      </c>
      <c r="F33" s="79" t="n">
        <f aca="false">F29/F32</f>
        <v>14.8577795278901</v>
      </c>
      <c r="G33" s="79" t="n">
        <f aca="false">G29/G32</f>
        <v>11.0432934779511</v>
      </c>
      <c r="H33" s="79" t="n">
        <f aca="false">H29/H32</f>
        <v>6.78607751303236</v>
      </c>
      <c r="I33" s="79" t="n">
        <f aca="false">I29/I32</f>
        <v>16.8284414943552</v>
      </c>
      <c r="J33" s="79" t="n">
        <f aca="false">J29/J32</f>
        <v>11.5150912878119</v>
      </c>
      <c r="K33" s="79" t="n">
        <f aca="false">K29/K32</f>
        <v>6.13989404962298</v>
      </c>
      <c r="L33" s="79" t="n">
        <f aca="false">L29/L32</f>
        <v>26.3392213828185</v>
      </c>
      <c r="M33" s="79" t="n">
        <f aca="false">M29/M32</f>
        <v>19.0462287690228</v>
      </c>
      <c r="N33" s="79" t="n">
        <f aca="false">N29/N32</f>
        <v>11.1030715855952</v>
      </c>
      <c r="O33" s="79" t="n">
        <f aca="false">O29/O32</f>
        <v>34.2085292913343</v>
      </c>
      <c r="P33" s="79" t="n">
        <f aca="false">P29/P32</f>
        <v>22.2456960354517</v>
      </c>
      <c r="Q33" s="79" t="n">
        <f aca="false">Q29/Q32</f>
        <v>12.1181959852217</v>
      </c>
    </row>
    <row r="34" customFormat="false" ht="15" hidden="false" customHeight="false" outlineLevel="0" collapsed="false">
      <c r="A34" s="5" t="s">
        <v>1333</v>
      </c>
      <c r="B34" s="53" t="s">
        <v>73</v>
      </c>
      <c r="C34" s="77" t="n">
        <f aca="false">C30/C32</f>
        <v>2.97651211891473</v>
      </c>
      <c r="D34" s="77" t="n">
        <f aca="false">D30/D32</f>
        <v>2.06380113062569</v>
      </c>
      <c r="E34" s="77" t="n">
        <f aca="false">E30/E32</f>
        <v>1.19704396112083</v>
      </c>
      <c r="F34" s="77" t="n">
        <f aca="false">F30/F32</f>
        <v>14.8577795278901</v>
      </c>
      <c r="G34" s="77" t="n">
        <f aca="false">G30/G32</f>
        <v>11.0432934779511</v>
      </c>
      <c r="H34" s="77" t="n">
        <f aca="false">H30/H32</f>
        <v>6.78607751303236</v>
      </c>
      <c r="I34" s="77" t="n">
        <f aca="false">I30/I32</f>
        <v>16.8284414943552</v>
      </c>
      <c r="J34" s="77" t="n">
        <f aca="false">J30/J32</f>
        <v>11.5150912878119</v>
      </c>
      <c r="K34" s="77" t="n">
        <f aca="false">K30/K32</f>
        <v>6.13989404962298</v>
      </c>
      <c r="L34" s="77" t="n">
        <f aca="false">L30/L32</f>
        <v>26.3392213828185</v>
      </c>
      <c r="M34" s="77" t="n">
        <f aca="false">M30/M32</f>
        <v>19.0462287690228</v>
      </c>
      <c r="N34" s="77" t="n">
        <f aca="false">N30/N32</f>
        <v>11.1030715855952</v>
      </c>
      <c r="O34" s="77" t="n">
        <f aca="false">O30/O32</f>
        <v>34.2085292913343</v>
      </c>
      <c r="P34" s="77" t="n">
        <f aca="false">P30/P32</f>
        <v>22.2456960354517</v>
      </c>
      <c r="Q34" s="77" t="n">
        <f aca="false">Q30/Q32</f>
        <v>12.1181959852217</v>
      </c>
    </row>
    <row r="35" customFormat="false" ht="15" hidden="false" customHeight="false" outlineLevel="0" collapsed="false">
      <c r="A35" s="5" t="s">
        <v>1334</v>
      </c>
      <c r="B35" s="53" t="s">
        <v>738</v>
      </c>
      <c r="C35" s="149" t="n">
        <f aca="false">Amortize!C23</f>
        <v>0.42684201767718</v>
      </c>
      <c r="D35" s="149" t="n">
        <f aca="false">Amortize!D23</f>
        <v>0.615605057129939</v>
      </c>
      <c r="E35" s="149" t="n">
        <f aca="false">Amortize!E23</f>
        <v>1.06134205158859</v>
      </c>
      <c r="F35" s="149" t="n">
        <f aca="false">Amortize!F23</f>
        <v>0.0926708593600561</v>
      </c>
      <c r="G35" s="149" t="n">
        <f aca="false">Amortize!G23</f>
        <v>0.124675178006293</v>
      </c>
      <c r="H35" s="149" t="n">
        <f aca="false">Amortize!H23</f>
        <v>0.202879963750585</v>
      </c>
      <c r="I35" s="149" t="n">
        <f aca="false">Amortize!I23</f>
        <v>0.0818267330344905</v>
      </c>
      <c r="J35" s="149" t="n">
        <f aca="false">Amortize!J23</f>
        <v>0.119576537025646</v>
      </c>
      <c r="K35" s="149" t="n">
        <f aca="false">Amortize!K23</f>
        <v>0.224246889016372</v>
      </c>
      <c r="L35" s="149" t="n">
        <f aca="false">Amortize!L23</f>
        <v>0.0512609501503462</v>
      </c>
      <c r="M35" s="149" t="n">
        <f aca="false">Amortize!M23</f>
        <v>0.0708833995359411</v>
      </c>
      <c r="N35" s="149" t="n">
        <f aca="false">Amortize!N23</f>
        <v>0.121582516264923</v>
      </c>
      <c r="O35" s="149" t="n">
        <f aca="false">Amortize!O23</f>
        <v>0.0392773882778025</v>
      </c>
      <c r="P35" s="149" t="n">
        <f aca="false">Amortize!P23</f>
        <v>0.0603909112744925</v>
      </c>
      <c r="Q35" s="149" t="n">
        <f aca="false">Amortize!Q23</f>
        <v>0.110848366266433</v>
      </c>
    </row>
    <row r="36" customFormat="false" ht="15" hidden="false" customHeight="false" outlineLevel="0" collapsed="false">
      <c r="A36" s="5" t="s">
        <v>1346</v>
      </c>
      <c r="B36" s="53" t="s">
        <v>738</v>
      </c>
      <c r="C36" s="150" t="n">
        <f aca="false">IF(AND(ISNUMBER(C35),ISNUMBER(Amortize!C22)),C35+Amortize!C22,"SLO 不可達")</f>
        <v>0.540514417707467</v>
      </c>
      <c r="D36" s="150" t="n">
        <f aca="false">IF(AND(ISNUMBER(D35),ISNUMBER(Amortize!D22)),D35+Amortize!D22,"SLO 不可達")</f>
        <v>0.779548797277856</v>
      </c>
      <c r="E36" s="150" t="n">
        <f aca="false">IF(AND(ISNUMBER(E35),ISNUMBER(Amortize!E22)),E35+Amortize!E22,"SLO 不可達")</f>
        <v>1.3439943912399</v>
      </c>
      <c r="F36" s="150" t="n">
        <f aca="false">IF(AND(ISNUMBER(F35),ISNUMBER(Amortize!F22)),F35+Amortize!F22,"SLO 不可達")</f>
        <v>0.102004346521953</v>
      </c>
      <c r="G36" s="150" t="n">
        <f aca="false">IF(AND(ISNUMBER(G35),ISNUMBER(Amortize!G22)),G35+Amortize!G22,"SLO 不可達")</f>
        <v>0.137232563604596</v>
      </c>
      <c r="H36" s="150" t="n">
        <f aca="false">IF(AND(ISNUMBER(H35),ISNUMBER(Amortize!H22)),H35+Amortize!H22,"SLO 不可達")</f>
        <v>0.223315170128871</v>
      </c>
      <c r="I36" s="150" t="n">
        <f aca="false">IF(AND(ISNUMBER(I35),ISNUMBER(Amortize!I22)),I35+Amortize!I22,"SLO 不可達")</f>
        <v>0.0900320283935204</v>
      </c>
      <c r="J36" s="150" t="n">
        <f aca="false">IF(AND(ISNUMBER(J35),ISNUMBER(Amortize!J22)),J35+Amortize!J22,"SLO 不可達")</f>
        <v>0.13156796023212</v>
      </c>
      <c r="K36" s="150" t="n">
        <f aca="false">IF(AND(ISNUMBER(K35),ISNUMBER(Amortize!K22)),K35+Amortize!K22,"SLO 不可達")</f>
        <v>0.246736256386126</v>
      </c>
      <c r="L36" s="150" t="n">
        <f aca="false">IF(AND(ISNUMBER(L35),ISNUMBER(Amortize!L22)),L35+Amortize!L22,"SLO 不可達")</f>
        <v>0.0539867313370782</v>
      </c>
      <c r="M36" s="150" t="n">
        <f aca="false">IF(AND(ISNUMBER(M35),ISNUMBER(Amortize!M22)),M35+Amortize!M22,"SLO 不可達")</f>
        <v>0.0746529097623027</v>
      </c>
      <c r="N36" s="150" t="n">
        <f aca="false">IF(AND(ISNUMBER(N35),ISNUMBER(Amortize!N22)),N35+Amortize!N22,"SLO 不可達")</f>
        <v>0.128048740819541</v>
      </c>
      <c r="O36" s="150" t="n">
        <f aca="false">IF(AND(ISNUMBER(O35),ISNUMBER(Amortize!O22)),O35+Amortize!O22,"SLO 不可達")</f>
        <v>0.0406274360810175</v>
      </c>
      <c r="P36" s="150" t="n">
        <f aca="false">IF(AND(ISNUMBER(P35),ISNUMBER(Amortize!P22)),P35+Amortize!P22,"SLO 不可達")</f>
        <v>0.0624669600412913</v>
      </c>
      <c r="Q36" s="150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1336</v>
      </c>
      <c r="B37" s="53" t="s">
        <v>738</v>
      </c>
      <c r="C37" s="149" t="n">
        <f aca="false">IF(AND(ISNUMBER(C35),ISNUMBER(Amortize!C24)),C35+Amortize!C24,"SLO 不可達")</f>
        <v>1.04107809189556</v>
      </c>
      <c r="D37" s="149" t="n">
        <f aca="false">IF(AND(ISNUMBER(D35),ISNUMBER(Amortize!D24)),D35+Amortize!D24,"SLO 不可達")</f>
        <v>1.50147574909741</v>
      </c>
      <c r="E37" s="149" t="n">
        <f aca="false">IF(AND(ISNUMBER(E35),ISNUMBER(Amortize!E24)),E35+Amortize!E24,"SLO 不可達")</f>
        <v>2.58863915021608</v>
      </c>
      <c r="F37" s="149" t="n">
        <f aca="false">IF(AND(ISNUMBER(F35),ISNUMBER(Amortize!F24)),F35+Amortize!F24,"SLO 不可達")</f>
        <v>0.226026486244039</v>
      </c>
      <c r="G37" s="149" t="n">
        <f aca="false">IF(AND(ISNUMBER(G35),ISNUMBER(Amortize!G24)),G35+Amortize!G24,"SLO 不可達")</f>
        <v>0.304085800015348</v>
      </c>
      <c r="H37" s="149" t="n">
        <f aca="false">IF(AND(ISNUMBER(H35),ISNUMBER(Amortize!H24)),H35+Amortize!H24,"SLO 不可達")</f>
        <v>0.494829179879476</v>
      </c>
      <c r="I37" s="149" t="n">
        <f aca="false">IF(AND(ISNUMBER(I35),ISNUMBER(Amortize!I24)),I35+Amortize!I24,"SLO 不可達")</f>
        <v>0.199577397645099</v>
      </c>
      <c r="J37" s="149" t="n">
        <f aca="false">IF(AND(ISNUMBER(J35),ISNUMBER(Amortize!J24)),J35+Amortize!J24,"SLO 不可達")</f>
        <v>0.291650090306453</v>
      </c>
      <c r="K37" s="149" t="n">
        <f aca="false">IF(AND(ISNUMBER(K35),ISNUMBER(Amortize!K24)),K35+Amortize!K24,"SLO 不可達")</f>
        <v>0.546943631747249</v>
      </c>
      <c r="L37" s="149" t="n">
        <f aca="false">IF(AND(ISNUMBER(L35),ISNUMBER(Amortize!L24)),L35+Amortize!L24,"SLO 不可達")</f>
        <v>0.125026707683771</v>
      </c>
      <c r="M37" s="149" t="n">
        <f aca="false">IF(AND(ISNUMBER(M35),ISNUMBER(Amortize!M24)),M35+Amortize!M24,"SLO 不可達")</f>
        <v>0.172886340331564</v>
      </c>
      <c r="N37" s="149" t="n">
        <f aca="false">IF(AND(ISNUMBER(N35),ISNUMBER(Amortize!N24)),N35+Amortize!N24,"SLO 不可達")</f>
        <v>0.296542722597374</v>
      </c>
      <c r="O37" s="149" t="n">
        <f aca="false">IF(AND(ISNUMBER(O35),ISNUMBER(Amortize!O24)),O35+Amortize!O24,"SLO 不可達")</f>
        <v>0.0957985079946403</v>
      </c>
      <c r="P37" s="149" t="n">
        <f aca="false">IF(AND(ISNUMBER(P35),ISNUMBER(Amortize!P24)),P35+Amortize!P24,"SLO 不可達")</f>
        <v>0.147294905547543</v>
      </c>
      <c r="Q37" s="149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1347</v>
      </c>
      <c r="B38" s="53" t="s">
        <v>738</v>
      </c>
      <c r="C38" s="150" t="n">
        <f aca="false">IF(AND(ISNUMBER(C35),ISNUMBER(Amortize!C45)),C35+Amortize!C45,"SLO 不可達")</f>
        <v>0.643335591600684</v>
      </c>
      <c r="D38" s="150" t="n">
        <f aca="false">IF(AND(ISNUMBER(D35),ISNUMBER(Amortize!D45)),D35+Amortize!D45,"SLO 不可達")</f>
        <v>0.927835456422599</v>
      </c>
      <c r="E38" s="150" t="n">
        <f aca="false">IF(AND(ISNUMBER(E35),ISNUMBER(Amortize!E45)),E35+Amortize!E45,"SLO 不可達")</f>
        <v>1.59964130907921</v>
      </c>
      <c r="F38" s="150" t="n">
        <f aca="false">IF(AND(ISNUMBER(F35),ISNUMBER(Amortize!F45)),F35+Amortize!F45,"SLO 不可達")</f>
        <v>0.137642362560988</v>
      </c>
      <c r="G38" s="150" t="n">
        <f aca="false">IF(AND(ISNUMBER(G35),ISNUMBER(Amortize!G45)),G35+Amortize!G45,"SLO 不可達")</f>
        <v>0.185175006293027</v>
      </c>
      <c r="H38" s="150" t="n">
        <f aca="false">IF(AND(ISNUMBER(H35),ISNUMBER(Amortize!H45)),H35+Amortize!H45,"SLO 不可達")</f>
        <v>0.301324337888343</v>
      </c>
      <c r="I38" s="150" t="n">
        <f aca="false">IF(AND(ISNUMBER(I35),ISNUMBER(Amortize!I45)),I35+Amortize!I45,"SLO 不可達")</f>
        <v>0.12376921969338</v>
      </c>
      <c r="J38" s="150" t="n">
        <f aca="false">IF(AND(ISNUMBER(J35),ISNUMBER(Amortize!J45)),J35+Amortize!J45,"SLO 不可達")</f>
        <v>0.180865245148229</v>
      </c>
      <c r="K38" s="150" t="n">
        <f aca="false">IF(AND(ISNUMBER(K35),ISNUMBER(Amortize!K45)),K35+Amortize!K45,"SLO 不可達")</f>
        <v>0.339177618982826</v>
      </c>
      <c r="L38" s="150" t="n">
        <f aca="false">IF(AND(ISNUMBER(L35),ISNUMBER(Amortize!L45)),L35+Amortize!L45,"SLO 不可達")</f>
        <v>0.0757157351437345</v>
      </c>
      <c r="M38" s="150" t="n">
        <f aca="false">IF(AND(ISNUMBER(M35),ISNUMBER(Amortize!M45)),M35+Amortize!M45,"SLO 不可達")</f>
        <v>0.104696259286408</v>
      </c>
      <c r="N38" s="150" t="n">
        <f aca="false">IF(AND(ISNUMBER(N35),ISNUMBER(Amortize!N45)),N35+Amortize!N45,"SLO 不可達")</f>
        <v>0.179574117167652</v>
      </c>
      <c r="O38" s="150" t="n">
        <f aca="false">IF(AND(ISNUMBER(O35),ISNUMBER(Amortize!O45)),O35+Amortize!O45,"SLO 不可達")</f>
        <v>0.0577491653923955</v>
      </c>
      <c r="P38" s="150" t="n">
        <f aca="false">IF(AND(ISNUMBER(P35),ISNUMBER(Amortize!P45)),P35+Amortize!P45,"SLO 不可達")</f>
        <v>0.0887877879687217</v>
      </c>
      <c r="Q38" s="150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1338</v>
      </c>
      <c r="B39" s="53" t="s">
        <v>69</v>
      </c>
      <c r="C39" s="76" t="n">
        <f aca="false">IF(ISNUMBER(C35),1-C35/INDEX(B4_EffRef,1,2),"SLO 不可達")</f>
        <v>0.734404164885605</v>
      </c>
      <c r="D39" s="76" t="n">
        <f aca="false">IF(ISNUMBER(D35),1-D35/INDEX(B4_EffRef,1,2),"SLO 不可達")</f>
        <v>0.616949286907533</v>
      </c>
      <c r="E39" s="76" t="n">
        <f aca="false">IF(ISNUMBER(E35),1-E35/INDEX(B4_EffRef,1,2),"SLO 不可達")</f>
        <v>0.339596345112186</v>
      </c>
      <c r="F39" s="76" t="n">
        <f aca="false">IF(ISNUMBER(F35),1-F35/INDEX(B4_EffRef,1,2),"SLO 不可達")</f>
        <v>0.942336992931381</v>
      </c>
      <c r="G39" s="76" t="n">
        <f aca="false">IF(ISNUMBER(G35),1-G35/INDEX(B4_EffRef,1,2),"SLO 不可達")</f>
        <v>0.922422801295863</v>
      </c>
      <c r="H39" s="76" t="n">
        <f aca="false">IF(ISNUMBER(H35),1-H35/INDEX(B4_EffRef,1,2),"SLO 不可達")</f>
        <v>0.87376108450254</v>
      </c>
      <c r="I39" s="76" t="n">
        <f aca="false">IF(ISNUMBER(I35),1-I35/INDEX(B4_EffRef,1,2),"SLO 不可達")</f>
        <v>0.949084582597455</v>
      </c>
      <c r="J39" s="76" t="n">
        <f aca="false">IF(ISNUMBER(J35),1-J35/INDEX(B4_EffRef,1,2),"SLO 不可達")</f>
        <v>0.925595351684817</v>
      </c>
      <c r="K39" s="76" t="n">
        <f aca="false">IF(ISNUMBER(K35),1-K35/INDEX(B4_EffRef,1,2),"SLO 不可達")</f>
        <v>0.860465846159614</v>
      </c>
      <c r="L39" s="76" t="n">
        <f aca="false">IF(ISNUMBER(L35),1-L35/INDEX(B4_EffRef,1,2),"SLO 不可達")</f>
        <v>0.968103667633219</v>
      </c>
      <c r="M39" s="76" t="n">
        <f aca="false">IF(ISNUMBER(M35),1-M35/INDEX(B4_EffRef,1,2),"SLO 不可達")</f>
        <v>0.955893902390523</v>
      </c>
      <c r="N39" s="76" t="n">
        <f aca="false">IF(ISNUMBER(N35),1-N35/INDEX(B4_EffRef,1,2),"SLO 不可達")</f>
        <v>0.924347162169226</v>
      </c>
      <c r="O39" s="76" t="n">
        <f aca="false">IF(ISNUMBER(O35),1-O35/INDEX(B4_EffRef,1,2),"SLO 不可達")</f>
        <v>0.975560253422275</v>
      </c>
      <c r="P39" s="76" t="n">
        <f aca="false">IF(ISNUMBER(P35),1-P35/INDEX(B4_EffRef,1,2),"SLO 不可達")</f>
        <v>0.962422690716923</v>
      </c>
      <c r="Q39" s="76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1339</v>
      </c>
      <c r="B40" s="53" t="s">
        <v>69</v>
      </c>
      <c r="C40" s="76" t="n">
        <f aca="false">IF(ISNUMBER(C36),1-C36/INDEX(B4_EffRef,1,2),"SLO 不可達")</f>
        <v>0.663673274380033</v>
      </c>
      <c r="D40" s="76" t="n">
        <f aca="false">IF(ISNUMBER(D36),1-D36/INDEX(B4_EffRef,1,2),"SLO 不可達")</f>
        <v>0.514937833552219</v>
      </c>
      <c r="E40" s="76" t="n">
        <f aca="false">IF(ISNUMBER(E36),1-E36/INDEX(B4_EffRef,1,2),"SLO 不可達")</f>
        <v>0.163720304123401</v>
      </c>
      <c r="F40" s="76" t="n">
        <f aca="false">IF(ISNUMBER(F36),1-F36/INDEX(B4_EffRef,1,2),"SLO 不可達")</f>
        <v>0.936529375090046</v>
      </c>
      <c r="G40" s="76" t="n">
        <f aca="false">IF(ISNUMBER(G36),1-G36/INDEX(B4_EffRef,1,2),"SLO 不可達")</f>
        <v>0.914609162580105</v>
      </c>
      <c r="H40" s="76" t="n">
        <f aca="false">IF(ISNUMBER(H36),1-H36/INDEX(B4_EffRef,1,2),"SLO 不可達")</f>
        <v>0.861045593808086</v>
      </c>
      <c r="I40" s="76" t="n">
        <f aca="false">IF(ISNUMBER(I36),1-I36/INDEX(B4_EffRef,1,2),"SLO 不可達")</f>
        <v>0.943978964633457</v>
      </c>
      <c r="J40" s="76" t="n">
        <f aca="false">IF(ISNUMBER(J36),1-J36/INDEX(B4_EffRef,1,2),"SLO 不可達")</f>
        <v>0.91813387430247</v>
      </c>
      <c r="K40" s="76" t="n">
        <f aca="false">IF(ISNUMBER(K36),1-K36/INDEX(B4_EffRef,1,2),"SLO 不可達")</f>
        <v>0.846472185600447</v>
      </c>
      <c r="L40" s="76" t="n">
        <f aca="false">IF(ISNUMBER(L36),1-L36/INDEX(B4_EffRef,1,2),"SLO 不可達")</f>
        <v>0.966407592503201</v>
      </c>
      <c r="M40" s="76" t="n">
        <f aca="false">IF(ISNUMBER(M36),1-M36/INDEX(B4_EffRef,1,2),"SLO 不可達")</f>
        <v>0.953548383029541</v>
      </c>
      <c r="N40" s="76" t="n">
        <f aca="false">IF(ISNUMBER(N36),1-N36/INDEX(B4_EffRef,1,2),"SLO 不可達")</f>
        <v>0.920323654080761</v>
      </c>
      <c r="O40" s="76" t="n">
        <f aca="false">IF(ISNUMBER(O36),1-O36/INDEX(B4_EffRef,1,2),"SLO 不可達")</f>
        <v>0.974720207084544</v>
      </c>
      <c r="P40" s="76" t="n">
        <f aca="false">IF(ISNUMBER(P36),1-P36/INDEX(B4_EffRef,1,2),"SLO 不可達")</f>
        <v>0.96113090152298</v>
      </c>
      <c r="Q40" s="76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1340</v>
      </c>
      <c r="B41" s="53" t="s">
        <v>69</v>
      </c>
      <c r="C41" s="76" t="n">
        <f aca="false">IF(ISNUMBER(C37),1-C37/INDEX(B4_EffRef,1,2),"SLO 不可達")</f>
        <v>0.352205280208792</v>
      </c>
      <c r="D41" s="76" t="n">
        <f aca="false">IF(ISNUMBER(D37),1-D37/INDEX(B4_EffRef,1,2),"SLO 不可達")</f>
        <v>0.0657299680671526</v>
      </c>
      <c r="E41" s="76" t="n">
        <f aca="false">IF(ISNUMBER(E37),1-E37/INDEX(B4_EffRef,1,2),"SLO 不可達")</f>
        <v>-0.610740621677596</v>
      </c>
      <c r="F41" s="76" t="n">
        <f aca="false">IF(ISNUMBER(F37),1-F37/INDEX(B4_EffRef,1,2),"SLO 不可達")</f>
        <v>0.859358519344832</v>
      </c>
      <c r="G41" s="76" t="n">
        <f aca="false">IF(ISNUMBER(G37),1-G37/INDEX(B4_EffRef,1,2),"SLO 不可達")</f>
        <v>0.810787320233813</v>
      </c>
      <c r="H41" s="76" t="n">
        <f aca="false">IF(ISNUMBER(H37),1-H37/INDEX(B4_EffRef,1,2),"SLO 不可達")</f>
        <v>0.692100206103755</v>
      </c>
      <c r="I41" s="76" t="n">
        <f aca="false">IF(ISNUMBER(I37),1-I37/INDEX(B4_EffRef,1,2),"SLO 不可達")</f>
        <v>0.875816055115743</v>
      </c>
      <c r="J41" s="76" t="n">
        <f aca="false">IF(ISNUMBER(J37),1-J37/INDEX(B4_EffRef,1,2),"SLO 不可達")</f>
        <v>0.818525248011748</v>
      </c>
      <c r="K41" s="76" t="n">
        <f aca="false">IF(ISNUMBER(K37),1-K37/INDEX(B4_EffRef,1,2),"SLO 不可達")</f>
        <v>0.659672795511253</v>
      </c>
      <c r="L41" s="76" t="n">
        <f aca="false">IF(ISNUMBER(L37),1-L37/INDEX(B4_EffRef,1,2),"SLO 不可達")</f>
        <v>0.922204067398096</v>
      </c>
      <c r="M41" s="76" t="n">
        <f aca="false">IF(ISNUMBER(M37),1-M37/INDEX(B4_EffRef,1,2),"SLO 不可達")</f>
        <v>0.892424152172008</v>
      </c>
      <c r="N41" s="76" t="n">
        <f aca="false">IF(ISNUMBER(N37),1-N37/INDEX(B4_EffRef,1,2),"SLO 不可達")</f>
        <v>0.815480883339576</v>
      </c>
      <c r="O41" s="76" t="n">
        <f aca="false">IF(ISNUMBER(O37),1-O37/INDEX(B4_EffRef,1,2),"SLO 不可達")</f>
        <v>0.940390862005547</v>
      </c>
      <c r="P41" s="76" t="n">
        <f aca="false">IF(ISNUMBER(P37),1-P37/INDEX(B4_EffRef,1,2),"SLO 不可達")</f>
        <v>0.908348026138836</v>
      </c>
      <c r="Q41" s="76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1341</v>
      </c>
      <c r="B42" s="53" t="s">
        <v>69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1342</v>
      </c>
      <c r="B43" s="53" t="s">
        <v>69</v>
      </c>
      <c r="C43" s="76" t="n">
        <f aca="false">IF(ISNUMBER(C37),1-C37/INDEX(B4_FrontRef,1,2),"SLO 不可達")</f>
        <v>0.352205280208791</v>
      </c>
      <c r="D43" s="76" t="n">
        <f aca="false">IF(ISNUMBER(D37),1-D37/INDEX(B4_FrontRef,1,2),"SLO 不可達")</f>
        <v>0.0657299680671524</v>
      </c>
      <c r="E43" s="76" t="n">
        <f aca="false">IF(ISNUMBER(E37),1-E37/INDEX(B4_FrontRef,1,2),"SLO 不可達")</f>
        <v>-0.610740621677596</v>
      </c>
      <c r="F43" s="76" t="n">
        <f aca="false">IF(ISNUMBER(F37),1-F37/INDEX(B4_FrontRef,1,2),"SLO 不可達")</f>
        <v>0.859358519344832</v>
      </c>
      <c r="G43" s="76" t="n">
        <f aca="false">IF(ISNUMBER(G37),1-G37/INDEX(B4_FrontRef,1,2),"SLO 不可達")</f>
        <v>0.810787320233813</v>
      </c>
      <c r="H43" s="76" t="n">
        <f aca="false">IF(ISNUMBER(H37),1-H37/INDEX(B4_FrontRef,1,2),"SLO 不可達")</f>
        <v>0.692100206103755</v>
      </c>
      <c r="I43" s="76" t="n">
        <f aca="false">IF(ISNUMBER(I37),1-I37/INDEX(B4_FrontRef,1,2),"SLO 不可達")</f>
        <v>0.875816055115743</v>
      </c>
      <c r="J43" s="76" t="n">
        <f aca="false">IF(ISNUMBER(J37),1-J37/INDEX(B4_FrontRef,1,2),"SLO 不可達")</f>
        <v>0.818525248011748</v>
      </c>
      <c r="K43" s="76" t="n">
        <f aca="false">IF(ISNUMBER(K37),1-K37/INDEX(B4_FrontRef,1,2),"SLO 不可達")</f>
        <v>0.659672795511253</v>
      </c>
      <c r="L43" s="76" t="n">
        <f aca="false">IF(ISNUMBER(L37),1-L37/INDEX(B4_FrontRef,1,2),"SLO 不可達")</f>
        <v>0.922204067398096</v>
      </c>
      <c r="M43" s="76" t="n">
        <f aca="false">IF(ISNUMBER(M37),1-M37/INDEX(B4_FrontRef,1,2),"SLO 不可達")</f>
        <v>0.892424152172008</v>
      </c>
      <c r="N43" s="76" t="n">
        <f aca="false">IF(ISNUMBER(N37),1-N37/INDEX(B4_FrontRef,1,2),"SLO 不可達")</f>
        <v>0.815480883339576</v>
      </c>
      <c r="O43" s="76" t="n">
        <f aca="false">IF(ISNUMBER(O37),1-O37/INDEX(B4_FrontRef,1,2),"SLO 不可達")</f>
        <v>0.940390862005547</v>
      </c>
      <c r="P43" s="76" t="n">
        <f aca="false">IF(ISNUMBER(P37),1-P37/INDEX(B4_FrontRef,1,2),"SLO 不可達")</f>
        <v>0.908348026138836</v>
      </c>
      <c r="Q43" s="76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82" t="s">
        <v>1348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</row>
    <row r="46" customFormat="false" ht="15" hidden="false" customHeight="false" outlineLevel="0" collapsed="false">
      <c r="A46" s="5" t="s">
        <v>1326</v>
      </c>
      <c r="B46" s="53" t="s">
        <v>730</v>
      </c>
      <c r="C46" s="66" t="n">
        <f aca="false">INDEX(IF_TokGW_Astra,1,C$7)*IF_Util</f>
        <v>2368856458.465</v>
      </c>
      <c r="D46" s="66" t="n">
        <f aca="false">INDEX(IF_TokGW_Astra,1,D$7)*IF_Util</f>
        <v>2368856458.465</v>
      </c>
      <c r="E46" s="66" t="n">
        <f aca="false">INDEX(IF_TokGW_Astra,1,E$7)*IF_Util</f>
        <v>2368856458.465</v>
      </c>
      <c r="F46" s="66" t="n">
        <f aca="false">INDEX(IF_TokGW_Astra,1,F$7)*IF_Util</f>
        <v>12344017851.8055</v>
      </c>
      <c r="G46" s="66" t="n">
        <f aca="false">INDEX(IF_TokGW_Astra,1,G$7)*IF_Util</f>
        <v>12344017851.8055</v>
      </c>
      <c r="H46" s="66" t="n">
        <f aca="false">INDEX(IF_TokGW_Astra,1,H$7)*IF_Util</f>
        <v>12344017851.8055</v>
      </c>
      <c r="I46" s="66" t="n">
        <f aca="false">INDEX(IF_TokGW_Astra,1,I$7)*IF_Util</f>
        <v>14615030654.4649</v>
      </c>
      <c r="J46" s="66" t="n">
        <f aca="false">INDEX(IF_TokGW_Astra,1,J$7)*IF_Util</f>
        <v>14615030654.4649</v>
      </c>
      <c r="K46" s="66" t="n">
        <f aca="false">INDEX(IF_TokGW_Astra,1,K$7)*IF_Util</f>
        <v>14615030654.4649</v>
      </c>
      <c r="L46" s="66" t="n">
        <f aca="false">INDEX(IF_TokGW_Astra,1,L$7)*IF_Util</f>
        <v>30990767281.9427</v>
      </c>
      <c r="M46" s="66" t="n">
        <f aca="false">INDEX(IF_TokGW_Astra,1,M$7)*IF_Util</f>
        <v>30990767281.9427</v>
      </c>
      <c r="N46" s="66" t="n">
        <f aca="false">INDEX(IF_TokGW_Astra,1,N$7)*IF_Util</f>
        <v>30990767281.9427</v>
      </c>
      <c r="O46" s="66" t="n">
        <f aca="false">INDEX(IF_TokGW_Astra,1,O$7)*IF_Util</f>
        <v>53237008217.7804</v>
      </c>
      <c r="P46" s="66" t="n">
        <f aca="false">INDEX(IF_TokGW_Astra,1,P$7)*IF_Util</f>
        <v>53237008217.7804</v>
      </c>
      <c r="Q46" s="66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1349</v>
      </c>
      <c r="B47" s="53" t="s">
        <v>1328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1350</v>
      </c>
      <c r="B48" s="53" t="s">
        <v>1328</v>
      </c>
      <c r="C48" s="65" t="n">
        <f aca="false">C46*INDEX(B4_FrontRef,1,3)/1000000000</f>
        <v>18.3402131139824</v>
      </c>
      <c r="D48" s="65" t="n">
        <f aca="false">D46*INDEX(B4_FrontRef,1,3)/1000000000</f>
        <v>18.3402131139824</v>
      </c>
      <c r="E48" s="65" t="n">
        <f aca="false">E46*INDEX(B4_FrontRef,1,3)/1000000000</f>
        <v>18.3402131139824</v>
      </c>
      <c r="F48" s="65" t="n">
        <f aca="false">F46*INDEX(B4_FrontRef,1,3)/1000000000</f>
        <v>95.5701293237562</v>
      </c>
      <c r="G48" s="65" t="n">
        <f aca="false">G46*INDEX(B4_FrontRef,1,3)/1000000000</f>
        <v>95.5701293237562</v>
      </c>
      <c r="H48" s="65" t="n">
        <f aca="false">H46*INDEX(B4_FrontRef,1,3)/1000000000</f>
        <v>95.5701293237562</v>
      </c>
      <c r="I48" s="65" t="n">
        <f aca="false">I46*INDEX(B4_FrontRef,1,3)/1000000000</f>
        <v>113.152815111457</v>
      </c>
      <c r="J48" s="65" t="n">
        <f aca="false">J46*INDEX(B4_FrontRef,1,3)/1000000000</f>
        <v>113.152815111457</v>
      </c>
      <c r="K48" s="65" t="n">
        <f aca="false">K46*INDEX(B4_FrontRef,1,3)/1000000000</f>
        <v>113.152815111457</v>
      </c>
      <c r="L48" s="65" t="n">
        <f aca="false">L46*INDEX(B4_FrontRef,1,3)/1000000000</f>
        <v>239.937407133974</v>
      </c>
      <c r="M48" s="65" t="n">
        <f aca="false">M46*INDEX(B4_FrontRef,1,3)/1000000000</f>
        <v>239.937407133974</v>
      </c>
      <c r="N48" s="65" t="n">
        <f aca="false">N46*INDEX(B4_FrontRef,1,3)/1000000000</f>
        <v>239.937407133974</v>
      </c>
      <c r="O48" s="65" t="n">
        <f aca="false">O46*INDEX(B4_FrontRef,1,3)/1000000000</f>
        <v>412.172748068326</v>
      </c>
      <c r="P48" s="65" t="n">
        <f aca="false">P46*INDEX(B4_FrontRef,1,3)/1000000000</f>
        <v>412.172748068326</v>
      </c>
      <c r="Q48" s="65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1330</v>
      </c>
      <c r="B49" s="53" t="s">
        <v>1328</v>
      </c>
      <c r="C49" s="65" t="n">
        <f aca="false">INDEX(IF_TokGW_Astra,1,C$7)*INDEX(B4_EffRef,1,3)/1000000000</f>
        <v>31.7251294585535</v>
      </c>
      <c r="D49" s="65" t="n">
        <f aca="false">INDEX(IF_TokGW_Astra,1,D$7)*INDEX(B4_EffRef,1,3)/1000000000</f>
        <v>31.7251294585535</v>
      </c>
      <c r="E49" s="65" t="n">
        <f aca="false">INDEX(IF_TokGW_Astra,1,E$7)*INDEX(B4_EffRef,1,3)/1000000000</f>
        <v>31.7251294585535</v>
      </c>
      <c r="F49" s="65" t="n">
        <f aca="false">INDEX(IF_TokGW_Astra,1,F$7)*INDEX(B4_EffRef,1,3)/1000000000</f>
        <v>165.318402044921</v>
      </c>
      <c r="G49" s="65" t="n">
        <f aca="false">INDEX(IF_TokGW_Astra,1,G$7)*INDEX(B4_EffRef,1,3)/1000000000</f>
        <v>165.318402044921</v>
      </c>
      <c r="H49" s="65" t="n">
        <f aca="false">INDEX(IF_TokGW_Astra,1,H$7)*INDEX(B4_EffRef,1,3)/1000000000</f>
        <v>165.318402044921</v>
      </c>
      <c r="I49" s="65" t="n">
        <f aca="false">INDEX(IF_TokGW_Astra,1,I$7)*INDEX(B4_EffRef,1,3)/1000000000</f>
        <v>195.7331512835</v>
      </c>
      <c r="J49" s="65" t="n">
        <f aca="false">INDEX(IF_TokGW_Astra,1,J$7)*INDEX(B4_EffRef,1,3)/1000000000</f>
        <v>195.7331512835</v>
      </c>
      <c r="K49" s="65" t="n">
        <f aca="false">INDEX(IF_TokGW_Astra,1,K$7)*INDEX(B4_EffRef,1,3)/1000000000</f>
        <v>195.7331512835</v>
      </c>
      <c r="L49" s="65" t="n">
        <f aca="false">INDEX(IF_TokGW_Astra,1,L$7)*INDEX(B4_EffRef,1,3)/1000000000</f>
        <v>415.046720338907</v>
      </c>
      <c r="M49" s="65" t="n">
        <f aca="false">INDEX(IF_TokGW_Astra,1,M$7)*INDEX(B4_EffRef,1,3)/1000000000</f>
        <v>415.046720338907</v>
      </c>
      <c r="N49" s="65" t="n">
        <f aca="false">INDEX(IF_TokGW_Astra,1,N$7)*INDEX(B4_EffRef,1,3)/1000000000</f>
        <v>415.046720338907</v>
      </c>
      <c r="O49" s="65" t="n">
        <f aca="false">INDEX(IF_TokGW_Astra,1,O$7)*INDEX(B4_EffRef,1,3)/1000000000</f>
        <v>712.981561909237</v>
      </c>
      <c r="P49" s="65" t="n">
        <f aca="false">INDEX(IF_TokGW_Astra,1,P$7)*INDEX(B4_EffRef,1,3)/1000000000</f>
        <v>712.981561909237</v>
      </c>
      <c r="Q49" s="65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1331</v>
      </c>
      <c r="B50" s="53" t="s">
        <v>1328</v>
      </c>
      <c r="C50" s="65" t="n">
        <f aca="false">INDEX(IF_HoldEcon,1,C$7)</f>
        <v>7.0000433103819</v>
      </c>
      <c r="D50" s="65" t="n">
        <f aca="false">INDEX(IF_HoldEcon,1,D$7)</f>
        <v>10.0957952959174</v>
      </c>
      <c r="E50" s="65" t="n">
        <f aca="false">INDEX(IF_HoldEcon,1,E$7)</f>
        <v>17.4059720636914</v>
      </c>
      <c r="F50" s="65" t="n">
        <f aca="false">INDEX(IF_HoldEcon,1,F$7)</f>
        <v>6.88900389081935</v>
      </c>
      <c r="G50" s="65" t="n">
        <f aca="false">INDEX(IF_HoldEcon,1,G$7)</f>
        <v>9.2685484797567</v>
      </c>
      <c r="H50" s="65" t="n">
        <f aca="false">INDEX(IF_HoldEcon,1,H$7)</f>
        <v>15.0831317178447</v>
      </c>
      <c r="I50" s="65" t="n">
        <f aca="false">INDEX(IF_HoldEcon,1,I$7)</f>
        <v>8.65796636448843</v>
      </c>
      <c r="J50" s="65" t="n">
        <f aca="false">INDEX(IF_HoldEcon,1,J$7)</f>
        <v>12.6529678995341</v>
      </c>
      <c r="K50" s="65" t="n">
        <f aca="false">INDEX(IF_HoldEcon,1,K$7)</f>
        <v>23.7300642726621</v>
      </c>
      <c r="L50" s="65" t="n">
        <f aca="false">INDEX(IF_HoldEcon,1,L$7)</f>
        <v>8.7166702372781</v>
      </c>
      <c r="M50" s="65" t="n">
        <f aca="false">INDEX(IF_HoldEcon,1,M$7)</f>
        <v>12.0543709668186</v>
      </c>
      <c r="N50" s="65" t="n">
        <f aca="false">INDEX(IF_HoldEcon,1,N$7)</f>
        <v>20.6780894215396</v>
      </c>
      <c r="O50" s="65" t="n">
        <f aca="false">INDEX(IF_HoldEcon,1,O$7)</f>
        <v>10.9036999386122</v>
      </c>
      <c r="P50" s="65" t="n">
        <f aca="false">INDEX(IF_HoldEcon,1,P$7)</f>
        <v>16.7672676161495</v>
      </c>
      <c r="Q50" s="65" t="n">
        <f aca="false">INDEX(IF_HoldEcon,1,Q$7)</f>
        <v>30.7801210005857</v>
      </c>
    </row>
    <row r="51" customFormat="false" ht="15" hidden="false" customHeight="false" outlineLevel="0" collapsed="false">
      <c r="A51" s="5" t="s">
        <v>1332</v>
      </c>
      <c r="B51" s="53" t="s">
        <v>73</v>
      </c>
      <c r="C51" s="79" t="n">
        <f aca="false">C47/C50</f>
        <v>2.71927998601106</v>
      </c>
      <c r="D51" s="79" t="n">
        <f aca="false">D47/D50</f>
        <v>1.88544608098678</v>
      </c>
      <c r="E51" s="79" t="n">
        <f aca="false">E47/E50</f>
        <v>1.09359463553541</v>
      </c>
      <c r="F51" s="79" t="n">
        <f aca="false">F47/F50</f>
        <v>14.398459167535</v>
      </c>
      <c r="G51" s="79" t="n">
        <f aca="false">G47/G50</f>
        <v>10.7018959272419</v>
      </c>
      <c r="H51" s="79" t="n">
        <f aca="false">H47/H50</f>
        <v>6.57628953207379</v>
      </c>
      <c r="I51" s="79" t="n">
        <f aca="false">I47/I50</f>
        <v>13.5643736445769</v>
      </c>
      <c r="J51" s="79" t="n">
        <f aca="false">J47/J50</f>
        <v>9.2816082126016</v>
      </c>
      <c r="K51" s="79" t="n">
        <f aca="false">K47/K50</f>
        <v>4.94899168500756</v>
      </c>
      <c r="L51" s="79" t="n">
        <f aca="false">L47/L50</f>
        <v>28.5691698119243</v>
      </c>
      <c r="M51" s="79" t="n">
        <f aca="false">M47/M50</f>
        <v>20.6587330760626</v>
      </c>
      <c r="N51" s="79" t="n">
        <f aca="false">N47/N50</f>
        <v>12.0430871115172</v>
      </c>
      <c r="O51" s="79" t="n">
        <f aca="false">O47/O50</f>
        <v>39.2333739514103</v>
      </c>
      <c r="P51" s="79" t="n">
        <f aca="false">P47/P50</f>
        <v>25.513336277493</v>
      </c>
      <c r="Q51" s="79" t="n">
        <f aca="false">Q47/Q50</f>
        <v>13.8982214247111</v>
      </c>
    </row>
    <row r="52" customFormat="false" ht="15" hidden="false" customHeight="false" outlineLevel="0" collapsed="false">
      <c r="A52" s="5" t="s">
        <v>1333</v>
      </c>
      <c r="B52" s="53" t="s">
        <v>73</v>
      </c>
      <c r="C52" s="77" t="n">
        <f aca="false">C48/C50</f>
        <v>2.62001423430933</v>
      </c>
      <c r="D52" s="77" t="n">
        <f aca="false">D48/D50</f>
        <v>1.81661895634899</v>
      </c>
      <c r="E52" s="77" t="n">
        <f aca="false">E48/E50</f>
        <v>1.05367359242405</v>
      </c>
      <c r="F52" s="77" t="n">
        <f aca="false">F48/F50</f>
        <v>13.8728516979237</v>
      </c>
      <c r="G52" s="77" t="n">
        <f aca="false">G48/G50</f>
        <v>10.3112293723758</v>
      </c>
      <c r="H52" s="77" t="n">
        <f aca="false">H48/H50</f>
        <v>6.33622586552685</v>
      </c>
      <c r="I52" s="77" t="n">
        <f aca="false">I48/I50</f>
        <v>13.0692139871974</v>
      </c>
      <c r="J52" s="77" t="n">
        <f aca="false">J48/J50</f>
        <v>8.94278844377876</v>
      </c>
      <c r="K52" s="77" t="n">
        <f aca="false">K48/K50</f>
        <v>4.76833159031149</v>
      </c>
      <c r="L52" s="77" t="n">
        <f aca="false">L48/L50</f>
        <v>27.5262687015332</v>
      </c>
      <c r="M52" s="77" t="n">
        <f aca="false">M48/M50</f>
        <v>19.904597908463</v>
      </c>
      <c r="N52" s="77" t="n">
        <f aca="false">N48/N50</f>
        <v>11.6034611439508</v>
      </c>
      <c r="O52" s="77" t="n">
        <f aca="false">O48/O50</f>
        <v>37.801182203184</v>
      </c>
      <c r="P52" s="77" t="n">
        <f aca="false">P48/P50</f>
        <v>24.581986612496</v>
      </c>
      <c r="Q52" s="77" t="n">
        <f aca="false">Q48/Q50</f>
        <v>13.3908748461542</v>
      </c>
    </row>
    <row r="53" customFormat="false" ht="15" hidden="false" customHeight="false" outlineLevel="0" collapsed="false">
      <c r="A53" s="5" t="s">
        <v>1334</v>
      </c>
      <c r="B53" s="53" t="s">
        <v>738</v>
      </c>
      <c r="C53" s="149" t="n">
        <f aca="false">Amortize!C33</f>
        <v>2.58159949664513</v>
      </c>
      <c r="D53" s="149" t="n">
        <f aca="false">Amortize!D33</f>
        <v>3.72320681635384</v>
      </c>
      <c r="E53" s="149" t="n">
        <f aca="false">Amortize!E33</f>
        <v>6.41894967477666</v>
      </c>
      <c r="F53" s="149" t="n">
        <f aca="false">Amortize!F33</f>
        <v>0.50720582162834</v>
      </c>
      <c r="G53" s="149" t="n">
        <f aca="false">Amortize!G33</f>
        <v>0.682323688479722</v>
      </c>
      <c r="H53" s="149" t="n">
        <f aca="false">Amortize!H33</f>
        <v>1.1102364151492</v>
      </c>
      <c r="I53" s="149" t="n">
        <f aca="false">Amortize!I33</f>
        <v>0.547595949441413</v>
      </c>
      <c r="J53" s="149" t="n">
        <f aca="false">Amortize!J33</f>
        <v>0.800167365712116</v>
      </c>
      <c r="K53" s="149" t="n">
        <f aca="false">Amortize!K33</f>
        <v>1.50048196999576</v>
      </c>
      <c r="L53" s="149" t="n">
        <f aca="false">Amortize!L33</f>
        <v>0.249546298208045</v>
      </c>
      <c r="M53" s="149" t="n">
        <f aca="false">Amortize!M33</f>
        <v>0.345014606730438</v>
      </c>
      <c r="N53" s="149" t="n">
        <f aca="false">Amortize!N33</f>
        <v>0.591678966647122</v>
      </c>
      <c r="O53" s="149" t="n">
        <f aca="false">Amortize!O33</f>
        <v>0.180100984397245</v>
      </c>
      <c r="P53" s="149" t="n">
        <f aca="false">Amortize!P33</f>
        <v>0.27683194286663</v>
      </c>
      <c r="Q53" s="149" t="n">
        <f aca="false">Amortize!Q33</f>
        <v>0.508001226366188</v>
      </c>
    </row>
    <row r="54" customFormat="false" ht="15" hidden="false" customHeight="false" outlineLevel="0" collapsed="false">
      <c r="A54" s="5" t="s">
        <v>1351</v>
      </c>
      <c r="B54" s="53" t="s">
        <v>738</v>
      </c>
      <c r="C54" s="150" t="n">
        <f aca="false">IF(AND(ISNUMBER(C53),ISNUMBER(Amortize!C32)),C53+Amortize!C32,"SLO 不可達")</f>
        <v>7.4943918900521</v>
      </c>
      <c r="D54" s="150" t="n">
        <f aca="false">IF(AND(ISNUMBER(D53),ISNUMBER(Amortize!D32)),D53+Amortize!D32,"SLO 不可達")</f>
        <v>10.8086695965078</v>
      </c>
      <c r="E54" s="150" t="n">
        <f aca="false">IF(AND(ISNUMBER(E53),ISNUMBER(Amortize!E32)),E53+Amortize!E32,"SLO 不可達")</f>
        <v>18.6348636859847</v>
      </c>
      <c r="F54" s="150" t="n">
        <f aca="false">IF(AND(ISNUMBER(F53),ISNUMBER(Amortize!F32)),F53+Amortize!F32,"SLO 不可達")</f>
        <v>0.908830359719883</v>
      </c>
      <c r="G54" s="150" t="n">
        <f aca="false">IF(AND(ISNUMBER(G53),ISNUMBER(Amortize!G32)),G53+Amortize!G32,"SLO 不可達")</f>
        <v>1.22267416018175</v>
      </c>
      <c r="H54" s="150" t="n">
        <f aca="false">IF(AND(ISNUMBER(H53),ISNUMBER(Amortize!H32)),H53+Amortize!H32,"SLO 不可達")</f>
        <v>1.98957338536432</v>
      </c>
      <c r="I54" s="150" t="n">
        <f aca="false">IF(AND(ISNUMBER(I53),ISNUMBER(Amortize!I32)),I53+Amortize!I32,"SLO 不可達")</f>
        <v>0.92526306715866</v>
      </c>
      <c r="J54" s="150" t="n">
        <f aca="false">IF(AND(ISNUMBER(J53),ISNUMBER(Amortize!J32)),J53+Amortize!J32,"SLO 不可達")</f>
        <v>1.35209950728128</v>
      </c>
      <c r="K54" s="150" t="n">
        <f aca="false">IF(AND(ISNUMBER(K53),ISNUMBER(Amortize!K32)),K53+Amortize!K32,"SLO 不可達")</f>
        <v>2.53560553132768</v>
      </c>
      <c r="L54" s="150" t="n">
        <f aca="false">IF(AND(ISNUMBER(L53),ISNUMBER(Amortize!L32)),L53+Amortize!L32,"SLO 不可達")</f>
        <v>0.362631102139582</v>
      </c>
      <c r="M54" s="150" t="n">
        <f aca="false">IF(AND(ISNUMBER(M53),ISNUMBER(Amortize!M32)),M53+Amortize!M32,"SLO 不可達")</f>
        <v>0.501400719798122</v>
      </c>
      <c r="N54" s="150" t="n">
        <f aca="false">IF(AND(ISNUMBER(N53),ISNUMBER(Amortize!N32)),N53+Amortize!N32,"SLO 不可達")</f>
        <v>0.85994398347811</v>
      </c>
      <c r="O54" s="150" t="n">
        <f aca="false">IF(AND(ISNUMBER(O53),ISNUMBER(Amortize!O32)),O53+Amortize!O32,"SLO 不可達")</f>
        <v>0.235361794782801</v>
      </c>
      <c r="P54" s="150" t="n">
        <f aca="false">IF(AND(ISNUMBER(P53),ISNUMBER(Amortize!P32)),P53+Amortize!P32,"SLO 不可達")</f>
        <v>0.361809776229296</v>
      </c>
      <c r="Q54" s="150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1336</v>
      </c>
      <c r="B55" s="53" t="s">
        <v>738</v>
      </c>
      <c r="C55" s="149" t="n">
        <f aca="false">IF(AND(ISNUMBER(C53),ISNUMBER(Amortize!C34)),C53+Amortize!C34,"SLO 不可達")</f>
        <v>6.29658413815885</v>
      </c>
      <c r="D55" s="149" t="n">
        <f aca="false">IF(AND(ISNUMBER(D53),ISNUMBER(Amortize!D34)),D53+Amortize!D34,"SLO 不可達")</f>
        <v>9.08099223500936</v>
      </c>
      <c r="E55" s="149" t="n">
        <f aca="false">IF(AND(ISNUMBER(E53),ISNUMBER(Amortize!E34)),E53+Amortize!E34,"SLO 不可達")</f>
        <v>15.6559748165284</v>
      </c>
      <c r="F55" s="149" t="n">
        <f aca="false">IF(AND(ISNUMBER(F53),ISNUMBER(Amortize!F34)),F53+Amortize!F34,"SLO 不可達")</f>
        <v>1.23708736982522</v>
      </c>
      <c r="G55" s="149" t="n">
        <f aca="false">IF(AND(ISNUMBER(G53),ISNUMBER(Amortize!G34)),G53+Amortize!G34,"SLO 不可達")</f>
        <v>1.66420411824323</v>
      </c>
      <c r="H55" s="149" t="n">
        <f aca="false">IF(AND(ISNUMBER(H53),ISNUMBER(Amortize!H34)),H53+Amortize!H34,"SLO 不可達")</f>
        <v>2.70789369548585</v>
      </c>
      <c r="I55" s="149" t="n">
        <f aca="false">IF(AND(ISNUMBER(I53),ISNUMBER(Amortize!I34)),I53+Amortize!I34,"SLO 不可達")</f>
        <v>1.33559987668637</v>
      </c>
      <c r="J55" s="149" t="n">
        <f aca="false">IF(AND(ISNUMBER(J53),ISNUMBER(Amortize!J34)),J53+Amortize!J34,"SLO 不可達")</f>
        <v>1.95162772124906</v>
      </c>
      <c r="K55" s="149" t="n">
        <f aca="false">IF(AND(ISNUMBER(K53),ISNUMBER(Amortize!K34)),K53+Amortize!K34,"SLO 不可達")</f>
        <v>3.65971212194087</v>
      </c>
      <c r="L55" s="149" t="n">
        <f aca="false">IF(AND(ISNUMBER(L53),ISNUMBER(Amortize!L34)),L53+Amortize!L34,"SLO 不可達")</f>
        <v>0.608649507824501</v>
      </c>
      <c r="M55" s="149" t="n">
        <f aca="false">IF(AND(ISNUMBER(M53),ISNUMBER(Amortize!M34)),M53+Amortize!M34,"SLO 不可達")</f>
        <v>0.841499040805947</v>
      </c>
      <c r="N55" s="149" t="n">
        <f aca="false">IF(AND(ISNUMBER(N53),ISNUMBER(Amortize!N34)),N53+Amortize!N34,"SLO 不可達")</f>
        <v>1.44311943084664</v>
      </c>
      <c r="O55" s="149" t="n">
        <f aca="false">IF(AND(ISNUMBER(O53),ISNUMBER(Amortize!O34)),O53+Amortize!O34,"SLO 不可達")</f>
        <v>0.439270693651818</v>
      </c>
      <c r="P55" s="149" t="n">
        <f aca="false">IF(AND(ISNUMBER(P53),ISNUMBER(Amortize!P34)),P53+Amortize!P34,"SLO 不可達")</f>
        <v>0.675199860650317</v>
      </c>
      <c r="Q55" s="149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1352</v>
      </c>
      <c r="B56" s="53" t="s">
        <v>738</v>
      </c>
      <c r="C56" s="150" t="n">
        <f aca="false">IF(AND(ISNUMBER(C53),ISNUMBER(Amortize!C47)),C53+Amortize!C47,"SLO 不可達")</f>
        <v>11.9382065790107</v>
      </c>
      <c r="D56" s="150" t="n">
        <f aca="false">IF(AND(ISNUMBER(D53),ISNUMBER(Amortize!D47)),D53+Amortize!D47,"SLO 不可達")</f>
        <v>17.2174510676118</v>
      </c>
      <c r="E56" s="150" t="n">
        <f aca="false">IF(AND(ISNUMBER(E53),ISNUMBER(Amortize!E47)),E53+Amortize!E47,"SLO 不可達")</f>
        <v>29.6836339505716</v>
      </c>
      <c r="F56" s="150" t="n">
        <f aca="false">IF(AND(ISNUMBER(F53),ISNUMBER(Amortize!F47)),F53+Amortize!F47,"SLO 不可達")</f>
        <v>2.44235169873315</v>
      </c>
      <c r="G56" s="150" t="n">
        <f aca="false">IF(AND(ISNUMBER(G53),ISNUMBER(Amortize!G47)),G53+Amortize!G47,"SLO 不可達")</f>
        <v>3.28566102304758</v>
      </c>
      <c r="H56" s="150" t="n">
        <f aca="false">IF(AND(ISNUMBER(H53),ISNUMBER(Amortize!H47)),H53+Amortize!H47,"SLO 不可達")</f>
        <v>5.34634619973165</v>
      </c>
      <c r="I56" s="150" t="n">
        <f aca="false">IF(AND(ISNUMBER(I53),ISNUMBER(Amortize!I47)),I53+Amortize!I47,"SLO 不可達")</f>
        <v>2.47809294598459</v>
      </c>
      <c r="J56" s="150" t="n">
        <f aca="false">IF(AND(ISNUMBER(J53),ISNUMBER(Amortize!J47)),J53+Amortize!J47,"SLO 不可達")</f>
        <v>3.6211175853525</v>
      </c>
      <c r="K56" s="150" t="n">
        <f aca="false">IF(AND(ISNUMBER(K53),ISNUMBER(Amortize!K47)),K53+Amortize!K47,"SLO 不可達")</f>
        <v>6.79042652705572</v>
      </c>
      <c r="L56" s="150" t="n">
        <f aca="false">IF(AND(ISNUMBER(L53),ISNUMBER(Amortize!L47)),L53+Amortize!L47,"SLO 不可達")</f>
        <v>1.26410483270319</v>
      </c>
      <c r="M56" s="150" t="n">
        <f aca="false">IF(AND(ISNUMBER(M53),ISNUMBER(Amortize!M47)),M53+Amortize!M47,"SLO 不可達")</f>
        <v>1.74781268672985</v>
      </c>
      <c r="N56" s="150" t="n">
        <f aca="false">IF(AND(ISNUMBER(N53),ISNUMBER(Amortize!N47)),N53+Amortize!N47,"SLO 不可達")</f>
        <v>2.99758331791445</v>
      </c>
      <c r="O56" s="150" t="n">
        <f aca="false">IF(AND(ISNUMBER(O53),ISNUMBER(Amortize!O47)),O53+Amortize!O47,"SLO 不可達")</f>
        <v>0.936196709439662</v>
      </c>
      <c r="P56" s="150" t="n">
        <f aca="false">IF(AND(ISNUMBER(P53),ISNUMBER(Amortize!P47)),P53+Amortize!P47,"SLO 不可達")</f>
        <v>1.43918664971836</v>
      </c>
      <c r="Q56" s="150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1338</v>
      </c>
      <c r="B57" s="53" t="s">
        <v>69</v>
      </c>
      <c r="C57" s="76" t="n">
        <f aca="false">IF(ISNUMBER(C53),1-C53/INDEX(B4_EffRef,1,3),"SLO 不可達")</f>
        <v>0.678727938747149</v>
      </c>
      <c r="D57" s="76" t="n">
        <f aca="false">IF(ISNUMBER(D53),1-D53/INDEX(B4_EffRef,1,3),"SLO 不可達")</f>
        <v>0.536658443761276</v>
      </c>
      <c r="E57" s="76" t="n">
        <f aca="false">IF(ISNUMBER(E53),1-E53/INDEX(B4_EffRef,1,3),"SLO 不可達")</f>
        <v>0.201181594676577</v>
      </c>
      <c r="F57" s="76" t="n">
        <f aca="false">IF(ISNUMBER(F53),1-F53/INDEX(B4_EffRef,1,3),"SLO 不可達")</f>
        <v>0.936879806489836</v>
      </c>
      <c r="G57" s="76" t="n">
        <f aca="false">IF(ISNUMBER(G53),1-G53/INDEX(B4_EffRef,1,3),"SLO 不可達")</f>
        <v>0.915086930360654</v>
      </c>
      <c r="H57" s="76" t="n">
        <f aca="false">IF(ISNUMBER(H53),1-H53/INDEX(B4_EffRef,1,3),"SLO 不可達")</f>
        <v>0.861834516920039</v>
      </c>
      <c r="I57" s="76" t="n">
        <f aca="false">IF(ISNUMBER(I53),1-I53/INDEX(B4_EffRef,1,3),"SLO 不可達")</f>
        <v>0.931853380185665</v>
      </c>
      <c r="J57" s="76" t="n">
        <f aca="false">IF(ISNUMBER(J53),1-J53/INDEX(B4_EffRef,1,3),"SLO 不可達")</f>
        <v>0.900421649731623</v>
      </c>
      <c r="K57" s="76" t="n">
        <f aca="false">IF(ISNUMBER(K53),1-K53/INDEX(B4_EffRef,1,3),"SLO 不可達")</f>
        <v>0.813269666344555</v>
      </c>
      <c r="L57" s="76" t="n">
        <f aca="false">IF(ISNUMBER(L53),1-L53/INDEX(B4_EffRef,1,3),"SLO 不可達")</f>
        <v>0.968944736119021</v>
      </c>
      <c r="M57" s="76" t="n">
        <f aca="false">IF(ISNUMBER(M53),1-M53/INDEX(B4_EffRef,1,3),"SLO 不可達")</f>
        <v>0.95706400082171</v>
      </c>
      <c r="N57" s="76" t="n">
        <f aca="false">IF(ISNUMBER(N53),1-N53/INDEX(B4_EffRef,1,3),"SLO 不可達")</f>
        <v>0.926367385234733</v>
      </c>
      <c r="O57" s="76" t="n">
        <f aca="false">IF(ISNUMBER(O53),1-O53/INDEX(B4_EffRef,1,3),"SLO 不可達")</f>
        <v>0.97758699032667</v>
      </c>
      <c r="P57" s="76" t="n">
        <f aca="false">IF(ISNUMBER(P53),1-P53/INDEX(B4_EffRef,1,3),"SLO 不可達")</f>
        <v>0.965549122154319</v>
      </c>
      <c r="Q57" s="76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1339</v>
      </c>
      <c r="B58" s="53" t="s">
        <v>69</v>
      </c>
      <c r="C58" s="76" t="n">
        <f aca="false">IF(ISNUMBER(C54),1-C54/INDEX(B4_EffRef,1,3),"SLO 不可達")</f>
        <v>0.0673461420012593</v>
      </c>
      <c r="D58" s="76" t="n">
        <f aca="false">IF(ISNUMBER(D54),1-D54/INDEX(B4_EffRef,1,3),"SLO 不可達")</f>
        <v>-0.345105453105229</v>
      </c>
      <c r="E58" s="76" t="n">
        <f aca="false">IF(ISNUMBER(E54),1-E54/INDEX(B4_EffRef,1,3),"SLO 不可達")</f>
        <v>-1.31905106711646</v>
      </c>
      <c r="F58" s="76" t="n">
        <f aca="false">IF(ISNUMBER(F54),1-F54/INDEX(B4_EffRef,1,3),"SLO 不可達")</f>
        <v>0.886898876694152</v>
      </c>
      <c r="G58" s="76" t="n">
        <f aca="false">IF(ISNUMBER(G54),1-G54/INDEX(B4_EffRef,1,3),"SLO 不可達")</f>
        <v>0.84784198780924</v>
      </c>
      <c r="H58" s="76" t="n">
        <f aca="false">IF(ISNUMBER(H54),1-H54/INDEX(B4_EffRef,1,3),"SLO 不可達")</f>
        <v>0.752403754586852</v>
      </c>
      <c r="I58" s="76" t="n">
        <f aca="false">IF(ISNUMBER(I54),1-I54/INDEX(B4_EffRef,1,3),"SLO 不可達")</f>
        <v>0.884853877151162</v>
      </c>
      <c r="J58" s="76" t="n">
        <f aca="false">IF(ISNUMBER(J54),1-J54/INDEX(B4_EffRef,1,3),"SLO 不可達")</f>
        <v>0.831735404237673</v>
      </c>
      <c r="K58" s="76" t="n">
        <f aca="false">IF(ISNUMBER(K54),1-K54/INDEX(B4_EffRef,1,3),"SLO 不可達")</f>
        <v>0.684451745271721</v>
      </c>
      <c r="L58" s="76" t="n">
        <f aca="false">IF(ISNUMBER(L54),1-L54/INDEX(B4_EffRef,1,3),"SLO 不可達")</f>
        <v>0.954871682532408</v>
      </c>
      <c r="M58" s="76" t="n">
        <f aca="false">IF(ISNUMBER(M54),1-M54/INDEX(B4_EffRef,1,3),"SLO 不可達")</f>
        <v>0.937602233432203</v>
      </c>
      <c r="N58" s="76" t="n">
        <f aca="false">IF(ISNUMBER(N54),1-N54/INDEX(B4_EffRef,1,3),"SLO 不可達")</f>
        <v>0.892982634799461</v>
      </c>
      <c r="O58" s="76" t="n">
        <f aca="false">IF(ISNUMBER(O54),1-O54/INDEX(B4_EffRef,1,3),"SLO 不可達")</f>
        <v>0.97070995363599</v>
      </c>
      <c r="P58" s="76" t="n">
        <f aca="false">IF(ISNUMBER(P54),1-P54/INDEX(B4_EffRef,1,3),"SLO 不可達")</f>
        <v>0.954973893998014</v>
      </c>
      <c r="Q58" s="76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1340</v>
      </c>
      <c r="B59" s="53" t="s">
        <v>69</v>
      </c>
      <c r="C59" s="76" t="n">
        <f aca="false">IF(ISNUMBER(C55),1-C55/INDEX(B4_EffRef,1,3),"SLO 不可達")</f>
        <v>0.216409606700364</v>
      </c>
      <c r="D59" s="76" t="n">
        <f aca="false">IF(ISNUMBER(D55),1-D55/INDEX(B4_EffRef,1,3),"SLO 不可達")</f>
        <v>-0.130101356679816</v>
      </c>
      <c r="E59" s="76" t="n">
        <f aca="false">IF(ISNUMBER(E55),1-E55/INDEX(B4_EffRef,1,3),"SLO 不可達")</f>
        <v>-0.948337573959567</v>
      </c>
      <c r="F59" s="76" t="n">
        <f aca="false">IF(ISNUMBER(F55),1-F55/INDEX(B4_EffRef,1,3),"SLO 不可達")</f>
        <v>0.846048308511795</v>
      </c>
      <c r="G59" s="76" t="n">
        <f aca="false">IF(ISNUMBER(G55),1-G55/INDEX(B4_EffRef,1,3),"SLO 不可達")</f>
        <v>0.792894952099156</v>
      </c>
      <c r="H59" s="76" t="n">
        <f aca="false">IF(ISNUMBER(H55),1-H55/INDEX(B4_EffRef,1,3),"SLO 不可達")</f>
        <v>0.663011016878143</v>
      </c>
      <c r="I59" s="76" t="n">
        <f aca="false">IF(ISNUMBER(I55),1-I55/INDEX(B4_EffRef,1,3),"SLO 不可達")</f>
        <v>0.833788732160158</v>
      </c>
      <c r="J59" s="76" t="n">
        <f aca="false">IF(ISNUMBER(J55),1-J55/INDEX(B4_EffRef,1,3),"SLO 不可達")</f>
        <v>0.757125974955177</v>
      </c>
      <c r="K59" s="76" t="n">
        <f aca="false">IF(ISNUMBER(K55),1-K55/INDEX(B4_EffRef,1,3),"SLO 不可達")</f>
        <v>0.544560161815987</v>
      </c>
      <c r="L59" s="76" t="n">
        <f aca="false">IF(ISNUMBER(L55),1-L55/INDEX(B4_EffRef,1,3),"SLO 不可達")</f>
        <v>0.924255453948832</v>
      </c>
      <c r="M59" s="76" t="n">
        <f aca="false">IF(ISNUMBER(M55),1-M55/INDEX(B4_EffRef,1,3),"SLO 不可達")</f>
        <v>0.895278050784658</v>
      </c>
      <c r="N59" s="76" t="n">
        <f aca="false">IF(ISNUMBER(N55),1-N55/INDEX(B4_EffRef,1,3),"SLO 不可達")</f>
        <v>0.820408256670081</v>
      </c>
      <c r="O59" s="76" t="n">
        <f aca="false">IF(ISNUMBER(O55),1-O55/INDEX(B4_EffRef,1,3),"SLO 不可達")</f>
        <v>0.945334122747976</v>
      </c>
      <c r="P59" s="76" t="n">
        <f aca="false">IF(ISNUMBER(P55),1-P55/INDEX(B4_EffRef,1,3),"SLO 不可達")</f>
        <v>0.91597346866907</v>
      </c>
      <c r="Q59" s="76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1341</v>
      </c>
      <c r="B60" s="53" t="s">
        <v>69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1342</v>
      </c>
      <c r="B61" s="53" t="s">
        <v>69</v>
      </c>
      <c r="C61" s="76" t="n">
        <f aca="false">IF(ISNUMBER(C55),1-C55/INDEX(B4_FrontRef,1,3),"SLO 不可達")</f>
        <v>0.186721336919781</v>
      </c>
      <c r="D61" s="76" t="n">
        <f aca="false">IF(ISNUMBER(D55),1-D55/INDEX(B4_FrontRef,1,3),"SLO 不可達")</f>
        <v>-0.172918055612576</v>
      </c>
      <c r="E61" s="76" t="n">
        <f aca="false">IF(ISNUMBER(E55),1-E55/INDEX(B4_FrontRef,1,3),"SLO 不可達")</f>
        <v>-1.02215518583174</v>
      </c>
      <c r="F61" s="76" t="n">
        <f aca="false">IF(ISNUMBER(F55),1-F55/INDEX(B4_FrontRef,1,3),"SLO 不可達")</f>
        <v>0.840215466009946</v>
      </c>
      <c r="G61" s="76" t="n">
        <f aca="false">IF(ISNUMBER(G55),1-G55/INDEX(B4_FrontRef,1,3),"SLO 不可達")</f>
        <v>0.785048262569044</v>
      </c>
      <c r="H61" s="76" t="n">
        <f aca="false">IF(ISNUMBER(H55),1-H55/INDEX(B4_FrontRef,1,3),"SLO 不可達")</f>
        <v>0.650243351616351</v>
      </c>
      <c r="I61" s="76" t="n">
        <f aca="false">IF(ISNUMBER(I55),1-I55/INDEX(B4_FrontRef,1,3),"SLO 不可達")</f>
        <v>0.827491405135227</v>
      </c>
      <c r="J61" s="76" t="n">
        <f aca="false">IF(ISNUMBER(J55),1-J55/INDEX(B4_FrontRef,1,3),"SLO 不可達")</f>
        <v>0.747924088816855</v>
      </c>
      <c r="K61" s="76" t="n">
        <f aca="false">IF(ISNUMBER(K55),1-K55/INDEX(B4_FrontRef,1,3),"SLO 不可達")</f>
        <v>0.527304691482953</v>
      </c>
      <c r="L61" s="76" t="n">
        <f aca="false">IF(ISNUMBER(L55),1-L55/INDEX(B4_FrontRef,1,3),"SLO 不可達")</f>
        <v>0.921385683547352</v>
      </c>
      <c r="M61" s="76" t="n">
        <f aca="false">IF(ISNUMBER(M55),1-M55/INDEX(B4_FrontRef,1,3),"SLO 不可達")</f>
        <v>0.89131039943666</v>
      </c>
      <c r="N61" s="76" t="n">
        <f aca="false">IF(ISNUMBER(N55),1-N55/INDEX(B4_FrontRef,1,3),"SLO 不可達")</f>
        <v>0.813603977072047</v>
      </c>
      <c r="O61" s="76" t="n">
        <f aca="false">IF(ISNUMBER(O55),1-O55/INDEX(B4_FrontRef,1,3),"SLO 不可達")</f>
        <v>0.943262970108118</v>
      </c>
      <c r="P61" s="76" t="n">
        <f aca="false">IF(ISNUMBER(P55),1-P55/INDEX(B4_FrontRef,1,3),"SLO 不可達")</f>
        <v>0.912789914669161</v>
      </c>
      <c r="Q61" s="76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82" t="s">
        <v>1353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26.85" hidden="false" customHeight="false" outlineLevel="0" collapsed="false">
      <c r="A64" s="6" t="s">
        <v>1354</v>
      </c>
      <c r="B64" s="53" t="s">
        <v>1328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1355</v>
      </c>
      <c r="B65" s="53" t="s">
        <v>1328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1356</v>
      </c>
      <c r="B66" s="53" t="s">
        <v>1328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1357</v>
      </c>
      <c r="B67" s="53" t="s">
        <v>1328</v>
      </c>
      <c r="C67" s="153" t="n">
        <f aca="false">IF(Fleet_1GW!C18=1,(Fleet_1GW!C21*INDEX(B4_EffRef,1,1)+Fleet_1GW!C24*INDEX(B4_EffRef,1,2)+Fleet_1GW!C27*INDEX(B4_EffRef,1,3))/1000000000,"SLO 不可達")</f>
        <v>4.06172226967463</v>
      </c>
      <c r="D67" s="153" t="n">
        <f aca="false">IF(Fleet_1GW!D18=1,(Fleet_1GW!D21*INDEX(B4_EffRef,1,1)+Fleet_1GW!D24*INDEX(B4_EffRef,1,2)+Fleet_1GW!D27*INDEX(B4_EffRef,1,3))/1000000000,"SLO 不可達")</f>
        <v>4.06172226967463</v>
      </c>
      <c r="E67" s="153" t="n">
        <f aca="false">IF(Fleet_1GW!E18=1,(Fleet_1GW!E21*INDEX(B4_EffRef,1,1)+Fleet_1GW!E24*INDEX(B4_EffRef,1,2)+Fleet_1GW!E27*INDEX(B4_EffRef,1,3))/1000000000,"SLO 不可達")</f>
        <v>4.06172226967463</v>
      </c>
      <c r="F67" s="153" t="n">
        <f aca="false">IF(Fleet_1GW!F18=1,(Fleet_1GW!F21*INDEX(B4_EffRef,1,1)+Fleet_1GW!F24*INDEX(B4_EffRef,1,2)+Fleet_1GW!F27*INDEX(B4_EffRef,1,3))/1000000000,"SLO 不可達")</f>
        <v>20.6694575251537</v>
      </c>
      <c r="G67" s="153" t="n">
        <f aca="false">IF(Fleet_1GW!G18=1,(Fleet_1GW!G21*INDEX(B4_EffRef,1,1)+Fleet_1GW!G24*INDEX(B4_EffRef,1,2)+Fleet_1GW!G27*INDEX(B4_EffRef,1,3))/1000000000,"SLO 不可達")</f>
        <v>20.6694575251537</v>
      </c>
      <c r="H67" s="153" t="n">
        <f aca="false">IF(Fleet_1GW!H18=1,(Fleet_1GW!H21*INDEX(B4_EffRef,1,1)+Fleet_1GW!H24*INDEX(B4_EffRef,1,2)+Fleet_1GW!H27*INDEX(B4_EffRef,1,3))/1000000000,"SLO 不可達")</f>
        <v>20.6694575251537</v>
      </c>
      <c r="I67" s="153" t="n">
        <f aca="false">IF(Fleet_1GW!I18=1,(Fleet_1GW!I21*INDEX(B4_EffRef,1,1)+Fleet_1GW!I24*INDEX(B4_EffRef,1,2)+Fleet_1GW!I27*INDEX(B4_EffRef,1,3))/1000000000,"SLO 不可達")</f>
        <v>26.3396199140691</v>
      </c>
      <c r="J67" s="153" t="n">
        <f aca="false">IF(Fleet_1GW!J18=1,(Fleet_1GW!J21*INDEX(B4_EffRef,1,1)+Fleet_1GW!J24*INDEX(B4_EffRef,1,2)+Fleet_1GW!J27*INDEX(B4_EffRef,1,3))/1000000000,"SLO 不可達")</f>
        <v>26.3396199140691</v>
      </c>
      <c r="K67" s="153" t="n">
        <f aca="false">IF(Fleet_1GW!K18=1,(Fleet_1GW!K21*INDEX(B4_EffRef,1,1)+Fleet_1GW!K24*INDEX(B4_EffRef,1,2)+Fleet_1GW!K27*INDEX(B4_EffRef,1,3))/1000000000,"SLO 不可達")</f>
        <v>26.3396199140691</v>
      </c>
      <c r="L67" s="153" t="n">
        <f aca="false">IF(Fleet_1GW!L18=1,(Fleet_1GW!L21*INDEX(B4_EffRef,1,1)+Fleet_1GW!L24*INDEX(B4_EffRef,1,2)+Fleet_1GW!L27*INDEX(B4_EffRef,1,3))/1000000000,"SLO 不可達")</f>
        <v>49.1065450235676</v>
      </c>
      <c r="M67" s="153" t="n">
        <f aca="false">IF(Fleet_1GW!M18=1,(Fleet_1GW!M21*INDEX(B4_EffRef,1,1)+Fleet_1GW!M24*INDEX(B4_EffRef,1,2)+Fleet_1GW!M27*INDEX(B4_EffRef,1,3))/1000000000,"SLO 不可達")</f>
        <v>49.1065450235676</v>
      </c>
      <c r="N67" s="153" t="n">
        <f aca="false">IF(Fleet_1GW!N18=1,(Fleet_1GW!N21*INDEX(B4_EffRef,1,1)+Fleet_1GW!N24*INDEX(B4_EffRef,1,2)+Fleet_1GW!N27*INDEX(B4_EffRef,1,3))/1000000000,"SLO 不可達")</f>
        <v>49.1065450235676</v>
      </c>
      <c r="O67" s="153" t="n">
        <f aca="false">IF(Fleet_1GW!O18=1,(Fleet_1GW!O21*INDEX(B4_EffRef,1,1)+Fleet_1GW!O24*INDEX(B4_EffRef,1,2)+Fleet_1GW!O27*INDEX(B4_EffRef,1,3))/1000000000,"SLO 不可達")</f>
        <v>82.0837219753772</v>
      </c>
      <c r="P67" s="153" t="n">
        <f aca="false">IF(Fleet_1GW!P18=1,(Fleet_1GW!P21*INDEX(B4_EffRef,1,1)+Fleet_1GW!P24*INDEX(B4_EffRef,1,2)+Fleet_1GW!P27*INDEX(B4_EffRef,1,3))/1000000000,"SLO 不可達")</f>
        <v>82.0837219753772</v>
      </c>
      <c r="Q67" s="153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1358</v>
      </c>
      <c r="B68" s="53" t="s">
        <v>1328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1359</v>
      </c>
      <c r="B69" s="53" t="s">
        <v>1328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1360</v>
      </c>
      <c r="B70" s="53" t="s">
        <v>1328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1361</v>
      </c>
      <c r="B71" s="53" t="s">
        <v>1328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1362</v>
      </c>
      <c r="B72" s="53" t="s">
        <v>1328</v>
      </c>
      <c r="C72" s="65" t="n">
        <f aca="false">INDEX(IF_HoldEcon,1,C$7)</f>
        <v>7.0000433103819</v>
      </c>
      <c r="D72" s="65" t="n">
        <f aca="false">INDEX(IF_HoldEcon,1,D$7)</f>
        <v>10.0957952959174</v>
      </c>
      <c r="E72" s="65" t="n">
        <f aca="false">INDEX(IF_HoldEcon,1,E$7)</f>
        <v>17.4059720636914</v>
      </c>
      <c r="F72" s="65" t="n">
        <f aca="false">INDEX(IF_HoldEcon,1,F$7)</f>
        <v>6.88900389081935</v>
      </c>
      <c r="G72" s="65" t="n">
        <f aca="false">INDEX(IF_HoldEcon,1,G$7)</f>
        <v>9.2685484797567</v>
      </c>
      <c r="H72" s="65" t="n">
        <f aca="false">INDEX(IF_HoldEcon,1,H$7)</f>
        <v>15.0831317178447</v>
      </c>
      <c r="I72" s="65" t="n">
        <f aca="false">INDEX(IF_HoldEcon,1,I$7)</f>
        <v>8.65796636448843</v>
      </c>
      <c r="J72" s="65" t="n">
        <f aca="false">INDEX(IF_HoldEcon,1,J$7)</f>
        <v>12.6529678995341</v>
      </c>
      <c r="K72" s="65" t="n">
        <f aca="false">INDEX(IF_HoldEcon,1,K$7)</f>
        <v>23.7300642726621</v>
      </c>
      <c r="L72" s="65" t="n">
        <f aca="false">INDEX(IF_HoldEcon,1,L$7)</f>
        <v>8.7166702372781</v>
      </c>
      <c r="M72" s="65" t="n">
        <f aca="false">INDEX(IF_HoldEcon,1,M$7)</f>
        <v>12.0543709668186</v>
      </c>
      <c r="N72" s="65" t="n">
        <f aca="false">INDEX(IF_HoldEcon,1,N$7)</f>
        <v>20.6780894215396</v>
      </c>
      <c r="O72" s="65" t="n">
        <f aca="false">INDEX(IF_HoldEcon,1,O$7)</f>
        <v>10.9036999386122</v>
      </c>
      <c r="P72" s="65" t="n">
        <f aca="false">INDEX(IF_HoldEcon,1,P$7)</f>
        <v>16.7672676161495</v>
      </c>
      <c r="Q72" s="65" t="n">
        <f aca="false">INDEX(IF_HoldEcon,1,Q$7)</f>
        <v>30.7801210005857</v>
      </c>
    </row>
    <row r="73" customFormat="false" ht="15" hidden="false" customHeight="false" outlineLevel="0" collapsed="false">
      <c r="A73" s="5" t="s">
        <v>1363</v>
      </c>
      <c r="B73" s="53" t="s">
        <v>73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1364</v>
      </c>
      <c r="B74" s="53" t="s">
        <v>738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82" t="s">
        <v>1365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customFormat="false" ht="15" hidden="false" customHeight="false" outlineLevel="0" collapsed="false">
      <c r="A77" s="10" t="s">
        <v>1366</v>
      </c>
      <c r="C77" s="72" t="str">
        <f aca="false">Workload!C4</f>
        <v>一般聊天</v>
      </c>
      <c r="D77" s="72" t="str">
        <f aca="false">Workload!D4</f>
        <v>推理聊天</v>
      </c>
      <c r="E77" s="72" t="str">
        <f aca="false">Workload!E4</f>
        <v>單代理（工具迴圈）</v>
      </c>
      <c r="F77" s="72" t="str">
        <f aca="false">Workload!F4</f>
        <v>多代理研究</v>
      </c>
      <c r="G77" s="72" t="str">
        <f aca="false">Workload!G4</f>
        <v>Coding agent（長程）</v>
      </c>
    </row>
    <row r="78" customFormat="false" ht="15" hidden="false" customHeight="false" outlineLevel="0" collapsed="false">
      <c r="A78" s="53" t="s">
        <v>1367</v>
      </c>
      <c r="B78" s="53" t="s">
        <v>373</v>
      </c>
      <c r="C78" s="154" t="n">
        <f aca="false">(Workload!C32*INDEX(B4_EffIn,1,1)+Workload!C33*INDEX(B4_EffCache,1,1)+Workload!C34*INDEX(B4_EffOut,1,1))/1000000</f>
        <v>0.000328</v>
      </c>
      <c r="D78" s="154" t="n">
        <f aca="false">(Workload!D32*INDEX(B4_EffIn,1,1)+Workload!D33*INDEX(B4_EffCache,1,1)+Workload!D34*INDEX(B4_EffOut,1,1))/1000000</f>
        <v>0.001608</v>
      </c>
      <c r="E78" s="154" t="n">
        <f aca="false">(Workload!E32*INDEX(B4_EffIn,1,1)+Workload!E33*INDEX(B4_EffCache,1,1)+Workload!E34*INDEX(B4_EffOut,1,1))/1000000</f>
        <v>0.00165408</v>
      </c>
      <c r="F78" s="154" t="n">
        <f aca="false">(Workload!F32*INDEX(B4_EffIn,1,1)+Workload!F33*INDEX(B4_EffCache,1,1)+Workload!F34*INDEX(B4_EffOut,1,1))/1000000</f>
        <v>0.00661632</v>
      </c>
      <c r="G78" s="154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1368</v>
      </c>
      <c r="B79" s="53" t="s">
        <v>373</v>
      </c>
      <c r="C79" s="154" t="n">
        <f aca="false">(Workload!C32*INDEX(B4_EffIn,1,2)+Workload!C33*INDEX(B4_EffCache,1,2)+Workload!C34*INDEX(B4_EffOut,1,2))/1000000</f>
        <v>0.00656</v>
      </c>
      <c r="D79" s="154" t="n">
        <f aca="false">(Workload!D32*INDEX(B4_EffIn,1,2)+Workload!D33*INDEX(B4_EffCache,1,2)+Workload!D34*INDEX(B4_EffOut,1,2))/1000000</f>
        <v>0.03216</v>
      </c>
      <c r="E79" s="154" t="n">
        <f aca="false">(Workload!E32*INDEX(B4_EffIn,1,2)+Workload!E33*INDEX(B4_EffCache,1,2)+Workload!E34*INDEX(B4_EffOut,1,2))/1000000</f>
        <v>0.0330816</v>
      </c>
      <c r="F79" s="154" t="n">
        <f aca="false">(Workload!F32*INDEX(B4_EffIn,1,2)+Workload!F33*INDEX(B4_EffCache,1,2)+Workload!F34*INDEX(B4_EffOut,1,2))/1000000</f>
        <v>0.1323264</v>
      </c>
      <c r="G79" s="154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1369</v>
      </c>
      <c r="B80" s="53" t="s">
        <v>373</v>
      </c>
      <c r="C80" s="154" t="n">
        <f aca="false">(Workload!C32*INDEX(B4_EffIn,1,3)+Workload!C33*INDEX(B4_EffCache,1,3)+Workload!C34*INDEX(B4_EffOut,1,3))/1000000</f>
        <v>0.0328</v>
      </c>
      <c r="D80" s="154" t="n">
        <f aca="false">(Workload!D32*INDEX(B4_EffIn,1,3)+Workload!D33*INDEX(B4_EffCache,1,3)+Workload!D34*INDEX(B4_EffOut,1,3))/1000000</f>
        <v>0.1608</v>
      </c>
      <c r="E80" s="154" t="n">
        <f aca="false">(Workload!E32*INDEX(B4_EffIn,1,3)+Workload!E33*INDEX(B4_EffCache,1,3)+Workload!E34*INDEX(B4_EffOut,1,3))/1000000</f>
        <v>0.165408</v>
      </c>
      <c r="F80" s="154" t="n">
        <f aca="false">(Workload!F32*INDEX(B4_EffIn,1,3)+Workload!F33*INDEX(B4_EffCache,1,3)+Workload!F34*INDEX(B4_EffOut,1,3))/1000000</f>
        <v>0.661632</v>
      </c>
      <c r="G80" s="154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1370</v>
      </c>
      <c r="B81" s="53" t="s">
        <v>73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1371</v>
      </c>
      <c r="B82" s="53" t="s">
        <v>73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1372</v>
      </c>
      <c r="B83" s="53" t="s">
        <v>73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1373</v>
      </c>
      <c r="B84" s="53" t="s">
        <v>73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1374</v>
      </c>
      <c r="B85" s="53" t="s">
        <v>73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1375</v>
      </c>
      <c r="B86" s="53" t="s">
        <v>73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4" t="s">
        <v>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9" t="s">
        <v>1377</v>
      </c>
    </row>
    <row r="2" customFormat="false" ht="15" hidden="false" customHeight="false" outlineLevel="0" collapsed="false">
      <c r="A2" s="64" t="s">
        <v>1378</v>
      </c>
    </row>
    <row r="4" customFormat="false" ht="29.85" hidden="false" customHeight="false" outlineLevel="0" collapsed="false">
      <c r="A4" s="74" t="s">
        <v>1379</v>
      </c>
      <c r="B4" s="74" t="s">
        <v>277</v>
      </c>
      <c r="C4" s="75" t="s">
        <v>1380</v>
      </c>
      <c r="D4" s="74" t="s">
        <v>1381</v>
      </c>
      <c r="E4" s="74" t="s">
        <v>1382</v>
      </c>
      <c r="F4" s="74" t="s">
        <v>1381</v>
      </c>
      <c r="G4" s="74" t="s">
        <v>278</v>
      </c>
    </row>
    <row r="5" customFormat="false" ht="15" hidden="false" customHeight="false" outlineLevel="0" collapsed="false">
      <c r="A5" s="52" t="s">
        <v>55</v>
      </c>
      <c r="B5" s="103" t="s">
        <v>554</v>
      </c>
      <c r="C5" s="145" t="n">
        <f aca="false">Theory_Rev!M33*D5</f>
        <v>19.0462287690228</v>
      </c>
      <c r="D5" s="67" t="n">
        <f aca="false">1</f>
        <v>1</v>
      </c>
      <c r="E5" s="155" t="n">
        <f aca="false">Theory_Rev!M73*F5</f>
        <v>4.07375425550952</v>
      </c>
      <c r="F5" s="67" t="n">
        <f aca="false">1</f>
        <v>1</v>
      </c>
      <c r="G5" s="78" t="s">
        <v>1383</v>
      </c>
    </row>
    <row r="6" customFormat="false" ht="15" hidden="false" customHeight="false" outlineLevel="0" collapsed="false">
      <c r="A6" s="52" t="s">
        <v>1384</v>
      </c>
      <c r="B6" s="57" t="n">
        <v>0.4</v>
      </c>
      <c r="C6" s="145" t="n">
        <f aca="false">Theory_Rev!M33*D6</f>
        <v>12.6974858460152</v>
      </c>
      <c r="D6" s="67" t="n">
        <f aca="false">B6/IF_Util</f>
        <v>0.666666666666667</v>
      </c>
      <c r="E6" s="155" t="n">
        <f aca="false">Theory_Rev!M73*F6</f>
        <v>2.71583617033968</v>
      </c>
      <c r="F6" s="67" t="n">
        <f aca="false">B6/IF_Util</f>
        <v>0.666666666666667</v>
      </c>
      <c r="G6" s="85" t="s">
        <v>1385</v>
      </c>
    </row>
    <row r="7" customFormat="false" ht="15" hidden="false" customHeight="false" outlineLevel="0" collapsed="false">
      <c r="A7" s="52" t="s">
        <v>1386</v>
      </c>
      <c r="B7" s="57" t="n">
        <v>0.8</v>
      </c>
      <c r="C7" s="145" t="n">
        <f aca="false">Theory_Rev!M33*D7</f>
        <v>25.3949716920304</v>
      </c>
      <c r="D7" s="67" t="n">
        <f aca="false">B7/IF_Util</f>
        <v>1.33333333333333</v>
      </c>
      <c r="E7" s="155" t="n">
        <f aca="false">Theory_Rev!M73*F7</f>
        <v>5.43167234067936</v>
      </c>
      <c r="F7" s="67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1387</v>
      </c>
      <c r="B8" s="57" t="n">
        <v>0.1</v>
      </c>
      <c r="C8" s="145" t="n">
        <f aca="false">Theory_Rev!M33*D8</f>
        <v>21.4270073651506</v>
      </c>
      <c r="D8" s="67" t="n">
        <f aca="false">(1-B8)/(1-B4_Disc)</f>
        <v>1.125</v>
      </c>
      <c r="E8" s="155" t="n">
        <f aca="false">Theory_Rev!M73*F8</f>
        <v>4.58297353744821</v>
      </c>
      <c r="F8" s="67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1388</v>
      </c>
      <c r="B9" s="57" t="n">
        <v>0.3</v>
      </c>
      <c r="C9" s="145" t="n">
        <f aca="false">Theory_Rev!M33*D9</f>
        <v>16.6654501728949</v>
      </c>
      <c r="D9" s="67" t="n">
        <f aca="false">(1-B9)/(1-B4_Disc)</f>
        <v>0.875</v>
      </c>
      <c r="E9" s="155" t="n">
        <f aca="false">Theory_Rev!M73*F9</f>
        <v>3.56453497357083</v>
      </c>
      <c r="F9" s="67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1389</v>
      </c>
      <c r="B10" s="57" t="n">
        <v>0.3</v>
      </c>
      <c r="C10" s="145" t="n">
        <f aca="false">Theory_Rev!M33*D10</f>
        <v>22.8386194531202</v>
      </c>
      <c r="D10" s="67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554</v>
      </c>
      <c r="F10" s="53" t="s">
        <v>554</v>
      </c>
      <c r="G10" s="85" t="s">
        <v>1390</v>
      </c>
    </row>
    <row r="11" customFormat="false" ht="15" hidden="false" customHeight="false" outlineLevel="0" collapsed="false">
      <c r="A11" s="52" t="s">
        <v>1391</v>
      </c>
      <c r="B11" s="57" t="n">
        <v>0.75</v>
      </c>
      <c r="C11" s="145" t="n">
        <f aca="false">Theory_Rev!M33*D11</f>
        <v>16.0123162217448</v>
      </c>
      <c r="D11" s="67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554</v>
      </c>
      <c r="F11" s="53" t="s">
        <v>554</v>
      </c>
      <c r="G11" s="85"/>
    </row>
    <row r="12" customFormat="false" ht="15" hidden="false" customHeight="false" outlineLevel="0" collapsed="false">
      <c r="A12" s="52" t="s">
        <v>1392</v>
      </c>
      <c r="B12" s="57" t="n">
        <v>0.3</v>
      </c>
      <c r="C12" s="145" t="n">
        <f aca="false">Theory_Rev!M33*D12</f>
        <v>19.0462287690228</v>
      </c>
      <c r="D12" s="67" t="n">
        <f aca="false">1</f>
        <v>1</v>
      </c>
      <c r="E12" s="155" t="n">
        <f aca="false">Theory_Rev!M73*F12</f>
        <v>2.98079579671428</v>
      </c>
      <c r="F12" s="67" t="n">
        <f aca="false">B12/B4_Serve</f>
        <v>0.731707317073171</v>
      </c>
      <c r="G12" s="85" t="s">
        <v>1393</v>
      </c>
    </row>
    <row r="13" customFormat="false" ht="15" hidden="false" customHeight="false" outlineLevel="0" collapsed="false">
      <c r="A13" s="52" t="s">
        <v>1394</v>
      </c>
      <c r="B13" s="57" t="n">
        <v>0.6</v>
      </c>
      <c r="C13" s="145" t="n">
        <f aca="false">Theory_Rev!M33*D13</f>
        <v>19.0462287690228</v>
      </c>
      <c r="D13" s="67" t="n">
        <f aca="false">1</f>
        <v>1</v>
      </c>
      <c r="E13" s="155" t="n">
        <f aca="false">Theory_Rev!M73*F13</f>
        <v>5.96159159342857</v>
      </c>
      <c r="F13" s="67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1395</v>
      </c>
      <c r="B14" s="57" t="n">
        <v>0.35</v>
      </c>
      <c r="C14" s="145" t="n">
        <f aca="false">Theory_Rev!M33*D14</f>
        <v>19.0462287690228</v>
      </c>
      <c r="D14" s="67" t="n">
        <f aca="false">1</f>
        <v>1</v>
      </c>
      <c r="E14" s="155" t="n">
        <f aca="false">Theory_Rev!M73*F14</f>
        <v>4.90359308533554</v>
      </c>
      <c r="F14" s="67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1396</v>
      </c>
      <c r="B15" s="57" t="n">
        <v>0.6</v>
      </c>
      <c r="C15" s="145" t="n">
        <f aca="false">Theory_Rev!M33*D15</f>
        <v>19.0462287690228</v>
      </c>
      <c r="D15" s="67" t="n">
        <f aca="false">1</f>
        <v>1</v>
      </c>
      <c r="E15" s="155" t="n">
        <f aca="false">Theory_Rev!M73*F15</f>
        <v>3.01759574482187</v>
      </c>
      <c r="F15" s="67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1397</v>
      </c>
      <c r="B16" s="103" t="s">
        <v>554</v>
      </c>
      <c r="C16" s="145" t="n">
        <f aca="false">Theory_Rev!M33*D16</f>
        <v>19.0462287690228</v>
      </c>
      <c r="D16" s="67" t="n">
        <f aca="false">INDEX(B4_FrontRef,1,2)/INDEX(B4_EffRef,1,2)</f>
        <v>1</v>
      </c>
      <c r="E16" s="53" t="s">
        <v>554</v>
      </c>
      <c r="F16" s="53" t="s">
        <v>554</v>
      </c>
      <c r="G16" s="78" t="s">
        <v>1398</v>
      </c>
    </row>
    <row r="17" customFormat="false" ht="15" hidden="false" customHeight="false" outlineLevel="0" collapsed="false">
      <c r="A17" s="53" t="s">
        <v>1399</v>
      </c>
      <c r="B17" s="58" t="n">
        <v>7</v>
      </c>
      <c r="C17" s="145" t="n">
        <f aca="false">Theory_Rev!M33*D17</f>
        <v>50.3915847364781</v>
      </c>
      <c r="D17" s="89" t="n">
        <f aca="false">EXP(0.5*LN(B17))/Price_Frontier!D38</f>
        <v>2.64575131106459</v>
      </c>
      <c r="E17" s="155" t="n">
        <f aca="false">Theory_Rev!M73*F17</f>
        <v>10.7781406624693</v>
      </c>
      <c r="F17" s="89" t="n">
        <f aca="false">EXP(0.5*LN(B17))/Price_Frontier!D38</f>
        <v>2.64575131106459</v>
      </c>
      <c r="G17" s="78" t="s">
        <v>1400</v>
      </c>
    </row>
    <row r="19" customFormat="false" ht="15" hidden="false" customHeight="false" outlineLevel="0" collapsed="false">
      <c r="A19" s="10" t="s">
        <v>1401</v>
      </c>
    </row>
    <row r="20" customFormat="false" ht="15" hidden="false" customHeight="false" outlineLevel="0" collapsed="false">
      <c r="A20" s="52" t="s">
        <v>1402</v>
      </c>
      <c r="B20" s="58" t="n">
        <v>6</v>
      </c>
      <c r="C20" s="156" t="n">
        <f aca="false">Amortize!M22*INDEX(B4_Life,1,2)/B20</f>
        <v>0.00753902045272325</v>
      </c>
      <c r="D20" s="89" t="n">
        <f aca="false">C20/Amortize!M22</f>
        <v>2</v>
      </c>
      <c r="G20" s="50" t="s">
        <v>1403</v>
      </c>
    </row>
    <row r="21" customFormat="false" ht="15" hidden="false" customHeight="false" outlineLevel="0" collapsed="false">
      <c r="A21" s="52" t="s">
        <v>1404</v>
      </c>
      <c r="B21" s="58" t="n">
        <v>24</v>
      </c>
      <c r="C21" s="156" t="n">
        <f aca="false">Amortize!M22*INDEX(B4_Life,1,2)/B21</f>
        <v>0.00188475511318081</v>
      </c>
      <c r="D21" s="89" t="n">
        <f aca="false">C21/Amortize!M22</f>
        <v>0.5</v>
      </c>
      <c r="G21" s="50" t="s">
        <v>1403</v>
      </c>
    </row>
    <row r="23" customFormat="false" ht="15" hidden="false" customHeight="false" outlineLevel="0" collapsed="false">
      <c r="A23" s="64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9" t="s">
        <v>1406</v>
      </c>
    </row>
    <row r="2" customFormat="false" ht="15" hidden="false" customHeight="false" outlineLevel="0" collapsed="false">
      <c r="A2" s="64" t="s">
        <v>1407</v>
      </c>
    </row>
    <row r="4" customFormat="false" ht="15" hidden="false" customHeight="false" outlineLevel="0" collapsed="false">
      <c r="A4" s="82" t="s">
        <v>1408</v>
      </c>
      <c r="B4" s="60"/>
      <c r="C4" s="60"/>
      <c r="D4" s="60"/>
      <c r="E4" s="60"/>
      <c r="F4" s="60"/>
      <c r="G4" s="60"/>
      <c r="H4" s="60"/>
      <c r="I4" s="60"/>
    </row>
    <row r="5" customFormat="false" ht="15" hidden="false" customHeight="false" outlineLevel="0" collapsed="false">
      <c r="A5" s="52" t="s">
        <v>1409</v>
      </c>
      <c r="B5" s="52" t="s">
        <v>65</v>
      </c>
      <c r="C5" s="58" t="n">
        <v>2</v>
      </c>
      <c r="H5" s="50" t="s">
        <v>62</v>
      </c>
      <c r="I5" s="64" t="s">
        <v>1410</v>
      </c>
    </row>
    <row r="6" customFormat="false" ht="15" hidden="false" customHeight="false" outlineLevel="0" collapsed="false">
      <c r="A6" s="52" t="s">
        <v>1411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1412</v>
      </c>
      <c r="B7" s="53" t="s">
        <v>73</v>
      </c>
      <c r="C7" s="155" t="n">
        <f aca="false">Tech_Registry!O16*Tech_Registry!N16</f>
        <v>0</v>
      </c>
      <c r="I7" s="50" t="s">
        <v>1413</v>
      </c>
    </row>
    <row r="8" customFormat="false" ht="15" hidden="false" customHeight="false" outlineLevel="0" collapsed="false">
      <c r="A8" s="52" t="s">
        <v>1414</v>
      </c>
      <c r="B8" s="53" t="s">
        <v>69</v>
      </c>
      <c r="C8" s="57" t="n">
        <v>0.5</v>
      </c>
      <c r="H8" s="50" t="s">
        <v>62</v>
      </c>
      <c r="I8" s="50" t="s">
        <v>1415</v>
      </c>
    </row>
    <row r="9" customFormat="false" ht="15" hidden="false" customHeight="false" outlineLevel="0" collapsed="false">
      <c r="A9" s="82" t="s">
        <v>1416</v>
      </c>
      <c r="B9" s="60"/>
      <c r="C9" s="60"/>
      <c r="D9" s="60"/>
      <c r="E9" s="60"/>
      <c r="F9" s="60"/>
      <c r="G9" s="60"/>
      <c r="H9" s="60"/>
      <c r="I9" s="60"/>
    </row>
    <row r="10" customFormat="false" ht="15" hidden="false" customHeight="false" outlineLevel="0" collapsed="false">
      <c r="A10" s="10" t="s">
        <v>1417</v>
      </c>
    </row>
    <row r="11" customFormat="false" ht="30" hidden="false" customHeight="true" outlineLevel="0" collapsed="false">
      <c r="A11" s="10" t="s">
        <v>52</v>
      </c>
      <c r="B11" s="10" t="s">
        <v>53</v>
      </c>
      <c r="C11" s="157" t="str">
        <f aca="false">Workload!C4</f>
        <v>一般聊天</v>
      </c>
      <c r="D11" s="157" t="str">
        <f aca="false">Workload!D4</f>
        <v>推理聊天</v>
      </c>
      <c r="E11" s="157" t="str">
        <f aca="false">Workload!E4</f>
        <v>單代理（工具迴圈）</v>
      </c>
      <c r="F11" s="157" t="str">
        <f aca="false">Workload!F4</f>
        <v>多代理研究</v>
      </c>
      <c r="G11" s="157" t="str">
        <f aca="false">Workload!G4</f>
        <v>Coding agent（長程）</v>
      </c>
      <c r="H11" s="10" t="s">
        <v>57</v>
      </c>
      <c r="I11" s="10" t="s">
        <v>278</v>
      </c>
    </row>
    <row r="12" customFormat="false" ht="26.85" hidden="false" customHeight="false" outlineLevel="0" collapsed="false">
      <c r="A12" s="52" t="s">
        <v>1418</v>
      </c>
      <c r="B12" s="53" t="s">
        <v>73</v>
      </c>
      <c r="C12" s="69" t="n">
        <v>1</v>
      </c>
      <c r="D12" s="69" t="n">
        <v>1</v>
      </c>
      <c r="E12" s="69" t="n">
        <v>0.7</v>
      </c>
      <c r="F12" s="69" t="n">
        <v>0.7</v>
      </c>
      <c r="G12" s="69" t="n">
        <v>0.7</v>
      </c>
      <c r="H12" s="50" t="s">
        <v>70</v>
      </c>
      <c r="I12" s="85" t="s">
        <v>1419</v>
      </c>
    </row>
    <row r="13" customFormat="false" ht="15" hidden="false" customHeight="false" outlineLevel="0" collapsed="false">
      <c r="A13" s="52" t="s">
        <v>1420</v>
      </c>
      <c r="B13" s="53" t="s">
        <v>69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50" t="s">
        <v>1421</v>
      </c>
      <c r="I13" s="78" t="s">
        <v>1422</v>
      </c>
    </row>
    <row r="14" customFormat="false" ht="15" hidden="false" customHeight="false" outlineLevel="0" collapsed="false">
      <c r="A14" s="52" t="s">
        <v>1423</v>
      </c>
      <c r="B14" s="53" t="s">
        <v>73</v>
      </c>
      <c r="C14" s="69" t="n">
        <v>1</v>
      </c>
      <c r="D14" s="69" t="n">
        <v>1</v>
      </c>
      <c r="E14" s="69" t="n">
        <v>0.8</v>
      </c>
      <c r="F14" s="69" t="n">
        <v>0.8</v>
      </c>
      <c r="G14" s="69" t="n">
        <v>0.8</v>
      </c>
      <c r="H14" s="50" t="s">
        <v>70</v>
      </c>
      <c r="I14" s="85" t="s">
        <v>1424</v>
      </c>
    </row>
    <row r="15" customFormat="false" ht="15" hidden="false" customHeight="false" outlineLevel="0" collapsed="false">
      <c r="A15" s="52" t="s">
        <v>1425</v>
      </c>
      <c r="B15" s="53" t="s">
        <v>73</v>
      </c>
      <c r="C15" s="69" t="n">
        <v>1</v>
      </c>
      <c r="D15" s="69" t="n">
        <v>1</v>
      </c>
      <c r="E15" s="69" t="n">
        <v>0.7</v>
      </c>
      <c r="F15" s="69" t="n">
        <v>0.7</v>
      </c>
      <c r="G15" s="69" t="n">
        <v>0.7</v>
      </c>
      <c r="H15" s="50" t="s">
        <v>70</v>
      </c>
      <c r="I15" s="85" t="s">
        <v>1426</v>
      </c>
    </row>
    <row r="16" customFormat="false" ht="15" hidden="false" customHeight="false" outlineLevel="0" collapsed="false">
      <c r="A16" s="52" t="s">
        <v>1427</v>
      </c>
      <c r="B16" s="52" t="s">
        <v>1428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50" t="s">
        <v>70</v>
      </c>
      <c r="I16" s="85" t="s">
        <v>1429</v>
      </c>
    </row>
    <row r="17" customFormat="false" ht="15" hidden="false" customHeight="false" outlineLevel="0" collapsed="false">
      <c r="A17" s="52" t="s">
        <v>1430</v>
      </c>
      <c r="B17" s="52" t="s">
        <v>340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50" t="s">
        <v>70</v>
      </c>
      <c r="I17" s="85" t="s">
        <v>1431</v>
      </c>
    </row>
    <row r="18" customFormat="false" ht="15" hidden="false" customHeight="false" outlineLevel="0" collapsed="false">
      <c r="A18" s="52" t="s">
        <v>1432</v>
      </c>
      <c r="B18" s="53" t="s">
        <v>1091</v>
      </c>
      <c r="C18" s="143" t="n">
        <v>0.0833333333333333</v>
      </c>
      <c r="D18" s="143" t="n">
        <v>0.0833333333333333</v>
      </c>
      <c r="E18" s="143" t="n">
        <v>0.67</v>
      </c>
      <c r="F18" s="143" t="n">
        <v>0.67</v>
      </c>
      <c r="G18" s="143" t="n">
        <v>0.67</v>
      </c>
      <c r="H18" s="50" t="s">
        <v>74</v>
      </c>
      <c r="I18" s="78" t="s">
        <v>1433</v>
      </c>
    </row>
    <row r="19" customFormat="false" ht="26.85" hidden="false" customHeight="false" outlineLevel="0" collapsed="false">
      <c r="A19" s="52" t="s">
        <v>1434</v>
      </c>
      <c r="B19" s="53" t="s">
        <v>73</v>
      </c>
      <c r="C19" s="69" t="n">
        <v>1</v>
      </c>
      <c r="D19" s="69" t="n">
        <v>1</v>
      </c>
      <c r="E19" s="69" t="n">
        <v>1.2</v>
      </c>
      <c r="F19" s="69" t="n">
        <v>2</v>
      </c>
      <c r="G19" s="69" t="n">
        <v>2</v>
      </c>
      <c r="H19" s="50" t="s">
        <v>70</v>
      </c>
      <c r="I19" s="78" t="s">
        <v>1435</v>
      </c>
    </row>
    <row r="20" customFormat="false" ht="15" hidden="false" customHeight="false" outlineLevel="0" collapsed="false">
      <c r="A20" s="52" t="s">
        <v>1436</v>
      </c>
      <c r="B20" s="52" t="s">
        <v>1277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50" t="s">
        <v>105</v>
      </c>
      <c r="I20" s="85" t="s">
        <v>1437</v>
      </c>
    </row>
    <row r="22" customFormat="false" ht="15" hidden="false" customHeight="false" outlineLevel="0" collapsed="false">
      <c r="A22" s="10" t="s">
        <v>1438</v>
      </c>
    </row>
    <row r="23" customFormat="false" ht="30" hidden="false" customHeight="true" outlineLevel="0" collapsed="false">
      <c r="A23" s="10" t="s">
        <v>52</v>
      </c>
      <c r="B23" s="10" t="s">
        <v>53</v>
      </c>
      <c r="C23" s="157" t="str">
        <f aca="false">Workload!C4</f>
        <v>一般聊天</v>
      </c>
      <c r="D23" s="157" t="str">
        <f aca="false">Workload!D4</f>
        <v>推理聊天</v>
      </c>
      <c r="E23" s="157" t="str">
        <f aca="false">Workload!E4</f>
        <v>單代理（工具迴圈）</v>
      </c>
      <c r="F23" s="157" t="str">
        <f aca="false">Workload!F4</f>
        <v>多代理研究</v>
      </c>
      <c r="G23" s="157" t="str">
        <f aca="false">Workload!G4</f>
        <v>Coding agent（長程）</v>
      </c>
      <c r="H23" s="10" t="s">
        <v>57</v>
      </c>
      <c r="I23" s="10" t="s">
        <v>278</v>
      </c>
    </row>
    <row r="24" customFormat="false" ht="15" hidden="false" customHeight="false" outlineLevel="0" collapsed="false">
      <c r="A24" s="52" t="s">
        <v>1418</v>
      </c>
      <c r="B24" s="53" t="s">
        <v>73</v>
      </c>
      <c r="C24" s="69" t="n">
        <v>1</v>
      </c>
      <c r="D24" s="69" t="n">
        <v>1</v>
      </c>
      <c r="E24" s="69" t="n">
        <v>1</v>
      </c>
      <c r="F24" s="69" t="n">
        <v>1</v>
      </c>
      <c r="G24" s="69" t="n">
        <v>1</v>
      </c>
      <c r="H24" s="50" t="s">
        <v>70</v>
      </c>
      <c r="I24" s="85"/>
    </row>
    <row r="25" customFormat="false" ht="15" hidden="false" customHeight="false" outlineLevel="0" collapsed="false">
      <c r="A25" s="52" t="s">
        <v>1420</v>
      </c>
      <c r="B25" s="53" t="s">
        <v>69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50" t="s">
        <v>70</v>
      </c>
      <c r="I25" s="85"/>
    </row>
    <row r="26" customFormat="false" ht="15" hidden="false" customHeight="false" outlineLevel="0" collapsed="false">
      <c r="A26" s="52" t="s">
        <v>1423</v>
      </c>
      <c r="B26" s="53" t="s">
        <v>73</v>
      </c>
      <c r="C26" s="69" t="n">
        <v>1</v>
      </c>
      <c r="D26" s="69" t="n">
        <v>1</v>
      </c>
      <c r="E26" s="69" t="n">
        <v>1</v>
      </c>
      <c r="F26" s="69" t="n">
        <v>1</v>
      </c>
      <c r="G26" s="69" t="n">
        <v>1</v>
      </c>
      <c r="H26" s="50" t="s">
        <v>70</v>
      </c>
      <c r="I26" s="85"/>
    </row>
    <row r="27" customFormat="false" ht="15" hidden="false" customHeight="false" outlineLevel="0" collapsed="false">
      <c r="A27" s="52" t="s">
        <v>1425</v>
      </c>
      <c r="B27" s="53" t="s">
        <v>73</v>
      </c>
      <c r="C27" s="69" t="n">
        <v>1</v>
      </c>
      <c r="D27" s="69" t="n">
        <v>1</v>
      </c>
      <c r="E27" s="69" t="n">
        <v>1</v>
      </c>
      <c r="F27" s="69" t="n">
        <v>1</v>
      </c>
      <c r="G27" s="69" t="n">
        <v>1</v>
      </c>
      <c r="H27" s="50" t="s">
        <v>70</v>
      </c>
      <c r="I27" s="85"/>
    </row>
    <row r="28" customFormat="false" ht="15" hidden="false" customHeight="false" outlineLevel="0" collapsed="false">
      <c r="A28" s="52" t="s">
        <v>1427</v>
      </c>
      <c r="B28" s="52" t="s">
        <v>1428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50" t="s">
        <v>70</v>
      </c>
      <c r="I28" s="85"/>
    </row>
    <row r="29" customFormat="false" ht="26.85" hidden="false" customHeight="false" outlineLevel="0" collapsed="false">
      <c r="A29" s="52" t="s">
        <v>1430</v>
      </c>
      <c r="B29" s="52" t="s">
        <v>340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50" t="s">
        <v>74</v>
      </c>
      <c r="I29" s="78" t="s">
        <v>1439</v>
      </c>
    </row>
    <row r="30" customFormat="false" ht="15" hidden="false" customHeight="false" outlineLevel="0" collapsed="false">
      <c r="A30" s="52" t="s">
        <v>1432</v>
      </c>
      <c r="B30" s="53" t="s">
        <v>1091</v>
      </c>
      <c r="C30" s="143" t="n">
        <v>0.0833333333333333</v>
      </c>
      <c r="D30" s="143" t="n">
        <v>0.0833333333333333</v>
      </c>
      <c r="E30" s="143" t="n">
        <v>0.0833333333333333</v>
      </c>
      <c r="F30" s="143" t="n">
        <v>0.0833333333333333</v>
      </c>
      <c r="G30" s="143" t="n">
        <v>0.0833333333333333</v>
      </c>
      <c r="H30" s="50" t="s">
        <v>70</v>
      </c>
      <c r="I30" s="85"/>
    </row>
    <row r="31" customFormat="false" ht="15" hidden="false" customHeight="false" outlineLevel="0" collapsed="false">
      <c r="A31" s="52" t="s">
        <v>1434</v>
      </c>
      <c r="B31" s="53" t="s">
        <v>73</v>
      </c>
      <c r="C31" s="69" t="n">
        <v>1</v>
      </c>
      <c r="D31" s="69" t="n">
        <v>1</v>
      </c>
      <c r="E31" s="69" t="n">
        <v>1.2</v>
      </c>
      <c r="F31" s="69" t="n">
        <v>1.5</v>
      </c>
      <c r="G31" s="69" t="n">
        <v>1.5</v>
      </c>
      <c r="H31" s="50" t="s">
        <v>70</v>
      </c>
      <c r="I31" s="78" t="s">
        <v>1440</v>
      </c>
    </row>
    <row r="32" customFormat="false" ht="15" hidden="false" customHeight="false" outlineLevel="0" collapsed="false">
      <c r="A32" s="52" t="s">
        <v>1436</v>
      </c>
      <c r="B32" s="52" t="s">
        <v>1277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50" t="s">
        <v>70</v>
      </c>
      <c r="I32" s="85" t="s">
        <v>1441</v>
      </c>
    </row>
    <row r="34" customFormat="false" ht="15" hidden="false" customHeight="false" outlineLevel="0" collapsed="false">
      <c r="A34" s="10" t="s">
        <v>1442</v>
      </c>
    </row>
    <row r="35" customFormat="false" ht="30" hidden="false" customHeight="true" outlineLevel="0" collapsed="false">
      <c r="A35" s="10" t="s">
        <v>52</v>
      </c>
      <c r="B35" s="10" t="s">
        <v>53</v>
      </c>
      <c r="C35" s="157" t="str">
        <f aca="false">Workload!C4</f>
        <v>一般聊天</v>
      </c>
      <c r="D35" s="157" t="str">
        <f aca="false">Workload!D4</f>
        <v>推理聊天</v>
      </c>
      <c r="E35" s="157" t="str">
        <f aca="false">Workload!E4</f>
        <v>單代理（工具迴圈）</v>
      </c>
      <c r="F35" s="157" t="str">
        <f aca="false">Workload!F4</f>
        <v>多代理研究</v>
      </c>
      <c r="G35" s="157" t="str">
        <f aca="false">Workload!G4</f>
        <v>Coding agent（長程）</v>
      </c>
    </row>
    <row r="36" customFormat="false" ht="15" hidden="false" customHeight="false" outlineLevel="0" collapsed="false">
      <c r="A36" s="52" t="s">
        <v>1418</v>
      </c>
      <c r="B36" s="53" t="s">
        <v>73</v>
      </c>
      <c r="C36" s="67" t="n">
        <f aca="false">CHOOSE(B5_Profile-1,C12,C24)</f>
        <v>1</v>
      </c>
      <c r="D36" s="67" t="n">
        <f aca="false">CHOOSE(B5_Profile-1,D12,D24)</f>
        <v>1</v>
      </c>
      <c r="E36" s="67" t="n">
        <f aca="false">CHOOSE(B5_Profile-1,E12,E24)</f>
        <v>0.7</v>
      </c>
      <c r="F36" s="67" t="n">
        <f aca="false">CHOOSE(B5_Profile-1,F12,F24)</f>
        <v>0.7</v>
      </c>
      <c r="G36" s="67" t="n">
        <f aca="false">CHOOSE(B5_Profile-1,G12,G24)</f>
        <v>0.7</v>
      </c>
    </row>
    <row r="37" customFormat="false" ht="15" hidden="false" customHeight="false" outlineLevel="0" collapsed="false">
      <c r="A37" s="52" t="s">
        <v>1420</v>
      </c>
      <c r="B37" s="53" t="s">
        <v>69</v>
      </c>
      <c r="C37" s="76" t="n">
        <f aca="false">CHOOSE(B5_Profile-1,C13,C25)</f>
        <v>0</v>
      </c>
      <c r="D37" s="76" t="n">
        <f aca="false">CHOOSE(B5_Profile-1,D13,D25)</f>
        <v>0</v>
      </c>
      <c r="E37" s="76" t="n">
        <f aca="false">CHOOSE(B5_Profile-1,E13,E25)</f>
        <v>1</v>
      </c>
      <c r="F37" s="76" t="n">
        <f aca="false">CHOOSE(B5_Profile-1,F13,F25)</f>
        <v>1</v>
      </c>
      <c r="G37" s="76" t="n">
        <f aca="false">CHOOSE(B5_Profile-1,G13,G25)</f>
        <v>1</v>
      </c>
    </row>
    <row r="38" customFormat="false" ht="15" hidden="false" customHeight="false" outlineLevel="0" collapsed="false">
      <c r="A38" s="52" t="s">
        <v>1423</v>
      </c>
      <c r="B38" s="53" t="s">
        <v>73</v>
      </c>
      <c r="C38" s="67" t="n">
        <f aca="false">CHOOSE(B5_Profile-1,C14,C26)</f>
        <v>1</v>
      </c>
      <c r="D38" s="67" t="n">
        <f aca="false">CHOOSE(B5_Profile-1,D14,D26)</f>
        <v>1</v>
      </c>
      <c r="E38" s="67" t="n">
        <f aca="false">CHOOSE(B5_Profile-1,E14,E26)</f>
        <v>0.8</v>
      </c>
      <c r="F38" s="67" t="n">
        <f aca="false">CHOOSE(B5_Profile-1,F14,F26)</f>
        <v>0.8</v>
      </c>
      <c r="G38" s="67" t="n">
        <f aca="false">CHOOSE(B5_Profile-1,G14,G26)</f>
        <v>0.8</v>
      </c>
    </row>
    <row r="39" customFormat="false" ht="15" hidden="false" customHeight="false" outlineLevel="0" collapsed="false">
      <c r="A39" s="52" t="s">
        <v>1425</v>
      </c>
      <c r="B39" s="53" t="s">
        <v>73</v>
      </c>
      <c r="C39" s="67" t="n">
        <f aca="false">CHOOSE(B5_Profile-1,C15,C27)</f>
        <v>1</v>
      </c>
      <c r="D39" s="67" t="n">
        <f aca="false">CHOOSE(B5_Profile-1,D15,D27)</f>
        <v>1</v>
      </c>
      <c r="E39" s="67" t="n">
        <f aca="false">CHOOSE(B5_Profile-1,E15,E27)</f>
        <v>0.7</v>
      </c>
      <c r="F39" s="67" t="n">
        <f aca="false">CHOOSE(B5_Profile-1,F15,F27)</f>
        <v>0.7</v>
      </c>
      <c r="G39" s="67" t="n">
        <f aca="false">CHOOSE(B5_Profile-1,G15,G27)</f>
        <v>0.7</v>
      </c>
    </row>
    <row r="40" customFormat="false" ht="15" hidden="false" customHeight="false" outlineLevel="0" collapsed="false">
      <c r="A40" s="52" t="s">
        <v>1427</v>
      </c>
      <c r="B40" s="52" t="s">
        <v>1428</v>
      </c>
      <c r="C40" s="76" t="n">
        <f aca="false">CHOOSE(B5_Profile-1,C16,C28)</f>
        <v>0</v>
      </c>
      <c r="D40" s="76" t="n">
        <f aca="false">CHOOSE(B5_Profile-1,D16,D28)</f>
        <v>0</v>
      </c>
      <c r="E40" s="76" t="n">
        <f aca="false">CHOOSE(B5_Profile-1,E16,E28)</f>
        <v>0</v>
      </c>
      <c r="F40" s="76" t="n">
        <f aca="false">CHOOSE(B5_Profile-1,F16,F28)</f>
        <v>0</v>
      </c>
      <c r="G40" s="76" t="n">
        <f aca="false">CHOOSE(B5_Profile-1,G16,G28)</f>
        <v>0</v>
      </c>
    </row>
    <row r="41" customFormat="false" ht="15" hidden="false" customHeight="false" outlineLevel="0" collapsed="false">
      <c r="A41" s="52" t="s">
        <v>1430</v>
      </c>
      <c r="B41" s="52" t="s">
        <v>340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1432</v>
      </c>
      <c r="B42" s="53" t="s">
        <v>1091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1434</v>
      </c>
      <c r="B43" s="53" t="s">
        <v>73</v>
      </c>
      <c r="C43" s="67" t="n">
        <f aca="false">CHOOSE(B5_Profile-1,C19,C31)</f>
        <v>1</v>
      </c>
      <c r="D43" s="67" t="n">
        <f aca="false">CHOOSE(B5_Profile-1,D19,D31)</f>
        <v>1</v>
      </c>
      <c r="E43" s="67" t="n">
        <f aca="false">CHOOSE(B5_Profile-1,E19,E31)</f>
        <v>1.2</v>
      </c>
      <c r="F43" s="67" t="n">
        <f aca="false">CHOOSE(B5_Profile-1,F19,F31)</f>
        <v>2</v>
      </c>
      <c r="G43" s="67" t="n">
        <f aca="false">CHOOSE(B5_Profile-1,G19,G31)</f>
        <v>2</v>
      </c>
    </row>
    <row r="44" customFormat="false" ht="15" hidden="false" customHeight="false" outlineLevel="0" collapsed="false">
      <c r="A44" s="52" t="s">
        <v>1436</v>
      </c>
      <c r="B44" s="52" t="s">
        <v>1277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82" t="s">
        <v>1443</v>
      </c>
      <c r="B46" s="60"/>
      <c r="C46" s="60"/>
      <c r="D46" s="60"/>
      <c r="E46" s="60"/>
      <c r="F46" s="60"/>
      <c r="G46" s="60"/>
      <c r="H46" s="60"/>
      <c r="I46" s="60"/>
    </row>
    <row r="47" customFormat="false" ht="15" hidden="false" customHeight="false" outlineLevel="0" collapsed="false">
      <c r="A47" s="10" t="s">
        <v>310</v>
      </c>
      <c r="B47" s="10" t="s">
        <v>53</v>
      </c>
      <c r="C47" s="51" t="s">
        <v>216</v>
      </c>
      <c r="D47" s="51" t="s">
        <v>217</v>
      </c>
      <c r="E47" s="51" t="s">
        <v>218</v>
      </c>
      <c r="H47" s="10" t="s">
        <v>57</v>
      </c>
      <c r="I47" s="10" t="s">
        <v>278</v>
      </c>
    </row>
    <row r="48" customFormat="false" ht="26.85" hidden="false" customHeight="false" outlineLevel="0" collapsed="false">
      <c r="A48" s="53" t="s">
        <v>1444</v>
      </c>
      <c r="B48" s="53" t="s">
        <v>1091</v>
      </c>
      <c r="C48" s="68" t="n">
        <v>1.5</v>
      </c>
      <c r="D48" s="68" t="n">
        <v>8</v>
      </c>
      <c r="E48" s="68" t="n">
        <v>16</v>
      </c>
      <c r="H48" s="50" t="s">
        <v>74</v>
      </c>
      <c r="I48" s="78" t="s">
        <v>1445</v>
      </c>
    </row>
    <row r="49" customFormat="false" ht="15" hidden="false" customHeight="false" outlineLevel="0" collapsed="false">
      <c r="A49" s="53" t="s">
        <v>1446</v>
      </c>
      <c r="B49" s="53" t="s">
        <v>1091</v>
      </c>
      <c r="C49" s="68" t="n">
        <v>0.5</v>
      </c>
      <c r="D49" s="68" t="n">
        <v>4</v>
      </c>
      <c r="E49" s="68" t="n">
        <v>11</v>
      </c>
      <c r="H49" s="50" t="s">
        <v>74</v>
      </c>
      <c r="I49" s="85"/>
    </row>
    <row r="50" customFormat="false" ht="15" hidden="false" customHeight="false" outlineLevel="0" collapsed="false">
      <c r="A50" s="53" t="s">
        <v>1447</v>
      </c>
      <c r="B50" s="53" t="s">
        <v>1091</v>
      </c>
      <c r="C50" s="68" t="n">
        <v>4</v>
      </c>
      <c r="D50" s="68" t="n">
        <v>12</v>
      </c>
      <c r="E50" s="68" t="n">
        <v>40</v>
      </c>
      <c r="H50" s="50" t="s">
        <v>74</v>
      </c>
      <c r="I50" s="78" t="s">
        <v>1448</v>
      </c>
    </row>
    <row r="51" customFormat="false" ht="26.85" hidden="false" customHeight="false" outlineLevel="0" collapsed="false">
      <c r="A51" s="52" t="s">
        <v>1449</v>
      </c>
      <c r="B51" s="53" t="s">
        <v>73</v>
      </c>
      <c r="C51" s="69" t="n">
        <v>0.75</v>
      </c>
      <c r="D51" s="69" t="n">
        <v>0.65</v>
      </c>
      <c r="E51" s="69" t="n">
        <v>1</v>
      </c>
      <c r="H51" s="50" t="s">
        <v>249</v>
      </c>
      <c r="I51" s="85" t="s">
        <v>1450</v>
      </c>
    </row>
    <row r="52" customFormat="false" ht="30" hidden="false" customHeight="true" outlineLevel="0" collapsed="false">
      <c r="A52" s="10" t="s">
        <v>1451</v>
      </c>
      <c r="B52" s="10" t="s">
        <v>53</v>
      </c>
      <c r="C52" s="157" t="str">
        <f aca="false">Workload!C4</f>
        <v>一般聊天</v>
      </c>
      <c r="D52" s="157" t="str">
        <f aca="false">Workload!D4</f>
        <v>推理聊天</v>
      </c>
      <c r="E52" s="157" t="str">
        <f aca="false">Workload!E4</f>
        <v>單代理（工具迴圈）</v>
      </c>
      <c r="F52" s="157" t="str">
        <f aca="false">Workload!F4</f>
        <v>多代理研究</v>
      </c>
      <c r="G52" s="157" t="str">
        <f aca="false">Workload!G4</f>
        <v>Coding agent（長程）</v>
      </c>
    </row>
    <row r="53" customFormat="false" ht="15" hidden="false" customHeight="false" outlineLevel="0" collapsed="false">
      <c r="A53" s="52" t="s">
        <v>1452</v>
      </c>
      <c r="B53" s="53" t="s">
        <v>1091</v>
      </c>
      <c r="C53" s="69" t="n">
        <v>0.02</v>
      </c>
      <c r="D53" s="69" t="n">
        <v>0.1</v>
      </c>
      <c r="E53" s="69" t="n">
        <v>0.5</v>
      </c>
      <c r="F53" s="69" t="n">
        <v>2</v>
      </c>
      <c r="G53" s="69" t="n">
        <v>8</v>
      </c>
      <c r="H53" s="50" t="s">
        <v>70</v>
      </c>
      <c r="I53" s="64" t="s">
        <v>1453</v>
      </c>
    </row>
    <row r="54" customFormat="false" ht="15" hidden="false" customHeight="false" outlineLevel="0" collapsed="false">
      <c r="A54" s="52" t="s">
        <v>1454</v>
      </c>
      <c r="B54" s="52"/>
      <c r="C54" s="97" t="s">
        <v>1455</v>
      </c>
      <c r="D54" s="97" t="s">
        <v>1455</v>
      </c>
      <c r="E54" s="97" t="s">
        <v>1455</v>
      </c>
      <c r="F54" s="97" t="s">
        <v>1456</v>
      </c>
      <c r="G54" s="97" t="s">
        <v>1456</v>
      </c>
      <c r="I54" s="50" t="s">
        <v>1457</v>
      </c>
    </row>
    <row r="55" customFormat="false" ht="15" hidden="false" customHeight="false" outlineLevel="0" collapsed="false">
      <c r="A55" s="52" t="s">
        <v>1458</v>
      </c>
      <c r="B55" s="53" t="s">
        <v>69</v>
      </c>
      <c r="C55" s="57"/>
      <c r="D55" s="57"/>
      <c r="E55" s="57"/>
      <c r="F55" s="57"/>
      <c r="G55" s="57"/>
      <c r="I55" s="64" t="s">
        <v>1459</v>
      </c>
    </row>
    <row r="56" customFormat="false" ht="15" hidden="false" customHeight="false" outlineLevel="0" collapsed="false">
      <c r="A56" s="52" t="s">
        <v>1460</v>
      </c>
      <c r="B56" s="53" t="s">
        <v>69</v>
      </c>
      <c r="C56" s="57"/>
      <c r="D56" s="57"/>
      <c r="E56" s="57"/>
      <c r="F56" s="57"/>
      <c r="G56" s="57"/>
      <c r="I56" s="64" t="s">
        <v>1459</v>
      </c>
    </row>
    <row r="57" customFormat="false" ht="15" hidden="false" customHeight="false" outlineLevel="0" collapsed="false">
      <c r="A57" s="52" t="s">
        <v>1461</v>
      </c>
      <c r="B57" s="53" t="s">
        <v>69</v>
      </c>
      <c r="C57" s="57"/>
      <c r="D57" s="57"/>
      <c r="E57" s="57"/>
      <c r="F57" s="57"/>
      <c r="G57" s="57"/>
      <c r="I57" s="64" t="s">
        <v>1459</v>
      </c>
    </row>
    <row r="59" customFormat="false" ht="15" hidden="false" customHeight="false" outlineLevel="0" collapsed="false">
      <c r="A59" s="82" t="s">
        <v>1462</v>
      </c>
      <c r="B59" s="60"/>
      <c r="C59" s="60"/>
      <c r="D59" s="60"/>
      <c r="E59" s="60"/>
      <c r="F59" s="60"/>
      <c r="G59" s="60"/>
      <c r="H59" s="60"/>
      <c r="I59" s="60"/>
    </row>
    <row r="60" customFormat="false" ht="15" hidden="false" customHeight="false" outlineLevel="0" collapsed="false">
      <c r="A60" s="10" t="s">
        <v>52</v>
      </c>
      <c r="C60" s="10" t="s">
        <v>1078</v>
      </c>
      <c r="D60" s="10" t="s">
        <v>1079</v>
      </c>
      <c r="I60" s="10" t="s">
        <v>278</v>
      </c>
    </row>
    <row r="61" customFormat="false" ht="15" hidden="false" customHeight="false" outlineLevel="0" collapsed="false">
      <c r="A61" s="52" t="s">
        <v>1418</v>
      </c>
      <c r="C61" s="69" t="n">
        <v>0.5</v>
      </c>
      <c r="D61" s="69" t="n">
        <v>1</v>
      </c>
      <c r="H61" s="50" t="s">
        <v>70</v>
      </c>
      <c r="I61" s="64"/>
    </row>
    <row r="62" customFormat="false" ht="15" hidden="false" customHeight="false" outlineLevel="0" collapsed="false">
      <c r="A62" s="52" t="s">
        <v>1423</v>
      </c>
      <c r="C62" s="69" t="n">
        <v>0.6</v>
      </c>
      <c r="D62" s="69" t="n">
        <v>1</v>
      </c>
      <c r="H62" s="50" t="s">
        <v>70</v>
      </c>
      <c r="I62" s="64"/>
    </row>
    <row r="63" customFormat="false" ht="15" hidden="false" customHeight="false" outlineLevel="0" collapsed="false">
      <c r="A63" s="52" t="s">
        <v>1420</v>
      </c>
      <c r="C63" s="57" t="n">
        <v>0.5</v>
      </c>
      <c r="D63" s="57" t="n">
        <v>1</v>
      </c>
      <c r="H63" s="50" t="s">
        <v>70</v>
      </c>
      <c r="I63" s="64"/>
    </row>
    <row r="64" customFormat="false" ht="15" hidden="false" customHeight="false" outlineLevel="0" collapsed="false">
      <c r="A64" s="52" t="s">
        <v>1463</v>
      </c>
      <c r="C64" s="69" t="n">
        <v>0.5</v>
      </c>
      <c r="D64" s="69" t="n">
        <v>1</v>
      </c>
      <c r="H64" s="50" t="s">
        <v>70</v>
      </c>
      <c r="I64" s="64"/>
    </row>
    <row r="65" customFormat="false" ht="15" hidden="false" customHeight="false" outlineLevel="0" collapsed="false">
      <c r="A65" s="52" t="s">
        <v>1464</v>
      </c>
      <c r="C65" s="69" t="n">
        <v>1</v>
      </c>
      <c r="D65" s="69" t="n">
        <v>4</v>
      </c>
      <c r="H65" s="50" t="s">
        <v>70</v>
      </c>
      <c r="I65" s="50" t="s">
        <v>1465</v>
      </c>
    </row>
    <row r="66" customFormat="false" ht="15" hidden="false" customHeight="false" outlineLevel="0" collapsed="false">
      <c r="A66" s="52" t="s">
        <v>1432</v>
      </c>
      <c r="C66" s="143" t="n">
        <v>0.0833333333333333</v>
      </c>
      <c r="D66" s="143" t="n">
        <v>2</v>
      </c>
      <c r="H66" s="50" t="s">
        <v>70</v>
      </c>
      <c r="I66" s="50" t="s">
        <v>1091</v>
      </c>
    </row>
    <row r="68" customFormat="false" ht="15" hidden="false" customHeight="false" outlineLevel="0" collapsed="false">
      <c r="A68" s="82" t="s">
        <v>1466</v>
      </c>
      <c r="B68" s="60"/>
      <c r="C68" s="60"/>
      <c r="D68" s="60"/>
      <c r="E68" s="60"/>
      <c r="F68" s="60"/>
      <c r="G68" s="60"/>
      <c r="H68" s="60"/>
      <c r="I68" s="60"/>
    </row>
    <row r="69" customFormat="false" ht="15" hidden="false" customHeight="false" outlineLevel="0" collapsed="false">
      <c r="A69" s="10" t="s">
        <v>1467</v>
      </c>
      <c r="B69" s="10" t="s">
        <v>53</v>
      </c>
      <c r="C69" s="10" t="s">
        <v>1468</v>
      </c>
      <c r="D69" s="10" t="s">
        <v>1469</v>
      </c>
      <c r="E69" s="51" t="s">
        <v>1470</v>
      </c>
      <c r="H69" s="10" t="s">
        <v>57</v>
      </c>
      <c r="I69" s="10" t="s">
        <v>58</v>
      </c>
    </row>
    <row r="70" customFormat="false" ht="39.55" hidden="false" customHeight="false" outlineLevel="0" collapsed="false">
      <c r="A70" s="6" t="s">
        <v>1471</v>
      </c>
      <c r="C70" s="132" t="n">
        <v>0.627</v>
      </c>
      <c r="D70" s="55" t="n">
        <v>26098</v>
      </c>
      <c r="H70" s="78" t="s">
        <v>1472</v>
      </c>
      <c r="I70" s="78" t="s">
        <v>1473</v>
      </c>
    </row>
    <row r="71" customFormat="false" ht="29.85" hidden="false" customHeight="false" outlineLevel="0" collapsed="false">
      <c r="A71" s="6" t="s">
        <v>1474</v>
      </c>
      <c r="C71" s="132" t="n">
        <v>0.986</v>
      </c>
      <c r="D71" s="55" t="n">
        <v>17332</v>
      </c>
      <c r="H71" s="78" t="s">
        <v>1475</v>
      </c>
      <c r="I71" s="78" t="s">
        <v>1473</v>
      </c>
    </row>
    <row r="72" customFormat="false" ht="29.85" hidden="false" customHeight="false" outlineLevel="0" collapsed="false">
      <c r="A72" s="6" t="s">
        <v>1476</v>
      </c>
      <c r="C72" s="132" t="n">
        <v>0.999</v>
      </c>
      <c r="D72" s="55" t="n">
        <v>18817</v>
      </c>
      <c r="E72" s="69" t="n">
        <v>0.51</v>
      </c>
      <c r="H72" s="78" t="s">
        <v>1475</v>
      </c>
      <c r="I72" s="78" t="s">
        <v>1477</v>
      </c>
    </row>
    <row r="73" customFormat="false" ht="26.85" hidden="false" customHeight="false" outlineLevel="0" collapsed="false">
      <c r="A73" s="6" t="s">
        <v>1478</v>
      </c>
      <c r="C73" s="132" t="n">
        <v>0.302</v>
      </c>
      <c r="H73" s="78" t="s">
        <v>1475</v>
      </c>
      <c r="I73" s="78" t="s">
        <v>1473</v>
      </c>
    </row>
    <row r="74" customFormat="false" ht="24.6" hidden="false" customHeight="false" outlineLevel="0" collapsed="false">
      <c r="A74" s="6" t="s">
        <v>1479</v>
      </c>
      <c r="C74" s="132" t="n">
        <v>1</v>
      </c>
      <c r="H74" s="78" t="s">
        <v>1480</v>
      </c>
      <c r="I74" s="78" t="s">
        <v>1481</v>
      </c>
    </row>
    <row r="75" customFormat="false" ht="26.85" hidden="false" customHeight="false" outlineLevel="0" collapsed="false">
      <c r="A75" s="6" t="s">
        <v>1482</v>
      </c>
      <c r="E75" s="69" t="n">
        <v>3.75</v>
      </c>
      <c r="H75" s="78" t="s">
        <v>1483</v>
      </c>
      <c r="I75" s="78" t="s">
        <v>1484</v>
      </c>
    </row>
    <row r="76" customFormat="false" ht="15" hidden="false" customHeight="false" outlineLevel="0" collapsed="false">
      <c r="A76" s="51" t="s">
        <v>1485</v>
      </c>
      <c r="B76" s="10"/>
      <c r="C76" s="51" t="s">
        <v>1486</v>
      </c>
      <c r="D76" s="51" t="s">
        <v>1487</v>
      </c>
      <c r="E76" s="10" t="s">
        <v>1488</v>
      </c>
      <c r="F76" s="10" t="s">
        <v>1489</v>
      </c>
      <c r="H76" s="10" t="s">
        <v>57</v>
      </c>
      <c r="I76" s="10" t="s">
        <v>401</v>
      </c>
    </row>
    <row r="77" customFormat="false" ht="15" hidden="false" customHeight="false" outlineLevel="0" collapsed="false">
      <c r="A77" s="53" t="s">
        <v>1490</v>
      </c>
      <c r="C77" s="69" t="n">
        <v>3.5667</v>
      </c>
      <c r="D77" s="69" t="n">
        <v>0.5333</v>
      </c>
      <c r="E77" s="77" t="n">
        <f aca="false">C77/D77</f>
        <v>6.68798049878117</v>
      </c>
      <c r="F77" s="67" t="n">
        <f aca="false">LN(4)/LN(E77)</f>
        <v>0.729508833472708</v>
      </c>
      <c r="H77" s="50" t="s">
        <v>1491</v>
      </c>
      <c r="I77" s="50" t="s">
        <v>1492</v>
      </c>
    </row>
    <row r="78" customFormat="false" ht="15" hidden="false" customHeight="false" outlineLevel="0" collapsed="false">
      <c r="A78" s="53" t="s">
        <v>1493</v>
      </c>
      <c r="C78" s="69" t="n">
        <v>6.5667</v>
      </c>
      <c r="D78" s="69" t="n">
        <v>0.9167</v>
      </c>
      <c r="E78" s="77" t="n">
        <f aca="false">C78/D78</f>
        <v>7.16341223955493</v>
      </c>
      <c r="F78" s="67" t="n">
        <f aca="false">LN(4)/LN(E78)</f>
        <v>0.704064962010379</v>
      </c>
      <c r="H78" s="50" t="s">
        <v>1491</v>
      </c>
      <c r="I78" s="50" t="s">
        <v>1492</v>
      </c>
    </row>
    <row r="79" customFormat="false" ht="15" hidden="false" customHeight="false" outlineLevel="0" collapsed="false">
      <c r="A79" s="53" t="s">
        <v>1494</v>
      </c>
      <c r="C79" s="69" t="n">
        <v>5.7</v>
      </c>
      <c r="D79" s="69" t="n">
        <v>0.9</v>
      </c>
      <c r="E79" s="77" t="n">
        <f aca="false">C79/D79</f>
        <v>6.33333333333333</v>
      </c>
      <c r="F79" s="67" t="n">
        <f aca="false">LN(4)/LN(E79)</f>
        <v>0.751042537338987</v>
      </c>
      <c r="H79" s="50" t="s">
        <v>1491</v>
      </c>
      <c r="I79" s="50" t="s">
        <v>1492</v>
      </c>
    </row>
    <row r="80" customFormat="false" ht="15" hidden="false" customHeight="false" outlineLevel="0" collapsed="false">
      <c r="A80" s="53" t="s">
        <v>1495</v>
      </c>
      <c r="C80" s="69" t="n">
        <v>5.8333</v>
      </c>
      <c r="D80" s="69" t="n">
        <v>1.5</v>
      </c>
      <c r="E80" s="77" t="n">
        <f aca="false">C80/D80</f>
        <v>3.88886666666667</v>
      </c>
      <c r="F80" s="67" t="n">
        <f aca="false">LN(4)/LN(E80)</f>
        <v>1.02074679522957</v>
      </c>
      <c r="H80" s="50" t="s">
        <v>1491</v>
      </c>
      <c r="I80" s="50" t="s">
        <v>1492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9" t="s">
        <v>1496</v>
      </c>
    </row>
    <row r="2" customFormat="false" ht="15" hidden="false" customHeight="false" outlineLevel="0" collapsed="false">
      <c r="A2" s="64" t="s">
        <v>1497</v>
      </c>
    </row>
    <row r="4" customFormat="false" ht="30" hidden="false" customHeight="true" outlineLevel="0" collapsed="false">
      <c r="A4" s="10" t="s">
        <v>310</v>
      </c>
      <c r="B4" s="10" t="s">
        <v>53</v>
      </c>
      <c r="C4" s="157" t="str">
        <f aca="false">Workload!C4</f>
        <v>一般聊天</v>
      </c>
      <c r="D4" s="157" t="str">
        <f aca="false">Workload!D4</f>
        <v>推理聊天</v>
      </c>
      <c r="E4" s="157" t="str">
        <f aca="false">Workload!E4</f>
        <v>單代理（工具迴圈）</v>
      </c>
      <c r="F4" s="157" t="str">
        <f aca="false">Workload!F4</f>
        <v>多代理研究</v>
      </c>
      <c r="G4" s="157" t="str">
        <f aca="false">Workload!G4</f>
        <v>Coding agent（長程）</v>
      </c>
    </row>
    <row r="5" customFormat="false" ht="15" hidden="false" customHeight="false" outlineLevel="0" collapsed="false">
      <c r="A5" s="82" t="s">
        <v>1498</v>
      </c>
      <c r="B5" s="60"/>
      <c r="C5" s="60"/>
      <c r="D5" s="60"/>
      <c r="E5" s="60"/>
      <c r="F5" s="60"/>
      <c r="G5" s="60"/>
      <c r="H5" s="60"/>
    </row>
    <row r="6" customFormat="false" ht="15" hidden="false" customHeight="false" outlineLevel="0" collapsed="false">
      <c r="A6" s="10" t="s">
        <v>1499</v>
      </c>
    </row>
    <row r="7" customFormat="false" ht="15" hidden="false" customHeight="false" outlineLevel="0" collapsed="false">
      <c r="A7" s="5" t="s">
        <v>328</v>
      </c>
      <c r="B7" s="52" t="s">
        <v>329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1500</v>
      </c>
      <c r="B8" s="53" t="s">
        <v>248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1420</v>
      </c>
      <c r="B9" s="53" t="s">
        <v>69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1501</v>
      </c>
      <c r="B10" s="53" t="s">
        <v>69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1502</v>
      </c>
      <c r="B11" s="52" t="s">
        <v>340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1463</v>
      </c>
      <c r="B12" s="53" t="s">
        <v>73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355</v>
      </c>
      <c r="B13" s="53" t="s">
        <v>248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356</v>
      </c>
      <c r="B14" s="53" t="s">
        <v>248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1503</v>
      </c>
      <c r="B15" s="53" t="s">
        <v>248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1504</v>
      </c>
      <c r="B16" s="53" t="s">
        <v>248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1505</v>
      </c>
      <c r="B17" s="53" t="s">
        <v>73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361</v>
      </c>
      <c r="B18" s="53" t="s">
        <v>248</v>
      </c>
      <c r="C18" s="66" t="n">
        <f aca="false">(C14-C15)*C17</f>
        <v>1500</v>
      </c>
      <c r="D18" s="66" t="n">
        <f aca="false">(D14-D15)*D17</f>
        <v>1500</v>
      </c>
      <c r="E18" s="66" t="n">
        <f aca="false">(E14-E15)*E17</f>
        <v>6840</v>
      </c>
      <c r="F18" s="66" t="n">
        <f aca="false">(F14-F15)*F17</f>
        <v>27360</v>
      </c>
      <c r="G18" s="66" t="n">
        <f aca="false">(G14-G15)*G17</f>
        <v>200400</v>
      </c>
    </row>
    <row r="19" customFormat="false" ht="15" hidden="false" customHeight="false" outlineLevel="0" collapsed="false">
      <c r="A19" s="5" t="s">
        <v>362</v>
      </c>
      <c r="B19" s="53" t="s">
        <v>248</v>
      </c>
      <c r="C19" s="66" t="n">
        <f aca="false">C15*C17</f>
        <v>1000</v>
      </c>
      <c r="D19" s="66" t="n">
        <f aca="false">D15*D17</f>
        <v>1000</v>
      </c>
      <c r="E19" s="66" t="n">
        <f aca="false">E15*E17</f>
        <v>18360</v>
      </c>
      <c r="F19" s="66" t="n">
        <f aca="false">F15*F17</f>
        <v>73440</v>
      </c>
      <c r="G19" s="66" t="n">
        <f aca="false">G15*G17</f>
        <v>1263600</v>
      </c>
    </row>
    <row r="20" customFormat="false" ht="15" hidden="false" customHeight="false" outlineLevel="0" collapsed="false">
      <c r="A20" s="5" t="s">
        <v>363</v>
      </c>
      <c r="B20" s="53" t="s">
        <v>248</v>
      </c>
      <c r="C20" s="66" t="n">
        <f aca="false">C16*C17</f>
        <v>500</v>
      </c>
      <c r="D20" s="66" t="n">
        <f aca="false">D16*D17</f>
        <v>3700</v>
      </c>
      <c r="E20" s="66" t="n">
        <f aca="false">E16*E17</f>
        <v>2400</v>
      </c>
      <c r="F20" s="66" t="n">
        <f aca="false">F16*F17</f>
        <v>9600</v>
      </c>
      <c r="G20" s="66" t="n">
        <f aca="false">G16*G17</f>
        <v>30000</v>
      </c>
    </row>
    <row r="21" customFormat="false" ht="15" hidden="false" customHeight="false" outlineLevel="0" collapsed="false">
      <c r="A21" s="5" t="s">
        <v>364</v>
      </c>
      <c r="B21" s="53" t="s">
        <v>248</v>
      </c>
      <c r="C21" s="61" t="n">
        <f aca="false">C18+C19+C20</f>
        <v>3000</v>
      </c>
      <c r="D21" s="61" t="n">
        <f aca="false">D18+D19+D20</f>
        <v>6200</v>
      </c>
      <c r="E21" s="61" t="n">
        <f aca="false">E18+E19+E20</f>
        <v>27600</v>
      </c>
      <c r="F21" s="61" t="n">
        <f aca="false">F18+F19+F20</f>
        <v>110400</v>
      </c>
      <c r="G21" s="61" t="n">
        <f aca="false">G18+G19+G20</f>
        <v>1494000</v>
      </c>
    </row>
    <row r="23" customFormat="false" ht="15" hidden="false" customHeight="false" outlineLevel="0" collapsed="false">
      <c r="A23" s="10" t="s">
        <v>1506</v>
      </c>
    </row>
    <row r="24" customFormat="false" ht="15" hidden="false" customHeight="false" outlineLevel="0" collapsed="false">
      <c r="A24" s="5" t="s">
        <v>328</v>
      </c>
      <c r="B24" s="52" t="s">
        <v>329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1500</v>
      </c>
      <c r="B25" s="53" t="s">
        <v>248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1420</v>
      </c>
      <c r="B26" s="53" t="s">
        <v>69</v>
      </c>
      <c r="C26" s="76" t="n">
        <f aca="false">INDEX(B5_Selrho,1,1)</f>
        <v>0</v>
      </c>
      <c r="D26" s="76" t="n">
        <f aca="false">INDEX(B5_Selrho,1,2)</f>
        <v>0</v>
      </c>
      <c r="E26" s="76" t="n">
        <f aca="false">INDEX(B5_Selrho,1,3)</f>
        <v>1</v>
      </c>
      <c r="F26" s="76" t="n">
        <f aca="false">INDEX(B5_Selrho,1,4)</f>
        <v>1</v>
      </c>
      <c r="G26" s="76" t="n">
        <f aca="false">INDEX(B5_Selrho,1,5)</f>
        <v>1</v>
      </c>
    </row>
    <row r="27" customFormat="false" ht="15" hidden="false" customHeight="false" outlineLevel="0" collapsed="false">
      <c r="A27" s="5" t="s">
        <v>1501</v>
      </c>
      <c r="B27" s="53" t="s">
        <v>69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1502</v>
      </c>
      <c r="B28" s="52" t="s">
        <v>340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1463</v>
      </c>
      <c r="B29" s="53" t="s">
        <v>73</v>
      </c>
      <c r="C29" s="67" t="n">
        <f aca="false">INDEX(B5_SelC,1,1)</f>
        <v>1</v>
      </c>
      <c r="D29" s="67" t="n">
        <f aca="false">INDEX(B5_SelC,1,2)</f>
        <v>1</v>
      </c>
      <c r="E29" s="67" t="n">
        <f aca="false">INDEX(B5_SelC,1,3)</f>
        <v>0.7</v>
      </c>
      <c r="F29" s="67" t="n">
        <f aca="false">INDEX(B5_SelC,1,4)</f>
        <v>0.7</v>
      </c>
      <c r="G29" s="67" t="n">
        <f aca="false">INDEX(B5_SelC,1,5)</f>
        <v>0.7</v>
      </c>
    </row>
    <row r="30" customFormat="false" ht="15" hidden="false" customHeight="false" outlineLevel="0" collapsed="false">
      <c r="A30" s="5" t="s">
        <v>355</v>
      </c>
      <c r="B30" s="53" t="s">
        <v>248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356</v>
      </c>
      <c r="B31" s="53" t="s">
        <v>248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1503</v>
      </c>
      <c r="B32" s="53" t="s">
        <v>248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1504</v>
      </c>
      <c r="B33" s="53" t="s">
        <v>248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1505</v>
      </c>
      <c r="B34" s="53" t="s">
        <v>73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361</v>
      </c>
      <c r="B35" s="53" t="s">
        <v>248</v>
      </c>
      <c r="C35" s="66" t="n">
        <f aca="false">(C31-C32)*C34</f>
        <v>1500</v>
      </c>
      <c r="D35" s="66" t="n">
        <f aca="false">(D31-D32)*D34</f>
        <v>1500</v>
      </c>
      <c r="E35" s="66" t="n">
        <f aca="false">(E31-E32)*E34</f>
        <v>4503.408</v>
      </c>
      <c r="F35" s="66" t="n">
        <f aca="false">(F31-F32)*F34</f>
        <v>18013.632</v>
      </c>
      <c r="G35" s="66" t="n">
        <f aca="false">(G31-G32)*G34</f>
        <v>109536</v>
      </c>
    </row>
    <row r="36" customFormat="false" ht="15" hidden="false" customHeight="false" outlineLevel="0" collapsed="false">
      <c r="A36" s="5" t="s">
        <v>362</v>
      </c>
      <c r="B36" s="53" t="s">
        <v>248</v>
      </c>
      <c r="C36" s="66" t="n">
        <f aca="false">C32*C34</f>
        <v>1000</v>
      </c>
      <c r="D36" s="66" t="n">
        <f aca="false">D32*D34</f>
        <v>1000</v>
      </c>
      <c r="E36" s="66" t="n">
        <f aca="false">E32*E34</f>
        <v>10290.672</v>
      </c>
      <c r="F36" s="66" t="n">
        <f aca="false">F32*F34</f>
        <v>41162.688</v>
      </c>
      <c r="G36" s="66" t="n">
        <f aca="false">G32*G34</f>
        <v>607824</v>
      </c>
    </row>
    <row r="37" customFormat="false" ht="15" hidden="false" customHeight="false" outlineLevel="0" collapsed="false">
      <c r="A37" s="5" t="s">
        <v>363</v>
      </c>
      <c r="B37" s="53" t="s">
        <v>248</v>
      </c>
      <c r="C37" s="66" t="n">
        <f aca="false">C33*C34</f>
        <v>500</v>
      </c>
      <c r="D37" s="66" t="n">
        <f aca="false">D33*D34</f>
        <v>3700</v>
      </c>
      <c r="E37" s="66" t="n">
        <f aca="false">E33*E34</f>
        <v>1456</v>
      </c>
      <c r="F37" s="66" t="n">
        <f aca="false">F33*F34</f>
        <v>5824</v>
      </c>
      <c r="G37" s="66" t="n">
        <f aca="false">G33*G34</f>
        <v>18480</v>
      </c>
    </row>
    <row r="38" customFormat="false" ht="15" hidden="false" customHeight="false" outlineLevel="0" collapsed="false">
      <c r="A38" s="5" t="s">
        <v>364</v>
      </c>
      <c r="B38" s="53" t="s">
        <v>248</v>
      </c>
      <c r="C38" s="61" t="n">
        <f aca="false">C35+C36+C37</f>
        <v>3000</v>
      </c>
      <c r="D38" s="61" t="n">
        <f aca="false">D35+D36+D37</f>
        <v>6200</v>
      </c>
      <c r="E38" s="61" t="n">
        <f aca="false">E35+E36+E37</f>
        <v>16250.08</v>
      </c>
      <c r="F38" s="61" t="n">
        <f aca="false">F35+F36+F37</f>
        <v>65000.32</v>
      </c>
      <c r="G38" s="61" t="n">
        <f aca="false">G35+G36+G37</f>
        <v>735840</v>
      </c>
    </row>
    <row r="40" customFormat="false" ht="15" hidden="false" customHeight="false" outlineLevel="0" collapsed="false">
      <c r="A40" s="10" t="s">
        <v>1507</v>
      </c>
    </row>
    <row r="41" customFormat="false" ht="15" hidden="false" customHeight="false" outlineLevel="0" collapsed="false">
      <c r="A41" s="5" t="s">
        <v>361</v>
      </c>
      <c r="B41" s="53" t="s">
        <v>248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362</v>
      </c>
      <c r="B42" s="53" t="s">
        <v>248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363</v>
      </c>
      <c r="B43" s="53" t="s">
        <v>248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364</v>
      </c>
      <c r="B44" s="53" t="s">
        <v>248</v>
      </c>
      <c r="C44" s="158" t="n">
        <f aca="false">Workload!C35</f>
        <v>3000</v>
      </c>
      <c r="D44" s="158" t="n">
        <f aca="false">Workload!D35</f>
        <v>6200</v>
      </c>
      <c r="E44" s="158" t="n">
        <f aca="false">Workload!E35</f>
        <v>27600</v>
      </c>
      <c r="F44" s="158" t="n">
        <f aca="false">Workload!F35</f>
        <v>110400</v>
      </c>
      <c r="G44" s="158" t="n">
        <f aca="false">Workload!G35</f>
        <v>1494000</v>
      </c>
    </row>
    <row r="45" customFormat="false" ht="15" hidden="false" customHeight="false" outlineLevel="0" collapsed="false">
      <c r="A45" s="5" t="s">
        <v>1508</v>
      </c>
      <c r="B45" s="53" t="s">
        <v>73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8" t="s">
        <v>1509</v>
      </c>
    </row>
    <row r="47" customFormat="false" ht="15" hidden="false" customHeight="false" outlineLevel="0" collapsed="false">
      <c r="A47" s="82" t="s">
        <v>1510</v>
      </c>
      <c r="B47" s="60"/>
      <c r="C47" s="60"/>
      <c r="D47" s="60"/>
      <c r="E47" s="60"/>
      <c r="F47" s="60"/>
      <c r="G47" s="60"/>
      <c r="H47" s="60"/>
    </row>
    <row r="48" customFormat="false" ht="15" hidden="false" customHeight="false" outlineLevel="0" collapsed="false">
      <c r="A48" s="5" t="s">
        <v>1511</v>
      </c>
      <c r="B48" s="53" t="s">
        <v>1091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1512</v>
      </c>
      <c r="B49" s="53" t="s">
        <v>1091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1513</v>
      </c>
      <c r="B50" s="53" t="s">
        <v>1091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1514</v>
      </c>
      <c r="B51" s="53" t="s">
        <v>73</v>
      </c>
      <c r="C51" s="67" t="n">
        <f aca="false">1</f>
        <v>1</v>
      </c>
      <c r="D51" s="67" t="n">
        <f aca="false">1</f>
        <v>1</v>
      </c>
      <c r="E51" s="67" t="n">
        <f aca="false">1</f>
        <v>1</v>
      </c>
      <c r="F51" s="67" t="n">
        <f aca="false">1</f>
        <v>1</v>
      </c>
      <c r="G51" s="67" t="n">
        <f aca="false">1</f>
        <v>1</v>
      </c>
    </row>
    <row r="52" customFormat="false" ht="15" hidden="false" customHeight="false" outlineLevel="0" collapsed="false">
      <c r="A52" s="5" t="s">
        <v>1515</v>
      </c>
      <c r="B52" s="53" t="s">
        <v>73</v>
      </c>
      <c r="C52" s="67" t="n">
        <f aca="false">1+B5_W*(INDEX(B5_SelHz,1,1)-1)</f>
        <v>1</v>
      </c>
      <c r="D52" s="67" t="n">
        <f aca="false">1+B5_W*(INDEX(B5_SelHz,1,2)-1)</f>
        <v>1</v>
      </c>
      <c r="E52" s="67" t="n">
        <f aca="false">1+B5_W*(INDEX(B5_SelHz,1,3)-1)</f>
        <v>1</v>
      </c>
      <c r="F52" s="67" t="n">
        <f aca="false">1+B5_W*(INDEX(B5_SelHz,1,4)-1)</f>
        <v>1</v>
      </c>
      <c r="G52" s="67" t="n">
        <f aca="false">1+B5_W*(INDEX(B5_SelHz,1,5)-1)</f>
        <v>1</v>
      </c>
    </row>
    <row r="53" customFormat="false" ht="15" hidden="false" customHeight="false" outlineLevel="0" collapsed="false">
      <c r="A53" s="5" t="s">
        <v>1516</v>
      </c>
      <c r="B53" s="53" t="s">
        <v>73</v>
      </c>
      <c r="C53" s="67" t="n">
        <f aca="false">INDEX(B5_SelHz,1,1)</f>
        <v>1</v>
      </c>
      <c r="D53" s="67" t="n">
        <f aca="false">INDEX(B5_SelHz,1,2)</f>
        <v>1</v>
      </c>
      <c r="E53" s="67" t="n">
        <f aca="false">INDEX(B5_SelHz,1,3)</f>
        <v>1.2</v>
      </c>
      <c r="F53" s="67" t="n">
        <f aca="false">INDEX(B5_SelHz,1,4)</f>
        <v>2</v>
      </c>
      <c r="G53" s="67" t="n">
        <f aca="false">INDEX(B5_SelHz,1,5)</f>
        <v>2</v>
      </c>
    </row>
    <row r="55" customFormat="false" ht="15" hidden="false" customHeight="false" outlineLevel="0" collapsed="false">
      <c r="A55" s="82" t="s">
        <v>1517</v>
      </c>
      <c r="B55" s="60"/>
      <c r="C55" s="60"/>
      <c r="D55" s="60"/>
      <c r="E55" s="60"/>
      <c r="F55" s="60"/>
      <c r="G55" s="60"/>
      <c r="H55" s="60"/>
    </row>
    <row r="56" customFormat="false" ht="15" hidden="false" customHeight="false" outlineLevel="0" collapsed="false">
      <c r="A56" s="6" t="s">
        <v>1518</v>
      </c>
      <c r="B56" s="53" t="s">
        <v>69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1519</v>
      </c>
      <c r="B57" s="53" t="s">
        <v>69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1520</v>
      </c>
      <c r="B58" s="53" t="s">
        <v>69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1521</v>
      </c>
      <c r="B59" s="53" t="s">
        <v>69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1522</v>
      </c>
      <c r="B60" s="53" t="s">
        <v>69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1523</v>
      </c>
      <c r="B61" s="53" t="s">
        <v>69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1524</v>
      </c>
      <c r="B62" s="53" t="s">
        <v>69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1525</v>
      </c>
      <c r="B63" s="53" t="s">
        <v>69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1526</v>
      </c>
      <c r="B64" s="53" t="s">
        <v>69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82" t="s">
        <v>1527</v>
      </c>
      <c r="B66" s="60"/>
      <c r="C66" s="60"/>
      <c r="D66" s="60"/>
      <c r="E66" s="60"/>
      <c r="F66" s="60"/>
      <c r="G66" s="60"/>
      <c r="H66" s="60"/>
    </row>
    <row r="67" customFormat="false" ht="15" hidden="false" customHeight="false" outlineLevel="0" collapsed="false">
      <c r="A67" s="6" t="s">
        <v>1528</v>
      </c>
      <c r="B67" s="53" t="s">
        <v>373</v>
      </c>
      <c r="C67" s="80" t="n">
        <f aca="false">IF(ISNUMBER(Unit_Cost!M21),(C18*Unit_Cost!M19+C19*(Unit_Cost!M20+Cache_Store!M17*C48/B4_Retain)+C20*Unit_Cost!M21)/1000000,"SLO 不可達")</f>
        <v>9.55528505721941E-005</v>
      </c>
      <c r="D67" s="80" t="n">
        <f aca="false">IF(ISNUMBER(Unit_Cost!M21),(D18*Unit_Cost!M19+D19*(Unit_Cost!M20+Cache_Store!M17*D48/B4_Retain)+D20*Unit_Cost!M21)/1000000,"SLO 不可達")</f>
        <v>0.00063076160806233</v>
      </c>
      <c r="E67" s="80" t="n">
        <f aca="false">IF(ISNUMBER(Unit_Cost!M21),(E18*Unit_Cost!M19+E19*(Unit_Cost!M20+Cache_Store!M17*E48/B4_Retain)+E20*Unit_Cost!M21)/1000000,"SLO 不可達")</f>
        <v>0.000456817047773755</v>
      </c>
      <c r="F67" s="80" t="n">
        <f aca="false">IF(ISNUMBER(Unit_Cost!M21),(F18*Unit_Cost!M19+F19*(Unit_Cost!M20+Cache_Store!M17*F48/B4_Retain)+F20*Unit_Cost!M21)/1000000,"SLO 不可達")</f>
        <v>0.00182726819109502</v>
      </c>
      <c r="G67" s="80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1529</v>
      </c>
      <c r="B68" s="53" t="s">
        <v>373</v>
      </c>
      <c r="C68" s="80" t="n">
        <f aca="false">IF(ISNUMBER(Unit_Cost!M21),(C41*Unit_Cost!M19+C42*(Unit_Cost!M20+Cache_Store!M17*C49/B4_Retain)+C43*Unit_Cost!M21)/1000000,"SLO 不可達")</f>
        <v>9.55528505721941E-005</v>
      </c>
      <c r="D68" s="80" t="n">
        <f aca="false">IF(ISNUMBER(Unit_Cost!M21),(D41*Unit_Cost!M19+D42*(Unit_Cost!M20+Cache_Store!M17*D49/B4_Retain)+D43*Unit_Cost!M21)/1000000,"SLO 不可達")</f>
        <v>0.00063076160806233</v>
      </c>
      <c r="E68" s="80" t="n">
        <f aca="false">IF(ISNUMBER(Unit_Cost!M21),(E41*Unit_Cost!M19+E42*(Unit_Cost!M20+Cache_Store!M17*E49/B4_Retain)+E43*Unit_Cost!M21)/1000000,"SLO 不可達")</f>
        <v>0.000456817047773755</v>
      </c>
      <c r="F68" s="80" t="n">
        <f aca="false">IF(ISNUMBER(Unit_Cost!M21),(F41*Unit_Cost!M19+F42*(Unit_Cost!M20+Cache_Store!M17*F49/B4_Retain)+F43*Unit_Cost!M21)/1000000,"SLO 不可達")</f>
        <v>0.00182726819109502</v>
      </c>
      <c r="G68" s="80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1530</v>
      </c>
      <c r="B69" s="53" t="s">
        <v>373</v>
      </c>
      <c r="C69" s="80" t="n">
        <f aca="false">IF(ISNUMBER(Unit_Cost!M21),(C35*Unit_Cost!M19+C36*(Unit_Cost!M20+Cache_Store!M17*C50/B4_Retain)+C37*Unit_Cost!M21)/1000000,"SLO 不可達")</f>
        <v>9.55528505721941E-005</v>
      </c>
      <c r="D69" s="80" t="n">
        <f aca="false">IF(ISNUMBER(Unit_Cost!M21),(D35*Unit_Cost!M19+D36*(Unit_Cost!M20+Cache_Store!M17*D50/B4_Retain)+D37*Unit_Cost!M21)/1000000,"SLO 不可達")</f>
        <v>0.00063076160806233</v>
      </c>
      <c r="E69" s="80" t="n">
        <f aca="false">IF(ISNUMBER(Unit_Cost!M21),(E35*Unit_Cost!M19+E36*(Unit_Cost!M20+Cache_Store!M17*E50/B4_Retain)+E37*Unit_Cost!M21)/1000000,"SLO 不可達")</f>
        <v>0.000280831382935403</v>
      </c>
      <c r="F69" s="80" t="n">
        <f aca="false">IF(ISNUMBER(Unit_Cost!M21),(F35*Unit_Cost!M19+F36*(Unit_Cost!M20+Cache_Store!M17*F50/B4_Retain)+F37*Unit_Cost!M21)/1000000,"SLO 不可達")</f>
        <v>0.00112332553174161</v>
      </c>
      <c r="G69" s="80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1531</v>
      </c>
      <c r="B70" s="53" t="s">
        <v>373</v>
      </c>
      <c r="C70" s="80" t="n">
        <f aca="false">IF(ISNUMBER(Unit_Cost!M34),(C18*Unit_Cost!M32+C19*(Unit_Cost!M33+Cache_Store!M23*C48/B4_Retain)+C20*Unit_Cost!M34)/1000000,"SLO 不可達")</f>
        <v>0.000310504010178835</v>
      </c>
      <c r="D70" s="80" t="n">
        <f aca="false">IF(ISNUMBER(Unit_Cost!M34),(D18*Unit_Cost!M32+D19*(Unit_Cost!M33+Cache_Store!M23*D48/B4_Retain)+D20*Unit_Cost!M34)/1000000,"SLO 不可達")</f>
        <v>0.00203090772925121</v>
      </c>
      <c r="E70" s="80" t="n">
        <f aca="false">IF(ISNUMBER(Unit_Cost!M34),(E18*Unit_Cost!M32+E19*(Unit_Cost!M33+Cache_Store!M23*E48/B4_Retain)+E20*Unit_Cost!M34)/1000000,"SLO 不可達")</f>
        <v>0.00148186851811974</v>
      </c>
      <c r="F70" s="80" t="n">
        <f aca="false">IF(ISNUMBER(Unit_Cost!M34),(F18*Unit_Cost!M32+F19*(Unit_Cost!M33+Cache_Store!M23*F48/B4_Retain)+F20*Unit_Cost!M34)/1000000,"SLO 不可達")</f>
        <v>0.00592747407247898</v>
      </c>
      <c r="G70" s="80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1532</v>
      </c>
      <c r="B71" s="53" t="s">
        <v>373</v>
      </c>
      <c r="C71" s="80" t="n">
        <f aca="false">IF(ISNUMBER(Unit_Cost!M34),(C41*Unit_Cost!M32+C42*(Unit_Cost!M33+Cache_Store!M23*C49/B4_Retain)+C43*Unit_Cost!M34)/1000000,"SLO 不可達")</f>
        <v>0.000310504010178835</v>
      </c>
      <c r="D71" s="80" t="n">
        <f aca="false">IF(ISNUMBER(Unit_Cost!M34),(D41*Unit_Cost!M32+D42*(Unit_Cost!M33+Cache_Store!M23*D49/B4_Retain)+D43*Unit_Cost!M34)/1000000,"SLO 不可達")</f>
        <v>0.00203090772925121</v>
      </c>
      <c r="E71" s="80" t="n">
        <f aca="false">IF(ISNUMBER(Unit_Cost!M34),(E41*Unit_Cost!M32+E42*(Unit_Cost!M33+Cache_Store!M23*E49/B4_Retain)+E43*Unit_Cost!M34)/1000000,"SLO 不可達")</f>
        <v>0.00148186851811974</v>
      </c>
      <c r="F71" s="80" t="n">
        <f aca="false">IF(ISNUMBER(Unit_Cost!M34),(F41*Unit_Cost!M32+F42*(Unit_Cost!M33+Cache_Store!M23*F49/B4_Retain)+F43*Unit_Cost!M34)/1000000,"SLO 不可達")</f>
        <v>0.00592747407247898</v>
      </c>
      <c r="G71" s="80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1533</v>
      </c>
      <c r="B72" s="53" t="s">
        <v>373</v>
      </c>
      <c r="C72" s="80" t="n">
        <f aca="false">IF(ISNUMBER(Unit_Cost!M34),(C35*Unit_Cost!M32+C36*(Unit_Cost!M33+Cache_Store!M23*C50/B4_Retain)+C37*Unit_Cost!M34)/1000000,"SLO 不可達")</f>
        <v>0.000310504010178835</v>
      </c>
      <c r="D72" s="80" t="n">
        <f aca="false">IF(ISNUMBER(Unit_Cost!M34),(D35*Unit_Cost!M32+D36*(Unit_Cost!M33+Cache_Store!M23*D50/B4_Retain)+D37*Unit_Cost!M34)/1000000,"SLO 不可達")</f>
        <v>0.00203090772925121</v>
      </c>
      <c r="E72" s="80" t="n">
        <f aca="false">IF(ISNUMBER(Unit_Cost!M34),(E35*Unit_Cost!M32+E36*(Unit_Cost!M33+Cache_Store!M23*E50/B4_Retain)+E37*Unit_Cost!M34)/1000000,"SLO 不可達")</f>
        <v>0.000910085995019647</v>
      </c>
      <c r="F72" s="80" t="n">
        <f aca="false">IF(ISNUMBER(Unit_Cost!M34),(F35*Unit_Cost!M32+F36*(Unit_Cost!M33+Cache_Store!M23*F50/B4_Retain)+F37*Unit_Cost!M34)/1000000,"SLO 不可達")</f>
        <v>0.00364034398007859</v>
      </c>
      <c r="G72" s="80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1534</v>
      </c>
      <c r="B73" s="53" t="s">
        <v>373</v>
      </c>
      <c r="C73" s="80" t="n">
        <f aca="false">IF(ISNUMBER(Unit_Cost!M47),(C18*Unit_Cost!M45+C19*(Unit_Cost!M46+Cache_Store!M29*C48/B4_Retain)+C20*Unit_Cost!M47)/1000000,"SLO 不可達")</f>
        <v>0.00152284097573239</v>
      </c>
      <c r="D73" s="80" t="n">
        <f aca="false">IF(ISNUMBER(Unit_Cost!M47),(D18*Unit_Cost!M45+D19*(Unit_Cost!M46+Cache_Store!M29*D48/B4_Retain)+D20*Unit_Cost!M47)/1000000,"SLO 不可達")</f>
        <v>0.0103797058427752</v>
      </c>
      <c r="E73" s="80" t="n">
        <f aca="false">IF(ISNUMBER(Unit_Cost!M47),(E18*Unit_Cost!M45+E19*(Unit_Cost!M46+Cache_Store!M29*E48/B4_Retain)+E20*Unit_Cost!M47)/1000000,"SLO 不可達")</f>
        <v>0.00729742557011836</v>
      </c>
      <c r="F73" s="80" t="n">
        <f aca="false">IF(ISNUMBER(Unit_Cost!M47),(F18*Unit_Cost!M45+F19*(Unit_Cost!M46+Cache_Store!M29*F48/B4_Retain)+F20*Unit_Cost!M47)/1000000,"SLO 不可達")</f>
        <v>0.0291897022804734</v>
      </c>
      <c r="G73" s="80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1535</v>
      </c>
      <c r="B74" s="53" t="s">
        <v>373</v>
      </c>
      <c r="C74" s="80" t="n">
        <f aca="false">IF(ISNUMBER(Unit_Cost!M47),(C41*Unit_Cost!M45+C42*(Unit_Cost!M46+Cache_Store!M29*C49/B4_Retain)+C43*Unit_Cost!M47)/1000000,"SLO 不可達")</f>
        <v>0.00152284097573239</v>
      </c>
      <c r="D74" s="80" t="n">
        <f aca="false">IF(ISNUMBER(Unit_Cost!M47),(D41*Unit_Cost!M45+D42*(Unit_Cost!M46+Cache_Store!M29*D49/B4_Retain)+D43*Unit_Cost!M47)/1000000,"SLO 不可達")</f>
        <v>0.0103797058427752</v>
      </c>
      <c r="E74" s="80" t="n">
        <f aca="false">IF(ISNUMBER(Unit_Cost!M47),(E41*Unit_Cost!M45+E42*(Unit_Cost!M46+Cache_Store!M29*E49/B4_Retain)+E43*Unit_Cost!M47)/1000000,"SLO 不可達")</f>
        <v>0.00729742557011836</v>
      </c>
      <c r="F74" s="80" t="n">
        <f aca="false">IF(ISNUMBER(Unit_Cost!M47),(F41*Unit_Cost!M45+F42*(Unit_Cost!M46+Cache_Store!M29*F49/B4_Retain)+F43*Unit_Cost!M47)/1000000,"SLO 不可達")</f>
        <v>0.0291897022804734</v>
      </c>
      <c r="G74" s="80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1536</v>
      </c>
      <c r="B75" s="53" t="s">
        <v>373</v>
      </c>
      <c r="C75" s="80" t="n">
        <f aca="false">IF(ISNUMBER(Unit_Cost!M47),(C35*Unit_Cost!M45+C36*(Unit_Cost!M46+Cache_Store!M29*C50/B4_Retain)+C37*Unit_Cost!M47)/1000000,"SLO 不可達")</f>
        <v>0.00152284097573239</v>
      </c>
      <c r="D75" s="80" t="n">
        <f aca="false">IF(ISNUMBER(Unit_Cost!M47),(D35*Unit_Cost!M45+D36*(Unit_Cost!M46+Cache_Store!M29*D50/B4_Retain)+D37*Unit_Cost!M47)/1000000,"SLO 不可達")</f>
        <v>0.0103797058427752</v>
      </c>
      <c r="E75" s="80" t="n">
        <f aca="false">IF(ISNUMBER(Unit_Cost!M47),(E35*Unit_Cost!M45+E36*(Unit_Cost!M46+Cache_Store!M29*E50/B4_Retain)+E37*Unit_Cost!M47)/1000000,"SLO 不可達")</f>
        <v>0.00447806913249826</v>
      </c>
      <c r="F75" s="80" t="n">
        <f aca="false">IF(ISNUMBER(Unit_Cost!M47),(F35*Unit_Cost!M45+F36*(Unit_Cost!M46+Cache_Store!M29*F50/B4_Retain)+F37*Unit_Cost!M47)/1000000,"SLO 不可達")</f>
        <v>0.017912276529993</v>
      </c>
      <c r="G75" s="80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1537</v>
      </c>
      <c r="B76" s="53" t="s">
        <v>373</v>
      </c>
      <c r="C76" s="80" t="n">
        <f aca="false">IF(ISNUMBER(Unit_Cost!J21),(C18*Unit_Cost!J19+C19*(Unit_Cost!J20+Cache_Store!J17*C48/B4_Retain)+C20*Unit_Cost!J21)/1000000,"SLO 不可達")</f>
        <v>0.000149303269814476</v>
      </c>
      <c r="D76" s="80" t="n">
        <f aca="false">IF(ISNUMBER(Unit_Cost!J21),(D18*Unit_Cost!J19+D19*(Unit_Cost!J20+Cache_Store!J17*D48/B4_Retain)+D20*Unit_Cost!J21)/1000000,"SLO 不可達")</f>
        <v>0.00099240661009389</v>
      </c>
      <c r="E76" s="80" t="n">
        <f aca="false">IF(ISNUMBER(Unit_Cost!J21),(E18*Unit_Cost!J19+E19*(Unit_Cost!J20+Cache_Store!J17*E48/B4_Retain)+E20*Unit_Cost!J21)/1000000,"SLO 不可達")</f>
        <v>0.000713156225888112</v>
      </c>
      <c r="F76" s="80" t="n">
        <f aca="false">IF(ISNUMBER(Unit_Cost!J21),(F18*Unit_Cost!J19+F19*(Unit_Cost!J20+Cache_Store!J17*F48/B4_Retain)+F20*Unit_Cost!J21)/1000000,"SLO 不可達")</f>
        <v>0.00285262490355245</v>
      </c>
      <c r="G76" s="80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1538</v>
      </c>
      <c r="B77" s="53" t="s">
        <v>373</v>
      </c>
      <c r="C77" s="80" t="n">
        <f aca="false">IF(ISNUMBER(Unit_Cost!J21),(C41*Unit_Cost!J19+C42*(Unit_Cost!J20+Cache_Store!J17*C49/B4_Retain)+C43*Unit_Cost!J21)/1000000,"SLO 不可達")</f>
        <v>0.000149303269814476</v>
      </c>
      <c r="D77" s="80" t="n">
        <f aca="false">IF(ISNUMBER(Unit_Cost!J21),(D41*Unit_Cost!J19+D42*(Unit_Cost!J20+Cache_Store!J17*D49/B4_Retain)+D43*Unit_Cost!J21)/1000000,"SLO 不可達")</f>
        <v>0.00099240661009389</v>
      </c>
      <c r="E77" s="80" t="n">
        <f aca="false">IF(ISNUMBER(Unit_Cost!J21),(E41*Unit_Cost!J19+E42*(Unit_Cost!J20+Cache_Store!J17*E49/B4_Retain)+E43*Unit_Cost!J21)/1000000,"SLO 不可達")</f>
        <v>0.000713156225888112</v>
      </c>
      <c r="F77" s="80" t="n">
        <f aca="false">IF(ISNUMBER(Unit_Cost!J21),(F41*Unit_Cost!J19+F42*(Unit_Cost!J20+Cache_Store!J17*F49/B4_Retain)+F43*Unit_Cost!J21)/1000000,"SLO 不可達")</f>
        <v>0.00285262490355245</v>
      </c>
      <c r="G77" s="80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1539</v>
      </c>
      <c r="B78" s="53" t="s">
        <v>373</v>
      </c>
      <c r="C78" s="80" t="n">
        <f aca="false">IF(ISNUMBER(Unit_Cost!J21),(C35*Unit_Cost!J19+C36*(Unit_Cost!J20+Cache_Store!J17*C50/B4_Retain)+C37*Unit_Cost!J21)/1000000,"SLO 不可達")</f>
        <v>0.000149303269814476</v>
      </c>
      <c r="D78" s="80" t="n">
        <f aca="false">IF(ISNUMBER(Unit_Cost!J21),(D35*Unit_Cost!J19+D36*(Unit_Cost!J20+Cache_Store!J17*D50/B4_Retain)+D37*Unit_Cost!J21)/1000000,"SLO 不可達")</f>
        <v>0.00099240661009389</v>
      </c>
      <c r="E78" s="80" t="n">
        <f aca="false">IF(ISNUMBER(Unit_Cost!J21),(E35*Unit_Cost!J19+E36*(Unit_Cost!J20+Cache_Store!J17*E50/B4_Retain)+E37*Unit_Cost!J21)/1000000,"SLO 不可達")</f>
        <v>0.000437698827677625</v>
      </c>
      <c r="F78" s="80" t="n">
        <f aca="false">IF(ISNUMBER(Unit_Cost!J21),(F35*Unit_Cost!J19+F36*(Unit_Cost!J20+Cache_Store!J17*F50/B4_Retain)+F37*Unit_Cost!J21)/1000000,"SLO 不可達")</f>
        <v>0.0017507953107105</v>
      </c>
      <c r="G78" s="80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1540</v>
      </c>
      <c r="B79" s="53" t="s">
        <v>373</v>
      </c>
      <c r="C79" s="80" t="n">
        <f aca="false">IF(ISNUMBER(Unit_Cost!J34),(C18*Unit_Cost!J32+C19*(Unit_Cost!J33+Cache_Store!J23*C48/B4_Retain)+C20*Unit_Cost!J34)/1000000,"SLO 不可達")</f>
        <v>0.000525686393008483</v>
      </c>
      <c r="D79" s="80" t="n">
        <f aca="false">IF(ISNUMBER(Unit_Cost!J34),(D18*Unit_Cost!J32+D19*(Unit_Cost!J33+Cache_Store!J23*D48/B4_Retain)+D20*Unit_Cost!J34)/1000000,"SLO 不可達")</f>
        <v>0.00349626607524852</v>
      </c>
      <c r="E79" s="80" t="n">
        <f aca="false">IF(ISNUMBER(Unit_Cost!J34),(E18*Unit_Cost!J32+E19*(Unit_Cost!J33+Cache_Store!J23*E48/B4_Retain)+E20*Unit_Cost!J34)/1000000,"SLO 不可達")</f>
        <v>0.00250954374500946</v>
      </c>
      <c r="F79" s="80" t="n">
        <f aca="false">IF(ISNUMBER(Unit_Cost!J34),(F18*Unit_Cost!J32+F19*(Unit_Cost!J33+Cache_Store!J23*F48/B4_Retain)+F20*Unit_Cost!J34)/1000000,"SLO 不可達")</f>
        <v>0.0100381749800378</v>
      </c>
      <c r="G79" s="80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1541</v>
      </c>
      <c r="B80" s="53" t="s">
        <v>373</v>
      </c>
      <c r="C80" s="80" t="n">
        <f aca="false">IF(ISNUMBER(Unit_Cost!J34),(C41*Unit_Cost!J32+C42*(Unit_Cost!J33+Cache_Store!J23*C49/B4_Retain)+C43*Unit_Cost!J34)/1000000,"SLO 不可達")</f>
        <v>0.000525686393008483</v>
      </c>
      <c r="D80" s="80" t="n">
        <f aca="false">IF(ISNUMBER(Unit_Cost!J34),(D41*Unit_Cost!J32+D42*(Unit_Cost!J33+Cache_Store!J23*D49/B4_Retain)+D43*Unit_Cost!J34)/1000000,"SLO 不可達")</f>
        <v>0.00349626607524852</v>
      </c>
      <c r="E80" s="80" t="n">
        <f aca="false">IF(ISNUMBER(Unit_Cost!J34),(E41*Unit_Cost!J32+E42*(Unit_Cost!J33+Cache_Store!J23*E49/B4_Retain)+E43*Unit_Cost!J34)/1000000,"SLO 不可達")</f>
        <v>0.00250954374500946</v>
      </c>
      <c r="F80" s="80" t="n">
        <f aca="false">IF(ISNUMBER(Unit_Cost!J34),(F41*Unit_Cost!J32+F42*(Unit_Cost!J33+Cache_Store!J23*F49/B4_Retain)+F43*Unit_Cost!J34)/1000000,"SLO 不可達")</f>
        <v>0.0100381749800378</v>
      </c>
      <c r="G80" s="80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1542</v>
      </c>
      <c r="B81" s="53" t="s">
        <v>373</v>
      </c>
      <c r="C81" s="80" t="n">
        <f aca="false">IF(ISNUMBER(Unit_Cost!J34),(C35*Unit_Cost!J32+C36*(Unit_Cost!J33+Cache_Store!J23*C50/B4_Retain)+C37*Unit_Cost!J34)/1000000,"SLO 不可達")</f>
        <v>0.000525686393008483</v>
      </c>
      <c r="D81" s="80" t="n">
        <f aca="false">IF(ISNUMBER(Unit_Cost!J34),(D35*Unit_Cost!J32+D36*(Unit_Cost!J33+Cache_Store!J23*D50/B4_Retain)+D37*Unit_Cost!J34)/1000000,"SLO 不可達")</f>
        <v>0.00349626607524852</v>
      </c>
      <c r="E81" s="80" t="n">
        <f aca="false">IF(ISNUMBER(Unit_Cost!J34),(E35*Unit_Cost!J32+E36*(Unit_Cost!J33+Cache_Store!J23*E50/B4_Retain)+E37*Unit_Cost!J34)/1000000,"SLO 不可達")</f>
        <v>0.00153825695867398</v>
      </c>
      <c r="F81" s="80" t="n">
        <f aca="false">IF(ISNUMBER(Unit_Cost!J34),(F35*Unit_Cost!J32+F36*(Unit_Cost!J33+Cache_Store!J23*F50/B4_Retain)+F37*Unit_Cost!J34)/1000000,"SLO 不可達")</f>
        <v>0.0061530278346959</v>
      </c>
      <c r="G81" s="80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1543</v>
      </c>
      <c r="B82" s="53" t="s">
        <v>373</v>
      </c>
      <c r="C82" s="80" t="n">
        <f aca="false">IF(ISNUMBER(Unit_Cost!J47),(C18*Unit_Cost!J45+C19*(Unit_Cost!J46+Cache_Store!J29*C48/B4_Retain)+C20*Unit_Cost!J47)/1000000,"SLO 不可達")</f>
        <v>0.00355844645685093</v>
      </c>
      <c r="D82" s="80" t="n">
        <f aca="false">IF(ISNUMBER(Unit_Cost!J47),(D18*Unit_Cost!J45+D19*(Unit_Cost!J46+Cache_Store!J29*D48/B4_Retain)+D20*Unit_Cost!J47)/1000000,"SLO 不可達")</f>
        <v>0.0250258087514192</v>
      </c>
      <c r="E82" s="80" t="n">
        <f aca="false">IF(ISNUMBER(Unit_Cost!J47),(E18*Unit_Cost!J45+E19*(Unit_Cost!J46+Cache_Store!J29*E48/B4_Retain)+E20*Unit_Cost!J47)/1000000,"SLO 不可達")</f>
        <v>0.0170463167986107</v>
      </c>
      <c r="F82" s="80" t="n">
        <f aca="false">IF(ISNUMBER(Unit_Cost!J47),(F18*Unit_Cost!J45+F19*(Unit_Cost!J46+Cache_Store!J29*F48/B4_Retain)+F20*Unit_Cost!J47)/1000000,"SLO 不可達")</f>
        <v>0.0681852671944426</v>
      </c>
      <c r="G82" s="80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1544</v>
      </c>
      <c r="B83" s="53" t="s">
        <v>373</v>
      </c>
      <c r="C83" s="80" t="n">
        <f aca="false">IF(ISNUMBER(Unit_Cost!J47),(C41*Unit_Cost!J45+C42*(Unit_Cost!J46+Cache_Store!J29*C49/B4_Retain)+C43*Unit_Cost!J47)/1000000,"SLO 不可達")</f>
        <v>0.00355844645685093</v>
      </c>
      <c r="D83" s="80" t="n">
        <f aca="false">IF(ISNUMBER(Unit_Cost!J47),(D41*Unit_Cost!J45+D42*(Unit_Cost!J46+Cache_Store!J29*D49/B4_Retain)+D43*Unit_Cost!J47)/1000000,"SLO 不可達")</f>
        <v>0.0250258087514192</v>
      </c>
      <c r="E83" s="80" t="n">
        <f aca="false">IF(ISNUMBER(Unit_Cost!J47),(E41*Unit_Cost!J45+E42*(Unit_Cost!J46+Cache_Store!J29*E49/B4_Retain)+E43*Unit_Cost!J47)/1000000,"SLO 不可達")</f>
        <v>0.0170463167986107</v>
      </c>
      <c r="F83" s="80" t="n">
        <f aca="false">IF(ISNUMBER(Unit_Cost!J47),(F41*Unit_Cost!J45+F42*(Unit_Cost!J46+Cache_Store!J29*F49/B4_Retain)+F43*Unit_Cost!J47)/1000000,"SLO 不可達")</f>
        <v>0.0681852671944426</v>
      </c>
      <c r="G83" s="80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1545</v>
      </c>
      <c r="B84" s="53" t="s">
        <v>373</v>
      </c>
      <c r="C84" s="80" t="n">
        <f aca="false">IF(ISNUMBER(Unit_Cost!J47),(C35*Unit_Cost!J45+C36*(Unit_Cost!J46+Cache_Store!J29*C50/B4_Retain)+C37*Unit_Cost!J47)/1000000,"SLO 不可達")</f>
        <v>0.00355844645685093</v>
      </c>
      <c r="D84" s="80" t="n">
        <f aca="false">IF(ISNUMBER(Unit_Cost!J47),(D35*Unit_Cost!J45+D36*(Unit_Cost!J46+Cache_Store!J29*D50/B4_Retain)+D37*Unit_Cost!J47)/1000000,"SLO 不可達")</f>
        <v>0.0250258087514192</v>
      </c>
      <c r="E84" s="80" t="n">
        <f aca="false">IF(ISNUMBER(Unit_Cost!J47),(E35*Unit_Cost!J45+E36*(Unit_Cost!J46+Cache_Store!J29*E50/B4_Retain)+E37*Unit_Cost!J47)/1000000,"SLO 不可達")</f>
        <v>0.0104082785978565</v>
      </c>
      <c r="F84" s="80" t="n">
        <f aca="false">IF(ISNUMBER(Unit_Cost!J47),(F35*Unit_Cost!J45+F36*(Unit_Cost!J46+Cache_Store!J29*F50/B4_Retain)+F37*Unit_Cost!J47)/1000000,"SLO 不可達")</f>
        <v>0.0416331143914262</v>
      </c>
      <c r="G84" s="80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82" t="s">
        <v>1546</v>
      </c>
      <c r="B86" s="60"/>
      <c r="C86" s="60"/>
      <c r="D86" s="60"/>
      <c r="E86" s="60"/>
      <c r="F86" s="60"/>
      <c r="G86" s="60"/>
      <c r="H86" s="60"/>
    </row>
    <row r="87" customFormat="false" ht="15" hidden="false" customHeight="false" outlineLevel="0" collapsed="false">
      <c r="A87" s="6" t="s">
        <v>1528</v>
      </c>
      <c r="B87" s="53" t="s">
        <v>373</v>
      </c>
      <c r="C87" s="159" t="n">
        <f aca="false">IF(AND(ISNUMBER(C67),C56&gt;0),C67/C56,"SLO 不可達")</f>
        <v>9.93021290606536E-005</v>
      </c>
      <c r="D87" s="159" t="n">
        <f aca="false">IF(AND(ISNUMBER(D67),D56&gt;0),D67/D56,"SLO 不可達")</f>
        <v>0.000713517096708826</v>
      </c>
      <c r="E87" s="159" t="n">
        <f aca="false">IF(AND(ISNUMBER(E67),E56&gt;0),E67/E56,"SLO 不可達")</f>
        <v>0.000657218729523327</v>
      </c>
      <c r="F87" s="159" t="n">
        <f aca="false">IF(AND(ISNUMBER(F67),F56&gt;0),F67/F56,"SLO 不可達")</f>
        <v>0.00409455440111599</v>
      </c>
      <c r="G87" s="159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1529</v>
      </c>
      <c r="B88" s="53" t="s">
        <v>373</v>
      </c>
      <c r="C88" s="160" t="n">
        <f aca="false">IF(AND(ISNUMBER(C68),C57&gt;0),C68/C57,"SLO 不可達")</f>
        <v>9.93021290606536E-005</v>
      </c>
      <c r="D88" s="160" t="n">
        <f aca="false">IF(AND(ISNUMBER(D68),D57&gt;0),D68/D57,"SLO 不可達")</f>
        <v>0.000713517096708826</v>
      </c>
      <c r="E88" s="160" t="n">
        <f aca="false">IF(AND(ISNUMBER(E68),E57&gt;0),E68/E57,"SLO 不可達")</f>
        <v>0.000657218729523327</v>
      </c>
      <c r="F88" s="160" t="n">
        <f aca="false">IF(AND(ISNUMBER(F68),F57&gt;0),F68/F57,"SLO 不可達")</f>
        <v>0.00409455440111599</v>
      </c>
      <c r="G88" s="160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1530</v>
      </c>
      <c r="B89" s="53" t="s">
        <v>373</v>
      </c>
      <c r="C89" s="159" t="n">
        <f aca="false">IF(AND(ISNUMBER(C69),C58&gt;0),C69/C58,"SLO 不可達")</f>
        <v>9.93021290606536E-005</v>
      </c>
      <c r="D89" s="159" t="n">
        <f aca="false">IF(AND(ISNUMBER(D69),D58&gt;0),D69/D58,"SLO 不可達")</f>
        <v>0.000713517096708826</v>
      </c>
      <c r="E89" s="159" t="n">
        <f aca="false">IF(AND(ISNUMBER(E69),E58&gt;0),E69/E58,"SLO 不可達")</f>
        <v>0.000388284436848784</v>
      </c>
      <c r="F89" s="159" t="n">
        <f aca="false">IF(AND(ISNUMBER(F69),F58&gt;0),F69/F58,"SLO 不可達")</f>
        <v>0.00195210156901907</v>
      </c>
      <c r="G89" s="159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1531</v>
      </c>
      <c r="B90" s="53" t="s">
        <v>373</v>
      </c>
      <c r="C90" s="159" t="n">
        <f aca="false">IF(AND(ISNUMBER(C70),C59&gt;0),C70/C59,"SLO 不可達")</f>
        <v>0.000313975550549066</v>
      </c>
      <c r="D90" s="159" t="n">
        <f aca="false">IF(AND(ISNUMBER(D70),D59&gt;0),D70/D59,"SLO 不可達")</f>
        <v>0.00210683061419392</v>
      </c>
      <c r="E90" s="159" t="n">
        <f aca="false">IF(AND(ISNUMBER(E70),E59&gt;0),E70/E59,"SLO 不可達")</f>
        <v>0.00166710208288471</v>
      </c>
      <c r="F90" s="159" t="n">
        <f aca="false">IF(AND(ISNUMBER(F70),F59&gt;0),F70/F59,"SLO 不可達")</f>
        <v>0.00802315262845764</v>
      </c>
      <c r="G90" s="159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1532</v>
      </c>
      <c r="B91" s="53" t="s">
        <v>373</v>
      </c>
      <c r="C91" s="160" t="n">
        <f aca="false">IF(AND(ISNUMBER(C71),C60&gt;0),C71/C60,"SLO 不可達")</f>
        <v>0.000313975550549066</v>
      </c>
      <c r="D91" s="160" t="n">
        <f aca="false">IF(AND(ISNUMBER(D71),D60&gt;0),D71/D60,"SLO 不可達")</f>
        <v>0.00210683061419392</v>
      </c>
      <c r="E91" s="160" t="n">
        <f aca="false">IF(AND(ISNUMBER(E71),E60&gt;0),E71/E60,"SLO 不可達")</f>
        <v>0.00166710208288471</v>
      </c>
      <c r="F91" s="160" t="n">
        <f aca="false">IF(AND(ISNUMBER(F71),F60&gt;0),F71/F60,"SLO 不可達")</f>
        <v>0.00802315262845764</v>
      </c>
      <c r="G91" s="160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1533</v>
      </c>
      <c r="B92" s="53" t="s">
        <v>373</v>
      </c>
      <c r="C92" s="159" t="n">
        <f aca="false">IF(AND(ISNUMBER(C72),C61&gt;0),C72/C61,"SLO 不可達")</f>
        <v>0.000313975550549066</v>
      </c>
      <c r="D92" s="159" t="n">
        <f aca="false">IF(AND(ISNUMBER(D72),D61&gt;0),D72/D61,"SLO 不可達")</f>
        <v>0.00210683061419392</v>
      </c>
      <c r="E92" s="159" t="n">
        <f aca="false">IF(AND(ISNUMBER(E72),E61&gt;0),E72/E61,"SLO 不可達")</f>
        <v>0.001009307659838</v>
      </c>
      <c r="F92" s="159" t="n">
        <f aca="false">IF(AND(ISNUMBER(F72),F61&gt;0),F72/F61,"SLO 不可達")</f>
        <v>0.00440563203086322</v>
      </c>
      <c r="G92" s="159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1534</v>
      </c>
      <c r="B93" s="53" t="s">
        <v>373</v>
      </c>
      <c r="C93" s="159" t="n">
        <f aca="false">IF(AND(ISNUMBER(C73),C62&gt;0),C73/C62,"SLO 不可達")</f>
        <v>0.00153296462437356</v>
      </c>
      <c r="D93" s="159" t="n">
        <f aca="false">IF(AND(ISNUMBER(D73),D62&gt;0),D73/D62,"SLO 不可達")</f>
        <v>0.0106104310575561</v>
      </c>
      <c r="E93" s="159" t="n">
        <f aca="false">IF(AND(ISNUMBER(E73),E62&gt;0),E73/E62,"SLO 不可達")</f>
        <v>0.00783980997069258</v>
      </c>
      <c r="F93" s="159" t="n">
        <f aca="false">IF(AND(ISNUMBER(F73),F62&gt;0),F73/F62,"SLO 不可達")</f>
        <v>0.0353260812829667</v>
      </c>
      <c r="G93" s="159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1535</v>
      </c>
      <c r="B94" s="53" t="s">
        <v>373</v>
      </c>
      <c r="C94" s="160" t="n">
        <f aca="false">IF(AND(ISNUMBER(C74),C63&gt;0),C74/C63,"SLO 不可達")</f>
        <v>0.00153296462437356</v>
      </c>
      <c r="D94" s="160" t="n">
        <f aca="false">IF(AND(ISNUMBER(D74),D63&gt;0),D74/D63,"SLO 不可達")</f>
        <v>0.0106104310575561</v>
      </c>
      <c r="E94" s="160" t="n">
        <f aca="false">IF(AND(ISNUMBER(E74),E63&gt;0),E74/E63,"SLO 不可達")</f>
        <v>0.00783980997069258</v>
      </c>
      <c r="F94" s="160" t="n">
        <f aca="false">IF(AND(ISNUMBER(F74),F63&gt;0),F74/F63,"SLO 不可達")</f>
        <v>0.0353260812829667</v>
      </c>
      <c r="G94" s="160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1536</v>
      </c>
      <c r="B95" s="53" t="s">
        <v>373</v>
      </c>
      <c r="C95" s="159" t="n">
        <f aca="false">IF(AND(ISNUMBER(C75),C64&gt;0),C75/C64,"SLO 不可達")</f>
        <v>0.00153296462437356</v>
      </c>
      <c r="D95" s="159" t="n">
        <f aca="false">IF(AND(ISNUMBER(D75),D64&gt;0),D75/D64,"SLO 不可達")</f>
        <v>0.0106104310575561</v>
      </c>
      <c r="E95" s="159" t="n">
        <f aca="false">IF(AND(ISNUMBER(E75),E64&gt;0),E75/E64,"SLO 不可達")</f>
        <v>0.00476836601747026</v>
      </c>
      <c r="F95" s="159" t="n">
        <f aca="false">IF(AND(ISNUMBER(F75),F64&gt;0),F75/F64,"SLO 不可達")</f>
        <v>0.0201513110962422</v>
      </c>
      <c r="G95" s="159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1537</v>
      </c>
      <c r="B96" s="53" t="s">
        <v>373</v>
      </c>
      <c r="C96" s="159" t="n">
        <f aca="false">IF(AND(ISNUMBER(C76),C56&gt;0),C76/C56,"SLO 不可達")</f>
        <v>0.000155161593605132</v>
      </c>
      <c r="D96" s="159" t="n">
        <f aca="false">IF(AND(ISNUMBER(D76),D56&gt;0),D76/D56,"SLO 不可達")</f>
        <v>0.00112260967398458</v>
      </c>
      <c r="E96" s="159" t="n">
        <f aca="false">IF(AND(ISNUMBER(E76),E56&gt;0),E76/E56,"SLO 不可達")</f>
        <v>0.00102601168457699</v>
      </c>
      <c r="F96" s="159" t="n">
        <f aca="false">IF(AND(ISNUMBER(F76),F56&gt;0),F76/F56,"SLO 不可達")</f>
        <v>0.00639218036547454</v>
      </c>
      <c r="G96" s="159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1538</v>
      </c>
      <c r="B97" s="53" t="s">
        <v>373</v>
      </c>
      <c r="C97" s="159" t="n">
        <f aca="false">IF(AND(ISNUMBER(C77),C57&gt;0),C77/C57,"SLO 不可達")</f>
        <v>0.000155161593605132</v>
      </c>
      <c r="D97" s="159" t="n">
        <f aca="false">IF(AND(ISNUMBER(D77),D57&gt;0),D77/D57,"SLO 不可達")</f>
        <v>0.00112260967398458</v>
      </c>
      <c r="E97" s="159" t="n">
        <f aca="false">IF(AND(ISNUMBER(E77),E57&gt;0),E77/E57,"SLO 不可達")</f>
        <v>0.00102601168457699</v>
      </c>
      <c r="F97" s="159" t="n">
        <f aca="false">IF(AND(ISNUMBER(F77),F57&gt;0),F77/F57,"SLO 不可達")</f>
        <v>0.00639218036547454</v>
      </c>
      <c r="G97" s="159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1539</v>
      </c>
      <c r="B98" s="53" t="s">
        <v>373</v>
      </c>
      <c r="C98" s="159" t="n">
        <f aca="false">IF(AND(ISNUMBER(C78),C58&gt;0),C78/C58,"SLO 不可達")</f>
        <v>0.000155161593605132</v>
      </c>
      <c r="D98" s="159" t="n">
        <f aca="false">IF(AND(ISNUMBER(D78),D58&gt;0),D78/D58,"SLO 不可達")</f>
        <v>0.00112260967398458</v>
      </c>
      <c r="E98" s="159" t="n">
        <f aca="false">IF(AND(ISNUMBER(E78),E58&gt;0),E78/E58,"SLO 不可達")</f>
        <v>0.000605173257481953</v>
      </c>
      <c r="F98" s="159" t="n">
        <f aca="false">IF(AND(ISNUMBER(F78),F58&gt;0),F78/F58,"SLO 不可達")</f>
        <v>0.00304251098768344</v>
      </c>
      <c r="G98" s="159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1540</v>
      </c>
      <c r="B99" s="53" t="s">
        <v>373</v>
      </c>
      <c r="C99" s="159" t="n">
        <f aca="false">IF(AND(ISNUMBER(C79),C59&gt;0),C79/C59,"SLO 不可達")</f>
        <v>0.000531563745556552</v>
      </c>
      <c r="D99" s="159" t="n">
        <f aca="false">IF(AND(ISNUMBER(D79),D59&gt;0),D79/D59,"SLO 不可達")</f>
        <v>0.00362696950560972</v>
      </c>
      <c r="E99" s="159" t="n">
        <f aca="false">IF(AND(ISNUMBER(E79),E59&gt;0),E79/E59,"SLO 不可達")</f>
        <v>0.00282323671313564</v>
      </c>
      <c r="F99" s="159" t="n">
        <f aca="false">IF(AND(ISNUMBER(F79),F59&gt;0),F79/F59,"SLO 不可達")</f>
        <v>0.0135872057795988</v>
      </c>
      <c r="G99" s="159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1541</v>
      </c>
      <c r="B100" s="53" t="s">
        <v>373</v>
      </c>
      <c r="C100" s="159" t="n">
        <f aca="false">IF(AND(ISNUMBER(C80),C60&gt;0),C80/C60,"SLO 不可達")</f>
        <v>0.000531563745556552</v>
      </c>
      <c r="D100" s="159" t="n">
        <f aca="false">IF(AND(ISNUMBER(D80),D60&gt;0),D80/D60,"SLO 不可達")</f>
        <v>0.00362696950560972</v>
      </c>
      <c r="E100" s="159" t="n">
        <f aca="false">IF(AND(ISNUMBER(E80),E60&gt;0),E80/E60,"SLO 不可達")</f>
        <v>0.00282323671313564</v>
      </c>
      <c r="F100" s="159" t="n">
        <f aca="false">IF(AND(ISNUMBER(F80),F60&gt;0),F80/F60,"SLO 不可達")</f>
        <v>0.0135872057795988</v>
      </c>
      <c r="G100" s="159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1542</v>
      </c>
      <c r="B101" s="53" t="s">
        <v>373</v>
      </c>
      <c r="C101" s="159" t="n">
        <f aca="false">IF(AND(ISNUMBER(C81),C61&gt;0),C81/C61,"SLO 不可達")</f>
        <v>0.000531563745556552</v>
      </c>
      <c r="D101" s="159" t="n">
        <f aca="false">IF(AND(ISNUMBER(D81),D61&gt;0),D81/D61,"SLO 不可達")</f>
        <v>0.00362696950560972</v>
      </c>
      <c r="E101" s="159" t="n">
        <f aca="false">IF(AND(ISNUMBER(E81),E61&gt;0),E81/E61,"SLO 不可達")</f>
        <v>0.00170596464475341</v>
      </c>
      <c r="F101" s="159" t="n">
        <f aca="false">IF(AND(ISNUMBER(F81),F61&gt;0),F81/F61,"SLO 不可達")</f>
        <v>0.00744654259698393</v>
      </c>
      <c r="G101" s="159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1543</v>
      </c>
      <c r="B102" s="53" t="s">
        <v>373</v>
      </c>
      <c r="C102" s="159" t="n">
        <f aca="false">IF(AND(ISNUMBER(C82),C62&gt;0),C82/C62,"SLO 不可達")</f>
        <v>0.00358210254583964</v>
      </c>
      <c r="D102" s="159" t="n">
        <f aca="false">IF(AND(ISNUMBER(D82),D62&gt;0),D82/D62,"SLO 不可達")</f>
        <v>0.025582094756697</v>
      </c>
      <c r="E102" s="159" t="n">
        <f aca="false">IF(AND(ISNUMBER(E82),E62&gt;0),E82/E62,"SLO 不可達")</f>
        <v>0.0183132918749543</v>
      </c>
      <c r="F102" s="159" t="n">
        <f aca="false">IF(AND(ISNUMBER(F82),F62&gt;0),F82/F62,"SLO 不可達")</f>
        <v>0.0825194538836735</v>
      </c>
      <c r="G102" s="159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1544</v>
      </c>
      <c r="B103" s="53" t="s">
        <v>373</v>
      </c>
      <c r="C103" s="159" t="n">
        <f aca="false">IF(AND(ISNUMBER(C83),C63&gt;0),C83/C63,"SLO 不可達")</f>
        <v>0.00358210254583964</v>
      </c>
      <c r="D103" s="159" t="n">
        <f aca="false">IF(AND(ISNUMBER(D83),D63&gt;0),D83/D63,"SLO 不可達")</f>
        <v>0.025582094756697</v>
      </c>
      <c r="E103" s="159" t="n">
        <f aca="false">IF(AND(ISNUMBER(E83),E63&gt;0),E83/E63,"SLO 不可達")</f>
        <v>0.0183132918749543</v>
      </c>
      <c r="F103" s="159" t="n">
        <f aca="false">IF(AND(ISNUMBER(F83),F63&gt;0),F83/F63,"SLO 不可達")</f>
        <v>0.0825194538836735</v>
      </c>
      <c r="G103" s="159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1545</v>
      </c>
      <c r="B104" s="53" t="s">
        <v>373</v>
      </c>
      <c r="C104" s="159" t="n">
        <f aca="false">IF(AND(ISNUMBER(C84),C64&gt;0),C84/C64,"SLO 不可達")</f>
        <v>0.00358210254583964</v>
      </c>
      <c r="D104" s="159" t="n">
        <f aca="false">IF(AND(ISNUMBER(D84),D64&gt;0),D84/D64,"SLO 不可達")</f>
        <v>0.025582094756697</v>
      </c>
      <c r="E104" s="159" t="n">
        <f aca="false">IF(AND(ISNUMBER(E84),E64&gt;0),E84/E64,"SLO 不可達")</f>
        <v>0.0110830093278828</v>
      </c>
      <c r="F104" s="159" t="n">
        <f aca="false">IF(AND(ISNUMBER(F84),F64&gt;0),F84/F64,"SLO 不可達")</f>
        <v>0.0468372536903544</v>
      </c>
      <c r="G104" s="159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1547</v>
      </c>
      <c r="B105" s="53" t="s">
        <v>248</v>
      </c>
      <c r="C105" s="66" t="n">
        <f aca="false">IF(C56&gt;0,C21/C56,0)</f>
        <v>3117.71323825531</v>
      </c>
      <c r="D105" s="66" t="n">
        <f aca="false">IF(D56&gt;0,D21/D56,0)</f>
        <v>7013.43573078971</v>
      </c>
      <c r="E105" s="66" t="n">
        <f aca="false">IF(E56&gt;0,E21/E56,0)</f>
        <v>39707.8809191629</v>
      </c>
      <c r="F105" s="66" t="n">
        <f aca="false">IF(F56&gt;0,F21/F56,0)</f>
        <v>247385.035259829</v>
      </c>
      <c r="G105" s="66" t="n">
        <f aca="false">IF(G56&gt;0,G21/G56,0)</f>
        <v>6737238.86760273</v>
      </c>
    </row>
    <row r="106" customFormat="false" ht="15" hidden="false" customHeight="false" outlineLevel="0" collapsed="false">
      <c r="A106" s="5" t="s">
        <v>1548</v>
      </c>
      <c r="B106" s="53" t="s">
        <v>248</v>
      </c>
      <c r="C106" s="66" t="n">
        <f aca="false">IF(C57&gt;0,C44/C57,0)</f>
        <v>3117.71323825531</v>
      </c>
      <c r="D106" s="66" t="n">
        <f aca="false">IF(D57&gt;0,D44/D57,0)</f>
        <v>7013.43573078971</v>
      </c>
      <c r="E106" s="66" t="n">
        <f aca="false">IF(E57&gt;0,E44/E57,0)</f>
        <v>39707.8809191629</v>
      </c>
      <c r="F106" s="66" t="n">
        <f aca="false">IF(F57&gt;0,F44/F57,0)</f>
        <v>247385.035259829</v>
      </c>
      <c r="G106" s="66" t="n">
        <f aca="false">IF(G57&gt;0,G44/G57,0)</f>
        <v>6737238.86760273</v>
      </c>
    </row>
    <row r="107" customFormat="false" ht="15" hidden="false" customHeight="false" outlineLevel="0" collapsed="false">
      <c r="A107" s="5" t="s">
        <v>1549</v>
      </c>
      <c r="B107" s="53" t="s">
        <v>248</v>
      </c>
      <c r="C107" s="66" t="n">
        <f aca="false">IF(C58&gt;0,C38/C58,0)</f>
        <v>3117.71323825531</v>
      </c>
      <c r="D107" s="66" t="n">
        <f aca="false">IF(D58&gt;0,D38/D58,0)</f>
        <v>7013.43573078971</v>
      </c>
      <c r="E107" s="66" t="n">
        <f aca="false">IF(E58&gt;0,E38/E58,0)</f>
        <v>22467.7637363593</v>
      </c>
      <c r="F107" s="66" t="n">
        <f aca="false">IF(F58&gt;0,F38/F58,0)</f>
        <v>112956.77261249</v>
      </c>
      <c r="G107" s="66" t="n">
        <f aca="false">IF(G58&gt;0,G38/G58,0)</f>
        <v>2271375.7832015</v>
      </c>
    </row>
    <row r="108" customFormat="false" ht="15" hidden="false" customHeight="false" outlineLevel="0" collapsed="false">
      <c r="A108" s="5" t="s">
        <v>1550</v>
      </c>
      <c r="B108" s="53" t="s">
        <v>248</v>
      </c>
      <c r="C108" s="66" t="n">
        <f aca="false">IF(C59&gt;0,C21/C59,0)</f>
        <v>3033.5410196625</v>
      </c>
      <c r="D108" s="66" t="n">
        <f aca="false">IF(D59&gt;0,D21/D59,0)</f>
        <v>6431.77906108929</v>
      </c>
      <c r="E108" s="66" t="n">
        <f aca="false">IF(E59&gt;0,E21/E59,0)</f>
        <v>31050</v>
      </c>
      <c r="F108" s="66" t="n">
        <f aca="false">IF(F59&gt;0,F21/F59,0)</f>
        <v>149432.294321497</v>
      </c>
      <c r="G108" s="66" t="n">
        <f aca="false">IF(G59&gt;0,G21/G59,0)</f>
        <v>2988000</v>
      </c>
    </row>
    <row r="109" customFormat="false" ht="15" hidden="false" customHeight="false" outlineLevel="0" collapsed="false">
      <c r="A109" s="5" t="s">
        <v>1551</v>
      </c>
      <c r="B109" s="53" t="s">
        <v>248</v>
      </c>
      <c r="C109" s="66" t="n">
        <f aca="false">IF(C60&gt;0,C44/C60,0)</f>
        <v>3033.5410196625</v>
      </c>
      <c r="D109" s="66" t="n">
        <f aca="false">IF(D60&gt;0,D44/D60,0)</f>
        <v>6431.77906108929</v>
      </c>
      <c r="E109" s="66" t="n">
        <f aca="false">IF(E60&gt;0,E44/E60,0)</f>
        <v>31050</v>
      </c>
      <c r="F109" s="66" t="n">
        <f aca="false">IF(F60&gt;0,F44/F60,0)</f>
        <v>149432.294321497</v>
      </c>
      <c r="G109" s="66" t="n">
        <f aca="false">IF(G60&gt;0,G44/G60,0)</f>
        <v>2988000</v>
      </c>
    </row>
    <row r="110" customFormat="false" ht="15" hidden="false" customHeight="false" outlineLevel="0" collapsed="false">
      <c r="A110" s="5" t="s">
        <v>1552</v>
      </c>
      <c r="B110" s="53" t="s">
        <v>248</v>
      </c>
      <c r="C110" s="66" t="n">
        <f aca="false">IF(C61&gt;0,C38/C61,0)</f>
        <v>3033.5410196625</v>
      </c>
      <c r="D110" s="66" t="n">
        <f aca="false">IF(D61&gt;0,D38/D61,0)</f>
        <v>6431.77906108929</v>
      </c>
      <c r="E110" s="66" t="n">
        <f aca="false">IF(E61&gt;0,E38/E61,0)</f>
        <v>18021.736744368</v>
      </c>
      <c r="F110" s="66" t="n">
        <f aca="false">IF(F61&gt;0,F38/F61,0)</f>
        <v>78664.9540195861</v>
      </c>
      <c r="G110" s="66" t="n">
        <f aca="false">IF(G61&gt;0,G38/G61,0)</f>
        <v>1173373.0817518</v>
      </c>
    </row>
    <row r="111" customFormat="false" ht="15" hidden="false" customHeight="false" outlineLevel="0" collapsed="false">
      <c r="A111" s="5" t="s">
        <v>1553</v>
      </c>
      <c r="B111" s="53" t="s">
        <v>248</v>
      </c>
      <c r="C111" s="66" t="n">
        <f aca="false">IF(C62&gt;0,C21/C62,0)</f>
        <v>3019.94360961354</v>
      </c>
      <c r="D111" s="66" t="n">
        <f aca="false">IF(D62&gt;0,D21/D62,0)</f>
        <v>6337.81665427802</v>
      </c>
      <c r="E111" s="66" t="n">
        <f aca="false">IF(E62&gt;0,E21/E62,0)</f>
        <v>29651.3822733797</v>
      </c>
      <c r="F111" s="66" t="n">
        <f aca="false">IF(F62&gt;0,F21/F62,0)</f>
        <v>133608.741061003</v>
      </c>
      <c r="G111" s="66" t="n">
        <f aca="false">IF(G62&gt;0,G21/G62,0)</f>
        <v>2382337.71490703</v>
      </c>
    </row>
    <row r="112" customFormat="false" ht="15" hidden="false" customHeight="false" outlineLevel="0" collapsed="false">
      <c r="A112" s="5" t="s">
        <v>1554</v>
      </c>
      <c r="B112" s="53" t="s">
        <v>248</v>
      </c>
      <c r="C112" s="66" t="n">
        <f aca="false">IF(C63&gt;0,C44/C63,0)</f>
        <v>3019.94360961354</v>
      </c>
      <c r="D112" s="66" t="n">
        <f aca="false">IF(D63&gt;0,D44/D63,0)</f>
        <v>6337.81665427802</v>
      </c>
      <c r="E112" s="66" t="n">
        <f aca="false">IF(E63&gt;0,E44/E63,0)</f>
        <v>29651.3822733797</v>
      </c>
      <c r="F112" s="66" t="n">
        <f aca="false">IF(F63&gt;0,F44/F63,0)</f>
        <v>133608.741061003</v>
      </c>
      <c r="G112" s="66" t="n">
        <f aca="false">IF(G63&gt;0,G44/G63,0)</f>
        <v>2382337.71490703</v>
      </c>
    </row>
    <row r="113" customFormat="false" ht="15" hidden="false" customHeight="false" outlineLevel="0" collapsed="false">
      <c r="A113" s="5" t="s">
        <v>1555</v>
      </c>
      <c r="B113" s="53" t="s">
        <v>248</v>
      </c>
      <c r="C113" s="66" t="n">
        <f aca="false">IF(C64&gt;0,C38/C64,0)</f>
        <v>3019.94360961354</v>
      </c>
      <c r="D113" s="66" t="n">
        <f aca="false">IF(D64&gt;0,D38/D64,0)</f>
        <v>6337.81665427802</v>
      </c>
      <c r="E113" s="66" t="n">
        <f aca="false">IF(E64&gt;0,E38/E64,0)</f>
        <v>17303.5134028725</v>
      </c>
      <c r="F113" s="66" t="n">
        <f aca="false">IF(F64&gt;0,F38/F64,0)</f>
        <v>73125.36</v>
      </c>
      <c r="G113" s="66" t="n">
        <f aca="false">IF(G64&gt;0,G38/G64,0)</f>
        <v>995998.726934155</v>
      </c>
    </row>
    <row r="115" customFormat="false" ht="15" hidden="false" customHeight="false" outlineLevel="0" collapsed="false">
      <c r="A115" s="82" t="s">
        <v>1556</v>
      </c>
      <c r="B115" s="60"/>
      <c r="C115" s="60"/>
      <c r="D115" s="60"/>
      <c r="E115" s="60"/>
      <c r="F115" s="60"/>
      <c r="G115" s="60"/>
      <c r="H115" s="60"/>
    </row>
    <row r="116" customFormat="false" ht="15" hidden="false" customHeight="false" outlineLevel="0" collapsed="false">
      <c r="A116" s="5" t="s">
        <v>1557</v>
      </c>
      <c r="B116" s="53" t="s">
        <v>373</v>
      </c>
      <c r="C116" s="159" t="n">
        <f aca="false">(C18*INDEX(B4_EffIn,1,1)+C19*INDEX(B4_EffCache,1,1)+C20*INDEX(B4_EffOut,1,1))/1000000</f>
        <v>0.000328</v>
      </c>
      <c r="D116" s="159" t="n">
        <f aca="false">(D18*INDEX(B4_EffIn,1,1)+D19*INDEX(B4_EffCache,1,1)+D20*INDEX(B4_EffOut,1,1))/1000000</f>
        <v>0.001608</v>
      </c>
      <c r="E116" s="159" t="n">
        <f aca="false">(E18*INDEX(B4_EffIn,1,1)+E19*INDEX(B4_EffCache,1,1)+E20*INDEX(B4_EffOut,1,1))/1000000</f>
        <v>0.00165408</v>
      </c>
      <c r="F116" s="159" t="n">
        <f aca="false">(F18*INDEX(B4_EffIn,1,1)+F19*INDEX(B4_EffCache,1,1)+F20*INDEX(B4_EffOut,1,1))/1000000</f>
        <v>0.00661632</v>
      </c>
      <c r="G116" s="159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1558</v>
      </c>
      <c r="B117" s="53" t="s">
        <v>373</v>
      </c>
      <c r="C117" s="159" t="n">
        <f aca="false">(C41*INDEX(B4_EffIn,1,1)+C42*INDEX(B4_EffCache,1,1)+C43*INDEX(B4_EffOut,1,1))/1000000</f>
        <v>0.000328</v>
      </c>
      <c r="D117" s="159" t="n">
        <f aca="false">(D41*INDEX(B4_EffIn,1,1)+D42*INDEX(B4_EffCache,1,1)+D43*INDEX(B4_EffOut,1,1))/1000000</f>
        <v>0.001608</v>
      </c>
      <c r="E117" s="159" t="n">
        <f aca="false">(E41*INDEX(B4_EffIn,1,1)+E42*INDEX(B4_EffCache,1,1)+E43*INDEX(B4_EffOut,1,1))/1000000</f>
        <v>0.00165408</v>
      </c>
      <c r="F117" s="159" t="n">
        <f aca="false">(F41*INDEX(B4_EffIn,1,1)+F42*INDEX(B4_EffCache,1,1)+F43*INDEX(B4_EffOut,1,1))/1000000</f>
        <v>0.00661632</v>
      </c>
      <c r="G117" s="159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1559</v>
      </c>
      <c r="B118" s="53" t="s">
        <v>373</v>
      </c>
      <c r="C118" s="159" t="n">
        <f aca="false">(C35*INDEX(B4_EffIn,1,1)+C36*INDEX(B4_EffCache,1,1)+C37*INDEX(B4_EffOut,1,1))/1000000</f>
        <v>0.000328</v>
      </c>
      <c r="D118" s="159" t="n">
        <f aca="false">(D35*INDEX(B4_EffIn,1,1)+D36*INDEX(B4_EffCache,1,1)+D37*INDEX(B4_EffOut,1,1))/1000000</f>
        <v>0.001608</v>
      </c>
      <c r="E118" s="159" t="n">
        <f aca="false">(E35*INDEX(B4_EffIn,1,1)+E36*INDEX(B4_EffCache,1,1)+E37*INDEX(B4_EffOut,1,1))/1000000</f>
        <v>0.001024998016</v>
      </c>
      <c r="F118" s="159" t="n">
        <f aca="false">(F35*INDEX(B4_EffIn,1,1)+F36*INDEX(B4_EffCache,1,1)+F37*INDEX(B4_EffOut,1,1))/1000000</f>
        <v>0.004099992064</v>
      </c>
      <c r="G118" s="159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1560</v>
      </c>
      <c r="B119" s="53" t="s">
        <v>373</v>
      </c>
      <c r="C119" s="159" t="n">
        <f aca="false">(C18*INDEX(B4_EffIn,1,2)+C19*INDEX(B4_EffCache,1,2)+C20*INDEX(B4_EffOut,1,2))/1000000</f>
        <v>0.00656</v>
      </c>
      <c r="D119" s="159" t="n">
        <f aca="false">(D18*INDEX(B4_EffIn,1,2)+D19*INDEX(B4_EffCache,1,2)+D20*INDEX(B4_EffOut,1,2))/1000000</f>
        <v>0.03216</v>
      </c>
      <c r="E119" s="159" t="n">
        <f aca="false">(E18*INDEX(B4_EffIn,1,2)+E19*INDEX(B4_EffCache,1,2)+E20*INDEX(B4_EffOut,1,2))/1000000</f>
        <v>0.0330816</v>
      </c>
      <c r="F119" s="159" t="n">
        <f aca="false">(F18*INDEX(B4_EffIn,1,2)+F19*INDEX(B4_EffCache,1,2)+F20*INDEX(B4_EffOut,1,2))/1000000</f>
        <v>0.1323264</v>
      </c>
      <c r="G119" s="159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1561</v>
      </c>
      <c r="B120" s="53" t="s">
        <v>373</v>
      </c>
      <c r="C120" s="159" t="n">
        <f aca="false">(C41*INDEX(B4_EffIn,1,2)+C42*INDEX(B4_EffCache,1,2)+C43*INDEX(B4_EffOut,1,2))/1000000</f>
        <v>0.00656</v>
      </c>
      <c r="D120" s="159" t="n">
        <f aca="false">(D41*INDEX(B4_EffIn,1,2)+D42*INDEX(B4_EffCache,1,2)+D43*INDEX(B4_EffOut,1,2))/1000000</f>
        <v>0.03216</v>
      </c>
      <c r="E120" s="159" t="n">
        <f aca="false">(E41*INDEX(B4_EffIn,1,2)+E42*INDEX(B4_EffCache,1,2)+E43*INDEX(B4_EffOut,1,2))/1000000</f>
        <v>0.0330816</v>
      </c>
      <c r="F120" s="159" t="n">
        <f aca="false">(F41*INDEX(B4_EffIn,1,2)+F42*INDEX(B4_EffCache,1,2)+F43*INDEX(B4_EffOut,1,2))/1000000</f>
        <v>0.1323264</v>
      </c>
      <c r="G120" s="159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1562</v>
      </c>
      <c r="B121" s="53" t="s">
        <v>373</v>
      </c>
      <c r="C121" s="159" t="n">
        <f aca="false">(C35*INDEX(B4_EffIn,1,2)+C36*INDEX(B4_EffCache,1,2)+C37*INDEX(B4_EffOut,1,2))/1000000</f>
        <v>0.00656</v>
      </c>
      <c r="D121" s="159" t="n">
        <f aca="false">(D35*INDEX(B4_EffIn,1,2)+D36*INDEX(B4_EffCache,1,2)+D37*INDEX(B4_EffOut,1,2))/1000000</f>
        <v>0.03216</v>
      </c>
      <c r="E121" s="159" t="n">
        <f aca="false">(E35*INDEX(B4_EffIn,1,2)+E36*INDEX(B4_EffCache,1,2)+E37*INDEX(B4_EffOut,1,2))/1000000</f>
        <v>0.02049996032</v>
      </c>
      <c r="F121" s="159" t="n">
        <f aca="false">(F35*INDEX(B4_EffIn,1,2)+F36*INDEX(B4_EffCache,1,2)+F37*INDEX(B4_EffOut,1,2))/1000000</f>
        <v>0.08199984128</v>
      </c>
      <c r="G121" s="159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1563</v>
      </c>
      <c r="B122" s="53" t="s">
        <v>373</v>
      </c>
      <c r="C122" s="159" t="n">
        <f aca="false">(C18*INDEX(B4_EffIn,1,3)+C19*INDEX(B4_EffCache,1,3)+C20*INDEX(B4_EffOut,1,3))/1000000</f>
        <v>0.0328</v>
      </c>
      <c r="D122" s="159" t="n">
        <f aca="false">(D18*INDEX(B4_EffIn,1,3)+D19*INDEX(B4_EffCache,1,3)+D20*INDEX(B4_EffOut,1,3))/1000000</f>
        <v>0.1608</v>
      </c>
      <c r="E122" s="159" t="n">
        <f aca="false">(E18*INDEX(B4_EffIn,1,3)+E19*INDEX(B4_EffCache,1,3)+E20*INDEX(B4_EffOut,1,3))/1000000</f>
        <v>0.165408</v>
      </c>
      <c r="F122" s="159" t="n">
        <f aca="false">(F18*INDEX(B4_EffIn,1,3)+F19*INDEX(B4_EffCache,1,3)+F20*INDEX(B4_EffOut,1,3))/1000000</f>
        <v>0.661632</v>
      </c>
      <c r="G122" s="159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1564</v>
      </c>
      <c r="B123" s="53" t="s">
        <v>373</v>
      </c>
      <c r="C123" s="159" t="n">
        <f aca="false">(C41*INDEX(B4_EffIn,1,3)+C42*INDEX(B4_EffCache,1,3)+C43*INDEX(B4_EffOut,1,3))/1000000</f>
        <v>0.0328</v>
      </c>
      <c r="D123" s="159" t="n">
        <f aca="false">(D41*INDEX(B4_EffIn,1,3)+D42*INDEX(B4_EffCache,1,3)+D43*INDEX(B4_EffOut,1,3))/1000000</f>
        <v>0.1608</v>
      </c>
      <c r="E123" s="159" t="n">
        <f aca="false">(E41*INDEX(B4_EffIn,1,3)+E42*INDEX(B4_EffCache,1,3)+E43*INDEX(B4_EffOut,1,3))/1000000</f>
        <v>0.165408</v>
      </c>
      <c r="F123" s="159" t="n">
        <f aca="false">(F41*INDEX(B4_EffIn,1,3)+F42*INDEX(B4_EffCache,1,3)+F43*INDEX(B4_EffOut,1,3))/1000000</f>
        <v>0.661632</v>
      </c>
      <c r="G123" s="159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1565</v>
      </c>
      <c r="B124" s="53" t="s">
        <v>373</v>
      </c>
      <c r="C124" s="159" t="n">
        <f aca="false">(C35*INDEX(B4_EffIn,1,3)+C36*INDEX(B4_EffCache,1,3)+C37*INDEX(B4_EffOut,1,3))/1000000</f>
        <v>0.0328</v>
      </c>
      <c r="D124" s="159" t="n">
        <f aca="false">(D35*INDEX(B4_EffIn,1,3)+D36*INDEX(B4_EffCache,1,3)+D37*INDEX(B4_EffOut,1,3))/1000000</f>
        <v>0.1608</v>
      </c>
      <c r="E124" s="159" t="n">
        <f aca="false">(E35*INDEX(B4_EffIn,1,3)+E36*INDEX(B4_EffCache,1,3)+E37*INDEX(B4_EffOut,1,3))/1000000</f>
        <v>0.1024998016</v>
      </c>
      <c r="F124" s="159" t="n">
        <f aca="false">(F35*INDEX(B4_EffIn,1,3)+F36*INDEX(B4_EffCache,1,3)+F37*INDEX(B4_EffOut,1,3))/1000000</f>
        <v>0.4099992064</v>
      </c>
      <c r="G124" s="159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1566</v>
      </c>
      <c r="B125" s="53" t="s">
        <v>373</v>
      </c>
      <c r="C125" s="159" t="n">
        <f aca="false">IF(C56&gt;0,C116/C56,0)</f>
        <v>0.000340869980715914</v>
      </c>
      <c r="D125" s="159" t="n">
        <f aca="false">IF(D56&gt;0,D116/D56,0)</f>
        <v>0.00181896849275965</v>
      </c>
      <c r="E125" s="159" t="n">
        <f aca="false">IF(E56&gt;0,E116/E56,0)</f>
        <v>0.00237971056778149</v>
      </c>
      <c r="F125" s="159" t="n">
        <f aca="false">IF(F56&gt;0,F116/F56,0)</f>
        <v>0.0148258927218325</v>
      </c>
      <c r="G125" s="159" t="n">
        <f aca="false">IF(G56&gt;0,G116/G56,0)</f>
        <v>0.171997108568582</v>
      </c>
    </row>
    <row r="126" customFormat="false" ht="15" hidden="false" customHeight="false" outlineLevel="0" collapsed="false">
      <c r="A126" s="5" t="s">
        <v>1567</v>
      </c>
      <c r="B126" s="53" t="s">
        <v>373</v>
      </c>
      <c r="C126" s="159" t="n">
        <f aca="false">IF(C57&gt;0,C117/C57,0)</f>
        <v>0.000340869980715914</v>
      </c>
      <c r="D126" s="159" t="n">
        <f aca="false">IF(D57&gt;0,D117/D57,0)</f>
        <v>0.00181896849275965</v>
      </c>
      <c r="E126" s="159" t="n">
        <f aca="false">IF(E57&gt;0,E117/E57,0)</f>
        <v>0.00237971056778149</v>
      </c>
      <c r="F126" s="159" t="n">
        <f aca="false">IF(F57&gt;0,F117/F57,0)</f>
        <v>0.0148258927218325</v>
      </c>
      <c r="G126" s="159" t="n">
        <f aca="false">IF(G57&gt;0,G117/G57,0)</f>
        <v>0.171997108568582</v>
      </c>
    </row>
    <row r="127" customFormat="false" ht="15" hidden="false" customHeight="false" outlineLevel="0" collapsed="false">
      <c r="A127" s="5" t="s">
        <v>1568</v>
      </c>
      <c r="B127" s="53" t="s">
        <v>373</v>
      </c>
      <c r="C127" s="159" t="n">
        <f aca="false">IF(C58&gt;0,C118/C58,0)</f>
        <v>0.000340869980715914</v>
      </c>
      <c r="D127" s="159" t="n">
        <f aca="false">IF(D58&gt;0,D118/D58,0)</f>
        <v>0.00181896849275965</v>
      </c>
      <c r="E127" s="159" t="n">
        <f aca="false">IF(E58&gt;0,E118/E58,0)</f>
        <v>0.00141718768484371</v>
      </c>
      <c r="F127" s="159" t="n">
        <f aca="false">IF(F58&gt;0,F118/F58,0)</f>
        <v>0.00712491678942907</v>
      </c>
      <c r="G127" s="159" t="n">
        <f aca="false">IF(G58&gt;0,G118/G58,0)</f>
        <v>0.0648763004524294</v>
      </c>
    </row>
    <row r="128" customFormat="false" ht="15" hidden="false" customHeight="false" outlineLevel="0" collapsed="false">
      <c r="A128" s="5" t="s">
        <v>1569</v>
      </c>
      <c r="B128" s="53" t="s">
        <v>373</v>
      </c>
      <c r="C128" s="159" t="n">
        <f aca="false">IF(C59&gt;0,C119/C59,0)</f>
        <v>0.00663334302966199</v>
      </c>
      <c r="D128" s="159" t="n">
        <f aca="false">IF(D59&gt;0,D119/D59,0)</f>
        <v>0.0333622604201019</v>
      </c>
      <c r="E128" s="159" t="n">
        <f aca="false">IF(E59&gt;0,E119/E59,0)</f>
        <v>0.0372168</v>
      </c>
      <c r="F128" s="159" t="n">
        <f aca="false">IF(F59&gt;0,F119/F59,0)</f>
        <v>0.179110847385002</v>
      </c>
      <c r="G128" s="159" t="n">
        <f aca="false">IF(G59&gt;0,G119/G59,0)</f>
        <v>1.525632</v>
      </c>
    </row>
    <row r="129" customFormat="false" ht="15" hidden="false" customHeight="false" outlineLevel="0" collapsed="false">
      <c r="A129" s="5" t="s">
        <v>1570</v>
      </c>
      <c r="B129" s="53" t="s">
        <v>373</v>
      </c>
      <c r="C129" s="159" t="n">
        <f aca="false">IF(C60&gt;0,C120/C60,0)</f>
        <v>0.00663334302966199</v>
      </c>
      <c r="D129" s="159" t="n">
        <f aca="false">IF(D60&gt;0,D120/D60,0)</f>
        <v>0.0333622604201019</v>
      </c>
      <c r="E129" s="159" t="n">
        <f aca="false">IF(E60&gt;0,E120/E60,0)</f>
        <v>0.0372168</v>
      </c>
      <c r="F129" s="159" t="n">
        <f aca="false">IF(F60&gt;0,F120/F60,0)</f>
        <v>0.179110847385002</v>
      </c>
      <c r="G129" s="159" t="n">
        <f aca="false">IF(G60&gt;0,G120/G60,0)</f>
        <v>1.525632</v>
      </c>
    </row>
    <row r="130" customFormat="false" ht="15" hidden="false" customHeight="false" outlineLevel="0" collapsed="false">
      <c r="A130" s="5" t="s">
        <v>1571</v>
      </c>
      <c r="B130" s="53" t="s">
        <v>373</v>
      </c>
      <c r="C130" s="159" t="n">
        <f aca="false">IF(C61&gt;0,C121/C61,0)</f>
        <v>0.00663334302966199</v>
      </c>
      <c r="D130" s="159" t="n">
        <f aca="false">IF(D61&gt;0,D121/D61,0)</f>
        <v>0.0333622604201019</v>
      </c>
      <c r="E130" s="159" t="n">
        <f aca="false">IF(E61&gt;0,E121/E61,0)</f>
        <v>0.022734958114485</v>
      </c>
      <c r="F130" s="159" t="n">
        <f aca="false">IF(F61&gt;0,F121/F61,0)</f>
        <v>0.0992381844259314</v>
      </c>
      <c r="G130" s="159" t="n">
        <f aca="false">IF(G61&gt;0,G121/G61,0)</f>
        <v>0.670290712417705</v>
      </c>
    </row>
    <row r="131" customFormat="false" ht="15" hidden="false" customHeight="false" outlineLevel="0" collapsed="false">
      <c r="A131" s="5" t="s">
        <v>1572</v>
      </c>
      <c r="B131" s="53" t="s">
        <v>373</v>
      </c>
      <c r="C131" s="159" t="n">
        <f aca="false">IF(C62&gt;0,C122/C62,0)</f>
        <v>0.0330180501317747</v>
      </c>
      <c r="D131" s="159" t="n">
        <f aca="false">IF(D62&gt;0,D122/D62,0)</f>
        <v>0.164374341614178</v>
      </c>
      <c r="E131" s="159" t="n">
        <f aca="false">IF(E62&gt;0,E122/E62,0)</f>
        <v>0.177702023154898</v>
      </c>
      <c r="F131" s="159" t="n">
        <f aca="false">IF(F62&gt;0,F122/F62,0)</f>
        <v>0.800722994254286</v>
      </c>
      <c r="G131" s="159" t="n">
        <f aca="false">IF(G62&gt;0,G122/G62,0)</f>
        <v>6.08194553659479</v>
      </c>
    </row>
    <row r="132" customFormat="false" ht="15" hidden="false" customHeight="false" outlineLevel="0" collapsed="false">
      <c r="A132" s="5" t="s">
        <v>1573</v>
      </c>
      <c r="B132" s="53" t="s">
        <v>373</v>
      </c>
      <c r="C132" s="159" t="n">
        <f aca="false">IF(C63&gt;0,C123/C63,0)</f>
        <v>0.0330180501317747</v>
      </c>
      <c r="D132" s="159" t="n">
        <f aca="false">IF(D63&gt;0,D123/D63,0)</f>
        <v>0.164374341614178</v>
      </c>
      <c r="E132" s="159" t="n">
        <f aca="false">IF(E63&gt;0,E123/E63,0)</f>
        <v>0.177702023154898</v>
      </c>
      <c r="F132" s="159" t="n">
        <f aca="false">IF(F63&gt;0,F123/F63,0)</f>
        <v>0.800722994254286</v>
      </c>
      <c r="G132" s="159" t="n">
        <f aca="false">IF(G63&gt;0,G123/G63,0)</f>
        <v>6.08194553659479</v>
      </c>
    </row>
    <row r="133" customFormat="false" ht="15" hidden="false" customHeight="false" outlineLevel="0" collapsed="false">
      <c r="A133" s="5" t="s">
        <v>1574</v>
      </c>
      <c r="B133" s="53" t="s">
        <v>373</v>
      </c>
      <c r="C133" s="159" t="n">
        <f aca="false">IF(C64&gt;0,C124/C64,0)</f>
        <v>0.0330180501317747</v>
      </c>
      <c r="D133" s="159" t="n">
        <f aca="false">IF(D64&gt;0,D124/D64,0)</f>
        <v>0.164374341614178</v>
      </c>
      <c r="E133" s="159" t="n">
        <f aca="false">IF(E64&gt;0,E124/E64,0)</f>
        <v>0.109144489798042</v>
      </c>
      <c r="F133" s="159" t="n">
        <f aca="false">IF(F64&gt;0,F124/F64,0)</f>
        <v>0.4612491072</v>
      </c>
      <c r="G133" s="159" t="n">
        <f aca="false">IF(G64&gt;0,G124/G64,0)</f>
        <v>2.84482704872992</v>
      </c>
    </row>
    <row r="135" customFormat="false" ht="15" hidden="false" customHeight="false" outlineLevel="0" collapsed="false">
      <c r="A135" s="82" t="s">
        <v>1575</v>
      </c>
      <c r="B135" s="60"/>
      <c r="C135" s="60"/>
      <c r="D135" s="60"/>
      <c r="E135" s="60"/>
      <c r="F135" s="60"/>
      <c r="G135" s="60"/>
      <c r="H135" s="60"/>
    </row>
    <row r="136" customFormat="false" ht="15" hidden="false" customHeight="false" outlineLevel="0" collapsed="false">
      <c r="A136" s="6" t="s">
        <v>1576</v>
      </c>
      <c r="B136" s="53" t="s">
        <v>73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1577</v>
      </c>
      <c r="B137" s="53" t="s">
        <v>73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1578</v>
      </c>
      <c r="B138" s="53" t="s">
        <v>73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1579</v>
      </c>
      <c r="B139" s="53" t="s">
        <v>73</v>
      </c>
      <c r="C139" s="67" t="n">
        <f aca="false">IF(AND(ISNUMBER(C98),ISNUMBER(C96)),C98/C96,"SLO 不可達")</f>
        <v>1</v>
      </c>
      <c r="D139" s="67" t="n">
        <f aca="false">IF(AND(ISNUMBER(D98),ISNUMBER(D96)),D98/D96,"SLO 不可達")</f>
        <v>1</v>
      </c>
      <c r="E139" s="67" t="n">
        <f aca="false">IF(AND(ISNUMBER(E98),ISNUMBER(E96)),E98/E96,"SLO 不可達")</f>
        <v>0.589830765652011</v>
      </c>
      <c r="F139" s="67" t="n">
        <f aca="false">IF(AND(ISNUMBER(F98),ISNUMBER(F96)),F98/F96,"SLO 不可達")</f>
        <v>0.475973895248116</v>
      </c>
      <c r="G139" s="67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1580</v>
      </c>
      <c r="B140" s="53" t="s">
        <v>73</v>
      </c>
      <c r="C140" s="67" t="n">
        <f aca="false">IF(AND(ISNUMBER(C101),ISNUMBER(C99)),C101/C99,"SLO 不可達")</f>
        <v>1</v>
      </c>
      <c r="D140" s="67" t="n">
        <f aca="false">IF(AND(ISNUMBER(D101),ISNUMBER(D99)),D101/D99,"SLO 不可達")</f>
        <v>1</v>
      </c>
      <c r="E140" s="67" t="n">
        <f aca="false">IF(AND(ISNUMBER(E101),ISNUMBER(E99)),E101/E99,"SLO 不可達")</f>
        <v>0.60425845159072</v>
      </c>
      <c r="F140" s="67" t="n">
        <f aca="false">IF(AND(ISNUMBER(F101),ISNUMBER(F99)),F101/F99,"SLO 不可達")</f>
        <v>0.548055480852799</v>
      </c>
      <c r="G140" s="67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1581</v>
      </c>
      <c r="B141" s="53" t="s">
        <v>73</v>
      </c>
      <c r="C141" s="67" t="n">
        <f aca="false">IF(AND(ISNUMBER(C104),ISNUMBER(C102)),C104/C102,"SLO 不可達")</f>
        <v>1</v>
      </c>
      <c r="D141" s="67" t="n">
        <f aca="false">IF(AND(ISNUMBER(D104),ISNUMBER(D102)),D104/D102,"SLO 不可達")</f>
        <v>1</v>
      </c>
      <c r="E141" s="67" t="n">
        <f aca="false">IF(AND(ISNUMBER(E104),ISNUMBER(E102)),E104/E102,"SLO 不可達")</f>
        <v>0.60518935664648</v>
      </c>
      <c r="F141" s="67" t="n">
        <f aca="false">IF(AND(ISNUMBER(F104),ISNUMBER(F102)),F104/F102,"SLO 不可達")</f>
        <v>0.567590446688853</v>
      </c>
      <c r="G141" s="67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1582</v>
      </c>
      <c r="B142" s="53" t="s">
        <v>73</v>
      </c>
      <c r="C142" s="67" t="n">
        <f aca="false">C58/C56</f>
        <v>1</v>
      </c>
      <c r="D142" s="67" t="n">
        <f aca="false">D58/D56</f>
        <v>1</v>
      </c>
      <c r="E142" s="67" t="n">
        <f aca="false">E58/E56</f>
        <v>1.04055079118975</v>
      </c>
      <c r="F142" s="67" t="n">
        <f aca="false">F58/F56</f>
        <v>1.28945909848127</v>
      </c>
      <c r="G142" s="67" t="n">
        <f aca="false">G58/G56</f>
        <v>1.46091769390038</v>
      </c>
    </row>
    <row r="143" customFormat="false" ht="15" hidden="false" customHeight="false" outlineLevel="0" collapsed="false">
      <c r="A143" s="5" t="s">
        <v>1583</v>
      </c>
      <c r="B143" s="53" t="s">
        <v>73</v>
      </c>
      <c r="C143" s="67" t="n">
        <f aca="false">C61/C59</f>
        <v>1</v>
      </c>
      <c r="D143" s="67" t="n">
        <f aca="false">D61/D59</f>
        <v>1</v>
      </c>
      <c r="E143" s="67" t="n">
        <f aca="false">E61/E59</f>
        <v>1.01440500764795</v>
      </c>
      <c r="F143" s="67" t="n">
        <f aca="false">F61/F59</f>
        <v>1.11843202124979</v>
      </c>
      <c r="G143" s="67" t="n">
        <f aca="false">G61/G59</f>
        <v>1.25423023835082</v>
      </c>
    </row>
    <row r="144" customFormat="false" ht="15" hidden="false" customHeight="false" outlineLevel="0" collapsed="false">
      <c r="A144" s="5" t="s">
        <v>1584</v>
      </c>
      <c r="B144" s="53" t="s">
        <v>73</v>
      </c>
      <c r="C144" s="67" t="n">
        <f aca="false">C64/C62</f>
        <v>1</v>
      </c>
      <c r="D144" s="67" t="n">
        <f aca="false">D64/D62</f>
        <v>1</v>
      </c>
      <c r="E144" s="67" t="n">
        <f aca="false">E64/E62</f>
        <v>1.00892079057841</v>
      </c>
      <c r="F144" s="67" t="n">
        <f aca="false">F64/F62</f>
        <v>1.07575475894527</v>
      </c>
      <c r="G144" s="67" t="n">
        <f aca="false">G64/G62</f>
        <v>1.17808692925104</v>
      </c>
    </row>
    <row r="146" customFormat="false" ht="15" hidden="false" customHeight="false" outlineLevel="0" collapsed="false">
      <c r="A146" s="82" t="s">
        <v>1585</v>
      </c>
      <c r="B146" s="60"/>
      <c r="C146" s="60"/>
      <c r="D146" s="60"/>
      <c r="E146" s="60"/>
      <c r="F146" s="60"/>
      <c r="G146" s="60"/>
      <c r="H146" s="60"/>
    </row>
    <row r="147" customFormat="false" ht="15" hidden="false" customHeight="false" outlineLevel="0" collapsed="false">
      <c r="A147" s="5" t="s">
        <v>1586</v>
      </c>
      <c r="B147" s="53" t="s">
        <v>373</v>
      </c>
      <c r="C147" s="159" t="n">
        <f aca="false">MIN(C87,C90,C93,C89,C92,C95)</f>
        <v>9.93021290606536E-005</v>
      </c>
      <c r="D147" s="159" t="n">
        <f aca="false">MIN(D87,D90,D93,D89,D92,D95)</f>
        <v>0.000713517096708826</v>
      </c>
      <c r="E147" s="159" t="n">
        <f aca="false">MIN(E87,E90,E93,E89,E92,E95)</f>
        <v>0.000388284436848784</v>
      </c>
      <c r="F147" s="159" t="n">
        <f aca="false">MIN(F87,F90,F93,F89,F92,F95)</f>
        <v>0.00195210156901907</v>
      </c>
      <c r="G147" s="159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1587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1588</v>
      </c>
      <c r="B149" s="53" t="s">
        <v>373</v>
      </c>
      <c r="C149" s="159" t="n">
        <f aca="false">MIN(C96,C99,C102,C98,C101,C104)</f>
        <v>0.000155161593605132</v>
      </c>
      <c r="D149" s="159" t="n">
        <f aca="false">MIN(D96,D99,D102,D98,D101,D104)</f>
        <v>0.00112260967398458</v>
      </c>
      <c r="E149" s="159" t="n">
        <f aca="false">MIN(E96,E99,E102,E98,E101,E104)</f>
        <v>0.000605173257481953</v>
      </c>
      <c r="F149" s="159" t="n">
        <f aca="false">MIN(F96,F99,F102,F98,F101,F104)</f>
        <v>0.00304251098768344</v>
      </c>
      <c r="G149" s="159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1589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1590</v>
      </c>
      <c r="B151" s="53" t="s">
        <v>373</v>
      </c>
      <c r="C151" s="160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60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60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60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60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1591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1592</v>
      </c>
      <c r="B153" s="53" t="s">
        <v>69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1593</v>
      </c>
      <c r="B154" s="53" t="s">
        <v>373</v>
      </c>
      <c r="C154" s="160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60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60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60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60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1594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1595</v>
      </c>
      <c r="B156" s="53" t="s">
        <v>69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4" t="s">
        <v>1596</v>
      </c>
    </row>
    <row r="159" customFormat="false" ht="15" hidden="false" customHeight="false" outlineLevel="0" collapsed="false">
      <c r="A159" s="82" t="s">
        <v>1597</v>
      </c>
      <c r="B159" s="60"/>
      <c r="C159" s="60"/>
      <c r="D159" s="60"/>
      <c r="E159" s="60"/>
      <c r="F159" s="60"/>
      <c r="G159" s="60"/>
      <c r="H159" s="60"/>
    </row>
    <row r="160" customFormat="false" ht="15" hidden="false" customHeight="false" outlineLevel="0" collapsed="false">
      <c r="A160" s="5" t="s">
        <v>1598</v>
      </c>
      <c r="B160" s="53" t="s">
        <v>1091</v>
      </c>
      <c r="C160" s="67" t="n">
        <f aca="false">INDEX(B5_H50,1,1)*C52</f>
        <v>1.5</v>
      </c>
      <c r="D160" s="67" t="n">
        <f aca="false">INDEX(B5_H50,1,1)*D52</f>
        <v>1.5</v>
      </c>
      <c r="E160" s="67" t="n">
        <f aca="false">INDEX(B5_H50,1,1)*E52</f>
        <v>1.5</v>
      </c>
      <c r="F160" s="67" t="n">
        <f aca="false">INDEX(B5_H50,1,1)*F52</f>
        <v>1.5</v>
      </c>
      <c r="G160" s="67" t="n">
        <f aca="false">INDEX(B5_H50,1,1)*G52</f>
        <v>1.5</v>
      </c>
    </row>
    <row r="161" customFormat="false" ht="15" hidden="false" customHeight="false" outlineLevel="0" collapsed="false">
      <c r="A161" s="5" t="s">
        <v>1599</v>
      </c>
      <c r="B161" s="53" t="s">
        <v>1091</v>
      </c>
      <c r="C161" s="67" t="n">
        <f aca="false">INDEX(B5_H50,1,2)*C52</f>
        <v>8</v>
      </c>
      <c r="D161" s="67" t="n">
        <f aca="false">INDEX(B5_H50,1,2)*D52</f>
        <v>8</v>
      </c>
      <c r="E161" s="67" t="n">
        <f aca="false">INDEX(B5_H50,1,2)*E52</f>
        <v>8</v>
      </c>
      <c r="F161" s="67" t="n">
        <f aca="false">INDEX(B5_H50,1,2)*F52</f>
        <v>8</v>
      </c>
      <c r="G161" s="67" t="n">
        <f aca="false">INDEX(B5_H50,1,2)*G52</f>
        <v>8</v>
      </c>
    </row>
    <row r="162" customFormat="false" ht="15" hidden="false" customHeight="false" outlineLevel="0" collapsed="false">
      <c r="A162" s="5" t="s">
        <v>1600</v>
      </c>
      <c r="B162" s="53" t="s">
        <v>1091</v>
      </c>
      <c r="C162" s="67" t="n">
        <f aca="false">INDEX(B5_H50,1,3)*C52</f>
        <v>16</v>
      </c>
      <c r="D162" s="67" t="n">
        <f aca="false">INDEX(B5_H50,1,3)*D52</f>
        <v>16</v>
      </c>
      <c r="E162" s="67" t="n">
        <f aca="false">INDEX(B5_H50,1,3)*E52</f>
        <v>16</v>
      </c>
      <c r="F162" s="67" t="n">
        <f aca="false">INDEX(B5_H50,1,3)*F52</f>
        <v>16</v>
      </c>
      <c r="G162" s="67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9" t="s">
        <v>1601</v>
      </c>
    </row>
    <row r="2" customFormat="false" ht="15" hidden="false" customHeight="false" outlineLevel="0" collapsed="false">
      <c r="A2" s="64" t="s">
        <v>1602</v>
      </c>
    </row>
    <row r="4" customFormat="false" ht="42" hidden="false" customHeight="true" outlineLevel="0" collapsed="false">
      <c r="A4" s="10" t="s">
        <v>760</v>
      </c>
      <c r="C4" s="74" t="s">
        <v>55</v>
      </c>
      <c r="D4" s="74" t="s">
        <v>1603</v>
      </c>
      <c r="E4" s="74" t="s">
        <v>1604</v>
      </c>
      <c r="F4" s="74" t="s">
        <v>1605</v>
      </c>
      <c r="G4" s="74" t="s">
        <v>1606</v>
      </c>
      <c r="H4" s="74" t="s">
        <v>1607</v>
      </c>
      <c r="I4" s="74" t="s">
        <v>1608</v>
      </c>
      <c r="J4" s="74" t="s">
        <v>1609</v>
      </c>
      <c r="K4" s="74" t="s">
        <v>1610</v>
      </c>
      <c r="L4" s="74" t="s">
        <v>1611</v>
      </c>
      <c r="M4" s="74" t="s">
        <v>1612</v>
      </c>
      <c r="N4" s="74" t="s">
        <v>1613</v>
      </c>
      <c r="O4" s="74" t="s">
        <v>1614</v>
      </c>
      <c r="P4" s="75" t="s">
        <v>1615</v>
      </c>
      <c r="Q4" s="75" t="s">
        <v>1616</v>
      </c>
      <c r="R4" s="75" t="s">
        <v>1617</v>
      </c>
      <c r="S4" s="75" t="s">
        <v>1618</v>
      </c>
    </row>
    <row r="5" customFormat="false" ht="15" hidden="false" customHeight="false" outlineLevel="0" collapsed="false">
      <c r="A5" s="52" t="s">
        <v>1418</v>
      </c>
      <c r="C5" s="67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7" t="n">
        <f aca="false">INDEX(B5_SelT,1,5)</f>
        <v>0.7</v>
      </c>
      <c r="G5" s="67" t="n">
        <f aca="false">INDEX(B5_SelT,1,5)</f>
        <v>0.7</v>
      </c>
      <c r="H5" s="67" t="n">
        <f aca="false">INDEX(B5_SelT,1,5)</f>
        <v>0.7</v>
      </c>
      <c r="I5" s="67" t="n">
        <f aca="false">INDEX(B5_SelT,1,5)</f>
        <v>0.7</v>
      </c>
      <c r="J5" s="67" t="n">
        <f aca="false">INDEX(B5_SelT,1,5)</f>
        <v>0.7</v>
      </c>
      <c r="K5" s="67" t="n">
        <f aca="false">INDEX(B5_SelT,1,5)</f>
        <v>0.7</v>
      </c>
      <c r="L5" s="67" t="n">
        <f aca="false">INDEX(B5_SelT,1,5)</f>
        <v>0.7</v>
      </c>
      <c r="M5" s="67" t="n">
        <f aca="false">INDEX(B5_SelT,1,5)</f>
        <v>0.7</v>
      </c>
      <c r="N5" s="67" t="n">
        <f aca="false">INDEX(B5_SelT,1,5)</f>
        <v>0.7</v>
      </c>
      <c r="O5" s="67" t="n">
        <f aca="false">INDEX(B5_SelT,1,5)</f>
        <v>0.7</v>
      </c>
      <c r="P5" s="67" t="n">
        <f aca="false">INDEX(B5_SelT,1,5)</f>
        <v>0.7</v>
      </c>
      <c r="Q5" s="67" t="n">
        <f aca="false">INDEX(B5_SelT,1,5)</f>
        <v>0.7</v>
      </c>
      <c r="R5" s="67" t="n">
        <f aca="false">INDEX(B5_SelT,1,5)</f>
        <v>0.7</v>
      </c>
      <c r="S5" s="67" t="n">
        <f aca="false">INDEX(B5_SelT,1,5)</f>
        <v>0.7</v>
      </c>
    </row>
    <row r="6" customFormat="false" ht="15" hidden="false" customHeight="false" outlineLevel="0" collapsed="false">
      <c r="A6" s="52" t="s">
        <v>1423</v>
      </c>
      <c r="C6" s="67" t="n">
        <f aca="false">INDEX(B5_SelH,1,5)</f>
        <v>0.8</v>
      </c>
      <c r="D6" s="67" t="n">
        <f aca="false">INDEX(B5_SelH,1,5)</f>
        <v>0.8</v>
      </c>
      <c r="E6" s="67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7" t="n">
        <f aca="false">INDEX(B5_SelH,1,5)</f>
        <v>0.8</v>
      </c>
      <c r="I6" s="67" t="n">
        <f aca="false">INDEX(B5_SelH,1,5)</f>
        <v>0.8</v>
      </c>
      <c r="J6" s="67" t="n">
        <f aca="false">INDEX(B5_SelH,1,5)</f>
        <v>0.8</v>
      </c>
      <c r="K6" s="67" t="n">
        <f aca="false">INDEX(B5_SelH,1,5)</f>
        <v>0.8</v>
      </c>
      <c r="L6" s="67" t="n">
        <f aca="false">INDEX(B5_SelH,1,5)</f>
        <v>0.8</v>
      </c>
      <c r="M6" s="67" t="n">
        <f aca="false">INDEX(B5_SelH,1,5)</f>
        <v>0.8</v>
      </c>
      <c r="N6" s="67" t="n">
        <f aca="false">INDEX(B5_SelH,1,5)</f>
        <v>0.8</v>
      </c>
      <c r="O6" s="67" t="n">
        <f aca="false">INDEX(B5_SelH,1,5)</f>
        <v>0.8</v>
      </c>
      <c r="P6" s="67" t="n">
        <f aca="false">INDEX(B5_SelH,1,5)</f>
        <v>0.8</v>
      </c>
      <c r="Q6" s="67" t="n">
        <f aca="false">INDEX(B5_SelH,1,5)</f>
        <v>0.8</v>
      </c>
      <c r="R6" s="67" t="n">
        <f aca="false">INDEX(B5_SelH,1,5)</f>
        <v>0.8</v>
      </c>
      <c r="S6" s="67" t="n">
        <f aca="false">INDEX(B5_SelH,1,5)</f>
        <v>0.8</v>
      </c>
    </row>
    <row r="7" customFormat="false" ht="15" hidden="false" customHeight="false" outlineLevel="0" collapsed="false">
      <c r="A7" s="52" t="s">
        <v>1420</v>
      </c>
      <c r="C7" s="76" t="n">
        <f aca="false">INDEX(B5_Selrho,1,5)</f>
        <v>1</v>
      </c>
      <c r="D7" s="76" t="n">
        <f aca="false">INDEX(B5_Selrho,1,5)</f>
        <v>1</v>
      </c>
      <c r="E7" s="76" t="n">
        <f aca="false">INDEX(B5_Selrho,1,5)</f>
        <v>1</v>
      </c>
      <c r="F7" s="76" t="n">
        <f aca="false">INDEX(B5_Selrho,1,5)</f>
        <v>1</v>
      </c>
      <c r="G7" s="76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6" t="n">
        <f aca="false">INDEX(B5_Selrho,1,5)</f>
        <v>1</v>
      </c>
      <c r="K7" s="76" t="n">
        <f aca="false">INDEX(B5_Selrho,1,5)</f>
        <v>1</v>
      </c>
      <c r="L7" s="76" t="n">
        <f aca="false">INDEX(B5_Selrho,1,5)</f>
        <v>1</v>
      </c>
      <c r="M7" s="76" t="n">
        <f aca="false">INDEX(B5_Selrho,1,5)</f>
        <v>1</v>
      </c>
      <c r="N7" s="76" t="n">
        <f aca="false">INDEX(B5_Selrho,1,5)</f>
        <v>1</v>
      </c>
      <c r="O7" s="76" t="n">
        <f aca="false">INDEX(B5_Selrho,1,5)</f>
        <v>1</v>
      </c>
      <c r="P7" s="76" t="n">
        <f aca="false">INDEX(B5_Selrho,1,5)</f>
        <v>1</v>
      </c>
      <c r="Q7" s="76" t="n">
        <f aca="false">INDEX(B5_Selrho,1,5)</f>
        <v>1</v>
      </c>
      <c r="R7" s="76" t="n">
        <f aca="false">INDEX(B5_Selrho,1,5)</f>
        <v>1</v>
      </c>
      <c r="S7" s="76" t="n">
        <f aca="false">INDEX(B5_Selrho,1,5)</f>
        <v>1</v>
      </c>
    </row>
    <row r="8" customFormat="false" ht="15" hidden="false" customHeight="false" outlineLevel="0" collapsed="false">
      <c r="A8" s="52" t="s">
        <v>1463</v>
      </c>
      <c r="C8" s="67" t="n">
        <f aca="false">INDEX(B5_SelC,1,5)</f>
        <v>0.7</v>
      </c>
      <c r="D8" s="67" t="n">
        <f aca="false">INDEX(B5_SelC,1,5)</f>
        <v>0.7</v>
      </c>
      <c r="E8" s="67" t="n">
        <f aca="false">INDEX(B5_SelC,1,5)</f>
        <v>0.7</v>
      </c>
      <c r="F8" s="67" t="n">
        <f aca="false">INDEX(B5_SelC,1,5)</f>
        <v>0.7</v>
      </c>
      <c r="G8" s="67" t="n">
        <f aca="false">INDEX(B5_SelC,1,5)</f>
        <v>0.7</v>
      </c>
      <c r="H8" s="67" t="n">
        <f aca="false">INDEX(B5_SelC,1,5)</f>
        <v>0.7</v>
      </c>
      <c r="I8" s="67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7" t="n">
        <f aca="false">INDEX(B5_SelC,1,5)</f>
        <v>0.7</v>
      </c>
      <c r="M8" s="67" t="n">
        <f aca="false">INDEX(B5_SelC,1,5)</f>
        <v>0.7</v>
      </c>
      <c r="N8" s="67" t="n">
        <f aca="false">INDEX(B5_SelC,1,5)</f>
        <v>0.7</v>
      </c>
      <c r="O8" s="67" t="n">
        <f aca="false">INDEX(B5_SelC,1,5)</f>
        <v>0.7</v>
      </c>
      <c r="P8" s="67" t="n">
        <f aca="false">INDEX(B5_SelC,1,5)</f>
        <v>0.7</v>
      </c>
      <c r="Q8" s="67" t="n">
        <f aca="false">INDEX(B5_SelC,1,5)</f>
        <v>0.7</v>
      </c>
      <c r="R8" s="67" t="n">
        <f aca="false">INDEX(B5_SelC,1,5)</f>
        <v>0.7</v>
      </c>
      <c r="S8" s="67" t="n">
        <f aca="false">INDEX(B5_SelC,1,5)</f>
        <v>0.7</v>
      </c>
    </row>
    <row r="9" customFormat="false" ht="15" hidden="false" customHeight="false" outlineLevel="0" collapsed="false">
      <c r="A9" s="52" t="s">
        <v>1619</v>
      </c>
      <c r="C9" s="67" t="n">
        <f aca="false">INDEX(B5_SelHz,1,5)</f>
        <v>2</v>
      </c>
      <c r="D9" s="67" t="n">
        <f aca="false">INDEX(B5_SelHz,1,5)</f>
        <v>2</v>
      </c>
      <c r="E9" s="67" t="n">
        <f aca="false">INDEX(B5_SelHz,1,5)</f>
        <v>2</v>
      </c>
      <c r="F9" s="67" t="n">
        <f aca="false">INDEX(B5_SelHz,1,5)</f>
        <v>2</v>
      </c>
      <c r="G9" s="67" t="n">
        <f aca="false">INDEX(B5_SelHz,1,5)</f>
        <v>2</v>
      </c>
      <c r="H9" s="67" t="n">
        <f aca="false">INDEX(B5_SelHz,1,5)</f>
        <v>2</v>
      </c>
      <c r="I9" s="67" t="n">
        <f aca="false">INDEX(B5_SelHz,1,5)</f>
        <v>2</v>
      </c>
      <c r="J9" s="67" t="n">
        <f aca="false">INDEX(B5_SelHz,1,5)</f>
        <v>2</v>
      </c>
      <c r="K9" s="67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7" t="n">
        <f aca="false">INDEX(B5_SelHz,1,5)</f>
        <v>2</v>
      </c>
      <c r="O9" s="67" t="n">
        <f aca="false">INDEX(B5_SelHz,1,5)</f>
        <v>2</v>
      </c>
      <c r="P9" s="67" t="n">
        <f aca="false">INDEX(B5_SelHz,1,5)</f>
        <v>2</v>
      </c>
      <c r="Q9" s="67" t="n">
        <f aca="false">INDEX(B5_SelHz,1,5)</f>
        <v>2</v>
      </c>
      <c r="R9" s="67" t="n">
        <f aca="false">INDEX(B5_SelHz,1,5)</f>
        <v>2</v>
      </c>
      <c r="S9" s="67" t="n">
        <f aca="false">INDEX(B5_SelHz,1,5)</f>
        <v>2</v>
      </c>
    </row>
    <row r="10" customFormat="false" ht="15" hidden="false" customHeight="false" outlineLevel="0" collapsed="false">
      <c r="A10" s="52" t="s">
        <v>1620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1621</v>
      </c>
      <c r="C11" s="67" t="n">
        <f aca="false">B5_Beta</f>
        <v>0.75</v>
      </c>
      <c r="D11" s="67" t="n">
        <f aca="false">B5_Beta</f>
        <v>0.75</v>
      </c>
      <c r="E11" s="67" t="n">
        <f aca="false">B5_Beta</f>
        <v>0.75</v>
      </c>
      <c r="F11" s="67" t="n">
        <f aca="false">B5_Beta</f>
        <v>0.75</v>
      </c>
      <c r="G11" s="67" t="n">
        <f aca="false">B5_Beta</f>
        <v>0.75</v>
      </c>
      <c r="H11" s="67" t="n">
        <f aca="false">B5_Beta</f>
        <v>0.75</v>
      </c>
      <c r="I11" s="67" t="n">
        <f aca="false">B5_Beta</f>
        <v>0.75</v>
      </c>
      <c r="J11" s="67" t="n">
        <f aca="false">B5_Beta</f>
        <v>0.75</v>
      </c>
      <c r="K11" s="67" t="n">
        <f aca="false">B5_Beta</f>
        <v>0.75</v>
      </c>
      <c r="L11" s="67" t="n">
        <f aca="false">B5_Beta</f>
        <v>0.75</v>
      </c>
      <c r="M11" s="67" t="n">
        <f aca="false">B5_Beta</f>
        <v>0.75</v>
      </c>
      <c r="N11" s="67" t="n">
        <f aca="false">B5_Beta</f>
        <v>0.75</v>
      </c>
      <c r="O11" s="67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7" t="n">
        <f aca="false">B5_Beta</f>
        <v>0.75</v>
      </c>
      <c r="S11" s="67" t="n">
        <f aca="false">B5_Beta</f>
        <v>0.75</v>
      </c>
    </row>
    <row r="12" customFormat="false" ht="15" hidden="false" customHeight="false" outlineLevel="0" collapsed="false">
      <c r="A12" s="53" t="s">
        <v>1622</v>
      </c>
      <c r="C12" s="77" t="n">
        <f aca="false">INDEX(B5_H50,1,1)</f>
        <v>1.5</v>
      </c>
      <c r="D12" s="77" t="n">
        <f aca="false">INDEX(B5_H50,1,1)</f>
        <v>1.5</v>
      </c>
      <c r="E12" s="77" t="n">
        <f aca="false">INDEX(B5_H50,1,1)</f>
        <v>1.5</v>
      </c>
      <c r="F12" s="77" t="n">
        <f aca="false">INDEX(B5_H50,1,1)</f>
        <v>1.5</v>
      </c>
      <c r="G12" s="77" t="n">
        <f aca="false">INDEX(B5_H50,1,1)</f>
        <v>1.5</v>
      </c>
      <c r="H12" s="77" t="n">
        <f aca="false">INDEX(B5_H50,1,1)</f>
        <v>1.5</v>
      </c>
      <c r="I12" s="77" t="n">
        <f aca="false">INDEX(B5_H50,1,1)</f>
        <v>1.5</v>
      </c>
      <c r="J12" s="77" t="n">
        <f aca="false">INDEX(B5_H50,1,1)</f>
        <v>1.5</v>
      </c>
      <c r="K12" s="77" t="n">
        <f aca="false">INDEX(B5_H50,1,1)</f>
        <v>1.5</v>
      </c>
      <c r="L12" s="77" t="n">
        <f aca="false">INDEX(B5_H50,1,1)</f>
        <v>1.5</v>
      </c>
      <c r="M12" s="77" t="n">
        <f aca="false">INDEX(B5_H50,1,1)</f>
        <v>1.5</v>
      </c>
      <c r="N12" s="77" t="n">
        <f aca="false">INDEX(B5_H50,1,1)</f>
        <v>1.5</v>
      </c>
      <c r="O12" s="77" t="n">
        <f aca="false">INDEX(B5_H50,1,1)</f>
        <v>1.5</v>
      </c>
      <c r="P12" s="77" t="n">
        <f aca="false">INDEX(B5_H50,1,1)</f>
        <v>1.5</v>
      </c>
      <c r="Q12" s="77" t="n">
        <f aca="false">INDEX(B5_H50,1,1)</f>
        <v>1.5</v>
      </c>
      <c r="R12" s="77" t="n">
        <f aca="false">INDEX(B5_H50Lo,1,1)</f>
        <v>0.5</v>
      </c>
      <c r="S12" s="77" t="n">
        <f aca="false">INDEX(B5_H50Hi,1,1)</f>
        <v>4</v>
      </c>
    </row>
    <row r="13" customFormat="false" ht="15" hidden="false" customHeight="false" outlineLevel="0" collapsed="false">
      <c r="A13" s="53" t="s">
        <v>1623</v>
      </c>
      <c r="C13" s="77" t="n">
        <f aca="false">INDEX(B5_H50,1,2)</f>
        <v>8</v>
      </c>
      <c r="D13" s="77" t="n">
        <f aca="false">INDEX(B5_H50,1,2)</f>
        <v>8</v>
      </c>
      <c r="E13" s="77" t="n">
        <f aca="false">INDEX(B5_H50,1,2)</f>
        <v>8</v>
      </c>
      <c r="F13" s="77" t="n">
        <f aca="false">INDEX(B5_H50,1,2)</f>
        <v>8</v>
      </c>
      <c r="G13" s="77" t="n">
        <f aca="false">INDEX(B5_H50,1,2)</f>
        <v>8</v>
      </c>
      <c r="H13" s="77" t="n">
        <f aca="false">INDEX(B5_H50,1,2)</f>
        <v>8</v>
      </c>
      <c r="I13" s="77" t="n">
        <f aca="false">INDEX(B5_H50,1,2)</f>
        <v>8</v>
      </c>
      <c r="J13" s="77" t="n">
        <f aca="false">INDEX(B5_H50,1,2)</f>
        <v>8</v>
      </c>
      <c r="K13" s="77" t="n">
        <f aca="false">INDEX(B5_H50,1,2)</f>
        <v>8</v>
      </c>
      <c r="L13" s="77" t="n">
        <f aca="false">INDEX(B5_H50,1,2)</f>
        <v>8</v>
      </c>
      <c r="M13" s="77" t="n">
        <f aca="false">INDEX(B5_H50,1,2)</f>
        <v>8</v>
      </c>
      <c r="N13" s="77" t="n">
        <f aca="false">INDEX(B5_H50,1,2)</f>
        <v>8</v>
      </c>
      <c r="O13" s="77" t="n">
        <f aca="false">INDEX(B5_H50,1,2)</f>
        <v>8</v>
      </c>
      <c r="P13" s="77" t="n">
        <f aca="false">INDEX(B5_H50,1,2)</f>
        <v>8</v>
      </c>
      <c r="Q13" s="77" t="n">
        <f aca="false">INDEX(B5_H50,1,2)</f>
        <v>8</v>
      </c>
      <c r="R13" s="77" t="n">
        <f aca="false">INDEX(B5_H50Lo,1,2)</f>
        <v>4</v>
      </c>
      <c r="S13" s="77" t="n">
        <f aca="false">INDEX(B5_H50Hi,1,2)</f>
        <v>12</v>
      </c>
    </row>
    <row r="14" customFormat="false" ht="15" hidden="false" customHeight="false" outlineLevel="0" collapsed="false">
      <c r="A14" s="53" t="s">
        <v>1624</v>
      </c>
      <c r="C14" s="77" t="n">
        <f aca="false">INDEX(B5_H50,1,3)</f>
        <v>16</v>
      </c>
      <c r="D14" s="77" t="n">
        <f aca="false">INDEX(B5_H50,1,3)</f>
        <v>16</v>
      </c>
      <c r="E14" s="77" t="n">
        <f aca="false">INDEX(B5_H50,1,3)</f>
        <v>16</v>
      </c>
      <c r="F14" s="77" t="n">
        <f aca="false">INDEX(B5_H50,1,3)</f>
        <v>16</v>
      </c>
      <c r="G14" s="77" t="n">
        <f aca="false">INDEX(B5_H50,1,3)</f>
        <v>16</v>
      </c>
      <c r="H14" s="77" t="n">
        <f aca="false">INDEX(B5_H50,1,3)</f>
        <v>16</v>
      </c>
      <c r="I14" s="77" t="n">
        <f aca="false">INDEX(B5_H50,1,3)</f>
        <v>16</v>
      </c>
      <c r="J14" s="77" t="n">
        <f aca="false">INDEX(B5_H50,1,3)</f>
        <v>16</v>
      </c>
      <c r="K14" s="77" t="n">
        <f aca="false">INDEX(B5_H50,1,3)</f>
        <v>16</v>
      </c>
      <c r="L14" s="77" t="n">
        <f aca="false">INDEX(B5_H50,1,3)</f>
        <v>16</v>
      </c>
      <c r="M14" s="77" t="n">
        <f aca="false">INDEX(B5_H50,1,3)</f>
        <v>16</v>
      </c>
      <c r="N14" s="77" t="n">
        <f aca="false">INDEX(B5_H50,1,3)</f>
        <v>16</v>
      </c>
      <c r="O14" s="77" t="n">
        <f aca="false">INDEX(B5_H50,1,3)</f>
        <v>16</v>
      </c>
      <c r="P14" s="77" t="n">
        <f aca="false">INDEX(B5_H50,1,3)</f>
        <v>16</v>
      </c>
      <c r="Q14" s="77" t="n">
        <f aca="false">INDEX(B5_H50,1,3)</f>
        <v>16</v>
      </c>
      <c r="R14" s="77" t="n">
        <f aca="false">INDEX(B5_H50Lo,1,3)</f>
        <v>11</v>
      </c>
      <c r="S14" s="77" t="n">
        <f aca="false">INDEX(B5_H50Hi,1,3)</f>
        <v>40</v>
      </c>
    </row>
    <row r="16" customFormat="false" ht="15" hidden="false" customHeight="false" outlineLevel="0" collapsed="false">
      <c r="A16" s="52" t="s">
        <v>1625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1626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1627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1628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1629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1630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1631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1632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1633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1634</v>
      </c>
      <c r="C26" s="80" t="n">
        <f aca="false">IF(ISNUMBER(Unit_Cost!$M$21),(C21*Unit_Cost!$M$19+C22*(Unit_Cost!$M$20+Cache_Store!$M$17*C10/B4_Retain)+C23*Unit_Cost!$M$21)/1000000,"SLO 不可達")</f>
        <v>0.00405838792312144</v>
      </c>
      <c r="D26" s="80" t="n">
        <f aca="false">IF(ISNUMBER(Unit_Cost!$M$21),(D21*Unit_Cost!$M$19+D22*(Unit_Cost!$M$20+Cache_Store!$M$17*D10/B4_Retain)+D23*Unit_Cost!$M$21)/1000000,"SLO 不可達")</f>
        <v>0.0028134563796122</v>
      </c>
      <c r="E26" s="80" t="n">
        <f aca="false">IF(ISNUMBER(Unit_Cost!$M$21),(E21*Unit_Cost!$M$19+E22*(Unit_Cost!$M$20+Cache_Store!$M$17*E10/B4_Retain)+E23*Unit_Cost!$M$21)/1000000,"SLO 不可達")</f>
        <v>0.00605387344373997</v>
      </c>
      <c r="F26" s="80" t="n">
        <f aca="false">IF(ISNUMBER(Unit_Cost!$M$21),(F21*Unit_Cost!$M$19+F22*(Unit_Cost!$M$20+Cache_Store!$M$17*F10/B4_Retain)+F23*Unit_Cost!$M$21)/1000000,"SLO 不可達")</f>
        <v>0.00362030699997791</v>
      </c>
      <c r="G26" s="80" t="n">
        <f aca="false">IF(ISNUMBER(Unit_Cost!$M$21),(G21*Unit_Cost!$M$19+G22*(Unit_Cost!$M$20+Cache_Store!$M$17*G10/B4_Retain)+G23*Unit_Cost!$M$21)/1000000,"SLO 不可達")</f>
        <v>0.00449646884626497</v>
      </c>
      <c r="H26" s="80" t="n">
        <f aca="false">IF(ISNUMBER(Unit_Cost!$M$21),(H21*Unit_Cost!$M$19+H22*(Unit_Cost!$M$20+Cache_Store!$M$17*H10/B4_Retain)+H23*Unit_Cost!$M$21)/1000000,"SLO 不可達")</f>
        <v>0.00402517986988134</v>
      </c>
      <c r="I26" s="80" t="n">
        <f aca="false">IF(ISNUMBER(Unit_Cost!$M$21),(I21*Unit_Cost!$M$19+I22*(Unit_Cost!$M$20+Cache_Store!$M$17*I10/B4_Retain)+I23*Unit_Cost!$M$21)/1000000,"SLO 不可達")</f>
        <v>0.00405838792312144</v>
      </c>
      <c r="J26" s="80" t="n">
        <f aca="false">IF(ISNUMBER(Unit_Cost!$M$21),(J21*Unit_Cost!$M$19+J22*(Unit_Cost!$M$20+Cache_Store!$M$17*J10/B4_Retain)+J23*Unit_Cost!$M$21)/1000000,"SLO 不可達")</f>
        <v>0.00394453174058395</v>
      </c>
      <c r="K26" s="80" t="n">
        <f aca="false">IF(ISNUMBER(Unit_Cost!$M$21),(K21*Unit_Cost!$M$19+K22*(Unit_Cost!$M$20+Cache_Store!$M$17*K10/B4_Retain)+K23*Unit_Cost!$M$21)/1000000,"SLO 不可達")</f>
        <v>0.00422917219692767</v>
      </c>
      <c r="L26" s="80" t="n">
        <f aca="false">IF(ISNUMBER(Unit_Cost!$M$21),(L21*Unit_Cost!$M$19+L22*(Unit_Cost!$M$20+Cache_Store!$M$17*L10/B4_Retain)+L23*Unit_Cost!$M$21)/1000000,"SLO 不可達")</f>
        <v>0.00405838792312144</v>
      </c>
      <c r="M26" s="80" t="n">
        <f aca="false">IF(ISNUMBER(Unit_Cost!$M$21),(M21*Unit_Cost!$M$19+M22*(Unit_Cost!$M$20+Cache_Store!$M$17*M10/B4_Retain)+M23*Unit_Cost!$M$21)/1000000,"SLO 不可達")</f>
        <v>0.00405838792312144</v>
      </c>
      <c r="N26" s="80" t="n">
        <f aca="false">IF(ISNUMBER(Unit_Cost!$M$21),(N21*Unit_Cost!$M$19+N22*(Unit_Cost!$M$20+Cache_Store!$M$17*N10/B4_Retain)+N23*Unit_Cost!$M$21)/1000000,"SLO 不可達")</f>
        <v>0.004001500407505</v>
      </c>
      <c r="O26" s="80" t="n">
        <f aca="false">IF(ISNUMBER(Unit_Cost!$M$21),(O21*Unit_Cost!$M$19+O22*(Unit_Cost!$M$20+Cache_Store!$M$17*O10/B4_Retain)+O23*Unit_Cost!$M$21)/1000000,"SLO 不可達")</f>
        <v>0.00418735450682007</v>
      </c>
      <c r="P26" s="80" t="n">
        <f aca="false">IF(ISNUMBER(Unit_Cost!$M$21),(P21*Unit_Cost!$M$19+P22*(Unit_Cost!$M$20+Cache_Store!$M$17*P10/B4_Retain)+P23*Unit_Cost!$M$21)/1000000,"SLO 不可達")</f>
        <v>0.00405838792312144</v>
      </c>
      <c r="Q26" s="80" t="n">
        <f aca="false">IF(ISNUMBER(Unit_Cost!$M$21),(Q21*Unit_Cost!$M$19+Q22*(Unit_Cost!$M$20+Cache_Store!$M$17*Q10/B4_Retain)+Q23*Unit_Cost!$M$21)/1000000,"SLO 不可達")</f>
        <v>0.00405838792312144</v>
      </c>
      <c r="R26" s="80" t="n">
        <f aca="false">IF(ISNUMBER(Unit_Cost!$M$21),(R21*Unit_Cost!$M$19+R22*(Unit_Cost!$M$20+Cache_Store!$M$17*R10/B4_Retain)+R23*Unit_Cost!$M$21)/1000000,"SLO 不可達")</f>
        <v>0.00405838792312144</v>
      </c>
      <c r="S26" s="80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1635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1636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1637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1638</v>
      </c>
      <c r="C30" s="80" t="n">
        <f aca="false">IF(ISNUMBER(Unit_Cost!$M$34),(C21*Unit_Cost!$M$32+C22*(Unit_Cost!$M$33+Cache_Store!$M$23*C10/B4_Retain)+C23*Unit_Cost!$M$34)/1000000,"SLO 不可達")</f>
        <v>0.0131168608729092</v>
      </c>
      <c r="D30" s="80" t="n">
        <f aca="false">IF(ISNUMBER(Unit_Cost!$M$34),(D21*Unit_Cost!$M$32+D22*(Unit_Cost!$M$33+Cache_Store!$M$23*D10/B4_Retain)+D23*Unit_Cost!$M$34)/1000000,"SLO 不可達")</f>
        <v>0.00909822780524922</v>
      </c>
      <c r="E30" s="80" t="n">
        <f aca="false">IF(ISNUMBER(Unit_Cost!$M$34),(E21*Unit_Cost!$M$32+E22*(Unit_Cost!$M$33+Cache_Store!$M$23*E10/B4_Retain)+E23*Unit_Cost!$M$34)/1000000,"SLO 不可達")</f>
        <v>0.0195512482732139</v>
      </c>
      <c r="F30" s="80" t="n">
        <f aca="false">IF(ISNUMBER(Unit_Cost!$M$34),(F21*Unit_Cost!$M$32+F22*(Unit_Cost!$M$33+Cache_Store!$M$23*F10/B4_Retain)+F23*Unit_Cost!$M$34)/1000000,"SLO 不可達")</f>
        <v>0.0117093565628119</v>
      </c>
      <c r="G30" s="80" t="n">
        <f aca="false">IF(ISNUMBER(Unit_Cost!$M$34),(G21*Unit_Cost!$M$32+G22*(Unit_Cost!$M$33+Cache_Store!$M$23*G10/B4_Retain)+G23*Unit_Cost!$M$34)/1000000,"SLO 不可達")</f>
        <v>0.0145243651830066</v>
      </c>
      <c r="H30" s="80" t="n">
        <f aca="false">IF(ISNUMBER(Unit_Cost!$M$34),(H21*Unit_Cost!$M$32+H22*(Unit_Cost!$M$33+Cache_Store!$M$23*H10/B4_Retain)+H23*Unit_Cost!$M$34)/1000000,"SLO 不可達")</f>
        <v>0.0130114881102536</v>
      </c>
      <c r="I30" s="80" t="n">
        <f aca="false">IF(ISNUMBER(Unit_Cost!$M$34),(I21*Unit_Cost!$M$32+I22*(Unit_Cost!$M$33+Cache_Store!$M$23*I10/B4_Retain)+I23*Unit_Cost!$M$34)/1000000,"SLO 不可達")</f>
        <v>0.0131168608729092</v>
      </c>
      <c r="J30" s="80" t="n">
        <f aca="false">IF(ISNUMBER(Unit_Cost!$M$34),(J21*Unit_Cost!$M$32+J22*(Unit_Cost!$M$33+Cache_Store!$M$23*J10/B4_Retain)+J23*Unit_Cost!$M$34)/1000000,"SLO 不可達")</f>
        <v>0.0127555828295185</v>
      </c>
      <c r="K30" s="80" t="n">
        <f aca="false">IF(ISNUMBER(Unit_Cost!$M$34),(K21*Unit_Cost!$M$32+K22*(Unit_Cost!$M$33+Cache_Store!$M$23*K10/B4_Retain)+K23*Unit_Cost!$M$34)/1000000,"SLO 不可達")</f>
        <v>0.0136587779379954</v>
      </c>
      <c r="L30" s="80" t="n">
        <f aca="false">IF(ISNUMBER(Unit_Cost!$M$34),(L21*Unit_Cost!$M$32+L22*(Unit_Cost!$M$33+Cache_Store!$M$23*L10/B4_Retain)+L23*Unit_Cost!$M$34)/1000000,"SLO 不可達")</f>
        <v>0.0131168608729092</v>
      </c>
      <c r="M30" s="80" t="n">
        <f aca="false">IF(ISNUMBER(Unit_Cost!$M$34),(M21*Unit_Cost!$M$32+M22*(Unit_Cost!$M$33+Cache_Store!$M$23*M10/B4_Retain)+M23*Unit_Cost!$M$34)/1000000,"SLO 不可達")</f>
        <v>0.0131168608729092</v>
      </c>
      <c r="N30" s="80" t="n">
        <f aca="false">IF(ISNUMBER(Unit_Cost!$M$34),(N21*Unit_Cost!$M$32+N22*(Unit_Cost!$M$33+Cache_Store!$M$23*N10/B4_Retain)+N23*Unit_Cost!$M$34)/1000000,"SLO 不可達")</f>
        <v>0.0130361599786627</v>
      </c>
      <c r="O30" s="80" t="n">
        <f aca="false">IF(ISNUMBER(Unit_Cost!$M$34),(O21*Unit_Cost!$M$32+O22*(Unit_Cost!$M$33+Cache_Store!$M$23*O10/B4_Retain)+O23*Unit_Cost!$M$34)/1000000,"SLO 不可達")</f>
        <v>0.0132998134683887</v>
      </c>
      <c r="P30" s="80" t="n">
        <f aca="false">IF(ISNUMBER(Unit_Cost!$M$34),(P21*Unit_Cost!$M$32+P22*(Unit_Cost!$M$33+Cache_Store!$M$23*P10/B4_Retain)+P23*Unit_Cost!$M$34)/1000000,"SLO 不可達")</f>
        <v>0.0131168608729092</v>
      </c>
      <c r="Q30" s="80" t="n">
        <f aca="false">IF(ISNUMBER(Unit_Cost!$M$34),(Q21*Unit_Cost!$M$32+Q22*(Unit_Cost!$M$33+Cache_Store!$M$23*Q10/B4_Retain)+Q23*Unit_Cost!$M$34)/1000000,"SLO 不可達")</f>
        <v>0.0131168608729092</v>
      </c>
      <c r="R30" s="80" t="n">
        <f aca="false">IF(ISNUMBER(Unit_Cost!$M$34),(R21*Unit_Cost!$M$32+R22*(Unit_Cost!$M$33+Cache_Store!$M$23*R10/B4_Retain)+R23*Unit_Cost!$M$34)/1000000,"SLO 不可達")</f>
        <v>0.0131168608729092</v>
      </c>
      <c r="S30" s="80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1639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1640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1641</v>
      </c>
      <c r="C33" s="155" t="n">
        <f aca="false">IF(AND(ISNUMBER(C30),ISNUMBER(Harness!$G$70)),(C30/C32)/(Harness!$G$70/C31),"SLO 不可達")</f>
        <v>0.479336892188678</v>
      </c>
      <c r="D33" s="155" t="n">
        <f aca="false">IF(AND(ISNUMBER(D30),ISNUMBER(Harness!$G$70)),(D30/D32)/(Harness!$G$70/D31),"SLO 不可達")</f>
        <v>0.332481702965986</v>
      </c>
      <c r="E33" s="155" t="n">
        <f aca="false">IF(AND(ISNUMBER(E30),ISNUMBER(Harness!$G$70)),(E30/E32)/(Harness!$G$70/E31),"SLO 不可達")</f>
        <v>0.714472363204463</v>
      </c>
      <c r="F33" s="155" t="n">
        <f aca="false">IF(AND(ISNUMBER(F30),ISNUMBER(Harness!$G$70)),(F30/F32)/(Harness!$G$70/F31),"SLO 不可達")</f>
        <v>0.42790166326606</v>
      </c>
      <c r="G33" s="155" t="n">
        <f aca="false">IF(AND(ISNUMBER(G30),ISNUMBER(Harness!$G$70)),(G30/G32)/(Harness!$G$70/G31),"SLO 不可達")</f>
        <v>0.530772121111296</v>
      </c>
      <c r="H33" s="155" t="n">
        <f aca="false">IF(AND(ISNUMBER(H30),ISNUMBER(Harness!$G$70)),(H30/H32)/(Harness!$G$70/H31),"SLO 不可達")</f>
        <v>0.475486195511929</v>
      </c>
      <c r="I33" s="155" t="n">
        <f aca="false">IF(AND(ISNUMBER(I30),ISNUMBER(Harness!$G$70)),(I30/I32)/(Harness!$G$70/I31),"SLO 不可達")</f>
        <v>0.479336892188678</v>
      </c>
      <c r="J33" s="155" t="n">
        <f aca="false">IF(AND(ISNUMBER(J30),ISNUMBER(Harness!$G$70)),(J30/J32)/(Harness!$G$70/J31),"SLO 不可達")</f>
        <v>0.466134503582681</v>
      </c>
      <c r="K33" s="155" t="n">
        <f aca="false">IF(AND(ISNUMBER(K30),ISNUMBER(Harness!$G$70)),(K30/K32)/(Harness!$G$70/K31),"SLO 不可達")</f>
        <v>0.499140475097674</v>
      </c>
      <c r="L33" s="155" t="n">
        <f aca="false">IF(AND(ISNUMBER(L30),ISNUMBER(Harness!$G$70)),(L30/L32)/(Harness!$G$70/L31),"SLO 不可達")</f>
        <v>0.601198824540148</v>
      </c>
      <c r="M33" s="155" t="n">
        <f aca="false">IF(AND(ISNUMBER(M30),ISNUMBER(Harness!$G$70)),(M30/M32)/(Harness!$G$70/M31),"SLO 不可達")</f>
        <v>0.406877353688504</v>
      </c>
      <c r="N33" s="155" t="n">
        <f aca="false">IF(AND(ISNUMBER(N30),ISNUMBER(Harness!$G$70)),(N30/N32)/(Harness!$G$70/N31),"SLO 不可達")</f>
        <v>0.476387793603292</v>
      </c>
      <c r="O33" s="155" t="n">
        <f aca="false">IF(AND(ISNUMBER(O30),ISNUMBER(Harness!$G$70)),(O30/O32)/(Harness!$G$70/O31),"SLO 不可達")</f>
        <v>0.486022632731684</v>
      </c>
      <c r="P33" s="155" t="n">
        <f aca="false">IF(AND(ISNUMBER(P30),ISNUMBER(Harness!$G$70)),(P30/P32)/(Harness!$G$70/P31),"SLO 不可達")</f>
        <v>0.492165500007447</v>
      </c>
      <c r="Q33" s="155" t="n">
        <f aca="false">IF(AND(ISNUMBER(Q30),ISNUMBER(Harness!$G$70)),(Q30/Q32)/(Harness!$G$70/Q31),"SLO 不可達")</f>
        <v>0.450899118405111</v>
      </c>
      <c r="R33" s="155" t="n">
        <f aca="false">IF(AND(ISNUMBER(R30),ISNUMBER(Harness!$G$70)),(R30/R32)/(Harness!$G$70/R31),"SLO 不可達")</f>
        <v>0.448355904081072</v>
      </c>
      <c r="S33" s="155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1642</v>
      </c>
      <c r="C34" s="80" t="n">
        <f aca="false">IF(ISNUMBER(Unit_Cost!$M$47),(C21*Unit_Cost!$M$45+C22*(Unit_Cost!$M$46+Cache_Store!$M$29*C10/B4_Retain)+C23*Unit_Cost!$M$47)/1000000,"SLO 不可達")</f>
        <v>0.063287042092293</v>
      </c>
      <c r="D34" s="80" t="n">
        <f aca="false">IF(ISNUMBER(Unit_Cost!$M$47),(D21*Unit_Cost!$M$45+D22*(Unit_Cost!$M$46+Cache_Store!$M$29*D10/B4_Retain)+D23*Unit_Cost!$M$47)/1000000,"SLO 不可達")</f>
        <v>0.0440913441085181</v>
      </c>
      <c r="E34" s="80" t="n">
        <f aca="false">IF(ISNUMBER(Unit_Cost!$M$47),(E21*Unit_Cost!$M$45+E22*(Unit_Cost!$M$46+Cache_Store!$M$29*E10/B4_Retain)+E23*Unit_Cost!$M$47)/1000000,"SLO 不可達")</f>
        <v>0.0937511180040635</v>
      </c>
      <c r="F34" s="80" t="n">
        <f aca="false">IF(ISNUMBER(Unit_Cost!$M$47),(F21*Unit_Cost!$M$45+F22*(Unit_Cost!$M$46+Cache_Store!$M$29*F10/B4_Retain)+F23*Unit_Cost!$M$47)/1000000,"SLO 不可達")</f>
        <v>0.0560957109622235</v>
      </c>
      <c r="G34" s="80" t="n">
        <f aca="false">IF(ISNUMBER(Unit_Cost!$M$47),(G21*Unit_Cost!$M$45+G22*(Unit_Cost!$M$46+Cache_Store!$M$29*G10/B4_Retain)+G23*Unit_Cost!$M$47)/1000000,"SLO 不可達")</f>
        <v>0.0704783732223625</v>
      </c>
      <c r="H34" s="80" t="n">
        <f aca="false">IF(ISNUMBER(Unit_Cost!$M$47),(H21*Unit_Cost!$M$45+H22*(Unit_Cost!$M$46+Cache_Store!$M$29*H10/B4_Retain)+H23*Unit_Cost!$M$47)/1000000,"SLO 不可達")</f>
        <v>0.0628539419977464</v>
      </c>
      <c r="I34" s="80" t="n">
        <f aca="false">IF(ISNUMBER(Unit_Cost!$M$47),(I21*Unit_Cost!$M$45+I22*(Unit_Cost!$M$46+Cache_Store!$M$29*I10/B4_Retain)+I23*Unit_Cost!$M$47)/1000000,"SLO 不可達")</f>
        <v>0.063287042092293</v>
      </c>
      <c r="J34" s="80" t="n">
        <f aca="false">IF(ISNUMBER(Unit_Cost!$M$47),(J21*Unit_Cost!$M$45+J22*(Unit_Cost!$M$46+Cache_Store!$M$29*J10/B4_Retain)+J23*Unit_Cost!$M$47)/1000000,"SLO 不可達")</f>
        <v>0.0618021274824191</v>
      </c>
      <c r="K34" s="80" t="n">
        <f aca="false">IF(ISNUMBER(Unit_Cost!$M$47),(K21*Unit_Cost!$M$45+K22*(Unit_Cost!$M$46+Cache_Store!$M$29*K10/B4_Retain)+K23*Unit_Cost!$M$47)/1000000,"SLO 不可達")</f>
        <v>0.0655144140071039</v>
      </c>
      <c r="L34" s="80" t="n">
        <f aca="false">IF(ISNUMBER(Unit_Cost!$M$47),(L21*Unit_Cost!$M$45+L22*(Unit_Cost!$M$46+Cache_Store!$M$29*L10/B4_Retain)+L23*Unit_Cost!$M$47)/1000000,"SLO 不可達")</f>
        <v>0.063287042092293</v>
      </c>
      <c r="M34" s="80" t="n">
        <f aca="false">IF(ISNUMBER(Unit_Cost!$M$47),(M21*Unit_Cost!$M$45+M22*(Unit_Cost!$M$46+Cache_Store!$M$29*M10/B4_Retain)+M23*Unit_Cost!$M$47)/1000000,"SLO 不可達")</f>
        <v>0.063287042092293</v>
      </c>
      <c r="N34" s="80" t="n">
        <f aca="false">IF(ISNUMBER(Unit_Cost!$M$47),(N21*Unit_Cost!$M$45+N22*(Unit_Cost!$M$46+Cache_Store!$M$29*N10/B4_Retain)+N23*Unit_Cost!$M$47)/1000000,"SLO 不可達")</f>
        <v>0.0621146911443478</v>
      </c>
      <c r="O34" s="80" t="n">
        <f aca="false">IF(ISNUMBER(Unit_Cost!$M$47),(O21*Unit_Cost!$M$45+O22*(Unit_Cost!$M$46+Cache_Store!$M$29*O10/B4_Retain)+O23*Unit_Cost!$M$47)/1000000,"SLO 不可達")</f>
        <v>0.0659448149799642</v>
      </c>
      <c r="P34" s="80" t="n">
        <f aca="false">IF(ISNUMBER(Unit_Cost!$M$47),(P21*Unit_Cost!$M$45+P22*(Unit_Cost!$M$46+Cache_Store!$M$29*P10/B4_Retain)+P23*Unit_Cost!$M$47)/1000000,"SLO 不可達")</f>
        <v>0.063287042092293</v>
      </c>
      <c r="Q34" s="80" t="n">
        <f aca="false">IF(ISNUMBER(Unit_Cost!$M$47),(Q21*Unit_Cost!$M$45+Q22*(Unit_Cost!$M$46+Cache_Store!$M$29*Q10/B4_Retain)+Q23*Unit_Cost!$M$47)/1000000,"SLO 不可達")</f>
        <v>0.063287042092293</v>
      </c>
      <c r="R34" s="80" t="n">
        <f aca="false">IF(ISNUMBER(Unit_Cost!$M$47),(R21*Unit_Cost!$M$45+R22*(Unit_Cost!$M$46+Cache_Store!$M$29*R10/B4_Retain)+R23*Unit_Cost!$M$47)/1000000,"SLO 不可達")</f>
        <v>0.063287042092293</v>
      </c>
      <c r="S34" s="80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1643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1644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1645</v>
      </c>
      <c r="C37" s="155" t="n">
        <f aca="false">IF(AND(ISNUMBER(C34),ISNUMBER(Harness!$G$73)),(C34/C36)/(Harness!$G$73/C35),"SLO 不可達")</f>
        <v>0.519897043107582</v>
      </c>
      <c r="D37" s="155" t="n">
        <f aca="false">IF(AND(ISNUMBER(D34),ISNUMBER(Harness!$G$73)),(D34/D36)/(Harness!$G$73/D35),"SLO 不可達")</f>
        <v>0.362206206370467</v>
      </c>
      <c r="E37" s="155" t="n">
        <f aca="false">IF(AND(ISNUMBER(E34),ISNUMBER(Harness!$G$73)),(E34/E36)/(Harness!$G$73/E35),"SLO 不可達")</f>
        <v>0.770156534844251</v>
      </c>
      <c r="F37" s="155" t="n">
        <f aca="false">IF(AND(ISNUMBER(F34),ISNUMBER(Harness!$G$73)),(F34/F36)/(Harness!$G$73/F35),"SLO 不可達")</f>
        <v>0.460820940529138</v>
      </c>
      <c r="G37" s="155" t="n">
        <f aca="false">IF(AND(ISNUMBER(G34),ISNUMBER(Harness!$G$73)),(G34/G36)/(Harness!$G$73/G35),"SLO 不可達")</f>
        <v>0.578973145686027</v>
      </c>
      <c r="H37" s="155" t="n">
        <f aca="false">IF(AND(ISNUMBER(H34),ISNUMBER(Harness!$G$73)),(H34/H36)/(Harness!$G$73/H35),"SLO 不可達")</f>
        <v>0.516339166943991</v>
      </c>
      <c r="I37" s="155" t="n">
        <f aca="false">IF(AND(ISNUMBER(I34),ISNUMBER(Harness!$G$73)),(I34/I36)/(Harness!$G$73/I35),"SLO 不可達")</f>
        <v>0.519897043107582</v>
      </c>
      <c r="J37" s="155" t="n">
        <f aca="false">IF(AND(ISNUMBER(J34),ISNUMBER(Harness!$G$73)),(J34/J36)/(Harness!$G$73/J35),"SLO 不可達")</f>
        <v>0.507698610546698</v>
      </c>
      <c r="K37" s="155" t="n">
        <f aca="false">IF(AND(ISNUMBER(K34),ISNUMBER(Harness!$G$73)),(K34/K36)/(Harness!$G$73/K35),"SLO 不可達")</f>
        <v>0.538194691948909</v>
      </c>
      <c r="L37" s="155" t="n">
        <f aca="false">IF(AND(ISNUMBER(L34),ISNUMBER(Harness!$G$73)),(L34/L36)/(Harness!$G$73/L35),"SLO 不可達")</f>
        <v>0.612483911041306</v>
      </c>
      <c r="M37" s="155" t="n">
        <f aca="false">IF(AND(ISNUMBER(M34),ISNUMBER(Harness!$G$73)),(M34/M36)/(Harness!$G$73/M35),"SLO 不可達")</f>
        <v>0.464844562056282</v>
      </c>
      <c r="N37" s="155" t="n">
        <f aca="false">IF(AND(ISNUMBER(N34),ISNUMBER(Harness!$G$73)),(N34/N36)/(Harness!$G$73/N35),"SLO 不可達")</f>
        <v>0.510266291358556</v>
      </c>
      <c r="O37" s="155" t="n">
        <f aca="false">IF(AND(ISNUMBER(O34),ISNUMBER(Harness!$G$73)),(O34/O36)/(Harness!$G$73/O35),"SLO 不可達")</f>
        <v>0.541730395084069</v>
      </c>
      <c r="P37" s="155" t="n">
        <f aca="false">IF(AND(ISNUMBER(P34),ISNUMBER(Harness!$G$73)),(P34/P36)/(Harness!$G$73/P35),"SLO 不可達")</f>
        <v>0.526012354813431</v>
      </c>
      <c r="Q37" s="155" t="n">
        <f aca="false">IF(AND(ISNUMBER(Q34),ISNUMBER(Harness!$G$73)),(Q34/Q36)/(Harness!$G$73/Q35),"SLO 不可達")</f>
        <v>0.510403259201088</v>
      </c>
      <c r="R37" s="155" t="n">
        <f aca="false">IF(AND(ISNUMBER(R34),ISNUMBER(Harness!$G$73)),(R34/R36)/(Harness!$G$73/R35),"SLO 不可達")</f>
        <v>0.503090372823194</v>
      </c>
      <c r="S37" s="155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4" t="s">
        <v>1646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1647</v>
      </c>
    </row>
    <row r="2" customFormat="false" ht="15" hidden="false" customHeight="true" outlineLevel="0" collapsed="false">
      <c r="A2" s="3" t="s">
        <v>1648</v>
      </c>
    </row>
    <row r="4" customFormat="false" ht="15" hidden="false" customHeight="true" outlineLevel="0" collapsed="false">
      <c r="A4" s="20" t="s">
        <v>1649</v>
      </c>
      <c r="B4" s="20" t="s">
        <v>53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20" t="s">
        <v>26</v>
      </c>
      <c r="C5" s="28" t="s">
        <v>54</v>
      </c>
      <c r="D5" s="28" t="s">
        <v>55</v>
      </c>
      <c r="E5" s="28" t="s">
        <v>56</v>
      </c>
      <c r="F5" s="28" t="s">
        <v>54</v>
      </c>
      <c r="G5" s="28" t="s">
        <v>55</v>
      </c>
      <c r="H5" s="28" t="s">
        <v>56</v>
      </c>
      <c r="I5" s="28" t="s">
        <v>54</v>
      </c>
      <c r="J5" s="28" t="s">
        <v>55</v>
      </c>
      <c r="K5" s="28" t="s">
        <v>56</v>
      </c>
      <c r="L5" s="28" t="s">
        <v>54</v>
      </c>
      <c r="M5" s="28" t="s">
        <v>55</v>
      </c>
      <c r="N5" s="28" t="s">
        <v>56</v>
      </c>
      <c r="O5" s="28" t="s">
        <v>54</v>
      </c>
      <c r="P5" s="28" t="s">
        <v>55</v>
      </c>
      <c r="Q5" s="28" t="s">
        <v>56</v>
      </c>
    </row>
    <row r="6" customFormat="false" ht="15" hidden="false" customHeight="true" outlineLevel="0" collapsed="false">
      <c r="A6" s="20" t="s">
        <v>1650</v>
      </c>
      <c r="B6" s="21" t="s">
        <v>672</v>
      </c>
      <c r="C6" s="27" t="n">
        <f aca="false">(DC_Cost!C12)/CTL_GW</f>
        <v>22439</v>
      </c>
      <c r="D6" s="161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7076</v>
      </c>
      <c r="G6" s="161" t="n">
        <f aca="false">(DC_Cost!G12)/CTL_GW</f>
        <v>7076</v>
      </c>
      <c r="H6" s="27" t="n">
        <f aca="false">(DC_Cost!H12)/CTL_GW</f>
        <v>7076</v>
      </c>
      <c r="I6" s="27" t="n">
        <f aca="false">(DC_Cost!I12)/CTL_GW</f>
        <v>6715</v>
      </c>
      <c r="J6" s="161" t="n">
        <f aca="false">(DC_Cost!J12)/CTL_GW</f>
        <v>6715</v>
      </c>
      <c r="K6" s="27" t="n">
        <f aca="false">(DC_Cost!K12)/CTL_GW</f>
        <v>6715</v>
      </c>
      <c r="L6" s="27" t="n">
        <f aca="false">(DC_Cost!L12)/CTL_GW</f>
        <v>4052</v>
      </c>
      <c r="M6" s="161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1533</v>
      </c>
      <c r="P6" s="161" t="n">
        <f aca="false">(DC_Cost!P12)/CTL_GW</f>
        <v>1533</v>
      </c>
      <c r="Q6" s="27" t="n">
        <f aca="false">(DC_Cost!Q12)/CTL_GW</f>
        <v>1533</v>
      </c>
    </row>
    <row r="7" customFormat="false" ht="15" hidden="false" customHeight="true" outlineLevel="0" collapsed="false">
      <c r="A7" s="20" t="s">
        <v>1651</v>
      </c>
      <c r="B7" s="21" t="s">
        <v>666</v>
      </c>
      <c r="C7" s="27" t="n">
        <f aca="false">(DC_Cost!C14)/CTL_GW</f>
        <v>718048</v>
      </c>
      <c r="D7" s="161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509472</v>
      </c>
      <c r="G7" s="161" t="n">
        <f aca="false">(DC_Cost!G14)/CTL_GW</f>
        <v>509472</v>
      </c>
      <c r="H7" s="27" t="n">
        <f aca="false">(DC_Cost!H14)/CTL_GW</f>
        <v>509472</v>
      </c>
      <c r="I7" s="27" t="n">
        <f aca="false">(DC_Cost!I14)/CTL_GW</f>
        <v>483480</v>
      </c>
      <c r="J7" s="161" t="n">
        <f aca="false">(DC_Cost!J14)/CTL_GW</f>
        <v>483480</v>
      </c>
      <c r="K7" s="27" t="n">
        <f aca="false">(DC_Cost!K14)/CTL_GW</f>
        <v>483480</v>
      </c>
      <c r="L7" s="27" t="n">
        <f aca="false">(DC_Cost!L14)/CTL_GW</f>
        <v>291744</v>
      </c>
      <c r="M7" s="161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220752</v>
      </c>
      <c r="P7" s="161" t="n">
        <f aca="false">(DC_Cost!P14)/CTL_GW</f>
        <v>220752</v>
      </c>
      <c r="Q7" s="27" t="n">
        <f aca="false">(DC_Cost!Q14)/CTL_GW</f>
        <v>220752</v>
      </c>
    </row>
    <row r="8" customFormat="false" ht="15" hidden="false" customHeight="true" outlineLevel="0" collapsed="false">
      <c r="A8" s="20" t="s">
        <v>1652</v>
      </c>
      <c r="B8" s="16" t="s">
        <v>61</v>
      </c>
      <c r="C8" s="121" t="n">
        <f aca="false">(DC_Cost!C16/1000)/CTL_GW</f>
        <v>1.1</v>
      </c>
      <c r="D8" s="162" t="n">
        <f aca="false">(DC_Cost!D16/1000)/CTL_GW</f>
        <v>1.2</v>
      </c>
      <c r="E8" s="121" t="n">
        <f aca="false">(DC_Cost!E16/1000)/CTL_GW</f>
        <v>1.3</v>
      </c>
      <c r="F8" s="121" t="n">
        <f aca="false">(DC_Cost!F16/1000)/CTL_GW</f>
        <v>1.1</v>
      </c>
      <c r="G8" s="162" t="n">
        <f aca="false">(DC_Cost!G16/1000)/CTL_GW</f>
        <v>1.2</v>
      </c>
      <c r="H8" s="121" t="n">
        <f aca="false">(DC_Cost!H16/1000)/CTL_GW</f>
        <v>1.3</v>
      </c>
      <c r="I8" s="121" t="n">
        <f aca="false">(DC_Cost!I16/1000)/CTL_GW</f>
        <v>1.1</v>
      </c>
      <c r="J8" s="162" t="n">
        <f aca="false">(DC_Cost!J16/1000)/CTL_GW</f>
        <v>1.2</v>
      </c>
      <c r="K8" s="121" t="n">
        <f aca="false">(DC_Cost!K16/1000)/CTL_GW</f>
        <v>1.3</v>
      </c>
      <c r="L8" s="121" t="n">
        <f aca="false">(DC_Cost!L16/1000)/CTL_GW</f>
        <v>1.1</v>
      </c>
      <c r="M8" s="162" t="n">
        <f aca="false">(DC_Cost!M16/1000)/CTL_GW</f>
        <v>1.2</v>
      </c>
      <c r="N8" s="121" t="n">
        <f aca="false">(DC_Cost!N16/1000)/CTL_GW</f>
        <v>1.3</v>
      </c>
      <c r="O8" s="121" t="n">
        <f aca="false">(DC_Cost!O16/1000)/CTL_GW</f>
        <v>1.1</v>
      </c>
      <c r="P8" s="162" t="n">
        <f aca="false">(DC_Cost!P16/1000)/CTL_GW</f>
        <v>1.2</v>
      </c>
      <c r="Q8" s="121" t="n">
        <f aca="false">(DC_Cost!Q16/1000)/CTL_GW</f>
        <v>1.3</v>
      </c>
    </row>
    <row r="9" customFormat="false" ht="15" hidden="false" customHeight="true" outlineLevel="0" collapsed="false">
      <c r="A9" s="20" t="s">
        <v>1653</v>
      </c>
      <c r="B9" s="16" t="s">
        <v>810</v>
      </c>
      <c r="C9" s="30" t="n">
        <f aca="false">(DC_Cost!C24)/CTL_GW</f>
        <v>21.4202694</v>
      </c>
      <c r="D9" s="163" t="n">
        <f aca="false">(DC_Cost!D24)/CTL_GW</f>
        <v>27.510214</v>
      </c>
      <c r="E9" s="30" t="n">
        <f aca="false">(DC_Cost!E24)/CTL_GW</f>
        <v>34.1207434</v>
      </c>
      <c r="F9" s="30" t="n">
        <f aca="false">(DC_Cost!F24)/CTL_GW</f>
        <v>20.9562816</v>
      </c>
      <c r="G9" s="163" t="n">
        <f aca="false">(DC_Cost!G24)/CTL_GW</f>
        <v>24.383896</v>
      </c>
      <c r="H9" s="30" t="n">
        <f aca="false">(DC_Cost!H24)/CTL_GW</f>
        <v>28.0747376</v>
      </c>
      <c r="I9" s="30" t="n">
        <f aca="false">(DC_Cost!I24)/CTL_GW</f>
        <v>28.348044</v>
      </c>
      <c r="J9" s="163" t="n">
        <f aca="false">(DC_Cost!J24)/CTL_GW</f>
        <v>37.17424</v>
      </c>
      <c r="K9" s="30" t="n">
        <f aca="false">(DC_Cost!K24)/CTL_GW</f>
        <v>50.581409</v>
      </c>
      <c r="L9" s="30" t="n">
        <f aca="false">(DC_Cost!L24)/CTL_GW</f>
        <v>28.5933432</v>
      </c>
      <c r="M9" s="163" t="n">
        <f aca="false">(DC_Cost!M24)/CTL_GW</f>
        <v>34.912032</v>
      </c>
      <c r="N9" s="30" t="n">
        <f aca="false">(DC_Cost!N24)/CTL_GW</f>
        <v>42.6375752</v>
      </c>
      <c r="O9" s="30" t="n">
        <f aca="false">(DC_Cost!O24)/CTL_GW</f>
        <v>37.7320356</v>
      </c>
      <c r="P9" s="163" t="n">
        <f aca="false">(DC_Cost!P24)/CTL_GW</f>
        <v>52.722936</v>
      </c>
      <c r="Q9" s="30" t="n">
        <f aca="false">(DC_Cost!Q24)/CTL_GW</f>
        <v>68.9316516</v>
      </c>
    </row>
    <row r="10" customFormat="false" ht="15" hidden="false" customHeight="true" outlineLevel="0" collapsed="false">
      <c r="A10" s="20" t="s">
        <v>1654</v>
      </c>
      <c r="B10" s="16" t="s">
        <v>810</v>
      </c>
      <c r="C10" s="30" t="n">
        <f aca="false">(DC_Cost!C32)/CTL_GW</f>
        <v>10.212</v>
      </c>
      <c r="D10" s="163" t="n">
        <f aca="false">(DC_Cost!D32)/CTL_GW</f>
        <v>12.67</v>
      </c>
      <c r="E10" s="30" t="n">
        <f aca="false">(DC_Cost!E32)/CTL_GW</f>
        <v>16.186</v>
      </c>
      <c r="F10" s="30" t="n">
        <f aca="false">(DC_Cost!F32)/CTL_GW</f>
        <v>10.212</v>
      </c>
      <c r="G10" s="163" t="n">
        <f aca="false">(DC_Cost!G32)/CTL_GW</f>
        <v>12.67</v>
      </c>
      <c r="H10" s="30" t="n">
        <f aca="false">(DC_Cost!H32)/CTL_GW</f>
        <v>16.186</v>
      </c>
      <c r="I10" s="30" t="n">
        <f aca="false">(DC_Cost!I32)/CTL_GW</f>
        <v>10.212</v>
      </c>
      <c r="J10" s="163" t="n">
        <f aca="false">(DC_Cost!J32)/CTL_GW</f>
        <v>12.67</v>
      </c>
      <c r="K10" s="30" t="n">
        <f aca="false">(DC_Cost!K32)/CTL_GW</f>
        <v>16.186</v>
      </c>
      <c r="L10" s="30" t="n">
        <f aca="false">(DC_Cost!L32)/CTL_GW</f>
        <v>10.212</v>
      </c>
      <c r="M10" s="163" t="n">
        <f aca="false">(DC_Cost!M32)/CTL_GW</f>
        <v>12.67</v>
      </c>
      <c r="N10" s="30" t="n">
        <f aca="false">(DC_Cost!N32)/CTL_GW</f>
        <v>16.186</v>
      </c>
      <c r="O10" s="30" t="n">
        <f aca="false">(DC_Cost!O32)/CTL_GW</f>
        <v>10.212</v>
      </c>
      <c r="P10" s="163" t="n">
        <f aca="false">(DC_Cost!P32)/CTL_GW</f>
        <v>12.67</v>
      </c>
      <c r="Q10" s="30" t="n">
        <f aca="false">(DC_Cost!Q32)/CTL_GW</f>
        <v>16.186</v>
      </c>
    </row>
    <row r="11" customFormat="false" ht="15" hidden="false" customHeight="true" outlineLevel="0" collapsed="false">
      <c r="A11" s="20" t="s">
        <v>1655</v>
      </c>
      <c r="B11" s="16" t="s">
        <v>810</v>
      </c>
      <c r="C11" s="30" t="n">
        <f aca="false">(DC_Cost!C33)/CTL_GW</f>
        <v>31.6322694</v>
      </c>
      <c r="D11" s="163" t="n">
        <f aca="false">(DC_Cost!D33)/CTL_GW</f>
        <v>40.180214</v>
      </c>
      <c r="E11" s="30" t="n">
        <f aca="false">(DC_Cost!E33)/CTL_GW</f>
        <v>50.3067434</v>
      </c>
      <c r="F11" s="30" t="n">
        <f aca="false">(DC_Cost!F33)/CTL_GW</f>
        <v>31.1682816</v>
      </c>
      <c r="G11" s="163" t="n">
        <f aca="false">(DC_Cost!G33)/CTL_GW</f>
        <v>37.053896</v>
      </c>
      <c r="H11" s="30" t="n">
        <f aca="false">(DC_Cost!H33)/CTL_GW</f>
        <v>44.2607376</v>
      </c>
      <c r="I11" s="30" t="n">
        <f aca="false">(DC_Cost!I33)/CTL_GW</f>
        <v>38.560044</v>
      </c>
      <c r="J11" s="163" t="n">
        <f aca="false">(DC_Cost!J33)/CTL_GW</f>
        <v>49.84424</v>
      </c>
      <c r="K11" s="30" t="n">
        <f aca="false">(DC_Cost!K33)/CTL_GW</f>
        <v>66.767409</v>
      </c>
      <c r="L11" s="30" t="n">
        <f aca="false">(DC_Cost!L33)/CTL_GW</f>
        <v>38.8053432</v>
      </c>
      <c r="M11" s="163" t="n">
        <f aca="false">(DC_Cost!M33)/CTL_GW</f>
        <v>47.582032</v>
      </c>
      <c r="N11" s="30" t="n">
        <f aca="false">(DC_Cost!N33)/CTL_GW</f>
        <v>58.8235752</v>
      </c>
      <c r="O11" s="30" t="n">
        <f aca="false">(DC_Cost!O33)/CTL_GW</f>
        <v>47.9440356</v>
      </c>
      <c r="P11" s="163" t="n">
        <f aca="false">(DC_Cost!P33)/CTL_GW</f>
        <v>65.392936</v>
      </c>
      <c r="Q11" s="30" t="n">
        <f aca="false">(DC_Cost!Q33)/CTL_GW</f>
        <v>85.1176516</v>
      </c>
    </row>
    <row r="12" customFormat="false" ht="15" hidden="false" customHeight="true" outlineLevel="0" collapsed="false">
      <c r="A12" s="20" t="s">
        <v>1656</v>
      </c>
      <c r="B12" s="16" t="s">
        <v>1657</v>
      </c>
      <c r="C12" s="164" t="n">
        <f aca="false">(DC_Cost!C49)/CTL_GW</f>
        <v>5.39897242953333</v>
      </c>
      <c r="D12" s="165" t="n">
        <f aca="false">(DC_Cost!D49)/CTL_GW</f>
        <v>7.49682782333333</v>
      </c>
      <c r="E12" s="164" t="n">
        <f aca="false">(DC_Cost!E49)/CTL_GW</f>
        <v>12.9492728665333</v>
      </c>
      <c r="F12" s="164" t="n">
        <f aca="false">(DC_Cost!F49)/CTL_GW</f>
        <v>5.31096941013333</v>
      </c>
      <c r="G12" s="165" t="n">
        <f aca="false">(DC_Cost!G49)/CTL_GW</f>
        <v>6.86635369333333</v>
      </c>
      <c r="H12" s="164" t="n">
        <f aca="false">(DC_Cost!H49)/CTL_GW</f>
        <v>11.1475631381333</v>
      </c>
      <c r="I12" s="164" t="n">
        <f aca="false">(DC_Cost!I49)/CTL_GW</f>
        <v>6.71294034533333</v>
      </c>
      <c r="J12" s="165" t="n">
        <f aca="false">(DC_Cost!J49)/CTL_GW</f>
        <v>9.44573973333333</v>
      </c>
      <c r="K12" s="164" t="n">
        <f aca="false">(DC_Cost!K49)/CTL_GW</f>
        <v>17.8545512153333</v>
      </c>
      <c r="L12" s="164" t="n">
        <f aca="false">(DC_Cost!L49)/CTL_GW</f>
        <v>6.75946542693333</v>
      </c>
      <c r="M12" s="165" t="n">
        <f aca="false">(DC_Cost!M49)/CTL_GW</f>
        <v>8.98952778666667</v>
      </c>
      <c r="N12" s="164" t="n">
        <f aca="false">(DC_Cost!N49)/CTL_GW</f>
        <v>15.4872887429333</v>
      </c>
      <c r="O12" s="164" t="n">
        <f aca="false">(DC_Cost!O49)/CTL_GW</f>
        <v>8.49277075213334</v>
      </c>
      <c r="P12" s="165" t="n">
        <f aca="false">(DC_Cost!P49)/CTL_GW</f>
        <v>12.5813934266667</v>
      </c>
      <c r="Q12" s="164" t="n">
        <f aca="false">(DC_Cost!Q49)/CTL_GW</f>
        <v>23.3229235101333</v>
      </c>
    </row>
    <row r="13" customFormat="false" ht="15" hidden="false" customHeight="true" outlineLevel="0" collapsed="false">
      <c r="A13" s="20" t="s">
        <v>1658</v>
      </c>
      <c r="B13" s="16" t="s">
        <v>1657</v>
      </c>
      <c r="C13" s="164" t="n">
        <f aca="false">(DC_Cost!C55)/CTL_GW</f>
        <v>7.0000433103819</v>
      </c>
      <c r="D13" s="165" t="n">
        <f aca="false">(DC_Cost!D55)/CTL_GW</f>
        <v>10.0957952959174</v>
      </c>
      <c r="E13" s="164" t="n">
        <f aca="false">(DC_Cost!E55)/CTL_GW</f>
        <v>17.4059720636914</v>
      </c>
      <c r="F13" s="164" t="n">
        <f aca="false">(DC_Cost!F55)/CTL_GW</f>
        <v>6.88900389081935</v>
      </c>
      <c r="G13" s="165" t="n">
        <f aca="false">(DC_Cost!G55)/CTL_GW</f>
        <v>9.2685484797567</v>
      </c>
      <c r="H13" s="164" t="n">
        <f aca="false">(DC_Cost!H55)/CTL_GW</f>
        <v>15.0831317178447</v>
      </c>
      <c r="I13" s="164" t="n">
        <f aca="false">(DC_Cost!I55)/CTL_GW</f>
        <v>8.65796636448843</v>
      </c>
      <c r="J13" s="165" t="n">
        <f aca="false">(DC_Cost!J55)/CTL_GW</f>
        <v>12.6529678995341</v>
      </c>
      <c r="K13" s="164" t="n">
        <f aca="false">(DC_Cost!K55)/CTL_GW</f>
        <v>23.7300642726621</v>
      </c>
      <c r="L13" s="164" t="n">
        <f aca="false">(DC_Cost!L55)/CTL_GW</f>
        <v>8.7166702372781</v>
      </c>
      <c r="M13" s="165" t="n">
        <f aca="false">(DC_Cost!M55)/CTL_GW</f>
        <v>12.0543709668186</v>
      </c>
      <c r="N13" s="164" t="n">
        <f aca="false">(DC_Cost!N55)/CTL_GW</f>
        <v>20.6780894215396</v>
      </c>
      <c r="O13" s="164" t="n">
        <f aca="false">(DC_Cost!O55)/CTL_GW</f>
        <v>10.9036999386122</v>
      </c>
      <c r="P13" s="165" t="n">
        <f aca="false">(DC_Cost!P55)/CTL_GW</f>
        <v>16.7672676161495</v>
      </c>
      <c r="Q13" s="164" t="n">
        <f aca="false">(DC_Cost!Q55)/CTL_GW</f>
        <v>30.7801210005857</v>
      </c>
    </row>
    <row r="14" customFormat="false" ht="15" hidden="false" customHeight="true" outlineLevel="0" collapsed="false">
      <c r="A14" s="20" t="s">
        <v>841</v>
      </c>
      <c r="B14" s="16" t="s">
        <v>783</v>
      </c>
      <c r="C14" s="164" t="n">
        <f aca="false">DC_Cost!C58</f>
        <v>1.11286669150028</v>
      </c>
      <c r="D14" s="165" t="n">
        <f aca="false">DC_Cost!D58</f>
        <v>1.60502925637165</v>
      </c>
      <c r="E14" s="164" t="n">
        <f aca="false">DC_Cost!E58</f>
        <v>2.76720095633376</v>
      </c>
      <c r="F14" s="164" t="n">
        <f aca="false">DC_Cost!F58</f>
        <v>1.54359016643037</v>
      </c>
      <c r="G14" s="165" t="n">
        <f aca="false">DC_Cost!G58</f>
        <v>2.07676472784428</v>
      </c>
      <c r="H14" s="164" t="n">
        <f aca="false">DC_Cost!H58</f>
        <v>3.37961397142862</v>
      </c>
      <c r="I14" s="164" t="n">
        <f aca="false">DC_Cost!I58</f>
        <v>2.04424655562441</v>
      </c>
      <c r="J14" s="165" t="n">
        <f aca="false">DC_Cost!J58</f>
        <v>2.98751288214055</v>
      </c>
      <c r="K14" s="164" t="n">
        <f aca="false">DC_Cost!K58</f>
        <v>5.6029441686335</v>
      </c>
      <c r="L14" s="164" t="n">
        <f aca="false">DC_Cost!L58</f>
        <v>3.41070829238845</v>
      </c>
      <c r="M14" s="165" t="n">
        <f aca="false">DC_Cost!M58</f>
        <v>4.71670281161092</v>
      </c>
      <c r="N14" s="164" t="n">
        <f aca="false">DC_Cost!N58</f>
        <v>8.09104040200768</v>
      </c>
      <c r="O14" s="164" t="n">
        <f aca="false">DC_Cost!O58</f>
        <v>5.63852017134344</v>
      </c>
      <c r="P14" s="165" t="n">
        <f aca="false">DC_Cost!P58</f>
        <v>8.6706876752155</v>
      </c>
      <c r="Q14" s="164" t="n">
        <f aca="false">DC_Cost!Q58</f>
        <v>15.9170129511363</v>
      </c>
    </row>
    <row r="15" customFormat="false" ht="15" hidden="false" customHeight="true" outlineLevel="0" collapsed="false">
      <c r="A15" s="20" t="s">
        <v>1659</v>
      </c>
      <c r="B15" s="16" t="s">
        <v>1657</v>
      </c>
      <c r="C15" s="164" t="n">
        <f aca="false">(DC_Cost!C43)/CTL_GW</f>
        <v>0.404712</v>
      </c>
      <c r="D15" s="165" t="n">
        <f aca="false">(DC_Cost!D43)/CTL_GW</f>
        <v>0.672768</v>
      </c>
      <c r="E15" s="164" t="n">
        <f aca="false">(DC_Cost!E43)/CTL_GW</f>
        <v>1.02492</v>
      </c>
      <c r="F15" s="164" t="n">
        <f aca="false">(DC_Cost!F43)/CTL_GW</f>
        <v>0.404712</v>
      </c>
      <c r="G15" s="165" t="n">
        <f aca="false">(DC_Cost!G43)/CTL_GW</f>
        <v>0.672768</v>
      </c>
      <c r="H15" s="164" t="n">
        <f aca="false">(DC_Cost!H43)/CTL_GW</f>
        <v>1.02492</v>
      </c>
      <c r="I15" s="164" t="n">
        <f aca="false">(DC_Cost!I43)/CTL_GW</f>
        <v>0.404712</v>
      </c>
      <c r="J15" s="165" t="n">
        <f aca="false">(DC_Cost!J43)/CTL_GW</f>
        <v>0.672768</v>
      </c>
      <c r="K15" s="164" t="n">
        <f aca="false">(DC_Cost!K43)/CTL_GW</f>
        <v>1.02492</v>
      </c>
      <c r="L15" s="164" t="n">
        <f aca="false">(DC_Cost!L43)/CTL_GW</f>
        <v>0.404712</v>
      </c>
      <c r="M15" s="165" t="n">
        <f aca="false">(DC_Cost!M43)/CTL_GW</f>
        <v>0.672768</v>
      </c>
      <c r="N15" s="164" t="n">
        <f aca="false">(DC_Cost!N43)/CTL_GW</f>
        <v>1.02492</v>
      </c>
      <c r="O15" s="164" t="n">
        <f aca="false">(DC_Cost!O43)/CTL_GW</f>
        <v>0.404712</v>
      </c>
      <c r="P15" s="165" t="n">
        <f aca="false">(DC_Cost!P43)/CTL_GW</f>
        <v>0.672768</v>
      </c>
      <c r="Q15" s="164" t="n">
        <f aca="false">(DC_Cost!Q43)/CTL_GW</f>
        <v>1.02492</v>
      </c>
    </row>
    <row r="17" customFormat="false" ht="15" hidden="false" customHeight="true" outlineLevel="0" collapsed="false">
      <c r="A17" s="166" t="s">
        <v>1660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216</v>
      </c>
      <c r="C18" s="11"/>
    </row>
    <row r="19" customFormat="false" ht="15" hidden="false" customHeight="true" outlineLevel="0" collapsed="false">
      <c r="A19" s="167" t="s">
        <v>1661</v>
      </c>
      <c r="B19" s="35" t="s">
        <v>312</v>
      </c>
      <c r="C19" s="27" t="n">
        <f aca="false">INDEX(Perf!$C$95:$Q$95,3*(Unit_Cost!C$6-1)+1)</f>
        <v>106537.426468019</v>
      </c>
      <c r="D19" s="40" t="n">
        <f aca="false">INDEX(Perf!$C$95:$Q$95,3*(Unit_Cost!D$6-1)+1)</f>
        <v>106537.426468019</v>
      </c>
      <c r="E19" s="40" t="n">
        <f aca="false">INDEX(Perf!$C$95:$Q$95,3*(Unit_Cost!E$6-1)+1)</f>
        <v>106537.426468019</v>
      </c>
      <c r="F19" s="40" t="n">
        <f aca="false">INDEX(Perf!$C$95:$Q$95,3*(Unit_Cost!F$6-1)+1)</f>
        <v>1674189.23865346</v>
      </c>
      <c r="G19" s="40" t="n">
        <f aca="false">INDEX(Perf!$C$95:$Q$95,3*(Unit_Cost!G$6-1)+1)</f>
        <v>1674189.23865346</v>
      </c>
      <c r="H19" s="40" t="n">
        <f aca="false">INDEX(Perf!$C$95:$Q$95,3*(Unit_Cost!H$6-1)+1)</f>
        <v>1674189.23865346</v>
      </c>
      <c r="I19" s="40" t="n">
        <f aca="false">INDEX(Perf!$C$95:$Q$95,3*(Unit_Cost!I$6-1)+1)</f>
        <v>2511283.85798019</v>
      </c>
      <c r="J19" s="40" t="n">
        <f aca="false">INDEX(Perf!$C$95:$Q$95,3*(Unit_Cost!J$6-1)+1)</f>
        <v>2511283.85798019</v>
      </c>
      <c r="K19" s="40" t="n">
        <f aca="false">INDEX(Perf!$C$95:$Q$95,3*(Unit_Cost!K$6-1)+1)</f>
        <v>2511283.85798019</v>
      </c>
      <c r="L19" s="40" t="n">
        <f aca="false">INDEX(Perf!$C$95:$Q$95,3*(Unit_Cost!L$6-1)+1)</f>
        <v>6139828.53444362</v>
      </c>
      <c r="M19" s="40" t="n">
        <f aca="false">INDEX(Perf!$C$95:$Q$95,3*(Unit_Cost!M$6-1)+1)</f>
        <v>6139828.53444362</v>
      </c>
      <c r="N19" s="40" t="n">
        <f aca="false">INDEX(Perf!$C$95:$Q$95,3*(Unit_Cost!N$6-1)+1)</f>
        <v>6139828.53444362</v>
      </c>
      <c r="O19" s="40" t="n">
        <f aca="false">INDEX(Perf!$C$95:$Q$95,3*(Unit_Cost!O$6-1)+1)</f>
        <v>25922780.3335087</v>
      </c>
      <c r="P19" s="40" t="n">
        <f aca="false">INDEX(Perf!$C$95:$Q$95,3*(Unit_Cost!P$6-1)+1)</f>
        <v>25922780.3335087</v>
      </c>
      <c r="Q19" s="40" t="n">
        <f aca="false">INDEX(Perf!$C$95:$Q$95,3*(Unit_Cost!Q$6-1)+1)</f>
        <v>25922780.3335087</v>
      </c>
    </row>
    <row r="20" customFormat="false" ht="15" hidden="false" customHeight="true" outlineLevel="0" collapsed="false">
      <c r="A20" s="167" t="s">
        <v>1662</v>
      </c>
      <c r="B20" s="35" t="s">
        <v>312</v>
      </c>
      <c r="C20" s="27" t="n">
        <f aca="false">INDEX(Perf!$C$96:$Q$96,3*(Unit_Cost!C$6-1)+1)</f>
        <v>11837.4918297798</v>
      </c>
      <c r="D20" s="40" t="n">
        <f aca="false">INDEX(Perf!$C$96:$Q$96,3*(Unit_Cost!D$6-1)+1)</f>
        <v>11837.4918297798</v>
      </c>
      <c r="E20" s="40" t="n">
        <f aca="false">INDEX(Perf!$C$96:$Q$96,3*(Unit_Cost!E$6-1)+1)</f>
        <v>11837.4918297798</v>
      </c>
      <c r="F20" s="40" t="n">
        <f aca="false">INDEX(Perf!$C$96:$Q$96,3*(Unit_Cost!F$6-1)+1)</f>
        <v>186021.026517051</v>
      </c>
      <c r="G20" s="40" t="n">
        <f aca="false">INDEX(Perf!$C$96:$Q$96,3*(Unit_Cost!G$6-1)+1)</f>
        <v>186021.026517051</v>
      </c>
      <c r="H20" s="40" t="n">
        <f aca="false">INDEX(Perf!$C$96:$Q$96,3*(Unit_Cost!H$6-1)+1)</f>
        <v>186021.026517051</v>
      </c>
      <c r="I20" s="40" t="n">
        <f aca="false">INDEX(Perf!$C$96:$Q$96,3*(Unit_Cost!I$6-1)+1)</f>
        <v>279031.539775577</v>
      </c>
      <c r="J20" s="40" t="n">
        <f aca="false">INDEX(Perf!$C$96:$Q$96,3*(Unit_Cost!J$6-1)+1)</f>
        <v>279031.539775577</v>
      </c>
      <c r="K20" s="40" t="n">
        <f aca="false">INDEX(Perf!$C$96:$Q$96,3*(Unit_Cost!K$6-1)+1)</f>
        <v>279031.539775577</v>
      </c>
      <c r="L20" s="40" t="n">
        <f aca="false">INDEX(Perf!$C$96:$Q$96,3*(Unit_Cost!L$6-1)+1)</f>
        <v>682203.170493735</v>
      </c>
      <c r="M20" s="40" t="n">
        <f aca="false">INDEX(Perf!$C$96:$Q$96,3*(Unit_Cost!M$6-1)+1)</f>
        <v>682203.170493735</v>
      </c>
      <c r="N20" s="40" t="n">
        <f aca="false">INDEX(Perf!$C$96:$Q$96,3*(Unit_Cost!N$6-1)+1)</f>
        <v>682203.170493735</v>
      </c>
      <c r="O20" s="40" t="n">
        <f aca="false">INDEX(Perf!$C$96:$Q$96,3*(Unit_Cost!O$6-1)+1)</f>
        <v>2880308.92594541</v>
      </c>
      <c r="P20" s="40" t="n">
        <f aca="false">INDEX(Perf!$C$96:$Q$96,3*(Unit_Cost!P$6-1)+1)</f>
        <v>2880308.92594541</v>
      </c>
      <c r="Q20" s="40" t="n">
        <f aca="false">INDEX(Perf!$C$96:$Q$96,3*(Unit_Cost!Q$6-1)+1)</f>
        <v>2880308.92594541</v>
      </c>
    </row>
    <row r="21" customFormat="false" ht="15" hidden="false" customHeight="true" outlineLevel="0" collapsed="false">
      <c r="A21" s="167" t="s">
        <v>1663</v>
      </c>
      <c r="B21" s="35" t="s">
        <v>730</v>
      </c>
      <c r="C21" s="161" t="n">
        <f aca="false">INDEX(Perf!$C$98:$Q$98,3*(Unit_Cost!C$6-1)+1)</f>
        <v>75389750703.5004</v>
      </c>
      <c r="D21" s="168" t="n">
        <f aca="false">INDEX(Perf!$C$98:$Q$98,3*(Unit_Cost!D$6-1)+1)</f>
        <v>75389750703.5004</v>
      </c>
      <c r="E21" s="168" t="n">
        <f aca="false">INDEX(Perf!$C$98:$Q$98,3*(Unit_Cost!E$6-1)+1)</f>
        <v>75389750703.5004</v>
      </c>
      <c r="F21" s="168" t="n">
        <f aca="false">INDEX(Perf!$C$98:$Q$98,3*(Unit_Cost!F$6-1)+1)</f>
        <v>373593212430.323</v>
      </c>
      <c r="G21" s="168" t="n">
        <f aca="false">INDEX(Perf!$C$98:$Q$98,3*(Unit_Cost!G$6-1)+1)</f>
        <v>373593212430.323</v>
      </c>
      <c r="H21" s="168" t="n">
        <f aca="false">INDEX(Perf!$C$98:$Q$98,3*(Unit_Cost!H$6-1)+1)</f>
        <v>373593212430.323</v>
      </c>
      <c r="I21" s="168" t="n">
        <f aca="false">INDEX(Perf!$C$98:$Q$98,3*(Unit_Cost!I$6-1)+1)</f>
        <v>531800117609.444</v>
      </c>
      <c r="J21" s="168" t="n">
        <f aca="false">INDEX(Perf!$C$98:$Q$98,3*(Unit_Cost!J$6-1)+1)</f>
        <v>531800117609.444</v>
      </c>
      <c r="K21" s="168" t="n">
        <f aca="false">INDEX(Perf!$C$98:$Q$98,3*(Unit_Cost!K$6-1)+1)</f>
        <v>531800117609.444</v>
      </c>
      <c r="L21" s="168" t="n">
        <f aca="false">INDEX(Perf!$C$98:$Q$98,3*(Unit_Cost!L$6-1)+1)</f>
        <v>784571063547.291</v>
      </c>
      <c r="M21" s="168" t="n">
        <f aca="false">INDEX(Perf!$C$98:$Q$98,3*(Unit_Cost!M$6-1)+1)</f>
        <v>784571063547.291</v>
      </c>
      <c r="N21" s="168" t="n">
        <f aca="false">INDEX(Perf!$C$98:$Q$98,3*(Unit_Cost!N$6-1)+1)</f>
        <v>784571063547.291</v>
      </c>
      <c r="O21" s="168" t="n">
        <f aca="false">INDEX(Perf!$C$98:$Q$98,3*(Unit_Cost!O$6-1)+1)</f>
        <v>1253228727316.01</v>
      </c>
      <c r="P21" s="168" t="n">
        <f aca="false">INDEX(Perf!$C$98:$Q$98,3*(Unit_Cost!P$6-1)+1)</f>
        <v>1253228727316.01</v>
      </c>
      <c r="Q21" s="168" t="n">
        <f aca="false">INDEX(Perf!$C$98:$Q$98,3*(Unit_Cost!Q$6-1)+1)</f>
        <v>1253228727316.01</v>
      </c>
    </row>
    <row r="22" customFormat="false" ht="15" hidden="false" customHeight="true" outlineLevel="0" collapsed="false">
      <c r="A22" s="15" t="s">
        <v>1664</v>
      </c>
      <c r="B22" s="35" t="s">
        <v>73</v>
      </c>
      <c r="C22" s="121" t="n">
        <f aca="false">INDEX(Perf!$C$120:$Q$120,3*(Unit_Cost!C$6-1)+1)</f>
        <v>0.0960904043065772</v>
      </c>
      <c r="D22" s="169" t="n">
        <f aca="false">INDEX(Perf!$C$120:$Q$120,3*(Unit_Cost!D$6-1)+1)</f>
        <v>0.0960904043065772</v>
      </c>
      <c r="E22" s="169" t="n">
        <f aca="false">INDEX(Perf!$C$120:$Q$120,3*(Unit_Cost!E$6-1)+1)</f>
        <v>0.0960904043065772</v>
      </c>
      <c r="F22" s="169" t="n">
        <f aca="false">INDEX(Perf!$C$120:$Q$120,3*(Unit_Cost!F$6-1)+1)</f>
        <v>0.476175109927189</v>
      </c>
      <c r="G22" s="169" t="n">
        <f aca="false">INDEX(Perf!$C$120:$Q$120,3*(Unit_Cost!G$6-1)+1)</f>
        <v>0.476175109927189</v>
      </c>
      <c r="H22" s="169" t="n">
        <f aca="false">INDEX(Perf!$C$120:$Q$120,3*(Unit_Cost!H$6-1)+1)</f>
        <v>0.476175109927189</v>
      </c>
      <c r="I22" s="169" t="n">
        <f aca="false">INDEX(Perf!$C$120:$Q$120,3*(Unit_Cost!I$6-1)+1)</f>
        <v>0.677822752224648</v>
      </c>
      <c r="J22" s="169" t="n">
        <f aca="false">INDEX(Perf!$C$120:$Q$120,3*(Unit_Cost!J$6-1)+1)</f>
        <v>0.677822752224648</v>
      </c>
      <c r="K22" s="169" t="n">
        <f aca="false">INDEX(Perf!$C$120:$Q$120,3*(Unit_Cost!K$6-1)+1)</f>
        <v>0.677822752224648</v>
      </c>
      <c r="L22" s="169" t="n">
        <f aca="false">INDEX(Perf!$C$120:$Q$120,3*(Unit_Cost!L$6-1)+1)</f>
        <v>1</v>
      </c>
      <c r="M22" s="169" t="n">
        <f aca="false">INDEX(Perf!$C$120:$Q$120,3*(Unit_Cost!M$6-1)+1)</f>
        <v>1</v>
      </c>
      <c r="N22" s="169" t="n">
        <f aca="false">INDEX(Perf!$C$120:$Q$120,3*(Unit_Cost!N$6-1)+1)</f>
        <v>1</v>
      </c>
      <c r="O22" s="169" t="n">
        <f aca="false">INDEX(Perf!$C$120:$Q$120,3*(Unit_Cost!O$6-1)+1)</f>
        <v>1.59734252962348</v>
      </c>
      <c r="P22" s="169" t="n">
        <f aca="false">INDEX(Perf!$C$120:$Q$120,3*(Unit_Cost!P$6-1)+1)</f>
        <v>1.59734252962348</v>
      </c>
      <c r="Q22" s="169" t="n">
        <f aca="false">INDEX(Perf!$C$120:$Q$120,3*(Unit_Cost!Q$6-1)+1)</f>
        <v>1.59734252962348</v>
      </c>
    </row>
    <row r="23" customFormat="false" ht="15" hidden="false" customHeight="true" outlineLevel="0" collapsed="false">
      <c r="A23" s="34" t="s">
        <v>1665</v>
      </c>
      <c r="B23" s="35" t="s">
        <v>738</v>
      </c>
      <c r="C23" s="37" t="n">
        <f aca="false">Unit_Cost!C16</f>
        <v>0.0395652738991736</v>
      </c>
      <c r="D23" s="37" t="n">
        <f aca="false">Unit_Cost!D16</f>
        <v>0.0570629192423047</v>
      </c>
      <c r="E23" s="37" t="n">
        <f aca="false">Unit_Cost!E16</f>
        <v>0.0983811130368197</v>
      </c>
      <c r="F23" s="37" t="n">
        <f aca="false">Unit_Cost!F16</f>
        <v>0.00543023762175232</v>
      </c>
      <c r="G23" s="37" t="n">
        <f aca="false">Unit_Cost!G16</f>
        <v>0.00730590684102865</v>
      </c>
      <c r="H23" s="37" t="n">
        <f aca="false">Unit_Cost!H16</f>
        <v>0.0118892354549599</v>
      </c>
      <c r="I23" s="37" t="n">
        <f aca="false">Unit_Cost!I16</f>
        <v>0.00479434018860947</v>
      </c>
      <c r="J23" s="37" t="n">
        <f aca="false">Unit_Cost!J16</f>
        <v>0.00700656828083046</v>
      </c>
      <c r="K23" s="37" t="n">
        <f aca="false">Unit_Cost!K16</f>
        <v>0.0131404992848378</v>
      </c>
      <c r="L23" s="37" t="n">
        <f aca="false">Unit_Cost!L16</f>
        <v>0.00342817800234057</v>
      </c>
      <c r="M23" s="37" t="n">
        <f aca="false">Unit_Cost!M16</f>
        <v>0.00474086184926097</v>
      </c>
      <c r="N23" s="37" t="n">
        <f aca="false">Unit_Cost!N16</f>
        <v>0.00813248285821226</v>
      </c>
      <c r="O23" s="37" t="n">
        <f aca="false">Unit_Cost!O16</f>
        <v>0.00271724694657648</v>
      </c>
      <c r="P23" s="37" t="n">
        <f aca="false">Unit_Cost!P16</f>
        <v>0.0041784721689812</v>
      </c>
      <c r="Q23" s="37" t="n">
        <f aca="false">Unit_Cost!Q16</f>
        <v>0.00767053296357873</v>
      </c>
    </row>
    <row r="24" customFormat="false" ht="15" hidden="false" customHeight="true" outlineLevel="0" collapsed="false">
      <c r="A24" s="34" t="s">
        <v>1666</v>
      </c>
      <c r="B24" s="35" t="s">
        <v>738</v>
      </c>
      <c r="C24" s="170" t="n">
        <f aca="false">Unit_Cost!C17</f>
        <v>8.64017334095354E-006</v>
      </c>
      <c r="D24" s="170" t="n">
        <f aca="false">Unit_Cost!D17</f>
        <v>1.24612688098854E-005</v>
      </c>
      <c r="E24" s="170" t="n">
        <f aca="false">Unit_Cost!E17</f>
        <v>2.14842407582024E-005</v>
      </c>
      <c r="F24" s="170" t="n">
        <f aca="false">Unit_Cost!F17</f>
        <v>1.19842625421469E-005</v>
      </c>
      <c r="G24" s="170" t="n">
        <f aca="false">Unit_Cost!G17</f>
        <v>1.61237705953466E-005</v>
      </c>
      <c r="H24" s="170" t="n">
        <f aca="false">Unit_Cost!H17</f>
        <v>2.62389473615083E-005</v>
      </c>
      <c r="I24" s="170" t="n">
        <f aca="false">Unit_Cost!I17</f>
        <v>1.58713031193618E-005</v>
      </c>
      <c r="J24" s="170" t="n">
        <f aca="false">Unit_Cost!J17</f>
        <v>2.31947180710634E-005</v>
      </c>
      <c r="K24" s="170" t="n">
        <f aca="false">Unit_Cost!K17</f>
        <v>4.35006359759184E-005</v>
      </c>
      <c r="L24" s="170" t="n">
        <f aca="false">Unit_Cost!L17</f>
        <v>2.64803602145159E-005</v>
      </c>
      <c r="M24" s="170" t="n">
        <f aca="false">Unit_Cost!M17</f>
        <v>3.6619956551257E-005</v>
      </c>
      <c r="N24" s="170" t="n">
        <f aca="false">Unit_Cost!N17</f>
        <v>6.28179386766985E-005</v>
      </c>
      <c r="O24" s="170" t="n">
        <f aca="false">Unit_Cost!O17</f>
        <v>4.37768441080692E-005</v>
      </c>
      <c r="P24" s="170" t="n">
        <f aca="false">Unit_Cost!P17</f>
        <v>6.73182557006314E-005</v>
      </c>
      <c r="Q24" s="170" t="n">
        <f aca="false">Unit_Cost!Q17</f>
        <v>0.000123577919995628</v>
      </c>
    </row>
    <row r="25" customFormat="false" ht="15" hidden="false" customHeight="true" outlineLevel="0" collapsed="false">
      <c r="A25" s="35" t="s">
        <v>1667</v>
      </c>
      <c r="B25" s="35" t="s">
        <v>738</v>
      </c>
      <c r="C25" s="47" t="n">
        <f aca="false">Unit_Cost!C18</f>
        <v>0.519140338600757</v>
      </c>
      <c r="D25" s="47" t="n">
        <f aca="false">Unit_Cost!D18</f>
        <v>0.748728880090389</v>
      </c>
      <c r="E25" s="47" t="n">
        <f aca="false">Unit_Cost!E18</f>
        <v>1.29086947468145</v>
      </c>
      <c r="F25" s="47" t="n">
        <f aca="false">Unit_Cost!F18</f>
        <v>0.122516775346788</v>
      </c>
      <c r="G25" s="47" t="n">
        <f aca="false">Unit_Cost!G18</f>
        <v>0.164835539343861</v>
      </c>
      <c r="H25" s="47" t="n">
        <f aca="false">Unit_Cost!H18</f>
        <v>0.268244392003298</v>
      </c>
      <c r="I25" s="47" t="n">
        <f aca="false">Unit_Cost!I18</f>
        <v>0.108169686252955</v>
      </c>
      <c r="J25" s="47" t="n">
        <f aca="false">Unit_Cost!J18</f>
        <v>0.15808187630239</v>
      </c>
      <c r="K25" s="47" t="n">
        <f aca="false">Unit_Cost!K18</f>
        <v>0.296475349877152</v>
      </c>
      <c r="L25" s="47" t="n">
        <f aca="false">Unit_Cost!L18</f>
        <v>0.0725655593101862</v>
      </c>
      <c r="M25" s="47" t="n">
        <f aca="false">Unit_Cost!M18</f>
        <v>0.1003516420294</v>
      </c>
      <c r="N25" s="47" t="n">
        <f aca="false">Unit_Cost!N18</f>
        <v>0.172143385432075</v>
      </c>
      <c r="O25" s="47" t="n">
        <f aca="false">Unit_Cost!O18</f>
        <v>0.0565664051908884</v>
      </c>
      <c r="P25" s="47" t="n">
        <f aca="false">Unit_Cost!P18</f>
        <v>0.0869855241119093</v>
      </c>
      <c r="Q25" s="47" t="n">
        <f aca="false">Unit_Cost!Q18</f>
        <v>0.159681649912067</v>
      </c>
    </row>
    <row r="26" customFormat="false" ht="15" hidden="false" customHeight="true" outlineLevel="0" collapsed="false">
      <c r="A26" s="35" t="s">
        <v>1668</v>
      </c>
      <c r="B26" s="35" t="s">
        <v>738</v>
      </c>
      <c r="C26" s="37" t="n">
        <f aca="false">Unit_Cost!C22</f>
        <v>0.400401004806236</v>
      </c>
      <c r="D26" s="37" t="n">
        <f aca="false">Unit_Cost!D22</f>
        <v>0.55598309354239</v>
      </c>
      <c r="E26" s="37" t="n">
        <f aca="false">Unit_Cost!E22</f>
        <v>0.960349758207274</v>
      </c>
      <c r="F26" s="37" t="n">
        <f aca="false">Unit_Cost!F22</f>
        <v>0.0944523847579912</v>
      </c>
      <c r="G26" s="37" t="n">
        <f aca="false">Unit_Cost!G22</f>
        <v>0.122113955258291</v>
      </c>
      <c r="H26" s="37" t="n">
        <f aca="false">Unit_Cost!H22</f>
        <v>0.198252680692909</v>
      </c>
      <c r="I26" s="37" t="n">
        <f aca="false">Unit_Cost!I22</f>
        <v>0.083869192882042</v>
      </c>
      <c r="J26" s="37" t="n">
        <f aca="false">Unit_Cost!J22</f>
        <v>0.118011858716907</v>
      </c>
      <c r="K26" s="37" t="n">
        <f aca="false">Unit_Cost!K22</f>
        <v>0.223068688632408</v>
      </c>
      <c r="L26" s="37" t="n">
        <f aca="false">Unit_Cost!L22</f>
        <v>0.0562719910230825</v>
      </c>
      <c r="M26" s="37" t="n">
        <f aca="false">Unit_Cost!M22</f>
        <v>0.0748370758577218</v>
      </c>
      <c r="N26" s="37" t="n">
        <f aca="false">Unit_Cost!N22</f>
        <v>0.128930398791849</v>
      </c>
      <c r="O26" s="37" t="n">
        <f aca="false">Unit_Cost!O22</f>
        <v>0.0440589446025828</v>
      </c>
      <c r="P26" s="37" t="n">
        <f aca="false">Unit_Cost!P22</f>
        <v>0.0652699728024053</v>
      </c>
      <c r="Q26" s="37" t="n">
        <f aca="false">Unit_Cost!Q22</f>
        <v>0.120995070383257</v>
      </c>
    </row>
    <row r="27" customFormat="false" ht="15" hidden="false" customHeight="true" outlineLevel="0" collapsed="false">
      <c r="A27" s="35" t="s">
        <v>1669</v>
      </c>
      <c r="B27" s="35" t="s">
        <v>754</v>
      </c>
      <c r="C27" s="42" t="n">
        <f aca="false">INDEX(Perf!$C$117:$Q$117,3*(Unit_Cost!C$6-1)+1)</f>
        <v>3.24809227036642</v>
      </c>
      <c r="D27" s="42" t="n">
        <f aca="false">INDEX(Perf!$C$117:$Q$117,3*(Unit_Cost!D$6-1)+1)</f>
        <v>3.24809227036642</v>
      </c>
      <c r="E27" s="42" t="n">
        <f aca="false">INDEX(Perf!$C$117:$Q$117,3*(Unit_Cost!E$6-1)+1)</f>
        <v>3.24809227036642</v>
      </c>
      <c r="F27" s="42" t="n">
        <f aca="false">INDEX(Perf!$C$117:$Q$117,3*(Unit_Cost!F$6-1)+1)</f>
        <v>16.097973448591</v>
      </c>
      <c r="G27" s="42" t="n">
        <f aca="false">INDEX(Perf!$C$117:$Q$117,3*(Unit_Cost!G$6-1)+1)</f>
        <v>16.097973448591</v>
      </c>
      <c r="H27" s="42" t="n">
        <f aca="false">INDEX(Perf!$C$117:$Q$117,3*(Unit_Cost!H$6-1)+1)</f>
        <v>16.097973448591</v>
      </c>
      <c r="I27" s="42" t="n">
        <f aca="false">INDEX(Perf!$C$117:$Q$117,3*(Unit_Cost!I$6-1)+1)</f>
        <v>22.9131738866806</v>
      </c>
      <c r="J27" s="42" t="n">
        <f aca="false">INDEX(Perf!$C$117:$Q$117,3*(Unit_Cost!J$6-1)+1)</f>
        <v>22.9131738866806</v>
      </c>
      <c r="K27" s="42" t="n">
        <f aca="false">INDEX(Perf!$C$117:$Q$117,3*(Unit_Cost!K$6-1)+1)</f>
        <v>22.9131738866806</v>
      </c>
      <c r="L27" s="42" t="n">
        <f aca="false">INDEX(Perf!$C$117:$Q$117,3*(Unit_Cost!L$6-1)+1)</f>
        <v>33.8096284936322</v>
      </c>
      <c r="M27" s="42" t="n">
        <f aca="false">INDEX(Perf!$C$117:$Q$117,3*(Unit_Cost!M$6-1)+1)</f>
        <v>33.8096284936322</v>
      </c>
      <c r="N27" s="42" t="n">
        <f aca="false">INDEX(Perf!$C$117:$Q$117,3*(Unit_Cost!N$6-1)+1)</f>
        <v>33.8096284936322</v>
      </c>
      <c r="O27" s="42" t="n">
        <f aca="false">INDEX(Perf!$C$117:$Q$117,3*(Unit_Cost!O$6-1)+1)</f>
        <v>54.0057923614764</v>
      </c>
      <c r="P27" s="42" t="n">
        <f aca="false">INDEX(Perf!$C$117:$Q$117,3*(Unit_Cost!P$6-1)+1)</f>
        <v>54.0057923614764</v>
      </c>
      <c r="Q27" s="42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217</v>
      </c>
    </row>
    <row r="29" customFormat="false" ht="15" hidden="false" customHeight="true" outlineLevel="0" collapsed="false">
      <c r="A29" s="34" t="s">
        <v>1670</v>
      </c>
      <c r="B29" s="35" t="s">
        <v>312</v>
      </c>
      <c r="C29" s="40" t="n">
        <f aca="false">INDEX(Perf!$C$95:$Q$95,3*(Unit_Cost!C$6-1)+2)</f>
        <v>30535.2248708252</v>
      </c>
      <c r="D29" s="40" t="n">
        <f aca="false">INDEX(Perf!$C$95:$Q$95,3*(Unit_Cost!D$6-1)+2)</f>
        <v>30535.2248708252</v>
      </c>
      <c r="E29" s="40" t="n">
        <f aca="false">INDEX(Perf!$C$95:$Q$95,3*(Unit_Cost!E$6-1)+2)</f>
        <v>30535.2248708252</v>
      </c>
      <c r="F29" s="40" t="n">
        <f aca="false">INDEX(Perf!$C$95:$Q$95,3*(Unit_Cost!F$6-1)+2)</f>
        <v>475684.230660434</v>
      </c>
      <c r="G29" s="40" t="n">
        <f aca="false">INDEX(Perf!$C$95:$Q$95,3*(Unit_Cost!G$6-1)+2)</f>
        <v>475684.230660434</v>
      </c>
      <c r="H29" s="40" t="n">
        <f aca="false">INDEX(Perf!$C$95:$Q$95,3*(Unit_Cost!H$6-1)+2)</f>
        <v>475684.230660434</v>
      </c>
      <c r="I29" s="40" t="n">
        <f aca="false">INDEX(Perf!$C$95:$Q$95,3*(Unit_Cost!I$6-1)+2)</f>
        <v>713526.345990651</v>
      </c>
      <c r="J29" s="40" t="n">
        <f aca="false">INDEX(Perf!$C$95:$Q$95,3*(Unit_Cost!J$6-1)+2)</f>
        <v>713526.345990651</v>
      </c>
      <c r="K29" s="40" t="n">
        <f aca="false">INDEX(Perf!$C$95:$Q$95,3*(Unit_Cost!K$6-1)+2)</f>
        <v>713526.345990651</v>
      </c>
      <c r="L29" s="40" t="n">
        <f aca="false">INDEX(Perf!$C$95:$Q$95,3*(Unit_Cost!L$6-1)+2)</f>
        <v>1863289.56275099</v>
      </c>
      <c r="M29" s="40" t="n">
        <f aca="false">INDEX(Perf!$C$95:$Q$95,3*(Unit_Cost!M$6-1)+2)</f>
        <v>1863289.56275099</v>
      </c>
      <c r="N29" s="40" t="n">
        <f aca="false">INDEX(Perf!$C$95:$Q$95,3*(Unit_Cost!N$6-1)+2)</f>
        <v>1863289.56275099</v>
      </c>
      <c r="O29" s="40" t="n">
        <f aca="false">INDEX(Perf!$C$95:$Q$95,3*(Unit_Cost!O$6-1)+2)</f>
        <v>8001333.61896495</v>
      </c>
      <c r="P29" s="40" t="n">
        <f aca="false">INDEX(Perf!$C$95:$Q$95,3*(Unit_Cost!P$6-1)+2)</f>
        <v>8001333.61896495</v>
      </c>
      <c r="Q29" s="40" t="n">
        <f aca="false">INDEX(Perf!$C$95:$Q$95,3*(Unit_Cost!Q$6-1)+2)</f>
        <v>8001333.61896495</v>
      </c>
    </row>
    <row r="30" customFormat="false" ht="15" hidden="false" customHeight="true" outlineLevel="0" collapsed="false">
      <c r="A30" s="34" t="s">
        <v>1671</v>
      </c>
      <c r="B30" s="35" t="s">
        <v>312</v>
      </c>
      <c r="C30" s="40" t="n">
        <f aca="false">INDEX(Perf!$C$96:$Q$96,3*(Unit_Cost!C$6-1)+2)</f>
        <v>3392.80276342502</v>
      </c>
      <c r="D30" s="40" t="n">
        <f aca="false">INDEX(Perf!$C$96:$Q$96,3*(Unit_Cost!D$6-1)+2)</f>
        <v>3392.80276342502</v>
      </c>
      <c r="E30" s="40" t="n">
        <f aca="false">INDEX(Perf!$C$96:$Q$96,3*(Unit_Cost!E$6-1)+2)</f>
        <v>3392.80276342502</v>
      </c>
      <c r="F30" s="40" t="n">
        <f aca="false">INDEX(Perf!$C$96:$Q$96,3*(Unit_Cost!F$6-1)+2)</f>
        <v>52853.8034067149</v>
      </c>
      <c r="G30" s="40" t="n">
        <f aca="false">INDEX(Perf!$C$96:$Q$96,3*(Unit_Cost!G$6-1)+2)</f>
        <v>52853.8034067149</v>
      </c>
      <c r="H30" s="40" t="n">
        <f aca="false">INDEX(Perf!$C$96:$Q$96,3*(Unit_Cost!H$6-1)+2)</f>
        <v>52853.8034067149</v>
      </c>
      <c r="I30" s="40" t="n">
        <f aca="false">INDEX(Perf!$C$96:$Q$96,3*(Unit_Cost!I$6-1)+2)</f>
        <v>79280.7051100723</v>
      </c>
      <c r="J30" s="40" t="n">
        <f aca="false">INDEX(Perf!$C$96:$Q$96,3*(Unit_Cost!J$6-1)+2)</f>
        <v>79280.7051100723</v>
      </c>
      <c r="K30" s="40" t="n">
        <f aca="false">INDEX(Perf!$C$96:$Q$96,3*(Unit_Cost!K$6-1)+2)</f>
        <v>79280.7051100723</v>
      </c>
      <c r="L30" s="40" t="n">
        <f aca="false">INDEX(Perf!$C$96:$Q$96,3*(Unit_Cost!L$6-1)+2)</f>
        <v>207032.173638999</v>
      </c>
      <c r="M30" s="40" t="n">
        <f aca="false">INDEX(Perf!$C$96:$Q$96,3*(Unit_Cost!M$6-1)+2)</f>
        <v>207032.173638999</v>
      </c>
      <c r="N30" s="40" t="n">
        <f aca="false">INDEX(Perf!$C$96:$Q$96,3*(Unit_Cost!N$6-1)+2)</f>
        <v>207032.173638999</v>
      </c>
      <c r="O30" s="40" t="n">
        <f aca="false">INDEX(Perf!$C$96:$Q$96,3*(Unit_Cost!O$6-1)+2)</f>
        <v>889037.068773883</v>
      </c>
      <c r="P30" s="40" t="n">
        <f aca="false">INDEX(Perf!$C$96:$Q$96,3*(Unit_Cost!P$6-1)+2)</f>
        <v>889037.068773883</v>
      </c>
      <c r="Q30" s="40" t="n">
        <f aca="false">INDEX(Perf!$C$96:$Q$96,3*(Unit_Cost!Q$6-1)+2)</f>
        <v>889037.068773883</v>
      </c>
    </row>
    <row r="31" customFormat="false" ht="15" hidden="false" customHeight="true" outlineLevel="0" collapsed="false">
      <c r="A31" s="34" t="s">
        <v>1672</v>
      </c>
      <c r="B31" s="35" t="s">
        <v>730</v>
      </c>
      <c r="C31" s="168" t="n">
        <f aca="false">INDEX(Perf!$C$98:$Q$98,3*(Unit_Cost!C$6-1)+2)</f>
        <v>21607833669.3996</v>
      </c>
      <c r="D31" s="168" t="n">
        <f aca="false">INDEX(Perf!$C$98:$Q$98,3*(Unit_Cost!D$6-1)+2)</f>
        <v>21607833669.3996</v>
      </c>
      <c r="E31" s="168" t="n">
        <f aca="false">INDEX(Perf!$C$98:$Q$98,3*(Unit_Cost!E$6-1)+2)</f>
        <v>21607833669.3996</v>
      </c>
      <c r="F31" s="168" t="n">
        <f aca="false">INDEX(Perf!$C$98:$Q$98,3*(Unit_Cost!F$6-1)+2)</f>
        <v>106148334807.008</v>
      </c>
      <c r="G31" s="168" t="n">
        <f aca="false">INDEX(Perf!$C$98:$Q$98,3*(Unit_Cost!G$6-1)+2)</f>
        <v>106148334807.008</v>
      </c>
      <c r="H31" s="168" t="n">
        <f aca="false">INDEX(Perf!$C$98:$Q$98,3*(Unit_Cost!H$6-1)+2)</f>
        <v>106148334807.008</v>
      </c>
      <c r="I31" s="168" t="n">
        <f aca="false">INDEX(Perf!$C$98:$Q$98,3*(Unit_Cost!I$6-1)+2)</f>
        <v>151099364378.687</v>
      </c>
      <c r="J31" s="168" t="n">
        <f aca="false">INDEX(Perf!$C$98:$Q$98,3*(Unit_Cost!J$6-1)+2)</f>
        <v>151099364378.687</v>
      </c>
      <c r="K31" s="168" t="n">
        <f aca="false">INDEX(Perf!$C$98:$Q$98,3*(Unit_Cost!K$6-1)+2)</f>
        <v>151099364378.687</v>
      </c>
      <c r="L31" s="168" t="n">
        <f aca="false">INDEX(Perf!$C$98:$Q$98,3*(Unit_Cost!L$6-1)+2)</f>
        <v>238098354985.508</v>
      </c>
      <c r="M31" s="168" t="n">
        <f aca="false">INDEX(Perf!$C$98:$Q$98,3*(Unit_Cost!M$6-1)+2)</f>
        <v>238098354985.508</v>
      </c>
      <c r="N31" s="168" t="n">
        <f aca="false">INDEX(Perf!$C$98:$Q$98,3*(Unit_Cost!N$6-1)+2)</f>
        <v>238098354985.508</v>
      </c>
      <c r="O31" s="168" t="n">
        <f aca="false">INDEX(Perf!$C$98:$Q$98,3*(Unit_Cost!O$6-1)+2)</f>
        <v>386821977392.771</v>
      </c>
      <c r="P31" s="168" t="n">
        <f aca="false">INDEX(Perf!$C$98:$Q$98,3*(Unit_Cost!P$6-1)+2)</f>
        <v>386821977392.771</v>
      </c>
      <c r="Q31" s="168" t="n">
        <f aca="false">INDEX(Perf!$C$98:$Q$98,3*(Unit_Cost!Q$6-1)+2)</f>
        <v>386821977392.771</v>
      </c>
    </row>
    <row r="32" customFormat="false" ht="15" hidden="false" customHeight="true" outlineLevel="0" collapsed="false">
      <c r="A32" s="35" t="s">
        <v>1673</v>
      </c>
      <c r="B32" s="35" t="s">
        <v>73</v>
      </c>
      <c r="C32" s="169" t="n">
        <f aca="false">INDEX(Perf!$C$120:$Q$120,3*(Unit_Cost!C$6-1)+2)</f>
        <v>0.090751713386322</v>
      </c>
      <c r="D32" s="169" t="n">
        <f aca="false">INDEX(Perf!$C$120:$Q$120,3*(Unit_Cost!D$6-1)+2)</f>
        <v>0.090751713386322</v>
      </c>
      <c r="E32" s="169" t="n">
        <f aca="false">INDEX(Perf!$C$120:$Q$120,3*(Unit_Cost!E$6-1)+2)</f>
        <v>0.090751713386322</v>
      </c>
      <c r="F32" s="169" t="n">
        <f aca="false">INDEX(Perf!$C$120:$Q$120,3*(Unit_Cost!F$6-1)+2)</f>
        <v>0.445817170023996</v>
      </c>
      <c r="G32" s="169" t="n">
        <f aca="false">INDEX(Perf!$C$120:$Q$120,3*(Unit_Cost!G$6-1)+2)</f>
        <v>0.445817170023996</v>
      </c>
      <c r="H32" s="169" t="n">
        <f aca="false">INDEX(Perf!$C$120:$Q$120,3*(Unit_Cost!H$6-1)+2)</f>
        <v>0.445817170023996</v>
      </c>
      <c r="I32" s="169" t="n">
        <f aca="false">INDEX(Perf!$C$120:$Q$120,3*(Unit_Cost!I$6-1)+2)</f>
        <v>0.634609022762394</v>
      </c>
      <c r="J32" s="169" t="n">
        <f aca="false">INDEX(Perf!$C$120:$Q$120,3*(Unit_Cost!J$6-1)+2)</f>
        <v>0.634609022762394</v>
      </c>
      <c r="K32" s="169" t="n">
        <f aca="false">INDEX(Perf!$C$120:$Q$120,3*(Unit_Cost!K$6-1)+2)</f>
        <v>0.634609022762394</v>
      </c>
      <c r="L32" s="169" t="n">
        <f aca="false">INDEX(Perf!$C$120:$Q$120,3*(Unit_Cost!L$6-1)+2)</f>
        <v>1</v>
      </c>
      <c r="M32" s="169" t="n">
        <f aca="false">INDEX(Perf!$C$120:$Q$120,3*(Unit_Cost!M$6-1)+2)</f>
        <v>1</v>
      </c>
      <c r="N32" s="169" t="n">
        <f aca="false">INDEX(Perf!$C$120:$Q$120,3*(Unit_Cost!N$6-1)+2)</f>
        <v>1</v>
      </c>
      <c r="O32" s="169" t="n">
        <f aca="false">INDEX(Perf!$C$120:$Q$120,3*(Unit_Cost!O$6-1)+2)</f>
        <v>1.62463103710362</v>
      </c>
      <c r="P32" s="169" t="n">
        <f aca="false">INDEX(Perf!$C$120:$Q$120,3*(Unit_Cost!P$6-1)+2)</f>
        <v>1.62463103710362</v>
      </c>
      <c r="Q32" s="169" t="n">
        <f aca="false">INDEX(Perf!$C$120:$Q$120,3*(Unit_Cost!Q$6-1)+2)</f>
        <v>1.62463103710362</v>
      </c>
    </row>
    <row r="33" customFormat="false" ht="15" hidden="false" customHeight="true" outlineLevel="0" collapsed="false">
      <c r="A33" s="34" t="s">
        <v>1674</v>
      </c>
      <c r="B33" s="35" t="s">
        <v>738</v>
      </c>
      <c r="C33" s="37" t="n">
        <f aca="false">Unit_Cost!C29</f>
        <v>0.138822117979685</v>
      </c>
      <c r="D33" s="37" t="n">
        <f aca="false">Unit_Cost!D29</f>
        <v>0.200215859177609</v>
      </c>
      <c r="E33" s="37" t="n">
        <f aca="false">Unit_Cost!E29</f>
        <v>0.345188422447781</v>
      </c>
      <c r="F33" s="37" t="n">
        <f aca="false">Unit_Cost!F29</f>
        <v>0.0190529980837658</v>
      </c>
      <c r="G33" s="37" t="n">
        <f aca="false">Unit_Cost!G29</f>
        <v>0.0256341321942687</v>
      </c>
      <c r="H33" s="37" t="n">
        <f aca="false">Unit_Cost!H29</f>
        <v>0.041715592598265</v>
      </c>
      <c r="I33" s="37" t="n">
        <f aca="false">Unit_Cost!I29</f>
        <v>0.0168218337371801</v>
      </c>
      <c r="J33" s="37" t="n">
        <f aca="false">Unit_Cost!J29</f>
        <v>0.0245838472139196</v>
      </c>
      <c r="K33" s="37" t="n">
        <f aca="false">Unit_Cost!K29</f>
        <v>0.0461058843338328</v>
      </c>
      <c r="L33" s="37" t="n">
        <f aca="false">Unit_Cost!L29</f>
        <v>0.0120283997605846</v>
      </c>
      <c r="M33" s="37" t="n">
        <f aca="false">Unit_Cost!M29</f>
        <v>0.0166341950428717</v>
      </c>
      <c r="N33" s="37" t="n">
        <f aca="false">Unit_Cost!N29</f>
        <v>0.0285343277968332</v>
      </c>
      <c r="O33" s="37" t="n">
        <f aca="false">Unit_Cost!O29</f>
        <v>0.00953396600157135</v>
      </c>
      <c r="P33" s="37" t="n">
        <f aca="false">Unit_Cost!P29</f>
        <v>0.014660946311034</v>
      </c>
      <c r="Q33" s="37" t="n">
        <f aca="false">Unit_Cost!Q29</f>
        <v>0.0269134907229653</v>
      </c>
    </row>
    <row r="34" customFormat="false" ht="15" hidden="false" customHeight="true" outlineLevel="0" collapsed="false">
      <c r="A34" s="34" t="s">
        <v>1675</v>
      </c>
      <c r="B34" s="35" t="s">
        <v>738</v>
      </c>
      <c r="C34" s="170" t="n">
        <f aca="false">Unit_Cost!C30</f>
        <v>1.22569900883294E-005</v>
      </c>
      <c r="D34" s="170" t="n">
        <f aca="false">Unit_Cost!D30</f>
        <v>1.76776138930933E-005</v>
      </c>
      <c r="E34" s="170" t="n">
        <f aca="false">Unit_Cost!E30</f>
        <v>3.04776438662871E-005</v>
      </c>
      <c r="F34" s="170" t="n">
        <f aca="false">Unit_Cost!F30</f>
        <v>1.70009305830457E-005</v>
      </c>
      <c r="G34" s="170" t="n">
        <f aca="false">Unit_Cost!G30</f>
        <v>2.28732559608405E-005</v>
      </c>
      <c r="H34" s="170" t="n">
        <f aca="false">Unit_Cost!H30</f>
        <v>3.72226927686513E-005</v>
      </c>
      <c r="I34" s="170" t="n">
        <f aca="false">Unit_Cost!I30</f>
        <v>2.25151044251411E-005</v>
      </c>
      <c r="J34" s="170" t="n">
        <f aca="false">Unit_Cost!J30</f>
        <v>3.29041349380202E-005</v>
      </c>
      <c r="K34" s="170" t="n">
        <f aca="false">Unit_Cost!K30</f>
        <v>6.17102045239773E-005</v>
      </c>
      <c r="L34" s="170" t="n">
        <f aca="false">Unit_Cost!L30</f>
        <v>3.75651621647784E-005</v>
      </c>
      <c r="M34" s="170" t="n">
        <f aca="false">Unit_Cost!M30</f>
        <v>5.19492406889925E-005</v>
      </c>
      <c r="N34" s="170" t="n">
        <f aca="false">Unit_Cost!N30</f>
        <v>8.91138199832235E-005</v>
      </c>
      <c r="O34" s="170" t="n">
        <f aca="false">Unit_Cost!O30</f>
        <v>6.21020346649354E-005</v>
      </c>
      <c r="P34" s="170" t="n">
        <f aca="false">Unit_Cost!P30</f>
        <v>9.54979906450818E-005</v>
      </c>
      <c r="Q34" s="170" t="n">
        <f aca="false">Unit_Cost!Q30</f>
        <v>0.000175308212086821</v>
      </c>
    </row>
    <row r="35" customFormat="false" ht="15" hidden="false" customHeight="true" outlineLevel="0" collapsed="false">
      <c r="A35" s="35" t="s">
        <v>1676</v>
      </c>
      <c r="B35" s="35" t="s">
        <v>738</v>
      </c>
      <c r="C35" s="47" t="n">
        <f aca="false">Unit_Cost!C31</f>
        <v>1.80505035861887</v>
      </c>
      <c r="D35" s="47" t="n">
        <f aca="false">Unit_Cost!D31</f>
        <v>2.60332945260651</v>
      </c>
      <c r="E35" s="47" t="n">
        <f aca="false">Unit_Cost!E31</f>
        <v>4.48835167477874</v>
      </c>
      <c r="F35" s="47" t="n">
        <f aca="false">Unit_Cost!F31</f>
        <v>0.431674061993538</v>
      </c>
      <c r="G35" s="47" t="n">
        <f aca="false">Unit_Cost!G31</f>
        <v>0.580779461653743</v>
      </c>
      <c r="H35" s="47" t="n">
        <f aca="false">Unit_Cost!H31</f>
        <v>0.945128909696581</v>
      </c>
      <c r="I35" s="47" t="n">
        <f aca="false">Unit_Cost!I31</f>
        <v>0.381123709118288</v>
      </c>
      <c r="J35" s="47" t="n">
        <f aca="false">Unit_Cost!J31</f>
        <v>0.556983690420006</v>
      </c>
      <c r="K35" s="47" t="n">
        <f aca="false">Unit_Cost!K31</f>
        <v>1.04459751083206</v>
      </c>
      <c r="L35" s="47" t="n">
        <f aca="false">Unit_Cost!L31</f>
        <v>0.233258623605598</v>
      </c>
      <c r="M35" s="47" t="n">
        <f aca="false">Unit_Cost!M31</f>
        <v>0.32257569732607</v>
      </c>
      <c r="N35" s="47" t="n">
        <f aca="false">Unit_Cost!N31</f>
        <v>0.553346925599419</v>
      </c>
      <c r="O35" s="47" t="n">
        <f aca="false">Unit_Cost!O31</f>
        <v>0.177419388787309</v>
      </c>
      <c r="P35" s="47" t="n">
        <f aca="false">Unit_Cost!P31</f>
        <v>0.272828341649056</v>
      </c>
      <c r="Q35" s="47" t="n">
        <f aca="false">Unit_Cost!Q31</f>
        <v>0.50083827374824</v>
      </c>
    </row>
    <row r="36" customFormat="false" ht="15" hidden="false" customHeight="true" outlineLevel="0" collapsed="false">
      <c r="A36" s="35" t="s">
        <v>1677</v>
      </c>
      <c r="B36" s="35" t="s">
        <v>738</v>
      </c>
      <c r="C36" s="37" t="n">
        <f aca="false">Unit_Cost!C35</f>
        <v>1.39219383195086</v>
      </c>
      <c r="D36" s="37" t="n">
        <f aca="false">Unit_Cost!D35</f>
        <v>1.93315257506221</v>
      </c>
      <c r="E36" s="37" t="n">
        <f aca="false">Unit_Cost!E35</f>
        <v>3.33913500176821</v>
      </c>
      <c r="F36" s="37" t="n">
        <f aca="false">Unit_Cost!F35</f>
        <v>0.33279234193073</v>
      </c>
      <c r="G36" s="37" t="n">
        <f aca="false">Unit_Cost!G35</f>
        <v>0.430254770771076</v>
      </c>
      <c r="H36" s="37" t="n">
        <f aca="false">Unit_Cost!H35</f>
        <v>0.698520996276446</v>
      </c>
      <c r="I36" s="37" t="n">
        <f aca="false">Unit_Cost!I35</f>
        <v>0.295503657070907</v>
      </c>
      <c r="J36" s="37" t="n">
        <f aca="false">Unit_Cost!J35</f>
        <v>0.415801495522061</v>
      </c>
      <c r="K36" s="37" t="n">
        <f aca="false">Unit_Cost!K35</f>
        <v>0.785957405856976</v>
      </c>
      <c r="L36" s="37" t="n">
        <f aca="false">Unit_Cost!L35</f>
        <v>0.18088370431327</v>
      </c>
      <c r="M36" s="37" t="n">
        <f aca="false">Unit_Cost!M35</f>
        <v>0.240560308156951</v>
      </c>
      <c r="N36" s="37" t="n">
        <f aca="false">Unit_Cost!N35</f>
        <v>0.41444078498112</v>
      </c>
      <c r="O36" s="37" t="n">
        <f aca="false">Unit_Cost!O35</f>
        <v>0.138189990960629</v>
      </c>
      <c r="P36" s="37" t="n">
        <f aca="false">Unit_Cost!P35</f>
        <v>0.204717953026867</v>
      </c>
      <c r="Q36" s="37" t="n">
        <f aca="false">Unit_Cost!Q35</f>
        <v>0.379498597466694</v>
      </c>
    </row>
    <row r="37" customFormat="false" ht="15" hidden="false" customHeight="true" outlineLevel="0" collapsed="false">
      <c r="A37" s="35" t="s">
        <v>1678</v>
      </c>
      <c r="B37" s="35" t="s">
        <v>754</v>
      </c>
      <c r="C37" s="42" t="n">
        <f aca="false">INDEX(Perf!$C$117:$Q$117,3*(Unit_Cost!C$6-1)+2)</f>
        <v>0.93095197776906</v>
      </c>
      <c r="D37" s="42" t="n">
        <f aca="false">INDEX(Perf!$C$117:$Q$117,3*(Unit_Cost!D$6-1)+2)</f>
        <v>0.93095197776906</v>
      </c>
      <c r="E37" s="42" t="n">
        <f aca="false">INDEX(Perf!$C$117:$Q$117,3*(Unit_Cost!E$6-1)+2)</f>
        <v>0.93095197776906</v>
      </c>
      <c r="F37" s="42" t="n">
        <f aca="false">INDEX(Perf!$C$117:$Q$117,3*(Unit_Cost!F$6-1)+2)</f>
        <v>4.5738868332734</v>
      </c>
      <c r="G37" s="42" t="n">
        <f aca="false">INDEX(Perf!$C$117:$Q$117,3*(Unit_Cost!G$6-1)+2)</f>
        <v>4.5738868332734</v>
      </c>
      <c r="H37" s="42" t="n">
        <f aca="false">INDEX(Perf!$C$117:$Q$117,3*(Unit_Cost!H$6-1)+2)</f>
        <v>4.5738868332734</v>
      </c>
      <c r="I37" s="42" t="n">
        <f aca="false">INDEX(Perf!$C$117:$Q$117,3*(Unit_Cost!I$6-1)+2)</f>
        <v>6.51027687947674</v>
      </c>
      <c r="J37" s="42" t="n">
        <f aca="false">INDEX(Perf!$C$117:$Q$117,3*(Unit_Cost!J$6-1)+2)</f>
        <v>6.51027687947674</v>
      </c>
      <c r="K37" s="42" t="n">
        <f aca="false">INDEX(Perf!$C$117:$Q$117,3*(Unit_Cost!K$6-1)+2)</f>
        <v>6.51027687947674</v>
      </c>
      <c r="L37" s="42" t="n">
        <f aca="false">INDEX(Perf!$C$117:$Q$117,3*(Unit_Cost!L$6-1)+2)</f>
        <v>10.2604050812279</v>
      </c>
      <c r="M37" s="42" t="n">
        <f aca="false">INDEX(Perf!$C$117:$Q$117,3*(Unit_Cost!M$6-1)+2)</f>
        <v>10.2604050812279</v>
      </c>
      <c r="N37" s="42" t="n">
        <f aca="false">INDEX(Perf!$C$117:$Q$117,3*(Unit_Cost!N$6-1)+2)</f>
        <v>10.2604050812279</v>
      </c>
      <c r="O37" s="42" t="n">
        <f aca="false">INDEX(Perf!$C$117:$Q$117,3*(Unit_Cost!O$6-1)+2)</f>
        <v>16.6694450395103</v>
      </c>
      <c r="P37" s="42" t="n">
        <f aca="false">INDEX(Perf!$C$117:$Q$117,3*(Unit_Cost!P$6-1)+2)</f>
        <v>16.6694450395103</v>
      </c>
      <c r="Q37" s="42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218</v>
      </c>
    </row>
    <row r="39" customFormat="false" ht="15" hidden="false" customHeight="true" outlineLevel="0" collapsed="false">
      <c r="A39" s="34" t="s">
        <v>1679</v>
      </c>
      <c r="B39" s="35" t="s">
        <v>312</v>
      </c>
      <c r="C39" s="40" t="n">
        <f aca="false">INDEX(Perf!$C$95:$Q$95,3*(Unit_Cost!C$6-1)+3)</f>
        <v>5579.27013513099</v>
      </c>
      <c r="D39" s="40" t="n">
        <f aca="false">INDEX(Perf!$C$95:$Q$95,3*(Unit_Cost!D$6-1)+3)</f>
        <v>5579.27013513099</v>
      </c>
      <c r="E39" s="40" t="n">
        <f aca="false">INDEX(Perf!$C$95:$Q$95,3*(Unit_Cost!E$6-1)+3)</f>
        <v>5579.27013513099</v>
      </c>
      <c r="F39" s="40" t="n">
        <f aca="false">INDEX(Perf!$C$95:$Q$95,3*(Unit_Cost!F$6-1)+3)</f>
        <v>92195.7410789118</v>
      </c>
      <c r="G39" s="40" t="n">
        <f aca="false">INDEX(Perf!$C$95:$Q$95,3*(Unit_Cost!G$6-1)+3)</f>
        <v>92195.7410789118</v>
      </c>
      <c r="H39" s="40" t="n">
        <f aca="false">INDEX(Perf!$C$95:$Q$95,3*(Unit_Cost!H$6-1)+3)</f>
        <v>92195.7410789118</v>
      </c>
      <c r="I39" s="40" t="n">
        <f aca="false">INDEX(Perf!$C$95:$Q$95,3*(Unit_Cost!I$6-1)+3)</f>
        <v>115025.957282061</v>
      </c>
      <c r="J39" s="40" t="n">
        <f aca="false">INDEX(Perf!$C$95:$Q$95,3*(Unit_Cost!J$6-1)+3)</f>
        <v>115025.957282061</v>
      </c>
      <c r="K39" s="40" t="n">
        <f aca="false">INDEX(Perf!$C$95:$Q$95,3*(Unit_Cost!K$6-1)+3)</f>
        <v>115025.957282061</v>
      </c>
      <c r="L39" s="40" t="n">
        <f aca="false">INDEX(Perf!$C$95:$Q$95,3*(Unit_Cost!L$6-1)+3)</f>
        <v>404208.12106271</v>
      </c>
      <c r="M39" s="40" t="n">
        <f aca="false">INDEX(Perf!$C$95:$Q$95,3*(Unit_Cost!M$6-1)+3)</f>
        <v>404208.12106271</v>
      </c>
      <c r="N39" s="40" t="n">
        <f aca="false">INDEX(Perf!$C$95:$Q$95,3*(Unit_Cost!N$6-1)+3)</f>
        <v>404208.12106271</v>
      </c>
      <c r="O39" s="40" t="n">
        <f aca="false">INDEX(Perf!$C$95:$Q$95,3*(Unit_Cost!O$6-1)+3)</f>
        <v>1835327.74127395</v>
      </c>
      <c r="P39" s="40" t="n">
        <f aca="false">INDEX(Perf!$C$95:$Q$95,3*(Unit_Cost!P$6-1)+3)</f>
        <v>1835327.74127395</v>
      </c>
      <c r="Q39" s="40" t="n">
        <f aca="false">INDEX(Perf!$C$95:$Q$95,3*(Unit_Cost!Q$6-1)+3)</f>
        <v>1835327.74127395</v>
      </c>
    </row>
    <row r="40" customFormat="false" ht="15" hidden="false" customHeight="true" outlineLevel="0" collapsed="false">
      <c r="A40" s="34" t="s">
        <v>1680</v>
      </c>
      <c r="B40" s="35" t="s">
        <v>312</v>
      </c>
      <c r="C40" s="40" t="n">
        <f aca="false">INDEX(Perf!$C$96:$Q$96,3*(Unit_Cost!C$6-1)+3)</f>
        <v>619.918903903443</v>
      </c>
      <c r="D40" s="40" t="n">
        <f aca="false">INDEX(Perf!$C$96:$Q$96,3*(Unit_Cost!D$6-1)+3)</f>
        <v>619.918903903443</v>
      </c>
      <c r="E40" s="40" t="n">
        <f aca="false">INDEX(Perf!$C$96:$Q$96,3*(Unit_Cost!E$6-1)+3)</f>
        <v>619.918903903443</v>
      </c>
      <c r="F40" s="40" t="n">
        <f aca="false">INDEX(Perf!$C$96:$Q$96,3*(Unit_Cost!F$6-1)+3)</f>
        <v>10243.9712309902</v>
      </c>
      <c r="G40" s="40" t="n">
        <f aca="false">INDEX(Perf!$C$96:$Q$96,3*(Unit_Cost!G$6-1)+3)</f>
        <v>10243.9712309902</v>
      </c>
      <c r="H40" s="40" t="n">
        <f aca="false">INDEX(Perf!$C$96:$Q$96,3*(Unit_Cost!H$6-1)+3)</f>
        <v>10243.9712309902</v>
      </c>
      <c r="I40" s="40" t="n">
        <f aca="false">INDEX(Perf!$C$96:$Q$96,3*(Unit_Cost!I$6-1)+3)</f>
        <v>12780.661920229</v>
      </c>
      <c r="J40" s="40" t="n">
        <f aca="false">INDEX(Perf!$C$96:$Q$96,3*(Unit_Cost!J$6-1)+3)</f>
        <v>12780.661920229</v>
      </c>
      <c r="K40" s="40" t="n">
        <f aca="false">INDEX(Perf!$C$96:$Q$96,3*(Unit_Cost!K$6-1)+3)</f>
        <v>12780.661920229</v>
      </c>
      <c r="L40" s="40" t="n">
        <f aca="false">INDEX(Perf!$C$96:$Q$96,3*(Unit_Cost!L$6-1)+3)</f>
        <v>44912.0134514122</v>
      </c>
      <c r="M40" s="40" t="n">
        <f aca="false">INDEX(Perf!$C$96:$Q$96,3*(Unit_Cost!M$6-1)+3)</f>
        <v>44912.0134514122</v>
      </c>
      <c r="N40" s="40" t="n">
        <f aca="false">INDEX(Perf!$C$96:$Q$96,3*(Unit_Cost!N$6-1)+3)</f>
        <v>44912.0134514122</v>
      </c>
      <c r="O40" s="40" t="n">
        <f aca="false">INDEX(Perf!$C$96:$Q$96,3*(Unit_Cost!O$6-1)+3)</f>
        <v>203925.304585995</v>
      </c>
      <c r="P40" s="40" t="n">
        <f aca="false">INDEX(Perf!$C$96:$Q$96,3*(Unit_Cost!P$6-1)+3)</f>
        <v>203925.304585995</v>
      </c>
      <c r="Q40" s="40" t="n">
        <f aca="false">INDEX(Perf!$C$96:$Q$96,3*(Unit_Cost!Q$6-1)+3)</f>
        <v>203925.304585995</v>
      </c>
    </row>
    <row r="41" customFormat="false" ht="15" hidden="false" customHeight="true" outlineLevel="0" collapsed="false">
      <c r="A41" s="34" t="s">
        <v>1681</v>
      </c>
      <c r="B41" s="35" t="s">
        <v>730</v>
      </c>
      <c r="C41" s="168" t="n">
        <f aca="false">INDEX(Perf!$C$98:$Q$98,3*(Unit_Cost!C$6-1)+3)</f>
        <v>3948094097.44167</v>
      </c>
      <c r="D41" s="168" t="n">
        <f aca="false">INDEX(Perf!$C$98:$Q$98,3*(Unit_Cost!D$6-1)+3)</f>
        <v>3948094097.44167</v>
      </c>
      <c r="E41" s="168" t="n">
        <f aca="false">INDEX(Perf!$C$98:$Q$98,3*(Unit_Cost!E$6-1)+3)</f>
        <v>3948094097.44167</v>
      </c>
      <c r="F41" s="168" t="n">
        <f aca="false">INDEX(Perf!$C$98:$Q$98,3*(Unit_Cost!F$6-1)+3)</f>
        <v>20573363086.3425</v>
      </c>
      <c r="G41" s="168" t="n">
        <f aca="false">INDEX(Perf!$C$98:$Q$98,3*(Unit_Cost!G$6-1)+3)</f>
        <v>20573363086.3425</v>
      </c>
      <c r="H41" s="168" t="n">
        <f aca="false">INDEX(Perf!$C$98:$Q$98,3*(Unit_Cost!H$6-1)+3)</f>
        <v>20573363086.3425</v>
      </c>
      <c r="I41" s="168" t="n">
        <f aca="false">INDEX(Perf!$C$98:$Q$98,3*(Unit_Cost!I$6-1)+3)</f>
        <v>24358384424.1081</v>
      </c>
      <c r="J41" s="168" t="n">
        <f aca="false">INDEX(Perf!$C$98:$Q$98,3*(Unit_Cost!J$6-1)+3)</f>
        <v>24358384424.1081</v>
      </c>
      <c r="K41" s="168" t="n">
        <f aca="false">INDEX(Perf!$C$98:$Q$98,3*(Unit_Cost!K$6-1)+3)</f>
        <v>24358384424.1081</v>
      </c>
      <c r="L41" s="168" t="n">
        <f aca="false">INDEX(Perf!$C$98:$Q$98,3*(Unit_Cost!L$6-1)+3)</f>
        <v>51651278803.2379</v>
      </c>
      <c r="M41" s="168" t="n">
        <f aca="false">INDEX(Perf!$C$98:$Q$98,3*(Unit_Cost!M$6-1)+3)</f>
        <v>51651278803.2379</v>
      </c>
      <c r="N41" s="168" t="n">
        <f aca="false">INDEX(Perf!$C$98:$Q$98,3*(Unit_Cost!N$6-1)+3)</f>
        <v>51651278803.2379</v>
      </c>
      <c r="O41" s="168" t="n">
        <f aca="false">INDEX(Perf!$C$98:$Q$98,3*(Unit_Cost!O$6-1)+3)</f>
        <v>88728347029.634</v>
      </c>
      <c r="P41" s="168" t="n">
        <f aca="false">INDEX(Perf!$C$98:$Q$98,3*(Unit_Cost!P$6-1)+3)</f>
        <v>88728347029.634</v>
      </c>
      <c r="Q41" s="168" t="n">
        <f aca="false">INDEX(Perf!$C$98:$Q$98,3*(Unit_Cost!Q$6-1)+3)</f>
        <v>88728347029.634</v>
      </c>
    </row>
    <row r="42" customFormat="false" ht="15" hidden="false" customHeight="true" outlineLevel="0" collapsed="false">
      <c r="A42" s="35" t="s">
        <v>1682</v>
      </c>
      <c r="B42" s="35" t="s">
        <v>73</v>
      </c>
      <c r="C42" s="169" t="n">
        <f aca="false">INDEX(Perf!$C$120:$Q$120,3*(Unit_Cost!C$6-1)+3)</f>
        <v>0.0764374898147571</v>
      </c>
      <c r="D42" s="169" t="n">
        <f aca="false">INDEX(Perf!$C$120:$Q$120,3*(Unit_Cost!D$6-1)+3)</f>
        <v>0.0764374898147571</v>
      </c>
      <c r="E42" s="169" t="n">
        <f aca="false">INDEX(Perf!$C$120:$Q$120,3*(Unit_Cost!E$6-1)+3)</f>
        <v>0.0764374898147571</v>
      </c>
      <c r="F42" s="169" t="n">
        <f aca="false">INDEX(Perf!$C$120:$Q$120,3*(Unit_Cost!F$6-1)+3)</f>
        <v>0.398312753585741</v>
      </c>
      <c r="G42" s="169" t="n">
        <f aca="false">INDEX(Perf!$C$120:$Q$120,3*(Unit_Cost!G$6-1)+3)</f>
        <v>0.398312753585741</v>
      </c>
      <c r="H42" s="169" t="n">
        <f aca="false">INDEX(Perf!$C$120:$Q$120,3*(Unit_Cost!H$6-1)+3)</f>
        <v>0.398312753585741</v>
      </c>
      <c r="I42" s="169" t="n">
        <f aca="false">INDEX(Perf!$C$120:$Q$120,3*(Unit_Cost!I$6-1)+3)</f>
        <v>0.471593056135159</v>
      </c>
      <c r="J42" s="169" t="n">
        <f aca="false">INDEX(Perf!$C$120:$Q$120,3*(Unit_Cost!J$6-1)+3)</f>
        <v>0.471593056135159</v>
      </c>
      <c r="K42" s="169" t="n">
        <f aca="false">INDEX(Perf!$C$120:$Q$120,3*(Unit_Cost!K$6-1)+3)</f>
        <v>0.471593056135159</v>
      </c>
      <c r="L42" s="169" t="n">
        <f aca="false">INDEX(Perf!$C$120:$Q$120,3*(Unit_Cost!L$6-1)+3)</f>
        <v>1</v>
      </c>
      <c r="M42" s="169" t="n">
        <f aca="false">INDEX(Perf!$C$120:$Q$120,3*(Unit_Cost!M$6-1)+3)</f>
        <v>1</v>
      </c>
      <c r="N42" s="169" t="n">
        <f aca="false">INDEX(Perf!$C$120:$Q$120,3*(Unit_Cost!N$6-1)+3)</f>
        <v>1</v>
      </c>
      <c r="O42" s="169" t="n">
        <f aca="false">INDEX(Perf!$C$120:$Q$120,3*(Unit_Cost!O$6-1)+3)</f>
        <v>1.71783446771258</v>
      </c>
      <c r="P42" s="169" t="n">
        <f aca="false">INDEX(Perf!$C$120:$Q$120,3*(Unit_Cost!P$6-1)+3)</f>
        <v>1.71783446771258</v>
      </c>
      <c r="Q42" s="169" t="n">
        <f aca="false">INDEX(Perf!$C$120:$Q$120,3*(Unit_Cost!Q$6-1)+3)</f>
        <v>1.71783446771258</v>
      </c>
    </row>
    <row r="43" customFormat="false" ht="15" hidden="false" customHeight="true" outlineLevel="0" collapsed="false">
      <c r="A43" s="34" t="s">
        <v>1683</v>
      </c>
      <c r="B43" s="35" t="s">
        <v>738</v>
      </c>
      <c r="C43" s="37" t="n">
        <f aca="false">Unit_Cost!C42</f>
        <v>0.458753834035265</v>
      </c>
      <c r="D43" s="37" t="n">
        <f aca="false">Unit_Cost!D42</f>
        <v>0.661636591986257</v>
      </c>
      <c r="E43" s="37" t="n">
        <f aca="false">Unit_Cost!E42</f>
        <v>1.14071528778777</v>
      </c>
      <c r="F43" s="37" t="n">
        <f aca="false">Unit_Cost!F42</f>
        <v>0.062962848053314</v>
      </c>
      <c r="G43" s="37" t="n">
        <f aca="false">Unit_Cost!G42</f>
        <v>0.0847109711149092</v>
      </c>
      <c r="H43" s="37" t="n">
        <f aca="false">Unit_Cost!H42</f>
        <v>0.137854027312188</v>
      </c>
      <c r="I43" s="37" t="n">
        <f aca="false">Unit_Cost!I42</f>
        <v>0.0555897059830512</v>
      </c>
      <c r="J43" s="37" t="n">
        <f aca="false">Unit_Cost!J42</f>
        <v>0.0812401822479987</v>
      </c>
      <c r="K43" s="37" t="n">
        <f aca="false">Unit_Cost!K42</f>
        <v>0.152362256948331</v>
      </c>
      <c r="L43" s="37" t="n">
        <f aca="false">Unit_Cost!L42</f>
        <v>0.0397492459255272</v>
      </c>
      <c r="M43" s="37" t="n">
        <f aca="false">Unit_Cost!M42</f>
        <v>0.054969632095114</v>
      </c>
      <c r="N43" s="37" t="n">
        <f aca="false">Unit_Cost!N42</f>
        <v>0.0942950047796553</v>
      </c>
      <c r="O43" s="37" t="n">
        <f aca="false">Unit_Cost!O42</f>
        <v>0.0315060994633634</v>
      </c>
      <c r="P43" s="37" t="n">
        <f aca="false">Unit_Cost!P42</f>
        <v>0.0484488021696676</v>
      </c>
      <c r="Q43" s="37" t="n">
        <f aca="false">Unit_Cost!Q42</f>
        <v>0.0889387601638498</v>
      </c>
    </row>
    <row r="44" customFormat="false" ht="15" hidden="false" customHeight="true" outlineLevel="0" collapsed="false">
      <c r="A44" s="34" t="s">
        <v>1684</v>
      </c>
      <c r="B44" s="35" t="s">
        <v>738</v>
      </c>
      <c r="C44" s="170" t="n">
        <f aca="false">Unit_Cost!C43</f>
        <v>0.000178058670640044</v>
      </c>
      <c r="D44" s="170" t="n">
        <f aca="false">Unit_Cost!D43</f>
        <v>0.000256804681019464</v>
      </c>
      <c r="E44" s="170" t="n">
        <f aca="false">Unit_Cost!E43</f>
        <v>0.000442752153013402</v>
      </c>
      <c r="F44" s="170" t="n">
        <f aca="false">Unit_Cost!F43</f>
        <v>0.00024697442662886</v>
      </c>
      <c r="G44" s="170" t="n">
        <f aca="false">Unit_Cost!G43</f>
        <v>0.000332282356455085</v>
      </c>
      <c r="H44" s="170" t="n">
        <f aca="false">Unit_Cost!H43</f>
        <v>0.000540738235428579</v>
      </c>
      <c r="I44" s="170" t="n">
        <f aca="false">Unit_Cost!I43</f>
        <v>0.000327079448899906</v>
      </c>
      <c r="J44" s="170" t="n">
        <f aca="false">Unit_Cost!J43</f>
        <v>0.000478002061142488</v>
      </c>
      <c r="K44" s="170" t="n">
        <f aca="false">Unit_Cost!K43</f>
        <v>0.00089647106698136</v>
      </c>
      <c r="L44" s="170" t="n">
        <f aca="false">Unit_Cost!L43</f>
        <v>0.000545713326782153</v>
      </c>
      <c r="M44" s="170" t="n">
        <f aca="false">Unit_Cost!M43</f>
        <v>0.000754672449857747</v>
      </c>
      <c r="N44" s="170" t="n">
        <f aca="false">Unit_Cost!N43</f>
        <v>0.00129456646432123</v>
      </c>
      <c r="O44" s="170" t="n">
        <f aca="false">Unit_Cost!O43</f>
        <v>0.000902163227414951</v>
      </c>
      <c r="P44" s="170" t="n">
        <f aca="false">Unit_Cost!P43</f>
        <v>0.00138731002803448</v>
      </c>
      <c r="Q44" s="170" t="n">
        <f aca="false">Unit_Cost!Q43</f>
        <v>0.00254672207218181</v>
      </c>
    </row>
    <row r="45" customFormat="false" ht="15" hidden="false" customHeight="true" outlineLevel="0" collapsed="false">
      <c r="A45" s="35" t="s">
        <v>1685</v>
      </c>
      <c r="B45" s="35" t="s">
        <v>738</v>
      </c>
      <c r="C45" s="47" t="n">
        <f aca="false">Unit_Cost!C44</f>
        <v>12.2871345417539</v>
      </c>
      <c r="D45" s="47" t="n">
        <f aca="false">Unit_Cost!D44</f>
        <v>17.7210896571117</v>
      </c>
      <c r="E45" s="47" t="n">
        <f aca="false">Unit_Cost!E44</f>
        <v>30.5525996188327</v>
      </c>
      <c r="F45" s="47" t="n">
        <f aca="false">Unit_Cost!F44</f>
        <v>2.50995301687188</v>
      </c>
      <c r="G45" s="47" t="n">
        <f aca="false">Unit_Cost!G44</f>
        <v>3.37692089995637</v>
      </c>
      <c r="H45" s="47" t="n">
        <f aca="false">Unit_Cost!H44</f>
        <v>5.49541741579386</v>
      </c>
      <c r="I45" s="47" t="n">
        <f aca="false">Unit_Cost!I44</f>
        <v>2.75425055641743</v>
      </c>
      <c r="J45" s="47" t="n">
        <f aca="false">Unit_Cost!J44</f>
        <v>4.02513043023155</v>
      </c>
      <c r="K45" s="47" t="n">
        <f aca="false">Unit_Cost!K44</f>
        <v>7.54894856081632</v>
      </c>
      <c r="L45" s="47" t="n">
        <f aca="false">Unit_Cost!L44</f>
        <v>1.20084610690165</v>
      </c>
      <c r="M45" s="47" t="n">
        <f aca="false">Unit_Cost!M44</f>
        <v>1.66066216257053</v>
      </c>
      <c r="N45" s="47" t="n">
        <f aca="false">Unit_Cost!N44</f>
        <v>2.84870283079263</v>
      </c>
      <c r="O45" s="47" t="n">
        <f aca="false">Unit_Cost!O44</f>
        <v>0.853948360024336</v>
      </c>
      <c r="P45" s="47" t="n">
        <f aca="false">Unit_Cost!P44</f>
        <v>1.31316716009359</v>
      </c>
      <c r="Q45" s="47" t="n">
        <f aca="false">Unit_Cost!Q44</f>
        <v>2.4106160292179</v>
      </c>
    </row>
    <row r="46" customFormat="false" ht="15" hidden="false" customHeight="true" outlineLevel="0" collapsed="false">
      <c r="A46" s="35" t="s">
        <v>1686</v>
      </c>
      <c r="B46" s="35" t="s">
        <v>738</v>
      </c>
      <c r="C46" s="37" t="n">
        <f aca="false">Unit_Cost!C48</f>
        <v>9.47678431224973</v>
      </c>
      <c r="D46" s="37" t="n">
        <f aca="false">Unit_Cost!D48</f>
        <v>13.1591374534846</v>
      </c>
      <c r="E46" s="37" t="n">
        <f aca="false">Unit_Cost!E48</f>
        <v>22.7297819276346</v>
      </c>
      <c r="F46" s="37" t="n">
        <f aca="false">Unit_Cost!F48</f>
        <v>1.9350088786048</v>
      </c>
      <c r="G46" s="37" t="n">
        <f aca="false">Unit_Cost!G48</f>
        <v>2.50170060006188</v>
      </c>
      <c r="H46" s="37" t="n">
        <f aca="false">Unit_Cost!H48</f>
        <v>4.06152473895609</v>
      </c>
      <c r="I46" s="37" t="n">
        <f aca="false">Unit_Cost!I48</f>
        <v>2.13550375491945</v>
      </c>
      <c r="J46" s="37" t="n">
        <f aca="false">Unit_Cost!J48</f>
        <v>3.00485504575471</v>
      </c>
      <c r="K46" s="37" t="n">
        <f aca="false">Unit_Cost!K48</f>
        <v>5.6798450755267</v>
      </c>
      <c r="L46" s="37" t="n">
        <f aca="false">Unit_Cost!L48</f>
        <v>0.931213126310015</v>
      </c>
      <c r="M46" s="37" t="n">
        <f aca="false">Unit_Cost!M48</f>
        <v>1.23843614036657</v>
      </c>
      <c r="N46" s="37" t="n">
        <f aca="false">Unit_Cost!N48</f>
        <v>2.13359572946523</v>
      </c>
      <c r="O46" s="37" t="n">
        <f aca="false">Unit_Cost!O48</f>
        <v>0.665130891044125</v>
      </c>
      <c r="P46" s="37" t="n">
        <f aca="false">Unit_Cost!P48</f>
        <v>0.985340787440122</v>
      </c>
      <c r="Q46" s="37" t="n">
        <f aca="false">Unit_Cost!Q48</f>
        <v>1.82658844195838</v>
      </c>
    </row>
    <row r="47" customFormat="false" ht="15" hidden="false" customHeight="true" outlineLevel="0" collapsed="false">
      <c r="A47" s="35" t="s">
        <v>1687</v>
      </c>
      <c r="B47" s="35" t="s">
        <v>754</v>
      </c>
      <c r="C47" s="42" t="n">
        <f aca="false">INDEX(Perf!$C$117:$Q$117,3*(Unit_Cost!C$6-1)+3)</f>
        <v>0.170099699241798</v>
      </c>
      <c r="D47" s="42" t="n">
        <f aca="false">INDEX(Perf!$C$117:$Q$117,3*(Unit_Cost!D$6-1)+3)</f>
        <v>0.170099699241798</v>
      </c>
      <c r="E47" s="42" t="n">
        <f aca="false">INDEX(Perf!$C$117:$Q$117,3*(Unit_Cost!E$6-1)+3)</f>
        <v>0.170099699241798</v>
      </c>
      <c r="F47" s="42" t="n">
        <f aca="false">INDEX(Perf!$C$117:$Q$117,3*(Unit_Cost!F$6-1)+3)</f>
        <v>0.886497510374152</v>
      </c>
      <c r="G47" s="42" t="n">
        <f aca="false">INDEX(Perf!$C$117:$Q$117,3*(Unit_Cost!G$6-1)+3)</f>
        <v>0.886497510374152</v>
      </c>
      <c r="H47" s="42" t="n">
        <f aca="false">INDEX(Perf!$C$117:$Q$117,3*(Unit_Cost!H$6-1)+3)</f>
        <v>0.886497510374152</v>
      </c>
      <c r="I47" s="42" t="n">
        <f aca="false">INDEX(Perf!$C$117:$Q$117,3*(Unit_Cost!I$6-1)+3)</f>
        <v>1.04950690950785</v>
      </c>
      <c r="J47" s="42" t="n">
        <f aca="false">INDEX(Perf!$C$117:$Q$117,3*(Unit_Cost!J$6-1)+3)</f>
        <v>1.04950690950785</v>
      </c>
      <c r="K47" s="42" t="n">
        <f aca="false">INDEX(Perf!$C$117:$Q$117,3*(Unit_Cost!K$6-1)+3)</f>
        <v>1.04950690950785</v>
      </c>
      <c r="L47" s="42" t="n">
        <f aca="false">INDEX(Perf!$C$117:$Q$117,3*(Unit_Cost!L$6-1)+3)</f>
        <v>2.22581564461845</v>
      </c>
      <c r="M47" s="42" t="n">
        <f aca="false">INDEX(Perf!$C$117:$Q$117,3*(Unit_Cost!M$6-1)+3)</f>
        <v>2.22581564461845</v>
      </c>
      <c r="N47" s="42" t="n">
        <f aca="false">INDEX(Perf!$C$117:$Q$117,3*(Unit_Cost!N$6-1)+3)</f>
        <v>2.22581564461845</v>
      </c>
      <c r="O47" s="42" t="n">
        <f aca="false">INDEX(Perf!$C$117:$Q$117,3*(Unit_Cost!O$6-1)+3)</f>
        <v>3.8235994609874</v>
      </c>
      <c r="P47" s="42" t="n">
        <f aca="false">INDEX(Perf!$C$117:$Q$117,3*(Unit_Cost!P$6-1)+3)</f>
        <v>3.8235994609874</v>
      </c>
      <c r="Q47" s="42" t="n">
        <f aca="false">INDEX(Perf!$C$117:$Q$117,3*(Unit_Cost!Q$6-1)+3)</f>
        <v>3.8235994609874</v>
      </c>
    </row>
    <row r="48" customFormat="false" ht="15" hidden="false" customHeight="true" outlineLevel="0" collapsed="false">
      <c r="A48" s="34" t="s">
        <v>1688</v>
      </c>
      <c r="B48" s="35" t="s">
        <v>69</v>
      </c>
      <c r="C48" s="171" t="n">
        <f aca="false">Serving!$C$17</f>
        <v>0.6</v>
      </c>
    </row>
    <row r="50" customFormat="false" ht="15" hidden="false" customHeight="true" outlineLevel="0" collapsed="false">
      <c r="A50" s="34" t="s">
        <v>1689</v>
      </c>
      <c r="C50" s="46" t="s">
        <v>1690</v>
      </c>
    </row>
    <row r="52" customFormat="false" ht="15" hidden="false" customHeight="true" outlineLevel="0" collapsed="false">
      <c r="A52" s="33" t="s">
        <v>1691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216</v>
      </c>
    </row>
    <row r="54" customFormat="false" ht="15" hidden="false" customHeight="true" outlineLevel="0" collapsed="false">
      <c r="A54" s="34" t="s">
        <v>1692</v>
      </c>
      <c r="B54" s="35" t="s">
        <v>952</v>
      </c>
      <c r="C54" s="40" t="n">
        <f aca="false">INDEX(Training!$C$106:$Q$106,3*(Unit_Cost!C$6-1)+1)</f>
        <v>7049662.57742717</v>
      </c>
      <c r="D54" s="40" t="n">
        <f aca="false">INDEX(Training!$C$106:$Q$106,3*(Unit_Cost!D$6-1)+1)</f>
        <v>7049662.57742717</v>
      </c>
      <c r="E54" s="40" t="n">
        <f aca="false">INDEX(Training!$C$106:$Q$106,3*(Unit_Cost!E$6-1)+1)</f>
        <v>7049662.57742717</v>
      </c>
      <c r="F54" s="40" t="n">
        <f aca="false">INDEX(Training!$C$106:$Q$106,3*(Unit_Cost!F$6-1)+1)</f>
        <v>2068618.4406228</v>
      </c>
      <c r="G54" s="40" t="n">
        <f aca="false">INDEX(Training!$C$106:$Q$106,3*(Unit_Cost!G$6-1)+1)</f>
        <v>2068618.4406228</v>
      </c>
      <c r="H54" s="40" t="n">
        <f aca="false">INDEX(Training!$C$106:$Q$106,3*(Unit_Cost!H$6-1)+1)</f>
        <v>2068618.4406228</v>
      </c>
      <c r="I54" s="40" t="n">
        <f aca="false">INDEX(Training!$C$106:$Q$106,3*(Unit_Cost!I$6-1)+1)</f>
        <v>1767109.34138484</v>
      </c>
      <c r="J54" s="40" t="n">
        <f aca="false">INDEX(Training!$C$106:$Q$106,3*(Unit_Cost!J$6-1)+1)</f>
        <v>1767109.34138484</v>
      </c>
      <c r="K54" s="40" t="n">
        <f aca="false">INDEX(Training!$C$106:$Q$106,3*(Unit_Cost!K$6-1)+1)</f>
        <v>1767109.34138484</v>
      </c>
      <c r="L54" s="40" t="n">
        <f aca="false">INDEX(Training!$C$106:$Q$106,3*(Unit_Cost!L$6-1)+1)</f>
        <v>612796.140156143</v>
      </c>
      <c r="M54" s="40" t="n">
        <f aca="false">INDEX(Training!$C$106:$Q$106,3*(Unit_Cost!M$6-1)+1)</f>
        <v>612796.140156143</v>
      </c>
      <c r="N54" s="40" t="n">
        <f aca="false">INDEX(Training!$C$106:$Q$106,3*(Unit_Cost!N$6-1)+1)</f>
        <v>612796.140156143</v>
      </c>
      <c r="O54" s="40" t="n">
        <f aca="false">INDEX(Training!$C$106:$Q$106,3*(Unit_Cost!O$6-1)+1)</f>
        <v>299772.8335215</v>
      </c>
      <c r="P54" s="40" t="n">
        <f aca="false">INDEX(Training!$C$106:$Q$106,3*(Unit_Cost!P$6-1)+1)</f>
        <v>299772.8335215</v>
      </c>
      <c r="Q54" s="40" t="n">
        <f aca="false">INDEX(Training!$C$106:$Q$106,3*(Unit_Cost!Q$6-1)+1)</f>
        <v>299772.8335215</v>
      </c>
    </row>
    <row r="55" customFormat="false" ht="15" hidden="false" customHeight="true" outlineLevel="0" collapsed="false">
      <c r="A55" s="34" t="s">
        <v>1693</v>
      </c>
      <c r="B55" s="35" t="s">
        <v>808</v>
      </c>
      <c r="C55" s="172" t="n">
        <f aca="false">INDEX(Training!$C$106:$Q$106,3*(Unit_Cost!C$6-1)+1)*Unit_Cost!C$8/1000000</f>
        <v>7.84533466873469</v>
      </c>
      <c r="D55" s="172" t="n">
        <f aca="false">INDEX(Training!$C$106:$Q$106,3*(Unit_Cost!D$6-1)+1)*Unit_Cost!D$8/1000000</f>
        <v>11.314914684319</v>
      </c>
      <c r="E55" s="172" t="n">
        <f aca="false">INDEX(Training!$C$106:$Q$106,3*(Unit_Cost!E$6-1)+1)*Unit_Cost!E$8/1000000</f>
        <v>19.5078330260868</v>
      </c>
      <c r="F55" s="172" t="n">
        <f aca="false">INDEX(Training!$C$106:$Q$106,3*(Unit_Cost!F$6-1)+1)*Unit_Cost!F$8/1000000</f>
        <v>3.19309908304189</v>
      </c>
      <c r="G55" s="172" t="n">
        <f aca="false">INDEX(Training!$C$106:$Q$106,3*(Unit_Cost!G$6-1)+1)*Unit_Cost!G$8/1000000</f>
        <v>4.29603381285367</v>
      </c>
      <c r="H55" s="172" t="n">
        <f aca="false">INDEX(Training!$C$106:$Q$106,3*(Unit_Cost!H$6-1)+1)*Unit_Cost!H$8/1000000</f>
        <v>6.99113178348369</v>
      </c>
      <c r="I55" s="172" t="n">
        <f aca="false">INDEX(Training!$C$106:$Q$106,3*(Unit_Cost!I$6-1)+1)*Unit_Cost!I$8/1000000</f>
        <v>3.61240718453769</v>
      </c>
      <c r="J55" s="172" t="n">
        <f aca="false">INDEX(Training!$C$106:$Q$106,3*(Unit_Cost!J$6-1)+1)*Unit_Cost!J$8/1000000</f>
        <v>5.27926192153812</v>
      </c>
      <c r="K55" s="172" t="n">
        <f aca="false">INDEX(Training!$C$106:$Q$106,3*(Unit_Cost!K$6-1)+1)*Unit_Cost!K$8/1000000</f>
        <v>9.90101497964998</v>
      </c>
      <c r="L55" s="172" t="n">
        <f aca="false">INDEX(Training!$C$106:$Q$106,3*(Unit_Cost!L$6-1)+1)*Unit_Cost!L$8/1000000</f>
        <v>2.09006887677419</v>
      </c>
      <c r="M55" s="172" t="n">
        <f aca="false">INDEX(Training!$C$106:$Q$106,3*(Unit_Cost!M$6-1)+1)*Unit_Cost!M$8/1000000</f>
        <v>2.8903772772188</v>
      </c>
      <c r="N55" s="172" t="n">
        <f aca="false">INDEX(Training!$C$106:$Q$106,3*(Unit_Cost!N$6-1)+1)*Unit_Cost!N$8/1000000</f>
        <v>4.95815832819771</v>
      </c>
      <c r="O55" s="172" t="n">
        <f aca="false">INDEX(Training!$C$106:$Q$106,3*(Unit_Cost!O$6-1)+1)*Unit_Cost!O$8/1000000</f>
        <v>1.69027516863176</v>
      </c>
      <c r="P55" s="172" t="n">
        <f aca="false">INDEX(Training!$C$106:$Q$106,3*(Unit_Cost!P$6-1)+1)*Unit_Cost!P$8/1000000</f>
        <v>2.5992366129793</v>
      </c>
      <c r="Q55" s="172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4" t="s">
        <v>1694</v>
      </c>
      <c r="B56" s="35" t="s">
        <v>69</v>
      </c>
      <c r="C56" s="173" t="n">
        <f aca="false">INDEX(Training!$C$110:$Q$110,3*(Unit_Cost!C$6-1)+1)</f>
        <v>0.130452785650306</v>
      </c>
      <c r="D56" s="173" t="n">
        <f aca="false">INDEX(Training!$C$110:$Q$110,3*(Unit_Cost!D$6-1)+1)</f>
        <v>0.130452785650306</v>
      </c>
      <c r="E56" s="173" t="n">
        <f aca="false">INDEX(Training!$C$110:$Q$110,3*(Unit_Cost!E$6-1)+1)</f>
        <v>0.130452785650306</v>
      </c>
      <c r="F56" s="173" t="n">
        <f aca="false">INDEX(Training!$C$110:$Q$110,3*(Unit_Cost!F$6-1)+1)</f>
        <v>0.130452785650306</v>
      </c>
      <c r="G56" s="173" t="n">
        <f aca="false">INDEX(Training!$C$110:$Q$110,3*(Unit_Cost!G$6-1)+1)</f>
        <v>0.130452785650306</v>
      </c>
      <c r="H56" s="173" t="n">
        <f aca="false">INDEX(Training!$C$110:$Q$110,3*(Unit_Cost!H$6-1)+1)</f>
        <v>0.130452785650306</v>
      </c>
      <c r="I56" s="173" t="n">
        <f aca="false">INDEX(Training!$C$110:$Q$110,3*(Unit_Cost!I$6-1)+1)</f>
        <v>0.130452785650306</v>
      </c>
      <c r="J56" s="173" t="n">
        <f aca="false">INDEX(Training!$C$110:$Q$110,3*(Unit_Cost!J$6-1)+1)</f>
        <v>0.130452785650306</v>
      </c>
      <c r="K56" s="173" t="n">
        <f aca="false">INDEX(Training!$C$110:$Q$110,3*(Unit_Cost!K$6-1)+1)</f>
        <v>0.130452785650306</v>
      </c>
      <c r="L56" s="173" t="n">
        <f aca="false">INDEX(Training!$C$110:$Q$110,3*(Unit_Cost!L$6-1)+1)</f>
        <v>0.130452785650306</v>
      </c>
      <c r="M56" s="173" t="n">
        <f aca="false">INDEX(Training!$C$110:$Q$110,3*(Unit_Cost!M$6-1)+1)</f>
        <v>0.130452785650306</v>
      </c>
      <c r="N56" s="173" t="n">
        <f aca="false">INDEX(Training!$C$110:$Q$110,3*(Unit_Cost!N$6-1)+1)</f>
        <v>0.130452785650306</v>
      </c>
      <c r="O56" s="173" t="n">
        <f aca="false">INDEX(Training!$C$110:$Q$110,3*(Unit_Cost!O$6-1)+1)</f>
        <v>0.130452785650306</v>
      </c>
      <c r="P56" s="173" t="n">
        <f aca="false">INDEX(Training!$C$110:$Q$110,3*(Unit_Cost!P$6-1)+1)</f>
        <v>0.130452785650306</v>
      </c>
      <c r="Q56" s="173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4" t="s">
        <v>1695</v>
      </c>
      <c r="B57" s="35" t="s">
        <v>69</v>
      </c>
      <c r="C57" s="174" t="n">
        <f aca="false">INDEX(Training!$C$111:$Q$111,3*(Unit_Cost!C$6-1)+1)</f>
        <v>0.279408140296129</v>
      </c>
      <c r="D57" s="174" t="n">
        <f aca="false">INDEX(Training!$C$111:$Q$111,3*(Unit_Cost!D$6-1)+1)</f>
        <v>0.279408140296129</v>
      </c>
      <c r="E57" s="174" t="n">
        <f aca="false">INDEX(Training!$C$111:$Q$111,3*(Unit_Cost!E$6-1)+1)</f>
        <v>0.279408140296129</v>
      </c>
      <c r="F57" s="174" t="n">
        <f aca="false">INDEX(Training!$C$111:$Q$111,3*(Unit_Cost!F$6-1)+1)</f>
        <v>0.267799526369732</v>
      </c>
      <c r="G57" s="174" t="n">
        <f aca="false">INDEX(Training!$C$111:$Q$111,3*(Unit_Cost!G$6-1)+1)</f>
        <v>0.267799526369732</v>
      </c>
      <c r="H57" s="174" t="n">
        <f aca="false">INDEX(Training!$C$111:$Q$111,3*(Unit_Cost!H$6-1)+1)</f>
        <v>0.267799526369732</v>
      </c>
      <c r="I57" s="174" t="n">
        <f aca="false">INDEX(Training!$C$111:$Q$111,3*(Unit_Cost!I$6-1)+1)</f>
        <v>0.236922255702585</v>
      </c>
      <c r="J57" s="174" t="n">
        <f aca="false">INDEX(Training!$C$111:$Q$111,3*(Unit_Cost!J$6-1)+1)</f>
        <v>0.236922255702585</v>
      </c>
      <c r="K57" s="174" t="n">
        <f aca="false">INDEX(Training!$C$111:$Q$111,3*(Unit_Cost!K$6-1)+1)</f>
        <v>0.236922255702585</v>
      </c>
      <c r="L57" s="174" t="n">
        <f aca="false">INDEX(Training!$C$111:$Q$111,3*(Unit_Cost!L$6-1)+1)</f>
        <v>0.258240005282762</v>
      </c>
      <c r="M57" s="174" t="n">
        <f aca="false">INDEX(Training!$C$111:$Q$111,3*(Unit_Cost!M$6-1)+1)</f>
        <v>0.258240005282762</v>
      </c>
      <c r="N57" s="174" t="n">
        <f aca="false">INDEX(Training!$C$111:$Q$111,3*(Unit_Cost!N$6-1)+1)</f>
        <v>0.258240005282762</v>
      </c>
      <c r="O57" s="174" t="n">
        <f aca="false">INDEX(Training!$C$111:$Q$111,3*(Unit_Cost!O$6-1)+1)</f>
        <v>0.25405148606166</v>
      </c>
      <c r="P57" s="174" t="n">
        <f aca="false">INDEX(Training!$C$111:$Q$111,3*(Unit_Cost!P$6-1)+1)</f>
        <v>0.25405148606166</v>
      </c>
      <c r="Q57" s="174" t="n">
        <f aca="false">INDEX(Training!$C$111:$Q$111,3*(Unit_Cost!Q$6-1)+1)</f>
        <v>0.25405148606166</v>
      </c>
    </row>
    <row r="58" customFormat="false" ht="15" hidden="false" customHeight="true" outlineLevel="0" collapsed="false">
      <c r="A58" s="35" t="s">
        <v>1696</v>
      </c>
      <c r="B58" s="35" t="s">
        <v>69</v>
      </c>
      <c r="C58" s="173" t="n">
        <f aca="false">INDEX(Training!$C$77:$Q$77,3*(Unit_Cost!C$6-1)+1)</f>
        <v>0.0686261881970528</v>
      </c>
      <c r="D58" s="173" t="n">
        <f aca="false">INDEX(Training!$C$77:$Q$77,3*(Unit_Cost!D$6-1)+1)</f>
        <v>0.0686261881970528</v>
      </c>
      <c r="E58" s="173" t="n">
        <f aca="false">INDEX(Training!$C$77:$Q$77,3*(Unit_Cost!E$6-1)+1)</f>
        <v>0.0686261881970528</v>
      </c>
      <c r="F58" s="173" t="n">
        <f aca="false">INDEX(Training!$C$77:$Q$77,3*(Unit_Cost!F$6-1)+1)</f>
        <v>0.0904908583911183</v>
      </c>
      <c r="G58" s="173" t="n">
        <f aca="false">INDEX(Training!$C$77:$Q$77,3*(Unit_Cost!G$6-1)+1)</f>
        <v>0.0904908583911183</v>
      </c>
      <c r="H58" s="173" t="n">
        <f aca="false">INDEX(Training!$C$77:$Q$77,3*(Unit_Cost!H$6-1)+1)</f>
        <v>0.0904908583911183</v>
      </c>
      <c r="I58" s="173" t="n">
        <f aca="false">INDEX(Training!$C$77:$Q$77,3*(Unit_Cost!I$6-1)+1)</f>
        <v>0.106639040611353</v>
      </c>
      <c r="J58" s="173" t="n">
        <f aca="false">INDEX(Training!$C$77:$Q$77,3*(Unit_Cost!J$6-1)+1)</f>
        <v>0.106639040611353</v>
      </c>
      <c r="K58" s="173" t="n">
        <f aca="false">INDEX(Training!$C$77:$Q$77,3*(Unit_Cost!K$6-1)+1)</f>
        <v>0.106639040611353</v>
      </c>
      <c r="L58" s="173" t="n">
        <f aca="false">INDEX(Training!$C$77:$Q$77,3*(Unit_Cost!L$6-1)+1)</f>
        <v>0.0855701299880151</v>
      </c>
      <c r="M58" s="173" t="n">
        <f aca="false">INDEX(Training!$C$77:$Q$77,3*(Unit_Cost!M$6-1)+1)</f>
        <v>0.0855701299880151</v>
      </c>
      <c r="N58" s="173" t="n">
        <f aca="false">INDEX(Training!$C$77:$Q$77,3*(Unit_Cost!N$6-1)+1)</f>
        <v>0.0855701299880151</v>
      </c>
      <c r="O58" s="173" t="n">
        <f aca="false">INDEX(Training!$C$77:$Q$77,3*(Unit_Cost!O$6-1)+1)</f>
        <v>0.0874768793307214</v>
      </c>
      <c r="P58" s="173" t="n">
        <f aca="false">INDEX(Training!$C$77:$Q$77,3*(Unit_Cost!P$6-1)+1)</f>
        <v>0.0874768793307214</v>
      </c>
      <c r="Q58" s="173" t="n">
        <f aca="false">INDEX(Training!$C$77:$Q$77,3*(Unit_Cost!Q$6-1)+1)</f>
        <v>0.0874768793307214</v>
      </c>
    </row>
    <row r="59" customFormat="false" ht="15" hidden="false" customHeight="true" outlineLevel="0" collapsed="false">
      <c r="A59" s="34" t="s">
        <v>1697</v>
      </c>
      <c r="B59" s="35" t="s">
        <v>952</v>
      </c>
      <c r="C59" s="168" t="n">
        <f aca="false">INDEX(Training!$C$120:$Q$120,3*(Unit_Cost!C$6-1)+1)</f>
        <v>56397300.6194174</v>
      </c>
      <c r="D59" s="168" t="n">
        <f aca="false">INDEX(Training!$C$120:$Q$120,3*(Unit_Cost!D$6-1)+1)</f>
        <v>56397300.6194174</v>
      </c>
      <c r="E59" s="168" t="n">
        <f aca="false">INDEX(Training!$C$120:$Q$120,3*(Unit_Cost!E$6-1)+1)</f>
        <v>56397300.6194174</v>
      </c>
      <c r="F59" s="168" t="n">
        <f aca="false">INDEX(Training!$C$120:$Q$120,3*(Unit_Cost!F$6-1)+1)</f>
        <v>16548947.5249824</v>
      </c>
      <c r="G59" s="168" t="n">
        <f aca="false">INDEX(Training!$C$120:$Q$120,3*(Unit_Cost!G$6-1)+1)</f>
        <v>16548947.5249824</v>
      </c>
      <c r="H59" s="168" t="n">
        <f aca="false">INDEX(Training!$C$120:$Q$120,3*(Unit_Cost!H$6-1)+1)</f>
        <v>16548947.5249824</v>
      </c>
      <c r="I59" s="168" t="n">
        <f aca="false">INDEX(Training!$C$120:$Q$120,3*(Unit_Cost!I$6-1)+1)</f>
        <v>14136874.7310787</v>
      </c>
      <c r="J59" s="168" t="n">
        <f aca="false">INDEX(Training!$C$120:$Q$120,3*(Unit_Cost!J$6-1)+1)</f>
        <v>14136874.7310787</v>
      </c>
      <c r="K59" s="168" t="n">
        <f aca="false">INDEX(Training!$C$120:$Q$120,3*(Unit_Cost!K$6-1)+1)</f>
        <v>14136874.7310787</v>
      </c>
      <c r="L59" s="168" t="n">
        <f aca="false">INDEX(Training!$C$120:$Q$120,3*(Unit_Cost!L$6-1)+1)</f>
        <v>4902369.12124914</v>
      </c>
      <c r="M59" s="168" t="n">
        <f aca="false">INDEX(Training!$C$120:$Q$120,3*(Unit_Cost!M$6-1)+1)</f>
        <v>4902369.12124914</v>
      </c>
      <c r="N59" s="168" t="n">
        <f aca="false">INDEX(Training!$C$120:$Q$120,3*(Unit_Cost!N$6-1)+1)</f>
        <v>4902369.12124914</v>
      </c>
      <c r="O59" s="168" t="n">
        <f aca="false">INDEX(Training!$C$120:$Q$120,3*(Unit_Cost!O$6-1)+1)</f>
        <v>2398182.668172</v>
      </c>
      <c r="P59" s="168" t="n">
        <f aca="false">INDEX(Training!$C$120:$Q$120,3*(Unit_Cost!P$6-1)+1)</f>
        <v>2398182.668172</v>
      </c>
      <c r="Q59" s="168" t="n">
        <f aca="false">INDEX(Training!$C$120:$Q$120,3*(Unit_Cost!Q$6-1)+1)</f>
        <v>2398182.668172</v>
      </c>
    </row>
    <row r="60" customFormat="false" ht="15" hidden="false" customHeight="true" outlineLevel="0" collapsed="false">
      <c r="A60" s="34" t="s">
        <v>1698</v>
      </c>
      <c r="B60" s="35" t="s">
        <v>808</v>
      </c>
      <c r="C60" s="168" t="n">
        <f aca="false">INDEX(Training!$C$120:$Q$120,3*(Unit_Cost!C$6-1)+1)*Unit_Cost!C$8/1000000</f>
        <v>62.7626773498775</v>
      </c>
      <c r="D60" s="168" t="n">
        <f aca="false">INDEX(Training!$C$120:$Q$120,3*(Unit_Cost!D$6-1)+1)*Unit_Cost!D$8/1000000</f>
        <v>90.5193174745518</v>
      </c>
      <c r="E60" s="168" t="n">
        <f aca="false">INDEX(Training!$C$120:$Q$120,3*(Unit_Cost!E$6-1)+1)*Unit_Cost!E$8/1000000</f>
        <v>156.062664208694</v>
      </c>
      <c r="F60" s="168" t="n">
        <f aca="false">INDEX(Training!$C$120:$Q$120,3*(Unit_Cost!F$6-1)+1)*Unit_Cost!F$8/1000000</f>
        <v>25.5447926643351</v>
      </c>
      <c r="G60" s="168" t="n">
        <f aca="false">INDEX(Training!$C$120:$Q$120,3*(Unit_Cost!G$6-1)+1)*Unit_Cost!G$8/1000000</f>
        <v>34.3682705028293</v>
      </c>
      <c r="H60" s="168" t="n">
        <f aca="false">INDEX(Training!$C$120:$Q$120,3*(Unit_Cost!H$6-1)+1)*Unit_Cost!H$8/1000000</f>
        <v>55.9290542678695</v>
      </c>
      <c r="I60" s="168" t="n">
        <f aca="false">INDEX(Training!$C$120:$Q$120,3*(Unit_Cost!I$6-1)+1)*Unit_Cost!I$8/1000000</f>
        <v>28.8992574763015</v>
      </c>
      <c r="J60" s="168" t="n">
        <f aca="false">INDEX(Training!$C$120:$Q$120,3*(Unit_Cost!J$6-1)+1)*Unit_Cost!J$8/1000000</f>
        <v>42.2340953723049</v>
      </c>
      <c r="K60" s="168" t="n">
        <f aca="false">INDEX(Training!$C$120:$Q$120,3*(Unit_Cost!K$6-1)+1)*Unit_Cost!K$8/1000000</f>
        <v>79.2081198371999</v>
      </c>
      <c r="L60" s="168" t="n">
        <f aca="false">INDEX(Training!$C$120:$Q$120,3*(Unit_Cost!L$6-1)+1)*Unit_Cost!L$8/1000000</f>
        <v>16.7205510141935</v>
      </c>
      <c r="M60" s="168" t="n">
        <f aca="false">INDEX(Training!$C$120:$Q$120,3*(Unit_Cost!M$6-1)+1)*Unit_Cost!M$8/1000000</f>
        <v>23.1230182177504</v>
      </c>
      <c r="N60" s="168" t="n">
        <f aca="false">INDEX(Training!$C$120:$Q$120,3*(Unit_Cost!N$6-1)+1)*Unit_Cost!N$8/1000000</f>
        <v>39.6652666255817</v>
      </c>
      <c r="O60" s="168" t="n">
        <f aca="false">INDEX(Training!$C$120:$Q$120,3*(Unit_Cost!O$6-1)+1)*Unit_Cost!O$8/1000000</f>
        <v>13.5222013490541</v>
      </c>
      <c r="P60" s="168" t="n">
        <f aca="false">INDEX(Training!$C$120:$Q$120,3*(Unit_Cost!P$6-1)+1)*Unit_Cost!P$8/1000000</f>
        <v>20.7938929038344</v>
      </c>
      <c r="Q60" s="168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4" t="s">
        <v>1699</v>
      </c>
      <c r="B61" s="35" t="s">
        <v>69</v>
      </c>
      <c r="C61" s="175" t="n">
        <f aca="false">INDEX(Training!$C$123:$Q$123,3*(Unit_Cost!C$6-1)+1)</f>
        <v>0.00896604128960073</v>
      </c>
      <c r="D61" s="175" t="n">
        <f aca="false">INDEX(Training!$C$123:$Q$123,3*(Unit_Cost!D$6-1)+1)</f>
        <v>0.00896604128960073</v>
      </c>
      <c r="E61" s="175" t="n">
        <f aca="false">INDEX(Training!$C$123:$Q$123,3*(Unit_Cost!E$6-1)+1)</f>
        <v>0.00896604128960073</v>
      </c>
      <c r="F61" s="175" t="n">
        <f aca="false">INDEX(Training!$C$123:$Q$123,3*(Unit_Cost!F$6-1)+1)</f>
        <v>0.00370805316257368</v>
      </c>
      <c r="G61" s="175" t="n">
        <f aca="false">INDEX(Training!$C$123:$Q$123,3*(Unit_Cost!G$6-1)+1)</f>
        <v>0.00370805316257368</v>
      </c>
      <c r="H61" s="175" t="n">
        <f aca="false">INDEX(Training!$C$123:$Q$123,3*(Unit_Cost!H$6-1)+1)</f>
        <v>0.00370805316257368</v>
      </c>
      <c r="I61" s="175" t="n">
        <f aca="false">INDEX(Training!$C$123:$Q$123,3*(Unit_Cost!I$6-1)+1)</f>
        <v>0.00333788054373079</v>
      </c>
      <c r="J61" s="175" t="n">
        <f aca="false">INDEX(Training!$C$123:$Q$123,3*(Unit_Cost!J$6-1)+1)</f>
        <v>0.00333788054373079</v>
      </c>
      <c r="K61" s="175" t="n">
        <f aca="false">INDEX(Training!$C$123:$Q$123,3*(Unit_Cost!K$6-1)+1)</f>
        <v>0.00333788054373079</v>
      </c>
      <c r="L61" s="175" t="n">
        <f aca="false">INDEX(Training!$C$123:$Q$123,3*(Unit_Cost!L$6-1)+1)</f>
        <v>0.00191822686404789</v>
      </c>
      <c r="M61" s="175" t="n">
        <f aca="false">INDEX(Training!$C$123:$Q$123,3*(Unit_Cost!M$6-1)+1)</f>
        <v>0.00191822686404789</v>
      </c>
      <c r="N61" s="175" t="n">
        <f aca="false">INDEX(Training!$C$123:$Q$123,3*(Unit_Cost!N$6-1)+1)</f>
        <v>0.00191822686404789</v>
      </c>
      <c r="O61" s="175" t="n">
        <f aca="false">INDEX(Training!$C$123:$Q$123,3*(Unit_Cost!O$6-1)+1)</f>
        <v>0.00124014797043059</v>
      </c>
      <c r="P61" s="175" t="n">
        <f aca="false">INDEX(Training!$C$123:$Q$123,3*(Unit_Cost!P$6-1)+1)</f>
        <v>0.00124014797043059</v>
      </c>
      <c r="Q61" s="175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217</v>
      </c>
    </row>
    <row r="63" customFormat="false" ht="15" hidden="false" customHeight="true" outlineLevel="0" collapsed="false">
      <c r="A63" s="34" t="s">
        <v>1700</v>
      </c>
      <c r="B63" s="35" t="s">
        <v>952</v>
      </c>
      <c r="C63" s="40" t="n">
        <f aca="false">INDEX(Training!$C$106:$Q$106,3*(Unit_Cost!C$6-1)+2)</f>
        <v>20624185.4562119</v>
      </c>
      <c r="D63" s="40" t="n">
        <f aca="false">INDEX(Training!$C$106:$Q$106,3*(Unit_Cost!D$6-1)+2)</f>
        <v>20624185.4562119</v>
      </c>
      <c r="E63" s="40" t="n">
        <f aca="false">INDEX(Training!$C$106:$Q$106,3*(Unit_Cost!E$6-1)+2)</f>
        <v>20624185.4562119</v>
      </c>
      <c r="F63" s="40" t="n">
        <f aca="false">INDEX(Training!$C$106:$Q$106,3*(Unit_Cost!F$6-1)+2)</f>
        <v>6137830.23251387</v>
      </c>
      <c r="G63" s="40" t="n">
        <f aca="false">INDEX(Training!$C$106:$Q$106,3*(Unit_Cost!G$6-1)+2)</f>
        <v>6137830.23251387</v>
      </c>
      <c r="H63" s="40" t="n">
        <f aca="false">INDEX(Training!$C$106:$Q$106,3*(Unit_Cost!H$6-1)+2)</f>
        <v>6137830.23251387</v>
      </c>
      <c r="I63" s="40" t="n">
        <f aca="false">INDEX(Training!$C$106:$Q$106,3*(Unit_Cost!I$6-1)+2)</f>
        <v>5444807.46316246</v>
      </c>
      <c r="J63" s="40" t="n">
        <f aca="false">INDEX(Training!$C$106:$Q$106,3*(Unit_Cost!J$6-1)+2)</f>
        <v>5444807.46316246</v>
      </c>
      <c r="K63" s="40" t="n">
        <f aca="false">INDEX(Training!$C$106:$Q$106,3*(Unit_Cost!K$6-1)+2)</f>
        <v>5444807.46316246</v>
      </c>
      <c r="L63" s="40" t="n">
        <f aca="false">INDEX(Training!$C$106:$Q$106,3*(Unit_Cost!L$6-1)+2)</f>
        <v>1847259.81901747</v>
      </c>
      <c r="M63" s="40" t="n">
        <f aca="false">INDEX(Training!$C$106:$Q$106,3*(Unit_Cost!M$6-1)+2)</f>
        <v>1847259.81901747</v>
      </c>
      <c r="N63" s="40" t="n">
        <f aca="false">INDEX(Training!$C$106:$Q$106,3*(Unit_Cost!N$6-1)+2)</f>
        <v>1847259.81901747</v>
      </c>
      <c r="O63" s="40" t="n">
        <f aca="false">INDEX(Training!$C$106:$Q$106,3*(Unit_Cost!O$6-1)+2)</f>
        <v>910613.498748029</v>
      </c>
      <c r="P63" s="40" t="n">
        <f aca="false">INDEX(Training!$C$106:$Q$106,3*(Unit_Cost!P$6-1)+2)</f>
        <v>910613.498748029</v>
      </c>
      <c r="Q63" s="40" t="n">
        <f aca="false">INDEX(Training!$C$106:$Q$106,3*(Unit_Cost!Q$6-1)+2)</f>
        <v>910613.498748029</v>
      </c>
    </row>
    <row r="64" customFormat="false" ht="15" hidden="false" customHeight="true" outlineLevel="0" collapsed="false">
      <c r="A64" s="34" t="s">
        <v>1701</v>
      </c>
      <c r="B64" s="35" t="s">
        <v>808</v>
      </c>
      <c r="C64" s="172" t="n">
        <f aca="false">INDEX(Training!$C$106:$Q$106,3*(Unit_Cost!C$6-1)+2)*Unit_Cost!C$8/1000000</f>
        <v>22.9519690335426</v>
      </c>
      <c r="D64" s="172" t="n">
        <f aca="false">INDEX(Training!$C$106:$Q$106,3*(Unit_Cost!D$6-1)+2)*Unit_Cost!D$8/1000000</f>
        <v>33.1024210460547</v>
      </c>
      <c r="E64" s="172" t="n">
        <f aca="false">INDEX(Training!$C$106:$Q$106,3*(Unit_Cost!E$6-1)+2)*Unit_Cost!E$8/1000000</f>
        <v>57.0712657180343</v>
      </c>
      <c r="F64" s="172" t="n">
        <f aca="false">INDEX(Training!$C$106:$Q$106,3*(Unit_Cost!F$6-1)+2)*Unit_Cost!F$8/1000000</f>
        <v>9.47429439012748</v>
      </c>
      <c r="G64" s="172" t="n">
        <f aca="false">INDEX(Training!$C$106:$Q$106,3*(Unit_Cost!G$6-1)+2)*Unit_Cost!G$8/1000000</f>
        <v>12.7468293323811</v>
      </c>
      <c r="H64" s="172" t="n">
        <f aca="false">INDEX(Training!$C$106:$Q$106,3*(Unit_Cost!H$6-1)+2)*Unit_Cost!H$8/1000000</f>
        <v>20.7434968080608</v>
      </c>
      <c r="I64" s="172" t="n">
        <f aca="false">INDEX(Training!$C$106:$Q$106,3*(Unit_Cost!I$6-1)+2)*Unit_Cost!I$8/1000000</f>
        <v>11.130528902608</v>
      </c>
      <c r="J64" s="172" t="n">
        <f aca="false">INDEX(Training!$C$106:$Q$106,3*(Unit_Cost!J$6-1)+2)*Unit_Cost!J$8/1000000</f>
        <v>16.2664324369729</v>
      </c>
      <c r="K64" s="172" t="n">
        <f aca="false">INDEX(Training!$C$106:$Q$106,3*(Unit_Cost!K$6-1)+2)*Unit_Cost!K$8/1000000</f>
        <v>30.5069522250583</v>
      </c>
      <c r="L64" s="172" t="n">
        <f aca="false">INDEX(Training!$C$106:$Q$106,3*(Unit_Cost!L$6-1)+2)*Unit_Cost!L$8/1000000</f>
        <v>6.30046438291889</v>
      </c>
      <c r="M64" s="172" t="n">
        <f aca="false">INDEX(Training!$C$106:$Q$106,3*(Unit_Cost!M$6-1)+2)*Unit_Cost!M$8/1000000</f>
        <v>8.71297558213558</v>
      </c>
      <c r="N64" s="172" t="n">
        <f aca="false">INDEX(Training!$C$106:$Q$106,3*(Unit_Cost!N$6-1)+2)*Unit_Cost!N$8/1000000</f>
        <v>14.9462538286758</v>
      </c>
      <c r="O64" s="172" t="n">
        <f aca="false">INDEX(Training!$C$106:$Q$106,3*(Unit_Cost!O$6-1)+2)*Unit_Cost!O$8/1000000</f>
        <v>5.13451258098838</v>
      </c>
      <c r="P64" s="172" t="n">
        <f aca="false">INDEX(Training!$C$106:$Q$106,3*(Unit_Cost!P$6-1)+2)*Unit_Cost!P$8/1000000</f>
        <v>7.89564524047939</v>
      </c>
      <c r="Q64" s="172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4" t="s">
        <v>1702</v>
      </c>
      <c r="B65" s="35" t="s">
        <v>69</v>
      </c>
      <c r="C65" s="173" t="n">
        <f aca="false">INDEX(Training!$C$110:$Q$110,3*(Unit_Cost!C$6-1)+2)</f>
        <v>0.127443286691429</v>
      </c>
      <c r="D65" s="173" t="n">
        <f aca="false">INDEX(Training!$C$110:$Q$110,3*(Unit_Cost!D$6-1)+2)</f>
        <v>0.127443286691429</v>
      </c>
      <c r="E65" s="173" t="n">
        <f aca="false">INDEX(Training!$C$110:$Q$110,3*(Unit_Cost!E$6-1)+2)</f>
        <v>0.127443286691429</v>
      </c>
      <c r="F65" s="173" t="n">
        <f aca="false">INDEX(Training!$C$110:$Q$110,3*(Unit_Cost!F$6-1)+2)</f>
        <v>0.127443286691429</v>
      </c>
      <c r="G65" s="173" t="n">
        <f aca="false">INDEX(Training!$C$110:$Q$110,3*(Unit_Cost!G$6-1)+2)</f>
        <v>0.127443286691429</v>
      </c>
      <c r="H65" s="173" t="n">
        <f aca="false">INDEX(Training!$C$110:$Q$110,3*(Unit_Cost!H$6-1)+2)</f>
        <v>0.127443286691429</v>
      </c>
      <c r="I65" s="173" t="n">
        <f aca="false">INDEX(Training!$C$110:$Q$110,3*(Unit_Cost!I$6-1)+2)</f>
        <v>0.127443286691429</v>
      </c>
      <c r="J65" s="173" t="n">
        <f aca="false">INDEX(Training!$C$110:$Q$110,3*(Unit_Cost!J$6-1)+2)</f>
        <v>0.127443286691429</v>
      </c>
      <c r="K65" s="173" t="n">
        <f aca="false">INDEX(Training!$C$110:$Q$110,3*(Unit_Cost!K$6-1)+2)</f>
        <v>0.127443286691429</v>
      </c>
      <c r="L65" s="173" t="n">
        <f aca="false">INDEX(Training!$C$110:$Q$110,3*(Unit_Cost!L$6-1)+2)</f>
        <v>0.127443286691429</v>
      </c>
      <c r="M65" s="173" t="n">
        <f aca="false">INDEX(Training!$C$110:$Q$110,3*(Unit_Cost!M$6-1)+2)</f>
        <v>0.127443286691429</v>
      </c>
      <c r="N65" s="173" t="n">
        <f aca="false">INDEX(Training!$C$110:$Q$110,3*(Unit_Cost!N$6-1)+2)</f>
        <v>0.127443286691429</v>
      </c>
      <c r="O65" s="173" t="n">
        <f aca="false">INDEX(Training!$C$110:$Q$110,3*(Unit_Cost!O$6-1)+2)</f>
        <v>0.127443286691429</v>
      </c>
      <c r="P65" s="173" t="n">
        <f aca="false">INDEX(Training!$C$110:$Q$110,3*(Unit_Cost!P$6-1)+2)</f>
        <v>0.127443286691429</v>
      </c>
      <c r="Q65" s="173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4" t="s">
        <v>1703</v>
      </c>
      <c r="B66" s="35" t="s">
        <v>69</v>
      </c>
      <c r="C66" s="174" t="n">
        <f aca="false">INDEX(Training!$C$111:$Q$111,3*(Unit_Cost!C$6-1)+2)</f>
        <v>0.284542232288169</v>
      </c>
      <c r="D66" s="174" t="n">
        <f aca="false">INDEX(Training!$C$111:$Q$111,3*(Unit_Cost!D$6-1)+2)</f>
        <v>0.284542232288169</v>
      </c>
      <c r="E66" s="174" t="n">
        <f aca="false">INDEX(Training!$C$111:$Q$111,3*(Unit_Cost!E$6-1)+2)</f>
        <v>0.284542232288169</v>
      </c>
      <c r="F66" s="174" t="n">
        <f aca="false">INDEX(Training!$C$111:$Q$111,3*(Unit_Cost!F$6-1)+2)</f>
        <v>0.267933697909655</v>
      </c>
      <c r="G66" s="174" t="n">
        <f aca="false">INDEX(Training!$C$111:$Q$111,3*(Unit_Cost!G$6-1)+2)</f>
        <v>0.267933697909655</v>
      </c>
      <c r="H66" s="174" t="n">
        <f aca="false">INDEX(Training!$C$111:$Q$111,3*(Unit_Cost!H$6-1)+2)</f>
        <v>0.267933697909655</v>
      </c>
      <c r="I66" s="174" t="n">
        <f aca="false">INDEX(Training!$C$111:$Q$111,3*(Unit_Cost!I$6-1)+2)</f>
        <v>0.235841368919199</v>
      </c>
      <c r="J66" s="174" t="n">
        <f aca="false">INDEX(Training!$C$111:$Q$111,3*(Unit_Cost!J$6-1)+2)</f>
        <v>0.235841368919199</v>
      </c>
      <c r="K66" s="174" t="n">
        <f aca="false">INDEX(Training!$C$111:$Q$111,3*(Unit_Cost!K$6-1)+2)</f>
        <v>0.235841368919199</v>
      </c>
      <c r="L66" s="174" t="n">
        <f aca="false">INDEX(Training!$C$111:$Q$111,3*(Unit_Cost!L$6-1)+2)</f>
        <v>0.255756373112</v>
      </c>
      <c r="M66" s="174" t="n">
        <f aca="false">INDEX(Training!$C$111:$Q$111,3*(Unit_Cost!M$6-1)+2)</f>
        <v>0.255756373112</v>
      </c>
      <c r="N66" s="174" t="n">
        <f aca="false">INDEX(Training!$C$111:$Q$111,3*(Unit_Cost!N$6-1)+2)</f>
        <v>0.255756373112</v>
      </c>
      <c r="O66" s="174" t="n">
        <f aca="false">INDEX(Training!$C$111:$Q$111,3*(Unit_Cost!O$6-1)+2)</f>
        <v>0.250877249509988</v>
      </c>
      <c r="P66" s="174" t="n">
        <f aca="false">INDEX(Training!$C$111:$Q$111,3*(Unit_Cost!P$6-1)+2)</f>
        <v>0.250877249509988</v>
      </c>
      <c r="Q66" s="174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5" t="s">
        <v>1704</v>
      </c>
      <c r="B67" s="35" t="s">
        <v>69</v>
      </c>
      <c r="C67" s="173" t="n">
        <f aca="false">INDEX(Training!$C$77:$Q$77,3*(Unit_Cost!C$6-1)+2)</f>
        <v>0.0649858992202838</v>
      </c>
      <c r="D67" s="173" t="n">
        <f aca="false">INDEX(Training!$C$77:$Q$77,3*(Unit_Cost!D$6-1)+2)</f>
        <v>0.0649858992202838</v>
      </c>
      <c r="E67" s="173" t="n">
        <f aca="false">INDEX(Training!$C$77:$Q$77,3*(Unit_Cost!E$6-1)+2)</f>
        <v>0.0649858992202838</v>
      </c>
      <c r="F67" s="173" t="n">
        <f aca="false">INDEX(Training!$C$77:$Q$77,3*(Unit_Cost!F$6-1)+2)</f>
        <v>0.0877936139255299</v>
      </c>
      <c r="G67" s="173" t="n">
        <f aca="false">INDEX(Training!$C$77:$Q$77,3*(Unit_Cost!G$6-1)+2)</f>
        <v>0.0877936139255299</v>
      </c>
      <c r="H67" s="173" t="n">
        <f aca="false">INDEX(Training!$C$77:$Q$77,3*(Unit_Cost!H$6-1)+2)</f>
        <v>0.0877936139255299</v>
      </c>
      <c r="I67" s="173" t="n">
        <f aca="false">INDEX(Training!$C$77:$Q$77,3*(Unit_Cost!I$6-1)+2)</f>
        <v>0.104147246417747</v>
      </c>
      <c r="J67" s="173" t="n">
        <f aca="false">INDEX(Training!$C$77:$Q$77,3*(Unit_Cost!J$6-1)+2)</f>
        <v>0.104147246417747</v>
      </c>
      <c r="K67" s="173" t="n">
        <f aca="false">INDEX(Training!$C$77:$Q$77,3*(Unit_Cost!K$6-1)+2)</f>
        <v>0.104147246417747</v>
      </c>
      <c r="L67" s="173" t="n">
        <f aca="false">INDEX(Training!$C$77:$Q$77,3*(Unit_Cost!L$6-1)+2)</f>
        <v>0.0841710668603695</v>
      </c>
      <c r="M67" s="173" t="n">
        <f aca="false">INDEX(Training!$C$77:$Q$77,3*(Unit_Cost!M$6-1)+2)</f>
        <v>0.0841710668603695</v>
      </c>
      <c r="N67" s="173" t="n">
        <f aca="false">INDEX(Training!$C$77:$Q$77,3*(Unit_Cost!N$6-1)+2)</f>
        <v>0.0841710668603695</v>
      </c>
      <c r="O67" s="173" t="n">
        <f aca="false">INDEX(Training!$C$77:$Q$77,3*(Unit_Cost!O$6-1)+2)</f>
        <v>0.0863769281366727</v>
      </c>
      <c r="P67" s="173" t="n">
        <f aca="false">INDEX(Training!$C$77:$Q$77,3*(Unit_Cost!P$6-1)+2)</f>
        <v>0.0863769281366727</v>
      </c>
      <c r="Q67" s="173" t="n">
        <f aca="false">INDEX(Training!$C$77:$Q$77,3*(Unit_Cost!Q$6-1)+2)</f>
        <v>0.0863769281366727</v>
      </c>
    </row>
    <row r="68" customFormat="false" ht="15" hidden="false" customHeight="true" outlineLevel="0" collapsed="false">
      <c r="A68" s="34" t="s">
        <v>1705</v>
      </c>
      <c r="B68" s="35" t="s">
        <v>952</v>
      </c>
      <c r="C68" s="168" t="n">
        <f aca="false">INDEX(Training!$C$120:$Q$120,3*(Unit_Cost!C$6-1)+2)</f>
        <v>164993483.649695</v>
      </c>
      <c r="D68" s="168" t="n">
        <f aca="false">INDEX(Training!$C$120:$Q$120,3*(Unit_Cost!D$6-1)+2)</f>
        <v>164993483.649695</v>
      </c>
      <c r="E68" s="168" t="n">
        <f aca="false">INDEX(Training!$C$120:$Q$120,3*(Unit_Cost!E$6-1)+2)</f>
        <v>164993483.649695</v>
      </c>
      <c r="F68" s="168" t="n">
        <f aca="false">INDEX(Training!$C$120:$Q$120,3*(Unit_Cost!F$6-1)+2)</f>
        <v>49102641.860111</v>
      </c>
      <c r="G68" s="168" t="n">
        <f aca="false">INDEX(Training!$C$120:$Q$120,3*(Unit_Cost!G$6-1)+2)</f>
        <v>49102641.860111</v>
      </c>
      <c r="H68" s="168" t="n">
        <f aca="false">INDEX(Training!$C$120:$Q$120,3*(Unit_Cost!H$6-1)+2)</f>
        <v>49102641.860111</v>
      </c>
      <c r="I68" s="168" t="n">
        <f aca="false">INDEX(Training!$C$120:$Q$120,3*(Unit_Cost!I$6-1)+2)</f>
        <v>43558459.7052997</v>
      </c>
      <c r="J68" s="168" t="n">
        <f aca="false">INDEX(Training!$C$120:$Q$120,3*(Unit_Cost!J$6-1)+2)</f>
        <v>43558459.7052997</v>
      </c>
      <c r="K68" s="168" t="n">
        <f aca="false">INDEX(Training!$C$120:$Q$120,3*(Unit_Cost!K$6-1)+2)</f>
        <v>43558459.7052997</v>
      </c>
      <c r="L68" s="168" t="n">
        <f aca="false">INDEX(Training!$C$120:$Q$120,3*(Unit_Cost!L$6-1)+2)</f>
        <v>14778078.5521398</v>
      </c>
      <c r="M68" s="168" t="n">
        <f aca="false">INDEX(Training!$C$120:$Q$120,3*(Unit_Cost!M$6-1)+2)</f>
        <v>14778078.5521398</v>
      </c>
      <c r="N68" s="168" t="n">
        <f aca="false">INDEX(Training!$C$120:$Q$120,3*(Unit_Cost!N$6-1)+2)</f>
        <v>14778078.5521398</v>
      </c>
      <c r="O68" s="168" t="n">
        <f aca="false">INDEX(Training!$C$120:$Q$120,3*(Unit_Cost!O$6-1)+2)</f>
        <v>7284907.98998423</v>
      </c>
      <c r="P68" s="168" t="n">
        <f aca="false">INDEX(Training!$C$120:$Q$120,3*(Unit_Cost!P$6-1)+2)</f>
        <v>7284907.98998423</v>
      </c>
      <c r="Q68" s="168" t="n">
        <f aca="false">INDEX(Training!$C$120:$Q$120,3*(Unit_Cost!Q$6-1)+2)</f>
        <v>7284907.98998423</v>
      </c>
    </row>
    <row r="69" customFormat="false" ht="15" hidden="false" customHeight="true" outlineLevel="0" collapsed="false">
      <c r="A69" s="34" t="s">
        <v>1706</v>
      </c>
      <c r="B69" s="35" t="s">
        <v>808</v>
      </c>
      <c r="C69" s="168" t="n">
        <f aca="false">INDEX(Training!$C$120:$Q$120,3*(Unit_Cost!C$6-1)+2)*Unit_Cost!C$8/1000000</f>
        <v>183.615752268341</v>
      </c>
      <c r="D69" s="168" t="n">
        <f aca="false">INDEX(Training!$C$120:$Q$120,3*(Unit_Cost!D$6-1)+2)*Unit_Cost!D$8/1000000</f>
        <v>264.819368368438</v>
      </c>
      <c r="E69" s="168" t="n">
        <f aca="false">INDEX(Training!$C$120:$Q$120,3*(Unit_Cost!E$6-1)+2)*Unit_Cost!E$8/1000000</f>
        <v>456.570125744274</v>
      </c>
      <c r="F69" s="168" t="n">
        <f aca="false">INDEX(Training!$C$120:$Q$120,3*(Unit_Cost!F$6-1)+2)*Unit_Cost!F$8/1000000</f>
        <v>75.7943551210198</v>
      </c>
      <c r="G69" s="168" t="n">
        <f aca="false">INDEX(Training!$C$120:$Q$120,3*(Unit_Cost!G$6-1)+2)*Unit_Cost!G$8/1000000</f>
        <v>101.974634659049</v>
      </c>
      <c r="H69" s="168" t="n">
        <f aca="false">INDEX(Training!$C$120:$Q$120,3*(Unit_Cost!H$6-1)+2)*Unit_Cost!H$8/1000000</f>
        <v>165.947974464487</v>
      </c>
      <c r="I69" s="168" t="n">
        <f aca="false">INDEX(Training!$C$120:$Q$120,3*(Unit_Cost!I$6-1)+2)*Unit_Cost!I$8/1000000</f>
        <v>89.0442312208636</v>
      </c>
      <c r="J69" s="168" t="n">
        <f aca="false">INDEX(Training!$C$120:$Q$120,3*(Unit_Cost!J$6-1)+2)*Unit_Cost!J$8/1000000</f>
        <v>130.131459495783</v>
      </c>
      <c r="K69" s="168" t="n">
        <f aca="false">INDEX(Training!$C$120:$Q$120,3*(Unit_Cost!K$6-1)+2)*Unit_Cost!K$8/1000000</f>
        <v>244.055617800466</v>
      </c>
      <c r="L69" s="168" t="n">
        <f aca="false">INDEX(Training!$C$120:$Q$120,3*(Unit_Cost!L$6-1)+2)*Unit_Cost!L$8/1000000</f>
        <v>50.4037150633511</v>
      </c>
      <c r="M69" s="168" t="n">
        <f aca="false">INDEX(Training!$C$120:$Q$120,3*(Unit_Cost!M$6-1)+2)*Unit_Cost!M$8/1000000</f>
        <v>69.7038046570847</v>
      </c>
      <c r="N69" s="168" t="n">
        <f aca="false">INDEX(Training!$C$120:$Q$120,3*(Unit_Cost!N$6-1)+2)*Unit_Cost!N$8/1000000</f>
        <v>119.570030629406</v>
      </c>
      <c r="O69" s="168" t="n">
        <f aca="false">INDEX(Training!$C$120:$Q$120,3*(Unit_Cost!O$6-1)+2)*Unit_Cost!O$8/1000000</f>
        <v>41.0761006479071</v>
      </c>
      <c r="P69" s="168" t="n">
        <f aca="false">INDEX(Training!$C$120:$Q$120,3*(Unit_Cost!P$6-1)+2)*Unit_Cost!P$8/1000000</f>
        <v>63.1651619238351</v>
      </c>
      <c r="Q69" s="168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4" t="s">
        <v>1707</v>
      </c>
      <c r="B70" s="35" t="s">
        <v>69</v>
      </c>
      <c r="C70" s="175" t="n">
        <f aca="false">INDEX(Training!$C$123:$Q$123,3*(Unit_Cost!C$6-1)+2)</f>
        <v>0.0262306594583518</v>
      </c>
      <c r="D70" s="175" t="n">
        <f aca="false">INDEX(Training!$C$123:$Q$123,3*(Unit_Cost!D$6-1)+2)</f>
        <v>0.0262306594583518</v>
      </c>
      <c r="E70" s="175" t="n">
        <f aca="false">INDEX(Training!$C$123:$Q$123,3*(Unit_Cost!E$6-1)+2)</f>
        <v>0.0262306594583518</v>
      </c>
      <c r="F70" s="175" t="n">
        <f aca="false">INDEX(Training!$C$123:$Q$123,3*(Unit_Cost!F$6-1)+2)</f>
        <v>0.0110022227193147</v>
      </c>
      <c r="G70" s="175" t="n">
        <f aca="false">INDEX(Training!$C$123:$Q$123,3*(Unit_Cost!G$6-1)+2)</f>
        <v>0.0110022227193147</v>
      </c>
      <c r="H70" s="175" t="n">
        <f aca="false">INDEX(Training!$C$123:$Q$123,3*(Unit_Cost!H$6-1)+2)</f>
        <v>0.0110022227193147</v>
      </c>
      <c r="I70" s="175" t="n">
        <f aca="false">INDEX(Training!$C$123:$Q$123,3*(Unit_Cost!I$6-1)+2)</f>
        <v>0.0102846589455565</v>
      </c>
      <c r="J70" s="175" t="n">
        <f aca="false">INDEX(Training!$C$123:$Q$123,3*(Unit_Cost!J$6-1)+2)</f>
        <v>0.0102846589455565</v>
      </c>
      <c r="K70" s="175" t="n">
        <f aca="false">INDEX(Training!$C$123:$Q$123,3*(Unit_Cost!K$6-1)+2)</f>
        <v>0.0102846589455565</v>
      </c>
      <c r="L70" s="175" t="n">
        <f aca="false">INDEX(Training!$C$123:$Q$123,3*(Unit_Cost!L$6-1)+2)</f>
        <v>0.00578245060227154</v>
      </c>
      <c r="M70" s="175" t="n">
        <f aca="false">INDEX(Training!$C$123:$Q$123,3*(Unit_Cost!M$6-1)+2)</f>
        <v>0.00578245060227154</v>
      </c>
      <c r="N70" s="175" t="n">
        <f aca="false">INDEX(Training!$C$123:$Q$123,3*(Unit_Cost!N$6-1)+2)</f>
        <v>0.00578245060227154</v>
      </c>
      <c r="O70" s="175" t="n">
        <f aca="false">INDEX(Training!$C$123:$Q$123,3*(Unit_Cost!O$6-1)+2)</f>
        <v>0.00376717085752225</v>
      </c>
      <c r="P70" s="175" t="n">
        <f aca="false">INDEX(Training!$C$123:$Q$123,3*(Unit_Cost!P$6-1)+2)</f>
        <v>0.00376717085752225</v>
      </c>
      <c r="Q70" s="175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218</v>
      </c>
    </row>
    <row r="72" customFormat="false" ht="15" hidden="false" customHeight="true" outlineLevel="0" collapsed="false">
      <c r="A72" s="34" t="s">
        <v>1708</v>
      </c>
      <c r="B72" s="35" t="s">
        <v>952</v>
      </c>
      <c r="C72" s="40" t="n">
        <f aca="false">INDEX(Training!$C$106:$Q$106,3*(Unit_Cost!C$6-1)+3)</f>
        <v>128603353.384478</v>
      </c>
      <c r="D72" s="40" t="n">
        <f aca="false">INDEX(Training!$C$106:$Q$106,3*(Unit_Cost!D$6-1)+3)</f>
        <v>128603353.384478</v>
      </c>
      <c r="E72" s="40" t="n">
        <f aca="false">INDEX(Training!$C$106:$Q$106,3*(Unit_Cost!E$6-1)+3)</f>
        <v>128603353.384478</v>
      </c>
      <c r="F72" s="40" t="n">
        <f aca="false">INDEX(Training!$C$106:$Q$106,3*(Unit_Cost!F$6-1)+3)</f>
        <v>38572173.855701</v>
      </c>
      <c r="G72" s="40" t="n">
        <f aca="false">INDEX(Training!$C$106:$Q$106,3*(Unit_Cost!G$6-1)+3)</f>
        <v>38572173.855701</v>
      </c>
      <c r="H72" s="40" t="n">
        <f aca="false">INDEX(Training!$C$106:$Q$106,3*(Unit_Cost!H$6-1)+3)</f>
        <v>38572173.855701</v>
      </c>
      <c r="I72" s="40" t="n">
        <f aca="false">INDEX(Training!$C$106:$Q$106,3*(Unit_Cost!I$6-1)+3)</f>
        <v>34901348.2289244</v>
      </c>
      <c r="J72" s="40" t="n">
        <f aca="false">INDEX(Training!$C$106:$Q$106,3*(Unit_Cost!J$6-1)+3)</f>
        <v>34901348.2289244</v>
      </c>
      <c r="K72" s="40" t="n">
        <f aca="false">INDEX(Training!$C$106:$Q$106,3*(Unit_Cost!K$6-1)+3)</f>
        <v>34901348.2289244</v>
      </c>
      <c r="L72" s="40" t="n">
        <f aca="false">INDEX(Training!$C$106:$Q$106,3*(Unit_Cost!L$6-1)+3)</f>
        <v>11677660.7153424</v>
      </c>
      <c r="M72" s="40" t="n">
        <f aca="false">INDEX(Training!$C$106:$Q$106,3*(Unit_Cost!M$6-1)+3)</f>
        <v>11677660.7153424</v>
      </c>
      <c r="N72" s="40" t="n">
        <f aca="false">INDEX(Training!$C$106:$Q$106,3*(Unit_Cost!N$6-1)+3)</f>
        <v>11677660.7153424</v>
      </c>
      <c r="O72" s="40" t="n">
        <f aca="false">INDEX(Training!$C$106:$Q$106,3*(Unit_Cost!O$6-1)+3)</f>
        <v>5769868.9978651</v>
      </c>
      <c r="P72" s="40" t="n">
        <f aca="false">INDEX(Training!$C$106:$Q$106,3*(Unit_Cost!P$6-1)+3)</f>
        <v>5769868.9978651</v>
      </c>
      <c r="Q72" s="40" t="n">
        <f aca="false">INDEX(Training!$C$106:$Q$106,3*(Unit_Cost!Q$6-1)+3)</f>
        <v>5769868.9978651</v>
      </c>
    </row>
    <row r="73" customFormat="false" ht="15" hidden="false" customHeight="true" outlineLevel="0" collapsed="false">
      <c r="A73" s="34" t="s">
        <v>1709</v>
      </c>
      <c r="B73" s="35" t="s">
        <v>808</v>
      </c>
      <c r="C73" s="172" t="n">
        <f aca="false">INDEX(Training!$C$106:$Q$106,3*(Unit_Cost!C$6-1)+3)*Unit_Cost!C$8/1000000</f>
        <v>143.118388396825</v>
      </c>
      <c r="D73" s="172" t="n">
        <f aca="false">INDEX(Training!$C$106:$Q$106,3*(Unit_Cost!D$6-1)+3)*Unit_Cost!D$8/1000000</f>
        <v>206.412144649589</v>
      </c>
      <c r="E73" s="172" t="n">
        <f aca="false">INDEX(Training!$C$106:$Q$106,3*(Unit_Cost!E$6-1)+3)*Unit_Cost!E$8/1000000</f>
        <v>355.871322473256</v>
      </c>
      <c r="F73" s="172" t="n">
        <f aca="false">INDEX(Training!$C$106:$Q$106,3*(Unit_Cost!F$6-1)+3)*Unit_Cost!F$8/1000000</f>
        <v>59.5396282615028</v>
      </c>
      <c r="G73" s="172" t="n">
        <f aca="false">INDEX(Training!$C$106:$Q$106,3*(Unit_Cost!G$6-1)+3)*Unit_Cost!G$8/1000000</f>
        <v>80.105330139797</v>
      </c>
      <c r="H73" s="172" t="n">
        <f aca="false">INDEX(Training!$C$106:$Q$106,3*(Unit_Cost!H$6-1)+3)*Unit_Cost!H$8/1000000</f>
        <v>130.359057671101</v>
      </c>
      <c r="I73" s="172" t="n">
        <f aca="false">INDEX(Training!$C$106:$Q$106,3*(Unit_Cost!I$6-1)+3)*Unit_Cost!I$8/1000000</f>
        <v>71.3469609036269</v>
      </c>
      <c r="J73" s="172" t="n">
        <f aca="false">INDEX(Training!$C$106:$Q$106,3*(Unit_Cost!J$6-1)+3)*Unit_Cost!J$8/1000000</f>
        <v>104.268227437985</v>
      </c>
      <c r="K73" s="172" t="n">
        <f aca="false">INDEX(Training!$C$106:$Q$106,3*(Unit_Cost!K$6-1)+3)*Unit_Cost!K$8/1000000</f>
        <v>195.550305536699</v>
      </c>
      <c r="L73" s="172" t="n">
        <f aca="false">INDEX(Training!$C$106:$Q$106,3*(Unit_Cost!L$6-1)+3)*Unit_Cost!L$8/1000000</f>
        <v>39.8290942375172</v>
      </c>
      <c r="M73" s="172" t="n">
        <f aca="false">INDEX(Training!$C$106:$Q$106,3*(Unit_Cost!M$6-1)+3)*Unit_Cost!M$8/1000000</f>
        <v>55.0800551290938</v>
      </c>
      <c r="N73" s="172" t="n">
        <f aca="false">INDEX(Training!$C$106:$Q$106,3*(Unit_Cost!N$6-1)+3)*Unit_Cost!N$8/1000000</f>
        <v>94.4844246487731</v>
      </c>
      <c r="O73" s="172" t="n">
        <f aca="false">INDEX(Training!$C$106:$Q$106,3*(Unit_Cost!O$6-1)+3)*Unit_Cost!O$8/1000000</f>
        <v>32.5335227304716</v>
      </c>
      <c r="P73" s="172" t="n">
        <f aca="false">INDEX(Training!$C$106:$Q$106,3*(Unit_Cost!P$6-1)+3)*Unit_Cost!P$8/1000000</f>
        <v>50.0287320073969</v>
      </c>
      <c r="Q73" s="172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4" t="s">
        <v>1710</v>
      </c>
      <c r="B74" s="35" t="s">
        <v>69</v>
      </c>
      <c r="C74" s="173" t="n">
        <f aca="false">INDEX(Training!$C$110:$Q$110,3*(Unit_Cost!C$6-1)+3)</f>
        <v>0.268885180199482</v>
      </c>
      <c r="D74" s="173" t="n">
        <f aca="false">INDEX(Training!$C$110:$Q$110,3*(Unit_Cost!D$6-1)+3)</f>
        <v>0.268885180199482</v>
      </c>
      <c r="E74" s="173" t="n">
        <f aca="false">INDEX(Training!$C$110:$Q$110,3*(Unit_Cost!E$6-1)+3)</f>
        <v>0.268885180199482</v>
      </c>
      <c r="F74" s="173" t="n">
        <f aca="false">INDEX(Training!$C$110:$Q$110,3*(Unit_Cost!F$6-1)+3)</f>
        <v>0.268885180199482</v>
      </c>
      <c r="G74" s="173" t="n">
        <f aca="false">INDEX(Training!$C$110:$Q$110,3*(Unit_Cost!G$6-1)+3)</f>
        <v>0.268885180199482</v>
      </c>
      <c r="H74" s="173" t="n">
        <f aca="false">INDEX(Training!$C$110:$Q$110,3*(Unit_Cost!H$6-1)+3)</f>
        <v>0.268885180199482</v>
      </c>
      <c r="I74" s="173" t="n">
        <f aca="false">INDEX(Training!$C$110:$Q$110,3*(Unit_Cost!I$6-1)+3)</f>
        <v>0.268885180199482</v>
      </c>
      <c r="J74" s="173" t="n">
        <f aca="false">INDEX(Training!$C$110:$Q$110,3*(Unit_Cost!J$6-1)+3)</f>
        <v>0.268885180199482</v>
      </c>
      <c r="K74" s="173" t="n">
        <f aca="false">INDEX(Training!$C$110:$Q$110,3*(Unit_Cost!K$6-1)+3)</f>
        <v>0.268885180199482</v>
      </c>
      <c r="L74" s="173" t="n">
        <f aca="false">INDEX(Training!$C$110:$Q$110,3*(Unit_Cost!L$6-1)+3)</f>
        <v>0.268885180199482</v>
      </c>
      <c r="M74" s="173" t="n">
        <f aca="false">INDEX(Training!$C$110:$Q$110,3*(Unit_Cost!M$6-1)+3)</f>
        <v>0.268885180199482</v>
      </c>
      <c r="N74" s="173" t="n">
        <f aca="false">INDEX(Training!$C$110:$Q$110,3*(Unit_Cost!N$6-1)+3)</f>
        <v>0.268885180199482</v>
      </c>
      <c r="O74" s="173" t="n">
        <f aca="false">INDEX(Training!$C$110:$Q$110,3*(Unit_Cost!O$6-1)+3)</f>
        <v>0.268885180199482</v>
      </c>
      <c r="P74" s="173" t="n">
        <f aca="false">INDEX(Training!$C$110:$Q$110,3*(Unit_Cost!P$6-1)+3)</f>
        <v>0.268885180199482</v>
      </c>
      <c r="Q74" s="173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1711</v>
      </c>
      <c r="B75" s="35" t="s">
        <v>69</v>
      </c>
      <c r="C75" s="174" t="n">
        <f aca="false">INDEX(Training!$C$111:$Q$111,3*(Unit_Cost!C$6-1)+3)</f>
        <v>0.525805967800996</v>
      </c>
      <c r="D75" s="174" t="n">
        <f aca="false">INDEX(Training!$C$111:$Q$111,3*(Unit_Cost!D$6-1)+3)</f>
        <v>0.525805967800996</v>
      </c>
      <c r="E75" s="174" t="n">
        <f aca="false">INDEX(Training!$C$111:$Q$111,3*(Unit_Cost!E$6-1)+3)</f>
        <v>0.525805967800996</v>
      </c>
      <c r="F75" s="174" t="n">
        <f aca="false">INDEX(Training!$C$111:$Q$111,3*(Unit_Cost!F$6-1)+3)</f>
        <v>0.50338514901022</v>
      </c>
      <c r="G75" s="174" t="n">
        <f aca="false">INDEX(Training!$C$111:$Q$111,3*(Unit_Cost!G$6-1)+3)</f>
        <v>0.50338514901022</v>
      </c>
      <c r="H75" s="174" t="n">
        <f aca="false">INDEX(Training!$C$111:$Q$111,3*(Unit_Cost!H$6-1)+3)</f>
        <v>0.50338514901022</v>
      </c>
      <c r="I75" s="174" t="n">
        <f aca="false">INDEX(Training!$C$111:$Q$111,3*(Unit_Cost!I$6-1)+3)</f>
        <v>0.460033612200459</v>
      </c>
      <c r="J75" s="174" t="n">
        <f aca="false">INDEX(Training!$C$111:$Q$111,3*(Unit_Cost!J$6-1)+3)</f>
        <v>0.460033612200459</v>
      </c>
      <c r="K75" s="174" t="n">
        <f aca="false">INDEX(Training!$C$111:$Q$111,3*(Unit_Cost!K$6-1)+3)</f>
        <v>0.460033612200459</v>
      </c>
      <c r="L75" s="174" t="n">
        <f aca="false">INDEX(Training!$C$111:$Q$111,3*(Unit_Cost!L$6-1)+3)</f>
        <v>0.483184395630212</v>
      </c>
      <c r="M75" s="174" t="n">
        <f aca="false">INDEX(Training!$C$111:$Q$111,3*(Unit_Cost!M$6-1)+3)</f>
        <v>0.483184395630212</v>
      </c>
      <c r="N75" s="174" t="n">
        <f aca="false">INDEX(Training!$C$111:$Q$111,3*(Unit_Cost!N$6-1)+3)</f>
        <v>0.483184395630212</v>
      </c>
      <c r="O75" s="174" t="n">
        <f aca="false">INDEX(Training!$C$111:$Q$111,3*(Unit_Cost!O$6-1)+3)</f>
        <v>0.474258961133909</v>
      </c>
      <c r="P75" s="174" t="n">
        <f aca="false">INDEX(Training!$C$111:$Q$111,3*(Unit_Cost!P$6-1)+3)</f>
        <v>0.474258961133909</v>
      </c>
      <c r="Q75" s="174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5" t="s">
        <v>1712</v>
      </c>
      <c r="B76" s="35" t="s">
        <v>69</v>
      </c>
      <c r="C76" s="173" t="n">
        <f aca="false">INDEX(Training!$C$77:$Q$77,3*(Unit_Cost!C$6-1)+3)</f>
        <v>0.0593840323799956</v>
      </c>
      <c r="D76" s="173" t="n">
        <f aca="false">INDEX(Training!$C$77:$Q$77,3*(Unit_Cost!D$6-1)+3)</f>
        <v>0.0593840323799956</v>
      </c>
      <c r="E76" s="173" t="n">
        <f aca="false">INDEX(Training!$C$77:$Q$77,3*(Unit_Cost!E$6-1)+3)</f>
        <v>0.0593840323799956</v>
      </c>
      <c r="F76" s="173" t="n">
        <f aca="false">INDEX(Training!$C$77:$Q$77,3*(Unit_Cost!F$6-1)+3)</f>
        <v>0.0811229223527572</v>
      </c>
      <c r="G76" s="173" t="n">
        <f aca="false">INDEX(Training!$C$77:$Q$77,3*(Unit_Cost!G$6-1)+3)</f>
        <v>0.0811229223527572</v>
      </c>
      <c r="H76" s="173" t="n">
        <f aca="false">INDEX(Training!$C$77:$Q$77,3*(Unit_Cost!H$6-1)+3)</f>
        <v>0.0811229223527572</v>
      </c>
      <c r="I76" s="173" t="n">
        <f aca="false">INDEX(Training!$C$77:$Q$77,3*(Unit_Cost!I$6-1)+3)</f>
        <v>0.0965420170160029</v>
      </c>
      <c r="J76" s="173" t="n">
        <f aca="false">INDEX(Training!$C$77:$Q$77,3*(Unit_Cost!J$6-1)+3)</f>
        <v>0.0965420170160029</v>
      </c>
      <c r="K76" s="173" t="n">
        <f aca="false">INDEX(Training!$C$77:$Q$77,3*(Unit_Cost!K$6-1)+3)</f>
        <v>0.0965420170160029</v>
      </c>
      <c r="L76" s="173" t="n">
        <f aca="false">INDEX(Training!$C$77:$Q$77,3*(Unit_Cost!L$6-1)+3)</f>
        <v>0.0791695298591089</v>
      </c>
      <c r="M76" s="173" t="n">
        <f aca="false">INDEX(Training!$C$77:$Q$77,3*(Unit_Cost!M$6-1)+3)</f>
        <v>0.0791695298591089</v>
      </c>
      <c r="N76" s="173" t="n">
        <f aca="false">INDEX(Training!$C$77:$Q$77,3*(Unit_Cost!N$6-1)+3)</f>
        <v>0.0791695298591089</v>
      </c>
      <c r="O76" s="173" t="n">
        <f aca="false">INDEX(Training!$C$77:$Q$77,3*(Unit_Cost!O$6-1)+3)</f>
        <v>0.082058403212962</v>
      </c>
      <c r="P76" s="173" t="n">
        <f aca="false">INDEX(Training!$C$77:$Q$77,3*(Unit_Cost!P$6-1)+3)</f>
        <v>0.082058403212962</v>
      </c>
      <c r="Q76" s="173" t="n">
        <f aca="false">INDEX(Training!$C$77:$Q$77,3*(Unit_Cost!Q$6-1)+3)</f>
        <v>0.082058403212962</v>
      </c>
    </row>
    <row r="77" customFormat="false" ht="15" hidden="false" customHeight="true" outlineLevel="0" collapsed="false">
      <c r="A77" s="34" t="s">
        <v>1713</v>
      </c>
      <c r="B77" s="35" t="s">
        <v>952</v>
      </c>
      <c r="C77" s="168" t="n">
        <f aca="false">INDEX(Training!$C$120:$Q$120,3*(Unit_Cost!C$6-1)+3)</f>
        <v>1028826827.07582</v>
      </c>
      <c r="D77" s="168" t="n">
        <f aca="false">INDEX(Training!$C$120:$Q$120,3*(Unit_Cost!D$6-1)+3)</f>
        <v>1028826827.07582</v>
      </c>
      <c r="E77" s="168" t="n">
        <f aca="false">INDEX(Training!$C$120:$Q$120,3*(Unit_Cost!E$6-1)+3)</f>
        <v>1028826827.07582</v>
      </c>
      <c r="F77" s="168" t="n">
        <f aca="false">INDEX(Training!$C$120:$Q$120,3*(Unit_Cost!F$6-1)+3)</f>
        <v>308577390.845608</v>
      </c>
      <c r="G77" s="168" t="n">
        <f aca="false">INDEX(Training!$C$120:$Q$120,3*(Unit_Cost!G$6-1)+3)</f>
        <v>308577390.845608</v>
      </c>
      <c r="H77" s="168" t="n">
        <f aca="false">INDEX(Training!$C$120:$Q$120,3*(Unit_Cost!H$6-1)+3)</f>
        <v>308577390.845608</v>
      </c>
      <c r="I77" s="168" t="n">
        <f aca="false">INDEX(Training!$C$120:$Q$120,3*(Unit_Cost!I$6-1)+3)</f>
        <v>279210785.831395</v>
      </c>
      <c r="J77" s="168" t="n">
        <f aca="false">INDEX(Training!$C$120:$Q$120,3*(Unit_Cost!J$6-1)+3)</f>
        <v>279210785.831395</v>
      </c>
      <c r="K77" s="168" t="n">
        <f aca="false">INDEX(Training!$C$120:$Q$120,3*(Unit_Cost!K$6-1)+3)</f>
        <v>279210785.831395</v>
      </c>
      <c r="L77" s="168" t="n">
        <f aca="false">INDEX(Training!$C$120:$Q$120,3*(Unit_Cost!L$6-1)+3)</f>
        <v>93421285.7227391</v>
      </c>
      <c r="M77" s="168" t="n">
        <f aca="false">INDEX(Training!$C$120:$Q$120,3*(Unit_Cost!M$6-1)+3)</f>
        <v>93421285.7227391</v>
      </c>
      <c r="N77" s="168" t="n">
        <f aca="false">INDEX(Training!$C$120:$Q$120,3*(Unit_Cost!N$6-1)+3)</f>
        <v>93421285.7227391</v>
      </c>
      <c r="O77" s="168" t="n">
        <f aca="false">INDEX(Training!$C$120:$Q$120,3*(Unit_Cost!O$6-1)+3)</f>
        <v>46158951.9829208</v>
      </c>
      <c r="P77" s="168" t="n">
        <f aca="false">INDEX(Training!$C$120:$Q$120,3*(Unit_Cost!P$6-1)+3)</f>
        <v>46158951.9829208</v>
      </c>
      <c r="Q77" s="168" t="n">
        <f aca="false">INDEX(Training!$C$120:$Q$120,3*(Unit_Cost!Q$6-1)+3)</f>
        <v>46158951.9829208</v>
      </c>
    </row>
    <row r="78" customFormat="false" ht="15" hidden="false" customHeight="true" outlineLevel="0" collapsed="false">
      <c r="A78" s="34" t="s">
        <v>1714</v>
      </c>
      <c r="B78" s="35" t="s">
        <v>808</v>
      </c>
      <c r="C78" s="168" t="n">
        <f aca="false">INDEX(Training!$C$120:$Q$120,3*(Unit_Cost!C$6-1)+3)*Unit_Cost!C$8/1000000</f>
        <v>1144.9471071746</v>
      </c>
      <c r="D78" s="168" t="n">
        <f aca="false">INDEX(Training!$C$120:$Q$120,3*(Unit_Cost!D$6-1)+3)*Unit_Cost!D$8/1000000</f>
        <v>1651.29715719671</v>
      </c>
      <c r="E78" s="168" t="n">
        <f aca="false">INDEX(Training!$C$120:$Q$120,3*(Unit_Cost!E$6-1)+3)*Unit_Cost!E$8/1000000</f>
        <v>2846.97057978605</v>
      </c>
      <c r="F78" s="168" t="n">
        <f aca="false">INDEX(Training!$C$120:$Q$120,3*(Unit_Cost!F$6-1)+3)*Unit_Cost!F$8/1000000</f>
        <v>476.317026092022</v>
      </c>
      <c r="G78" s="168" t="n">
        <f aca="false">INDEX(Training!$C$120:$Q$120,3*(Unit_Cost!G$6-1)+3)*Unit_Cost!G$8/1000000</f>
        <v>640.842641118376</v>
      </c>
      <c r="H78" s="168" t="n">
        <f aca="false">INDEX(Training!$C$120:$Q$120,3*(Unit_Cost!H$6-1)+3)*Unit_Cost!H$8/1000000</f>
        <v>1042.8724613688</v>
      </c>
      <c r="I78" s="168" t="n">
        <f aca="false">INDEX(Training!$C$120:$Q$120,3*(Unit_Cost!I$6-1)+3)*Unit_Cost!I$8/1000000</f>
        <v>570.775687229015</v>
      </c>
      <c r="J78" s="168" t="n">
        <f aca="false">INDEX(Training!$C$120:$Q$120,3*(Unit_Cost!J$6-1)+3)*Unit_Cost!J$8/1000000</f>
        <v>834.145819503879</v>
      </c>
      <c r="K78" s="168" t="n">
        <f aca="false">INDEX(Training!$C$120:$Q$120,3*(Unit_Cost!K$6-1)+3)*Unit_Cost!K$8/1000000</f>
        <v>1564.40244429359</v>
      </c>
      <c r="L78" s="168" t="n">
        <f aca="false">INDEX(Training!$C$120:$Q$120,3*(Unit_Cost!L$6-1)+3)*Unit_Cost!L$8/1000000</f>
        <v>318.632753900137</v>
      </c>
      <c r="M78" s="168" t="n">
        <f aca="false">INDEX(Training!$C$120:$Q$120,3*(Unit_Cost!M$6-1)+3)*Unit_Cost!M$8/1000000</f>
        <v>440.64044103275</v>
      </c>
      <c r="N78" s="168" t="n">
        <f aca="false">INDEX(Training!$C$120:$Q$120,3*(Unit_Cost!N$6-1)+3)*Unit_Cost!N$8/1000000</f>
        <v>755.875397190185</v>
      </c>
      <c r="O78" s="168" t="n">
        <f aca="false">INDEX(Training!$C$120:$Q$120,3*(Unit_Cost!O$6-1)+3)*Unit_Cost!O$8/1000000</f>
        <v>260.268181843772</v>
      </c>
      <c r="P78" s="168" t="n">
        <f aca="false">INDEX(Training!$C$120:$Q$120,3*(Unit_Cost!P$6-1)+3)*Unit_Cost!P$8/1000000</f>
        <v>400.229856059175</v>
      </c>
      <c r="Q78" s="168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4" t="s">
        <v>1715</v>
      </c>
      <c r="B79" s="35" t="s">
        <v>69</v>
      </c>
      <c r="C79" s="175" t="n">
        <f aca="false">INDEX(Training!$C$123:$Q$123,3*(Unit_Cost!C$6-1)+3)</f>
        <v>0.163562860457807</v>
      </c>
      <c r="D79" s="175" t="n">
        <f aca="false">INDEX(Training!$C$123:$Q$123,3*(Unit_Cost!D$6-1)+3)</f>
        <v>0.163562860457807</v>
      </c>
      <c r="E79" s="175" t="n">
        <f aca="false">INDEX(Training!$C$123:$Q$123,3*(Unit_Cost!E$6-1)+3)</f>
        <v>0.163562860457807</v>
      </c>
      <c r="F79" s="175" t="n">
        <f aca="false">INDEX(Training!$C$123:$Q$123,3*(Unit_Cost!F$6-1)+3)</f>
        <v>0.069141639871446</v>
      </c>
      <c r="G79" s="175" t="n">
        <f aca="false">INDEX(Training!$C$123:$Q$123,3*(Unit_Cost!G$6-1)+3)</f>
        <v>0.069141639871446</v>
      </c>
      <c r="H79" s="175" t="n">
        <f aca="false">INDEX(Training!$C$123:$Q$123,3*(Unit_Cost!H$6-1)+3)</f>
        <v>0.069141639871446</v>
      </c>
      <c r="I79" s="175" t="n">
        <f aca="false">INDEX(Training!$C$123:$Q$123,3*(Unit_Cost!I$6-1)+3)</f>
        <v>0.0659249139116678</v>
      </c>
      <c r="J79" s="175" t="n">
        <f aca="false">INDEX(Training!$C$123:$Q$123,3*(Unit_Cost!J$6-1)+3)</f>
        <v>0.0659249139116678</v>
      </c>
      <c r="K79" s="175" t="n">
        <f aca="false">INDEX(Training!$C$123:$Q$123,3*(Unit_Cost!K$6-1)+3)</f>
        <v>0.0659249139116678</v>
      </c>
      <c r="L79" s="175" t="n">
        <f aca="false">INDEX(Training!$C$123:$Q$123,3*(Unit_Cost!L$6-1)+3)</f>
        <v>0.0365544118598703</v>
      </c>
      <c r="M79" s="175" t="n">
        <f aca="false">INDEX(Training!$C$123:$Q$123,3*(Unit_Cost!M$6-1)+3)</f>
        <v>0.0365544118598703</v>
      </c>
      <c r="N79" s="175" t="n">
        <f aca="false">INDEX(Training!$C$123:$Q$123,3*(Unit_Cost!N$6-1)+3)</f>
        <v>0.0365544118598703</v>
      </c>
      <c r="O79" s="175" t="n">
        <f aca="false">INDEX(Training!$C$123:$Q$123,3*(Unit_Cost!O$6-1)+3)</f>
        <v>0.0238697124195531</v>
      </c>
      <c r="P79" s="175" t="n">
        <f aca="false">INDEX(Training!$C$123:$Q$123,3*(Unit_Cost!P$6-1)+3)</f>
        <v>0.0238697124195531</v>
      </c>
      <c r="Q79" s="175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4" t="s">
        <v>1716</v>
      </c>
      <c r="B80" s="35" t="s">
        <v>73</v>
      </c>
      <c r="C80" s="176" t="n">
        <f aca="false">Train_In!$C$13</f>
        <v>8</v>
      </c>
    </row>
    <row r="81" customFormat="false" ht="15" hidden="false" customHeight="true" outlineLevel="0" collapsed="false">
      <c r="A81" s="34" t="s">
        <v>1717</v>
      </c>
      <c r="B81" s="34" t="s">
        <v>875</v>
      </c>
      <c r="C81" s="177" t="n">
        <f aca="false">Train_In!$C$16</f>
        <v>4</v>
      </c>
      <c r="D81" s="178" t="str">
        <f aca="false">INDEX(Spec_Rack!$C$4:$G$4,C81)</f>
        <v>VR200 NVL72</v>
      </c>
    </row>
    <row r="82" customFormat="false" ht="15" hidden="false" customHeight="true" outlineLevel="0" collapsed="false">
      <c r="A82" s="34" t="s">
        <v>1718</v>
      </c>
      <c r="B82" s="34" t="s">
        <v>875</v>
      </c>
      <c r="C82" s="177" t="n">
        <f aca="false">Train_In!$C$17</f>
        <v>3</v>
      </c>
      <c r="D82" s="178" t="str">
        <f aca="false">INDEX(Spec_Rack!$C$4:$G$4,C82)</f>
        <v>GB300 NVL72</v>
      </c>
    </row>
    <row r="84" customFormat="false" ht="15" hidden="false" customHeight="true" outlineLevel="0" collapsed="false">
      <c r="A84" s="33" t="s">
        <v>1719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216</v>
      </c>
    </row>
    <row r="86" customFormat="false" ht="15" hidden="false" customHeight="true" outlineLevel="0" collapsed="false">
      <c r="A86" s="34" t="s">
        <v>1720</v>
      </c>
      <c r="B86" s="35" t="s">
        <v>738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1721</v>
      </c>
      <c r="B87" s="35" t="s">
        <v>738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1722</v>
      </c>
      <c r="B88" s="35" t="s">
        <v>738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1723</v>
      </c>
      <c r="B89" s="35" t="s">
        <v>738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1724</v>
      </c>
      <c r="B90" s="35" t="s">
        <v>738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1725</v>
      </c>
      <c r="B91" s="35" t="s">
        <v>738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1726</v>
      </c>
      <c r="C92" s="179" t="str">
        <f aca="false">Price_Frontier!C26</f>
        <v>GPT-6 Luna</v>
      </c>
    </row>
    <row r="93" customFormat="false" ht="15" hidden="false" customHeight="true" outlineLevel="0" collapsed="false">
      <c r="A93" s="34" t="s">
        <v>1727</v>
      </c>
      <c r="B93" s="34" t="s">
        <v>1097</v>
      </c>
      <c r="C93" s="180" t="n">
        <f aca="false">INDEX(B4_Life,1,1)</f>
        <v>12</v>
      </c>
    </row>
    <row r="94" customFormat="false" ht="15" hidden="false" customHeight="true" outlineLevel="0" collapsed="false">
      <c r="A94" s="34" t="s">
        <v>1728</v>
      </c>
      <c r="B94" s="35" t="s">
        <v>738</v>
      </c>
      <c r="C94" s="181" t="n">
        <f aca="false">Cache_Store!C17</f>
        <v>1.32943302891933E-005</v>
      </c>
      <c r="D94" s="181" t="n">
        <f aca="false">Cache_Store!D17</f>
        <v>1.32943302891933E-005</v>
      </c>
      <c r="E94" s="181" t="n">
        <f aca="false">Cache_Store!E17</f>
        <v>1.32943302891933E-005</v>
      </c>
      <c r="F94" s="181" t="n">
        <f aca="false">Cache_Store!F17</f>
        <v>1.32943302891933E-005</v>
      </c>
      <c r="G94" s="181" t="n">
        <f aca="false">Cache_Store!G17</f>
        <v>1.32943302891933E-005</v>
      </c>
      <c r="H94" s="181" t="n">
        <f aca="false">Cache_Store!H17</f>
        <v>1.32943302891933E-005</v>
      </c>
      <c r="I94" s="181" t="n">
        <f aca="false">Cache_Store!I17</f>
        <v>1.32943302891933E-005</v>
      </c>
      <c r="J94" s="181" t="n">
        <f aca="false">Cache_Store!J17</f>
        <v>1.32943302891933E-005</v>
      </c>
      <c r="K94" s="181" t="n">
        <f aca="false">Cache_Store!K17</f>
        <v>1.32943302891933E-005</v>
      </c>
      <c r="L94" s="181" t="n">
        <f aca="false">Cache_Store!L17</f>
        <v>1.32943302891933E-005</v>
      </c>
      <c r="M94" s="181" t="n">
        <f aca="false">Cache_Store!M17</f>
        <v>1.32943302891933E-005</v>
      </c>
      <c r="N94" s="181" t="n">
        <f aca="false">Cache_Store!N17</f>
        <v>1.32943302891933E-005</v>
      </c>
      <c r="O94" s="181" t="n">
        <f aca="false">Cache_Store!O17</f>
        <v>1.32943302891933E-005</v>
      </c>
      <c r="P94" s="181" t="n">
        <f aca="false">Cache_Store!P17</f>
        <v>1.32943302891933E-005</v>
      </c>
      <c r="Q94" s="181" t="n">
        <f aca="false">Cache_Store!Q17</f>
        <v>1.32943302891933E-005</v>
      </c>
    </row>
    <row r="95" customFormat="false" ht="15" hidden="false" customHeight="true" outlineLevel="0" collapsed="false">
      <c r="A95" s="34" t="s">
        <v>1729</v>
      </c>
      <c r="B95" s="35" t="s">
        <v>738</v>
      </c>
      <c r="C95" s="181" t="n">
        <f aca="false">Amortize!C13</f>
        <v>0.0089963734728813</v>
      </c>
      <c r="D95" s="181" t="n">
        <f aca="false">Amortize!D13</f>
        <v>0.0129749975765329</v>
      </c>
      <c r="E95" s="181" t="n">
        <f aca="false">Amortize!E13</f>
        <v>0.0223699509274841</v>
      </c>
      <c r="F95" s="181" t="n">
        <f aca="false">Amortize!F13</f>
        <v>0.000738120704972562</v>
      </c>
      <c r="G95" s="181" t="n">
        <f aca="false">Amortize!G13</f>
        <v>0.000993076451454391</v>
      </c>
      <c r="H95" s="181" t="n">
        <f aca="false">Amortize!H13</f>
        <v>0.00161607860776595</v>
      </c>
      <c r="I95" s="181" t="n">
        <f aca="false">Amortize!I13</f>
        <v>0.000594213363522087</v>
      </c>
      <c r="J95" s="181" t="n">
        <f aca="false">Amortize!J13</f>
        <v>0.000868398223970622</v>
      </c>
      <c r="K95" s="181" t="n">
        <f aca="false">Amortize!K13</f>
        <v>0.00162864126683253</v>
      </c>
      <c r="L95" s="181" t="n">
        <f aca="false">Amortize!L13</f>
        <v>0.000222921740322159</v>
      </c>
      <c r="M95" s="181" t="n">
        <f aca="false">Amortize!M13</f>
        <v>0.000308280717437261</v>
      </c>
      <c r="N95" s="181" t="n">
        <f aca="false">Amortize!N13</f>
        <v>0.000528825291643274</v>
      </c>
      <c r="O95" s="181" t="n">
        <f aca="false">Amortize!O13</f>
        <v>0.000111731891172258</v>
      </c>
      <c r="P95" s="181" t="n">
        <f aca="false">Amortize!P13</f>
        <v>0.000171816771471261</v>
      </c>
      <c r="Q95" s="181" t="n">
        <f aca="false">Amortize!Q13</f>
        <v>0.000315408636450802</v>
      </c>
    </row>
    <row r="96" customFormat="false" ht="15" hidden="false" customHeight="true" outlineLevel="0" collapsed="false">
      <c r="A96" s="34" t="s">
        <v>1730</v>
      </c>
      <c r="B96" s="35" t="s">
        <v>738</v>
      </c>
      <c r="C96" s="170" t="n">
        <f aca="false">Amortize!C15</f>
        <v>0.176326279813783</v>
      </c>
      <c r="D96" s="170" t="n">
        <f aca="false">Amortize!D15</f>
        <v>0.254299250794601</v>
      </c>
      <c r="E96" s="170" t="n">
        <f aca="false">Amortize!E15</f>
        <v>0.438421300507091</v>
      </c>
      <c r="F96" s="170" t="n">
        <f aca="false">Amortize!F15</f>
        <v>0.0378881415493211</v>
      </c>
      <c r="G96" s="170" t="n">
        <f aca="false">Amortize!G15</f>
        <v>0.0509697758505506</v>
      </c>
      <c r="H96" s="170" t="n">
        <f aca="false">Amortize!H15</f>
        <v>0.0829356620492601</v>
      </c>
      <c r="I96" s="170" t="n">
        <f aca="false">Amortize!I15</f>
        <v>0.0334593529513003</v>
      </c>
      <c r="J96" s="170" t="n">
        <f aca="false">Amortize!J15</f>
        <v>0.0488911398448227</v>
      </c>
      <c r="K96" s="170" t="n">
        <f aca="false">Amortize!K15</f>
        <v>0.0916794564773891</v>
      </c>
      <c r="L96" s="170" t="n">
        <f aca="false">Amortize!L15</f>
        <v>0.0226731640318558</v>
      </c>
      <c r="M96" s="170" t="n">
        <f aca="false">Amortize!M15</f>
        <v>0.0313489778020842</v>
      </c>
      <c r="N96" s="170" t="n">
        <f aca="false">Amortize!N15</f>
        <v>0.0537649405808504</v>
      </c>
      <c r="O96" s="170" t="n">
        <f aca="false">Amortize!O15</f>
        <v>0.0177478628481879</v>
      </c>
      <c r="P96" s="170" t="n">
        <f aca="false">Amortize!P15</f>
        <v>0.0272835611500326</v>
      </c>
      <c r="Q96" s="170" t="n">
        <f aca="false">Amortize!Q15</f>
        <v>0.0500721345187446</v>
      </c>
    </row>
    <row r="97" customFormat="false" ht="15" hidden="false" customHeight="true" outlineLevel="0" collapsed="false">
      <c r="A97" s="34" t="s">
        <v>1731</v>
      </c>
      <c r="B97" s="35" t="s">
        <v>738</v>
      </c>
      <c r="C97" s="170" t="n">
        <f aca="false">Theory_Rev!C18</f>
        <v>0.131528195038391</v>
      </c>
      <c r="D97" s="170" t="n">
        <f aca="false">Theory_Rev!D18</f>
        <v>0.189691426094815</v>
      </c>
      <c r="E97" s="170" t="n">
        <f aca="false">Theory_Rev!E18</f>
        <v>0.327035600432412</v>
      </c>
      <c r="F97" s="170" t="n">
        <f aca="false">Theory_Rev!F18</f>
        <v>0.0270671682222974</v>
      </c>
      <c r="G97" s="170" t="n">
        <f aca="false">Theory_Rev!G18</f>
        <v>0.0364127511950573</v>
      </c>
      <c r="H97" s="170" t="n">
        <f aca="false">Theory_Rev!H18</f>
        <v>0.0592493352860653</v>
      </c>
      <c r="I97" s="170" t="n">
        <f aca="false">Theory_Rev!I18</f>
        <v>0.0238456281262901</v>
      </c>
      <c r="J97" s="170" t="n">
        <f aca="false">Theory_Rev!J18</f>
        <v>0.0348435970991864</v>
      </c>
      <c r="K97" s="170" t="n">
        <f aca="false">Theory_Rev!K18</f>
        <v>0.0653380940731538</v>
      </c>
      <c r="L97" s="170" t="n">
        <f aca="false">Theory_Rev!L18</f>
        <v>0.015978849287883</v>
      </c>
      <c r="M97" s="170" t="n">
        <f aca="false">Theory_Rev!M18</f>
        <v>0.0220931635968517</v>
      </c>
      <c r="N97" s="170" t="n">
        <f aca="false">Theory_Rev!N18</f>
        <v>0.0378909026444376</v>
      </c>
      <c r="O97" s="170" t="n">
        <f aca="false">Theory_Rev!O18</f>
        <v>0.0124449925144892</v>
      </c>
      <c r="P97" s="170" t="n">
        <f aca="false">Theory_Rev!P18</f>
        <v>0.0191315796045448</v>
      </c>
      <c r="Q97" s="170" t="n">
        <f aca="false">Theory_Rev!Q18</f>
        <v>0.0351112987257479</v>
      </c>
    </row>
    <row r="98" customFormat="false" ht="15" hidden="false" customHeight="true" outlineLevel="0" collapsed="false">
      <c r="A98" s="34" t="s">
        <v>1732</v>
      </c>
      <c r="B98" s="35" t="s">
        <v>738</v>
      </c>
      <c r="C98" s="182" t="n">
        <f aca="false">Amortize!C43</f>
        <v>0.0171339484780451</v>
      </c>
      <c r="D98" s="182" t="n">
        <f aca="false">Amortize!D43</f>
        <v>0.0247108469679112</v>
      </c>
      <c r="E98" s="182" t="n">
        <f aca="false">Amortize!E43</f>
        <v>0.0426026120612384</v>
      </c>
      <c r="F98" s="182" t="n">
        <f aca="false">Amortize!F43</f>
        <v>0.00355648398830596</v>
      </c>
      <c r="G98" s="182" t="n">
        <f aca="false">Amortize!G43</f>
        <v>0.00478451141905733</v>
      </c>
      <c r="H98" s="182" t="n">
        <f aca="false">Amortize!H43</f>
        <v>0.00778528213289715</v>
      </c>
      <c r="I98" s="182" t="n">
        <f aca="false">Amortize!I43</f>
        <v>0.00303740267492402</v>
      </c>
      <c r="J98" s="182" t="n">
        <f aca="false">Amortize!J43</f>
        <v>0.00443842272653417</v>
      </c>
      <c r="K98" s="182" t="n">
        <f aca="false">Amortize!K43</f>
        <v>0.0083230855974317</v>
      </c>
      <c r="L98" s="182" t="n">
        <f aca="false">Amortize!L43</f>
        <v>0.0019999783021712</v>
      </c>
      <c r="M98" s="182" t="n">
        <f aca="false">Amortize!M43</f>
        <v>0.00276530690634061</v>
      </c>
      <c r="N98" s="182" t="n">
        <f aca="false">Amortize!N43</f>
        <v>0.00474270959834596</v>
      </c>
      <c r="O98" s="182" t="n">
        <f aca="false">Amortize!O43</f>
        <v>0.0015287507489816</v>
      </c>
      <c r="P98" s="182" t="n">
        <f aca="false">Amortize!P43</f>
        <v>0.00235016621550425</v>
      </c>
      <c r="Q98" s="182" t="n">
        <f aca="false">Amortize!Q43</f>
        <v>0.00431319881495477</v>
      </c>
    </row>
    <row r="99" customFormat="false" ht="15" hidden="false" customHeight="true" outlineLevel="0" collapsed="false">
      <c r="A99" s="34" t="s">
        <v>1733</v>
      </c>
      <c r="B99" s="35" t="s">
        <v>738</v>
      </c>
      <c r="C99" s="181" t="n">
        <f aca="false">Amortize!C44</f>
        <v>0.00793466630668286</v>
      </c>
      <c r="D99" s="181" t="n">
        <f aca="false">Amortize!D44</f>
        <v>0.0114434991500717</v>
      </c>
      <c r="E99" s="181" t="n">
        <f aca="false">Amortize!E44</f>
        <v>0.0197291074460822</v>
      </c>
      <c r="F99" s="181" t="n">
        <f aca="false">Amortize!F44</f>
        <v>0.0016808123776379</v>
      </c>
      <c r="G99" s="181" t="n">
        <f aca="false">Amortize!G44</f>
        <v>0.00226118437213378</v>
      </c>
      <c r="H99" s="181" t="n">
        <f aca="false">Amortize!H44</f>
        <v>0.00367936383670034</v>
      </c>
      <c r="I99" s="181" t="n">
        <f aca="false">Amortize!I44</f>
        <v>0.00151448064576775</v>
      </c>
      <c r="J99" s="181" t="n">
        <f aca="false">Amortize!J44</f>
        <v>0.00221304385242233</v>
      </c>
      <c r="K99" s="181" t="n">
        <f aca="false">Amortize!K44</f>
        <v>0.00414997726657826</v>
      </c>
      <c r="L99" s="181" t="n">
        <f aca="false">Amortize!L44</f>
        <v>0.000964676422345127</v>
      </c>
      <c r="M99" s="181" t="n">
        <f aca="false">Amortize!M44</f>
        <v>0.00133382765712954</v>
      </c>
      <c r="N99" s="181" t="n">
        <f aca="false">Amortize!N44</f>
        <v>0.00228761488191517</v>
      </c>
      <c r="O99" s="181" t="n">
        <f aca="false">Amortize!O44</f>
        <v>0.000744350582672252</v>
      </c>
      <c r="P99" s="181" t="n">
        <f aca="false">Amortize!P44</f>
        <v>0.00114429876358365</v>
      </c>
      <c r="Q99" s="181" t="n">
        <f aca="false">Amortize!Q44</f>
        <v>0.00210010170279988</v>
      </c>
    </row>
    <row r="100" customFormat="false" ht="15" hidden="false" customHeight="true" outlineLevel="0" collapsed="false">
      <c r="A100" s="34" t="s">
        <v>1734</v>
      </c>
      <c r="B100" s="35" t="s">
        <v>738</v>
      </c>
      <c r="C100" s="183" t="n">
        <f aca="false">Theory_Rev!C20</f>
        <v>0.139665770043555</v>
      </c>
      <c r="D100" s="183" t="n">
        <f aca="false">Theory_Rev!D20</f>
        <v>0.201427275486193</v>
      </c>
      <c r="E100" s="183" t="n">
        <f aca="false">Theory_Rev!E20</f>
        <v>0.347268261566166</v>
      </c>
      <c r="F100" s="183" t="n">
        <f aca="false">Theory_Rev!F20</f>
        <v>0.0298855315056308</v>
      </c>
      <c r="G100" s="183" t="n">
        <f aca="false">Theory_Rev!G20</f>
        <v>0.0402041861626603</v>
      </c>
      <c r="H100" s="183" t="n">
        <f aca="false">Theory_Rev!H20</f>
        <v>0.0654185388111965</v>
      </c>
      <c r="I100" s="183" t="n">
        <f aca="false">Theory_Rev!I20</f>
        <v>0.026288817437692</v>
      </c>
      <c r="J100" s="183" t="n">
        <f aca="false">Theory_Rev!J20</f>
        <v>0.0384136216017499</v>
      </c>
      <c r="K100" s="183" t="n">
        <f aca="false">Theory_Rev!K20</f>
        <v>0.072032538403753</v>
      </c>
      <c r="L100" s="183" t="n">
        <f aca="false">Theory_Rev!L20</f>
        <v>0.017755905849732</v>
      </c>
      <c r="M100" s="183" t="n">
        <f aca="false">Theory_Rev!M20</f>
        <v>0.024550189785755</v>
      </c>
      <c r="N100" s="183" t="n">
        <f aca="false">Theory_Rev!N20</f>
        <v>0.0421047869511403</v>
      </c>
      <c r="O100" s="183" t="n">
        <f aca="false">Theory_Rev!O20</f>
        <v>0.0138620113722986</v>
      </c>
      <c r="P100" s="183" t="n">
        <f aca="false">Theory_Rev!P20</f>
        <v>0.0213099290485777</v>
      </c>
      <c r="Q100" s="183" t="n">
        <f aca="false">Theory_Rev!Q20</f>
        <v>0.0391090889042518</v>
      </c>
    </row>
    <row r="101" customFormat="false" ht="15" hidden="false" customHeight="true" outlineLevel="0" collapsed="false">
      <c r="A101" s="34" t="s">
        <v>1735</v>
      </c>
      <c r="B101" s="35" t="s">
        <v>1328</v>
      </c>
      <c r="C101" s="184" t="n">
        <f aca="false">Theory_Rev!C11</f>
        <v>3.63479118058477</v>
      </c>
      <c r="D101" s="184" t="n">
        <f aca="false">Theory_Rev!D11</f>
        <v>3.63479118058477</v>
      </c>
      <c r="E101" s="184" t="n">
        <f aca="false">Theory_Rev!E11</f>
        <v>3.63479118058477</v>
      </c>
      <c r="F101" s="184" t="n">
        <f aca="false">Theory_Rev!F11</f>
        <v>18.012174081974</v>
      </c>
      <c r="G101" s="184" t="n">
        <f aca="false">Theory_Rev!G11</f>
        <v>18.012174081974</v>
      </c>
      <c r="H101" s="184" t="n">
        <f aca="false">Theory_Rev!H11</f>
        <v>18.012174081974</v>
      </c>
      <c r="I101" s="184" t="n">
        <f aca="false">Theory_Rev!I11</f>
        <v>25.63985633701</v>
      </c>
      <c r="J101" s="184" t="n">
        <f aca="false">Theory_Rev!J11</f>
        <v>25.63985633701</v>
      </c>
      <c r="K101" s="184" t="n">
        <f aca="false">Theory_Rev!K11</f>
        <v>25.63985633701</v>
      </c>
      <c r="L101" s="184" t="n">
        <f aca="false">Theory_Rev!L11</f>
        <v>37.8267862104934</v>
      </c>
      <c r="M101" s="184" t="n">
        <f aca="false">Theory_Rev!M11</f>
        <v>37.8267862104934</v>
      </c>
      <c r="N101" s="184" t="n">
        <f aca="false">Theory_Rev!N11</f>
        <v>37.8267862104934</v>
      </c>
      <c r="O101" s="184" t="n">
        <f aca="false">Theory_Rev!O11</f>
        <v>60.422334372996</v>
      </c>
      <c r="P101" s="184" t="n">
        <f aca="false">Theory_Rev!P11</f>
        <v>60.422334372996</v>
      </c>
      <c r="Q101" s="184" t="n">
        <f aca="false">Theory_Rev!Q11</f>
        <v>60.422334372996</v>
      </c>
    </row>
    <row r="102" customFormat="false" ht="15" hidden="false" customHeight="true" outlineLevel="0" collapsed="false">
      <c r="A102" s="34" t="s">
        <v>1736</v>
      </c>
      <c r="B102" s="35" t="s">
        <v>1328</v>
      </c>
      <c r="C102" s="172" t="n">
        <f aca="false">Theory_Rev!C12</f>
        <v>3.63479118058477</v>
      </c>
      <c r="D102" s="172" t="n">
        <f aca="false">Theory_Rev!D12</f>
        <v>3.63479118058477</v>
      </c>
      <c r="E102" s="172" t="n">
        <f aca="false">Theory_Rev!E12</f>
        <v>3.63479118058477</v>
      </c>
      <c r="F102" s="172" t="n">
        <f aca="false">Theory_Rev!F12</f>
        <v>18.012174081974</v>
      </c>
      <c r="G102" s="172" t="n">
        <f aca="false">Theory_Rev!G12</f>
        <v>18.012174081974</v>
      </c>
      <c r="H102" s="172" t="n">
        <f aca="false">Theory_Rev!H12</f>
        <v>18.012174081974</v>
      </c>
      <c r="I102" s="172" t="n">
        <f aca="false">Theory_Rev!I12</f>
        <v>25.63985633701</v>
      </c>
      <c r="J102" s="172" t="n">
        <f aca="false">Theory_Rev!J12</f>
        <v>25.63985633701</v>
      </c>
      <c r="K102" s="172" t="n">
        <f aca="false">Theory_Rev!K12</f>
        <v>25.63985633701</v>
      </c>
      <c r="L102" s="172" t="n">
        <f aca="false">Theory_Rev!L12</f>
        <v>37.8267862104934</v>
      </c>
      <c r="M102" s="172" t="n">
        <f aca="false">Theory_Rev!M12</f>
        <v>37.8267862104934</v>
      </c>
      <c r="N102" s="172" t="n">
        <f aca="false">Theory_Rev!N12</f>
        <v>37.8267862104934</v>
      </c>
      <c r="O102" s="172" t="n">
        <f aca="false">Theory_Rev!O12</f>
        <v>60.422334372996</v>
      </c>
      <c r="P102" s="172" t="n">
        <f aca="false">Theory_Rev!P12</f>
        <v>60.422334372996</v>
      </c>
      <c r="Q102" s="172" t="n">
        <f aca="false">Theory_Rev!Q12</f>
        <v>60.422334372996</v>
      </c>
    </row>
    <row r="103" customFormat="false" ht="15" hidden="false" customHeight="true" outlineLevel="0" collapsed="false">
      <c r="A103" s="8" t="s">
        <v>217</v>
      </c>
      <c r="B103" s="185"/>
      <c r="C103" s="37"/>
    </row>
    <row r="104" customFormat="false" ht="15" hidden="false" customHeight="true" outlineLevel="0" collapsed="false">
      <c r="A104" s="34" t="s">
        <v>1737</v>
      </c>
      <c r="B104" s="35" t="s">
        <v>738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1738</v>
      </c>
      <c r="B105" s="35" t="s">
        <v>738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1739</v>
      </c>
      <c r="B106" s="35" t="s">
        <v>738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1740</v>
      </c>
      <c r="B107" s="35" t="s">
        <v>738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1741</v>
      </c>
      <c r="B108" s="35" t="s">
        <v>738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1742</v>
      </c>
      <c r="B109" s="35" t="s">
        <v>738</v>
      </c>
      <c r="C109" s="37" t="n">
        <f aca="false">Price_Frontier!D46</f>
        <v>1.60711111111111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</row>
    <row r="110" customFormat="false" ht="15" hidden="false" customHeight="true" outlineLevel="0" collapsed="false">
      <c r="A110" s="34" t="s">
        <v>1743</v>
      </c>
      <c r="B110" s="185"/>
      <c r="C110" s="181" t="str">
        <f aca="false">Price_Frontier!D26</f>
        <v>GPT-6 Sol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</row>
    <row r="111" customFormat="false" ht="15" hidden="false" customHeight="true" outlineLevel="0" collapsed="false">
      <c r="A111" s="34" t="s">
        <v>1744</v>
      </c>
      <c r="B111" s="34" t="s">
        <v>1097</v>
      </c>
      <c r="C111" s="180" t="n">
        <f aca="false">INDEX(B4_Life,1,2)</f>
        <v>12</v>
      </c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</row>
    <row r="112" customFormat="false" ht="15" hidden="false" customHeight="true" outlineLevel="0" collapsed="false">
      <c r="A112" s="34" t="s">
        <v>1745</v>
      </c>
      <c r="B112" s="35" t="s">
        <v>738</v>
      </c>
      <c r="C112" s="181" t="n">
        <f aca="false">Cache_Store!C23</f>
        <v>1.8859398782344E-005</v>
      </c>
      <c r="D112" s="181" t="n">
        <f aca="false">Cache_Store!D23</f>
        <v>1.8859398782344E-005</v>
      </c>
      <c r="E112" s="181" t="n">
        <f aca="false">Cache_Store!E23</f>
        <v>1.8859398782344E-005</v>
      </c>
      <c r="F112" s="181" t="n">
        <f aca="false">Cache_Store!F23</f>
        <v>1.8859398782344E-005</v>
      </c>
      <c r="G112" s="181" t="n">
        <f aca="false">Cache_Store!G23</f>
        <v>1.8859398782344E-005</v>
      </c>
      <c r="H112" s="181" t="n">
        <f aca="false">Cache_Store!H23</f>
        <v>1.8859398782344E-005</v>
      </c>
      <c r="I112" s="181" t="n">
        <f aca="false">Cache_Store!I23</f>
        <v>1.8859398782344E-005</v>
      </c>
      <c r="J112" s="181" t="n">
        <f aca="false">Cache_Store!J23</f>
        <v>1.8859398782344E-005</v>
      </c>
      <c r="K112" s="181" t="n">
        <f aca="false">Cache_Store!K23</f>
        <v>1.8859398782344E-005</v>
      </c>
      <c r="L112" s="181" t="n">
        <f aca="false">Cache_Store!L23</f>
        <v>1.8859398782344E-005</v>
      </c>
      <c r="M112" s="181" t="n">
        <f aca="false">Cache_Store!M23</f>
        <v>1.8859398782344E-005</v>
      </c>
      <c r="N112" s="181" t="n">
        <f aca="false">Cache_Store!N23</f>
        <v>1.8859398782344E-005</v>
      </c>
      <c r="O112" s="181" t="n">
        <f aca="false">Cache_Store!O23</f>
        <v>1.8859398782344E-005</v>
      </c>
      <c r="P112" s="181" t="n">
        <f aca="false">Cache_Store!P23</f>
        <v>1.8859398782344E-005</v>
      </c>
      <c r="Q112" s="181" t="n">
        <f aca="false">Cache_Store!Q23</f>
        <v>1.8859398782344E-005</v>
      </c>
    </row>
    <row r="113" customFormat="false" ht="15" hidden="false" customHeight="true" outlineLevel="0" collapsed="false">
      <c r="A113" s="34" t="s">
        <v>1746</v>
      </c>
      <c r="B113" s="35" t="s">
        <v>738</v>
      </c>
      <c r="C113" s="181" t="n">
        <f aca="false">Amortize!C22</f>
        <v>0.113672400030288</v>
      </c>
      <c r="D113" s="181" t="n">
        <f aca="false">Amortize!D22</f>
        <v>0.163943740147917</v>
      </c>
      <c r="E113" s="181" t="n">
        <f aca="false">Amortize!E22</f>
        <v>0.28265233965131</v>
      </c>
      <c r="F113" s="181" t="n">
        <f aca="false">Amortize!F22</f>
        <v>0.00933348716189739</v>
      </c>
      <c r="G113" s="181" t="n">
        <f aca="false">Amortize!G22</f>
        <v>0.0125573855983036</v>
      </c>
      <c r="H113" s="181" t="n">
        <f aca="false">Amortize!H22</f>
        <v>0.0204352063782863</v>
      </c>
      <c r="I113" s="181" t="n">
        <f aca="false">Amortize!I22</f>
        <v>0.00820529535902991</v>
      </c>
      <c r="J113" s="181" t="n">
        <f aca="false">Amortize!J22</f>
        <v>0.0119914232064744</v>
      </c>
      <c r="K113" s="181" t="n">
        <f aca="false">Amortize!K22</f>
        <v>0.0224893673697542</v>
      </c>
      <c r="L113" s="181" t="n">
        <f aca="false">Amortize!L22</f>
        <v>0.00272578118673194</v>
      </c>
      <c r="M113" s="181" t="n">
        <f aca="false">Amortize!M22</f>
        <v>0.00376951022636163</v>
      </c>
      <c r="N113" s="181" t="n">
        <f aca="false">Amortize!N22</f>
        <v>0.00646622455461774</v>
      </c>
      <c r="O113" s="181" t="n">
        <f aca="false">Amortize!O22</f>
        <v>0.00135004780321501</v>
      </c>
      <c r="P113" s="181" t="n">
        <f aca="false">Amortize!P22</f>
        <v>0.00207604876679887</v>
      </c>
      <c r="Q113" s="181" t="n">
        <f aca="false">Amortize!Q22</f>
        <v>0.00381105817048206</v>
      </c>
    </row>
    <row r="114" customFormat="false" ht="15" hidden="false" customHeight="true" outlineLevel="0" collapsed="false">
      <c r="A114" s="34" t="s">
        <v>1747</v>
      </c>
      <c r="B114" s="35" t="s">
        <v>738</v>
      </c>
      <c r="C114" s="170" t="n">
        <f aca="false">Amortize!C24</f>
        <v>0.61423607421838</v>
      </c>
      <c r="D114" s="170" t="n">
        <f aca="false">Amortize!D24</f>
        <v>0.885870691967473</v>
      </c>
      <c r="E114" s="170" t="n">
        <f aca="false">Amortize!E24</f>
        <v>1.52729709862749</v>
      </c>
      <c r="F114" s="170" t="n">
        <f aca="false">Amortize!F24</f>
        <v>0.133355626883983</v>
      </c>
      <c r="G114" s="170" t="n">
        <f aca="false">Amortize!G24</f>
        <v>0.179410622009055</v>
      </c>
      <c r="H114" s="170" t="n">
        <f aca="false">Amortize!H24</f>
        <v>0.291949216128891</v>
      </c>
      <c r="I114" s="170" t="n">
        <f aca="false">Amortize!I24</f>
        <v>0.117750664610608</v>
      </c>
      <c r="J114" s="170" t="n">
        <f aca="false">Amortize!J24</f>
        <v>0.172073553280807</v>
      </c>
      <c r="K114" s="170" t="n">
        <f aca="false">Amortize!K24</f>
        <v>0.322696742730877</v>
      </c>
      <c r="L114" s="170" t="n">
        <f aca="false">Amortize!L24</f>
        <v>0.0737657575334251</v>
      </c>
      <c r="M114" s="170" t="n">
        <f aca="false">Amortize!M24</f>
        <v>0.102002940795623</v>
      </c>
      <c r="N114" s="170" t="n">
        <f aca="false">Amortize!N24</f>
        <v>0.174960206332451</v>
      </c>
      <c r="O114" s="170" t="n">
        <f aca="false">Amortize!O24</f>
        <v>0.0565211197168378</v>
      </c>
      <c r="P114" s="170" t="n">
        <f aca="false">Amortize!P24</f>
        <v>0.0869039942730501</v>
      </c>
      <c r="Q114" s="170" t="n">
        <f aca="false">Amortize!Q24</f>
        <v>0.159513502676087</v>
      </c>
    </row>
    <row r="115" customFormat="false" ht="15" hidden="false" customHeight="true" outlineLevel="0" collapsed="false">
      <c r="A115" s="34" t="s">
        <v>1748</v>
      </c>
      <c r="B115" s="35" t="s">
        <v>738</v>
      </c>
      <c r="C115" s="170" t="n">
        <f aca="false">Theory_Rev!C36</f>
        <v>0.540514417707467</v>
      </c>
      <c r="D115" s="170" t="n">
        <f aca="false">Theory_Rev!D36</f>
        <v>0.779548797277856</v>
      </c>
      <c r="E115" s="170" t="n">
        <f aca="false">Theory_Rev!E36</f>
        <v>1.3439943912399</v>
      </c>
      <c r="F115" s="170" t="n">
        <f aca="false">Theory_Rev!F36</f>
        <v>0.102004346521953</v>
      </c>
      <c r="G115" s="170" t="n">
        <f aca="false">Theory_Rev!G36</f>
        <v>0.137232563604596</v>
      </c>
      <c r="H115" s="170" t="n">
        <f aca="false">Theory_Rev!H36</f>
        <v>0.223315170128871</v>
      </c>
      <c r="I115" s="170" t="n">
        <f aca="false">Theory_Rev!I36</f>
        <v>0.0900320283935204</v>
      </c>
      <c r="J115" s="170" t="n">
        <f aca="false">Theory_Rev!J36</f>
        <v>0.13156796023212</v>
      </c>
      <c r="K115" s="170" t="n">
        <f aca="false">Theory_Rev!K36</f>
        <v>0.246736256386126</v>
      </c>
      <c r="L115" s="170" t="n">
        <f aca="false">Theory_Rev!L36</f>
        <v>0.0539867313370782</v>
      </c>
      <c r="M115" s="170" t="n">
        <f aca="false">Theory_Rev!M36</f>
        <v>0.0746529097623027</v>
      </c>
      <c r="N115" s="170" t="n">
        <f aca="false">Theory_Rev!N36</f>
        <v>0.128048740819541</v>
      </c>
      <c r="O115" s="170" t="n">
        <f aca="false">Theory_Rev!O36</f>
        <v>0.0406274360810175</v>
      </c>
      <c r="P115" s="170" t="n">
        <f aca="false">Theory_Rev!P36</f>
        <v>0.0624669600412913</v>
      </c>
      <c r="Q115" s="170" t="n">
        <f aca="false">Theory_Rev!Q36</f>
        <v>0.114659424436915</v>
      </c>
    </row>
    <row r="116" customFormat="false" ht="15" hidden="false" customHeight="true" outlineLevel="0" collapsed="false">
      <c r="A116" s="34" t="s">
        <v>1749</v>
      </c>
      <c r="B116" s="35" t="s">
        <v>738</v>
      </c>
      <c r="C116" s="182" t="n">
        <f aca="false">Amortize!C45</f>
        <v>0.216493573923505</v>
      </c>
      <c r="D116" s="182" t="n">
        <f aca="false">Amortize!D45</f>
        <v>0.31223039929266</v>
      </c>
      <c r="E116" s="182" t="n">
        <f aca="false">Amortize!E45</f>
        <v>0.538299257490613</v>
      </c>
      <c r="F116" s="182" t="n">
        <f aca="false">Amortize!F45</f>
        <v>0.0449715032009314</v>
      </c>
      <c r="G116" s="182" t="n">
        <f aca="false">Amortize!G45</f>
        <v>0.0604998282867341</v>
      </c>
      <c r="H116" s="182" t="n">
        <f aca="false">Amortize!H45</f>
        <v>0.0984443741377582</v>
      </c>
      <c r="I116" s="182" t="n">
        <f aca="false">Amortize!I45</f>
        <v>0.0419424866588896</v>
      </c>
      <c r="J116" s="182" t="n">
        <f aca="false">Amortize!J45</f>
        <v>0.0612887081225833</v>
      </c>
      <c r="K116" s="182" t="n">
        <f aca="false">Amortize!K45</f>
        <v>0.114930729966453</v>
      </c>
      <c r="L116" s="182" t="n">
        <f aca="false">Amortize!L45</f>
        <v>0.0244547849933883</v>
      </c>
      <c r="M116" s="182" t="n">
        <f aca="false">Amortize!M45</f>
        <v>0.0338128597504667</v>
      </c>
      <c r="N116" s="182" t="n">
        <f aca="false">Amortize!N45</f>
        <v>0.0579916009027288</v>
      </c>
      <c r="O116" s="182" t="n">
        <f aca="false">Amortize!O45</f>
        <v>0.018471777114593</v>
      </c>
      <c r="P116" s="182" t="n">
        <f aca="false">Amortize!P45</f>
        <v>0.0283968766942292</v>
      </c>
      <c r="Q116" s="182" t="n">
        <f aca="false">Amortize!Q45</f>
        <v>0.0521160478343812</v>
      </c>
    </row>
    <row r="117" customFormat="false" ht="15" hidden="false" customHeight="true" outlineLevel="0" collapsed="false">
      <c r="A117" s="34" t="s">
        <v>1750</v>
      </c>
      <c r="B117" s="35" t="s">
        <v>738</v>
      </c>
      <c r="C117" s="181" t="n">
        <f aca="false">Amortize!C46</f>
        <v>0.771063710458025</v>
      </c>
      <c r="D117" s="181" t="n">
        <f aca="false">Amortize!D46</f>
        <v>1.11204007506225</v>
      </c>
      <c r="E117" s="181" t="n">
        <f aca="false">Amortize!E46</f>
        <v>1.91720712673055</v>
      </c>
      <c r="F117" s="181" t="n">
        <f aca="false">Amortize!F46</f>
        <v>0.161169857574761</v>
      </c>
      <c r="G117" s="181" t="n">
        <f aca="false">Amortize!G46</f>
        <v>0.216820608924375</v>
      </c>
      <c r="H117" s="181" t="n">
        <f aca="false">Amortize!H46</f>
        <v>0.352807102932027</v>
      </c>
      <c r="I117" s="181" t="n">
        <f aca="false">Amortize!I46</f>
        <v>0.152714032605796</v>
      </c>
      <c r="J117" s="181" t="n">
        <f aca="false">Amortize!J46</f>
        <v>0.223154288555171</v>
      </c>
      <c r="K117" s="181" t="n">
        <f aca="false">Amortize!K46</f>
        <v>0.418466730078458</v>
      </c>
      <c r="L117" s="181" t="n">
        <f aca="false">Amortize!L46</f>
        <v>0.0880421793741483</v>
      </c>
      <c r="M117" s="181" t="n">
        <f aca="false">Amortize!M46</f>
        <v>0.121733144008765</v>
      </c>
      <c r="N117" s="181" t="n">
        <f aca="false">Amortize!N46</f>
        <v>0.208781509641261</v>
      </c>
      <c r="O117" s="181" t="n">
        <f aca="false">Amortize!O46</f>
        <v>0.0666177923766668</v>
      </c>
      <c r="P117" s="181" t="n">
        <f aca="false">Amortize!P46</f>
        <v>0.102412303051636</v>
      </c>
      <c r="Q117" s="181" t="n">
        <f aca="false">Amortize!Q46</f>
        <v>0.187954631142686</v>
      </c>
    </row>
    <row r="118" customFormat="false" ht="15" hidden="false" customHeight="true" outlineLevel="0" collapsed="false">
      <c r="A118" s="34" t="s">
        <v>1751</v>
      </c>
      <c r="B118" s="35" t="s">
        <v>738</v>
      </c>
      <c r="C118" s="183" t="n">
        <f aca="false">Theory_Rev!C38</f>
        <v>0.643335591600684</v>
      </c>
      <c r="D118" s="183" t="n">
        <f aca="false">Theory_Rev!D38</f>
        <v>0.927835456422599</v>
      </c>
      <c r="E118" s="183" t="n">
        <f aca="false">Theory_Rev!E38</f>
        <v>1.59964130907921</v>
      </c>
      <c r="F118" s="183" t="n">
        <f aca="false">Theory_Rev!F38</f>
        <v>0.137642362560988</v>
      </c>
      <c r="G118" s="183" t="n">
        <f aca="false">Theory_Rev!G38</f>
        <v>0.185175006293027</v>
      </c>
      <c r="H118" s="183" t="n">
        <f aca="false">Theory_Rev!H38</f>
        <v>0.301324337888343</v>
      </c>
      <c r="I118" s="183" t="n">
        <f aca="false">Theory_Rev!I38</f>
        <v>0.12376921969338</v>
      </c>
      <c r="J118" s="183" t="n">
        <f aca="false">Theory_Rev!J38</f>
        <v>0.180865245148229</v>
      </c>
      <c r="K118" s="183" t="n">
        <f aca="false">Theory_Rev!K38</f>
        <v>0.339177618982826</v>
      </c>
      <c r="L118" s="183" t="n">
        <f aca="false">Theory_Rev!L38</f>
        <v>0.0757157351437345</v>
      </c>
      <c r="M118" s="183" t="n">
        <f aca="false">Theory_Rev!M38</f>
        <v>0.104696259286408</v>
      </c>
      <c r="N118" s="183" t="n">
        <f aca="false">Theory_Rev!N38</f>
        <v>0.179574117167652</v>
      </c>
      <c r="O118" s="183" t="n">
        <f aca="false">Theory_Rev!O38</f>
        <v>0.0577491653923955</v>
      </c>
      <c r="P118" s="183" t="n">
        <f aca="false">Theory_Rev!P38</f>
        <v>0.0887877879687217</v>
      </c>
      <c r="Q118" s="183" t="n">
        <f aca="false">Theory_Rev!Q38</f>
        <v>0.162964414100814</v>
      </c>
    </row>
    <row r="119" customFormat="false" ht="15" hidden="false" customHeight="true" outlineLevel="0" collapsed="false">
      <c r="A119" s="34" t="s">
        <v>1752</v>
      </c>
      <c r="B119" s="35" t="s">
        <v>1328</v>
      </c>
      <c r="C119" s="184" t="n">
        <f aca="false">Theory_Rev!C29</f>
        <v>20.8357137462797</v>
      </c>
      <c r="D119" s="184" t="n">
        <f aca="false">Theory_Rev!D29</f>
        <v>20.8357137462797</v>
      </c>
      <c r="E119" s="184" t="n">
        <f aca="false">Theory_Rev!E29</f>
        <v>20.8357137462797</v>
      </c>
      <c r="F119" s="184" t="n">
        <f aca="false">Theory_Rev!F29</f>
        <v>102.355300976571</v>
      </c>
      <c r="G119" s="184" t="n">
        <f aca="false">Theory_Rev!G29</f>
        <v>102.355300976571</v>
      </c>
      <c r="H119" s="184" t="n">
        <f aca="false">Theory_Rev!H29</f>
        <v>102.355300976571</v>
      </c>
      <c r="I119" s="184" t="n">
        <f aca="false">Theory_Rev!I29</f>
        <v>145.700080424889</v>
      </c>
      <c r="J119" s="184" t="n">
        <f aca="false">Theory_Rev!J29</f>
        <v>145.700080424889</v>
      </c>
      <c r="K119" s="184" t="n">
        <f aca="false">Theory_Rev!K29</f>
        <v>145.700080424889</v>
      </c>
      <c r="L119" s="184" t="n">
        <f aca="false">Theory_Rev!L29</f>
        <v>229.590307100693</v>
      </c>
      <c r="M119" s="184" t="n">
        <f aca="false">Theory_Rev!M29</f>
        <v>229.590307100693</v>
      </c>
      <c r="N119" s="184" t="n">
        <f aca="false">Theory_Rev!N29</f>
        <v>229.590307100693</v>
      </c>
      <c r="O119" s="184" t="n">
        <f aca="false">Theory_Rev!O29</f>
        <v>372.999538733936</v>
      </c>
      <c r="P119" s="184" t="n">
        <f aca="false">Theory_Rev!P29</f>
        <v>372.999538733936</v>
      </c>
      <c r="Q119" s="184" t="n">
        <f aca="false">Theory_Rev!Q29</f>
        <v>372.999538733936</v>
      </c>
    </row>
    <row r="120" customFormat="false" ht="15" hidden="false" customHeight="true" outlineLevel="0" collapsed="false">
      <c r="A120" s="34" t="s">
        <v>1753</v>
      </c>
      <c r="B120" s="35" t="s">
        <v>1328</v>
      </c>
      <c r="C120" s="172" t="n">
        <f aca="false">Theory_Rev!C30</f>
        <v>20.8357137462797</v>
      </c>
      <c r="D120" s="172" t="n">
        <f aca="false">Theory_Rev!D30</f>
        <v>20.8357137462797</v>
      </c>
      <c r="E120" s="172" t="n">
        <f aca="false">Theory_Rev!E30</f>
        <v>20.8357137462797</v>
      </c>
      <c r="F120" s="172" t="n">
        <f aca="false">Theory_Rev!F30</f>
        <v>102.355300976571</v>
      </c>
      <c r="G120" s="172" t="n">
        <f aca="false">Theory_Rev!G30</f>
        <v>102.355300976571</v>
      </c>
      <c r="H120" s="172" t="n">
        <f aca="false">Theory_Rev!H30</f>
        <v>102.355300976571</v>
      </c>
      <c r="I120" s="172" t="n">
        <f aca="false">Theory_Rev!I30</f>
        <v>145.700080424889</v>
      </c>
      <c r="J120" s="172" t="n">
        <f aca="false">Theory_Rev!J30</f>
        <v>145.700080424889</v>
      </c>
      <c r="K120" s="172" t="n">
        <f aca="false">Theory_Rev!K30</f>
        <v>145.700080424889</v>
      </c>
      <c r="L120" s="172" t="n">
        <f aca="false">Theory_Rev!L30</f>
        <v>229.590307100693</v>
      </c>
      <c r="M120" s="172" t="n">
        <f aca="false">Theory_Rev!M30</f>
        <v>229.590307100693</v>
      </c>
      <c r="N120" s="172" t="n">
        <f aca="false">Theory_Rev!N30</f>
        <v>229.590307100693</v>
      </c>
      <c r="O120" s="172" t="n">
        <f aca="false">Theory_Rev!O30</f>
        <v>372.999538733936</v>
      </c>
      <c r="P120" s="172" t="n">
        <f aca="false">Theory_Rev!P30</f>
        <v>372.999538733936</v>
      </c>
      <c r="Q120" s="172" t="n">
        <f aca="false">Theory_Rev!Q30</f>
        <v>372.999538733936</v>
      </c>
    </row>
    <row r="121" customFormat="false" ht="15" hidden="false" customHeight="true" outlineLevel="0" collapsed="false">
      <c r="A121" s="8" t="s">
        <v>218</v>
      </c>
      <c r="B121" s="185"/>
      <c r="C121" s="37"/>
    </row>
    <row r="122" customFormat="false" ht="15" hidden="false" customHeight="true" outlineLevel="0" collapsed="false">
      <c r="A122" s="34" t="s">
        <v>1754</v>
      </c>
      <c r="B122" s="35" t="s">
        <v>738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1755</v>
      </c>
      <c r="B123" s="35" t="s">
        <v>738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1756</v>
      </c>
      <c r="B124" s="35" t="s">
        <v>738</v>
      </c>
      <c r="C124" s="37" t="n">
        <f aca="false">Price_Frontier!E43</f>
        <v>40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</row>
    <row r="125" customFormat="false" ht="15" hidden="false" customHeight="true" outlineLevel="0" collapsed="false">
      <c r="A125" s="34" t="s">
        <v>1757</v>
      </c>
      <c r="B125" s="35" t="s">
        <v>738</v>
      </c>
      <c r="C125" s="37" t="n">
        <f aca="false">Price_Frontier!E44</f>
        <v>40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</row>
    <row r="126" customFormat="false" ht="15" hidden="false" customHeight="true" outlineLevel="0" collapsed="false">
      <c r="A126" s="34" t="s">
        <v>1758</v>
      </c>
      <c r="B126" s="35" t="s">
        <v>738</v>
      </c>
      <c r="C126" s="47" t="n">
        <f aca="false">Price_Frontier!E45</f>
        <v>8.03555555555555</v>
      </c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</row>
    <row r="127" customFormat="false" ht="15" hidden="false" customHeight="true" outlineLevel="0" collapsed="false">
      <c r="A127" s="34" t="s">
        <v>1759</v>
      </c>
      <c r="B127" s="35" t="s">
        <v>738</v>
      </c>
      <c r="C127" s="37" t="n">
        <f aca="false">Price_Frontier!E46</f>
        <v>7.74222222222222</v>
      </c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</row>
    <row r="128" customFormat="false" ht="15" hidden="false" customHeight="true" outlineLevel="0" collapsed="false">
      <c r="A128" s="34" t="s">
        <v>1760</v>
      </c>
      <c r="B128" s="185"/>
      <c r="C128" s="172" t="str">
        <f aca="false">Price_Frontier!E26</f>
        <v>Claude Fable 5.1</v>
      </c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</row>
    <row r="129" customFormat="false" ht="15" hidden="false" customHeight="true" outlineLevel="0" collapsed="false">
      <c r="A129" s="34" t="s">
        <v>1761</v>
      </c>
      <c r="B129" s="34" t="s">
        <v>1097</v>
      </c>
      <c r="C129" s="180" t="n">
        <f aca="false">INDEX(B4_Life,1,3)</f>
        <v>9</v>
      </c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</row>
    <row r="130" customFormat="false" ht="15" hidden="false" customHeight="true" outlineLevel="0" collapsed="false">
      <c r="A130" s="34" t="s">
        <v>1762</v>
      </c>
      <c r="B130" s="35" t="s">
        <v>738</v>
      </c>
      <c r="C130" s="181" t="n">
        <f aca="false">Cache_Store!C29</f>
        <v>0.000273972602739726</v>
      </c>
      <c r="D130" s="181" t="n">
        <f aca="false">Cache_Store!D29</f>
        <v>0.000273972602739726</v>
      </c>
      <c r="E130" s="181" t="n">
        <f aca="false">Cache_Store!E29</f>
        <v>0.000273972602739726</v>
      </c>
      <c r="F130" s="181" t="n">
        <f aca="false">Cache_Store!F29</f>
        <v>0.000273972602739726</v>
      </c>
      <c r="G130" s="181" t="n">
        <f aca="false">Cache_Store!G29</f>
        <v>0.000273972602739726</v>
      </c>
      <c r="H130" s="181" t="n">
        <f aca="false">Cache_Store!H29</f>
        <v>0.000273972602739726</v>
      </c>
      <c r="I130" s="181" t="n">
        <f aca="false">Cache_Store!I29</f>
        <v>0.000273972602739726</v>
      </c>
      <c r="J130" s="181" t="n">
        <f aca="false">Cache_Store!J29</f>
        <v>0.000273972602739726</v>
      </c>
      <c r="K130" s="181" t="n">
        <f aca="false">Cache_Store!K29</f>
        <v>0.000273972602739726</v>
      </c>
      <c r="L130" s="181" t="n">
        <f aca="false">Cache_Store!L29</f>
        <v>0.000273972602739726</v>
      </c>
      <c r="M130" s="181" t="n">
        <f aca="false">Cache_Store!M29</f>
        <v>0.000273972602739726</v>
      </c>
      <c r="N130" s="181" t="n">
        <f aca="false">Cache_Store!N29</f>
        <v>0.000273972602739726</v>
      </c>
      <c r="O130" s="181" t="n">
        <f aca="false">Cache_Store!O29</f>
        <v>0.000273972602739726</v>
      </c>
      <c r="P130" s="181" t="n">
        <f aca="false">Cache_Store!P29</f>
        <v>0.000273972602739726</v>
      </c>
      <c r="Q130" s="181" t="n">
        <f aca="false">Cache_Store!Q29</f>
        <v>0.000273972602739726</v>
      </c>
    </row>
    <row r="131" customFormat="false" ht="15" hidden="false" customHeight="true" outlineLevel="0" collapsed="false">
      <c r="A131" s="34" t="s">
        <v>1763</v>
      </c>
      <c r="B131" s="35" t="s">
        <v>738</v>
      </c>
      <c r="C131" s="181" t="n">
        <f aca="false">Amortize!C32</f>
        <v>4.91279239340697</v>
      </c>
      <c r="D131" s="181" t="n">
        <f aca="false">Amortize!D32</f>
        <v>7.08546278015396</v>
      </c>
      <c r="E131" s="181" t="n">
        <f aca="false">Amortize!E32</f>
        <v>12.2159140112081</v>
      </c>
      <c r="F131" s="181" t="n">
        <f aca="false">Amortize!F32</f>
        <v>0.401624538091543</v>
      </c>
      <c r="G131" s="181" t="n">
        <f aca="false">Amortize!G32</f>
        <v>0.54035047170203</v>
      </c>
      <c r="H131" s="181" t="n">
        <f aca="false">Amortize!H32</f>
        <v>0.879336970215123</v>
      </c>
      <c r="I131" s="181" t="n">
        <f aca="false">Amortize!I32</f>
        <v>0.377667117717246</v>
      </c>
      <c r="J131" s="181" t="n">
        <f aca="false">Amortize!J32</f>
        <v>0.551932141569162</v>
      </c>
      <c r="K131" s="181" t="n">
        <f aca="false">Amortize!K32</f>
        <v>1.03512356133193</v>
      </c>
      <c r="L131" s="181" t="n">
        <f aca="false">Amortize!L32</f>
        <v>0.113084803931536</v>
      </c>
      <c r="M131" s="181" t="n">
        <f aca="false">Amortize!M32</f>
        <v>0.156386113067684</v>
      </c>
      <c r="N131" s="181" t="n">
        <f aca="false">Amortize!N32</f>
        <v>0.268265016830988</v>
      </c>
      <c r="O131" s="181" t="n">
        <f aca="false">Amortize!O32</f>
        <v>0.0552608103855556</v>
      </c>
      <c r="P131" s="181" t="n">
        <f aca="false">Amortize!P32</f>
        <v>0.0849778333626666</v>
      </c>
      <c r="Q131" s="181" t="n">
        <f aca="false">Amortize!Q32</f>
        <v>0.15599607838019</v>
      </c>
    </row>
    <row r="132" customFormat="false" ht="15" hidden="false" customHeight="true" outlineLevel="0" collapsed="false">
      <c r="A132" s="34" t="s">
        <v>1764</v>
      </c>
      <c r="B132" s="35" t="s">
        <v>738</v>
      </c>
      <c r="C132" s="170" t="n">
        <f aca="false">Amortize!C34</f>
        <v>3.71498464151372</v>
      </c>
      <c r="D132" s="170" t="n">
        <f aca="false">Amortize!D34</f>
        <v>5.35778541865553</v>
      </c>
      <c r="E132" s="170" t="n">
        <f aca="false">Amortize!E34</f>
        <v>9.23702514175178</v>
      </c>
      <c r="F132" s="170" t="n">
        <f aca="false">Amortize!F34</f>
        <v>0.729881548196879</v>
      </c>
      <c r="G132" s="170" t="n">
        <f aca="false">Amortize!G34</f>
        <v>0.981880429763503</v>
      </c>
      <c r="H132" s="170" t="n">
        <f aca="false">Amortize!H34</f>
        <v>1.59765728033665</v>
      </c>
      <c r="I132" s="170" t="n">
        <f aca="false">Amortize!I34</f>
        <v>0.788003927244961</v>
      </c>
      <c r="J132" s="170" t="n">
        <f aca="false">Amortize!J34</f>
        <v>1.15146035553695</v>
      </c>
      <c r="K132" s="170" t="n">
        <f aca="false">Amortize!K34</f>
        <v>2.15923015194511</v>
      </c>
      <c r="L132" s="170" t="n">
        <f aca="false">Amortize!L34</f>
        <v>0.359103209616456</v>
      </c>
      <c r="M132" s="170" t="n">
        <f aca="false">Amortize!M34</f>
        <v>0.496484434075509</v>
      </c>
      <c r="N132" s="170" t="n">
        <f aca="false">Amortize!N34</f>
        <v>0.851440464199517</v>
      </c>
      <c r="O132" s="170" t="n">
        <f aca="false">Amortize!O34</f>
        <v>0.259169709254573</v>
      </c>
      <c r="P132" s="170" t="n">
        <f aca="false">Amortize!P34</f>
        <v>0.398367917783687</v>
      </c>
      <c r="Q132" s="170" t="n">
        <f aca="false">Amortize!Q34</f>
        <v>0.731026155014758</v>
      </c>
    </row>
    <row r="133" customFormat="false" ht="15" hidden="false" customHeight="true" outlineLevel="0" collapsed="false">
      <c r="A133" s="34" t="s">
        <v>1765</v>
      </c>
      <c r="B133" s="35" t="s">
        <v>738</v>
      </c>
      <c r="C133" s="170" t="n">
        <f aca="false">Theory_Rev!C54</f>
        <v>7.4943918900521</v>
      </c>
      <c r="D133" s="170" t="n">
        <f aca="false">Theory_Rev!D54</f>
        <v>10.8086695965078</v>
      </c>
      <c r="E133" s="170" t="n">
        <f aca="false">Theory_Rev!E54</f>
        <v>18.6348636859847</v>
      </c>
      <c r="F133" s="170" t="n">
        <f aca="false">Theory_Rev!F54</f>
        <v>0.908830359719883</v>
      </c>
      <c r="G133" s="170" t="n">
        <f aca="false">Theory_Rev!G54</f>
        <v>1.22267416018175</v>
      </c>
      <c r="H133" s="170" t="n">
        <f aca="false">Theory_Rev!H54</f>
        <v>1.98957338536432</v>
      </c>
      <c r="I133" s="170" t="n">
        <f aca="false">Theory_Rev!I54</f>
        <v>0.92526306715866</v>
      </c>
      <c r="J133" s="170" t="n">
        <f aca="false">Theory_Rev!J54</f>
        <v>1.35209950728128</v>
      </c>
      <c r="K133" s="170" t="n">
        <f aca="false">Theory_Rev!K54</f>
        <v>2.53560553132768</v>
      </c>
      <c r="L133" s="170" t="n">
        <f aca="false">Theory_Rev!L54</f>
        <v>0.362631102139582</v>
      </c>
      <c r="M133" s="170" t="n">
        <f aca="false">Theory_Rev!M54</f>
        <v>0.501400719798122</v>
      </c>
      <c r="N133" s="170" t="n">
        <f aca="false">Theory_Rev!N54</f>
        <v>0.85994398347811</v>
      </c>
      <c r="O133" s="170" t="n">
        <f aca="false">Theory_Rev!O54</f>
        <v>0.235361794782801</v>
      </c>
      <c r="P133" s="170" t="n">
        <f aca="false">Theory_Rev!P54</f>
        <v>0.361809776229296</v>
      </c>
      <c r="Q133" s="170" t="n">
        <f aca="false">Theory_Rev!Q54</f>
        <v>0.663997304746378</v>
      </c>
    </row>
    <row r="134" customFormat="false" ht="15" hidden="false" customHeight="true" outlineLevel="0" collapsed="false">
      <c r="A134" s="34" t="s">
        <v>1766</v>
      </c>
      <c r="B134" s="35" t="s">
        <v>738</v>
      </c>
      <c r="C134" s="182" t="n">
        <f aca="false">Amortize!C47</f>
        <v>9.3566070823656</v>
      </c>
      <c r="D134" s="182" t="n">
        <f aca="false">Amortize!D47</f>
        <v>13.4942442512579</v>
      </c>
      <c r="E134" s="182" t="n">
        <f aca="false">Amortize!E47</f>
        <v>23.2646842757949</v>
      </c>
      <c r="F134" s="182" t="n">
        <f aca="false">Amortize!F47</f>
        <v>1.93514587710481</v>
      </c>
      <c r="G134" s="182" t="n">
        <f aca="false">Amortize!G47</f>
        <v>2.60333733456785</v>
      </c>
      <c r="H134" s="182" t="n">
        <f aca="false">Amortize!H47</f>
        <v>4.23610978458245</v>
      </c>
      <c r="I134" s="182" t="n">
        <f aca="false">Amortize!I47</f>
        <v>1.93049699654318</v>
      </c>
      <c r="J134" s="182" t="n">
        <f aca="false">Amortize!J47</f>
        <v>2.82095021964038</v>
      </c>
      <c r="K134" s="182" t="n">
        <f aca="false">Amortize!K47</f>
        <v>5.28994455705996</v>
      </c>
      <c r="L134" s="182" t="n">
        <f aca="false">Amortize!L47</f>
        <v>1.01455853449515</v>
      </c>
      <c r="M134" s="182" t="n">
        <f aca="false">Amortize!M47</f>
        <v>1.40279807999941</v>
      </c>
      <c r="N134" s="182" t="n">
        <f aca="false">Amortize!N47</f>
        <v>2.40590435126733</v>
      </c>
      <c r="O134" s="182" t="n">
        <f aca="false">Amortize!O47</f>
        <v>0.756095725042416</v>
      </c>
      <c r="P134" s="182" t="n">
        <f aca="false">Amortize!P47</f>
        <v>1.16235470685173</v>
      </c>
      <c r="Q134" s="182" t="n">
        <f aca="false">Amortize!Q47</f>
        <v>2.1332393049801</v>
      </c>
    </row>
    <row r="135" customFormat="false" ht="15" hidden="false" customHeight="true" outlineLevel="0" collapsed="false">
      <c r="A135" s="34" t="s">
        <v>1767</v>
      </c>
      <c r="B135" s="35" t="s">
        <v>738</v>
      </c>
      <c r="C135" s="181" t="n">
        <f aca="false">Amortize!C48</f>
        <v>6.68033391837891</v>
      </c>
      <c r="D135" s="181" t="n">
        <f aca="false">Amortize!D48</f>
        <v>9.63448147186455</v>
      </c>
      <c r="E135" s="181" t="n">
        <f aca="false">Amortize!E48</f>
        <v>16.6102795703457</v>
      </c>
      <c r="F135" s="181" t="n">
        <f aca="false">Amortize!F48</f>
        <v>1.3794656677976</v>
      </c>
      <c r="G135" s="181" t="n">
        <f aca="false">Amortize!G48</f>
        <v>1.85578488796148</v>
      </c>
      <c r="H135" s="181" t="n">
        <f aca="false">Amortize!H48</f>
        <v>3.01970413806508</v>
      </c>
      <c r="I135" s="181" t="n">
        <f aca="false">Amortize!I48</f>
        <v>1.37070575663862</v>
      </c>
      <c r="J135" s="181" t="n">
        <f aca="false">Amortize!J48</f>
        <v>2.00295194044637</v>
      </c>
      <c r="K135" s="181" t="n">
        <f aca="false">Amortize!K48</f>
        <v>3.75600556211435</v>
      </c>
      <c r="L135" s="181" t="n">
        <f aca="false">Amortize!L48</f>
        <v>0.722247733703479</v>
      </c>
      <c r="M135" s="181" t="n">
        <f aca="false">Amortize!M48</f>
        <v>0.998629157091784</v>
      </c>
      <c r="N135" s="181" t="n">
        <f aca="false">Amortize!N48</f>
        <v>1.7127242107079</v>
      </c>
      <c r="O135" s="181" t="n">
        <f aca="false">Amortize!O48</f>
        <v>0.537943276338576</v>
      </c>
      <c r="P135" s="181" t="n">
        <f aca="false">Amortize!P48</f>
        <v>0.826986423228764</v>
      </c>
      <c r="Q135" s="181" t="n">
        <f aca="false">Amortize!Q48</f>
        <v>1.51774663303492</v>
      </c>
    </row>
    <row r="136" customFormat="false" ht="15" hidden="false" customHeight="true" outlineLevel="0" collapsed="false">
      <c r="A136" s="34" t="s">
        <v>1768</v>
      </c>
      <c r="B136" s="35" t="s">
        <v>738</v>
      </c>
      <c r="C136" s="183" t="n">
        <f aca="false">Theory_Rev!C56</f>
        <v>11.9382065790107</v>
      </c>
      <c r="D136" s="183" t="n">
        <f aca="false">Theory_Rev!D56</f>
        <v>17.2174510676118</v>
      </c>
      <c r="E136" s="183" t="n">
        <f aca="false">Theory_Rev!E56</f>
        <v>29.6836339505716</v>
      </c>
      <c r="F136" s="183" t="n">
        <f aca="false">Theory_Rev!F56</f>
        <v>2.44235169873315</v>
      </c>
      <c r="G136" s="183" t="n">
        <f aca="false">Theory_Rev!G56</f>
        <v>3.28566102304758</v>
      </c>
      <c r="H136" s="183" t="n">
        <f aca="false">Theory_Rev!H56</f>
        <v>5.34634619973165</v>
      </c>
      <c r="I136" s="183" t="n">
        <f aca="false">Theory_Rev!I56</f>
        <v>2.47809294598459</v>
      </c>
      <c r="J136" s="183" t="n">
        <f aca="false">Theory_Rev!J56</f>
        <v>3.6211175853525</v>
      </c>
      <c r="K136" s="183" t="n">
        <f aca="false">Theory_Rev!K56</f>
        <v>6.79042652705572</v>
      </c>
      <c r="L136" s="183" t="n">
        <f aca="false">Theory_Rev!L56</f>
        <v>1.26410483270319</v>
      </c>
      <c r="M136" s="183" t="n">
        <f aca="false">Theory_Rev!M56</f>
        <v>1.74781268672985</v>
      </c>
      <c r="N136" s="183" t="n">
        <f aca="false">Theory_Rev!N56</f>
        <v>2.99758331791445</v>
      </c>
      <c r="O136" s="183" t="n">
        <f aca="false">Theory_Rev!O56</f>
        <v>0.936196709439662</v>
      </c>
      <c r="P136" s="183" t="n">
        <f aca="false">Theory_Rev!P56</f>
        <v>1.43918664971836</v>
      </c>
      <c r="Q136" s="183" t="n">
        <f aca="false">Theory_Rev!Q56</f>
        <v>2.64124053134629</v>
      </c>
    </row>
    <row r="137" customFormat="false" ht="15" hidden="false" customHeight="true" outlineLevel="0" collapsed="false">
      <c r="A137" s="34" t="s">
        <v>1769</v>
      </c>
      <c r="B137" s="35" t="s">
        <v>1328</v>
      </c>
      <c r="C137" s="184" t="n">
        <f aca="false">Theory_Rev!C47</f>
        <v>19.0350776751321</v>
      </c>
      <c r="D137" s="184" t="n">
        <f aca="false">Theory_Rev!D47</f>
        <v>19.0350776751321</v>
      </c>
      <c r="E137" s="184" t="n">
        <f aca="false">Theory_Rev!E47</f>
        <v>19.0350776751321</v>
      </c>
      <c r="F137" s="184" t="n">
        <f aca="false">Theory_Rev!F47</f>
        <v>99.1910412269524</v>
      </c>
      <c r="G137" s="184" t="n">
        <f aca="false">Theory_Rev!G47</f>
        <v>99.1910412269524</v>
      </c>
      <c r="H137" s="184" t="n">
        <f aca="false">Theory_Rev!H47</f>
        <v>99.1910412269524</v>
      </c>
      <c r="I137" s="184" t="n">
        <f aca="false">Theory_Rev!I47</f>
        <v>117.4398907701</v>
      </c>
      <c r="J137" s="184" t="n">
        <f aca="false">Theory_Rev!J47</f>
        <v>117.4398907701</v>
      </c>
      <c r="K137" s="184" t="n">
        <f aca="false">Theory_Rev!K47</f>
        <v>117.4398907701</v>
      </c>
      <c r="L137" s="184" t="n">
        <f aca="false">Theory_Rev!L47</f>
        <v>249.028032203344</v>
      </c>
      <c r="M137" s="184" t="n">
        <f aca="false">Theory_Rev!M47</f>
        <v>249.028032203344</v>
      </c>
      <c r="N137" s="184" t="n">
        <f aca="false">Theory_Rev!N47</f>
        <v>249.028032203344</v>
      </c>
      <c r="O137" s="184" t="n">
        <f aca="false">Theory_Rev!O47</f>
        <v>427.788937145542</v>
      </c>
      <c r="P137" s="184" t="n">
        <f aca="false">Theory_Rev!P47</f>
        <v>427.788937145542</v>
      </c>
      <c r="Q137" s="184" t="n">
        <f aca="false">Theory_Rev!Q47</f>
        <v>427.788937145542</v>
      </c>
    </row>
    <row r="138" customFormat="false" ht="15" hidden="false" customHeight="true" outlineLevel="0" collapsed="false">
      <c r="A138" s="34" t="s">
        <v>1770</v>
      </c>
      <c r="B138" s="35" t="s">
        <v>1328</v>
      </c>
      <c r="C138" s="172" t="n">
        <f aca="false">Theory_Rev!C48</f>
        <v>18.3402131139824</v>
      </c>
      <c r="D138" s="172" t="n">
        <f aca="false">Theory_Rev!D48</f>
        <v>18.3402131139824</v>
      </c>
      <c r="E138" s="172" t="n">
        <f aca="false">Theory_Rev!E48</f>
        <v>18.3402131139824</v>
      </c>
      <c r="F138" s="172" t="n">
        <f aca="false">Theory_Rev!F48</f>
        <v>95.5701293237562</v>
      </c>
      <c r="G138" s="172" t="n">
        <f aca="false">Theory_Rev!G48</f>
        <v>95.5701293237562</v>
      </c>
      <c r="H138" s="172" t="n">
        <f aca="false">Theory_Rev!H48</f>
        <v>95.5701293237562</v>
      </c>
      <c r="I138" s="172" t="n">
        <f aca="false">Theory_Rev!I48</f>
        <v>113.152815111457</v>
      </c>
      <c r="J138" s="172" t="n">
        <f aca="false">Theory_Rev!J48</f>
        <v>113.152815111457</v>
      </c>
      <c r="K138" s="172" t="n">
        <f aca="false">Theory_Rev!K48</f>
        <v>113.152815111457</v>
      </c>
      <c r="L138" s="172" t="n">
        <f aca="false">Theory_Rev!L48</f>
        <v>239.937407133974</v>
      </c>
      <c r="M138" s="172" t="n">
        <f aca="false">Theory_Rev!M48</f>
        <v>239.937407133974</v>
      </c>
      <c r="N138" s="172" t="n">
        <f aca="false">Theory_Rev!N48</f>
        <v>239.937407133974</v>
      </c>
      <c r="O138" s="172" t="n">
        <f aca="false">Theory_Rev!O48</f>
        <v>412.172748068326</v>
      </c>
      <c r="P138" s="172" t="n">
        <f aca="false">Theory_Rev!P48</f>
        <v>412.172748068326</v>
      </c>
      <c r="Q138" s="172" t="n">
        <f aca="false">Theory_Rev!Q48</f>
        <v>412.172748068326</v>
      </c>
    </row>
    <row r="139" customFormat="false" ht="15" hidden="false" customHeight="true" outlineLevel="0" collapsed="false">
      <c r="A139" s="8" t="s">
        <v>1771</v>
      </c>
    </row>
    <row r="140" customFormat="false" ht="15" hidden="false" customHeight="true" outlineLevel="0" collapsed="false">
      <c r="A140" s="34" t="s">
        <v>1772</v>
      </c>
      <c r="B140" s="35" t="s">
        <v>1328</v>
      </c>
      <c r="C140" s="186" t="n">
        <f aca="false">Theory_Rev!C64</f>
        <v>0.0665856109782726</v>
      </c>
      <c r="D140" s="186" t="n">
        <f aca="false">Theory_Rev!D64</f>
        <v>0.0665856109782726</v>
      </c>
      <c r="E140" s="186" t="n">
        <f aca="false">Theory_Rev!E64</f>
        <v>0.0665856109782726</v>
      </c>
      <c r="F140" s="186" t="n">
        <f aca="false">Theory_Rev!F64</f>
        <v>0.338843565986127</v>
      </c>
      <c r="G140" s="186" t="n">
        <f aca="false">Theory_Rev!G64</f>
        <v>0.338843565986127</v>
      </c>
      <c r="H140" s="186" t="n">
        <f aca="false">Theory_Rev!H64</f>
        <v>0.338843565986127</v>
      </c>
      <c r="I140" s="186" t="n">
        <f aca="false">Theory_Rev!I64</f>
        <v>0.431797047771624</v>
      </c>
      <c r="J140" s="186" t="n">
        <f aca="false">Theory_Rev!J64</f>
        <v>0.431797047771624</v>
      </c>
      <c r="K140" s="186" t="n">
        <f aca="false">Theory_Rev!K64</f>
        <v>0.431797047771624</v>
      </c>
      <c r="L140" s="186" t="n">
        <f aca="false">Theory_Rev!L64</f>
        <v>0.805025328255208</v>
      </c>
      <c r="M140" s="186" t="n">
        <f aca="false">Theory_Rev!M64</f>
        <v>0.805025328255208</v>
      </c>
      <c r="N140" s="186" t="n">
        <f aca="false">Theory_Rev!N64</f>
        <v>0.805025328255208</v>
      </c>
      <c r="O140" s="186" t="n">
        <f aca="false">Theory_Rev!O64</f>
        <v>1.34563478648159</v>
      </c>
      <c r="P140" s="186" t="n">
        <f aca="false">Theory_Rev!P64</f>
        <v>1.34563478648159</v>
      </c>
      <c r="Q140" s="186" t="n">
        <f aca="false">Theory_Rev!Q64</f>
        <v>1.34563478648159</v>
      </c>
    </row>
    <row r="141" customFormat="false" ht="15" hidden="false" customHeight="true" outlineLevel="0" collapsed="false">
      <c r="A141" s="34" t="s">
        <v>1773</v>
      </c>
      <c r="B141" s="35" t="s">
        <v>1328</v>
      </c>
      <c r="C141" s="186" t="n">
        <f aca="false">Theory_Rev!C65</f>
        <v>1.49817624701113</v>
      </c>
      <c r="D141" s="186" t="n">
        <f aca="false">Theory_Rev!D65</f>
        <v>1.49817624701113</v>
      </c>
      <c r="E141" s="186" t="n">
        <f aca="false">Theory_Rev!E65</f>
        <v>1.49817624701113</v>
      </c>
      <c r="F141" s="186" t="n">
        <f aca="false">Theory_Rev!F65</f>
        <v>7.62398023468785</v>
      </c>
      <c r="G141" s="186" t="n">
        <f aca="false">Theory_Rev!G65</f>
        <v>7.62398023468785</v>
      </c>
      <c r="H141" s="186" t="n">
        <f aca="false">Theory_Rev!H65</f>
        <v>7.62398023468785</v>
      </c>
      <c r="I141" s="186" t="n">
        <f aca="false">Theory_Rev!I65</f>
        <v>9.71543357486154</v>
      </c>
      <c r="J141" s="186" t="n">
        <f aca="false">Theory_Rev!J65</f>
        <v>9.71543357486154</v>
      </c>
      <c r="K141" s="186" t="n">
        <f aca="false">Theory_Rev!K65</f>
        <v>9.71543357486154</v>
      </c>
      <c r="L141" s="186" t="n">
        <f aca="false">Theory_Rev!L65</f>
        <v>18.1130698857422</v>
      </c>
      <c r="M141" s="186" t="n">
        <f aca="false">Theory_Rev!M65</f>
        <v>18.1130698857422</v>
      </c>
      <c r="N141" s="186" t="n">
        <f aca="false">Theory_Rev!N65</f>
        <v>18.1130698857422</v>
      </c>
      <c r="O141" s="186" t="n">
        <f aca="false">Theory_Rev!O65</f>
        <v>30.2767826958358</v>
      </c>
      <c r="P141" s="186" t="n">
        <f aca="false">Theory_Rev!P65</f>
        <v>30.2767826958358</v>
      </c>
      <c r="Q141" s="186" t="n">
        <f aca="false">Theory_Rev!Q65</f>
        <v>30.2767826958358</v>
      </c>
    </row>
    <row r="142" customFormat="false" ht="15" hidden="false" customHeight="true" outlineLevel="0" collapsed="false">
      <c r="A142" s="34" t="s">
        <v>1774</v>
      </c>
      <c r="B142" s="35" t="s">
        <v>1328</v>
      </c>
      <c r="C142" s="186" t="n">
        <f aca="false">Theory_Rev!C66</f>
        <v>2.49696041168522</v>
      </c>
      <c r="D142" s="186" t="n">
        <f aca="false">Theory_Rev!D66</f>
        <v>2.49696041168522</v>
      </c>
      <c r="E142" s="186" t="n">
        <f aca="false">Theory_Rev!E66</f>
        <v>2.49696041168522</v>
      </c>
      <c r="F142" s="186" t="n">
        <f aca="false">Theory_Rev!F66</f>
        <v>12.7066337244797</v>
      </c>
      <c r="G142" s="186" t="n">
        <f aca="false">Theory_Rev!G66</f>
        <v>12.7066337244797</v>
      </c>
      <c r="H142" s="186" t="n">
        <f aca="false">Theory_Rev!H66</f>
        <v>12.7066337244797</v>
      </c>
      <c r="I142" s="186" t="n">
        <f aca="false">Theory_Rev!I66</f>
        <v>16.1923892914359</v>
      </c>
      <c r="J142" s="186" t="n">
        <f aca="false">Theory_Rev!J66</f>
        <v>16.1923892914359</v>
      </c>
      <c r="K142" s="186" t="n">
        <f aca="false">Theory_Rev!K66</f>
        <v>16.1923892914359</v>
      </c>
      <c r="L142" s="186" t="n">
        <f aca="false">Theory_Rev!L66</f>
        <v>30.1884498095703</v>
      </c>
      <c r="M142" s="186" t="n">
        <f aca="false">Theory_Rev!M66</f>
        <v>30.1884498095703</v>
      </c>
      <c r="N142" s="186" t="n">
        <f aca="false">Theory_Rev!N66</f>
        <v>30.1884498095703</v>
      </c>
      <c r="O142" s="186" t="n">
        <f aca="false">Theory_Rev!O66</f>
        <v>50.4613044930597</v>
      </c>
      <c r="P142" s="186" t="n">
        <f aca="false">Theory_Rev!P66</f>
        <v>50.4613044930597</v>
      </c>
      <c r="Q142" s="186" t="n">
        <f aca="false">Theory_Rev!Q66</f>
        <v>50.4613044930597</v>
      </c>
    </row>
    <row r="143" customFormat="false" ht="15" hidden="false" customHeight="true" outlineLevel="0" collapsed="false">
      <c r="A143" s="34" t="s">
        <v>1775</v>
      </c>
      <c r="B143" s="35" t="s">
        <v>1328</v>
      </c>
      <c r="C143" s="184" t="n">
        <f aca="false">Theory_Rev!C67</f>
        <v>4.06172226967463</v>
      </c>
      <c r="D143" s="184" t="n">
        <f aca="false">Theory_Rev!D67</f>
        <v>4.06172226967463</v>
      </c>
      <c r="E143" s="184" t="n">
        <f aca="false">Theory_Rev!E67</f>
        <v>4.06172226967463</v>
      </c>
      <c r="F143" s="184" t="n">
        <f aca="false">Theory_Rev!F67</f>
        <v>20.6694575251537</v>
      </c>
      <c r="G143" s="184" t="n">
        <f aca="false">Theory_Rev!G67</f>
        <v>20.6694575251537</v>
      </c>
      <c r="H143" s="184" t="n">
        <f aca="false">Theory_Rev!H67</f>
        <v>20.6694575251537</v>
      </c>
      <c r="I143" s="184" t="n">
        <f aca="false">Theory_Rev!I67</f>
        <v>26.3396199140691</v>
      </c>
      <c r="J143" s="184" t="n">
        <f aca="false">Theory_Rev!J67</f>
        <v>26.3396199140691</v>
      </c>
      <c r="K143" s="184" t="n">
        <f aca="false">Theory_Rev!K67</f>
        <v>26.3396199140691</v>
      </c>
      <c r="L143" s="184" t="n">
        <f aca="false">Theory_Rev!L67</f>
        <v>49.1065450235676</v>
      </c>
      <c r="M143" s="184" t="n">
        <f aca="false">Theory_Rev!M67</f>
        <v>49.1065450235676</v>
      </c>
      <c r="N143" s="184" t="n">
        <f aca="false">Theory_Rev!N67</f>
        <v>49.1065450235676</v>
      </c>
      <c r="O143" s="184" t="n">
        <f aca="false">Theory_Rev!O67</f>
        <v>82.0837219753772</v>
      </c>
      <c r="P143" s="184" t="n">
        <f aca="false">Theory_Rev!P67</f>
        <v>82.0837219753772</v>
      </c>
      <c r="Q143" s="184" t="n">
        <f aca="false">Theory_Rev!Q67</f>
        <v>82.0837219753772</v>
      </c>
    </row>
    <row r="144" customFormat="false" ht="15" hidden="false" customHeight="true" outlineLevel="0" collapsed="false">
      <c r="A144" s="34" t="s">
        <v>1776</v>
      </c>
      <c r="B144" s="35" t="s">
        <v>1328</v>
      </c>
      <c r="C144" s="186" t="n">
        <f aca="false">Theory_Rev!C68</f>
        <v>0.0665856109782726</v>
      </c>
      <c r="D144" s="186" t="n">
        <f aca="false">Theory_Rev!D68</f>
        <v>0.0665856109782726</v>
      </c>
      <c r="E144" s="186" t="n">
        <f aca="false">Theory_Rev!E68</f>
        <v>0.0665856109782726</v>
      </c>
      <c r="F144" s="186" t="n">
        <f aca="false">Theory_Rev!F68</f>
        <v>0.338843565986127</v>
      </c>
      <c r="G144" s="186" t="n">
        <f aca="false">Theory_Rev!G68</f>
        <v>0.338843565986127</v>
      </c>
      <c r="H144" s="186" t="n">
        <f aca="false">Theory_Rev!H68</f>
        <v>0.338843565986127</v>
      </c>
      <c r="I144" s="186" t="n">
        <f aca="false">Theory_Rev!I68</f>
        <v>0.431797047771624</v>
      </c>
      <c r="J144" s="186" t="n">
        <f aca="false">Theory_Rev!J68</f>
        <v>0.431797047771624</v>
      </c>
      <c r="K144" s="186" t="n">
        <f aca="false">Theory_Rev!K68</f>
        <v>0.431797047771624</v>
      </c>
      <c r="L144" s="186" t="n">
        <f aca="false">Theory_Rev!L68</f>
        <v>0.805025328255208</v>
      </c>
      <c r="M144" s="186" t="n">
        <f aca="false">Theory_Rev!M68</f>
        <v>0.805025328255208</v>
      </c>
      <c r="N144" s="186" t="n">
        <f aca="false">Theory_Rev!N68</f>
        <v>0.805025328255208</v>
      </c>
      <c r="O144" s="186" t="n">
        <f aca="false">Theory_Rev!O68</f>
        <v>1.34563478648159</v>
      </c>
      <c r="P144" s="186" t="n">
        <f aca="false">Theory_Rev!P68</f>
        <v>1.34563478648159</v>
      </c>
      <c r="Q144" s="186" t="n">
        <f aca="false">Theory_Rev!Q68</f>
        <v>1.34563478648159</v>
      </c>
    </row>
    <row r="145" customFormat="false" ht="15" hidden="false" customHeight="true" outlineLevel="0" collapsed="false">
      <c r="A145" s="34" t="s">
        <v>1777</v>
      </c>
      <c r="B145" s="35" t="s">
        <v>1328</v>
      </c>
      <c r="C145" s="186" t="n">
        <f aca="false">Theory_Rev!C69</f>
        <v>1.49817624701113</v>
      </c>
      <c r="D145" s="186" t="n">
        <f aca="false">Theory_Rev!D69</f>
        <v>1.49817624701113</v>
      </c>
      <c r="E145" s="186" t="n">
        <f aca="false">Theory_Rev!E69</f>
        <v>1.49817624701113</v>
      </c>
      <c r="F145" s="186" t="n">
        <f aca="false">Theory_Rev!F69</f>
        <v>7.62398023468785</v>
      </c>
      <c r="G145" s="186" t="n">
        <f aca="false">Theory_Rev!G69</f>
        <v>7.62398023468785</v>
      </c>
      <c r="H145" s="186" t="n">
        <f aca="false">Theory_Rev!H69</f>
        <v>7.62398023468785</v>
      </c>
      <c r="I145" s="186" t="n">
        <f aca="false">Theory_Rev!I69</f>
        <v>9.71543357486154</v>
      </c>
      <c r="J145" s="186" t="n">
        <f aca="false">Theory_Rev!J69</f>
        <v>9.71543357486154</v>
      </c>
      <c r="K145" s="186" t="n">
        <f aca="false">Theory_Rev!K69</f>
        <v>9.71543357486154</v>
      </c>
      <c r="L145" s="186" t="n">
        <f aca="false">Theory_Rev!L69</f>
        <v>18.1130698857422</v>
      </c>
      <c r="M145" s="186" t="n">
        <f aca="false">Theory_Rev!M69</f>
        <v>18.1130698857422</v>
      </c>
      <c r="N145" s="186" t="n">
        <f aca="false">Theory_Rev!N69</f>
        <v>18.1130698857422</v>
      </c>
      <c r="O145" s="186" t="n">
        <f aca="false">Theory_Rev!O69</f>
        <v>30.2767826958358</v>
      </c>
      <c r="P145" s="186" t="n">
        <f aca="false">Theory_Rev!P69</f>
        <v>30.2767826958358</v>
      </c>
      <c r="Q145" s="186" t="n">
        <f aca="false">Theory_Rev!Q69</f>
        <v>30.2767826958358</v>
      </c>
    </row>
    <row r="146" customFormat="false" ht="15" hidden="false" customHeight="true" outlineLevel="0" collapsed="false">
      <c r="A146" s="34" t="s">
        <v>1778</v>
      </c>
      <c r="B146" s="35" t="s">
        <v>1328</v>
      </c>
      <c r="C146" s="186" t="n">
        <f aca="false">Theory_Rev!C70</f>
        <v>2.40581030816131</v>
      </c>
      <c r="D146" s="186" t="n">
        <f aca="false">Theory_Rev!D70</f>
        <v>2.40581030816131</v>
      </c>
      <c r="E146" s="186" t="n">
        <f aca="false">Theory_Rev!E70</f>
        <v>2.40581030816131</v>
      </c>
      <c r="F146" s="186" t="n">
        <f aca="false">Theory_Rev!F70</f>
        <v>12.2427853694932</v>
      </c>
      <c r="G146" s="186" t="n">
        <f aca="false">Theory_Rev!G70</f>
        <v>12.2427853694932</v>
      </c>
      <c r="H146" s="186" t="n">
        <f aca="false">Theory_Rev!H70</f>
        <v>12.2427853694932</v>
      </c>
      <c r="I146" s="186" t="n">
        <f aca="false">Theory_Rev!I70</f>
        <v>15.6012954345583</v>
      </c>
      <c r="J146" s="186" t="n">
        <f aca="false">Theory_Rev!J70</f>
        <v>15.6012954345583</v>
      </c>
      <c r="K146" s="186" t="n">
        <f aca="false">Theory_Rev!K70</f>
        <v>15.6012954345583</v>
      </c>
      <c r="L146" s="186" t="n">
        <f aca="false">Theory_Rev!L70</f>
        <v>29.0864378143094</v>
      </c>
      <c r="M146" s="186" t="n">
        <f aca="false">Theory_Rev!M70</f>
        <v>29.0864378143094</v>
      </c>
      <c r="N146" s="186" t="n">
        <f aca="false">Theory_Rev!N70</f>
        <v>29.0864378143094</v>
      </c>
      <c r="O146" s="186" t="n">
        <f aca="false">Theory_Rev!O70</f>
        <v>48.6192435989547</v>
      </c>
      <c r="P146" s="186" t="n">
        <f aca="false">Theory_Rev!P70</f>
        <v>48.6192435989547</v>
      </c>
      <c r="Q146" s="186" t="n">
        <f aca="false">Theory_Rev!Q70</f>
        <v>48.6192435989547</v>
      </c>
    </row>
    <row r="147" customFormat="false" ht="15" hidden="false" customHeight="true" outlineLevel="0" collapsed="false">
      <c r="A147" s="34" t="s">
        <v>1779</v>
      </c>
      <c r="B147" s="35" t="s">
        <v>1328</v>
      </c>
      <c r="C147" s="184" t="n">
        <f aca="false">Theory_Rev!C71</f>
        <v>3.97057216615072</v>
      </c>
      <c r="D147" s="184" t="n">
        <f aca="false">Theory_Rev!D71</f>
        <v>3.97057216615072</v>
      </c>
      <c r="E147" s="184" t="n">
        <f aca="false">Theory_Rev!E71</f>
        <v>3.97057216615072</v>
      </c>
      <c r="F147" s="184" t="n">
        <f aca="false">Theory_Rev!F71</f>
        <v>20.2056091701672</v>
      </c>
      <c r="G147" s="184" t="n">
        <f aca="false">Theory_Rev!G71</f>
        <v>20.2056091701672</v>
      </c>
      <c r="H147" s="184" t="n">
        <f aca="false">Theory_Rev!H71</f>
        <v>20.2056091701672</v>
      </c>
      <c r="I147" s="184" t="n">
        <f aca="false">Theory_Rev!I71</f>
        <v>25.7485260571914</v>
      </c>
      <c r="J147" s="184" t="n">
        <f aca="false">Theory_Rev!J71</f>
        <v>25.7485260571914</v>
      </c>
      <c r="K147" s="184" t="n">
        <f aca="false">Theory_Rev!K71</f>
        <v>25.7485260571914</v>
      </c>
      <c r="L147" s="184" t="n">
        <f aca="false">Theory_Rev!L71</f>
        <v>48.0045330283068</v>
      </c>
      <c r="M147" s="184" t="n">
        <f aca="false">Theory_Rev!M71</f>
        <v>48.0045330283068</v>
      </c>
      <c r="N147" s="184" t="n">
        <f aca="false">Theory_Rev!N71</f>
        <v>48.0045330283068</v>
      </c>
      <c r="O147" s="184" t="n">
        <f aca="false">Theory_Rev!O71</f>
        <v>80.2416610812721</v>
      </c>
      <c r="P147" s="184" t="n">
        <f aca="false">Theory_Rev!P71</f>
        <v>80.2416610812721</v>
      </c>
      <c r="Q147" s="184" t="n">
        <f aca="false">Theory_Rev!Q71</f>
        <v>80.2416610812721</v>
      </c>
    </row>
    <row r="148" customFormat="false" ht="15" hidden="false" customHeight="true" outlineLevel="0" collapsed="false">
      <c r="A148" s="34" t="s">
        <v>1780</v>
      </c>
      <c r="B148" s="35" t="s">
        <v>69</v>
      </c>
      <c r="C148" s="187" t="n">
        <f aca="false">B4_Serve</f>
        <v>0.41</v>
      </c>
    </row>
    <row r="149" customFormat="false" ht="15" hidden="false" customHeight="true" outlineLevel="0" collapsed="false">
      <c r="A149" s="34" t="s">
        <v>1781</v>
      </c>
      <c r="B149" s="35" t="s">
        <v>69</v>
      </c>
      <c r="C149" s="187" t="n">
        <f aca="false">B4_Free</f>
        <v>0.46</v>
      </c>
    </row>
    <row r="151" customFormat="false" ht="15" hidden="false" customHeight="true" outlineLevel="0" collapsed="false">
      <c r="A151" s="33" t="s">
        <v>1782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1783</v>
      </c>
      <c r="C152" s="157" t="str">
        <f aca="false">Workload!C4</f>
        <v>一般聊天</v>
      </c>
      <c r="D152" s="157" t="str">
        <f aca="false">Workload!D4</f>
        <v>推理聊天</v>
      </c>
      <c r="E152" s="157" t="str">
        <f aca="false">Workload!E4</f>
        <v>單代理（工具迴圈）</v>
      </c>
      <c r="F152" s="157" t="str">
        <f aca="false">Workload!F4</f>
        <v>多代理研究</v>
      </c>
      <c r="G152" s="157" t="str">
        <f aca="false">Workload!G4</f>
        <v>Coding agent（長程）</v>
      </c>
    </row>
    <row r="153" customFormat="false" ht="15" hidden="false" customHeight="true" outlineLevel="0" collapsed="false">
      <c r="A153" s="35" t="s">
        <v>1784</v>
      </c>
      <c r="B153" s="35" t="s">
        <v>73</v>
      </c>
      <c r="C153" s="188" t="n">
        <f aca="false">B5_W</f>
        <v>0</v>
      </c>
    </row>
    <row r="154" customFormat="false" ht="15" hidden="false" customHeight="true" outlineLevel="0" collapsed="false">
      <c r="A154" s="34" t="s">
        <v>1785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1786</v>
      </c>
      <c r="B155" s="35" t="s">
        <v>1091</v>
      </c>
      <c r="C155" s="188" t="n">
        <f aca="false">INDEX(B5_TaskLen,1,1)</f>
        <v>0.02</v>
      </c>
      <c r="D155" s="188" t="n">
        <f aca="false">INDEX(B5_TaskLen,1,2)</f>
        <v>0.1</v>
      </c>
      <c r="E155" s="188" t="n">
        <f aca="false">INDEX(B5_TaskLen,1,3)</f>
        <v>0.5</v>
      </c>
      <c r="F155" s="188" t="n">
        <f aca="false">INDEX(B5_TaskLen,1,4)</f>
        <v>2</v>
      </c>
      <c r="G155" s="188" t="n">
        <f aca="false">INDEX(B5_TaskLen,1,5)</f>
        <v>8</v>
      </c>
    </row>
    <row r="156" customFormat="false" ht="15" hidden="false" customHeight="true" outlineLevel="0" collapsed="false">
      <c r="A156" s="34" t="s">
        <v>1787</v>
      </c>
      <c r="B156" s="35" t="s">
        <v>248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1788</v>
      </c>
      <c r="B157" s="35" t="s">
        <v>248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1789</v>
      </c>
      <c r="B158" s="35" t="s">
        <v>248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1790</v>
      </c>
      <c r="B159" s="35" t="s">
        <v>248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1791</v>
      </c>
      <c r="B160" s="35" t="s">
        <v>73</v>
      </c>
      <c r="C160" s="169" t="n">
        <f aca="false">Harness!C45</f>
        <v>1</v>
      </c>
      <c r="D160" s="169" t="n">
        <f aca="false">Harness!D45</f>
        <v>1</v>
      </c>
      <c r="E160" s="169" t="n">
        <f aca="false">Harness!E45</f>
        <v>0.588771014492754</v>
      </c>
      <c r="F160" s="169" t="n">
        <f aca="false">Harness!F45</f>
        <v>0.588771014492754</v>
      </c>
      <c r="G160" s="169" t="n">
        <f aca="false">Harness!G45</f>
        <v>0.492530120481928</v>
      </c>
    </row>
    <row r="161" customFormat="false" ht="15" hidden="false" customHeight="true" outlineLevel="0" collapsed="false">
      <c r="A161" s="8" t="s">
        <v>216</v>
      </c>
    </row>
    <row r="162" customFormat="false" ht="15" hidden="false" customHeight="true" outlineLevel="0" collapsed="false">
      <c r="A162" s="34" t="s">
        <v>1792</v>
      </c>
      <c r="B162" s="35" t="s">
        <v>69</v>
      </c>
      <c r="C162" s="173" t="n">
        <f aca="false">Harness!C57</f>
        <v>0.962243725044712</v>
      </c>
      <c r="D162" s="173" t="n">
        <f aca="false">Harness!D57</f>
        <v>0.884017511243649</v>
      </c>
      <c r="E162" s="173" t="n">
        <f aca="false">Harness!E57</f>
        <v>0.695076124968439</v>
      </c>
      <c r="F162" s="173" t="n">
        <f aca="false">Harness!F57</f>
        <v>0.446267899285204</v>
      </c>
      <c r="G162" s="173" t="n">
        <f aca="false">Harness!G57</f>
        <v>0.221752565013566</v>
      </c>
    </row>
    <row r="163" customFormat="false" ht="15" hidden="false" customHeight="true" outlineLevel="0" collapsed="false">
      <c r="A163" s="34" t="s">
        <v>1793</v>
      </c>
      <c r="B163" s="35" t="s">
        <v>69</v>
      </c>
      <c r="C163" s="173" t="n">
        <f aca="false">Harness!C58</f>
        <v>0.962243725044712</v>
      </c>
      <c r="D163" s="173" t="n">
        <f aca="false">Harness!D58</f>
        <v>0.884017511243649</v>
      </c>
      <c r="E163" s="173" t="n">
        <f aca="false">Harness!E58</f>
        <v>0.723262011773013</v>
      </c>
      <c r="F163" s="173" t="n">
        <f aca="false">Harness!F58</f>
        <v>0.575444203093429</v>
      </c>
      <c r="G163" s="173" t="n">
        <f aca="false">Harness!G58</f>
        <v>0.323962245896112</v>
      </c>
    </row>
    <row r="164" customFormat="false" ht="15" hidden="false" customHeight="true" outlineLevel="0" collapsed="false">
      <c r="A164" s="34" t="s">
        <v>1794</v>
      </c>
      <c r="B164" s="35" t="s">
        <v>373</v>
      </c>
      <c r="C164" s="189" t="n">
        <f aca="false">Harness!C88</f>
        <v>9.93021290606536E-005</v>
      </c>
      <c r="D164" s="189" t="n">
        <f aca="false">Harness!D88</f>
        <v>0.000713517096708826</v>
      </c>
      <c r="E164" s="189" t="n">
        <f aca="false">Harness!E88</f>
        <v>0.000657218729523327</v>
      </c>
      <c r="F164" s="189" t="n">
        <f aca="false">Harness!F88</f>
        <v>0.00409455440111599</v>
      </c>
      <c r="G164" s="189" t="n">
        <f aca="false">Harness!G88</f>
        <v>0.0301910839361158</v>
      </c>
    </row>
    <row r="165" customFormat="false" ht="15" hidden="false" customHeight="true" outlineLevel="0" collapsed="false">
      <c r="A165" s="34" t="s">
        <v>1795</v>
      </c>
      <c r="B165" s="35" t="s">
        <v>373</v>
      </c>
      <c r="C165" s="190" t="n">
        <f aca="false">Harness!C97</f>
        <v>0.000155161593605132</v>
      </c>
      <c r="D165" s="190" t="n">
        <f aca="false">Harness!D97</f>
        <v>0.00112260967398458</v>
      </c>
      <c r="E165" s="190" t="n">
        <f aca="false">Harness!E97</f>
        <v>0.00102601168457699</v>
      </c>
      <c r="F165" s="190" t="n">
        <f aca="false">Harness!F97</f>
        <v>0.00639218036547454</v>
      </c>
      <c r="G165" s="190" t="n">
        <f aca="false">Harness!G97</f>
        <v>0.0464929657625256</v>
      </c>
    </row>
    <row r="166" customFormat="false" ht="15" hidden="false" customHeight="true" outlineLevel="0" collapsed="false">
      <c r="A166" s="34" t="s">
        <v>1796</v>
      </c>
      <c r="B166" s="35" t="s">
        <v>373</v>
      </c>
      <c r="C166" s="190" t="n">
        <f aca="false">Harness!C126</f>
        <v>0.000340869980715914</v>
      </c>
      <c r="D166" s="190" t="n">
        <f aca="false">Harness!D126</f>
        <v>0.00181896849275965</v>
      </c>
      <c r="E166" s="190" t="n">
        <f aca="false">Harness!E126</f>
        <v>0.00237971056778149</v>
      </c>
      <c r="F166" s="190" t="n">
        <f aca="false">Harness!F126</f>
        <v>0.0148258927218325</v>
      </c>
      <c r="G166" s="190" t="n">
        <f aca="false">Harness!G126</f>
        <v>0.171997108568582</v>
      </c>
    </row>
    <row r="167" customFormat="false" ht="15" hidden="false" customHeight="true" outlineLevel="0" collapsed="false">
      <c r="A167" s="35" t="s">
        <v>1797</v>
      </c>
      <c r="B167" s="35" t="s">
        <v>73</v>
      </c>
      <c r="C167" s="169" t="n">
        <f aca="false">Harness!C136</f>
        <v>1</v>
      </c>
      <c r="D167" s="169" t="n">
        <f aca="false">Harness!D136</f>
        <v>1</v>
      </c>
      <c r="E167" s="169" t="n">
        <f aca="false">Harness!E136</f>
        <v>0.590799408791046</v>
      </c>
      <c r="F167" s="169" t="n">
        <f aca="false">Harness!F136</f>
        <v>0.476755558184065</v>
      </c>
      <c r="G167" s="169" t="n">
        <f aca="false">Harness!G136</f>
        <v>0.414935363948507</v>
      </c>
    </row>
    <row r="168" customFormat="false" ht="15" hidden="false" customHeight="true" outlineLevel="0" collapsed="false">
      <c r="A168" s="8" t="s">
        <v>217</v>
      </c>
    </row>
    <row r="169" customFormat="false" ht="15" hidden="false" customHeight="true" outlineLevel="0" collapsed="false">
      <c r="A169" s="34" t="s">
        <v>1798</v>
      </c>
      <c r="B169" s="35" t="s">
        <v>69</v>
      </c>
      <c r="C169" s="173" t="n">
        <f aca="false">Harness!C60</f>
        <v>0.988943278022254</v>
      </c>
      <c r="D169" s="173" t="n">
        <f aca="false">Harness!D60</f>
        <v>0.963963460360214</v>
      </c>
      <c r="E169" s="173" t="n">
        <f aca="false">Harness!E60</f>
        <v>0.888888888888889</v>
      </c>
      <c r="F169" s="173" t="n">
        <f aca="false">Harness!F60</f>
        <v>0.738796125036259</v>
      </c>
      <c r="G169" s="173" t="n">
        <f aca="false">Harness!G60</f>
        <v>0.5</v>
      </c>
    </row>
    <row r="170" customFormat="false" ht="15" hidden="false" customHeight="true" outlineLevel="0" collapsed="false">
      <c r="A170" s="34" t="s">
        <v>1799</v>
      </c>
      <c r="B170" s="35" t="s">
        <v>69</v>
      </c>
      <c r="C170" s="173" t="n">
        <f aca="false">Harness!C61</f>
        <v>0.988943278022254</v>
      </c>
      <c r="D170" s="173" t="n">
        <f aca="false">Harness!D61</f>
        <v>0.963963460360214</v>
      </c>
      <c r="E170" s="173" t="n">
        <f aca="false">Harness!E61</f>
        <v>0.901693340131513</v>
      </c>
      <c r="F170" s="173" t="n">
        <f aca="false">Harness!F61</f>
        <v>0.826293243415818</v>
      </c>
      <c r="G170" s="173" t="n">
        <f aca="false">Harness!G61</f>
        <v>0.627115119175411</v>
      </c>
    </row>
    <row r="171" customFormat="false" ht="15" hidden="false" customHeight="true" outlineLevel="0" collapsed="false">
      <c r="A171" s="34" t="s">
        <v>1800</v>
      </c>
      <c r="B171" s="35" t="s">
        <v>373</v>
      </c>
      <c r="C171" s="189" t="n">
        <f aca="false">Harness!C91</f>
        <v>0.000313975550549066</v>
      </c>
      <c r="D171" s="189" t="n">
        <f aca="false">Harness!D91</f>
        <v>0.00210683061419392</v>
      </c>
      <c r="E171" s="189" t="n">
        <f aca="false">Harness!E91</f>
        <v>0.00166710208288471</v>
      </c>
      <c r="F171" s="189" t="n">
        <f aca="false">Harness!F91</f>
        <v>0.00802315262845764</v>
      </c>
      <c r="G171" s="189" t="n">
        <f aca="false">Harness!G91</f>
        <v>0.0436356836956301</v>
      </c>
    </row>
    <row r="172" customFormat="false" ht="15" hidden="false" customHeight="true" outlineLevel="0" collapsed="false">
      <c r="A172" s="34" t="s">
        <v>1801</v>
      </c>
      <c r="B172" s="35" t="s">
        <v>373</v>
      </c>
      <c r="C172" s="190" t="n">
        <f aca="false">Harness!C100</f>
        <v>0.000531563745556552</v>
      </c>
      <c r="D172" s="190" t="n">
        <f aca="false">Harness!D100</f>
        <v>0.00362696950560972</v>
      </c>
      <c r="E172" s="190" t="n">
        <f aca="false">Harness!E100</f>
        <v>0.00282323671313564</v>
      </c>
      <c r="F172" s="190" t="n">
        <f aca="false">Harness!F100</f>
        <v>0.0135872057795988</v>
      </c>
      <c r="G172" s="190" t="n">
        <f aca="false">Harness!G100</f>
        <v>0.0723066326698606</v>
      </c>
    </row>
    <row r="173" customFormat="false" ht="15" hidden="false" customHeight="true" outlineLevel="0" collapsed="false">
      <c r="A173" s="34" t="s">
        <v>1802</v>
      </c>
      <c r="B173" s="35" t="s">
        <v>373</v>
      </c>
      <c r="C173" s="190" t="n">
        <f aca="false">Harness!C129</f>
        <v>0.00663334302966199</v>
      </c>
      <c r="D173" s="190" t="n">
        <f aca="false">Harness!D129</f>
        <v>0.0333622604201019</v>
      </c>
      <c r="E173" s="190" t="n">
        <f aca="false">Harness!E129</f>
        <v>0.0372168</v>
      </c>
      <c r="F173" s="190" t="n">
        <f aca="false">Harness!F129</f>
        <v>0.179110847385002</v>
      </c>
      <c r="G173" s="190" t="n">
        <f aca="false">Harness!G129</f>
        <v>1.525632</v>
      </c>
    </row>
    <row r="174" customFormat="false" ht="15" hidden="false" customHeight="true" outlineLevel="0" collapsed="false">
      <c r="A174" s="35" t="s">
        <v>1803</v>
      </c>
      <c r="B174" s="35" t="s">
        <v>73</v>
      </c>
      <c r="C174" s="169" t="n">
        <f aca="false">Harness!C137</f>
        <v>1</v>
      </c>
      <c r="D174" s="169" t="n">
        <f aca="false">Harness!D137</f>
        <v>1</v>
      </c>
      <c r="E174" s="169" t="n">
        <f aca="false">Harness!E137</f>
        <v>0.605426428411342</v>
      </c>
      <c r="F174" s="169" t="n">
        <f aca="false">Harness!F137</f>
        <v>0.549114822424879</v>
      </c>
      <c r="G174" s="169" t="n">
        <f aca="false">Harness!G137</f>
        <v>0.479336892188678</v>
      </c>
    </row>
    <row r="175" customFormat="false" ht="15" hidden="false" customHeight="true" outlineLevel="0" collapsed="false">
      <c r="A175" s="8" t="s">
        <v>218</v>
      </c>
    </row>
    <row r="176" customFormat="false" ht="15" hidden="false" customHeight="true" outlineLevel="0" collapsed="false">
      <c r="A176" s="34" t="s">
        <v>1804</v>
      </c>
      <c r="B176" s="35" t="s">
        <v>69</v>
      </c>
      <c r="C176" s="173" t="n">
        <f aca="false">Harness!C63</f>
        <v>0.993396032445753</v>
      </c>
      <c r="D176" s="173" t="n">
        <f aca="false">Harness!D63</f>
        <v>0.978254868861662</v>
      </c>
      <c r="E176" s="173" t="n">
        <f aca="false">Harness!E63</f>
        <v>0.930816639357101</v>
      </c>
      <c r="F176" s="173" t="n">
        <f aca="false">Harness!F63</f>
        <v>0.826293243415818</v>
      </c>
      <c r="G176" s="173" t="n">
        <f aca="false">Harness!G63</f>
        <v>0.627115119175411</v>
      </c>
    </row>
    <row r="177" customFormat="false" ht="15" hidden="false" customHeight="true" outlineLevel="0" collapsed="false">
      <c r="A177" s="34" t="s">
        <v>1805</v>
      </c>
      <c r="B177" s="35" t="s">
        <v>69</v>
      </c>
      <c r="C177" s="173" t="n">
        <f aca="false">Harness!C64</f>
        <v>0.993396032445753</v>
      </c>
      <c r="D177" s="173" t="n">
        <f aca="false">Harness!D64</f>
        <v>0.978254868861662</v>
      </c>
      <c r="E177" s="173" t="n">
        <f aca="false">Harness!E64</f>
        <v>0.939120259663704</v>
      </c>
      <c r="F177" s="173" t="n">
        <f aca="false">Harness!F64</f>
        <v>0.888888888888889</v>
      </c>
      <c r="G177" s="173" t="n">
        <f aca="false">Harness!G64</f>
        <v>0.738796125036259</v>
      </c>
    </row>
    <row r="178" customFormat="false" ht="15" hidden="false" customHeight="true" outlineLevel="0" collapsed="false">
      <c r="A178" s="34" t="s">
        <v>1806</v>
      </c>
      <c r="B178" s="35" t="s">
        <v>373</v>
      </c>
      <c r="C178" s="189" t="n">
        <f aca="false">Harness!C94</f>
        <v>0.00153296462437356</v>
      </c>
      <c r="D178" s="189" t="n">
        <f aca="false">Harness!D94</f>
        <v>0.0106104310575561</v>
      </c>
      <c r="E178" s="189" t="n">
        <f aca="false">Harness!E94</f>
        <v>0.00783980997069258</v>
      </c>
      <c r="F178" s="189" t="n">
        <f aca="false">Harness!F94</f>
        <v>0.0353260812829667</v>
      </c>
      <c r="G178" s="189" t="n">
        <f aca="false">Harness!G94</f>
        <v>0.16476798923997</v>
      </c>
    </row>
    <row r="179" customFormat="false" ht="15" hidden="false" customHeight="true" outlineLevel="0" collapsed="false">
      <c r="A179" s="34" t="s">
        <v>1807</v>
      </c>
      <c r="B179" s="35" t="s">
        <v>373</v>
      </c>
      <c r="C179" s="190" t="n">
        <f aca="false">Harness!C103</f>
        <v>0.00358210254583964</v>
      </c>
      <c r="D179" s="190" t="n">
        <f aca="false">Harness!D103</f>
        <v>0.025582094756697</v>
      </c>
      <c r="E179" s="190" t="n">
        <f aca="false">Harness!E103</f>
        <v>0.0183132918749543</v>
      </c>
      <c r="F179" s="190" t="n">
        <f aca="false">Harness!F103</f>
        <v>0.0825194538836735</v>
      </c>
      <c r="G179" s="190" t="n">
        <f aca="false">Harness!G103</f>
        <v>0.366349972244467</v>
      </c>
    </row>
    <row r="180" customFormat="false" ht="15" hidden="false" customHeight="true" outlineLevel="0" collapsed="false">
      <c r="A180" s="34" t="s">
        <v>1808</v>
      </c>
      <c r="B180" s="35" t="s">
        <v>373</v>
      </c>
      <c r="C180" s="190" t="n">
        <f aca="false">Harness!C132</f>
        <v>0.0330180501317747</v>
      </c>
      <c r="D180" s="190" t="n">
        <f aca="false">Harness!D132</f>
        <v>0.164374341614178</v>
      </c>
      <c r="E180" s="190" t="n">
        <f aca="false">Harness!E132</f>
        <v>0.177702023154898</v>
      </c>
      <c r="F180" s="190" t="n">
        <f aca="false">Harness!F132</f>
        <v>0.800722994254286</v>
      </c>
      <c r="G180" s="190" t="n">
        <f aca="false">Harness!G132</f>
        <v>6.08194553659479</v>
      </c>
    </row>
    <row r="181" customFormat="false" ht="15" hidden="false" customHeight="true" outlineLevel="0" collapsed="false">
      <c r="A181" s="35" t="s">
        <v>1809</v>
      </c>
      <c r="B181" s="35" t="s">
        <v>73</v>
      </c>
      <c r="C181" s="169" t="n">
        <f aca="false">Harness!C138</f>
        <v>1</v>
      </c>
      <c r="D181" s="169" t="n">
        <f aca="false">Harness!D138</f>
        <v>1</v>
      </c>
      <c r="E181" s="169" t="n">
        <f aca="false">Harness!E138</f>
        <v>0.608224693620861</v>
      </c>
      <c r="F181" s="169" t="n">
        <f aca="false">Harness!F138</f>
        <v>0.570437205724218</v>
      </c>
      <c r="G181" s="169" t="n">
        <f aca="false">Harness!G138</f>
        <v>0.519897043107582</v>
      </c>
    </row>
    <row r="182" customFormat="false" ht="15" hidden="false" customHeight="true" outlineLevel="0" collapsed="false">
      <c r="A182" s="8" t="s">
        <v>1810</v>
      </c>
    </row>
    <row r="183" customFormat="false" ht="15" hidden="false" customHeight="true" outlineLevel="0" collapsed="false">
      <c r="A183" s="35" t="s">
        <v>1811</v>
      </c>
      <c r="B183" s="35" t="s">
        <v>373</v>
      </c>
      <c r="C183" s="190" t="n">
        <f aca="false">Harness!C68</f>
        <v>9.55528505721941E-005</v>
      </c>
      <c r="D183" s="190" t="n">
        <f aca="false">Harness!D68</f>
        <v>0.00063076160806233</v>
      </c>
      <c r="E183" s="190" t="n">
        <f aca="false">Harness!E68</f>
        <v>0.000456817047773755</v>
      </c>
      <c r="F183" s="190" t="n">
        <f aca="false">Harness!F68</f>
        <v>0.00182726819109502</v>
      </c>
      <c r="G183" s="190" t="n">
        <f aca="false">Harness!G68</f>
        <v>0.00669495030337356</v>
      </c>
    </row>
    <row r="184" customFormat="false" ht="15" hidden="false" customHeight="true" outlineLevel="0" collapsed="false">
      <c r="A184" s="35" t="s">
        <v>1812</v>
      </c>
      <c r="B184" s="35" t="s">
        <v>1091</v>
      </c>
      <c r="C184" s="169" t="n">
        <f aca="false">Harness!C160</f>
        <v>1.5</v>
      </c>
      <c r="D184" s="169" t="n">
        <f aca="false">Harness!D160</f>
        <v>1.5</v>
      </c>
      <c r="E184" s="169" t="n">
        <f aca="false">Harness!E160</f>
        <v>1.5</v>
      </c>
      <c r="F184" s="169" t="n">
        <f aca="false">Harness!F160</f>
        <v>1.5</v>
      </c>
      <c r="G184" s="169" t="n">
        <f aca="false">Harness!G160</f>
        <v>1.5</v>
      </c>
    </row>
    <row r="185" customFormat="false" ht="15" hidden="false" customHeight="true" outlineLevel="0" collapsed="false">
      <c r="A185" s="35" t="s">
        <v>1813</v>
      </c>
      <c r="B185" s="35" t="s">
        <v>373</v>
      </c>
      <c r="C185" s="190" t="n">
        <f aca="false">Harness!C71</f>
        <v>0.000310504010178835</v>
      </c>
      <c r="D185" s="190" t="n">
        <f aca="false">Harness!D71</f>
        <v>0.00203090772925121</v>
      </c>
      <c r="E185" s="190" t="n">
        <f aca="false">Harness!E71</f>
        <v>0.00148186851811974</v>
      </c>
      <c r="F185" s="190" t="n">
        <f aca="false">Harness!F71</f>
        <v>0.00592747407247898</v>
      </c>
      <c r="G185" s="190" t="n">
        <f aca="false">Harness!G71</f>
        <v>0.021817841847815</v>
      </c>
    </row>
    <row r="186" customFormat="false" ht="15" hidden="false" customHeight="true" outlineLevel="0" collapsed="false">
      <c r="A186" s="35" t="s">
        <v>1814</v>
      </c>
      <c r="B186" s="35" t="s">
        <v>1091</v>
      </c>
      <c r="C186" s="169" t="n">
        <f aca="false">Harness!C161</f>
        <v>8</v>
      </c>
      <c r="D186" s="169" t="n">
        <f aca="false">Harness!D161</f>
        <v>8</v>
      </c>
      <c r="E186" s="169" t="n">
        <f aca="false">Harness!E161</f>
        <v>8</v>
      </c>
      <c r="F186" s="169" t="n">
        <f aca="false">Harness!F161</f>
        <v>8</v>
      </c>
      <c r="G186" s="169" t="n">
        <f aca="false">Harness!G161</f>
        <v>8</v>
      </c>
    </row>
    <row r="187" customFormat="false" ht="15" hidden="false" customHeight="true" outlineLevel="0" collapsed="false">
      <c r="A187" s="35" t="s">
        <v>1815</v>
      </c>
      <c r="B187" s="35" t="s">
        <v>373</v>
      </c>
      <c r="C187" s="190" t="n">
        <f aca="false">Harness!C74</f>
        <v>0.00152284097573239</v>
      </c>
      <c r="D187" s="190" t="n">
        <f aca="false">Harness!D74</f>
        <v>0.0103797058427752</v>
      </c>
      <c r="E187" s="190" t="n">
        <f aca="false">Harness!E74</f>
        <v>0.00729742557011836</v>
      </c>
      <c r="F187" s="190" t="n">
        <f aca="false">Harness!F74</f>
        <v>0.0291897022804734</v>
      </c>
      <c r="G187" s="190" t="n">
        <f aca="false">Harness!G74</f>
        <v>0.103328497208517</v>
      </c>
    </row>
    <row r="188" customFormat="false" ht="15" hidden="false" customHeight="true" outlineLevel="0" collapsed="false">
      <c r="A188" s="35" t="s">
        <v>1816</v>
      </c>
      <c r="B188" s="35" t="s">
        <v>1091</v>
      </c>
      <c r="C188" s="169" t="n">
        <f aca="false">Harness!C162</f>
        <v>16</v>
      </c>
      <c r="D188" s="169" t="n">
        <f aca="false">Harness!D162</f>
        <v>16</v>
      </c>
      <c r="E188" s="169" t="n">
        <f aca="false">Harness!E162</f>
        <v>16</v>
      </c>
      <c r="F188" s="169" t="n">
        <f aca="false">Harness!F162</f>
        <v>16</v>
      </c>
      <c r="G188" s="169" t="n">
        <f aca="false">Harness!G162</f>
        <v>16</v>
      </c>
    </row>
    <row r="189" customFormat="false" ht="15" hidden="false" customHeight="true" outlineLevel="0" collapsed="false">
      <c r="A189" s="34" t="s">
        <v>1817</v>
      </c>
      <c r="B189" s="35" t="s">
        <v>69</v>
      </c>
      <c r="C189" s="187" t="n">
        <f aca="false">B5_PFloor</f>
        <v>0.5</v>
      </c>
    </row>
    <row r="190" customFormat="false" ht="15" hidden="false" customHeight="true" outlineLevel="0" collapsed="false">
      <c r="A190" s="34" t="s">
        <v>1818</v>
      </c>
      <c r="B190" s="35" t="s">
        <v>373</v>
      </c>
      <c r="C190" s="189" t="n">
        <f aca="false">Harness!C151</f>
        <v>9.93021290606536E-005</v>
      </c>
      <c r="D190" s="189" t="n">
        <f aca="false">Harness!D151</f>
        <v>0.000713517096708826</v>
      </c>
      <c r="E190" s="189" t="n">
        <f aca="false">Harness!E151</f>
        <v>0.000388284436848784</v>
      </c>
      <c r="F190" s="189" t="n">
        <f aca="false">Harness!F151</f>
        <v>0.00195210156901907</v>
      </c>
      <c r="G190" s="189" t="n">
        <f aca="false">Harness!G151</f>
        <v>0.0209161930111915</v>
      </c>
    </row>
    <row r="191" customFormat="false" ht="15" hidden="false" customHeight="true" outlineLevel="0" collapsed="false">
      <c r="A191" s="34" t="s">
        <v>1819</v>
      </c>
      <c r="B191" s="34"/>
      <c r="C191" s="179" t="str">
        <f aca="false">Harness!C152</f>
        <v>Luna｜標準</v>
      </c>
      <c r="D191" s="179" t="str">
        <f aca="false">Harness!D152</f>
        <v>Luna｜標準</v>
      </c>
      <c r="E191" s="179" t="str">
        <f aca="false">Harness!E152</f>
        <v>Luna｜選定</v>
      </c>
      <c r="F191" s="179" t="str">
        <f aca="false">Harness!F152</f>
        <v>Luna｜選定</v>
      </c>
      <c r="G191" s="179" t="str">
        <f aca="false">Harness!G152</f>
        <v>Sol｜選定</v>
      </c>
    </row>
    <row r="192" customFormat="false" ht="15" hidden="false" customHeight="true" outlineLevel="0" collapsed="false">
      <c r="A192" s="34" t="s">
        <v>1820</v>
      </c>
      <c r="B192" s="35" t="s">
        <v>69</v>
      </c>
      <c r="C192" s="173" t="n">
        <f aca="false">Harness!C153</f>
        <v>0.962243725044712</v>
      </c>
      <c r="D192" s="173" t="n">
        <f aca="false">Harness!D153</f>
        <v>0.884017511243649</v>
      </c>
      <c r="E192" s="173" t="n">
        <f aca="false">Harness!E153</f>
        <v>0.723262011773013</v>
      </c>
      <c r="F192" s="173" t="n">
        <f aca="false">Harness!F153</f>
        <v>0.575444203093429</v>
      </c>
      <c r="G192" s="173" t="n">
        <f aca="false">Harness!G153</f>
        <v>0.627115119175411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9" t="s">
        <v>1821</v>
      </c>
    </row>
    <row r="2" customFormat="false" ht="15" hidden="false" customHeight="false" outlineLevel="0" collapsed="false">
      <c r="A2" s="64" t="s">
        <v>1822</v>
      </c>
    </row>
    <row r="4" customFormat="false" ht="29.85" hidden="false" customHeight="false" outlineLevel="0" collapsed="false">
      <c r="A4" s="75" t="s">
        <v>1823</v>
      </c>
      <c r="B4" s="74" t="s">
        <v>1824</v>
      </c>
      <c r="C4" s="74" t="s">
        <v>1825</v>
      </c>
      <c r="D4" s="74" t="s">
        <v>1826</v>
      </c>
      <c r="E4" s="74" t="s">
        <v>1078</v>
      </c>
      <c r="F4" s="74" t="s">
        <v>1079</v>
      </c>
      <c r="G4" s="74" t="s">
        <v>53</v>
      </c>
      <c r="H4" s="74" t="s">
        <v>1827</v>
      </c>
      <c r="I4" s="74" t="s">
        <v>1828</v>
      </c>
      <c r="J4" s="74" t="s">
        <v>1829</v>
      </c>
      <c r="K4" s="74" t="s">
        <v>1830</v>
      </c>
      <c r="L4" s="74" t="s">
        <v>1831</v>
      </c>
      <c r="M4" s="74" t="s">
        <v>1832</v>
      </c>
      <c r="N4" s="74" t="s">
        <v>1833</v>
      </c>
      <c r="O4" s="74" t="s">
        <v>1834</v>
      </c>
      <c r="P4" s="74" t="s">
        <v>479</v>
      </c>
      <c r="Q4" s="74" t="s">
        <v>36</v>
      </c>
      <c r="R4" s="74" t="s">
        <v>1835</v>
      </c>
      <c r="S4" s="74" t="s">
        <v>1836</v>
      </c>
    </row>
    <row r="5" customFormat="false" ht="29.85" hidden="false" customHeight="false" outlineLevel="0" collapsed="false">
      <c r="A5" s="53" t="s">
        <v>1837</v>
      </c>
      <c r="B5" s="5" t="s">
        <v>1838</v>
      </c>
      <c r="C5" s="5" t="s">
        <v>1839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1840</v>
      </c>
      <c r="H5" s="5" t="s">
        <v>1841</v>
      </c>
      <c r="I5" s="6" t="s">
        <v>1842</v>
      </c>
      <c r="J5" s="5" t="s">
        <v>1843</v>
      </c>
      <c r="K5" s="5" t="s">
        <v>1844</v>
      </c>
      <c r="L5" s="53" t="s">
        <v>554</v>
      </c>
      <c r="M5" s="107" t="s">
        <v>554</v>
      </c>
      <c r="N5" s="107" t="s">
        <v>554</v>
      </c>
      <c r="O5" s="67" t="str">
        <f aca="false">IF(AND(ISNUMBER(M5),ISNUMBER(N5)),D5/((M5+N5)/2),"—")</f>
        <v>—</v>
      </c>
      <c r="P5" s="52" t="str">
        <f aca="false">IF(AND(ISNUMBER(M5),ISNUMBER(N5)),IF(M5=N5,IF(ABS(D5/M5-1)&lt;=0.2,"±20% 內","差距 &gt;20%"),IF(D5&lt;M5,"低於外部區間",IF(D5&gt;N5,"高於外部區間","落在外部區間"))),"無外部對照")</f>
        <v>無外部對照</v>
      </c>
      <c r="Q5" s="53" t="s">
        <v>1837</v>
      </c>
      <c r="R5" s="53" t="s">
        <v>1845</v>
      </c>
      <c r="S5" s="6" t="s">
        <v>554</v>
      </c>
    </row>
    <row r="6" customFormat="false" ht="29.85" hidden="false" customHeight="false" outlineLevel="0" collapsed="false">
      <c r="A6" s="53" t="s">
        <v>1846</v>
      </c>
      <c r="B6" s="5" t="s">
        <v>1847</v>
      </c>
      <c r="C6" s="5" t="s">
        <v>1839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1840</v>
      </c>
      <c r="H6" s="5" t="s">
        <v>1841</v>
      </c>
      <c r="I6" s="6" t="s">
        <v>1842</v>
      </c>
      <c r="J6" s="5" t="s">
        <v>1843</v>
      </c>
      <c r="K6" s="5" t="s">
        <v>1844</v>
      </c>
      <c r="L6" s="53" t="s">
        <v>554</v>
      </c>
      <c r="M6" s="107" t="s">
        <v>554</v>
      </c>
      <c r="N6" s="107" t="s">
        <v>554</v>
      </c>
      <c r="O6" s="67" t="str">
        <f aca="false">IF(AND(ISNUMBER(M6),ISNUMBER(N6)),D6/((M6+N6)/2),"—")</f>
        <v>—</v>
      </c>
      <c r="P6" s="52" t="str">
        <f aca="false">IF(AND(ISNUMBER(M6),ISNUMBER(N6)),IF(M6=N6,IF(ABS(D6/M6-1)&lt;=0.2,"±20% 內","差距 &gt;20%"),IF(D6&lt;M6,"低於外部區間",IF(D6&gt;N6,"高於外部區間","落在外部區間"))),"無外部對照")</f>
        <v>無外部對照</v>
      </c>
      <c r="Q6" s="53" t="s">
        <v>1846</v>
      </c>
      <c r="R6" s="53" t="s">
        <v>1845</v>
      </c>
      <c r="S6" s="6" t="s">
        <v>554</v>
      </c>
    </row>
    <row r="7" customFormat="false" ht="29.85" hidden="false" customHeight="false" outlineLevel="0" collapsed="false">
      <c r="A7" s="53" t="s">
        <v>1848</v>
      </c>
      <c r="B7" s="5" t="s">
        <v>1849</v>
      </c>
      <c r="C7" s="5" t="s">
        <v>1839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1840</v>
      </c>
      <c r="H7" s="5" t="s">
        <v>1841</v>
      </c>
      <c r="I7" s="6" t="s">
        <v>1842</v>
      </c>
      <c r="J7" s="5" t="s">
        <v>1843</v>
      </c>
      <c r="K7" s="5" t="s">
        <v>1844</v>
      </c>
      <c r="L7" s="53" t="s">
        <v>554</v>
      </c>
      <c r="M7" s="107" t="s">
        <v>554</v>
      </c>
      <c r="N7" s="107" t="s">
        <v>554</v>
      </c>
      <c r="O7" s="67" t="str">
        <f aca="false">IF(AND(ISNUMBER(M7),ISNUMBER(N7)),D7/((M7+N7)/2),"—")</f>
        <v>—</v>
      </c>
      <c r="P7" s="52" t="str">
        <f aca="false">IF(AND(ISNUMBER(M7),ISNUMBER(N7)),IF(M7=N7,IF(ABS(D7/M7-1)&lt;=0.2,"±20% 內","差距 &gt;20%"),IF(D7&lt;M7,"低於外部區間",IF(D7&gt;N7,"高於外部區間","落在外部區間"))),"無外部對照")</f>
        <v>無外部對照</v>
      </c>
      <c r="Q7" s="53" t="s">
        <v>1848</v>
      </c>
      <c r="R7" s="53" t="s">
        <v>1845</v>
      </c>
      <c r="S7" s="6" t="s">
        <v>554</v>
      </c>
    </row>
    <row r="8" customFormat="false" ht="29.85" hidden="false" customHeight="false" outlineLevel="0" collapsed="false">
      <c r="A8" s="53" t="s">
        <v>1850</v>
      </c>
      <c r="B8" s="5" t="s">
        <v>1851</v>
      </c>
      <c r="C8" s="5" t="s">
        <v>1839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1840</v>
      </c>
      <c r="H8" s="5" t="s">
        <v>1841</v>
      </c>
      <c r="I8" s="6" t="s">
        <v>1842</v>
      </c>
      <c r="J8" s="5" t="s">
        <v>1843</v>
      </c>
      <c r="K8" s="5" t="s">
        <v>1844</v>
      </c>
      <c r="L8" s="53" t="s">
        <v>1852</v>
      </c>
      <c r="M8" s="86" t="n">
        <f aca="false">SRC_DC_010_Lo</f>
        <v>50</v>
      </c>
      <c r="N8" s="86" t="n">
        <f aca="false">SRC_DC_010_Hi</f>
        <v>60</v>
      </c>
      <c r="O8" s="67" t="n">
        <f aca="false">IF(AND(ISNUMBER(M8),ISNUMBER(N8)),D8/((M8+N8)/2),"—")</f>
        <v>0.865127854545455</v>
      </c>
      <c r="P8" s="52" t="str">
        <f aca="false">IF(AND(ISNUMBER(M8),ISNUMBER(N8)),IF(M8=N8,IF(ABS(D8/M8-1)&lt;=0.2,"±20% 內","差距 &gt;20%"),IF(D8&lt;M8,"低於外部區間",IF(D8&gt;N8,"高於外部區間","落在外部區間"))),"無外部對照")</f>
        <v>低於外部區間</v>
      </c>
      <c r="Q8" s="53" t="s">
        <v>1850</v>
      </c>
      <c r="R8" s="53" t="s">
        <v>1845</v>
      </c>
      <c r="S8" s="5" t="s">
        <v>1853</v>
      </c>
    </row>
    <row r="9" customFormat="false" ht="29.85" hidden="false" customHeight="false" outlineLevel="0" collapsed="false">
      <c r="A9" s="53" t="s">
        <v>1854</v>
      </c>
      <c r="B9" s="5" t="s">
        <v>1855</v>
      </c>
      <c r="C9" s="5" t="s">
        <v>1856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1840</v>
      </c>
      <c r="H9" s="5" t="s">
        <v>1841</v>
      </c>
      <c r="I9" s="5" t="s">
        <v>1857</v>
      </c>
      <c r="J9" s="5" t="s">
        <v>1858</v>
      </c>
      <c r="K9" s="5" t="s">
        <v>1844</v>
      </c>
      <c r="L9" s="53" t="s">
        <v>1859</v>
      </c>
      <c r="M9" s="86" t="n">
        <f aca="false">SRC_DC_011</f>
        <v>35</v>
      </c>
      <c r="N9" s="86" t="n">
        <f aca="false">SRC_DC_011</f>
        <v>35</v>
      </c>
      <c r="O9" s="67" t="n">
        <f aca="false">IF(AND(ISNUMBER(M9),ISNUMBER(N9)),D9/((M9+N9)/2),"—")</f>
        <v>0.903017142857143</v>
      </c>
      <c r="P9" s="52" t="str">
        <f aca="false">IF(AND(ISNUMBER(M9),ISNUMBER(N9)),IF(M9=N9,IF(ABS(D9/M9-1)&lt;=0.2,"±20% 內","差距 &gt;20%"),IF(D9&lt;M9,"低於外部區間",IF(D9&gt;N9,"高於外部區間","落在外部區間"))),"無外部對照")</f>
        <v>±20% 內</v>
      </c>
      <c r="Q9" s="53" t="s">
        <v>1854</v>
      </c>
      <c r="R9" s="53" t="s">
        <v>1860</v>
      </c>
      <c r="S9" s="5" t="s">
        <v>1861</v>
      </c>
    </row>
    <row r="10" customFormat="false" ht="44" hidden="false" customHeight="false" outlineLevel="0" collapsed="false">
      <c r="A10" s="53" t="s">
        <v>1862</v>
      </c>
      <c r="B10" s="5" t="s">
        <v>1863</v>
      </c>
      <c r="C10" s="5" t="s">
        <v>1864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90</v>
      </c>
      <c r="H10" s="5" t="s">
        <v>1841</v>
      </c>
      <c r="I10" s="5" t="s">
        <v>1865</v>
      </c>
      <c r="J10" s="5" t="s">
        <v>1866</v>
      </c>
      <c r="K10" s="5" t="s">
        <v>1867</v>
      </c>
      <c r="L10" s="53" t="s">
        <v>1868</v>
      </c>
      <c r="M10" s="86" t="n">
        <f aca="false">SRC_DC_003*(1+SRC_DC_004_Lo)</f>
        <v>12.091</v>
      </c>
      <c r="N10" s="86" t="n">
        <f aca="false">SRC_DC_003*(1+SRC_DC_004_Hi)</f>
        <v>12.43</v>
      </c>
      <c r="O10" s="67" t="n">
        <f aca="false">IF(AND(ISNUMBER(M10),ISNUMBER(N10)),D10/((M10+N10)/2),"—")</f>
        <v>1.03339994290608</v>
      </c>
      <c r="P10" s="52" t="str">
        <f aca="false">IF(AND(ISNUMBER(M10),ISNUMBER(N10)),IF(M10=N10,IF(ABS(D10/M10-1)&lt;=0.2,"±20% 內","差距 &gt;20%"),IF(D10&lt;M10,"低於外部區間",IF(D10&gt;N10,"高於外部區間","落在外部區間"))),"無外部對照")</f>
        <v>高於外部區間</v>
      </c>
      <c r="Q10" s="53" t="s">
        <v>1862</v>
      </c>
      <c r="R10" s="53" t="s">
        <v>1869</v>
      </c>
      <c r="S10" s="5" t="s">
        <v>1870</v>
      </c>
    </row>
    <row r="11" customFormat="false" ht="29.85" hidden="false" customHeight="false" outlineLevel="0" collapsed="false">
      <c r="A11" s="53" t="s">
        <v>1871</v>
      </c>
      <c r="B11" s="5" t="s">
        <v>1872</v>
      </c>
      <c r="C11" s="5" t="s">
        <v>1873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1874</v>
      </c>
      <c r="H11" s="5" t="s">
        <v>1841</v>
      </c>
      <c r="I11" s="5" t="s">
        <v>1875</v>
      </c>
      <c r="J11" s="6" t="s">
        <v>1876</v>
      </c>
      <c r="K11" s="5" t="s">
        <v>1877</v>
      </c>
      <c r="L11" s="53" t="s">
        <v>554</v>
      </c>
      <c r="M11" s="107" t="s">
        <v>554</v>
      </c>
      <c r="N11" s="107" t="s">
        <v>554</v>
      </c>
      <c r="O11" s="67" t="str">
        <f aca="false">IF(AND(ISNUMBER(M11),ISNUMBER(N11)),D11/((M11+N11)/2),"—")</f>
        <v>—</v>
      </c>
      <c r="P11" s="52" t="str">
        <f aca="false">IF(AND(ISNUMBER(M11),ISNUMBER(N11)),IF(M11=N11,IF(ABS(D11/M11-1)&lt;=0.2,"±20% 內","差距 &gt;20%"),IF(D11&lt;M11,"低於外部區間",IF(D11&gt;N11,"高於外部區間","落在外部區間"))),"無外部對照")</f>
        <v>無外部對照</v>
      </c>
      <c r="Q11" s="53" t="s">
        <v>1871</v>
      </c>
      <c r="R11" s="53" t="s">
        <v>1878</v>
      </c>
      <c r="S11" s="6" t="s">
        <v>554</v>
      </c>
    </row>
    <row r="12" customFormat="false" ht="29.85" hidden="false" customHeight="false" outlineLevel="0" collapsed="false">
      <c r="A12" s="53" t="s">
        <v>1879</v>
      </c>
      <c r="B12" s="5" t="s">
        <v>1880</v>
      </c>
      <c r="C12" s="5" t="s">
        <v>1873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1874</v>
      </c>
      <c r="H12" s="5" t="s">
        <v>1841</v>
      </c>
      <c r="I12" s="5" t="s">
        <v>1875</v>
      </c>
      <c r="J12" s="6" t="s">
        <v>1876</v>
      </c>
      <c r="K12" s="5" t="s">
        <v>1877</v>
      </c>
      <c r="L12" s="53" t="s">
        <v>554</v>
      </c>
      <c r="M12" s="107" t="s">
        <v>554</v>
      </c>
      <c r="N12" s="107" t="s">
        <v>554</v>
      </c>
      <c r="O12" s="67" t="str">
        <f aca="false">IF(AND(ISNUMBER(M12),ISNUMBER(N12)),D12/((M12+N12)/2),"—")</f>
        <v>—</v>
      </c>
      <c r="P12" s="52" t="str">
        <f aca="false">IF(AND(ISNUMBER(M12),ISNUMBER(N12)),IF(M12=N12,IF(ABS(D12/M12-1)&lt;=0.2,"±20% 內","差距 &gt;20%"),IF(D12&lt;M12,"低於外部區間",IF(D12&gt;N12,"高於外部區間","落在外部區間"))),"無外部對照")</f>
        <v>無外部對照</v>
      </c>
      <c r="Q12" s="53" t="s">
        <v>1879</v>
      </c>
      <c r="R12" s="53" t="s">
        <v>1878</v>
      </c>
      <c r="S12" s="6" t="s">
        <v>554</v>
      </c>
    </row>
    <row r="13" customFormat="false" ht="29.85" hidden="false" customHeight="false" outlineLevel="0" collapsed="false">
      <c r="A13" s="53" t="s">
        <v>1881</v>
      </c>
      <c r="B13" s="5" t="s">
        <v>1882</v>
      </c>
      <c r="C13" s="5" t="s">
        <v>1873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1874</v>
      </c>
      <c r="H13" s="5" t="s">
        <v>1841</v>
      </c>
      <c r="I13" s="5" t="s">
        <v>1875</v>
      </c>
      <c r="J13" s="6" t="s">
        <v>1876</v>
      </c>
      <c r="K13" s="5" t="s">
        <v>1877</v>
      </c>
      <c r="L13" s="53" t="s">
        <v>554</v>
      </c>
      <c r="M13" s="107" t="s">
        <v>554</v>
      </c>
      <c r="N13" s="107" t="s">
        <v>554</v>
      </c>
      <c r="O13" s="67" t="str">
        <f aca="false">IF(AND(ISNUMBER(M13),ISNUMBER(N13)),D13/((M13+N13)/2),"—")</f>
        <v>—</v>
      </c>
      <c r="P13" s="52" t="str">
        <f aca="false">IF(AND(ISNUMBER(M13),ISNUMBER(N13)),IF(M13=N13,IF(ABS(D13/M13-1)&lt;=0.2,"±20% 內","差距 &gt;20%"),IF(D13&lt;M13,"低於外部區間",IF(D13&gt;N13,"高於外部區間","落在外部區間"))),"無外部對照")</f>
        <v>無外部對照</v>
      </c>
      <c r="Q13" s="53" t="s">
        <v>1881</v>
      </c>
      <c r="R13" s="53" t="s">
        <v>1878</v>
      </c>
      <c r="S13" s="6" t="s">
        <v>554</v>
      </c>
    </row>
    <row r="14" customFormat="false" ht="29.85" hidden="false" customHeight="false" outlineLevel="0" collapsed="false">
      <c r="A14" s="53" t="s">
        <v>1883</v>
      </c>
      <c r="B14" s="5" t="s">
        <v>1884</v>
      </c>
      <c r="C14" s="5" t="s">
        <v>1873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1874</v>
      </c>
      <c r="H14" s="5" t="s">
        <v>1841</v>
      </c>
      <c r="I14" s="5" t="s">
        <v>1875</v>
      </c>
      <c r="J14" s="6" t="s">
        <v>1876</v>
      </c>
      <c r="K14" s="5" t="s">
        <v>1877</v>
      </c>
      <c r="L14" s="53" t="s">
        <v>554</v>
      </c>
      <c r="M14" s="107" t="s">
        <v>554</v>
      </c>
      <c r="N14" s="107" t="s">
        <v>554</v>
      </c>
      <c r="O14" s="67" t="str">
        <f aca="false">IF(AND(ISNUMBER(M14),ISNUMBER(N14)),D14/((M14+N14)/2),"—")</f>
        <v>—</v>
      </c>
      <c r="P14" s="52" t="str">
        <f aca="false">IF(AND(ISNUMBER(M14),ISNUMBER(N14)),IF(M14=N14,IF(ABS(D14/M14-1)&lt;=0.2,"±20% 內","差距 &gt;20%"),IF(D14&lt;M14,"低於外部區間",IF(D14&gt;N14,"高於外部區間","落在外部區間"))),"無外部對照")</f>
        <v>無外部對照</v>
      </c>
      <c r="Q14" s="53" t="s">
        <v>1883</v>
      </c>
      <c r="R14" s="53" t="s">
        <v>1878</v>
      </c>
      <c r="S14" s="6" t="s">
        <v>554</v>
      </c>
    </row>
    <row r="15" customFormat="false" ht="29.85" hidden="false" customHeight="false" outlineLevel="0" collapsed="false">
      <c r="A15" s="53" t="s">
        <v>1885</v>
      </c>
      <c r="B15" s="5" t="s">
        <v>1886</v>
      </c>
      <c r="C15" s="6" t="s">
        <v>1887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783</v>
      </c>
      <c r="H15" s="5" t="s">
        <v>1841</v>
      </c>
      <c r="I15" s="5" t="s">
        <v>1888</v>
      </c>
      <c r="J15" s="5" t="s">
        <v>1889</v>
      </c>
      <c r="K15" s="5" t="s">
        <v>1877</v>
      </c>
      <c r="L15" s="53" t="s">
        <v>554</v>
      </c>
      <c r="M15" s="107" t="s">
        <v>554</v>
      </c>
      <c r="N15" s="107" t="s">
        <v>554</v>
      </c>
      <c r="O15" s="67" t="str">
        <f aca="false">IF(AND(ISNUMBER(M15),ISNUMBER(N15)),D15/((M15+N15)/2),"—")</f>
        <v>—</v>
      </c>
      <c r="P15" s="52" t="str">
        <f aca="false">IF(AND(ISNUMBER(M15),ISNUMBER(N15)),IF(M15=N15,IF(ABS(D15/M15-1)&lt;=0.2,"±20% 內","差距 &gt;20%"),IF(D15&lt;M15,"低於外部區間",IF(D15&gt;N15,"高於外部區間","落在外部區間"))),"無外部對照")</f>
        <v>無外部對照</v>
      </c>
      <c r="Q15" s="53" t="s">
        <v>1885</v>
      </c>
      <c r="R15" s="53" t="s">
        <v>1890</v>
      </c>
      <c r="S15" s="6" t="s">
        <v>554</v>
      </c>
    </row>
    <row r="16" customFormat="false" ht="44" hidden="false" customHeight="false" outlineLevel="0" collapsed="false">
      <c r="A16" s="53" t="s">
        <v>1891</v>
      </c>
      <c r="B16" s="5" t="s">
        <v>1892</v>
      </c>
      <c r="C16" s="6" t="s">
        <v>1887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783</v>
      </c>
      <c r="H16" s="5" t="s">
        <v>1841</v>
      </c>
      <c r="I16" s="5" t="s">
        <v>1888</v>
      </c>
      <c r="J16" s="5" t="s">
        <v>1889</v>
      </c>
      <c r="K16" s="5" t="s">
        <v>1877</v>
      </c>
      <c r="L16" s="53" t="s">
        <v>1893</v>
      </c>
      <c r="M16" s="86" t="n">
        <f aca="false">SRC_DC_012</f>
        <v>2.21</v>
      </c>
      <c r="N16" s="86" t="n">
        <f aca="false">SRC_DC_012</f>
        <v>2.21</v>
      </c>
      <c r="O16" s="67" t="n">
        <f aca="false">IF(AND(ISNUMBER(M16),ISNUMBER(N16)),D16/((M16+N16)/2),"—")</f>
        <v>0.939712546535873</v>
      </c>
      <c r="P16" s="52" t="str">
        <f aca="false">IF(AND(ISNUMBER(M16),ISNUMBER(N16)),IF(M16=N16,IF(ABS(D16/M16-1)&lt;=0.2,"±20% 內","差距 &gt;20%"),IF(D16&lt;M16,"低於外部區間",IF(D16&gt;N16,"高於外部區間","落在外部區間"))),"無外部對照")</f>
        <v>±20% 內</v>
      </c>
      <c r="Q16" s="53" t="s">
        <v>1891</v>
      </c>
      <c r="R16" s="53" t="s">
        <v>1890</v>
      </c>
      <c r="S16" s="5" t="s">
        <v>1894</v>
      </c>
    </row>
    <row r="17" customFormat="false" ht="44" hidden="false" customHeight="false" outlineLevel="0" collapsed="false">
      <c r="A17" s="53" t="s">
        <v>1895</v>
      </c>
      <c r="B17" s="5" t="s">
        <v>1896</v>
      </c>
      <c r="C17" s="6" t="s">
        <v>1887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783</v>
      </c>
      <c r="H17" s="5" t="s">
        <v>1841</v>
      </c>
      <c r="I17" s="5" t="s">
        <v>1888</v>
      </c>
      <c r="J17" s="5" t="s">
        <v>1889</v>
      </c>
      <c r="K17" s="5" t="s">
        <v>1877</v>
      </c>
      <c r="L17" s="53" t="s">
        <v>1897</v>
      </c>
      <c r="M17" s="86" t="n">
        <f aca="false">SRC_DC_013</f>
        <v>2.65</v>
      </c>
      <c r="N17" s="86" t="n">
        <f aca="false">SRC_DC_013</f>
        <v>2.65</v>
      </c>
      <c r="O17" s="67" t="n">
        <f aca="false">IF(AND(ISNUMBER(M17),ISNUMBER(N17)),D17/((M17+N17)/2),"—")</f>
        <v>1.12736335175115</v>
      </c>
      <c r="P17" s="52" t="str">
        <f aca="false">IF(AND(ISNUMBER(M17),ISNUMBER(N17)),IF(M17=N17,IF(ABS(D17/M17-1)&lt;=0.2,"±20% 內","差距 &gt;20%"),IF(D17&lt;M17,"低於外部區間",IF(D17&gt;N17,"高於外部區間","落在外部區間"))),"無外部對照")</f>
        <v>±20% 內</v>
      </c>
      <c r="Q17" s="53" t="s">
        <v>1895</v>
      </c>
      <c r="R17" s="53" t="s">
        <v>1890</v>
      </c>
      <c r="S17" s="5" t="s">
        <v>1894</v>
      </c>
    </row>
    <row r="18" customFormat="false" ht="29.85" hidden="false" customHeight="false" outlineLevel="0" collapsed="false">
      <c r="A18" s="53" t="s">
        <v>1898</v>
      </c>
      <c r="B18" s="5" t="s">
        <v>1899</v>
      </c>
      <c r="C18" s="6" t="s">
        <v>1887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783</v>
      </c>
      <c r="H18" s="5" t="s">
        <v>1841</v>
      </c>
      <c r="I18" s="5" t="s">
        <v>1888</v>
      </c>
      <c r="J18" s="5" t="s">
        <v>1889</v>
      </c>
      <c r="K18" s="5" t="s">
        <v>1877</v>
      </c>
      <c r="L18" s="53" t="s">
        <v>554</v>
      </c>
      <c r="M18" s="107" t="s">
        <v>554</v>
      </c>
      <c r="N18" s="107" t="s">
        <v>554</v>
      </c>
      <c r="O18" s="67" t="str">
        <f aca="false">IF(AND(ISNUMBER(M18),ISNUMBER(N18)),D18/((M18+N18)/2),"—")</f>
        <v>—</v>
      </c>
      <c r="P18" s="52" t="str">
        <f aca="false">IF(AND(ISNUMBER(M18),ISNUMBER(N18)),IF(M18=N18,IF(ABS(D18/M18-1)&lt;=0.2,"±20% 內","差距 &gt;20%"),IF(D18&lt;M18,"低於外部區間",IF(D18&gt;N18,"高於外部區間","落在外部區間"))),"無外部對照")</f>
        <v>無外部對照</v>
      </c>
      <c r="Q18" s="53" t="s">
        <v>1898</v>
      </c>
      <c r="R18" s="53" t="s">
        <v>1890</v>
      </c>
      <c r="S18" s="6" t="s">
        <v>554</v>
      </c>
    </row>
    <row r="19" customFormat="false" ht="44" hidden="false" customHeight="false" outlineLevel="0" collapsed="false">
      <c r="A19" s="53" t="s">
        <v>1900</v>
      </c>
      <c r="B19" s="6" t="s">
        <v>1901</v>
      </c>
      <c r="C19" s="5" t="s">
        <v>1902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738</v>
      </c>
      <c r="H19" s="5" t="s">
        <v>1841</v>
      </c>
      <c r="I19" s="5" t="s">
        <v>1903</v>
      </c>
      <c r="J19" s="6" t="s">
        <v>1904</v>
      </c>
      <c r="K19" s="5" t="s">
        <v>1905</v>
      </c>
      <c r="L19" s="53" t="s">
        <v>554</v>
      </c>
      <c r="M19" s="107" t="s">
        <v>554</v>
      </c>
      <c r="N19" s="107" t="s">
        <v>554</v>
      </c>
      <c r="O19" s="67" t="str">
        <f aca="false">IF(AND(ISNUMBER(M19),ISNUMBER(N19)),D19/((M19+N19)/2),"—")</f>
        <v>—</v>
      </c>
      <c r="P19" s="52" t="str">
        <f aca="false">IF(AND(ISNUMBER(M19),ISNUMBER(N19)),IF(M19=N19,IF(ABS(D19/M19-1)&lt;=0.2,"±20% 內","差距 &gt;20%"),IF(D19&lt;M19,"低於外部區間",IF(D19&gt;N19,"高於外部區間","落在外部區間"))),"無外部對照")</f>
        <v>無外部對照</v>
      </c>
      <c r="Q19" s="53" t="s">
        <v>1900</v>
      </c>
      <c r="R19" s="53" t="s">
        <v>1906</v>
      </c>
      <c r="S19" s="6" t="s">
        <v>1907</v>
      </c>
    </row>
    <row r="20" customFormat="false" ht="44" hidden="false" customHeight="false" outlineLevel="0" collapsed="false">
      <c r="A20" s="53" t="s">
        <v>1908</v>
      </c>
      <c r="B20" s="6" t="s">
        <v>1909</v>
      </c>
      <c r="C20" s="5" t="s">
        <v>1902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738</v>
      </c>
      <c r="H20" s="5" t="s">
        <v>1841</v>
      </c>
      <c r="I20" s="5" t="s">
        <v>1903</v>
      </c>
      <c r="J20" s="6" t="s">
        <v>1904</v>
      </c>
      <c r="K20" s="5" t="s">
        <v>1905</v>
      </c>
      <c r="L20" s="53" t="s">
        <v>554</v>
      </c>
      <c r="M20" s="107" t="s">
        <v>554</v>
      </c>
      <c r="N20" s="107" t="s">
        <v>554</v>
      </c>
      <c r="O20" s="67" t="str">
        <f aca="false">IF(AND(ISNUMBER(M20),ISNUMBER(N20)),D20/((M20+N20)/2),"—")</f>
        <v>—</v>
      </c>
      <c r="P20" s="52" t="str">
        <f aca="false">IF(AND(ISNUMBER(M20),ISNUMBER(N20)),IF(M20=N20,IF(ABS(D20/M20-1)&lt;=0.2,"±20% 內","差距 &gt;20%"),IF(D20&lt;M20,"低於外部區間",IF(D20&gt;N20,"高於外部區間","落在外部區間"))),"無外部對照")</f>
        <v>無外部對照</v>
      </c>
      <c r="Q20" s="53" t="s">
        <v>1908</v>
      </c>
      <c r="R20" s="53" t="s">
        <v>1906</v>
      </c>
      <c r="S20" s="6" t="s">
        <v>554</v>
      </c>
    </row>
    <row r="21" customFormat="false" ht="44" hidden="false" customHeight="false" outlineLevel="0" collapsed="false">
      <c r="A21" s="53" t="s">
        <v>1910</v>
      </c>
      <c r="B21" s="6" t="s">
        <v>1911</v>
      </c>
      <c r="C21" s="5" t="s">
        <v>1902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738</v>
      </c>
      <c r="H21" s="5" t="s">
        <v>1841</v>
      </c>
      <c r="I21" s="5" t="s">
        <v>1903</v>
      </c>
      <c r="J21" s="6" t="s">
        <v>1904</v>
      </c>
      <c r="K21" s="5" t="s">
        <v>1905</v>
      </c>
      <c r="L21" s="53" t="s">
        <v>554</v>
      </c>
      <c r="M21" s="107" t="s">
        <v>554</v>
      </c>
      <c r="N21" s="107" t="s">
        <v>554</v>
      </c>
      <c r="O21" s="67" t="str">
        <f aca="false">IF(AND(ISNUMBER(M21),ISNUMBER(N21)),D21/((M21+N21)/2),"—")</f>
        <v>—</v>
      </c>
      <c r="P21" s="52" t="str">
        <f aca="false">IF(AND(ISNUMBER(M21),ISNUMBER(N21)),IF(M21=N21,IF(ABS(D21/M21-1)&lt;=0.2,"±20% 內","差距 &gt;20%"),IF(D21&lt;M21,"低於外部區間",IF(D21&gt;N21,"高於外部區間","落在外部區間"))),"無外部對照")</f>
        <v>無外部對照</v>
      </c>
      <c r="Q21" s="53" t="s">
        <v>1910</v>
      </c>
      <c r="R21" s="53" t="s">
        <v>1906</v>
      </c>
      <c r="S21" s="6" t="s">
        <v>1907</v>
      </c>
    </row>
    <row r="22" customFormat="false" ht="44" hidden="false" customHeight="false" outlineLevel="0" collapsed="false">
      <c r="A22" s="53" t="s">
        <v>1912</v>
      </c>
      <c r="B22" s="6" t="s">
        <v>1913</v>
      </c>
      <c r="C22" s="5" t="s">
        <v>1902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738</v>
      </c>
      <c r="H22" s="5" t="s">
        <v>1841</v>
      </c>
      <c r="I22" s="5" t="s">
        <v>1903</v>
      </c>
      <c r="J22" s="6" t="s">
        <v>1904</v>
      </c>
      <c r="K22" s="5" t="s">
        <v>1905</v>
      </c>
      <c r="L22" s="53" t="s">
        <v>554</v>
      </c>
      <c r="M22" s="107" t="s">
        <v>554</v>
      </c>
      <c r="N22" s="107" t="s">
        <v>554</v>
      </c>
      <c r="O22" s="67" t="str">
        <f aca="false">IF(AND(ISNUMBER(M22),ISNUMBER(N22)),D22/((M22+N22)/2),"—")</f>
        <v>—</v>
      </c>
      <c r="P22" s="52" t="str">
        <f aca="false">IF(AND(ISNUMBER(M22),ISNUMBER(N22)),IF(M22=N22,IF(ABS(D22/M22-1)&lt;=0.2,"±20% 內","差距 &gt;20%"),IF(D22&lt;M22,"低於外部區間",IF(D22&gt;N22,"高於外部區間","落在外部區間"))),"無外部對照")</f>
        <v>無外部對照</v>
      </c>
      <c r="Q22" s="53" t="s">
        <v>1912</v>
      </c>
      <c r="R22" s="53" t="s">
        <v>1906</v>
      </c>
      <c r="S22" s="6" t="s">
        <v>554</v>
      </c>
    </row>
    <row r="23" customFormat="false" ht="44" hidden="false" customHeight="false" outlineLevel="0" collapsed="false">
      <c r="A23" s="53" t="s">
        <v>1914</v>
      </c>
      <c r="B23" s="6" t="s">
        <v>1915</v>
      </c>
      <c r="C23" s="5" t="s">
        <v>1902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738</v>
      </c>
      <c r="H23" s="5" t="s">
        <v>1841</v>
      </c>
      <c r="I23" s="5" t="s">
        <v>1903</v>
      </c>
      <c r="J23" s="6" t="s">
        <v>1904</v>
      </c>
      <c r="K23" s="5" t="s">
        <v>1905</v>
      </c>
      <c r="L23" s="53" t="s">
        <v>554</v>
      </c>
      <c r="M23" s="107" t="s">
        <v>554</v>
      </c>
      <c r="N23" s="107" t="s">
        <v>554</v>
      </c>
      <c r="O23" s="67" t="str">
        <f aca="false">IF(AND(ISNUMBER(M23),ISNUMBER(N23)),D23/((M23+N23)/2),"—")</f>
        <v>—</v>
      </c>
      <c r="P23" s="52" t="str">
        <f aca="false">IF(AND(ISNUMBER(M23),ISNUMBER(N23)),IF(M23=N23,IF(ABS(D23/M23-1)&lt;=0.2,"±20% 內","差距 &gt;20%"),IF(D23&lt;M23,"低於外部區間",IF(D23&gt;N23,"高於外部區間","落在外部區間"))),"無外部對照")</f>
        <v>無外部對照</v>
      </c>
      <c r="Q23" s="53" t="s">
        <v>1914</v>
      </c>
      <c r="R23" s="53" t="s">
        <v>1906</v>
      </c>
      <c r="S23" s="6" t="s">
        <v>1907</v>
      </c>
    </row>
    <row r="24" customFormat="false" ht="44" hidden="false" customHeight="false" outlineLevel="0" collapsed="false">
      <c r="A24" s="53" t="s">
        <v>1916</v>
      </c>
      <c r="B24" s="6" t="s">
        <v>1917</v>
      </c>
      <c r="C24" s="5" t="s">
        <v>1902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738</v>
      </c>
      <c r="H24" s="5" t="s">
        <v>1841</v>
      </c>
      <c r="I24" s="5" t="s">
        <v>1903</v>
      </c>
      <c r="J24" s="6" t="s">
        <v>1904</v>
      </c>
      <c r="K24" s="5" t="s">
        <v>1905</v>
      </c>
      <c r="L24" s="53" t="s">
        <v>554</v>
      </c>
      <c r="M24" s="107" t="s">
        <v>554</v>
      </c>
      <c r="N24" s="107" t="s">
        <v>554</v>
      </c>
      <c r="O24" s="67" t="str">
        <f aca="false">IF(AND(ISNUMBER(M24),ISNUMBER(N24)),D24/((M24+N24)/2),"—")</f>
        <v>—</v>
      </c>
      <c r="P24" s="52" t="str">
        <f aca="false">IF(AND(ISNUMBER(M24),ISNUMBER(N24)),IF(M24=N24,IF(ABS(D24/M24-1)&lt;=0.2,"±20% 內","差距 &gt;20%"),IF(D24&lt;M24,"低於外部區間",IF(D24&gt;N24,"高於外部區間","落在外部區間"))),"無外部對照")</f>
        <v>無外部對照</v>
      </c>
      <c r="Q24" s="53" t="s">
        <v>1916</v>
      </c>
      <c r="R24" s="53" t="s">
        <v>1906</v>
      </c>
      <c r="S24" s="6" t="s">
        <v>554</v>
      </c>
    </row>
    <row r="25" customFormat="false" ht="29.85" hidden="false" customHeight="false" outlineLevel="0" collapsed="false">
      <c r="A25" s="53" t="s">
        <v>1918</v>
      </c>
      <c r="B25" s="6" t="s">
        <v>1919</v>
      </c>
      <c r="C25" s="5" t="s">
        <v>1920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1921</v>
      </c>
      <c r="H25" s="5" t="s">
        <v>1841</v>
      </c>
      <c r="I25" s="5" t="s">
        <v>1922</v>
      </c>
      <c r="J25" s="5" t="s">
        <v>1923</v>
      </c>
      <c r="K25" s="6" t="s">
        <v>1924</v>
      </c>
      <c r="L25" s="53" t="s">
        <v>1925</v>
      </c>
      <c r="M25" s="86" t="n">
        <f aca="false">SRC_PERF_011</f>
        <v>0.078</v>
      </c>
      <c r="N25" s="86" t="n">
        <f aca="false">SRC_PERF_011</f>
        <v>0.078</v>
      </c>
      <c r="O25" s="67" t="n">
        <f aca="false">IF(AND(ISNUMBER(M25),ISNUMBER(N25)),D25/((M25+N25)/2),"—")</f>
        <v>1.13372095081347</v>
      </c>
      <c r="P25" s="52" t="str">
        <f aca="false">IF(AND(ISNUMBER(M25),ISNUMBER(N25)),IF(M25=N25,IF(ABS(D25/M25-1)&lt;=0.2,"±20% 內","差距 &gt;20%"),IF(D25&lt;M25,"低於外部區間",IF(D25&gt;N25,"高於外部區間","落在外部區間"))),"無外部對照")</f>
        <v>±20% 內</v>
      </c>
      <c r="Q25" s="53" t="s">
        <v>1918</v>
      </c>
      <c r="R25" s="53" t="s">
        <v>1926</v>
      </c>
      <c r="S25" s="6" t="s">
        <v>1927</v>
      </c>
    </row>
    <row r="26" customFormat="false" ht="44" hidden="false" customHeight="false" outlineLevel="0" collapsed="false">
      <c r="A26" s="53" t="s">
        <v>1928</v>
      </c>
      <c r="B26" s="5" t="s">
        <v>1929</v>
      </c>
      <c r="C26" s="6" t="s">
        <v>1930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1874</v>
      </c>
      <c r="H26" s="5" t="s">
        <v>1931</v>
      </c>
      <c r="I26" s="5" t="s">
        <v>1932</v>
      </c>
      <c r="J26" s="5" t="s">
        <v>1933</v>
      </c>
      <c r="K26" s="5" t="s">
        <v>1934</v>
      </c>
      <c r="L26" s="53" t="s">
        <v>554</v>
      </c>
      <c r="M26" s="107" t="s">
        <v>554</v>
      </c>
      <c r="N26" s="107" t="s">
        <v>554</v>
      </c>
      <c r="O26" s="67" t="str">
        <f aca="false">IF(AND(ISNUMBER(M26),ISNUMBER(N26)),D26/((M26+N26)/2),"—")</f>
        <v>—</v>
      </c>
      <c r="P26" s="52" t="str">
        <f aca="false">IF(AND(ISNUMBER(M26),ISNUMBER(N26)),IF(M26=N26,IF(ABS(D26/M26-1)&lt;=0.2,"±20% 內","差距 &gt;20%"),IF(D26&lt;M26,"低於外部區間",IF(D26&gt;N26,"高於外部區間","落在外部區間"))),"無外部對照")</f>
        <v>無外部對照</v>
      </c>
      <c r="Q26" s="53" t="s">
        <v>1928</v>
      </c>
      <c r="R26" s="53" t="s">
        <v>1935</v>
      </c>
      <c r="S26" s="5" t="s">
        <v>1936</v>
      </c>
    </row>
    <row r="27" customFormat="false" ht="44" hidden="false" customHeight="false" outlineLevel="0" collapsed="false">
      <c r="A27" s="53" t="s">
        <v>1937</v>
      </c>
      <c r="B27" s="5" t="s">
        <v>1938</v>
      </c>
      <c r="C27" s="6" t="s">
        <v>1930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1874</v>
      </c>
      <c r="H27" s="5" t="s">
        <v>1931</v>
      </c>
      <c r="I27" s="5" t="s">
        <v>1932</v>
      </c>
      <c r="J27" s="5" t="s">
        <v>1933</v>
      </c>
      <c r="K27" s="5" t="s">
        <v>1934</v>
      </c>
      <c r="L27" s="53" t="s">
        <v>554</v>
      </c>
      <c r="M27" s="107" t="s">
        <v>554</v>
      </c>
      <c r="N27" s="107" t="s">
        <v>554</v>
      </c>
      <c r="O27" s="67" t="str">
        <f aca="false">IF(AND(ISNUMBER(M27),ISNUMBER(N27)),D27/((M27+N27)/2),"—")</f>
        <v>—</v>
      </c>
      <c r="P27" s="52" t="str">
        <f aca="false">IF(AND(ISNUMBER(M27),ISNUMBER(N27)),IF(M27=N27,IF(ABS(D27/M27-1)&lt;=0.2,"±20% 內","差距 &gt;20%"),IF(D27&lt;M27,"低於外部區間",IF(D27&gt;N27,"高於外部區間","落在外部區間"))),"無外部對照")</f>
        <v>無外部對照</v>
      </c>
      <c r="Q27" s="53" t="s">
        <v>1937</v>
      </c>
      <c r="R27" s="53" t="s">
        <v>1935</v>
      </c>
      <c r="S27" s="5" t="s">
        <v>1936</v>
      </c>
    </row>
    <row r="28" customFormat="false" ht="44" hidden="false" customHeight="false" outlineLevel="0" collapsed="false">
      <c r="A28" s="53" t="s">
        <v>1939</v>
      </c>
      <c r="B28" s="5" t="s">
        <v>1940</v>
      </c>
      <c r="C28" s="6" t="s">
        <v>1930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1874</v>
      </c>
      <c r="H28" s="5" t="s">
        <v>1931</v>
      </c>
      <c r="I28" s="5" t="s">
        <v>1932</v>
      </c>
      <c r="J28" s="5" t="s">
        <v>1933</v>
      </c>
      <c r="K28" s="5" t="s">
        <v>1934</v>
      </c>
      <c r="L28" s="53" t="s">
        <v>554</v>
      </c>
      <c r="M28" s="107" t="s">
        <v>554</v>
      </c>
      <c r="N28" s="107" t="s">
        <v>554</v>
      </c>
      <c r="O28" s="67" t="str">
        <f aca="false">IF(AND(ISNUMBER(M28),ISNUMBER(N28)),D28/((M28+N28)/2),"—")</f>
        <v>—</v>
      </c>
      <c r="P28" s="52" t="str">
        <f aca="false">IF(AND(ISNUMBER(M28),ISNUMBER(N28)),IF(M28=N28,IF(ABS(D28/M28-1)&lt;=0.2,"±20% 內","差距 &gt;20%"),IF(D28&lt;M28,"低於外部區間",IF(D28&gt;N28,"高於外部區間","落在外部區間"))),"無外部對照")</f>
        <v>無外部對照</v>
      </c>
      <c r="Q28" s="53" t="s">
        <v>1939</v>
      </c>
      <c r="R28" s="53" t="s">
        <v>1935</v>
      </c>
      <c r="S28" s="5" t="s">
        <v>1936</v>
      </c>
    </row>
    <row r="29" customFormat="false" ht="44" hidden="false" customHeight="false" outlineLevel="0" collapsed="false">
      <c r="A29" s="53" t="s">
        <v>1941</v>
      </c>
      <c r="B29" s="6" t="s">
        <v>1942</v>
      </c>
      <c r="C29" s="6" t="s">
        <v>1930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1874</v>
      </c>
      <c r="H29" s="5" t="s">
        <v>1931</v>
      </c>
      <c r="I29" s="5" t="s">
        <v>1932</v>
      </c>
      <c r="J29" s="5" t="s">
        <v>1933</v>
      </c>
      <c r="K29" s="5" t="s">
        <v>1934</v>
      </c>
      <c r="L29" s="53" t="s">
        <v>554</v>
      </c>
      <c r="M29" s="107" t="s">
        <v>554</v>
      </c>
      <c r="N29" s="107" t="s">
        <v>554</v>
      </c>
      <c r="O29" s="67" t="str">
        <f aca="false">IF(AND(ISNUMBER(M29),ISNUMBER(N29)),D29/((M29+N29)/2),"—")</f>
        <v>—</v>
      </c>
      <c r="P29" s="52" t="str">
        <f aca="false">IF(AND(ISNUMBER(M29),ISNUMBER(N29)),IF(M29=N29,IF(ABS(D29/M29-1)&lt;=0.2,"±20% 內","差距 &gt;20%"),IF(D29&lt;M29,"低於外部區間",IF(D29&gt;N29,"高於外部區間","落在外部區間"))),"無外部對照")</f>
        <v>無外部對照</v>
      </c>
      <c r="Q29" s="53" t="s">
        <v>1941</v>
      </c>
      <c r="R29" s="53" t="s">
        <v>1935</v>
      </c>
      <c r="S29" s="5" t="s">
        <v>1936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9" t="s">
        <v>1943</v>
      </c>
    </row>
    <row r="2" customFormat="false" ht="15" hidden="false" customHeight="false" outlineLevel="0" collapsed="false">
      <c r="A2" s="64" t="s">
        <v>1944</v>
      </c>
    </row>
    <row r="4" customFormat="false" ht="15" hidden="false" customHeight="false" outlineLevel="0" collapsed="false">
      <c r="A4" s="10" t="s">
        <v>1945</v>
      </c>
    </row>
    <row r="5" customFormat="false" ht="15" hidden="false" customHeight="false" outlineLevel="0" collapsed="false">
      <c r="A5" s="53" t="s">
        <v>1946</v>
      </c>
      <c r="B5" s="53" t="s">
        <v>69</v>
      </c>
      <c r="C5" s="57" t="n">
        <v>0.6</v>
      </c>
      <c r="F5" s="50" t="s">
        <v>1947</v>
      </c>
    </row>
    <row r="6" customFormat="false" ht="15" hidden="false" customHeight="false" outlineLevel="0" collapsed="false">
      <c r="A6" s="53" t="s">
        <v>1948</v>
      </c>
      <c r="B6" s="53" t="s">
        <v>1949</v>
      </c>
      <c r="C6" s="58" t="n">
        <v>10</v>
      </c>
      <c r="F6" s="50" t="s">
        <v>1950</v>
      </c>
    </row>
    <row r="7" customFormat="false" ht="15" hidden="false" customHeight="false" outlineLevel="0" collapsed="false">
      <c r="A7" s="53" t="s">
        <v>1951</v>
      </c>
      <c r="B7" s="53" t="s">
        <v>1949</v>
      </c>
      <c r="C7" s="58" t="n">
        <v>40</v>
      </c>
      <c r="F7" s="50" t="s">
        <v>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9" t="s">
        <v>1953</v>
      </c>
    </row>
    <row r="2" customFormat="false" ht="15" hidden="false" customHeight="false" outlineLevel="0" collapsed="false">
      <c r="A2" s="64" t="s">
        <v>1954</v>
      </c>
    </row>
    <row r="4" customFormat="false" ht="30" hidden="false" customHeight="true" outlineLevel="0" collapsed="false">
      <c r="A4" s="74" t="s">
        <v>1955</v>
      </c>
      <c r="B4" s="74" t="s">
        <v>1956</v>
      </c>
      <c r="C4" s="74" t="s">
        <v>1957</v>
      </c>
      <c r="D4" s="74" t="s">
        <v>1958</v>
      </c>
      <c r="E4" s="74" t="s">
        <v>1959</v>
      </c>
      <c r="F4" s="74" t="s">
        <v>1960</v>
      </c>
      <c r="G4" s="74" t="s">
        <v>1961</v>
      </c>
      <c r="H4" s="74" t="s">
        <v>1962</v>
      </c>
      <c r="I4" s="74" t="s">
        <v>1963</v>
      </c>
      <c r="J4" s="74" t="s">
        <v>1964</v>
      </c>
      <c r="K4" s="74" t="s">
        <v>57</v>
      </c>
      <c r="L4" s="74" t="s">
        <v>278</v>
      </c>
    </row>
    <row r="5" customFormat="false" ht="15" hidden="false" customHeight="false" outlineLevel="0" collapsed="false">
      <c r="A5" s="53" t="s">
        <v>1965</v>
      </c>
      <c r="B5" s="69" t="n">
        <v>0.5</v>
      </c>
      <c r="C5" s="69" t="n">
        <v>0.7</v>
      </c>
      <c r="D5" s="69" t="n">
        <v>1</v>
      </c>
      <c r="E5" s="69" t="n">
        <v>0.8</v>
      </c>
      <c r="F5" s="69" t="n">
        <v>0.9</v>
      </c>
      <c r="G5" s="69" t="n">
        <v>1</v>
      </c>
      <c r="H5" s="96" t="n">
        <f aca="false">F5/C5</f>
        <v>1.28571428571429</v>
      </c>
      <c r="I5" s="67" t="n">
        <f aca="false">E5/D5</f>
        <v>0.8</v>
      </c>
      <c r="J5" s="67" t="n">
        <f aca="false">G5/B5</f>
        <v>2</v>
      </c>
      <c r="K5" s="50" t="s">
        <v>70</v>
      </c>
      <c r="L5" s="50" t="s">
        <v>1966</v>
      </c>
    </row>
    <row r="6" customFormat="false" ht="15" hidden="false" customHeight="false" outlineLevel="0" collapsed="false">
      <c r="A6" s="53" t="s">
        <v>1967</v>
      </c>
      <c r="B6" s="69" t="n">
        <v>0.6</v>
      </c>
      <c r="C6" s="69" t="n">
        <v>0.8</v>
      </c>
      <c r="D6" s="69" t="n">
        <v>1.1</v>
      </c>
      <c r="E6" s="69" t="n">
        <v>0.7</v>
      </c>
      <c r="F6" s="69" t="n">
        <v>0.8</v>
      </c>
      <c r="G6" s="69" t="n">
        <v>1</v>
      </c>
      <c r="H6" s="96" t="n">
        <f aca="false">F6/C6</f>
        <v>1</v>
      </c>
      <c r="I6" s="67" t="n">
        <f aca="false">E6/D6</f>
        <v>0.636363636363636</v>
      </c>
      <c r="J6" s="67" t="n">
        <f aca="false">G6/B6</f>
        <v>1.66666666666667</v>
      </c>
      <c r="K6" s="50" t="s">
        <v>70</v>
      </c>
      <c r="L6" s="64" t="s">
        <v>1968</v>
      </c>
    </row>
    <row r="7" customFormat="false" ht="15" hidden="false" customHeight="false" outlineLevel="0" collapsed="false">
      <c r="A7" s="53" t="s">
        <v>1969</v>
      </c>
      <c r="B7" s="69" t="n">
        <v>0.3</v>
      </c>
      <c r="C7" s="69" t="n">
        <v>0.5</v>
      </c>
      <c r="D7" s="69" t="n">
        <v>0.8</v>
      </c>
      <c r="E7" s="69" t="n">
        <v>0.6</v>
      </c>
      <c r="F7" s="69" t="n">
        <v>0.7</v>
      </c>
      <c r="G7" s="69" t="n">
        <v>0.9</v>
      </c>
      <c r="H7" s="96" t="n">
        <f aca="false">F7/C7</f>
        <v>1.4</v>
      </c>
      <c r="I7" s="67" t="n">
        <f aca="false">E7/D7</f>
        <v>0.75</v>
      </c>
      <c r="J7" s="67" t="n">
        <f aca="false">G7/B7</f>
        <v>3</v>
      </c>
      <c r="K7" s="50" t="s">
        <v>70</v>
      </c>
      <c r="L7" s="50" t="s">
        <v>1970</v>
      </c>
    </row>
    <row r="8" customFormat="false" ht="15" hidden="false" customHeight="false" outlineLevel="0" collapsed="false">
      <c r="A8" s="53" t="s">
        <v>1971</v>
      </c>
      <c r="B8" s="69" t="n">
        <v>0.2</v>
      </c>
      <c r="C8" s="69" t="n">
        <v>0.4</v>
      </c>
      <c r="D8" s="69" t="n">
        <v>0.8</v>
      </c>
      <c r="E8" s="69" t="n">
        <v>0.8</v>
      </c>
      <c r="F8" s="69" t="n">
        <v>1</v>
      </c>
      <c r="G8" s="69" t="n">
        <v>1.2</v>
      </c>
      <c r="H8" s="96" t="n">
        <f aca="false">F8/C8</f>
        <v>2.5</v>
      </c>
      <c r="I8" s="67" t="n">
        <f aca="false">E8/D8</f>
        <v>1</v>
      </c>
      <c r="J8" s="67" t="n">
        <f aca="false">G8/B8</f>
        <v>6</v>
      </c>
      <c r="K8" s="50" t="s">
        <v>70</v>
      </c>
      <c r="L8" s="64" t="s">
        <v>1972</v>
      </c>
    </row>
    <row r="9" customFormat="false" ht="15" hidden="false" customHeight="false" outlineLevel="0" collapsed="false">
      <c r="A9" s="53" t="s">
        <v>1973</v>
      </c>
      <c r="B9" s="69" t="n">
        <v>0.4</v>
      </c>
      <c r="C9" s="69" t="n">
        <v>0.6</v>
      </c>
      <c r="D9" s="69" t="n">
        <v>0.9</v>
      </c>
      <c r="E9" s="69" t="n">
        <v>0.7</v>
      </c>
      <c r="F9" s="69" t="n">
        <v>0.8</v>
      </c>
      <c r="G9" s="69" t="n">
        <v>1</v>
      </c>
      <c r="H9" s="96" t="n">
        <f aca="false">F9/C9</f>
        <v>1.33333333333333</v>
      </c>
      <c r="I9" s="67" t="n">
        <f aca="false">E9/D9</f>
        <v>0.777777777777778</v>
      </c>
      <c r="J9" s="67" t="n">
        <f aca="false">G9/B9</f>
        <v>2.5</v>
      </c>
      <c r="K9" s="50" t="s">
        <v>70</v>
      </c>
      <c r="L9" s="64" t="s">
        <v>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1975</v>
      </c>
    </row>
    <row r="2" customFormat="false" ht="15" hidden="false" customHeight="true" outlineLevel="0" collapsed="false">
      <c r="A2" s="11" t="s">
        <v>1976</v>
      </c>
    </row>
    <row r="4" customFormat="false" ht="30" hidden="false" customHeight="true" outlineLevel="0" collapsed="false">
      <c r="A4" s="20" t="s">
        <v>760</v>
      </c>
      <c r="C4" s="191" t="s">
        <v>55</v>
      </c>
      <c r="D4" s="191" t="s">
        <v>1977</v>
      </c>
      <c r="E4" s="191" t="s">
        <v>1978</v>
      </c>
      <c r="F4" s="191" t="s">
        <v>1979</v>
      </c>
      <c r="G4" s="191" t="s">
        <v>1980</v>
      </c>
      <c r="H4" s="191" t="s">
        <v>1981</v>
      </c>
      <c r="I4" s="191" t="s">
        <v>1982</v>
      </c>
      <c r="J4" s="191" t="s">
        <v>1983</v>
      </c>
      <c r="K4" s="191" t="s">
        <v>1984</v>
      </c>
      <c r="L4" s="191" t="s">
        <v>1985</v>
      </c>
      <c r="M4" s="191" t="s">
        <v>1986</v>
      </c>
      <c r="N4" s="192" t="s">
        <v>1987</v>
      </c>
      <c r="O4" s="192" t="s">
        <v>1988</v>
      </c>
      <c r="P4" s="192" t="s">
        <v>1989</v>
      </c>
      <c r="Q4" s="192" t="s">
        <v>1990</v>
      </c>
      <c r="R4" s="191" t="s">
        <v>1991</v>
      </c>
      <c r="S4" s="191" t="s">
        <v>1992</v>
      </c>
      <c r="T4" s="192" t="s">
        <v>1993</v>
      </c>
      <c r="U4" s="192" t="s">
        <v>1994</v>
      </c>
      <c r="V4" s="191" t="s">
        <v>1995</v>
      </c>
      <c r="W4" s="191" t="s">
        <v>1996</v>
      </c>
      <c r="X4" s="191" t="s">
        <v>1997</v>
      </c>
      <c r="Y4" s="191" t="s">
        <v>1998</v>
      </c>
    </row>
    <row r="6" customFormat="false" ht="15" hidden="false" customHeight="true" outlineLevel="0" collapsed="false">
      <c r="A6" s="25" t="s">
        <v>799</v>
      </c>
      <c r="B6" s="14"/>
      <c r="C6" s="14"/>
    </row>
    <row r="7" customFormat="false" ht="15" hidden="false" customHeight="true" outlineLevel="0" collapsed="false">
      <c r="A7" s="15" t="s">
        <v>1999</v>
      </c>
      <c r="B7" s="16" t="s">
        <v>801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68</v>
      </c>
      <c r="B8" s="16" t="s">
        <v>69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802</v>
      </c>
      <c r="B9" s="16" t="s">
        <v>801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673</v>
      </c>
      <c r="B10" s="16" t="s">
        <v>674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190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1650</v>
      </c>
      <c r="B11" s="21" t="s">
        <v>672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5" t="s">
        <v>147</v>
      </c>
      <c r="B12" s="21" t="s">
        <v>666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1651</v>
      </c>
      <c r="B13" s="21" t="s">
        <v>666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348624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72</v>
      </c>
      <c r="B14" s="16" t="s">
        <v>73</v>
      </c>
      <c r="C14" s="121" t="n">
        <f aca="false">Inputs!$E$9</f>
        <v>1.2</v>
      </c>
      <c r="D14" s="121" t="n">
        <f aca="false">Inputs!$E$9</f>
        <v>1.2</v>
      </c>
      <c r="E14" s="121" t="n">
        <f aca="false">Inputs!$E$9</f>
        <v>1.2</v>
      </c>
      <c r="F14" s="121" t="n">
        <f aca="false">Inputs!$E$9</f>
        <v>1.2</v>
      </c>
      <c r="G14" s="121" t="n">
        <f aca="false">Inputs!$E$9</f>
        <v>1.2</v>
      </c>
      <c r="H14" s="121" t="n">
        <f aca="false">Inputs!$E$9</f>
        <v>1.2</v>
      </c>
      <c r="I14" s="121" t="n">
        <f aca="false">Inputs!$E$9</f>
        <v>1.2</v>
      </c>
      <c r="J14" s="121" t="n">
        <f aca="false">Inputs!$E$9</f>
        <v>1.2</v>
      </c>
      <c r="K14" s="121" t="n">
        <f aca="false">Inputs!$E$9</f>
        <v>1.2</v>
      </c>
      <c r="L14" s="121" t="n">
        <f aca="false">Inputs!$E$9</f>
        <v>1.2</v>
      </c>
      <c r="M14" s="121" t="n">
        <f aca="false">Inputs!$E$9</f>
        <v>1.2</v>
      </c>
      <c r="N14" s="121" t="n">
        <f aca="false">Inputs!$E$9</f>
        <v>1.2</v>
      </c>
      <c r="O14" s="121" t="n">
        <f aca="false">Inputs!$E$9</f>
        <v>1.2</v>
      </c>
      <c r="P14" s="121" t="n">
        <f aca="false">Inputs!$E$9</f>
        <v>1.2</v>
      </c>
      <c r="Q14" s="121" t="n">
        <f aca="false">Inputs!$E$9</f>
        <v>1.2</v>
      </c>
      <c r="R14" s="121" t="n">
        <f aca="false">Inputs!$E$9</f>
        <v>1.2</v>
      </c>
      <c r="S14" s="121" t="n">
        <f aca="false">Inputs!$E$9</f>
        <v>1.2</v>
      </c>
      <c r="T14" s="121" t="n">
        <f aca="false">Inputs!$D$9</f>
        <v>1.1</v>
      </c>
      <c r="U14" s="121" t="n">
        <f aca="false">Inputs!$F$9</f>
        <v>1.3</v>
      </c>
      <c r="V14" s="121" t="n">
        <f aca="false">Inputs!$E$9</f>
        <v>1.2</v>
      </c>
      <c r="W14" s="121" t="n">
        <f aca="false">Inputs!$E$9</f>
        <v>1.2</v>
      </c>
      <c r="X14" s="121" t="n">
        <f aca="false">Inputs!$E$9</f>
        <v>1.2</v>
      </c>
      <c r="Y14" s="121" t="n">
        <f aca="false">Inputs!$E$9</f>
        <v>1.2</v>
      </c>
    </row>
    <row r="15" customFormat="false" ht="15" hidden="false" customHeight="true" outlineLevel="0" collapsed="false">
      <c r="A15" s="20" t="s">
        <v>805</v>
      </c>
      <c r="B15" s="16" t="s">
        <v>801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2000</v>
      </c>
      <c r="B16" s="14"/>
      <c r="C16" s="14"/>
    </row>
    <row r="17" customFormat="false" ht="15" hidden="false" customHeight="true" outlineLevel="0" collapsed="false">
      <c r="A17" s="20" t="s">
        <v>807</v>
      </c>
      <c r="B17" s="16" t="s">
        <v>808</v>
      </c>
      <c r="C17" s="30" t="n">
        <f aca="false">Spec_Rack!F12</f>
        <v>7.8</v>
      </c>
      <c r="D17" s="30" t="n">
        <f aca="false">Spec_Rack!F11</f>
        <v>6.7</v>
      </c>
      <c r="E17" s="30" t="n">
        <f aca="false">Spec_Rack!F13</f>
        <v>9.1</v>
      </c>
      <c r="F17" s="30" t="n">
        <f aca="false">Spec_Rack!F12</f>
        <v>7.8</v>
      </c>
      <c r="G17" s="30" t="n">
        <f aca="false">Spec_Rack!F12</f>
        <v>7.8</v>
      </c>
      <c r="H17" s="30" t="n">
        <f aca="false">Spec_Rack!F12</f>
        <v>7.8</v>
      </c>
      <c r="I17" s="30" t="n">
        <f aca="false">Spec_Rack!F12</f>
        <v>7.8</v>
      </c>
      <c r="J17" s="30" t="n">
        <f aca="false">Spec_Rack!F12</f>
        <v>7.8</v>
      </c>
      <c r="K17" s="30" t="n">
        <f aca="false">Spec_Rack!F12</f>
        <v>7.8</v>
      </c>
      <c r="L17" s="30" t="n">
        <f aca="false">Spec_Rack!F12</f>
        <v>7.8</v>
      </c>
      <c r="M17" s="30" t="n">
        <f aca="false">Spec_Rack!F12</f>
        <v>7.8</v>
      </c>
      <c r="N17" s="30" t="n">
        <f aca="false">Spec_Rack!F12</f>
        <v>7.8</v>
      </c>
      <c r="O17" s="30" t="n">
        <f aca="false">Spec_Rack!F12</f>
        <v>7.8</v>
      </c>
      <c r="P17" s="30" t="n">
        <f aca="false">Spec_Rack!F12</f>
        <v>7.8</v>
      </c>
      <c r="Q17" s="30" t="n">
        <f aca="false">Spec_Rack!F12</f>
        <v>7.8</v>
      </c>
      <c r="R17" s="30" t="n">
        <f aca="false">Spec_Rack!F12</f>
        <v>7.8</v>
      </c>
      <c r="S17" s="30" t="n">
        <f aca="false">Spec_Rack!F12</f>
        <v>7.8</v>
      </c>
      <c r="T17" s="30" t="n">
        <f aca="false">Spec_Rack!F12</f>
        <v>7.8</v>
      </c>
      <c r="U17" s="30" t="n">
        <f aca="false">Spec_Rack!F12</f>
        <v>7.8</v>
      </c>
      <c r="V17" s="30" t="n">
        <f aca="false">Spec_Rack!F12</f>
        <v>7.8</v>
      </c>
      <c r="W17" s="30" t="n">
        <f aca="false">Spec_Rack!F12</f>
        <v>7.8</v>
      </c>
      <c r="X17" s="30" t="n">
        <f aca="false">Spec_Rack!F12</f>
        <v>7.8</v>
      </c>
      <c r="Y17" s="30" t="n">
        <f aca="false">Spec_Rack!F12</f>
        <v>7.8</v>
      </c>
    </row>
    <row r="18" customFormat="false" ht="15" hidden="false" customHeight="true" outlineLevel="0" collapsed="false">
      <c r="A18" s="20" t="s">
        <v>809</v>
      </c>
      <c r="B18" s="16" t="s">
        <v>810</v>
      </c>
      <c r="C18" s="122" t="n">
        <f aca="false">C11*C17/1000</f>
        <v>31.6056</v>
      </c>
      <c r="D18" s="122" t="n">
        <f aca="false">D11*D17/1000</f>
        <v>27.1484</v>
      </c>
      <c r="E18" s="122" t="n">
        <f aca="false">E11*E17/1000</f>
        <v>36.8732</v>
      </c>
      <c r="F18" s="122" t="n">
        <f aca="false">F11*F17/1000</f>
        <v>37.7676</v>
      </c>
      <c r="G18" s="122" t="n">
        <f aca="false">G11*G17/1000</f>
        <v>31.2</v>
      </c>
      <c r="H18" s="122" t="n">
        <f aca="false">H11*H17/1000</f>
        <v>31.6056</v>
      </c>
      <c r="I18" s="122" t="n">
        <f aca="false">I11*I17/1000</f>
        <v>31.6056</v>
      </c>
      <c r="J18" s="122" t="n">
        <f aca="false">J11*J17/1000</f>
        <v>31.6056</v>
      </c>
      <c r="K18" s="122" t="n">
        <f aca="false">K11*K17/1000</f>
        <v>31.6056</v>
      </c>
      <c r="L18" s="122" t="n">
        <f aca="false">L11*L17/1000</f>
        <v>31.6056</v>
      </c>
      <c r="M18" s="122" t="n">
        <f aca="false">M11*M17/1000</f>
        <v>31.6056</v>
      </c>
      <c r="N18" s="122" t="n">
        <f aca="false">N11*N17/1000</f>
        <v>31.6056</v>
      </c>
      <c r="O18" s="122" t="n">
        <f aca="false">O11*O17/1000</f>
        <v>31.6056</v>
      </c>
      <c r="P18" s="122" t="n">
        <f aca="false">P11*P17/1000</f>
        <v>31.6056</v>
      </c>
      <c r="Q18" s="122" t="n">
        <f aca="false">Q11*Q17/1000</f>
        <v>31.6056</v>
      </c>
      <c r="R18" s="122" t="n">
        <f aca="false">R11*R17/1000</f>
        <v>31.6056</v>
      </c>
      <c r="S18" s="122" t="n">
        <f aca="false">S11*S17/1000</f>
        <v>31.6056</v>
      </c>
      <c r="T18" s="122" t="n">
        <f aca="false">T11*T17/1000</f>
        <v>31.6056</v>
      </c>
      <c r="U18" s="122" t="n">
        <f aca="false">U11*U17/1000</f>
        <v>31.6056</v>
      </c>
      <c r="V18" s="122" t="n">
        <f aca="false">V11*V17/1000</f>
        <v>31.6056</v>
      </c>
      <c r="W18" s="122" t="n">
        <f aca="false">W11*W17/1000</f>
        <v>31.6056</v>
      </c>
      <c r="X18" s="122" t="n">
        <f aca="false">X11*X17/1000</f>
        <v>32.643</v>
      </c>
      <c r="Y18" s="122" t="n">
        <f aca="false">Y11*Y17/1000</f>
        <v>30.2328</v>
      </c>
    </row>
    <row r="19" customFormat="false" ht="15" hidden="false" customHeight="true" outlineLevel="0" collapsed="false">
      <c r="A19" s="15" t="s">
        <v>83</v>
      </c>
      <c r="B19" s="16" t="s">
        <v>69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811</v>
      </c>
      <c r="B20" s="16" t="s">
        <v>810</v>
      </c>
      <c r="C20" s="122" t="n">
        <f aca="false">C18*C19</f>
        <v>3.16056</v>
      </c>
      <c r="D20" s="122" t="n">
        <f aca="false">D18*D19</f>
        <v>2.71484</v>
      </c>
      <c r="E20" s="122" t="n">
        <f aca="false">E18*E19</f>
        <v>3.68732</v>
      </c>
      <c r="F20" s="122" t="n">
        <f aca="false">F18*F19</f>
        <v>3.77676</v>
      </c>
      <c r="G20" s="122" t="n">
        <f aca="false">G18*G19</f>
        <v>3.12</v>
      </c>
      <c r="H20" s="122" t="n">
        <f aca="false">H18*H19</f>
        <v>1.58028</v>
      </c>
      <c r="I20" s="122" t="n">
        <f aca="false">I18*I19</f>
        <v>4.74084</v>
      </c>
      <c r="J20" s="122" t="n">
        <f aca="false">J18*J19</f>
        <v>3.16056</v>
      </c>
      <c r="K20" s="122" t="n">
        <f aca="false">K18*K19</f>
        <v>3.16056</v>
      </c>
      <c r="L20" s="122" t="n">
        <f aca="false">L18*L19</f>
        <v>3.16056</v>
      </c>
      <c r="M20" s="122" t="n">
        <f aca="false">M18*M19</f>
        <v>3.16056</v>
      </c>
      <c r="N20" s="122" t="n">
        <f aca="false">N18*N19</f>
        <v>3.16056</v>
      </c>
      <c r="O20" s="122" t="n">
        <f aca="false">O18*O19</f>
        <v>3.16056</v>
      </c>
      <c r="P20" s="122" t="n">
        <f aca="false">P18*P19</f>
        <v>3.16056</v>
      </c>
      <c r="Q20" s="122" t="n">
        <f aca="false">Q18*Q19</f>
        <v>3.16056</v>
      </c>
      <c r="R20" s="122" t="n">
        <f aca="false">R18*R19</f>
        <v>3.16056</v>
      </c>
      <c r="S20" s="122" t="n">
        <f aca="false">S18*S19</f>
        <v>3.16056</v>
      </c>
      <c r="T20" s="122" t="n">
        <f aca="false">T18*T19</f>
        <v>3.16056</v>
      </c>
      <c r="U20" s="122" t="n">
        <f aca="false">U18*U19</f>
        <v>3.16056</v>
      </c>
      <c r="V20" s="122" t="n">
        <f aca="false">V18*V19</f>
        <v>3.16056</v>
      </c>
      <c r="W20" s="122" t="n">
        <f aca="false">W18*W19</f>
        <v>3.16056</v>
      </c>
      <c r="X20" s="122" t="n">
        <f aca="false">X18*X19</f>
        <v>3.2643</v>
      </c>
      <c r="Y20" s="122" t="n">
        <f aca="false">Y18*Y19</f>
        <v>3.02328</v>
      </c>
    </row>
    <row r="21" customFormat="false" ht="15" hidden="false" customHeight="true" outlineLevel="0" collapsed="false">
      <c r="A21" s="20" t="s">
        <v>812</v>
      </c>
      <c r="B21" s="16" t="s">
        <v>86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812</v>
      </c>
      <c r="B22" s="16" t="s">
        <v>810</v>
      </c>
      <c r="C22" s="122" t="n">
        <f aca="false">C13*C21/1000000000</f>
        <v>0.145872</v>
      </c>
      <c r="D22" s="122" t="n">
        <f aca="false">D13*D21/1000000000</f>
        <v>0.145872</v>
      </c>
      <c r="E22" s="122" t="n">
        <f aca="false">E13*E21/1000000000</f>
        <v>0.145872</v>
      </c>
      <c r="F22" s="122" t="n">
        <f aca="false">F13*F21/1000000000</f>
        <v>0.174312</v>
      </c>
      <c r="G22" s="122" t="n">
        <f aca="false">G13*G21/1000000000</f>
        <v>0.144</v>
      </c>
      <c r="H22" s="122" t="n">
        <f aca="false">H13*H21/1000000000</f>
        <v>0.145872</v>
      </c>
      <c r="I22" s="122" t="n">
        <f aca="false">I13*I21/1000000000</f>
        <v>0.145872</v>
      </c>
      <c r="J22" s="122" t="n">
        <f aca="false">J13*J21/1000000000</f>
        <v>0.145872</v>
      </c>
      <c r="K22" s="122" t="n">
        <f aca="false">K13*K21/1000000000</f>
        <v>0.145872</v>
      </c>
      <c r="L22" s="122" t="n">
        <f aca="false">L13*L21/1000000000</f>
        <v>0.145872</v>
      </c>
      <c r="M22" s="122" t="n">
        <f aca="false">M13*M21/1000000000</f>
        <v>0.145872</v>
      </c>
      <c r="N22" s="122" t="n">
        <f aca="false">N13*N21/1000000000</f>
        <v>0.145872</v>
      </c>
      <c r="O22" s="122" t="n">
        <f aca="false">O13*O21/1000000000</f>
        <v>0.145872</v>
      </c>
      <c r="P22" s="122" t="n">
        <f aca="false">P13*P21/1000000000</f>
        <v>0.145872</v>
      </c>
      <c r="Q22" s="122" t="n">
        <f aca="false">Q13*Q21/1000000000</f>
        <v>0.145872</v>
      </c>
      <c r="R22" s="122" t="n">
        <f aca="false">R13*R21/1000000000</f>
        <v>0.145872</v>
      </c>
      <c r="S22" s="122" t="n">
        <f aca="false">S13*S21/1000000000</f>
        <v>0.145872</v>
      </c>
      <c r="T22" s="122" t="n">
        <f aca="false">T13*T21/1000000000</f>
        <v>0.145872</v>
      </c>
      <c r="U22" s="122" t="n">
        <f aca="false">U13*U21/1000000000</f>
        <v>0.145872</v>
      </c>
      <c r="V22" s="122" t="n">
        <f aca="false">V13*V21/1000000000</f>
        <v>0.145872</v>
      </c>
      <c r="W22" s="122" t="n">
        <f aca="false">W13*W21/1000000000</f>
        <v>0.145872</v>
      </c>
      <c r="X22" s="122" t="n">
        <f aca="false">X13*X21/1000000000</f>
        <v>0.15066</v>
      </c>
      <c r="Y22" s="122" t="n">
        <f aca="false">Y13*Y21/1000000000</f>
        <v>0.139536</v>
      </c>
    </row>
    <row r="23" customFormat="false" ht="15" hidden="false" customHeight="true" outlineLevel="0" collapsed="false">
      <c r="A23" s="15" t="s">
        <v>813</v>
      </c>
      <c r="B23" s="16" t="s">
        <v>810</v>
      </c>
      <c r="C23" s="122" t="n">
        <f aca="false">C18+C20+C22</f>
        <v>34.912032</v>
      </c>
      <c r="D23" s="122" t="n">
        <f aca="false">D18+D20+D22</f>
        <v>30.009112</v>
      </c>
      <c r="E23" s="122" t="n">
        <f aca="false">E18+E20+E22</f>
        <v>40.706392</v>
      </c>
      <c r="F23" s="122" t="n">
        <f aca="false">F18+F20+F22</f>
        <v>41.718672</v>
      </c>
      <c r="G23" s="122" t="n">
        <f aca="false">G18+G20+G22</f>
        <v>34.464</v>
      </c>
      <c r="H23" s="122" t="n">
        <f aca="false">H18+H20+H22</f>
        <v>33.331752</v>
      </c>
      <c r="I23" s="122" t="n">
        <f aca="false">I18+I20+I22</f>
        <v>36.492312</v>
      </c>
      <c r="J23" s="122" t="n">
        <f aca="false">J18+J20+J22</f>
        <v>34.912032</v>
      </c>
      <c r="K23" s="122" t="n">
        <f aca="false">K18+K20+K22</f>
        <v>34.912032</v>
      </c>
      <c r="L23" s="122" t="n">
        <f aca="false">L18+L20+L22</f>
        <v>34.912032</v>
      </c>
      <c r="M23" s="122" t="n">
        <f aca="false">M18+M20+M22</f>
        <v>34.912032</v>
      </c>
      <c r="N23" s="122" t="n">
        <f aca="false">N18+N20+N22</f>
        <v>34.912032</v>
      </c>
      <c r="O23" s="122" t="n">
        <f aca="false">O18+O20+O22</f>
        <v>34.912032</v>
      </c>
      <c r="P23" s="122" t="n">
        <f aca="false">P18+P20+P22</f>
        <v>34.912032</v>
      </c>
      <c r="Q23" s="122" t="n">
        <f aca="false">Q18+Q20+Q22</f>
        <v>34.912032</v>
      </c>
      <c r="R23" s="122" t="n">
        <f aca="false">R18+R20+R22</f>
        <v>34.912032</v>
      </c>
      <c r="S23" s="122" t="n">
        <f aca="false">S18+S20+S22</f>
        <v>34.912032</v>
      </c>
      <c r="T23" s="122" t="n">
        <f aca="false">T18+T20+T22</f>
        <v>34.912032</v>
      </c>
      <c r="U23" s="122" t="n">
        <f aca="false">U18+U20+U22</f>
        <v>34.912032</v>
      </c>
      <c r="V23" s="122" t="n">
        <f aca="false">V18+V20+V22</f>
        <v>34.912032</v>
      </c>
      <c r="W23" s="122" t="n">
        <f aca="false">W18+W20+W22</f>
        <v>34.912032</v>
      </c>
      <c r="X23" s="122" t="n">
        <f aca="false">X18+X20+X22</f>
        <v>36.05796</v>
      </c>
      <c r="Y23" s="122" t="n">
        <f aca="false">Y18+Y20+Y22</f>
        <v>33.395616</v>
      </c>
    </row>
    <row r="24" customFormat="false" ht="15" hidden="false" customHeight="true" outlineLevel="0" collapsed="false">
      <c r="A24" s="20" t="s">
        <v>89</v>
      </c>
      <c r="B24" s="16" t="s">
        <v>810</v>
      </c>
      <c r="C24" s="122" t="n">
        <f aca="false">C7*Inputs!$E$16/1000</f>
        <v>0.02</v>
      </c>
      <c r="D24" s="122" t="n">
        <f aca="false">D7*Inputs!$E$16/1000</f>
        <v>0.02</v>
      </c>
      <c r="E24" s="122" t="n">
        <f aca="false">E7*Inputs!$E$16/1000</f>
        <v>0.02</v>
      </c>
      <c r="F24" s="122" t="n">
        <f aca="false">F7*Inputs!$E$16/1000</f>
        <v>0.02</v>
      </c>
      <c r="G24" s="122" t="n">
        <f aca="false">G7*Inputs!$E$16/1000</f>
        <v>0.02</v>
      </c>
      <c r="H24" s="122" t="n">
        <f aca="false">H7*Inputs!$E$16/1000</f>
        <v>0.02</v>
      </c>
      <c r="I24" s="122" t="n">
        <f aca="false">I7*Inputs!$E$16/1000</f>
        <v>0.02</v>
      </c>
      <c r="J24" s="122" t="n">
        <f aca="false">J7*Inputs!$E$16/1000</f>
        <v>0.02</v>
      </c>
      <c r="K24" s="122" t="n">
        <f aca="false">K7*Inputs!$E$16/1000</f>
        <v>0.02</v>
      </c>
      <c r="L24" s="122" t="n">
        <f aca="false">L7*Inputs!$E$16/1000</f>
        <v>0.02</v>
      </c>
      <c r="M24" s="122" t="n">
        <f aca="false">M7*Inputs!$E$16/1000</f>
        <v>0.02</v>
      </c>
      <c r="N24" s="122" t="n">
        <f aca="false">N7*Inputs!$E$16/1000</f>
        <v>0.02</v>
      </c>
      <c r="O24" s="122" t="n">
        <f aca="false">O7*Inputs!$E$16/1000</f>
        <v>0.02</v>
      </c>
      <c r="P24" s="122" t="n">
        <f aca="false">P7*Inputs!$E$16/1000</f>
        <v>0.02</v>
      </c>
      <c r="Q24" s="122" t="n">
        <f aca="false">Q7*Inputs!$E$16/1000</f>
        <v>0.02</v>
      </c>
      <c r="R24" s="122" t="n">
        <f aca="false">R7*Inputs!$E$16/1000</f>
        <v>0.02</v>
      </c>
      <c r="S24" s="122" t="n">
        <f aca="false">S7*Inputs!$E$16/1000</f>
        <v>0.02</v>
      </c>
      <c r="T24" s="122" t="n">
        <f aca="false">T7*Inputs!$E$16/1000</f>
        <v>0.02</v>
      </c>
      <c r="U24" s="122" t="n">
        <f aca="false">U7*Inputs!$E$16/1000</f>
        <v>0.02</v>
      </c>
      <c r="V24" s="122" t="n">
        <f aca="false">V7*Inputs!$E$16/1000</f>
        <v>0.02</v>
      </c>
      <c r="W24" s="122" t="n">
        <f aca="false">W7*Inputs!$E$16/1000</f>
        <v>0.02</v>
      </c>
      <c r="X24" s="122" t="n">
        <f aca="false">X7*Inputs!$E$16/1000</f>
        <v>0.02</v>
      </c>
      <c r="Y24" s="122" t="n">
        <f aca="false">Y7*Inputs!$E$16/1000</f>
        <v>0.02</v>
      </c>
    </row>
    <row r="25" customFormat="false" ht="15" hidden="false" customHeight="true" outlineLevel="0" collapsed="false">
      <c r="A25" s="20" t="s">
        <v>814</v>
      </c>
      <c r="B25" s="16" t="s">
        <v>810</v>
      </c>
      <c r="C25" s="122" t="n">
        <f aca="false">C7*Inputs!$E$17/1000</f>
        <v>3.6</v>
      </c>
      <c r="D25" s="122" t="n">
        <f aca="false">D7*Inputs!$E$17/1000</f>
        <v>3.6</v>
      </c>
      <c r="E25" s="122" t="n">
        <f aca="false">E7*Inputs!$E$17/1000</f>
        <v>3.6</v>
      </c>
      <c r="F25" s="122" t="n">
        <f aca="false">F7*Inputs!$E$17/1000</f>
        <v>3.6</v>
      </c>
      <c r="G25" s="122" t="n">
        <f aca="false">G7*Inputs!$E$17/1000</f>
        <v>3.6</v>
      </c>
      <c r="H25" s="122" t="n">
        <f aca="false">H7*Inputs!$E$17/1000</f>
        <v>3.6</v>
      </c>
      <c r="I25" s="122" t="n">
        <f aca="false">I7*Inputs!$E$17/1000</f>
        <v>3.6</v>
      </c>
      <c r="J25" s="122" t="n">
        <f aca="false">J7*Inputs!$D$17/1000</f>
        <v>3</v>
      </c>
      <c r="K25" s="122" t="n">
        <f aca="false">K7*Inputs!$F$17/1000</f>
        <v>4.5</v>
      </c>
      <c r="L25" s="122" t="n">
        <f aca="false">L7*Inputs!$E$17/1000</f>
        <v>3.6</v>
      </c>
      <c r="M25" s="122" t="n">
        <f aca="false">M7*Inputs!$E$17/1000</f>
        <v>3.6</v>
      </c>
      <c r="N25" s="122" t="n">
        <f aca="false">N7*Inputs!$E$17/1000</f>
        <v>3.6</v>
      </c>
      <c r="O25" s="122" t="n">
        <f aca="false">O7*Inputs!$E$17/1000</f>
        <v>3.6</v>
      </c>
      <c r="P25" s="122" t="n">
        <f aca="false">P7*Inputs!$E$17/1000</f>
        <v>3.6</v>
      </c>
      <c r="Q25" s="122" t="n">
        <f aca="false">Q7*Inputs!$E$17/1000</f>
        <v>3.6</v>
      </c>
      <c r="R25" s="122" t="n">
        <f aca="false">R7*Inputs!$E$17/1000</f>
        <v>3.6</v>
      </c>
      <c r="S25" s="122" t="n">
        <f aca="false">S7*Inputs!$E$17/1000</f>
        <v>3.6</v>
      </c>
      <c r="T25" s="122" t="n">
        <f aca="false">T7*Inputs!$E$17/1000</f>
        <v>3.6</v>
      </c>
      <c r="U25" s="122" t="n">
        <f aca="false">U7*Inputs!$E$17/1000</f>
        <v>3.6</v>
      </c>
      <c r="V25" s="122" t="n">
        <f aca="false">V7*Inputs!$E$17/1000</f>
        <v>3.6</v>
      </c>
      <c r="W25" s="122" t="n">
        <f aca="false">W7*Inputs!$E$17/1000</f>
        <v>3.6</v>
      </c>
      <c r="X25" s="122" t="n">
        <f aca="false">X7*Inputs!$E$17/1000</f>
        <v>3.6</v>
      </c>
      <c r="Y25" s="122" t="n">
        <f aca="false">Y7*Inputs!$E$17/1000</f>
        <v>3.6</v>
      </c>
    </row>
    <row r="26" customFormat="false" ht="15" hidden="false" customHeight="true" outlineLevel="0" collapsed="false">
      <c r="A26" s="20" t="s">
        <v>815</v>
      </c>
      <c r="B26" s="16" t="s">
        <v>810</v>
      </c>
      <c r="C26" s="122" t="n">
        <f aca="false">C7*Inputs!$E$18/1000</f>
        <v>4.5</v>
      </c>
      <c r="D26" s="122" t="n">
        <f aca="false">D7*Inputs!$E$18/1000</f>
        <v>4.5</v>
      </c>
      <c r="E26" s="122" t="n">
        <f aca="false">E7*Inputs!$E$18/1000</f>
        <v>4.5</v>
      </c>
      <c r="F26" s="122" t="n">
        <f aca="false">F7*Inputs!$E$18/1000</f>
        <v>4.5</v>
      </c>
      <c r="G26" s="122" t="n">
        <f aca="false">G7*Inputs!$E$18/1000</f>
        <v>4.5</v>
      </c>
      <c r="H26" s="122" t="n">
        <f aca="false">H7*Inputs!$E$18/1000</f>
        <v>4.5</v>
      </c>
      <c r="I26" s="122" t="n">
        <f aca="false">I7*Inputs!$E$18/1000</f>
        <v>4.5</v>
      </c>
      <c r="J26" s="122" t="n">
        <f aca="false">J7*Inputs!$E$18/1000</f>
        <v>4.5</v>
      </c>
      <c r="K26" s="122" t="n">
        <f aca="false">K7*Inputs!$E$18/1000</f>
        <v>4.5</v>
      </c>
      <c r="L26" s="122" t="n">
        <f aca="false">L7*Inputs!$D$18/1000</f>
        <v>3.8</v>
      </c>
      <c r="M26" s="122" t="n">
        <f aca="false">M7*Inputs!$F$18/1000</f>
        <v>5.5</v>
      </c>
      <c r="N26" s="122" t="n">
        <f aca="false">N7*Inputs!$E$18/1000</f>
        <v>4.5</v>
      </c>
      <c r="O26" s="122" t="n">
        <f aca="false">O7*Inputs!$E$18/1000</f>
        <v>4.5</v>
      </c>
      <c r="P26" s="122" t="n">
        <f aca="false">P7*Inputs!$E$18/1000</f>
        <v>4.5</v>
      </c>
      <c r="Q26" s="122" t="n">
        <f aca="false">Q7*Inputs!$E$18/1000</f>
        <v>4.5</v>
      </c>
      <c r="R26" s="122" t="n">
        <f aca="false">R7*Inputs!$E$18/1000</f>
        <v>4.5</v>
      </c>
      <c r="S26" s="122" t="n">
        <f aca="false">S7*Inputs!$E$18/1000</f>
        <v>4.5</v>
      </c>
      <c r="T26" s="122" t="n">
        <f aca="false">T7*Inputs!$E$18/1000</f>
        <v>4.5</v>
      </c>
      <c r="U26" s="122" t="n">
        <f aca="false">U7*Inputs!$E$18/1000</f>
        <v>4.5</v>
      </c>
      <c r="V26" s="122" t="n">
        <f aca="false">V7*Inputs!$E$18/1000</f>
        <v>4.5</v>
      </c>
      <c r="W26" s="122" t="n">
        <f aca="false">W7*Inputs!$E$18/1000</f>
        <v>4.5</v>
      </c>
      <c r="X26" s="122" t="n">
        <f aca="false">X7*Inputs!$E$18/1000</f>
        <v>4.5</v>
      </c>
      <c r="Y26" s="122" t="n">
        <f aca="false">Y7*Inputs!$E$18/1000</f>
        <v>4.5</v>
      </c>
    </row>
    <row r="27" customFormat="false" ht="15" hidden="false" customHeight="true" outlineLevel="0" collapsed="false">
      <c r="A27" s="20" t="s">
        <v>816</v>
      </c>
      <c r="B27" s="16" t="s">
        <v>810</v>
      </c>
      <c r="C27" s="122" t="n">
        <f aca="false">C7*Inputs!$E$19/1000</f>
        <v>2.5</v>
      </c>
      <c r="D27" s="122" t="n">
        <f aca="false">D7*Inputs!$E$19/1000</f>
        <v>2.5</v>
      </c>
      <c r="E27" s="122" t="n">
        <f aca="false">E7*Inputs!$E$19/1000</f>
        <v>2.5</v>
      </c>
      <c r="F27" s="122" t="n">
        <f aca="false">F7*Inputs!$E$19/1000</f>
        <v>2.5</v>
      </c>
      <c r="G27" s="122" t="n">
        <f aca="false">G7*Inputs!$E$19/1000</f>
        <v>2.5</v>
      </c>
      <c r="H27" s="122" t="n">
        <f aca="false">H7*Inputs!$E$19/1000</f>
        <v>2.5</v>
      </c>
      <c r="I27" s="122" t="n">
        <f aca="false">I7*Inputs!$E$19/1000</f>
        <v>2.5</v>
      </c>
      <c r="J27" s="122" t="n">
        <f aca="false">J7*Inputs!$E$19/1000</f>
        <v>2.5</v>
      </c>
      <c r="K27" s="122" t="n">
        <f aca="false">K7*Inputs!$E$19/1000</f>
        <v>2.5</v>
      </c>
      <c r="L27" s="122" t="n">
        <f aca="false">L7*Inputs!$E$19/1000</f>
        <v>2.5</v>
      </c>
      <c r="M27" s="122" t="n">
        <f aca="false">M7*Inputs!$E$19/1000</f>
        <v>2.5</v>
      </c>
      <c r="N27" s="122" t="n">
        <f aca="false">N7*Inputs!$E$19/1000</f>
        <v>2.5</v>
      </c>
      <c r="O27" s="122" t="n">
        <f aca="false">O7*Inputs!$E$19/1000</f>
        <v>2.5</v>
      </c>
      <c r="P27" s="122" t="n">
        <f aca="false">P7*Inputs!$E$19/1000</f>
        <v>2.5</v>
      </c>
      <c r="Q27" s="122" t="n">
        <f aca="false">Q7*Inputs!$E$19/1000</f>
        <v>2.5</v>
      </c>
      <c r="R27" s="122" t="n">
        <f aca="false">R7*Inputs!$E$19/1000</f>
        <v>2.5</v>
      </c>
      <c r="S27" s="122" t="n">
        <f aca="false">S7*Inputs!$E$19/1000</f>
        <v>2.5</v>
      </c>
      <c r="T27" s="122" t="n">
        <f aca="false">T7*Inputs!$E$19/1000</f>
        <v>2.5</v>
      </c>
      <c r="U27" s="122" t="n">
        <f aca="false">U7*Inputs!$E$19/1000</f>
        <v>2.5</v>
      </c>
      <c r="V27" s="122" t="n">
        <f aca="false">V7*Inputs!$E$19/1000</f>
        <v>2.5</v>
      </c>
      <c r="W27" s="122" t="n">
        <f aca="false">W7*Inputs!$E$19/1000</f>
        <v>2.5</v>
      </c>
      <c r="X27" s="122" t="n">
        <f aca="false">X7*Inputs!$E$19/1000</f>
        <v>2.5</v>
      </c>
      <c r="Y27" s="122" t="n">
        <f aca="false">Y7*Inputs!$E$19/1000</f>
        <v>2.5</v>
      </c>
    </row>
    <row r="28" customFormat="false" ht="15" hidden="false" customHeight="true" outlineLevel="0" collapsed="false">
      <c r="A28" s="20" t="s">
        <v>817</v>
      </c>
      <c r="B28" s="16" t="s">
        <v>810</v>
      </c>
      <c r="C28" s="122" t="n">
        <f aca="false">C7*Inputs!$E$20/1000</f>
        <v>0.4</v>
      </c>
      <c r="D28" s="122" t="n">
        <f aca="false">D7*Inputs!$E$20/1000</f>
        <v>0.4</v>
      </c>
      <c r="E28" s="122" t="n">
        <f aca="false">E7*Inputs!$E$20/1000</f>
        <v>0.4</v>
      </c>
      <c r="F28" s="122" t="n">
        <f aca="false">F7*Inputs!$E$20/1000</f>
        <v>0.4</v>
      </c>
      <c r="G28" s="122" t="n">
        <f aca="false">G7*Inputs!$E$20/1000</f>
        <v>0.4</v>
      </c>
      <c r="H28" s="122" t="n">
        <f aca="false">H7*Inputs!$E$20/1000</f>
        <v>0.4</v>
      </c>
      <c r="I28" s="122" t="n">
        <f aca="false">I7*Inputs!$E$20/1000</f>
        <v>0.4</v>
      </c>
      <c r="J28" s="122" t="n">
        <f aca="false">J7*Inputs!$E$20/1000</f>
        <v>0.4</v>
      </c>
      <c r="K28" s="122" t="n">
        <f aca="false">K7*Inputs!$E$20/1000</f>
        <v>0.4</v>
      </c>
      <c r="L28" s="122" t="n">
        <f aca="false">L7*Inputs!$E$20/1000</f>
        <v>0.4</v>
      </c>
      <c r="M28" s="122" t="n">
        <f aca="false">M7*Inputs!$E$20/1000</f>
        <v>0.4</v>
      </c>
      <c r="N28" s="122" t="n">
        <f aca="false">N7*Inputs!$E$20/1000</f>
        <v>0.4</v>
      </c>
      <c r="O28" s="122" t="n">
        <f aca="false">O7*Inputs!$E$20/1000</f>
        <v>0.4</v>
      </c>
      <c r="P28" s="122" t="n">
        <f aca="false">P7*Inputs!$E$20/1000</f>
        <v>0.4</v>
      </c>
      <c r="Q28" s="122" t="n">
        <f aca="false">Q7*Inputs!$E$20/1000</f>
        <v>0.4</v>
      </c>
      <c r="R28" s="122" t="n">
        <f aca="false">R7*Inputs!$E$20/1000</f>
        <v>0.4</v>
      </c>
      <c r="S28" s="122" t="n">
        <f aca="false">S7*Inputs!$E$20/1000</f>
        <v>0.4</v>
      </c>
      <c r="T28" s="122" t="n">
        <f aca="false">T7*Inputs!$E$20/1000</f>
        <v>0.4</v>
      </c>
      <c r="U28" s="122" t="n">
        <f aca="false">U7*Inputs!$E$20/1000</f>
        <v>0.4</v>
      </c>
      <c r="V28" s="122" t="n">
        <f aca="false">V7*Inputs!$E$20/1000</f>
        <v>0.4</v>
      </c>
      <c r="W28" s="122" t="n">
        <f aca="false">W7*Inputs!$E$20/1000</f>
        <v>0.4</v>
      </c>
      <c r="X28" s="122" t="n">
        <f aca="false">X7*Inputs!$E$20/1000</f>
        <v>0.4</v>
      </c>
      <c r="Y28" s="122" t="n">
        <f aca="false">Y7*Inputs!$E$20/1000</f>
        <v>0.4</v>
      </c>
    </row>
    <row r="29" customFormat="false" ht="15" hidden="false" customHeight="true" outlineLevel="0" collapsed="false">
      <c r="A29" s="20" t="s">
        <v>818</v>
      </c>
      <c r="B29" s="16" t="s">
        <v>69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99</v>
      </c>
      <c r="B30" s="16" t="s">
        <v>810</v>
      </c>
      <c r="C30" s="122" t="n">
        <f aca="false">(C25+C26+C27+C28)*C29</f>
        <v>1.65</v>
      </c>
      <c r="D30" s="122" t="n">
        <f aca="false">(D25+D26+D27+D28)*D29</f>
        <v>1.65</v>
      </c>
      <c r="E30" s="122" t="n">
        <f aca="false">(E25+E26+E27+E28)*E29</f>
        <v>1.65</v>
      </c>
      <c r="F30" s="122" t="n">
        <f aca="false">(F25+F26+F27+F28)*F29</f>
        <v>1.65</v>
      </c>
      <c r="G30" s="122" t="n">
        <f aca="false">(G25+G26+G27+G28)*G29</f>
        <v>1.65</v>
      </c>
      <c r="H30" s="122" t="n">
        <f aca="false">(H25+H26+H27+H28)*H29</f>
        <v>1.65</v>
      </c>
      <c r="I30" s="122" t="n">
        <f aca="false">(I25+I26+I27+I28)*I29</f>
        <v>1.65</v>
      </c>
      <c r="J30" s="122" t="n">
        <f aca="false">(J25+J26+J27+J28)*J29</f>
        <v>1.56</v>
      </c>
      <c r="K30" s="122" t="n">
        <f aca="false">(K25+K26+K27+K28)*K29</f>
        <v>1.785</v>
      </c>
      <c r="L30" s="122" t="n">
        <f aca="false">(L25+L26+L27+L28)*L29</f>
        <v>1.545</v>
      </c>
      <c r="M30" s="122" t="n">
        <f aca="false">(M25+M26+M27+M28)*M29</f>
        <v>1.8</v>
      </c>
      <c r="N30" s="122" t="n">
        <f aca="false">(N25+N26+N27+N28)*N29</f>
        <v>1.65</v>
      </c>
      <c r="O30" s="122" t="n">
        <f aca="false">(O25+O26+O27+O28)*O29</f>
        <v>1.65</v>
      </c>
      <c r="P30" s="122" t="n">
        <f aca="false">(P25+P26+P27+P28)*P29</f>
        <v>1.65</v>
      </c>
      <c r="Q30" s="122" t="n">
        <f aca="false">(Q25+Q26+Q27+Q28)*Q29</f>
        <v>1.65</v>
      </c>
      <c r="R30" s="122" t="n">
        <f aca="false">(R25+R26+R27+R28)*R29</f>
        <v>1.65</v>
      </c>
      <c r="S30" s="122" t="n">
        <f aca="false">(S25+S26+S27+S28)*S29</f>
        <v>1.65</v>
      </c>
      <c r="T30" s="122" t="n">
        <f aca="false">(T25+T26+T27+T28)*T29</f>
        <v>1.65</v>
      </c>
      <c r="U30" s="122" t="n">
        <f aca="false">(U25+U26+U27+U28)*U29</f>
        <v>1.65</v>
      </c>
      <c r="V30" s="122" t="n">
        <f aca="false">(V25+V26+V27+V28)*V29</f>
        <v>1.65</v>
      </c>
      <c r="W30" s="122" t="n">
        <f aca="false">(W25+W26+W27+W28)*W29</f>
        <v>1.65</v>
      </c>
      <c r="X30" s="122" t="n">
        <f aca="false">(X25+X26+X27+X28)*X29</f>
        <v>1.65</v>
      </c>
      <c r="Y30" s="122" t="n">
        <f aca="false">(Y25+Y26+Y27+Y28)*Y29</f>
        <v>1.65</v>
      </c>
    </row>
    <row r="31" customFormat="false" ht="15" hidden="false" customHeight="true" outlineLevel="0" collapsed="false">
      <c r="A31" s="20" t="s">
        <v>819</v>
      </c>
      <c r="B31" s="16" t="s">
        <v>810</v>
      </c>
      <c r="C31" s="122" t="n">
        <f aca="false">C24+C25+C26+C27+C28+C30</f>
        <v>12.67</v>
      </c>
      <c r="D31" s="122" t="n">
        <f aca="false">D24+D25+D26+D27+D28+D30</f>
        <v>12.67</v>
      </c>
      <c r="E31" s="122" t="n">
        <f aca="false">E24+E25+E26+E27+E28+E30</f>
        <v>12.67</v>
      </c>
      <c r="F31" s="122" t="n">
        <f aca="false">F24+F25+F26+F27+F28+F30</f>
        <v>12.67</v>
      </c>
      <c r="G31" s="122" t="n">
        <f aca="false">G24+G25+G26+G27+G28+G30</f>
        <v>12.67</v>
      </c>
      <c r="H31" s="122" t="n">
        <f aca="false">H24+H25+H26+H27+H28+H30</f>
        <v>12.67</v>
      </c>
      <c r="I31" s="122" t="n">
        <f aca="false">I24+I25+I26+I27+I28+I30</f>
        <v>12.67</v>
      </c>
      <c r="J31" s="122" t="n">
        <f aca="false">J24+J25+J26+J27+J28+J30</f>
        <v>11.98</v>
      </c>
      <c r="K31" s="122" t="n">
        <f aca="false">K24+K25+K26+K27+K28+K30</f>
        <v>13.705</v>
      </c>
      <c r="L31" s="122" t="n">
        <f aca="false">L24+L25+L26+L27+L28+L30</f>
        <v>11.865</v>
      </c>
      <c r="M31" s="122" t="n">
        <f aca="false">M24+M25+M26+M27+M28+M30</f>
        <v>13.82</v>
      </c>
      <c r="N31" s="122" t="n">
        <f aca="false">N24+N25+N26+N27+N28+N30</f>
        <v>12.67</v>
      </c>
      <c r="O31" s="122" t="n">
        <f aca="false">O24+O25+O26+O27+O28+O30</f>
        <v>12.67</v>
      </c>
      <c r="P31" s="122" t="n">
        <f aca="false">P24+P25+P26+P27+P28+P30</f>
        <v>12.67</v>
      </c>
      <c r="Q31" s="122" t="n">
        <f aca="false">Q24+Q25+Q26+Q27+Q28+Q30</f>
        <v>12.67</v>
      </c>
      <c r="R31" s="122" t="n">
        <f aca="false">R24+R25+R26+R27+R28+R30</f>
        <v>12.67</v>
      </c>
      <c r="S31" s="122" t="n">
        <f aca="false">S24+S25+S26+S27+S28+S30</f>
        <v>12.67</v>
      </c>
      <c r="T31" s="122" t="n">
        <f aca="false">T24+T25+T26+T27+T28+T30</f>
        <v>12.67</v>
      </c>
      <c r="U31" s="122" t="n">
        <f aca="false">U24+U25+U26+U27+U28+U30</f>
        <v>12.67</v>
      </c>
      <c r="V31" s="122" t="n">
        <f aca="false">V24+V25+V26+V27+V28+V30</f>
        <v>12.67</v>
      </c>
      <c r="W31" s="122" t="n">
        <f aca="false">W24+W25+W26+W27+W28+W30</f>
        <v>12.67</v>
      </c>
      <c r="X31" s="122" t="n">
        <f aca="false">X24+X25+X26+X27+X28+X30</f>
        <v>12.67</v>
      </c>
      <c r="Y31" s="122" t="n">
        <f aca="false">Y24+Y25+Y26+Y27+Y28+Y30</f>
        <v>12.67</v>
      </c>
    </row>
    <row r="32" customFormat="false" ht="15" hidden="false" customHeight="true" outlineLevel="0" collapsed="false">
      <c r="A32" s="20" t="s">
        <v>2001</v>
      </c>
      <c r="B32" s="16" t="s">
        <v>810</v>
      </c>
      <c r="C32" s="123" t="n">
        <f aca="false">C23+C31</f>
        <v>47.582032</v>
      </c>
      <c r="D32" s="123" t="n">
        <f aca="false">D23+D31</f>
        <v>42.679112</v>
      </c>
      <c r="E32" s="123" t="n">
        <f aca="false">E23+E31</f>
        <v>53.376392</v>
      </c>
      <c r="F32" s="123" t="n">
        <f aca="false">F23+F31</f>
        <v>54.388672</v>
      </c>
      <c r="G32" s="123" t="n">
        <f aca="false">G23+G31</f>
        <v>47.134</v>
      </c>
      <c r="H32" s="123" t="n">
        <f aca="false">H23+H31</f>
        <v>46.001752</v>
      </c>
      <c r="I32" s="123" t="n">
        <f aca="false">I23+I31</f>
        <v>49.162312</v>
      </c>
      <c r="J32" s="123" t="n">
        <f aca="false">J23+J31</f>
        <v>46.892032</v>
      </c>
      <c r="K32" s="123" t="n">
        <f aca="false">K23+K31</f>
        <v>48.617032</v>
      </c>
      <c r="L32" s="123" t="n">
        <f aca="false">L23+L31</f>
        <v>46.777032</v>
      </c>
      <c r="M32" s="123" t="n">
        <f aca="false">M23+M31</f>
        <v>48.732032</v>
      </c>
      <c r="N32" s="123" t="n">
        <f aca="false">N23+N31</f>
        <v>47.582032</v>
      </c>
      <c r="O32" s="123" t="n">
        <f aca="false">O23+O31</f>
        <v>47.582032</v>
      </c>
      <c r="P32" s="123" t="n">
        <f aca="false">P23+P31</f>
        <v>47.582032</v>
      </c>
      <c r="Q32" s="123" t="n">
        <f aca="false">Q23+Q31</f>
        <v>47.582032</v>
      </c>
      <c r="R32" s="123" t="n">
        <f aca="false">R23+R31</f>
        <v>47.582032</v>
      </c>
      <c r="S32" s="123" t="n">
        <f aca="false">S23+S31</f>
        <v>47.582032</v>
      </c>
      <c r="T32" s="123" t="n">
        <f aca="false">T23+T31</f>
        <v>47.582032</v>
      </c>
      <c r="U32" s="123" t="n">
        <f aca="false">U23+U31</f>
        <v>47.582032</v>
      </c>
      <c r="V32" s="123" t="n">
        <f aca="false">V23+V31</f>
        <v>47.582032</v>
      </c>
      <c r="W32" s="123" t="n">
        <f aca="false">W23+W31</f>
        <v>47.582032</v>
      </c>
      <c r="X32" s="123" t="n">
        <f aca="false">X23+X31</f>
        <v>48.72796</v>
      </c>
      <c r="Y32" s="123" t="n">
        <f aca="false">Y23+Y31</f>
        <v>46.065616</v>
      </c>
    </row>
    <row r="33" customFormat="false" ht="15" hidden="false" customHeight="true" outlineLevel="0" collapsed="false">
      <c r="A33" s="20" t="s">
        <v>821</v>
      </c>
      <c r="B33" s="16" t="s">
        <v>822</v>
      </c>
      <c r="C33" s="124" t="n">
        <f aca="false">C32*1000000/C13</f>
        <v>163.095151914007</v>
      </c>
      <c r="D33" s="124" t="n">
        <f aca="false">D32*1000000/D13</f>
        <v>146.289596358451</v>
      </c>
      <c r="E33" s="124" t="n">
        <f aca="false">E32*1000000/E13</f>
        <v>182.956263025118</v>
      </c>
      <c r="F33" s="124" t="n">
        <f aca="false">F32*1000000/F13</f>
        <v>156.009546101244</v>
      </c>
      <c r="G33" s="124" t="n">
        <f aca="false">G32*1000000/G13</f>
        <v>163.659722222222</v>
      </c>
      <c r="H33" s="124" t="n">
        <f aca="false">H32*1000000/H13</f>
        <v>157.67848524734</v>
      </c>
      <c r="I33" s="124" t="n">
        <f aca="false">I32*1000000/I13</f>
        <v>168.511818580673</v>
      </c>
      <c r="J33" s="124" t="n">
        <f aca="false">J32*1000000/J13</f>
        <v>160.73006471427</v>
      </c>
      <c r="K33" s="124" t="n">
        <f aca="false">K32*1000000/K13</f>
        <v>166.642782713612</v>
      </c>
      <c r="L33" s="124" t="n">
        <f aca="false">L32*1000000/L13</f>
        <v>160.335883514314</v>
      </c>
      <c r="M33" s="124" t="n">
        <f aca="false">M32*1000000/M13</f>
        <v>167.036963913568</v>
      </c>
      <c r="N33" s="124" t="n">
        <f aca="false">N32*1000000/N13</f>
        <v>163.095151914007</v>
      </c>
      <c r="O33" s="124" t="n">
        <f aca="false">O32*1000000/O13</f>
        <v>163.095151914007</v>
      </c>
      <c r="P33" s="124" t="n">
        <f aca="false">P32*1000000/P13</f>
        <v>163.095151914007</v>
      </c>
      <c r="Q33" s="124" t="n">
        <f aca="false">Q32*1000000/Q13</f>
        <v>163.095151914007</v>
      </c>
      <c r="R33" s="124" t="n">
        <f aca="false">R32*1000000/R13</f>
        <v>163.095151914007</v>
      </c>
      <c r="S33" s="124" t="n">
        <f aca="false">S32*1000000/S13</f>
        <v>163.095151914007</v>
      </c>
      <c r="T33" s="124" t="n">
        <f aca="false">T32*1000000/T13</f>
        <v>163.095151914007</v>
      </c>
      <c r="U33" s="124" t="n">
        <f aca="false">U32*1000000/U13</f>
        <v>163.095151914007</v>
      </c>
      <c r="V33" s="124" t="n">
        <f aca="false">V32*1000000/V13</f>
        <v>163.095151914007</v>
      </c>
      <c r="W33" s="124" t="n">
        <f aca="false">W32*1000000/W13</f>
        <v>163.095151914007</v>
      </c>
      <c r="X33" s="124" t="n">
        <f aca="false">X32*1000000/X13</f>
        <v>161.714987388823</v>
      </c>
      <c r="Y33" s="124" t="n">
        <f aca="false">Y32*1000000/Y13</f>
        <v>165.067136796239</v>
      </c>
    </row>
    <row r="34" customFormat="false" ht="15" hidden="false" customHeight="true" outlineLevel="0" collapsed="false">
      <c r="A34" s="20" t="s">
        <v>823</v>
      </c>
      <c r="B34" s="16" t="s">
        <v>808</v>
      </c>
      <c r="C34" s="124" t="n">
        <f aca="false">C32*1000/C7</f>
        <v>47.582032</v>
      </c>
      <c r="D34" s="124" t="n">
        <f aca="false">D32*1000/D7</f>
        <v>42.679112</v>
      </c>
      <c r="E34" s="124" t="n">
        <f aca="false">E32*1000/E7</f>
        <v>53.376392</v>
      </c>
      <c r="F34" s="124" t="n">
        <f aca="false">F32*1000/F7</f>
        <v>54.388672</v>
      </c>
      <c r="G34" s="124" t="n">
        <f aca="false">G32*1000/G7</f>
        <v>47.134</v>
      </c>
      <c r="H34" s="124" t="n">
        <f aca="false">H32*1000/H7</f>
        <v>46.001752</v>
      </c>
      <c r="I34" s="124" t="n">
        <f aca="false">I32*1000/I7</f>
        <v>49.162312</v>
      </c>
      <c r="J34" s="124" t="n">
        <f aca="false">J32*1000/J7</f>
        <v>46.892032</v>
      </c>
      <c r="K34" s="124" t="n">
        <f aca="false">K32*1000/K7</f>
        <v>48.617032</v>
      </c>
      <c r="L34" s="124" t="n">
        <f aca="false">L32*1000/L7</f>
        <v>46.777032</v>
      </c>
      <c r="M34" s="124" t="n">
        <f aca="false">M32*1000/M7</f>
        <v>48.732032</v>
      </c>
      <c r="N34" s="124" t="n">
        <f aca="false">N32*1000/N7</f>
        <v>47.582032</v>
      </c>
      <c r="O34" s="124" t="n">
        <f aca="false">O32*1000/O7</f>
        <v>47.582032</v>
      </c>
      <c r="P34" s="124" t="n">
        <f aca="false">P32*1000/P7</f>
        <v>47.582032</v>
      </c>
      <c r="Q34" s="124" t="n">
        <f aca="false">Q32*1000/Q7</f>
        <v>47.582032</v>
      </c>
      <c r="R34" s="124" t="n">
        <f aca="false">R32*1000/R7</f>
        <v>47.582032</v>
      </c>
      <c r="S34" s="124" t="n">
        <f aca="false">S32*1000/S7</f>
        <v>47.582032</v>
      </c>
      <c r="T34" s="124" t="n">
        <f aca="false">T32*1000/T7</f>
        <v>47.582032</v>
      </c>
      <c r="U34" s="124" t="n">
        <f aca="false">U32*1000/U7</f>
        <v>47.582032</v>
      </c>
      <c r="V34" s="124" t="n">
        <f aca="false">V32*1000/V7</f>
        <v>47.582032</v>
      </c>
      <c r="W34" s="124" t="n">
        <f aca="false">W32*1000/W7</f>
        <v>47.582032</v>
      </c>
      <c r="X34" s="124" t="n">
        <f aca="false">X32*1000/X7</f>
        <v>48.72796</v>
      </c>
      <c r="Y34" s="124" t="n">
        <f aca="false">Y32*1000/Y7</f>
        <v>46.065616</v>
      </c>
    </row>
    <row r="35" customFormat="false" ht="15" hidden="false" customHeight="true" outlineLevel="0" collapsed="false">
      <c r="A35" s="20" t="s">
        <v>824</v>
      </c>
      <c r="B35" s="16" t="s">
        <v>808</v>
      </c>
      <c r="C35" s="122" t="n">
        <f aca="false">C31*1000/C7</f>
        <v>12.67</v>
      </c>
      <c r="D35" s="122" t="n">
        <f aca="false">D31*1000/D7</f>
        <v>12.67</v>
      </c>
      <c r="E35" s="122" t="n">
        <f aca="false">E31*1000/E7</f>
        <v>12.67</v>
      </c>
      <c r="F35" s="122" t="n">
        <f aca="false">F31*1000/F7</f>
        <v>12.67</v>
      </c>
      <c r="G35" s="122" t="n">
        <f aca="false">G31*1000/G7</f>
        <v>12.67</v>
      </c>
      <c r="H35" s="122" t="n">
        <f aca="false">H31*1000/H7</f>
        <v>12.67</v>
      </c>
      <c r="I35" s="122" t="n">
        <f aca="false">I31*1000/I7</f>
        <v>12.67</v>
      </c>
      <c r="J35" s="122" t="n">
        <f aca="false">J31*1000/J7</f>
        <v>11.98</v>
      </c>
      <c r="K35" s="122" t="n">
        <f aca="false">K31*1000/K7</f>
        <v>13.705</v>
      </c>
      <c r="L35" s="122" t="n">
        <f aca="false">L31*1000/L7</f>
        <v>11.865</v>
      </c>
      <c r="M35" s="122" t="n">
        <f aca="false">M31*1000/M7</f>
        <v>13.82</v>
      </c>
      <c r="N35" s="122" t="n">
        <f aca="false">N31*1000/N7</f>
        <v>12.67</v>
      </c>
      <c r="O35" s="122" t="n">
        <f aca="false">O31*1000/O7</f>
        <v>12.67</v>
      </c>
      <c r="P35" s="122" t="n">
        <f aca="false">P31*1000/P7</f>
        <v>12.67</v>
      </c>
      <c r="Q35" s="122" t="n">
        <f aca="false">Q31*1000/Q7</f>
        <v>12.67</v>
      </c>
      <c r="R35" s="122" t="n">
        <f aca="false">R31*1000/R7</f>
        <v>12.67</v>
      </c>
      <c r="S35" s="122" t="n">
        <f aca="false">S31*1000/S7</f>
        <v>12.67</v>
      </c>
      <c r="T35" s="122" t="n">
        <f aca="false">T31*1000/T7</f>
        <v>12.67</v>
      </c>
      <c r="U35" s="122" t="n">
        <f aca="false">U31*1000/U7</f>
        <v>12.67</v>
      </c>
      <c r="V35" s="122" t="n">
        <f aca="false">V31*1000/V7</f>
        <v>12.67</v>
      </c>
      <c r="W35" s="122" t="n">
        <f aca="false">W31*1000/W7</f>
        <v>12.67</v>
      </c>
      <c r="X35" s="122" t="n">
        <f aca="false">X31*1000/X7</f>
        <v>12.67</v>
      </c>
      <c r="Y35" s="122" t="n">
        <f aca="false">Y31*1000/Y7</f>
        <v>12.67</v>
      </c>
    </row>
    <row r="36" customFormat="false" ht="15" hidden="false" customHeight="true" outlineLevel="0" collapsed="false">
      <c r="A36" s="25" t="s">
        <v>2002</v>
      </c>
      <c r="B36" s="14"/>
      <c r="C36" s="14"/>
    </row>
    <row r="37" customFormat="false" ht="15" hidden="false" customHeight="true" outlineLevel="0" collapsed="false">
      <c r="A37" s="15" t="s">
        <v>826</v>
      </c>
      <c r="B37" s="21" t="s">
        <v>104</v>
      </c>
      <c r="C37" s="125" t="n">
        <f aca="false">Inputs!$E$23</f>
        <v>6</v>
      </c>
      <c r="D37" s="125" t="n">
        <f aca="false">Inputs!$E$23</f>
        <v>6</v>
      </c>
      <c r="E37" s="125" t="n">
        <f aca="false">Inputs!$E$23</f>
        <v>6</v>
      </c>
      <c r="F37" s="125" t="n">
        <f aca="false">Inputs!$E$23</f>
        <v>6</v>
      </c>
      <c r="G37" s="125" t="n">
        <f aca="false">Inputs!$E$23</f>
        <v>6</v>
      </c>
      <c r="H37" s="125" t="n">
        <f aca="false">Inputs!$E$23</f>
        <v>6</v>
      </c>
      <c r="I37" s="125" t="n">
        <f aca="false">Inputs!$E$23</f>
        <v>6</v>
      </c>
      <c r="J37" s="125" t="n">
        <f aca="false">Inputs!$E$23</f>
        <v>6</v>
      </c>
      <c r="K37" s="125" t="n">
        <f aca="false">Inputs!$E$23</f>
        <v>6</v>
      </c>
      <c r="L37" s="125" t="n">
        <f aca="false">Inputs!$E$23</f>
        <v>6</v>
      </c>
      <c r="M37" s="125" t="n">
        <f aca="false">Inputs!$E$23</f>
        <v>6</v>
      </c>
      <c r="N37" s="193" t="n">
        <v>7</v>
      </c>
      <c r="O37" s="125" t="n">
        <f aca="false">Inputs!$F$23</f>
        <v>4</v>
      </c>
      <c r="P37" s="125" t="n">
        <f aca="false">Inputs!$E$23</f>
        <v>6</v>
      </c>
      <c r="Q37" s="125" t="n">
        <f aca="false">Inputs!$E$23</f>
        <v>6</v>
      </c>
      <c r="R37" s="125" t="n">
        <f aca="false">Inputs!$E$23</f>
        <v>6</v>
      </c>
      <c r="S37" s="125" t="n">
        <f aca="false">Inputs!$E$23</f>
        <v>6</v>
      </c>
      <c r="T37" s="125" t="n">
        <f aca="false">Inputs!$E$23</f>
        <v>6</v>
      </c>
      <c r="U37" s="125" t="n">
        <f aca="false">Inputs!$E$23</f>
        <v>6</v>
      </c>
      <c r="V37" s="125" t="n">
        <f aca="false">Inputs!$E$23</f>
        <v>6</v>
      </c>
      <c r="W37" s="125" t="n">
        <f aca="false">Inputs!$E$23</f>
        <v>6</v>
      </c>
      <c r="X37" s="125" t="n">
        <f aca="false">Inputs!$E$23</f>
        <v>6</v>
      </c>
      <c r="Y37" s="125" t="n">
        <f aca="false">Inputs!$E$23</f>
        <v>6</v>
      </c>
    </row>
    <row r="38" customFormat="false" ht="15" hidden="false" customHeight="true" outlineLevel="0" collapsed="false">
      <c r="A38" s="15" t="s">
        <v>827</v>
      </c>
      <c r="B38" s="16" t="s">
        <v>810</v>
      </c>
      <c r="C38" s="122" t="n">
        <f aca="false">C23/C37</f>
        <v>5.818672</v>
      </c>
      <c r="D38" s="122" t="n">
        <f aca="false">D23/D37</f>
        <v>5.00151866666667</v>
      </c>
      <c r="E38" s="122" t="n">
        <f aca="false">E23/E37</f>
        <v>6.78439866666667</v>
      </c>
      <c r="F38" s="122" t="n">
        <f aca="false">F23/F37</f>
        <v>6.953112</v>
      </c>
      <c r="G38" s="122" t="n">
        <f aca="false">G23/G37</f>
        <v>5.744</v>
      </c>
      <c r="H38" s="122" t="n">
        <f aca="false">H23/H37</f>
        <v>5.555292</v>
      </c>
      <c r="I38" s="122" t="n">
        <f aca="false">I23/I37</f>
        <v>6.082052</v>
      </c>
      <c r="J38" s="122" t="n">
        <f aca="false">J23/J37</f>
        <v>5.818672</v>
      </c>
      <c r="K38" s="122" t="n">
        <f aca="false">K23/K37</f>
        <v>5.818672</v>
      </c>
      <c r="L38" s="122" t="n">
        <f aca="false">L23/L37</f>
        <v>5.818672</v>
      </c>
      <c r="M38" s="122" t="n">
        <f aca="false">M23/M37</f>
        <v>5.818672</v>
      </c>
      <c r="N38" s="122" t="n">
        <f aca="false">N23/N37</f>
        <v>4.98743314285714</v>
      </c>
      <c r="O38" s="122" t="n">
        <f aca="false">O23/O37</f>
        <v>8.728008</v>
      </c>
      <c r="P38" s="122" t="n">
        <f aca="false">P23/P37</f>
        <v>5.818672</v>
      </c>
      <c r="Q38" s="122" t="n">
        <f aca="false">Q23/Q37</f>
        <v>5.818672</v>
      </c>
      <c r="R38" s="122" t="n">
        <f aca="false">R23/R37</f>
        <v>5.818672</v>
      </c>
      <c r="S38" s="122" t="n">
        <f aca="false">S23/S37</f>
        <v>5.818672</v>
      </c>
      <c r="T38" s="122" t="n">
        <f aca="false">T23/T37</f>
        <v>5.818672</v>
      </c>
      <c r="U38" s="122" t="n">
        <f aca="false">U23/U37</f>
        <v>5.818672</v>
      </c>
      <c r="V38" s="122" t="n">
        <f aca="false">V23/V37</f>
        <v>5.818672</v>
      </c>
      <c r="W38" s="122" t="n">
        <f aca="false">W23/W37</f>
        <v>5.818672</v>
      </c>
      <c r="X38" s="122" t="n">
        <f aca="false">X23/X37</f>
        <v>6.00966</v>
      </c>
      <c r="Y38" s="122" t="n">
        <f aca="false">Y23/Y37</f>
        <v>5.565936</v>
      </c>
    </row>
    <row r="39" customFormat="false" ht="15" hidden="false" customHeight="true" outlineLevel="0" collapsed="false">
      <c r="A39" s="20" t="s">
        <v>828</v>
      </c>
      <c r="B39" s="16" t="s">
        <v>810</v>
      </c>
      <c r="C39" s="122" t="n">
        <f aca="false">(C25/Inputs!$E$24+C26/Inputs!$E$25+C27/Inputs!$E$26+C28/Inputs!$E$27)*(1+C29)</f>
        <v>0.634416666666667</v>
      </c>
      <c r="D39" s="122" t="n">
        <f aca="false">(D25/Inputs!$E$24+D26/Inputs!$E$25+D27/Inputs!$E$26+D28/Inputs!$E$27)*(1+D29)</f>
        <v>0.634416666666667</v>
      </c>
      <c r="E39" s="122" t="n">
        <f aca="false">(E25/Inputs!$E$24+E26/Inputs!$E$25+E27/Inputs!$E$26+E28/Inputs!$E$27)*(1+E29)</f>
        <v>0.634416666666667</v>
      </c>
      <c r="F39" s="122" t="n">
        <f aca="false">(F25/Inputs!$E$24+F26/Inputs!$E$25+F27/Inputs!$E$26+F28/Inputs!$E$27)*(1+F29)</f>
        <v>0.634416666666667</v>
      </c>
      <c r="G39" s="122" t="n">
        <f aca="false">(G25/Inputs!$E$24+G26/Inputs!$E$25+G27/Inputs!$E$26+G28/Inputs!$E$27)*(1+G29)</f>
        <v>0.634416666666667</v>
      </c>
      <c r="H39" s="122" t="n">
        <f aca="false">(H25/Inputs!$E$24+H26/Inputs!$E$25+H27/Inputs!$E$26+H28/Inputs!$E$27)*(1+H29)</f>
        <v>0.634416666666667</v>
      </c>
      <c r="I39" s="122" t="n">
        <f aca="false">(I25/Inputs!$E$24+I26/Inputs!$E$25+I27/Inputs!$E$26+I28/Inputs!$E$27)*(1+I29)</f>
        <v>0.634416666666667</v>
      </c>
      <c r="J39" s="122" t="n">
        <f aca="false">(J25/Inputs!$E$24+J26/Inputs!$E$25+J27/Inputs!$E$26+J28/Inputs!$E$27)*(1+J29)</f>
        <v>0.611416666666667</v>
      </c>
      <c r="K39" s="122" t="n">
        <f aca="false">(K25/Inputs!$E$24+K26/Inputs!$E$25+K27/Inputs!$E$26+K28/Inputs!$E$27)*(1+K29)</f>
        <v>0.668916666666667</v>
      </c>
      <c r="L39" s="122" t="n">
        <f aca="false">(L25/Inputs!$E$24+L26/Inputs!$E$25+L27/Inputs!$E$26+L28/Inputs!$E$27)*(1+L29)</f>
        <v>0.594166666666667</v>
      </c>
      <c r="M39" s="122" t="n">
        <f aca="false">(M25/Inputs!$E$24+M26/Inputs!$E$25+M27/Inputs!$E$26+M28/Inputs!$E$27)*(1+M29)</f>
        <v>0.691916666666667</v>
      </c>
      <c r="N39" s="122" t="n">
        <f aca="false">(N25/Inputs!$E$24+N26/Inputs!$E$25+N27/Inputs!$E$26+N28/Inputs!$E$27)*(1+N29)</f>
        <v>0.634416666666667</v>
      </c>
      <c r="O39" s="122" t="n">
        <f aca="false">(O25/Inputs!$E$24+O26/Inputs!$E$25+O27/Inputs!$E$26+O28/Inputs!$E$27)*(1+O29)</f>
        <v>0.634416666666667</v>
      </c>
      <c r="P39" s="122" t="n">
        <f aca="false">(P25/Inputs!$E$24+P26/Inputs!$E$25+P27/Inputs!$E$26+P28/Inputs!$E$27)*(1+P29)</f>
        <v>0.634416666666667</v>
      </c>
      <c r="Q39" s="122" t="n">
        <f aca="false">(Q25/Inputs!$E$24+Q26/Inputs!$E$25+Q27/Inputs!$E$26+Q28/Inputs!$E$27)*(1+Q29)</f>
        <v>0.634416666666667</v>
      </c>
      <c r="R39" s="122" t="n">
        <f aca="false">(R25/Inputs!$E$24+R26/Inputs!$E$25+R27/Inputs!$E$26+R28/Inputs!$E$27)*(1+R29)</f>
        <v>0.634416666666667</v>
      </c>
      <c r="S39" s="122" t="n">
        <f aca="false">(S25/Inputs!$E$24+S26/Inputs!$E$25+S27/Inputs!$E$26+S28/Inputs!$E$27)*(1+S29)</f>
        <v>0.634416666666667</v>
      </c>
      <c r="T39" s="122" t="n">
        <f aca="false">(T25/Inputs!$E$24+T26/Inputs!$E$25+T27/Inputs!$E$26+T28/Inputs!$E$27)*(1+T29)</f>
        <v>0.634416666666667</v>
      </c>
      <c r="U39" s="122" t="n">
        <f aca="false">(U25/Inputs!$E$24+U26/Inputs!$E$25+U27/Inputs!$E$26+U28/Inputs!$E$27)*(1+U29)</f>
        <v>0.634416666666667</v>
      </c>
      <c r="V39" s="122" t="n">
        <f aca="false">(V25/Inputs!$E$24+V26/Inputs!$E$25+V27/Inputs!$E$26+V28/Inputs!$E$27)*(1+V29)</f>
        <v>0.634416666666667</v>
      </c>
      <c r="W39" s="122" t="n">
        <f aca="false">(W25/Inputs!$E$24+W26/Inputs!$E$25+W27/Inputs!$E$26+W28/Inputs!$E$27)*(1+W29)</f>
        <v>0.634416666666667</v>
      </c>
      <c r="X39" s="122" t="n">
        <f aca="false">(X25/Inputs!$E$24+X26/Inputs!$E$25+X27/Inputs!$E$26+X28/Inputs!$E$27)*(1+X29)</f>
        <v>0.634416666666667</v>
      </c>
      <c r="Y39" s="12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76</v>
      </c>
      <c r="B40" s="16" t="s">
        <v>69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78</v>
      </c>
      <c r="B41" s="16" t="s">
        <v>79</v>
      </c>
      <c r="C41" s="126" t="n">
        <f aca="false">Inputs!$E$11</f>
        <v>0.08</v>
      </c>
      <c r="D41" s="126" t="n">
        <f aca="false">Inputs!$E$11</f>
        <v>0.08</v>
      </c>
      <c r="E41" s="126" t="n">
        <f aca="false">Inputs!$E$11</f>
        <v>0.08</v>
      </c>
      <c r="F41" s="126" t="n">
        <f aca="false">Inputs!$E$11</f>
        <v>0.08</v>
      </c>
      <c r="G41" s="126" t="n">
        <f aca="false">Inputs!$E$11</f>
        <v>0.08</v>
      </c>
      <c r="H41" s="126" t="n">
        <f aca="false">Inputs!$E$11</f>
        <v>0.08</v>
      </c>
      <c r="I41" s="126" t="n">
        <f aca="false">Inputs!$E$11</f>
        <v>0.08</v>
      </c>
      <c r="J41" s="126" t="n">
        <f aca="false">Inputs!$E$11</f>
        <v>0.08</v>
      </c>
      <c r="K41" s="126" t="n">
        <f aca="false">Inputs!$E$11</f>
        <v>0.08</v>
      </c>
      <c r="L41" s="126" t="n">
        <f aca="false">Inputs!$E$11</f>
        <v>0.08</v>
      </c>
      <c r="M41" s="126" t="n">
        <f aca="false">Inputs!$E$11</f>
        <v>0.08</v>
      </c>
      <c r="N41" s="126" t="n">
        <f aca="false">Inputs!$E$11</f>
        <v>0.08</v>
      </c>
      <c r="O41" s="126" t="n">
        <f aca="false">Inputs!$E$11</f>
        <v>0.08</v>
      </c>
      <c r="P41" s="126" t="n">
        <f aca="false">Inputs!$E$11</f>
        <v>0.08</v>
      </c>
      <c r="Q41" s="126" t="n">
        <f aca="false">Inputs!$E$11</f>
        <v>0.08</v>
      </c>
      <c r="R41" s="126" t="n">
        <f aca="false">Inputs!$D$11</f>
        <v>0.06</v>
      </c>
      <c r="S41" s="126" t="n">
        <f aca="false">Inputs!$F$11</f>
        <v>0.1</v>
      </c>
      <c r="T41" s="126" t="n">
        <f aca="false">Inputs!$E$11</f>
        <v>0.08</v>
      </c>
      <c r="U41" s="126" t="n">
        <f aca="false">Inputs!$E$11</f>
        <v>0.08</v>
      </c>
      <c r="V41" s="126" t="n">
        <f aca="false">Inputs!$E$11</f>
        <v>0.08</v>
      </c>
      <c r="W41" s="126" t="n">
        <f aca="false">Inputs!$E$11</f>
        <v>0.08</v>
      </c>
      <c r="X41" s="126" t="n">
        <f aca="false">Inputs!$E$11</f>
        <v>0.08</v>
      </c>
      <c r="Y41" s="126" t="n">
        <f aca="false">Inputs!$E$11</f>
        <v>0.08</v>
      </c>
    </row>
    <row r="42" customFormat="false" ht="15" hidden="false" customHeight="true" outlineLevel="0" collapsed="false">
      <c r="A42" s="20" t="s">
        <v>829</v>
      </c>
      <c r="B42" s="16" t="s">
        <v>810</v>
      </c>
      <c r="C42" s="122" t="n">
        <f aca="false">C7*1000*C40*C14*8760*C41/1000000000</f>
        <v>0.672768</v>
      </c>
      <c r="D42" s="122" t="n">
        <f aca="false">D7*1000*D40*D14*8760*D41/1000000000</f>
        <v>0.672768</v>
      </c>
      <c r="E42" s="122" t="n">
        <f aca="false">E7*1000*E40*E14*8760*E41/1000000000</f>
        <v>0.672768</v>
      </c>
      <c r="F42" s="122" t="n">
        <f aca="false">F7*1000*F40*F14*8760*F41/1000000000</f>
        <v>0.672768</v>
      </c>
      <c r="G42" s="122" t="n">
        <f aca="false">G7*1000*G40*G14*8760*G41/1000000000</f>
        <v>0.672768</v>
      </c>
      <c r="H42" s="122" t="n">
        <f aca="false">H7*1000*H40*H14*8760*H41/1000000000</f>
        <v>0.672768</v>
      </c>
      <c r="I42" s="122" t="n">
        <f aca="false">I7*1000*I40*I14*8760*I41/1000000000</f>
        <v>0.672768</v>
      </c>
      <c r="J42" s="122" t="n">
        <f aca="false">J7*1000*J40*J14*8760*J41/1000000000</f>
        <v>0.672768</v>
      </c>
      <c r="K42" s="122" t="n">
        <f aca="false">K7*1000*K40*K14*8760*K41/1000000000</f>
        <v>0.672768</v>
      </c>
      <c r="L42" s="122" t="n">
        <f aca="false">L7*1000*L40*L14*8760*L41/1000000000</f>
        <v>0.672768</v>
      </c>
      <c r="M42" s="122" t="n">
        <f aca="false">M7*1000*M40*M14*8760*M41/1000000000</f>
        <v>0.672768</v>
      </c>
      <c r="N42" s="122" t="n">
        <f aca="false">N7*1000*N40*N14*8760*N41/1000000000</f>
        <v>0.672768</v>
      </c>
      <c r="O42" s="122" t="n">
        <f aca="false">O7*1000*O40*O14*8760*O41/1000000000</f>
        <v>0.672768</v>
      </c>
      <c r="P42" s="122" t="n">
        <f aca="false">P7*1000*P40*P14*8760*P41/1000000000</f>
        <v>0.672768</v>
      </c>
      <c r="Q42" s="122" t="n">
        <f aca="false">Q7*1000*Q40*Q14*8760*Q41/1000000000</f>
        <v>0.672768</v>
      </c>
      <c r="R42" s="122" t="n">
        <f aca="false">R7*1000*R40*R14*8760*R41/1000000000</f>
        <v>0.504576</v>
      </c>
      <c r="S42" s="122" t="n">
        <f aca="false">S7*1000*S40*S14*8760*S41/1000000000</f>
        <v>0.84096</v>
      </c>
      <c r="T42" s="122" t="n">
        <f aca="false">T7*1000*T40*T14*8760*T41/1000000000</f>
        <v>0.616704</v>
      </c>
      <c r="U42" s="122" t="n">
        <f aca="false">U7*1000*U40*U14*8760*U41/1000000000</f>
        <v>0.728832</v>
      </c>
      <c r="V42" s="122" t="n">
        <f aca="false">V7*1000*V40*V14*8760*V41/1000000000</f>
        <v>0.588672</v>
      </c>
      <c r="W42" s="122" t="n">
        <f aca="false">W7*1000*W40*W14*8760*W41/1000000000</f>
        <v>0.756864</v>
      </c>
      <c r="X42" s="122" t="n">
        <f aca="false">X7*1000*X40*X14*8760*X41/1000000000</f>
        <v>0.672768</v>
      </c>
      <c r="Y42" s="122" t="n">
        <f aca="false">Y7*1000*Y40*Y14*8760*Y41/1000000000</f>
        <v>0.672768</v>
      </c>
    </row>
    <row r="43" customFormat="false" ht="15" hidden="false" customHeight="true" outlineLevel="0" collapsed="false">
      <c r="A43" s="15" t="s">
        <v>115</v>
      </c>
      <c r="B43" s="16" t="s">
        <v>810</v>
      </c>
      <c r="C43" s="122" t="n">
        <f aca="false">C23*Inputs!$E$30</f>
        <v>1.04736096</v>
      </c>
      <c r="D43" s="122" t="n">
        <f aca="false">D23*Inputs!$E$30</f>
        <v>0.90027336</v>
      </c>
      <c r="E43" s="122" t="n">
        <f aca="false">E23*Inputs!$E$30</f>
        <v>1.22119176</v>
      </c>
      <c r="F43" s="122" t="n">
        <f aca="false">F23*Inputs!$E$30</f>
        <v>1.25156016</v>
      </c>
      <c r="G43" s="122" t="n">
        <f aca="false">G23*Inputs!$E$30</f>
        <v>1.03392</v>
      </c>
      <c r="H43" s="122" t="n">
        <f aca="false">H23*Inputs!$E$30</f>
        <v>0.99995256</v>
      </c>
      <c r="I43" s="122" t="n">
        <f aca="false">I23*Inputs!$E$30</f>
        <v>1.09476936</v>
      </c>
      <c r="J43" s="122" t="n">
        <f aca="false">J23*Inputs!$E$30</f>
        <v>1.04736096</v>
      </c>
      <c r="K43" s="122" t="n">
        <f aca="false">K23*Inputs!$E$30</f>
        <v>1.04736096</v>
      </c>
      <c r="L43" s="122" t="n">
        <f aca="false">L23*Inputs!$E$30</f>
        <v>1.04736096</v>
      </c>
      <c r="M43" s="122" t="n">
        <f aca="false">M23*Inputs!$E$30</f>
        <v>1.04736096</v>
      </c>
      <c r="N43" s="122" t="n">
        <f aca="false">N23*Inputs!$E$30</f>
        <v>1.04736096</v>
      </c>
      <c r="O43" s="122" t="n">
        <f aca="false">O23*Inputs!$E$30</f>
        <v>1.04736096</v>
      </c>
      <c r="P43" s="122" t="n">
        <f aca="false">P23*Inputs!$E$30</f>
        <v>1.04736096</v>
      </c>
      <c r="Q43" s="122" t="n">
        <f aca="false">Q23*Inputs!$E$30</f>
        <v>1.04736096</v>
      </c>
      <c r="R43" s="122" t="n">
        <f aca="false">R23*Inputs!$E$30</f>
        <v>1.04736096</v>
      </c>
      <c r="S43" s="122" t="n">
        <f aca="false">S23*Inputs!$E$30</f>
        <v>1.04736096</v>
      </c>
      <c r="T43" s="122" t="n">
        <f aca="false">T23*Inputs!$E$30</f>
        <v>1.04736096</v>
      </c>
      <c r="U43" s="122" t="n">
        <f aca="false">U23*Inputs!$E$30</f>
        <v>1.04736096</v>
      </c>
      <c r="V43" s="122" t="n">
        <f aca="false">V23*Inputs!$E$30</f>
        <v>1.04736096</v>
      </c>
      <c r="W43" s="122" t="n">
        <f aca="false">W23*Inputs!$E$30</f>
        <v>1.04736096</v>
      </c>
      <c r="X43" s="122" t="n">
        <f aca="false">X23*Inputs!$E$30</f>
        <v>1.0817388</v>
      </c>
      <c r="Y43" s="122" t="n">
        <f aca="false">Y23*Inputs!$E$30</f>
        <v>1.00186848</v>
      </c>
    </row>
    <row r="44" customFormat="false" ht="15" hidden="false" customHeight="true" outlineLevel="0" collapsed="false">
      <c r="A44" s="20" t="s">
        <v>118</v>
      </c>
      <c r="B44" s="16" t="s">
        <v>810</v>
      </c>
      <c r="C44" s="122" t="n">
        <f aca="false">C31*Inputs!$E$31</f>
        <v>0.2534</v>
      </c>
      <c r="D44" s="122" t="n">
        <f aca="false">D31*Inputs!$E$31</f>
        <v>0.2534</v>
      </c>
      <c r="E44" s="122" t="n">
        <f aca="false">E31*Inputs!$E$31</f>
        <v>0.2534</v>
      </c>
      <c r="F44" s="122" t="n">
        <f aca="false">F31*Inputs!$E$31</f>
        <v>0.2534</v>
      </c>
      <c r="G44" s="122" t="n">
        <f aca="false">G31*Inputs!$E$31</f>
        <v>0.2534</v>
      </c>
      <c r="H44" s="122" t="n">
        <f aca="false">H31*Inputs!$E$31</f>
        <v>0.2534</v>
      </c>
      <c r="I44" s="122" t="n">
        <f aca="false">I31*Inputs!$E$31</f>
        <v>0.2534</v>
      </c>
      <c r="J44" s="122" t="n">
        <f aca="false">J31*Inputs!$E$31</f>
        <v>0.2396</v>
      </c>
      <c r="K44" s="122" t="n">
        <f aca="false">K31*Inputs!$E$31</f>
        <v>0.2741</v>
      </c>
      <c r="L44" s="122" t="n">
        <f aca="false">L31*Inputs!$E$31</f>
        <v>0.2373</v>
      </c>
      <c r="M44" s="122" t="n">
        <f aca="false">M31*Inputs!$E$31</f>
        <v>0.2764</v>
      </c>
      <c r="N44" s="122" t="n">
        <f aca="false">N31*Inputs!$E$31</f>
        <v>0.2534</v>
      </c>
      <c r="O44" s="122" t="n">
        <f aca="false">O31*Inputs!$E$31</f>
        <v>0.2534</v>
      </c>
      <c r="P44" s="122" t="n">
        <f aca="false">P31*Inputs!$E$31</f>
        <v>0.2534</v>
      </c>
      <c r="Q44" s="122" t="n">
        <f aca="false">Q31*Inputs!$E$31</f>
        <v>0.2534</v>
      </c>
      <c r="R44" s="122" t="n">
        <f aca="false">R31*Inputs!$E$31</f>
        <v>0.2534</v>
      </c>
      <c r="S44" s="122" t="n">
        <f aca="false">S31*Inputs!$E$31</f>
        <v>0.2534</v>
      </c>
      <c r="T44" s="122" t="n">
        <f aca="false">T31*Inputs!$E$31</f>
        <v>0.2534</v>
      </c>
      <c r="U44" s="122" t="n">
        <f aca="false">U31*Inputs!$E$31</f>
        <v>0.2534</v>
      </c>
      <c r="V44" s="122" t="n">
        <f aca="false">V31*Inputs!$E$31</f>
        <v>0.2534</v>
      </c>
      <c r="W44" s="122" t="n">
        <f aca="false">W31*Inputs!$E$31</f>
        <v>0.2534</v>
      </c>
      <c r="X44" s="122" t="n">
        <f aca="false">X31*Inputs!$E$31</f>
        <v>0.2534</v>
      </c>
      <c r="Y44" s="122" t="n">
        <f aca="false">Y31*Inputs!$E$31</f>
        <v>0.2534</v>
      </c>
    </row>
    <row r="45" customFormat="false" ht="15" hidden="false" customHeight="true" outlineLevel="0" collapsed="false">
      <c r="A45" s="20" t="s">
        <v>830</v>
      </c>
      <c r="B45" s="16" t="s">
        <v>810</v>
      </c>
      <c r="C45" s="122" t="n">
        <f aca="false">(Inputs!$E$32*C7/1000+Inputs!$E$33*C7/1000+Inputs!$E$34*C7)/1000</f>
        <v>0.325</v>
      </c>
      <c r="D45" s="122" t="n">
        <f aca="false">(Inputs!$E$32*D7/1000+Inputs!$E$33*D7/1000+Inputs!$E$34*D7)/1000</f>
        <v>0.325</v>
      </c>
      <c r="E45" s="122" t="n">
        <f aca="false">(Inputs!$E$32*E7/1000+Inputs!$E$33*E7/1000+Inputs!$E$34*E7)/1000</f>
        <v>0.325</v>
      </c>
      <c r="F45" s="122" t="n">
        <f aca="false">(Inputs!$E$32*F7/1000+Inputs!$E$33*F7/1000+Inputs!$E$34*F7)/1000</f>
        <v>0.325</v>
      </c>
      <c r="G45" s="122" t="n">
        <f aca="false">(Inputs!$E$32*G7/1000+Inputs!$E$33*G7/1000+Inputs!$E$34*G7)/1000</f>
        <v>0.325</v>
      </c>
      <c r="H45" s="122" t="n">
        <f aca="false">(Inputs!$E$32*H7/1000+Inputs!$E$33*H7/1000+Inputs!$E$34*H7)/1000</f>
        <v>0.325</v>
      </c>
      <c r="I45" s="122" t="n">
        <f aca="false">(Inputs!$E$32*I7/1000+Inputs!$E$33*I7/1000+Inputs!$E$34*I7)/1000</f>
        <v>0.325</v>
      </c>
      <c r="J45" s="122" t="n">
        <f aca="false">(Inputs!$E$32*J7/1000+Inputs!$E$33*J7/1000+Inputs!$E$34*J7)/1000</f>
        <v>0.325</v>
      </c>
      <c r="K45" s="122" t="n">
        <f aca="false">(Inputs!$E$32*K7/1000+Inputs!$E$33*K7/1000+Inputs!$E$34*K7)/1000</f>
        <v>0.325</v>
      </c>
      <c r="L45" s="122" t="n">
        <f aca="false">(Inputs!$E$32*L7/1000+Inputs!$E$33*L7/1000+Inputs!$E$34*L7)/1000</f>
        <v>0.325</v>
      </c>
      <c r="M45" s="122" t="n">
        <f aca="false">(Inputs!$E$32*M7/1000+Inputs!$E$33*M7/1000+Inputs!$E$34*M7)/1000</f>
        <v>0.325</v>
      </c>
      <c r="N45" s="122" t="n">
        <f aca="false">(Inputs!$E$32*N7/1000+Inputs!$E$33*N7/1000+Inputs!$E$34*N7)/1000</f>
        <v>0.325</v>
      </c>
      <c r="O45" s="122" t="n">
        <f aca="false">(Inputs!$E$32*O7/1000+Inputs!$E$33*O7/1000+Inputs!$E$34*O7)/1000</f>
        <v>0.325</v>
      </c>
      <c r="P45" s="122" t="n">
        <f aca="false">(Inputs!$E$32*P7/1000+Inputs!$E$33*P7/1000+Inputs!$E$34*P7)/1000</f>
        <v>0.325</v>
      </c>
      <c r="Q45" s="122" t="n">
        <f aca="false">(Inputs!$E$32*Q7/1000+Inputs!$E$33*Q7/1000+Inputs!$E$34*Q7)/1000</f>
        <v>0.325</v>
      </c>
      <c r="R45" s="122" t="n">
        <f aca="false">(Inputs!$E$32*R7/1000+Inputs!$E$33*R7/1000+Inputs!$E$34*R7)/1000</f>
        <v>0.325</v>
      </c>
      <c r="S45" s="122" t="n">
        <f aca="false">(Inputs!$E$32*S7/1000+Inputs!$E$33*S7/1000+Inputs!$E$34*S7)/1000</f>
        <v>0.325</v>
      </c>
      <c r="T45" s="122" t="n">
        <f aca="false">(Inputs!$E$32*T7/1000+Inputs!$E$33*T7/1000+Inputs!$E$34*T7)/1000</f>
        <v>0.325</v>
      </c>
      <c r="U45" s="122" t="n">
        <f aca="false">(Inputs!$E$32*U7/1000+Inputs!$E$33*U7/1000+Inputs!$E$34*U7)/1000</f>
        <v>0.325</v>
      </c>
      <c r="V45" s="122" t="n">
        <f aca="false">(Inputs!$E$32*V7/1000+Inputs!$E$33*V7/1000+Inputs!$E$34*V7)/1000</f>
        <v>0.325</v>
      </c>
      <c r="W45" s="122" t="n">
        <f aca="false">(Inputs!$E$32*W7/1000+Inputs!$E$33*W7/1000+Inputs!$E$34*W7)/1000</f>
        <v>0.325</v>
      </c>
      <c r="X45" s="122" t="n">
        <f aca="false">(Inputs!$E$32*X7/1000+Inputs!$E$33*X7/1000+Inputs!$E$34*X7)/1000</f>
        <v>0.325</v>
      </c>
      <c r="Y45" s="12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129</v>
      </c>
      <c r="B46" s="16" t="s">
        <v>810</v>
      </c>
      <c r="C46" s="122" t="n">
        <f aca="false">C32*Inputs!$E$35</f>
        <v>0.23791016</v>
      </c>
      <c r="D46" s="122" t="n">
        <f aca="false">D32*Inputs!$E$35</f>
        <v>0.21339556</v>
      </c>
      <c r="E46" s="122" t="n">
        <f aca="false">E32*Inputs!$E$35</f>
        <v>0.26688196</v>
      </c>
      <c r="F46" s="122" t="n">
        <f aca="false">F32*Inputs!$E$35</f>
        <v>0.27194336</v>
      </c>
      <c r="G46" s="122" t="n">
        <f aca="false">G32*Inputs!$E$35</f>
        <v>0.23567</v>
      </c>
      <c r="H46" s="122" t="n">
        <f aca="false">H32*Inputs!$E$35</f>
        <v>0.23000876</v>
      </c>
      <c r="I46" s="122" t="n">
        <f aca="false">I32*Inputs!$E$35</f>
        <v>0.24581156</v>
      </c>
      <c r="J46" s="122" t="n">
        <f aca="false">J32*Inputs!$E$35</f>
        <v>0.23446016</v>
      </c>
      <c r="K46" s="122" t="n">
        <f aca="false">K32*Inputs!$E$35</f>
        <v>0.24308516</v>
      </c>
      <c r="L46" s="122" t="n">
        <f aca="false">L32*Inputs!$E$35</f>
        <v>0.23388516</v>
      </c>
      <c r="M46" s="122" t="n">
        <f aca="false">M32*Inputs!$E$35</f>
        <v>0.24366016</v>
      </c>
      <c r="N46" s="122" t="n">
        <f aca="false">N32*Inputs!$E$35</f>
        <v>0.23791016</v>
      </c>
      <c r="O46" s="122" t="n">
        <f aca="false">O32*Inputs!$E$35</f>
        <v>0.23791016</v>
      </c>
      <c r="P46" s="122" t="n">
        <f aca="false">P32*Inputs!$E$35</f>
        <v>0.23791016</v>
      </c>
      <c r="Q46" s="122" t="n">
        <f aca="false">Q32*Inputs!$E$35</f>
        <v>0.23791016</v>
      </c>
      <c r="R46" s="122" t="n">
        <f aca="false">R32*Inputs!$E$35</f>
        <v>0.23791016</v>
      </c>
      <c r="S46" s="122" t="n">
        <f aca="false">S32*Inputs!$E$35</f>
        <v>0.23791016</v>
      </c>
      <c r="T46" s="122" t="n">
        <f aca="false">T32*Inputs!$E$35</f>
        <v>0.23791016</v>
      </c>
      <c r="U46" s="122" t="n">
        <f aca="false">U32*Inputs!$E$35</f>
        <v>0.23791016</v>
      </c>
      <c r="V46" s="122" t="n">
        <f aca="false">V32*Inputs!$E$35</f>
        <v>0.23791016</v>
      </c>
      <c r="W46" s="122" t="n">
        <f aca="false">W32*Inputs!$E$35</f>
        <v>0.23791016</v>
      </c>
      <c r="X46" s="122" t="n">
        <f aca="false">X32*Inputs!$E$35</f>
        <v>0.2436398</v>
      </c>
      <c r="Y46" s="122" t="n">
        <f aca="false">Y32*Inputs!$E$35</f>
        <v>0.23032808</v>
      </c>
    </row>
    <row r="47" customFormat="false" ht="15" hidden="false" customHeight="true" outlineLevel="0" collapsed="false">
      <c r="A47" s="20" t="s">
        <v>831</v>
      </c>
      <c r="B47" s="16" t="s">
        <v>810</v>
      </c>
      <c r="C47" s="122" t="n">
        <f aca="false">C42+C43+C44+C45+C46</f>
        <v>2.53643912</v>
      </c>
      <c r="D47" s="122" t="n">
        <f aca="false">D42+D43+D44+D45+D46</f>
        <v>2.36483692</v>
      </c>
      <c r="E47" s="122" t="n">
        <f aca="false">E42+E43+E44+E45+E46</f>
        <v>2.73924172</v>
      </c>
      <c r="F47" s="122" t="n">
        <f aca="false">F42+F43+F44+F45+F46</f>
        <v>2.77467152</v>
      </c>
      <c r="G47" s="122" t="n">
        <f aca="false">G42+G43+G44+G45+G46</f>
        <v>2.520758</v>
      </c>
      <c r="H47" s="122" t="n">
        <f aca="false">H42+H43+H44+H45+H46</f>
        <v>2.48112932</v>
      </c>
      <c r="I47" s="122" t="n">
        <f aca="false">I42+I43+I44+I45+I46</f>
        <v>2.59174892</v>
      </c>
      <c r="J47" s="122" t="n">
        <f aca="false">J42+J43+J44+J45+J46</f>
        <v>2.51918912</v>
      </c>
      <c r="K47" s="122" t="n">
        <f aca="false">K42+K43+K44+K45+K46</f>
        <v>2.56231412</v>
      </c>
      <c r="L47" s="122" t="n">
        <f aca="false">L42+L43+L44+L45+L46</f>
        <v>2.51631412</v>
      </c>
      <c r="M47" s="122" t="n">
        <f aca="false">M42+M43+M44+M45+M46</f>
        <v>2.56518912</v>
      </c>
      <c r="N47" s="122" t="n">
        <f aca="false">N42+N43+N44+N45+N46</f>
        <v>2.53643912</v>
      </c>
      <c r="O47" s="122" t="n">
        <f aca="false">O42+O43+O44+O45+O46</f>
        <v>2.53643912</v>
      </c>
      <c r="P47" s="122" t="n">
        <f aca="false">P42+P43+P44+P45+P46</f>
        <v>2.53643912</v>
      </c>
      <c r="Q47" s="122" t="n">
        <f aca="false">Q42+Q43+Q44+Q45+Q46</f>
        <v>2.53643912</v>
      </c>
      <c r="R47" s="122" t="n">
        <f aca="false">R42+R43+R44+R45+R46</f>
        <v>2.36824712</v>
      </c>
      <c r="S47" s="122" t="n">
        <f aca="false">S42+S43+S44+S45+S46</f>
        <v>2.70463112</v>
      </c>
      <c r="T47" s="122" t="n">
        <f aca="false">T42+T43+T44+T45+T46</f>
        <v>2.48037512</v>
      </c>
      <c r="U47" s="122" t="n">
        <f aca="false">U42+U43+U44+U45+U46</f>
        <v>2.59250312</v>
      </c>
      <c r="V47" s="122" t="n">
        <f aca="false">V42+V43+V44+V45+V46</f>
        <v>2.45234312</v>
      </c>
      <c r="W47" s="122" t="n">
        <f aca="false">W42+W43+W44+W45+W46</f>
        <v>2.62053512</v>
      </c>
      <c r="X47" s="122" t="n">
        <f aca="false">X42+X43+X44+X45+X46</f>
        <v>2.5765466</v>
      </c>
      <c r="Y47" s="122" t="n">
        <f aca="false">Y42+Y43+Y44+Y45+Y46</f>
        <v>2.48336456</v>
      </c>
    </row>
    <row r="48" customFormat="false" ht="15" hidden="false" customHeight="true" outlineLevel="0" collapsed="false">
      <c r="A48" s="20" t="s">
        <v>832</v>
      </c>
      <c r="B48" s="16" t="s">
        <v>810</v>
      </c>
      <c r="C48" s="123" t="n">
        <f aca="false">C38+C39+C47</f>
        <v>8.98952778666667</v>
      </c>
      <c r="D48" s="123" t="n">
        <f aca="false">D38+D39+D47</f>
        <v>8.00077225333333</v>
      </c>
      <c r="E48" s="123" t="n">
        <f aca="false">E38+E39+E47</f>
        <v>10.1580570533333</v>
      </c>
      <c r="F48" s="123" t="n">
        <f aca="false">F38+F39+F47</f>
        <v>10.3622001866667</v>
      </c>
      <c r="G48" s="123" t="n">
        <f aca="false">G38+G39+G47</f>
        <v>8.89917466666667</v>
      </c>
      <c r="H48" s="123" t="n">
        <f aca="false">H38+H39+H47</f>
        <v>8.67083798666667</v>
      </c>
      <c r="I48" s="123" t="n">
        <f aca="false">I38+I39+I47</f>
        <v>9.30821758666667</v>
      </c>
      <c r="J48" s="123" t="n">
        <f aca="false">J38+J39+J47</f>
        <v>8.94927778666667</v>
      </c>
      <c r="K48" s="123" t="n">
        <f aca="false">K38+K39+K47</f>
        <v>9.04990278666667</v>
      </c>
      <c r="L48" s="123" t="n">
        <f aca="false">L38+L39+L47</f>
        <v>8.92915278666667</v>
      </c>
      <c r="M48" s="123" t="n">
        <f aca="false">M38+M39+M47</f>
        <v>9.07577778666667</v>
      </c>
      <c r="N48" s="123" t="n">
        <f aca="false">N38+N39+N47</f>
        <v>8.15828892952381</v>
      </c>
      <c r="O48" s="123" t="n">
        <f aca="false">O38+O39+O47</f>
        <v>11.8988637866667</v>
      </c>
      <c r="P48" s="123" t="n">
        <f aca="false">P38+P39+P47</f>
        <v>8.98952778666667</v>
      </c>
      <c r="Q48" s="123" t="n">
        <f aca="false">Q38+Q39+Q47</f>
        <v>8.98952778666667</v>
      </c>
      <c r="R48" s="123" t="n">
        <f aca="false">R38+R39+R47</f>
        <v>8.82133578666667</v>
      </c>
      <c r="S48" s="123" t="n">
        <f aca="false">S38+S39+S47</f>
        <v>9.15771978666667</v>
      </c>
      <c r="T48" s="123" t="n">
        <f aca="false">T38+T39+T47</f>
        <v>8.93346378666667</v>
      </c>
      <c r="U48" s="123" t="n">
        <f aca="false">U38+U39+U47</f>
        <v>9.04559178666667</v>
      </c>
      <c r="V48" s="123" t="n">
        <f aca="false">V38+V39+V47</f>
        <v>8.90543178666667</v>
      </c>
      <c r="W48" s="123" t="n">
        <f aca="false">W38+W39+W47</f>
        <v>9.07362378666667</v>
      </c>
      <c r="X48" s="123" t="n">
        <f aca="false">X38+X39+X47</f>
        <v>9.22062326666667</v>
      </c>
      <c r="Y48" s="123" t="n">
        <f aca="false">Y38+Y39+Y47</f>
        <v>8.68371722666667</v>
      </c>
    </row>
    <row r="49" customFormat="false" ht="15" hidden="false" customHeight="true" outlineLevel="0" collapsed="false">
      <c r="A49" s="25" t="s">
        <v>2003</v>
      </c>
      <c r="B49" s="14"/>
      <c r="C49" s="14"/>
    </row>
    <row r="50" customFormat="false" ht="15" hidden="false" customHeight="true" outlineLevel="0" collapsed="false">
      <c r="A50" s="15" t="s">
        <v>834</v>
      </c>
      <c r="B50" s="16" t="s">
        <v>69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835</v>
      </c>
      <c r="B51" s="16" t="s">
        <v>73</v>
      </c>
      <c r="C51" s="127" t="n">
        <f aca="false">C50/(1-(1+C50)^(-C37))</f>
        <v>0.229607380362667</v>
      </c>
      <c r="D51" s="127" t="n">
        <f aca="false">D50/(1-(1+D50)^(-D37))</f>
        <v>0.229607380362667</v>
      </c>
      <c r="E51" s="127" t="n">
        <f aca="false">E50/(1-(1+E50)^(-E37))</f>
        <v>0.229607380362667</v>
      </c>
      <c r="F51" s="127" t="n">
        <f aca="false">F50/(1-(1+F50)^(-F37))</f>
        <v>0.229607380362667</v>
      </c>
      <c r="G51" s="127" t="n">
        <f aca="false">G50/(1-(1+G50)^(-G37))</f>
        <v>0.229607380362667</v>
      </c>
      <c r="H51" s="127" t="n">
        <f aca="false">H50/(1-(1+H50)^(-H37))</f>
        <v>0.229607380362667</v>
      </c>
      <c r="I51" s="127" t="n">
        <f aca="false">I50/(1-(1+I50)^(-I37))</f>
        <v>0.229607380362667</v>
      </c>
      <c r="J51" s="127" t="n">
        <f aca="false">J50/(1-(1+J50)^(-J37))</f>
        <v>0.229607380362667</v>
      </c>
      <c r="K51" s="127" t="n">
        <f aca="false">K50/(1-(1+K50)^(-K37))</f>
        <v>0.229607380362667</v>
      </c>
      <c r="L51" s="127" t="n">
        <f aca="false">L50/(1-(1+L50)^(-L37))</f>
        <v>0.229607380362667</v>
      </c>
      <c r="M51" s="127" t="n">
        <f aca="false">M50/(1-(1+M50)^(-M37))</f>
        <v>0.229607380362667</v>
      </c>
      <c r="N51" s="127" t="n">
        <f aca="false">N50/(1-(1+N50)^(-N37))</f>
        <v>0.205405499700596</v>
      </c>
      <c r="O51" s="127" t="n">
        <f aca="false">O50/(1-(1+O50)^(-O37))</f>
        <v>0.315470803706098</v>
      </c>
      <c r="P51" s="127" t="n">
        <f aca="false">P50/(1-(1+P50)^(-P37))</f>
        <v>0.21631538622901</v>
      </c>
      <c r="Q51" s="127" t="n">
        <f aca="false">Q50/(1-(1+Q50)^(-Q37))</f>
        <v>0.250153232051725</v>
      </c>
      <c r="R51" s="127" t="n">
        <f aca="false">R50/(1-(1+R50)^(-R37))</f>
        <v>0.229607380362667</v>
      </c>
      <c r="S51" s="127" t="n">
        <f aca="false">S50/(1-(1+S50)^(-S37))</f>
        <v>0.229607380362667</v>
      </c>
      <c r="T51" s="127" t="n">
        <f aca="false">T50/(1-(1+T50)^(-T37))</f>
        <v>0.229607380362667</v>
      </c>
      <c r="U51" s="127" t="n">
        <f aca="false">U50/(1-(1+U50)^(-U37))</f>
        <v>0.229607380362667</v>
      </c>
      <c r="V51" s="127" t="n">
        <f aca="false">V50/(1-(1+V50)^(-V37))</f>
        <v>0.229607380362667</v>
      </c>
      <c r="W51" s="127" t="n">
        <f aca="false">W50/(1-(1+W50)^(-W37))</f>
        <v>0.229607380362667</v>
      </c>
      <c r="X51" s="127" t="n">
        <f aca="false">X50/(1-(1+X50)^(-X37))</f>
        <v>0.229607380362667</v>
      </c>
      <c r="Y51" s="127" t="n">
        <f aca="false">Y50/(1-(1+Y50)^(-Y37))</f>
        <v>0.229607380362667</v>
      </c>
    </row>
    <row r="52" customFormat="false" ht="15" hidden="false" customHeight="true" outlineLevel="0" collapsed="false">
      <c r="A52" s="15" t="s">
        <v>836</v>
      </c>
      <c r="B52" s="16" t="s">
        <v>810</v>
      </c>
      <c r="C52" s="122" t="n">
        <f aca="false">C23*C51</f>
        <v>8.01606021065761</v>
      </c>
      <c r="D52" s="122" t="n">
        <f aca="false">D23*D51</f>
        <v>6.89031359332988</v>
      </c>
      <c r="E52" s="122" t="n">
        <f aca="false">E23*E51</f>
        <v>9.34648803113583</v>
      </c>
      <c r="F52" s="122" t="n">
        <f aca="false">F23*F51</f>
        <v>9.57891499012936</v>
      </c>
      <c r="G52" s="122" t="n">
        <f aca="false">G23*G51</f>
        <v>7.91318875681896</v>
      </c>
      <c r="H52" s="122" t="n">
        <f aca="false">H23*H51</f>
        <v>7.65321625961809</v>
      </c>
      <c r="I52" s="122" t="n">
        <f aca="false">I23*I51</f>
        <v>8.37890416169712</v>
      </c>
      <c r="J52" s="122" t="n">
        <f aca="false">J23*J51</f>
        <v>8.01606021065761</v>
      </c>
      <c r="K52" s="122" t="n">
        <f aca="false">K23*K51</f>
        <v>8.01606021065761</v>
      </c>
      <c r="L52" s="122" t="n">
        <f aca="false">L23*L51</f>
        <v>8.01606021065761</v>
      </c>
      <c r="M52" s="122" t="n">
        <f aca="false">M23*M51</f>
        <v>8.01606021065761</v>
      </c>
      <c r="N52" s="122" t="n">
        <f aca="false">N23*N51</f>
        <v>7.17112337852318</v>
      </c>
      <c r="O52" s="122" t="n">
        <f aca="false">O23*O51</f>
        <v>11.013726794053</v>
      </c>
      <c r="P52" s="122" t="n">
        <f aca="false">P23*P51</f>
        <v>7.55200968611954</v>
      </c>
      <c r="Q52" s="122" t="n">
        <f aca="false">Q23*Q51</f>
        <v>8.73335764229326</v>
      </c>
      <c r="R52" s="122" t="n">
        <f aca="false">R23*R51</f>
        <v>8.01606021065761</v>
      </c>
      <c r="S52" s="122" t="n">
        <f aca="false">S23*S51</f>
        <v>8.01606021065761</v>
      </c>
      <c r="T52" s="122" t="n">
        <f aca="false">T23*T51</f>
        <v>8.01606021065761</v>
      </c>
      <c r="U52" s="122" t="n">
        <f aca="false">U23*U51</f>
        <v>8.01606021065761</v>
      </c>
      <c r="V52" s="122" t="n">
        <f aca="false">V23*V51</f>
        <v>8.01606021065761</v>
      </c>
      <c r="W52" s="122" t="n">
        <f aca="false">W23*W51</f>
        <v>8.01606021065761</v>
      </c>
      <c r="X52" s="122" t="n">
        <f aca="false">X23*X51</f>
        <v>8.27917373682184</v>
      </c>
      <c r="Y52" s="122" t="n">
        <f aca="false">Y23*Y51</f>
        <v>7.66787990535758</v>
      </c>
    </row>
    <row r="53" customFormat="false" ht="15" hidden="false" customHeight="true" outlineLevel="0" collapsed="false">
      <c r="A53" s="20" t="s">
        <v>837</v>
      </c>
      <c r="B53" s="16" t="s">
        <v>810</v>
      </c>
      <c r="C53" s="122" t="n">
        <f aca="false">(C25*C50/(1-(1+C50)^(-Inputs!$E$24))+C26*C50/(1-(1+C50)^(-Inputs!$E$25))+C27*C50/(1-(1+C50)^(-Inputs!$E$26))+C28*C50/(1-(1+C50)^(-Inputs!$E$27)))*(1+C29)+C24*C50</f>
        <v>1.50187163616098</v>
      </c>
      <c r="D53" s="122" t="n">
        <f aca="false">(D25*D50/(1-(1+D50)^(-Inputs!$E$24))+D26*D50/(1-(1+D50)^(-Inputs!$E$25))+D27*D50/(1-(1+D50)^(-Inputs!$E$26))+D28*D50/(1-(1+D50)^(-Inputs!$E$27)))*(1+D29)+D24*D50</f>
        <v>1.50187163616098</v>
      </c>
      <c r="E53" s="122" t="n">
        <f aca="false">(E25*E50/(1-(1+E50)^(-Inputs!$E$24))+E26*E50/(1-(1+E50)^(-Inputs!$E$25))+E27*E50/(1-(1+E50)^(-Inputs!$E$26))+E28*E50/(1-(1+E50)^(-Inputs!$E$27)))*(1+E29)+E24*E50</f>
        <v>1.50187163616098</v>
      </c>
      <c r="F53" s="122" t="n">
        <f aca="false">(F25*F50/(1-(1+F50)^(-Inputs!$E$24))+F26*F50/(1-(1+F50)^(-Inputs!$E$25))+F27*F50/(1-(1+F50)^(-Inputs!$E$26))+F28*F50/(1-(1+F50)^(-Inputs!$E$27)))*(1+F29)+F24*F50</f>
        <v>1.50187163616098</v>
      </c>
      <c r="G53" s="122" t="n">
        <f aca="false">(G25*G50/(1-(1+G50)^(-Inputs!$E$24))+G26*G50/(1-(1+G50)^(-Inputs!$E$25))+G27*G50/(1-(1+G50)^(-Inputs!$E$26))+G28*G50/(1-(1+G50)^(-Inputs!$E$27)))*(1+G29)+G24*G50</f>
        <v>1.50187163616098</v>
      </c>
      <c r="H53" s="122" t="n">
        <f aca="false">(H25*H50/(1-(1+H50)^(-Inputs!$E$24))+H26*H50/(1-(1+H50)^(-Inputs!$E$25))+H27*H50/(1-(1+H50)^(-Inputs!$E$26))+H28*H50/(1-(1+H50)^(-Inputs!$E$27)))*(1+H29)+H24*H50</f>
        <v>1.50187163616098</v>
      </c>
      <c r="I53" s="122" t="n">
        <f aca="false">(I25*I50/(1-(1+I50)^(-Inputs!$E$24))+I26*I50/(1-(1+I50)^(-Inputs!$E$25))+I27*I50/(1-(1+I50)^(-Inputs!$E$26))+I28*I50/(1-(1+I50)^(-Inputs!$E$27)))*(1+I29)+I24*I50</f>
        <v>1.50187163616098</v>
      </c>
      <c r="J53" s="122" t="n">
        <f aca="false">(J25*J50/(1-(1+J50)^(-Inputs!$E$24))+J26*J50/(1-(1+J50)^(-Inputs!$E$25))+J27*J50/(1-(1+J50)^(-Inputs!$E$26))+J28*J50/(1-(1+J50)^(-Inputs!$E$27)))*(1+J29)+J24*J50</f>
        <v>1.42867695486666</v>
      </c>
      <c r="K53" s="122" t="n">
        <f aca="false">(K25*K50/(1-(1+K50)^(-Inputs!$E$24))+K26*K50/(1-(1+K50)^(-Inputs!$E$25))+K27*K50/(1-(1+K50)^(-Inputs!$E$26))+K28*K50/(1-(1+K50)^(-Inputs!$E$27)))*(1+K29)+K24*K50</f>
        <v>1.61166365810245</v>
      </c>
      <c r="L53" s="122" t="n">
        <f aca="false">(L25*L50/(1-(1+L50)^(-Inputs!$E$24))+L26*L50/(1-(1+L50)^(-Inputs!$E$25))+L27*L50/(1-(1+L50)^(-Inputs!$E$26))+L28*L50/(1-(1+L50)^(-Inputs!$E$27)))*(1+L29)+L24*L50</f>
        <v>1.40731663821908</v>
      </c>
      <c r="M53" s="122" t="n">
        <f aca="false">(M25*M50/(1-(1+M50)^(-Inputs!$E$24))+M26*M50/(1-(1+M50)^(-Inputs!$E$25))+M27*M50/(1-(1+M50)^(-Inputs!$E$26))+M28*M50/(1-(1+M50)^(-Inputs!$E$27)))*(1+M29)+M24*M50</f>
        <v>1.63695020464941</v>
      </c>
      <c r="N53" s="122" t="n">
        <f aca="false">(N25*N50/(1-(1+N50)^(-Inputs!$E$24))+N26*N50/(1-(1+N50)^(-Inputs!$E$25))+N27*N50/(1-(1+N50)^(-Inputs!$E$26))+N28*N50/(1-(1+N50)^(-Inputs!$E$27)))*(1+N29)+N24*N50</f>
        <v>1.50187163616098</v>
      </c>
      <c r="O53" s="122" t="n">
        <f aca="false">(O25*O50/(1-(1+O50)^(-Inputs!$E$24))+O26*O50/(1-(1+O50)^(-Inputs!$E$25))+O27*O50/(1-(1+O50)^(-Inputs!$E$26))+O28*O50/(1-(1+O50)^(-Inputs!$E$27)))*(1+O29)+O24*O50</f>
        <v>1.50187163616098</v>
      </c>
      <c r="P53" s="122" t="n">
        <f aca="false">(P25*P50/(1-(1+P50)^(-Inputs!$E$24))+P26*P50/(1-(1+P50)^(-Inputs!$E$25))+P27*P50/(1-(1+P50)^(-Inputs!$E$26))+P28*P50/(1-(1+P50)^(-Inputs!$E$27)))*(1+P29)+P24*P50</f>
        <v>1.30086926137482</v>
      </c>
      <c r="Q53" s="122" t="n">
        <f aca="false">(Q25*Q50/(1-(1+Q50)^(-Inputs!$E$24))+Q26*Q50/(1-(1+Q50)^(-Inputs!$E$25))+Q27*Q50/(1-(1+Q50)^(-Inputs!$E$26))+Q28*Q50/(1-(1+Q50)^(-Inputs!$E$27)))*(1+Q29)+Q24*Q50</f>
        <v>1.82125675978435</v>
      </c>
      <c r="R53" s="122" t="n">
        <f aca="false">(R25*R50/(1-(1+R50)^(-Inputs!$E$24))+R26*R50/(1-(1+R50)^(-Inputs!$E$25))+R27*R50/(1-(1+R50)^(-Inputs!$E$26))+R28*R50/(1-(1+R50)^(-Inputs!$E$27)))*(1+R29)+R24*R50</f>
        <v>1.50187163616098</v>
      </c>
      <c r="S53" s="122" t="n">
        <f aca="false">(S25*S50/(1-(1+S50)^(-Inputs!$E$24))+S26*S50/(1-(1+S50)^(-Inputs!$E$25))+S27*S50/(1-(1+S50)^(-Inputs!$E$26))+S28*S50/(1-(1+S50)^(-Inputs!$E$27)))*(1+S29)+S24*S50</f>
        <v>1.50187163616098</v>
      </c>
      <c r="T53" s="122" t="n">
        <f aca="false">(T25*T50/(1-(1+T50)^(-Inputs!$E$24))+T26*T50/(1-(1+T50)^(-Inputs!$E$25))+T27*T50/(1-(1+T50)^(-Inputs!$E$26))+T28*T50/(1-(1+T50)^(-Inputs!$E$27)))*(1+T29)+T24*T50</f>
        <v>1.50187163616098</v>
      </c>
      <c r="U53" s="122" t="n">
        <f aca="false">(U25*U50/(1-(1+U50)^(-Inputs!$E$24))+U26*U50/(1-(1+U50)^(-Inputs!$E$25))+U27*U50/(1-(1+U50)^(-Inputs!$E$26))+U28*U50/(1-(1+U50)^(-Inputs!$E$27)))*(1+U29)+U24*U50</f>
        <v>1.50187163616098</v>
      </c>
      <c r="V53" s="122" t="n">
        <f aca="false">(V25*V50/(1-(1+V50)^(-Inputs!$E$24))+V26*V50/(1-(1+V50)^(-Inputs!$E$25))+V27*V50/(1-(1+V50)^(-Inputs!$E$26))+V28*V50/(1-(1+V50)^(-Inputs!$E$27)))*(1+V29)+V24*V50</f>
        <v>1.50187163616098</v>
      </c>
      <c r="W53" s="122" t="n">
        <f aca="false">(W25*W50/(1-(1+W50)^(-Inputs!$E$24))+W26*W50/(1-(1+W50)^(-Inputs!$E$25))+W27*W50/(1-(1+W50)^(-Inputs!$E$26))+W28*W50/(1-(1+W50)^(-Inputs!$E$27)))*(1+W29)+W24*W50</f>
        <v>1.50187163616098</v>
      </c>
      <c r="X53" s="122" t="n">
        <f aca="false">(X25*X50/(1-(1+X50)^(-Inputs!$E$24))+X26*X50/(1-(1+X50)^(-Inputs!$E$25))+X27*X50/(1-(1+X50)^(-Inputs!$E$26))+X28*X50/(1-(1+X50)^(-Inputs!$E$27)))*(1+X29)+X24*X50</f>
        <v>1.50187163616098</v>
      </c>
      <c r="Y53" s="12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838</v>
      </c>
      <c r="B54" s="16" t="s">
        <v>810</v>
      </c>
      <c r="C54" s="123" t="n">
        <f aca="false">C52+C53+C47</f>
        <v>12.0543709668186</v>
      </c>
      <c r="D54" s="123" t="n">
        <f aca="false">D52+D53+D47</f>
        <v>10.7570221494909</v>
      </c>
      <c r="E54" s="123" t="n">
        <f aca="false">E52+E53+E47</f>
        <v>13.5876013872968</v>
      </c>
      <c r="F54" s="123" t="n">
        <f aca="false">F52+F53+F47</f>
        <v>13.8554581462903</v>
      </c>
      <c r="G54" s="123" t="n">
        <f aca="false">G52+G53+G47</f>
        <v>11.9358183929799</v>
      </c>
      <c r="H54" s="123" t="n">
        <f aca="false">H52+H53+H47</f>
        <v>11.6362172157791</v>
      </c>
      <c r="I54" s="123" t="n">
        <f aca="false">I52+I53+I47</f>
        <v>12.4725247178581</v>
      </c>
      <c r="J54" s="123" t="n">
        <f aca="false">J52+J53+J47</f>
        <v>11.9639262855243</v>
      </c>
      <c r="K54" s="123" t="n">
        <f aca="false">K52+K53+K47</f>
        <v>12.1900379887601</v>
      </c>
      <c r="L54" s="123" t="n">
        <f aca="false">L52+L53+L47</f>
        <v>11.9396909688767</v>
      </c>
      <c r="M54" s="123" t="n">
        <f aca="false">M52+M53+M47</f>
        <v>12.218199535307</v>
      </c>
      <c r="N54" s="123" t="n">
        <f aca="false">N52+N53+N47</f>
        <v>11.2094341346842</v>
      </c>
      <c r="O54" s="123" t="n">
        <f aca="false">O52+O53+O47</f>
        <v>15.052037550214</v>
      </c>
      <c r="P54" s="123" t="n">
        <f aca="false">P52+P53+P47</f>
        <v>11.3893180674944</v>
      </c>
      <c r="Q54" s="123" t="n">
        <f aca="false">Q52+Q53+Q47</f>
        <v>13.0910535220776</v>
      </c>
      <c r="R54" s="123" t="n">
        <f aca="false">R52+R53+R47</f>
        <v>11.8861789668186</v>
      </c>
      <c r="S54" s="123" t="n">
        <f aca="false">S52+S53+S47</f>
        <v>12.2225629668186</v>
      </c>
      <c r="T54" s="123" t="n">
        <f aca="false">T52+T53+T47</f>
        <v>11.9983069668186</v>
      </c>
      <c r="U54" s="123" t="n">
        <f aca="false">U52+U53+U47</f>
        <v>12.1104349668186</v>
      </c>
      <c r="V54" s="123" t="n">
        <f aca="false">V52+V53+V47</f>
        <v>11.9702749668186</v>
      </c>
      <c r="W54" s="123" t="n">
        <f aca="false">W52+W53+W47</f>
        <v>12.1384669668186</v>
      </c>
      <c r="X54" s="123" t="n">
        <f aca="false">X52+X53+X47</f>
        <v>12.3575919729828</v>
      </c>
      <c r="Y54" s="123" t="n">
        <f aca="false">Y52+Y53+Y47</f>
        <v>11.6531161015186</v>
      </c>
    </row>
    <row r="55" customFormat="false" ht="15" hidden="false" customHeight="true" outlineLevel="0" collapsed="false">
      <c r="A55" s="25" t="s">
        <v>839</v>
      </c>
      <c r="B55" s="14"/>
      <c r="C55" s="14"/>
    </row>
    <row r="56" customFormat="false" ht="15" hidden="false" customHeight="true" outlineLevel="0" collapsed="false">
      <c r="A56" s="20" t="s">
        <v>840</v>
      </c>
      <c r="B56" s="16" t="s">
        <v>783</v>
      </c>
      <c r="C56" s="122" t="n">
        <f aca="false">C48*1000000000/(C13*8760)</f>
        <v>3.51747354574866</v>
      </c>
      <c r="D56" s="122" t="n">
        <f aca="false">D48*1000000000/(D13*8760)</f>
        <v>3.13058765872008</v>
      </c>
      <c r="E56" s="122" t="n">
        <f aca="false">E48*1000000000/(E13*8760)</f>
        <v>3.9747023213279</v>
      </c>
      <c r="F56" s="122" t="n">
        <f aca="false">F48*1000000000/(F13*8760)</f>
        <v>3.393052585846</v>
      </c>
      <c r="G56" s="122" t="n">
        <f aca="false">G48*1000000000/(G13*8760)</f>
        <v>3.52738721883985</v>
      </c>
      <c r="H56" s="122" t="n">
        <f aca="false">H48*1000000000/(H13*8760)</f>
        <v>3.39277478877251</v>
      </c>
      <c r="I56" s="122" t="n">
        <f aca="false">I48*1000000000/(I13*8760)</f>
        <v>3.64217230272482</v>
      </c>
      <c r="J56" s="122" t="n">
        <f aca="false">J48*1000000000/(J13*8760)</f>
        <v>3.50172429689197</v>
      </c>
      <c r="K56" s="122" t="n">
        <f aca="false">K48*1000000000/(K13*8760)</f>
        <v>3.54109741903371</v>
      </c>
      <c r="L56" s="122" t="n">
        <f aca="false">L48*1000000000/(L13*8760)</f>
        <v>3.49384967246362</v>
      </c>
      <c r="M56" s="122" t="n">
        <f aca="false">M48*1000000000/(M13*8760)</f>
        <v>3.55122193615587</v>
      </c>
      <c r="N56" s="122" t="n">
        <f aca="false">N48*1000000000/(N13*8760)</f>
        <v>3.19222167940091</v>
      </c>
      <c r="O56" s="122" t="n">
        <f aca="false">O48*1000000000/(O13*8760)</f>
        <v>4.65585507796581</v>
      </c>
      <c r="P56" s="122" t="n">
        <f aca="false">P48*1000000000/(P13*8760)</f>
        <v>3.51747354574866</v>
      </c>
      <c r="Q56" s="122" t="n">
        <f aca="false">Q48*1000000000/(Q13*8760)</f>
        <v>3.51747354574866</v>
      </c>
      <c r="R56" s="122" t="n">
        <f aca="false">R48*1000000000/(R13*8760)</f>
        <v>3.45166242366903</v>
      </c>
      <c r="S56" s="122" t="n">
        <f aca="false">S48*1000000000/(S13*8760)</f>
        <v>3.58328466782829</v>
      </c>
      <c r="T56" s="122" t="n">
        <f aca="false">T48*1000000000/(T13*8760)</f>
        <v>3.49553650505545</v>
      </c>
      <c r="U56" s="122" t="n">
        <f aca="false">U48*1000000000/(U13*8760)</f>
        <v>3.53941058644187</v>
      </c>
      <c r="V56" s="122" t="n">
        <f aca="false">V48*1000000000/(V13*8760)</f>
        <v>3.48456798470885</v>
      </c>
      <c r="W56" s="122" t="n">
        <f aca="false">W48*1000000000/(W13*8760)</f>
        <v>3.55037910678848</v>
      </c>
      <c r="X56" s="122" t="n">
        <f aca="false">X48*1000000000/(X13*8760)</f>
        <v>3.49323830043799</v>
      </c>
      <c r="Y56" s="122" t="n">
        <f aca="false">Y48*1000000000/(Y13*8760)</f>
        <v>3.55210096624656</v>
      </c>
    </row>
    <row r="57" customFormat="false" ht="15" hidden="false" customHeight="true" outlineLevel="0" collapsed="false">
      <c r="A57" s="20" t="s">
        <v>841</v>
      </c>
      <c r="B57" s="16" t="s">
        <v>783</v>
      </c>
      <c r="C57" s="123" t="n">
        <f aca="false">C54*1000000000/(C13*8760)</f>
        <v>4.71670281161092</v>
      </c>
      <c r="D57" s="123" t="n">
        <f aca="false">D54*1000000000/(D13*8760)</f>
        <v>4.20906878979644</v>
      </c>
      <c r="E57" s="123" t="n">
        <f aca="false">E54*1000000000/(E13*8760)</f>
        <v>5.31663392830075</v>
      </c>
      <c r="F57" s="123" t="n">
        <f aca="false">F54*1000000000/(F13*8760)</f>
        <v>4.53690309436827</v>
      </c>
      <c r="G57" s="123" t="n">
        <f aca="false">G54*1000000000/(G13*8760)</f>
        <v>4.73102897996732</v>
      </c>
      <c r="H57" s="123" t="n">
        <f aca="false">H54*1000000000/(H13*8760)</f>
        <v>4.55308523433187</v>
      </c>
      <c r="I57" s="123" t="n">
        <f aca="false">I54*1000000000/(I13*8760)</f>
        <v>4.88032038888996</v>
      </c>
      <c r="J57" s="123" t="n">
        <f aca="false">J54*1000000000/(J13*8760)</f>
        <v>4.68131310245642</v>
      </c>
      <c r="K57" s="123" t="n">
        <f aca="false">K54*1000000000/(K13*8760)</f>
        <v>4.76978737534267</v>
      </c>
      <c r="L57" s="123" t="n">
        <f aca="false">L54*1000000000/(L13*8760)</f>
        <v>4.67183016995943</v>
      </c>
      <c r="M57" s="123" t="n">
        <f aca="false">M54*1000000000/(M13*8760)</f>
        <v>4.78080658539875</v>
      </c>
      <c r="N57" s="123" t="n">
        <f aca="false">N54*1000000000/(N13*8760)</f>
        <v>4.38609112372341</v>
      </c>
      <c r="O57" s="123" t="n">
        <f aca="false">O54*1000000000/(O13*8760)</f>
        <v>5.88964683673616</v>
      </c>
      <c r="P57" s="123" t="n">
        <f aca="false">P54*1000000000/(P13*8760)</f>
        <v>4.45647713175195</v>
      </c>
      <c r="Q57" s="123" t="n">
        <f aca="false">Q54*1000000000/(Q13*8760)</f>
        <v>5.1223418562859</v>
      </c>
      <c r="R57" s="123" t="n">
        <f aca="false">R54*1000000000/(R13*8760)</f>
        <v>4.65089168953128</v>
      </c>
      <c r="S57" s="123" t="n">
        <f aca="false">S54*1000000000/(S13*8760)</f>
        <v>4.78251393369055</v>
      </c>
      <c r="T57" s="123" t="n">
        <f aca="false">T54*1000000000/(T13*8760)</f>
        <v>4.69476577091771</v>
      </c>
      <c r="U57" s="123" t="n">
        <f aca="false">U54*1000000000/(U13*8760)</f>
        <v>4.73863985230413</v>
      </c>
      <c r="V57" s="123" t="n">
        <f aca="false">V54*1000000000/(V13*8760)</f>
        <v>4.6837972505711</v>
      </c>
      <c r="W57" s="123" t="n">
        <f aca="false">W54*1000000000/(W13*8760)</f>
        <v>4.74960837265073</v>
      </c>
      <c r="X57" s="123" t="n">
        <f aca="false">X54*1000000000/(X13*8760)</f>
        <v>4.68168065571714</v>
      </c>
      <c r="Y57" s="123" t="n">
        <f aca="false">Y54*1000000000/(Y13*8760)</f>
        <v>4.76674261534844</v>
      </c>
    </row>
    <row r="58" customFormat="false" ht="15" hidden="false" customHeight="true" outlineLevel="0" collapsed="false">
      <c r="A58" s="20" t="s">
        <v>842</v>
      </c>
      <c r="B58" s="16" t="s">
        <v>843</v>
      </c>
      <c r="C58" s="17" t="n">
        <f aca="false">C54*1000000000/(C11*8760)</f>
        <v>339.602602435986</v>
      </c>
      <c r="D58" s="17" t="n">
        <f aca="false">D54*1000000000/(D11*8760)</f>
        <v>303.052952865344</v>
      </c>
      <c r="E58" s="17" t="n">
        <f aca="false">E54*1000000000/(E11*8760)</f>
        <v>382.797642837654</v>
      </c>
      <c r="F58" s="17" t="n">
        <f aca="false">F54*1000000000/(F11*8760)</f>
        <v>326.657022794515</v>
      </c>
      <c r="G58" s="17" t="n">
        <f aca="false">G54*1000000000/(G11*8760)</f>
        <v>340.634086557647</v>
      </c>
      <c r="H58" s="17" t="n">
        <f aca="false">H54*1000000000/(H11*8760)</f>
        <v>327.822136871895</v>
      </c>
      <c r="I58" s="17" t="n">
        <f aca="false">I54*1000000000/(I11*8760)</f>
        <v>351.383068000077</v>
      </c>
      <c r="J58" s="17" t="n">
        <f aca="false">J54*1000000000/(J11*8760)</f>
        <v>337.054543376862</v>
      </c>
      <c r="K58" s="17" t="n">
        <f aca="false">K54*1000000000/(K11*8760)</f>
        <v>343.424691024672</v>
      </c>
      <c r="L58" s="17" t="n">
        <f aca="false">L54*1000000000/(L11*8760)</f>
        <v>336.371772237079</v>
      </c>
      <c r="M58" s="17" t="n">
        <f aca="false">M54*1000000000/(M11*8760)</f>
        <v>344.21807414871</v>
      </c>
      <c r="N58" s="17" t="n">
        <f aca="false">N54*1000000000/(N11*8760)</f>
        <v>315.798560908085</v>
      </c>
      <c r="O58" s="17" t="n">
        <f aca="false">O54*1000000000/(O11*8760)</f>
        <v>424.054572245004</v>
      </c>
      <c r="P58" s="17" t="n">
        <f aca="false">P54*1000000000/(P11*8760)</f>
        <v>320.866353486141</v>
      </c>
      <c r="Q58" s="17" t="n">
        <f aca="false">Q54*1000000000/(Q11*8760)</f>
        <v>368.808613652585</v>
      </c>
      <c r="R58" s="17" t="n">
        <f aca="false">R54*1000000000/(R11*8760)</f>
        <v>334.864201646252</v>
      </c>
      <c r="S58" s="17" t="n">
        <f aca="false">S54*1000000000/(S11*8760)</f>
        <v>344.341003225719</v>
      </c>
      <c r="T58" s="17" t="n">
        <f aca="false">T54*1000000000/(T11*8760)</f>
        <v>338.023135506075</v>
      </c>
      <c r="U58" s="17" t="n">
        <f aca="false">U54*1000000000/(U11*8760)</f>
        <v>341.182069365897</v>
      </c>
      <c r="V58" s="17" t="n">
        <f aca="false">V54*1000000000/(V11*8760)</f>
        <v>337.233402041119</v>
      </c>
      <c r="W58" s="17" t="n">
        <f aca="false">W54*1000000000/(W11*8760)</f>
        <v>341.971802830853</v>
      </c>
      <c r="X58" s="17" t="n">
        <f aca="false">X54*1000000000/(X11*8760)</f>
        <v>337.081007211634</v>
      </c>
      <c r="Y58" s="17" t="n">
        <f aca="false">Y54*1000000000/(Y11*8760)</f>
        <v>343.205468305088</v>
      </c>
    </row>
    <row r="59" customFormat="false" ht="15" hidden="false" customHeight="true" outlineLevel="0" collapsed="false">
      <c r="A59" s="20" t="s">
        <v>844</v>
      </c>
      <c r="B59" s="16" t="s">
        <v>845</v>
      </c>
      <c r="C59" s="122" t="n">
        <f aca="false">C7*C40*C14*8760/1000000</f>
        <v>8.4096</v>
      </c>
      <c r="D59" s="122" t="n">
        <f aca="false">D7*D40*D14*8760/1000000</f>
        <v>8.4096</v>
      </c>
      <c r="E59" s="122" t="n">
        <f aca="false">E7*E40*E14*8760/1000000</f>
        <v>8.4096</v>
      </c>
      <c r="F59" s="122" t="n">
        <f aca="false">F7*F40*F14*8760/1000000</f>
        <v>8.4096</v>
      </c>
      <c r="G59" s="122" t="n">
        <f aca="false">G7*G40*G14*8760/1000000</f>
        <v>8.4096</v>
      </c>
      <c r="H59" s="122" t="n">
        <f aca="false">H7*H40*H14*8760/1000000</f>
        <v>8.4096</v>
      </c>
      <c r="I59" s="122" t="n">
        <f aca="false">I7*I40*I14*8760/1000000</f>
        <v>8.4096</v>
      </c>
      <c r="J59" s="122" t="n">
        <f aca="false">J7*J40*J14*8760/1000000</f>
        <v>8.4096</v>
      </c>
      <c r="K59" s="122" t="n">
        <f aca="false">K7*K40*K14*8760/1000000</f>
        <v>8.4096</v>
      </c>
      <c r="L59" s="122" t="n">
        <f aca="false">L7*L40*L14*8760/1000000</f>
        <v>8.4096</v>
      </c>
      <c r="M59" s="122" t="n">
        <f aca="false">M7*M40*M14*8760/1000000</f>
        <v>8.4096</v>
      </c>
      <c r="N59" s="122" t="n">
        <f aca="false">N7*N40*N14*8760/1000000</f>
        <v>8.4096</v>
      </c>
      <c r="O59" s="122" t="n">
        <f aca="false">O7*O40*O14*8760/1000000</f>
        <v>8.4096</v>
      </c>
      <c r="P59" s="122" t="n">
        <f aca="false">P7*P40*P14*8760/1000000</f>
        <v>8.4096</v>
      </c>
      <c r="Q59" s="122" t="n">
        <f aca="false">Q7*Q40*Q14*8760/1000000</f>
        <v>8.4096</v>
      </c>
      <c r="R59" s="122" t="n">
        <f aca="false">R7*R40*R14*8760/1000000</f>
        <v>8.4096</v>
      </c>
      <c r="S59" s="122" t="n">
        <f aca="false">S7*S40*S14*8760/1000000</f>
        <v>8.4096</v>
      </c>
      <c r="T59" s="122" t="n">
        <f aca="false">T7*T40*T14*8760/1000000</f>
        <v>7.7088</v>
      </c>
      <c r="U59" s="122" t="n">
        <f aca="false">U7*U40*U14*8760/1000000</f>
        <v>9.1104</v>
      </c>
      <c r="V59" s="122" t="n">
        <f aca="false">V7*V40*V14*8760/1000000</f>
        <v>7.3584</v>
      </c>
      <c r="W59" s="122" t="n">
        <f aca="false">W7*W40*W14*8760/1000000</f>
        <v>9.4608</v>
      </c>
      <c r="X59" s="122" t="n">
        <f aca="false">X7*X40*X14*8760/1000000</f>
        <v>8.4096</v>
      </c>
      <c r="Y59" s="122" t="n">
        <f aca="false">Y7*Y40*Y14*8760/1000000</f>
        <v>8.4096</v>
      </c>
    </row>
    <row r="60" customFormat="false" ht="15" hidden="false" customHeight="true" outlineLevel="0" collapsed="false">
      <c r="A60" s="20" t="s">
        <v>846</v>
      </c>
      <c r="B60" s="16" t="s">
        <v>69</v>
      </c>
      <c r="C60" s="22" t="n">
        <f aca="false">(C52+C53)/C54</f>
        <v>0.789583452593095</v>
      </c>
      <c r="D60" s="22" t="n">
        <f aca="false">(D52+D53)/D54</f>
        <v>0.780158775622496</v>
      </c>
      <c r="E60" s="22" t="n">
        <f aca="false">(E52+E53)/E54</f>
        <v>0.798401377702989</v>
      </c>
      <c r="F60" s="22" t="n">
        <f aca="false">(F52+F53)/F54</f>
        <v>0.799741625956779</v>
      </c>
      <c r="G60" s="22" t="n">
        <f aca="false">(G52+G53)/G54</f>
        <v>0.788807275965041</v>
      </c>
      <c r="H60" s="22" t="n">
        <f aca="false">(H52+H53)/H54</f>
        <v>0.786775266051625</v>
      </c>
      <c r="I60" s="22" t="n">
        <f aca="false">(I52+I53)/I54</f>
        <v>0.792203344661314</v>
      </c>
      <c r="J60" s="22" t="n">
        <f aca="false">(J52+J53)/J54</f>
        <v>0.78943458360755</v>
      </c>
      <c r="K60" s="22" t="n">
        <f aca="false">(K52+K53)/K54</f>
        <v>0.789802614039218</v>
      </c>
      <c r="L60" s="22" t="n">
        <f aca="false">(L52+L53)/L54</f>
        <v>0.789247969100766</v>
      </c>
      <c r="M60" s="22" t="n">
        <f aca="false">(M52+M53)/M54</f>
        <v>0.790051790152276</v>
      </c>
      <c r="N60" s="22" t="n">
        <f aca="false">(N52+N53)/N54</f>
        <v>0.773722822265241</v>
      </c>
      <c r="O60" s="22" t="n">
        <f aca="false">(O52+O53)/O54</f>
        <v>0.831488653178125</v>
      </c>
      <c r="P60" s="22" t="n">
        <f aca="false">(P52+P53)/P54</f>
        <v>0.777296664737188</v>
      </c>
      <c r="Q60" s="22" t="n">
        <f aca="false">(Q52+Q53)/Q54</f>
        <v>0.806246371560365</v>
      </c>
      <c r="R60" s="22" t="n">
        <f aca="false">(R52+R53)/R54</f>
        <v>0.800756229010922</v>
      </c>
      <c r="S60" s="22" t="n">
        <f aca="false">(S52+S53)/S54</f>
        <v>0.778718168411777</v>
      </c>
      <c r="T60" s="22" t="n">
        <f aca="false">(T52+T53)/T54</f>
        <v>0.79327290701434</v>
      </c>
      <c r="U60" s="22" t="n">
        <f aca="false">(U52+U53)/U54</f>
        <v>0.785928158063422</v>
      </c>
      <c r="V60" s="22" t="n">
        <f aca="false">(V52+V53)/V54</f>
        <v>0.795130594176169</v>
      </c>
      <c r="W60" s="22" t="n">
        <f aca="false">(W52+W53)/W54</f>
        <v>0.784113172844361</v>
      </c>
      <c r="X60" s="22" t="n">
        <f aca="false">(X52+X53)/X54</f>
        <v>0.791500916551294</v>
      </c>
      <c r="Y60" s="22" t="n">
        <f aca="false">(Y52+Y53)/Y54</f>
        <v>0.786892661296288</v>
      </c>
    </row>
    <row r="61" customFormat="false" ht="15" hidden="false" customHeight="true" outlineLevel="0" collapsed="false">
      <c r="A61" s="20" t="s">
        <v>847</v>
      </c>
      <c r="B61" s="16" t="s">
        <v>69</v>
      </c>
      <c r="C61" s="22" t="n">
        <f aca="false">C42/C54</f>
        <v>0.0558111245996902</v>
      </c>
      <c r="D61" s="22" t="n">
        <f aca="false">D42/D54</f>
        <v>0.0625422157406121</v>
      </c>
      <c r="E61" s="22" t="n">
        <f aca="false">E42/E54</f>
        <v>0.0495133747910045</v>
      </c>
      <c r="F61" s="22" t="n">
        <f aca="false">F42/F54</f>
        <v>0.0485561713583702</v>
      </c>
      <c r="G61" s="22" t="n">
        <f aca="false">G42/G54</f>
        <v>0.0563654688643461</v>
      </c>
      <c r="H61" s="22" t="n">
        <f aca="false">H42/H54</f>
        <v>0.05781672750898</v>
      </c>
      <c r="I61" s="22" t="n">
        <f aca="false">I42/I54</f>
        <v>0.053940001340445</v>
      </c>
      <c r="J61" s="22" t="n">
        <f aca="false">J42/J54</f>
        <v>0.0562330445661484</v>
      </c>
      <c r="K61" s="22" t="n">
        <f aca="false">K42/K54</f>
        <v>0.0551899838721038</v>
      </c>
      <c r="L61" s="22" t="n">
        <f aca="false">L42/L54</f>
        <v>0.056347187021315</v>
      </c>
      <c r="M61" s="22" t="n">
        <f aca="false">M42/M54</f>
        <v>0.055062777298398</v>
      </c>
      <c r="N61" s="22" t="n">
        <f aca="false">N42/N54</f>
        <v>0.0600180162456484</v>
      </c>
      <c r="O61" s="22" t="n">
        <f aca="false">O42/O54</f>
        <v>0.0446961414862027</v>
      </c>
      <c r="P61" s="22" t="n">
        <f aca="false">P42/P54</f>
        <v>0.0590700861994636</v>
      </c>
      <c r="Q61" s="22" t="n">
        <f aca="false">Q42/Q54</f>
        <v>0.0513914330015839</v>
      </c>
      <c r="R61" s="22" t="n">
        <f aca="false">R42/R54</f>
        <v>0.0424506480517055</v>
      </c>
      <c r="S61" s="22" t="n">
        <f aca="false">S42/S54</f>
        <v>0.0688038999907802</v>
      </c>
      <c r="T61" s="22" t="n">
        <f aca="false">T42/T54</f>
        <v>0.0513992517198885</v>
      </c>
      <c r="U61" s="22" t="n">
        <f aca="false">U42/U54</f>
        <v>0.0601821488655799</v>
      </c>
      <c r="V61" s="22" t="n">
        <f aca="false">V42/V54</f>
        <v>0.0491778176885485</v>
      </c>
      <c r="W61" s="22" t="n">
        <f aca="false">W42/W54</f>
        <v>0.06235251964428</v>
      </c>
      <c r="X61" s="22" t="n">
        <f aca="false">X42/X54</f>
        <v>0.0544416745164317</v>
      </c>
      <c r="Y61" s="22" t="n">
        <f aca="false">Y42/Y54</f>
        <v>0.0577328839890585</v>
      </c>
    </row>
    <row r="64" customFormat="false" ht="15" hidden="false" customHeight="true" outlineLevel="0" collapsed="false">
      <c r="A64" s="13" t="s">
        <v>2004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8" t="s">
        <v>2005</v>
      </c>
      <c r="B65" s="28"/>
      <c r="C65" s="28" t="s">
        <v>2006</v>
      </c>
      <c r="D65" s="28" t="s">
        <v>2007</v>
      </c>
      <c r="E65" s="28" t="s">
        <v>2008</v>
      </c>
      <c r="F65" s="28" t="s">
        <v>2009</v>
      </c>
      <c r="G65" s="28" t="s">
        <v>2010</v>
      </c>
      <c r="H65" s="28" t="s">
        <v>2011</v>
      </c>
      <c r="I65" s="194" t="s">
        <v>2012</v>
      </c>
      <c r="J65" s="194" t="s">
        <v>2013</v>
      </c>
    </row>
    <row r="66" customFormat="false" ht="15" hidden="false" customHeight="true" outlineLevel="0" collapsed="false">
      <c r="A66" s="20" t="s">
        <v>55</v>
      </c>
      <c r="C66" s="124" t="n">
        <f aca="false">C32</f>
        <v>47.582032</v>
      </c>
      <c r="F66" s="122" t="n">
        <f aca="false">C54</f>
        <v>12.0543709668186</v>
      </c>
      <c r="I66" s="122" t="n">
        <f aca="false">C57</f>
        <v>4.71670281161092</v>
      </c>
    </row>
    <row r="67" customFormat="false" ht="15" hidden="false" customHeight="true" outlineLevel="0" collapsed="false">
      <c r="A67" s="20" t="s">
        <v>2014</v>
      </c>
      <c r="C67" s="124" t="n">
        <f aca="false">D32</f>
        <v>42.679112</v>
      </c>
      <c r="D67" s="124" t="n">
        <f aca="false">E32</f>
        <v>53.376392</v>
      </c>
      <c r="E67" s="195" t="n">
        <f aca="false">ABS(D67-C67)</f>
        <v>10.69728</v>
      </c>
      <c r="F67" s="122" t="n">
        <f aca="false">D54</f>
        <v>10.7570221494909</v>
      </c>
      <c r="G67" s="122" t="n">
        <f aca="false">E54</f>
        <v>13.5876013872968</v>
      </c>
      <c r="H67" s="123" t="n">
        <f aca="false">ABS(G67-F67)</f>
        <v>2.83057923780595</v>
      </c>
      <c r="I67" s="122" t="n">
        <f aca="false">D57</f>
        <v>4.20906878979644</v>
      </c>
      <c r="J67" s="122" t="n">
        <f aca="false">E57</f>
        <v>5.31663392830075</v>
      </c>
    </row>
    <row r="68" customFormat="false" ht="15" hidden="false" customHeight="true" outlineLevel="0" collapsed="false">
      <c r="A68" s="20" t="s">
        <v>2015</v>
      </c>
      <c r="C68" s="124" t="n">
        <f aca="false">F32</f>
        <v>54.388672</v>
      </c>
      <c r="D68" s="124" t="n">
        <f aca="false">G32</f>
        <v>47.134</v>
      </c>
      <c r="E68" s="195" t="n">
        <f aca="false">ABS(D68-C68)</f>
        <v>7.25467200000001</v>
      </c>
      <c r="F68" s="122" t="n">
        <f aca="false">F54</f>
        <v>13.8554581462903</v>
      </c>
      <c r="G68" s="122" t="n">
        <f aca="false">G54</f>
        <v>11.9358183929799</v>
      </c>
      <c r="H68" s="123" t="n">
        <f aca="false">ABS(G68-F68)</f>
        <v>1.9196397533104</v>
      </c>
      <c r="I68" s="122" t="n">
        <f aca="false">F57</f>
        <v>4.53690309436827</v>
      </c>
      <c r="J68" s="122" t="n">
        <f aca="false">G57</f>
        <v>4.73102897996732</v>
      </c>
    </row>
    <row r="69" customFormat="false" ht="15" hidden="false" customHeight="true" outlineLevel="0" collapsed="false">
      <c r="A69" s="20" t="s">
        <v>2016</v>
      </c>
      <c r="C69" s="124" t="n">
        <f aca="false">H32</f>
        <v>46.001752</v>
      </c>
      <c r="D69" s="124" t="n">
        <f aca="false">I32</f>
        <v>49.162312</v>
      </c>
      <c r="E69" s="195" t="n">
        <f aca="false">ABS(D69-C69)</f>
        <v>3.16056</v>
      </c>
      <c r="F69" s="122" t="n">
        <f aca="false">H54</f>
        <v>11.6362172157791</v>
      </c>
      <c r="G69" s="122" t="n">
        <f aca="false">I54</f>
        <v>12.4725247178581</v>
      </c>
      <c r="H69" s="123" t="n">
        <f aca="false">ABS(G69-F69)</f>
        <v>0.836307502079034</v>
      </c>
      <c r="I69" s="122" t="n">
        <f aca="false">H57</f>
        <v>4.55308523433187</v>
      </c>
      <c r="J69" s="122" t="n">
        <f aca="false">I57</f>
        <v>4.88032038888996</v>
      </c>
    </row>
    <row r="70" customFormat="false" ht="15" hidden="false" customHeight="true" outlineLevel="0" collapsed="false">
      <c r="A70" s="20" t="s">
        <v>2017</v>
      </c>
      <c r="C70" s="124" t="n">
        <f aca="false">J32</f>
        <v>46.892032</v>
      </c>
      <c r="D70" s="124" t="n">
        <f aca="false">K32</f>
        <v>48.617032</v>
      </c>
      <c r="E70" s="195" t="n">
        <f aca="false">ABS(D70-C70)</f>
        <v>1.72499999999999</v>
      </c>
      <c r="F70" s="122" t="n">
        <f aca="false">J54</f>
        <v>11.9639262855243</v>
      </c>
      <c r="G70" s="122" t="n">
        <f aca="false">K54</f>
        <v>12.1900379887601</v>
      </c>
      <c r="H70" s="123" t="n">
        <f aca="false">ABS(G70-F70)</f>
        <v>0.226111703235793</v>
      </c>
      <c r="I70" s="122" t="n">
        <f aca="false">J57</f>
        <v>4.68131310245642</v>
      </c>
      <c r="J70" s="122" t="n">
        <f aca="false">K57</f>
        <v>4.76978737534267</v>
      </c>
    </row>
    <row r="71" customFormat="false" ht="15" hidden="false" customHeight="true" outlineLevel="0" collapsed="false">
      <c r="A71" s="20" t="s">
        <v>2018</v>
      </c>
      <c r="C71" s="124" t="n">
        <f aca="false">L32</f>
        <v>46.777032</v>
      </c>
      <c r="D71" s="124" t="n">
        <f aca="false">M32</f>
        <v>48.732032</v>
      </c>
      <c r="E71" s="195" t="n">
        <f aca="false">ABS(D71-C71)</f>
        <v>1.955</v>
      </c>
      <c r="F71" s="122" t="n">
        <f aca="false">L54</f>
        <v>11.9396909688767</v>
      </c>
      <c r="G71" s="122" t="n">
        <f aca="false">M54</f>
        <v>12.218199535307</v>
      </c>
      <c r="H71" s="123" t="n">
        <f aca="false">ABS(G71-F71)</f>
        <v>0.278508566430327</v>
      </c>
      <c r="I71" s="122" t="n">
        <f aca="false">L57</f>
        <v>4.67183016995943</v>
      </c>
      <c r="J71" s="122" t="n">
        <f aca="false">M57</f>
        <v>4.78080658539875</v>
      </c>
    </row>
    <row r="72" customFormat="false" ht="15" hidden="false" customHeight="true" outlineLevel="0" collapsed="false">
      <c r="A72" s="15" t="s">
        <v>2019</v>
      </c>
      <c r="C72" s="124" t="n">
        <f aca="false">N32</f>
        <v>47.582032</v>
      </c>
      <c r="D72" s="124" t="n">
        <f aca="false">O32</f>
        <v>47.582032</v>
      </c>
      <c r="E72" s="195" t="n">
        <f aca="false">ABS(D72-C72)</f>
        <v>0</v>
      </c>
      <c r="F72" s="122" t="n">
        <f aca="false">N54</f>
        <v>11.2094341346842</v>
      </c>
      <c r="G72" s="122" t="n">
        <f aca="false">O54</f>
        <v>15.052037550214</v>
      </c>
      <c r="H72" s="123" t="n">
        <f aca="false">ABS(G72-F72)</f>
        <v>3.84260341552982</v>
      </c>
      <c r="I72" s="122" t="n">
        <f aca="false">N57</f>
        <v>4.38609112372341</v>
      </c>
      <c r="J72" s="122" t="n">
        <f aca="false">O57</f>
        <v>5.88964683673616</v>
      </c>
    </row>
    <row r="73" customFormat="false" ht="15" hidden="false" customHeight="true" outlineLevel="0" collapsed="false">
      <c r="A73" s="15" t="s">
        <v>834</v>
      </c>
      <c r="C73" s="124" t="n">
        <f aca="false">P32</f>
        <v>47.582032</v>
      </c>
      <c r="D73" s="124" t="n">
        <f aca="false">Q32</f>
        <v>47.582032</v>
      </c>
      <c r="E73" s="195" t="n">
        <f aca="false">ABS(D73-C73)</f>
        <v>0</v>
      </c>
      <c r="F73" s="122" t="n">
        <f aca="false">P54</f>
        <v>11.3893180674944</v>
      </c>
      <c r="G73" s="122" t="n">
        <f aca="false">Q54</f>
        <v>13.0910535220776</v>
      </c>
      <c r="H73" s="123" t="n">
        <f aca="false">ABS(G73-F73)</f>
        <v>1.70173545458324</v>
      </c>
      <c r="I73" s="122" t="n">
        <f aca="false">P57</f>
        <v>4.45647713175195</v>
      </c>
      <c r="J73" s="122" t="n">
        <f aca="false">Q57</f>
        <v>5.1223418562859</v>
      </c>
    </row>
    <row r="74" customFormat="false" ht="15" hidden="false" customHeight="true" outlineLevel="0" collapsed="false">
      <c r="A74" s="20" t="s">
        <v>78</v>
      </c>
      <c r="C74" s="124" t="n">
        <f aca="false">R32</f>
        <v>47.582032</v>
      </c>
      <c r="D74" s="124" t="n">
        <f aca="false">S32</f>
        <v>47.582032</v>
      </c>
      <c r="E74" s="195" t="n">
        <f aca="false">ABS(D74-C74)</f>
        <v>0</v>
      </c>
      <c r="F74" s="122" t="n">
        <f aca="false">R54</f>
        <v>11.8861789668186</v>
      </c>
      <c r="G74" s="122" t="n">
        <f aca="false">S54</f>
        <v>12.2225629668186</v>
      </c>
      <c r="H74" s="123" t="n">
        <f aca="false">ABS(G74-F74)</f>
        <v>0.336384000000001</v>
      </c>
      <c r="I74" s="122" t="n">
        <f aca="false">R57</f>
        <v>4.65089168953128</v>
      </c>
      <c r="J74" s="122" t="n">
        <f aca="false">S57</f>
        <v>4.78251393369055</v>
      </c>
    </row>
    <row r="75" customFormat="false" ht="15" hidden="false" customHeight="true" outlineLevel="0" collapsed="false">
      <c r="A75" s="15" t="s">
        <v>72</v>
      </c>
      <c r="C75" s="124" t="n">
        <f aca="false">T32</f>
        <v>47.582032</v>
      </c>
      <c r="D75" s="124" t="n">
        <f aca="false">U32</f>
        <v>47.582032</v>
      </c>
      <c r="E75" s="195" t="n">
        <f aca="false">ABS(D75-C75)</f>
        <v>0</v>
      </c>
      <c r="F75" s="122" t="n">
        <f aca="false">T54</f>
        <v>11.9983069668186</v>
      </c>
      <c r="G75" s="122" t="n">
        <f aca="false">U54</f>
        <v>12.1104349668186</v>
      </c>
      <c r="H75" s="123" t="n">
        <f aca="false">ABS(G75-F75)</f>
        <v>0.112128</v>
      </c>
      <c r="I75" s="122" t="n">
        <f aca="false">T57</f>
        <v>4.69476577091771</v>
      </c>
      <c r="J75" s="122" t="n">
        <f aca="false">U57</f>
        <v>4.73863985230413</v>
      </c>
    </row>
    <row r="76" customFormat="false" ht="15" hidden="false" customHeight="true" outlineLevel="0" collapsed="false">
      <c r="A76" s="20" t="s">
        <v>2020</v>
      </c>
      <c r="C76" s="124" t="n">
        <f aca="false">V32</f>
        <v>47.582032</v>
      </c>
      <c r="D76" s="124" t="n">
        <f aca="false">W32</f>
        <v>47.582032</v>
      </c>
      <c r="E76" s="195" t="n">
        <f aca="false">ABS(D76-C76)</f>
        <v>0</v>
      </c>
      <c r="F76" s="122" t="n">
        <f aca="false">V54</f>
        <v>11.9702749668186</v>
      </c>
      <c r="G76" s="122" t="n">
        <f aca="false">W54</f>
        <v>12.1384669668186</v>
      </c>
      <c r="H76" s="123" t="n">
        <f aca="false">ABS(G76-F76)</f>
        <v>0.168191999999999</v>
      </c>
      <c r="I76" s="122" t="n">
        <f aca="false">V57</f>
        <v>4.6837972505711</v>
      </c>
      <c r="J76" s="122" t="n">
        <f aca="false">W57</f>
        <v>4.74960837265073</v>
      </c>
    </row>
    <row r="77" customFormat="false" ht="15" hidden="false" customHeight="true" outlineLevel="0" collapsed="false">
      <c r="A77" s="20" t="s">
        <v>2021</v>
      </c>
      <c r="C77" s="124" t="n">
        <f aca="false">X32</f>
        <v>48.72796</v>
      </c>
      <c r="D77" s="124" t="n">
        <f aca="false">Y32</f>
        <v>46.065616</v>
      </c>
      <c r="E77" s="195" t="n">
        <f aca="false">ABS(D77-C77)</f>
        <v>2.662344</v>
      </c>
      <c r="F77" s="122" t="n">
        <f aca="false">X54</f>
        <v>12.3575919729828</v>
      </c>
      <c r="G77" s="122" t="n">
        <f aca="false">Y54</f>
        <v>11.6531161015186</v>
      </c>
      <c r="H77" s="123" t="n">
        <f aca="false">ABS(G77-F77)</f>
        <v>0.704475871464265</v>
      </c>
      <c r="I77" s="122" t="n">
        <f aca="false">X57</f>
        <v>4.68168065571714</v>
      </c>
      <c r="J77" s="122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2022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310</v>
      </c>
      <c r="B3" s="12" t="s">
        <v>2023</v>
      </c>
      <c r="C3" s="12" t="s">
        <v>2024</v>
      </c>
      <c r="D3" s="12" t="s">
        <v>53</v>
      </c>
      <c r="E3" s="12" t="s">
        <v>479</v>
      </c>
      <c r="F3" s="12" t="s">
        <v>401</v>
      </c>
    </row>
    <row r="4" customFormat="false" ht="15" hidden="false" customHeight="true" outlineLevel="0" collapsed="false">
      <c r="A4" s="15" t="s">
        <v>2025</v>
      </c>
      <c r="B4" s="164" t="n">
        <f aca="false">(DC_Cost!M33)/CTL_GW</f>
        <v>47.582032</v>
      </c>
      <c r="C4" s="196" t="str">
        <f aca="false">TEXT(SRC_DC_010_Lo,"0")&amp;"–"&amp;TEXT(SRC_DC_010_Hi,"0")</f>
        <v>50–60</v>
      </c>
      <c r="D4" s="16" t="s">
        <v>1840</v>
      </c>
      <c r="E4" s="20" t="str">
        <f aca="false">IF(AND(B4&gt;=SRC_DC_010_Lo,B4&lt;=SRC_DC_010_Hi),"落在區間",IF(B4&lt;SRC_DC_010_Lo,"低於參照","高於參照"))</f>
        <v>低於參照</v>
      </c>
      <c r="F4" s="19" t="s">
        <v>2026</v>
      </c>
    </row>
    <row r="5" customFormat="false" ht="15" hidden="false" customHeight="true" outlineLevel="0" collapsed="false">
      <c r="A5" s="15" t="s">
        <v>2027</v>
      </c>
      <c r="B5" s="164" t="n">
        <f aca="false">(DC_Cost!M19)/CTL_GW</f>
        <v>31.6056</v>
      </c>
      <c r="C5" s="164" t="n">
        <f aca="false">SRC_DC_011</f>
        <v>35</v>
      </c>
      <c r="D5" s="16" t="s">
        <v>1840</v>
      </c>
      <c r="E5" s="20" t="str">
        <f aca="false">IF(ABS(B5-C5)/C5&lt;=0.2,"±20% 內","差距 &gt;20%")</f>
        <v>±20% 內</v>
      </c>
      <c r="F5" s="19" t="s">
        <v>2028</v>
      </c>
    </row>
    <row r="6" customFormat="false" ht="15" hidden="false" customHeight="true" outlineLevel="0" collapsed="false">
      <c r="A6" s="20" t="s">
        <v>824</v>
      </c>
      <c r="B6" s="164" t="n">
        <f aca="false">DC_Cost!M36</f>
        <v>12.67</v>
      </c>
      <c r="C6" s="196" t="str">
        <f aca="false">TEXT(SRC_DC_003,"0.0")&amp;" × "&amp;TEXT(1+SRC_DC_004_Lo,"0.00")&amp;"–"&amp;TEXT(1+SRC_DC_004_Hi,"0.00")</f>
        <v>11.3 × 1.07–1.10</v>
      </c>
      <c r="D6" s="16" t="s">
        <v>90</v>
      </c>
      <c r="E6" s="20" t="str">
        <f aca="false">IF(AND(B6&gt;=SRC_DC_003*(1+SRC_DC_004_Lo)*0.9,B6&lt;=SRC_DC_003*(1+SRC_DC_004_Hi)*1.3),"合理區間","需檢查")</f>
        <v>合理區間</v>
      </c>
      <c r="F6" s="6" t="s">
        <v>2029</v>
      </c>
    </row>
    <row r="7" customFormat="false" ht="15" hidden="false" customHeight="true" outlineLevel="0" collapsed="false">
      <c r="A7" s="15" t="s">
        <v>2030</v>
      </c>
      <c r="B7" s="164" t="n">
        <f aca="false">DC_Cost!G58</f>
        <v>2.07676472784428</v>
      </c>
      <c r="C7" s="164" t="n">
        <f aca="false">SRC_DC_012</f>
        <v>2.21</v>
      </c>
      <c r="D7" s="16" t="s">
        <v>783</v>
      </c>
      <c r="E7" s="20" t="str">
        <f aca="false">IF(B7&gt;C7,"高於參照（參照假設未知）","低於參照")</f>
        <v>低於參照</v>
      </c>
      <c r="F7" s="6" t="s">
        <v>2031</v>
      </c>
    </row>
    <row r="8" customFormat="false" ht="15" hidden="false" customHeight="true" outlineLevel="0" collapsed="false">
      <c r="A8" s="15" t="s">
        <v>2032</v>
      </c>
      <c r="B8" s="164" t="n">
        <f aca="false">DC_Cost!J58</f>
        <v>2.98751288214055</v>
      </c>
      <c r="C8" s="164" t="n">
        <f aca="false">SRC_DC_013</f>
        <v>2.65</v>
      </c>
      <c r="D8" s="16" t="s">
        <v>783</v>
      </c>
      <c r="E8" s="20" t="str">
        <f aca="false">IF(B8&gt;C8,"高於參照（參照假設未知）","低於參照")</f>
        <v>高於參照（參照假設未知）</v>
      </c>
      <c r="F8" s="19" t="s">
        <v>2033</v>
      </c>
    </row>
    <row r="9" customFormat="false" ht="15" hidden="false" customHeight="true" outlineLevel="0" collapsed="false">
      <c r="A9" s="15" t="s">
        <v>2034</v>
      </c>
      <c r="B9" s="164" t="n">
        <f aca="false">DC_Cost!G58</f>
        <v>2.07676472784428</v>
      </c>
      <c r="C9" s="197" t="n">
        <v>10.5</v>
      </c>
      <c r="D9" s="16" t="s">
        <v>783</v>
      </c>
      <c r="E9" s="20" t="str">
        <f aca="false">"牌價 ÷ 持有成本＝"&amp;TEXT(C9/B9,"0.0")&amp;" 倍"</f>
        <v>牌價 ÷ 持有成本＝5.1 倍</v>
      </c>
      <c r="F9" s="6" t="s">
        <v>2035</v>
      </c>
    </row>
    <row r="10" customFormat="false" ht="15" hidden="false" customHeight="true" outlineLevel="0" collapsed="false">
      <c r="A10" s="20" t="s">
        <v>2036</v>
      </c>
      <c r="B10" s="164" t="n">
        <f aca="false">DC_Cost!J58</f>
        <v>2.98751288214055</v>
      </c>
      <c r="C10" s="197" t="n">
        <v>3.57</v>
      </c>
      <c r="D10" s="16" t="s">
        <v>783</v>
      </c>
      <c r="E10" s="20" t="str">
        <f aca="false">"參照 ÷ 本模型＝"&amp;TEXT(C10/B10,"0.00")</f>
        <v>參照 ÷ 本模型＝1.19</v>
      </c>
      <c r="F10" s="19" t="s">
        <v>2037</v>
      </c>
    </row>
    <row r="12" customFormat="false" ht="15" hidden="false" customHeight="true" outlineLevel="0" collapsed="false">
      <c r="A12" s="33" t="s">
        <v>2038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310</v>
      </c>
      <c r="B13" s="9" t="s">
        <v>2039</v>
      </c>
      <c r="C13" s="9" t="s">
        <v>2024</v>
      </c>
      <c r="D13" s="9" t="s">
        <v>53</v>
      </c>
      <c r="E13" s="9" t="s">
        <v>479</v>
      </c>
      <c r="F13" s="9" t="s">
        <v>401</v>
      </c>
    </row>
    <row r="14" customFormat="false" ht="15" hidden="false" customHeight="true" outlineLevel="0" collapsed="false">
      <c r="A14" s="5" t="s">
        <v>2040</v>
      </c>
      <c r="B14" s="186" t="n">
        <f aca="false">Calib!C86</f>
        <v>1</v>
      </c>
      <c r="C14" s="35" t="s">
        <v>2041</v>
      </c>
      <c r="D14" s="35" t="s">
        <v>73</v>
      </c>
      <c r="E14" s="85" t="s">
        <v>2042</v>
      </c>
      <c r="F14" s="36" t="s">
        <v>2043</v>
      </c>
    </row>
    <row r="15" customFormat="false" ht="26.25" hidden="false" customHeight="true" outlineLevel="0" collapsed="false">
      <c r="A15" s="5" t="s">
        <v>2044</v>
      </c>
      <c r="B15" s="186" t="n">
        <f aca="false">Calib!E86</f>
        <v>0.994092131160915</v>
      </c>
      <c r="C15" s="35" t="s">
        <v>2045</v>
      </c>
      <c r="D15" s="34" t="s">
        <v>2046</v>
      </c>
      <c r="E15" s="78" t="s">
        <v>2047</v>
      </c>
      <c r="F15" s="36" t="s">
        <v>403</v>
      </c>
    </row>
    <row r="16" customFormat="false" ht="26.25" hidden="false" customHeight="true" outlineLevel="0" collapsed="false">
      <c r="A16" s="5" t="s">
        <v>2048</v>
      </c>
      <c r="B16" s="186" t="n">
        <f aca="false">Calib!F86</f>
        <v>2.19089327273002</v>
      </c>
      <c r="C16" s="35" t="s">
        <v>2049</v>
      </c>
      <c r="D16" s="34" t="s">
        <v>2046</v>
      </c>
      <c r="E16" s="85" t="s">
        <v>2050</v>
      </c>
      <c r="F16" s="36" t="s">
        <v>404</v>
      </c>
    </row>
    <row r="17" customFormat="false" ht="26.25" hidden="false" customHeight="true" outlineLevel="0" collapsed="false">
      <c r="A17" s="5" t="s">
        <v>2051</v>
      </c>
      <c r="B17" s="186" t="n">
        <f aca="false">Calib!G86</f>
        <v>4.12489788701598</v>
      </c>
      <c r="C17" s="35" t="s">
        <v>2052</v>
      </c>
      <c r="D17" s="34" t="s">
        <v>2046</v>
      </c>
      <c r="E17" s="85" t="s">
        <v>2053</v>
      </c>
      <c r="F17" s="36" t="s">
        <v>404</v>
      </c>
    </row>
    <row r="18" customFormat="false" ht="15" hidden="false" customHeight="true" outlineLevel="0" collapsed="false">
      <c r="A18" s="5" t="s">
        <v>2054</v>
      </c>
      <c r="B18" s="186" t="n">
        <f aca="false">Calib!H86</f>
        <v>1.0128861126286</v>
      </c>
      <c r="C18" s="35" t="s">
        <v>2055</v>
      </c>
      <c r="D18" s="34" t="s">
        <v>2046</v>
      </c>
      <c r="E18" s="85" t="s">
        <v>2056</v>
      </c>
      <c r="F18" s="36" t="s">
        <v>405</v>
      </c>
    </row>
    <row r="19" customFormat="false" ht="29.25" hidden="false" customHeight="true" outlineLevel="0" collapsed="false">
      <c r="A19" s="6" t="s">
        <v>2057</v>
      </c>
      <c r="B19" s="186" t="n">
        <f aca="false">DC_Cost!J58/(Calib!C17*3600)*1000000</f>
        <v>0.0884302341634506</v>
      </c>
      <c r="C19" s="179" t="n">
        <f aca="false">SRC_PERF_011</f>
        <v>0.078</v>
      </c>
      <c r="D19" s="35" t="s">
        <v>1921</v>
      </c>
      <c r="E19" s="85" t="s">
        <v>2058</v>
      </c>
      <c r="F19" s="36" t="s">
        <v>2059</v>
      </c>
    </row>
    <row r="20" customFormat="false" ht="39" hidden="false" customHeight="true" outlineLevel="0" collapsed="false">
      <c r="A20" s="6" t="s">
        <v>2060</v>
      </c>
      <c r="B20" s="186" t="n">
        <f aca="false">Sens_Perf!C120</f>
        <v>1.57577337247285</v>
      </c>
      <c r="C20" s="179" t="n">
        <f aca="false">DC_Cost!M55/DC_Cost!J55</f>
        <v>0.95269118380222</v>
      </c>
      <c r="D20" s="35" t="s">
        <v>73</v>
      </c>
      <c r="E20" s="85" t="s">
        <v>2061</v>
      </c>
      <c r="F20" s="36" t="s">
        <v>2062</v>
      </c>
    </row>
    <row r="21" customFormat="false" ht="39" hidden="false" customHeight="true" outlineLevel="0" collapsed="false">
      <c r="A21" s="6" t="s">
        <v>2063</v>
      </c>
      <c r="B21" s="186" t="n">
        <f aca="false">DC_Cost!J11*Inputs!$E$10/72</f>
        <v>1.52222222222222</v>
      </c>
      <c r="C21" s="35" t="s">
        <v>2064</v>
      </c>
      <c r="D21" s="35" t="s">
        <v>2065</v>
      </c>
      <c r="E21" s="78" t="s">
        <v>2066</v>
      </c>
      <c r="F21" s="36" t="s">
        <v>402</v>
      </c>
    </row>
    <row r="22" customFormat="false" ht="29.25" hidden="false" customHeight="true" outlineLevel="0" collapsed="false">
      <c r="A22" s="6" t="s">
        <v>2067</v>
      </c>
      <c r="B22" s="186" t="n">
        <f aca="false">Sens_Perf!C121</f>
        <v>0.57914747392841</v>
      </c>
      <c r="C22" s="35" t="s">
        <v>2068</v>
      </c>
      <c r="D22" s="35" t="s">
        <v>73</v>
      </c>
      <c r="E22" s="85"/>
      <c r="F22" s="36" t="s">
        <v>2062</v>
      </c>
    </row>
    <row r="23" customFormat="false" ht="15" hidden="false" customHeight="true" outlineLevel="0" collapsed="false">
      <c r="A23" s="5" t="s">
        <v>2069</v>
      </c>
      <c r="B23" s="186" t="n">
        <f aca="false">Calib!C149</f>
        <v>0.710059996402918</v>
      </c>
      <c r="C23" s="35" t="s">
        <v>2041</v>
      </c>
      <c r="D23" s="35" t="s">
        <v>73</v>
      </c>
      <c r="E23" s="78" t="s">
        <v>2070</v>
      </c>
      <c r="F23" s="36" t="s">
        <v>2071</v>
      </c>
    </row>
    <row r="24" customFormat="false" ht="15" hidden="false" customHeight="true" outlineLevel="0" collapsed="false">
      <c r="A24" s="5" t="s">
        <v>2072</v>
      </c>
      <c r="B24" s="186" t="n">
        <f aca="false">Calib!C150</f>
        <v>2.52465448004212</v>
      </c>
      <c r="C24" s="169" t="n">
        <f aca="false">Calib!C151</f>
        <v>2.5748897461993</v>
      </c>
      <c r="D24" s="35" t="s">
        <v>73</v>
      </c>
      <c r="E24" s="85" t="s">
        <v>2073</v>
      </c>
      <c r="F24" s="36" t="s">
        <v>2074</v>
      </c>
    </row>
    <row r="25" customFormat="false" ht="39" hidden="false" customHeight="true" outlineLevel="0" collapsed="false">
      <c r="A25" s="5" t="s">
        <v>2075</v>
      </c>
      <c r="B25" s="186" t="n">
        <f aca="false">Calib!C152</f>
        <v>1.5</v>
      </c>
      <c r="C25" s="169" t="n">
        <f aca="false">Calib!D152</f>
        <v>1.05487728759394</v>
      </c>
      <c r="D25" s="35" t="s">
        <v>73</v>
      </c>
      <c r="E25" s="78" t="s">
        <v>2076</v>
      </c>
      <c r="F25" s="36" t="s">
        <v>2077</v>
      </c>
    </row>
    <row r="26" customFormat="false" ht="15" hidden="false" customHeight="true" outlineLevel="0" collapsed="false">
      <c r="A26" s="5" t="s">
        <v>2078</v>
      </c>
      <c r="B26" s="198" t="n">
        <f aca="false">MAX(Perf!C116:Q116)</f>
        <v>0.0744820017206733</v>
      </c>
      <c r="C26" s="35" t="s">
        <v>2079</v>
      </c>
      <c r="D26" s="35" t="s">
        <v>69</v>
      </c>
      <c r="E26" s="85" t="s">
        <v>2080</v>
      </c>
      <c r="F26" s="36" t="s">
        <v>2081</v>
      </c>
    </row>
    <row r="27" customFormat="false" ht="15" hidden="false" customHeight="true" outlineLevel="0" collapsed="false">
      <c r="A27" s="6" t="s">
        <v>2082</v>
      </c>
      <c r="B27" s="186" t="n">
        <f aca="false">COUNTIF(Perf!C90:Q90,"SLO 不可達")</f>
        <v>0</v>
      </c>
      <c r="C27" s="35" t="s">
        <v>554</v>
      </c>
      <c r="D27" s="34" t="s">
        <v>2083</v>
      </c>
      <c r="E27" s="78" t="s">
        <v>2084</v>
      </c>
      <c r="F27" s="36" t="s">
        <v>2085</v>
      </c>
    </row>
    <row r="28" customFormat="false" ht="39" hidden="false" customHeight="true" outlineLevel="0" collapsed="false">
      <c r="A28" s="5" t="s">
        <v>2086</v>
      </c>
      <c r="B28" s="186" t="n">
        <f aca="false">((8*1.32+3.96)/9)/((8*Unit_Cost!J32+Unit_Cost!J34)/9)</f>
        <v>11.5596740527537</v>
      </c>
      <c r="C28" s="35" t="s">
        <v>554</v>
      </c>
      <c r="D28" s="35" t="s">
        <v>73</v>
      </c>
      <c r="E28" s="78" t="s">
        <v>2087</v>
      </c>
      <c r="F28" s="36" t="s">
        <v>2088</v>
      </c>
    </row>
    <row r="30" customFormat="false" ht="15" hidden="false" customHeight="true" outlineLevel="0" collapsed="false">
      <c r="A30" s="33" t="s">
        <v>2089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310</v>
      </c>
      <c r="B31" s="9" t="s">
        <v>2039</v>
      </c>
      <c r="C31" s="9" t="s">
        <v>2024</v>
      </c>
      <c r="D31" s="9" t="s">
        <v>53</v>
      </c>
      <c r="E31" s="9" t="s">
        <v>479</v>
      </c>
      <c r="F31" s="9" t="s">
        <v>401</v>
      </c>
    </row>
    <row r="32" customFormat="false" ht="39" hidden="false" customHeight="true" outlineLevel="0" collapsed="false">
      <c r="A32" s="6" t="s">
        <v>2090</v>
      </c>
      <c r="B32" s="174" t="n">
        <f aca="false">3*(2*Calib!$C$101*1000000000+Calib!$C$109*Train_In!$C$43/2)*Train_In!$C$41*1000000000000/(Train_In!$C$42*1000000*3600*Spec_Rack!$C$40*1000000000000000)</f>
        <v>0.197055428667677</v>
      </c>
      <c r="C32" s="173" t="n">
        <f aca="false">Training!C16</f>
        <v>0.2</v>
      </c>
      <c r="D32" s="35" t="s">
        <v>69</v>
      </c>
      <c r="E32" s="85" t="s">
        <v>2091</v>
      </c>
      <c r="F32" s="36" t="s">
        <v>915</v>
      </c>
    </row>
    <row r="33" customFormat="false" ht="26.25" hidden="false" customHeight="true" outlineLevel="0" collapsed="false">
      <c r="A33" s="6" t="s">
        <v>2092</v>
      </c>
      <c r="B33" s="186" t="n">
        <f aca="false">Training!N78</f>
        <v>0.967911891281403</v>
      </c>
      <c r="C33" s="42" t="n">
        <f aca="false">Train_In!$C$45</f>
        <v>1</v>
      </c>
      <c r="D33" s="35" t="s">
        <v>73</v>
      </c>
      <c r="E33" s="78" t="s">
        <v>2093</v>
      </c>
      <c r="F33" s="36" t="s">
        <v>2094</v>
      </c>
    </row>
    <row r="34" customFormat="false" ht="26.25" hidden="false" customHeight="true" outlineLevel="0" collapsed="false">
      <c r="A34" s="6" t="s">
        <v>2095</v>
      </c>
      <c r="B34" s="186" t="n">
        <f aca="false">Training!M78</f>
        <v>0.324140642621739</v>
      </c>
      <c r="C34" s="42" t="n">
        <f aca="false">Train_In!$C$44</f>
        <v>0.055</v>
      </c>
      <c r="D34" s="35" t="s">
        <v>73</v>
      </c>
      <c r="E34" s="78" t="s">
        <v>2096</v>
      </c>
      <c r="F34" s="36" t="s">
        <v>2097</v>
      </c>
    </row>
    <row r="35" customFormat="false" ht="15" hidden="false" customHeight="true" outlineLevel="0" collapsed="false">
      <c r="A35" s="6" t="s">
        <v>2098</v>
      </c>
      <c r="B35" s="174" t="n">
        <f aca="false">Training!N77</f>
        <v>0.0791695298591089</v>
      </c>
      <c r="C35" s="199" t="s">
        <v>2099</v>
      </c>
      <c r="D35" s="35" t="s">
        <v>69</v>
      </c>
      <c r="E35" s="85" t="s">
        <v>2100</v>
      </c>
      <c r="F35" s="46" t="s">
        <v>2101</v>
      </c>
    </row>
    <row r="36" customFormat="false" ht="29.25" hidden="false" customHeight="true" outlineLevel="0" collapsed="false">
      <c r="A36" s="5" t="s">
        <v>2102</v>
      </c>
      <c r="B36" s="174" t="n">
        <f aca="false">Training!N111-Training!N110</f>
        <v>0.21429921543073</v>
      </c>
      <c r="C36" s="199" t="s">
        <v>2103</v>
      </c>
      <c r="D36" s="35" t="s">
        <v>69</v>
      </c>
      <c r="E36" s="78" t="s">
        <v>2104</v>
      </c>
      <c r="F36" s="36" t="s">
        <v>2105</v>
      </c>
    </row>
    <row r="37" customFormat="false" ht="15" hidden="false" customHeight="true" outlineLevel="0" collapsed="false">
      <c r="A37" s="5" t="s">
        <v>2106</v>
      </c>
      <c r="B37" s="174" t="n">
        <f aca="false">1/Train_In!$C$13</f>
        <v>0.125</v>
      </c>
      <c r="C37" s="199" t="s">
        <v>2107</v>
      </c>
      <c r="D37" s="35" t="s">
        <v>69</v>
      </c>
      <c r="E37" s="78" t="s">
        <v>2108</v>
      </c>
      <c r="F37" s="36" t="s">
        <v>2109</v>
      </c>
    </row>
    <row r="38" customFormat="false" ht="36.75" hidden="false" customHeight="true" outlineLevel="0" collapsed="false">
      <c r="A38" s="5" t="s">
        <v>2110</v>
      </c>
      <c r="B38" s="186" t="n">
        <f aca="false">Train_In!$C$47/(Training!N34*1000000000)/1000000000000</f>
        <v>438.443429242364</v>
      </c>
      <c r="C38" s="42" t="n">
        <f aca="false">Training!N31</f>
        <v>60</v>
      </c>
      <c r="D38" s="35" t="s">
        <v>884</v>
      </c>
      <c r="E38" s="78" t="s">
        <v>2111</v>
      </c>
      <c r="F38" s="36" t="s">
        <v>2112</v>
      </c>
    </row>
    <row r="39" customFormat="false" ht="29.25" hidden="false" customHeight="true" outlineLevel="0" collapsed="false">
      <c r="A39" s="6" t="s">
        <v>2113</v>
      </c>
      <c r="B39" s="174" t="n">
        <f aca="false">Training!N117</f>
        <v>0.00456930148248379</v>
      </c>
      <c r="C39" s="173" t="n">
        <f aca="false">Training!K117</f>
        <v>0.00824061423895847</v>
      </c>
      <c r="D39" s="35" t="s">
        <v>69</v>
      </c>
      <c r="E39" s="85" t="s">
        <v>2114</v>
      </c>
      <c r="F39" s="36" t="s">
        <v>2115</v>
      </c>
    </row>
    <row r="41" customFormat="false" ht="15" hidden="false" customHeight="true" outlineLevel="0" collapsed="false">
      <c r="A41" s="33" t="s">
        <v>2116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310</v>
      </c>
      <c r="B42" s="9" t="s">
        <v>2039</v>
      </c>
      <c r="C42" s="9" t="s">
        <v>2024</v>
      </c>
      <c r="D42" s="9" t="s">
        <v>53</v>
      </c>
      <c r="E42" s="9" t="s">
        <v>479</v>
      </c>
      <c r="F42" s="9" t="s">
        <v>401</v>
      </c>
      <c r="H42" s="9" t="s">
        <v>2117</v>
      </c>
    </row>
    <row r="43" customFormat="false" ht="51.75" hidden="false" customHeight="true" outlineLevel="0" collapsed="false">
      <c r="A43" s="6" t="s">
        <v>2118</v>
      </c>
      <c r="B43" s="186" t="n">
        <f aca="false">IF(AND(ISNUMBER(Theory_Rev!D67),ISNUMBER(Theory_Rev!G67)),$I$46*Theory_Rev!D67+(1-$I$46)*Theory_Rev!G67,"SLO 不可達")</f>
        <v>10.7048163718663</v>
      </c>
      <c r="C43" s="200" t="n">
        <f aca="false">$I$43/(($I$44+$I$45)/2)</f>
        <v>10.456</v>
      </c>
      <c r="D43" s="35" t="s">
        <v>2119</v>
      </c>
      <c r="E43" s="85" t="s">
        <v>2120</v>
      </c>
      <c r="F43" s="36" t="s">
        <v>2121</v>
      </c>
      <c r="H43" s="36" t="s">
        <v>2122</v>
      </c>
      <c r="I43" s="45" t="n">
        <v>13.07</v>
      </c>
    </row>
    <row r="44" customFormat="false" ht="43.5" hidden="false" customHeight="true" outlineLevel="0" collapsed="false">
      <c r="A44" s="6" t="s">
        <v>2123</v>
      </c>
      <c r="B44" s="186" t="n">
        <f aca="false">IF(ISNUMBER(Unit_Cost!D34),INDEX(B4_MktOut,8,1)/Unit_Cost!D34,"SLO 不可達")</f>
        <v>0.912677416844457</v>
      </c>
      <c r="C44" s="200" t="s">
        <v>2124</v>
      </c>
      <c r="D44" s="35" t="s">
        <v>73</v>
      </c>
      <c r="E44" s="78" t="s">
        <v>2125</v>
      </c>
      <c r="F44" s="36" t="s">
        <v>2126</v>
      </c>
      <c r="H44" s="36" t="s">
        <v>2127</v>
      </c>
      <c r="I44" s="45" t="n">
        <v>0.6</v>
      </c>
    </row>
    <row r="45" customFormat="false" ht="29.25" hidden="false" customHeight="true" outlineLevel="0" collapsed="false">
      <c r="A45" s="6" t="s">
        <v>2128</v>
      </c>
      <c r="B45" s="186" t="n">
        <f aca="false">IF(ISNUMBER(Unit_Cost!D31),INDEX(B4_MktOut,8,1)*B4_OffPeak/Unit_Cost!D31,"SLO 不可達")</f>
        <v>0.760564514037047</v>
      </c>
      <c r="C45" s="200" t="s">
        <v>2124</v>
      </c>
      <c r="D45" s="35" t="s">
        <v>73</v>
      </c>
      <c r="E45" s="85"/>
      <c r="F45" s="36" t="s">
        <v>2129</v>
      </c>
      <c r="H45" s="36" t="s">
        <v>2130</v>
      </c>
      <c r="I45" s="45" t="n">
        <v>1.9</v>
      </c>
    </row>
    <row r="46" customFormat="false" ht="43.5" hidden="false" customHeight="true" outlineLevel="0" collapsed="false">
      <c r="A46" s="6" t="s">
        <v>2131</v>
      </c>
      <c r="B46" s="186" t="n">
        <f aca="false">IF(ISNUMBER(Unit_Cost!D21),INDEX(B4_MktOut,7,1)/Unit_Cost!D21,"SLO 不可達")</f>
        <v>0.961629795705328</v>
      </c>
      <c r="C46" s="200" t="s">
        <v>2124</v>
      </c>
      <c r="D46" s="35" t="s">
        <v>73</v>
      </c>
      <c r="E46" s="78" t="s">
        <v>2132</v>
      </c>
      <c r="F46" s="36" t="s">
        <v>2129</v>
      </c>
      <c r="H46" s="36" t="s">
        <v>2133</v>
      </c>
      <c r="I46" s="45" t="n">
        <v>0.6</v>
      </c>
    </row>
    <row r="47" customFormat="false" ht="15" hidden="false" customHeight="true" outlineLevel="0" collapsed="false">
      <c r="A47" s="5" t="s">
        <v>2134</v>
      </c>
      <c r="B47" s="186" t="str">
        <f aca="false">Price_Frontier!C26</f>
        <v>GPT-6 Luna</v>
      </c>
      <c r="C47" s="200" t="s">
        <v>554</v>
      </c>
      <c r="D47" s="34"/>
      <c r="E47" s="78" t="s">
        <v>2135</v>
      </c>
      <c r="F47" s="36" t="s">
        <v>2136</v>
      </c>
    </row>
    <row r="48" customFormat="false" ht="15" hidden="false" customHeight="true" outlineLevel="0" collapsed="false">
      <c r="A48" s="5" t="s">
        <v>2137</v>
      </c>
      <c r="B48" s="186" t="str">
        <f aca="false">Price_Frontier!D26</f>
        <v>GPT-6 Sol</v>
      </c>
      <c r="C48" s="200" t="s">
        <v>554</v>
      </c>
      <c r="D48" s="34"/>
      <c r="E48" s="85"/>
      <c r="F48" s="36" t="s">
        <v>2136</v>
      </c>
    </row>
    <row r="49" customFormat="false" ht="39" hidden="false" customHeight="true" outlineLevel="0" collapsed="false">
      <c r="A49" s="5" t="s">
        <v>2138</v>
      </c>
      <c r="B49" s="186" t="str">
        <f aca="false">Price_Frontier!E26</f>
        <v>Claude Fable 5.1</v>
      </c>
      <c r="C49" s="200" t="s">
        <v>554</v>
      </c>
      <c r="D49" s="34"/>
      <c r="E49" s="78" t="s">
        <v>2139</v>
      </c>
      <c r="F49" s="36" t="s">
        <v>2136</v>
      </c>
    </row>
    <row r="50" customFormat="false" ht="26.25" hidden="false" customHeight="true" outlineLevel="0" collapsed="false">
      <c r="A50" s="5" t="s">
        <v>2140</v>
      </c>
      <c r="B50" s="186" t="n">
        <f aca="false">Price_Frontier!C33</f>
        <v>1.29646017699115</v>
      </c>
      <c r="C50" s="200" t="s">
        <v>2141</v>
      </c>
      <c r="D50" s="35" t="s">
        <v>73</v>
      </c>
      <c r="E50" s="78" t="s">
        <v>2142</v>
      </c>
      <c r="F50" s="36" t="s">
        <v>2136</v>
      </c>
    </row>
    <row r="51" customFormat="false" ht="29.25" hidden="false" customHeight="true" outlineLevel="0" collapsed="false">
      <c r="A51" s="5" t="s">
        <v>2143</v>
      </c>
      <c r="B51" s="186" t="n">
        <f aca="false">Fleet_1GW!M34</f>
        <v>13.3318000027365</v>
      </c>
      <c r="C51" s="200" t="s">
        <v>2144</v>
      </c>
      <c r="D51" s="34" t="s">
        <v>340</v>
      </c>
      <c r="E51" s="85" t="s">
        <v>2145</v>
      </c>
      <c r="F51" s="36" t="s">
        <v>2146</v>
      </c>
    </row>
    <row r="52" customFormat="false" ht="29.25" hidden="false" customHeight="true" outlineLevel="0" collapsed="false">
      <c r="A52" s="6" t="s">
        <v>2147</v>
      </c>
      <c r="B52" s="186" t="n">
        <f aca="false">Fleet_1GW!M30</f>
        <v>0</v>
      </c>
      <c r="C52" s="200" t="s">
        <v>2148</v>
      </c>
      <c r="D52" s="35" t="s">
        <v>61</v>
      </c>
      <c r="E52" s="85"/>
      <c r="F52" s="36" t="s">
        <v>2146</v>
      </c>
    </row>
    <row r="53" customFormat="false" ht="29.25" hidden="false" customHeight="true" outlineLevel="0" collapsed="false">
      <c r="A53" s="5" t="s">
        <v>2149</v>
      </c>
      <c r="B53" s="175" t="n">
        <f aca="false">Amortize!M22/INDEX(B4_EffRef,1,2)</f>
        <v>0.00234551936098276</v>
      </c>
      <c r="C53" s="200" t="s">
        <v>554</v>
      </c>
      <c r="D53" s="35" t="s">
        <v>69</v>
      </c>
      <c r="E53" s="85" t="s">
        <v>2150</v>
      </c>
      <c r="F53" s="36" t="s">
        <v>2151</v>
      </c>
    </row>
    <row r="54" customFormat="false" ht="39" hidden="false" customHeight="true" outlineLevel="0" collapsed="false">
      <c r="A54" s="6" t="s">
        <v>2152</v>
      </c>
      <c r="B54" s="186" t="n">
        <f aca="false">Amortize!M41</f>
        <v>8.97009365142466</v>
      </c>
      <c r="C54" s="200" t="s">
        <v>2153</v>
      </c>
      <c r="D54" s="35" t="s">
        <v>73</v>
      </c>
      <c r="E54" s="85" t="s">
        <v>2154</v>
      </c>
      <c r="F54" s="36" t="s">
        <v>2151</v>
      </c>
    </row>
    <row r="55" customFormat="false" ht="29.25" hidden="false" customHeight="true" outlineLevel="0" collapsed="false">
      <c r="A55" s="6" t="s">
        <v>2155</v>
      </c>
      <c r="B55" s="175" t="n">
        <f aca="false">Amortize!M47/INDEX(B4_EffRef,1,3)</f>
        <v>0.174573876106121</v>
      </c>
      <c r="C55" s="200" t="s">
        <v>554</v>
      </c>
      <c r="D55" s="35" t="s">
        <v>69</v>
      </c>
      <c r="E55" s="85" t="s">
        <v>2156</v>
      </c>
      <c r="F55" s="36" t="s">
        <v>2151</v>
      </c>
    </row>
    <row r="56" customFormat="false" ht="29.25" hidden="false" customHeight="true" outlineLevel="0" collapsed="false">
      <c r="A56" s="5" t="s">
        <v>2157</v>
      </c>
      <c r="B56" s="186" t="n">
        <f aca="false">Theory_Rev!M64+Theory_Rev!M65+Theory_Rev!M66-Theory_Rev!M67</f>
        <v>0</v>
      </c>
      <c r="C56" s="200" t="s">
        <v>2148</v>
      </c>
      <c r="D56" s="35" t="s">
        <v>1328</v>
      </c>
      <c r="E56" s="85"/>
      <c r="F56" s="36" t="s">
        <v>2158</v>
      </c>
    </row>
    <row r="58" customFormat="false" ht="15" hidden="false" customHeight="true" outlineLevel="0" collapsed="false">
      <c r="A58" s="33" t="s">
        <v>2159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310</v>
      </c>
      <c r="B59" s="9" t="s">
        <v>2039</v>
      </c>
      <c r="C59" s="9" t="s">
        <v>2024</v>
      </c>
      <c r="D59" s="9" t="s">
        <v>53</v>
      </c>
      <c r="E59" s="9" t="s">
        <v>479</v>
      </c>
      <c r="F59" s="9" t="s">
        <v>401</v>
      </c>
    </row>
    <row r="60" customFormat="false" ht="39" hidden="false" customHeight="true" outlineLevel="0" collapsed="false">
      <c r="A60" s="5" t="s">
        <v>2160</v>
      </c>
      <c r="B60" s="201" t="n">
        <f aca="false">B5_W</f>
        <v>0</v>
      </c>
      <c r="C60" s="200" t="s">
        <v>2148</v>
      </c>
      <c r="D60" s="35" t="s">
        <v>73</v>
      </c>
      <c r="E60" s="78" t="s">
        <v>2161</v>
      </c>
      <c r="F60" s="36" t="s">
        <v>2162</v>
      </c>
    </row>
    <row r="61" customFormat="false" ht="29.25" hidden="false" customHeight="true" outlineLevel="0" collapsed="false">
      <c r="A61" s="6" t="s">
        <v>2163</v>
      </c>
      <c r="B61" s="186" t="n">
        <f aca="false">ABS(Workload!C35-Harness!C21)+ABS(Workload!D35-Harness!D21)+ABS(Workload!E35-Harness!E21)+ABS(Workload!F35-Harness!F21)+ABS(Workload!G35-Harness!G21)</f>
        <v>0</v>
      </c>
      <c r="C61" s="200" t="s">
        <v>2164</v>
      </c>
      <c r="D61" s="35" t="s">
        <v>248</v>
      </c>
      <c r="E61" s="78" t="s">
        <v>2165</v>
      </c>
      <c r="F61" s="36" t="s">
        <v>2166</v>
      </c>
    </row>
    <row r="62" customFormat="false" ht="39" hidden="false" customHeight="true" outlineLevel="0" collapsed="false">
      <c r="A62" s="6" t="s">
        <v>2167</v>
      </c>
      <c r="B62" s="186" t="n">
        <f aca="false">Harness!G45</f>
        <v>0.492530120481928</v>
      </c>
      <c r="C62" s="42" t="n">
        <f aca="false">Har_In!E72</f>
        <v>0.51</v>
      </c>
      <c r="D62" s="35" t="s">
        <v>73</v>
      </c>
      <c r="E62" s="85" t="s">
        <v>2168</v>
      </c>
      <c r="F62" s="36" t="s">
        <v>1473</v>
      </c>
    </row>
    <row r="63" customFormat="false" ht="39" hidden="false" customHeight="true" outlineLevel="0" collapsed="false">
      <c r="A63" s="6" t="s">
        <v>2169</v>
      </c>
      <c r="B63" s="186" t="n">
        <f aca="false">Harness!G138</f>
        <v>0.519897043107582</v>
      </c>
      <c r="C63" s="42" t="n">
        <f aca="false">(Har_In!D71/Har_In!C71)/(Har_In!D70/Har_In!C70)</f>
        <v>0.422310694422661</v>
      </c>
      <c r="D63" s="35" t="s">
        <v>73</v>
      </c>
      <c r="E63" s="85" t="s">
        <v>2170</v>
      </c>
      <c r="F63" s="36" t="s">
        <v>1473</v>
      </c>
    </row>
    <row r="64" customFormat="false" ht="39" hidden="false" customHeight="true" outlineLevel="0" collapsed="false">
      <c r="A64" s="6" t="s">
        <v>2171</v>
      </c>
      <c r="B64" s="186" t="n">
        <f aca="false">((1/Har_In!C70-1)/(1/Har_In!C71-1))^(1/B5_Beta)</f>
        <v>145.519176037217</v>
      </c>
      <c r="C64" s="200" t="s">
        <v>2172</v>
      </c>
      <c r="D64" s="35" t="s">
        <v>73</v>
      </c>
      <c r="E64" s="85" t="s">
        <v>2173</v>
      </c>
      <c r="F64" s="36" t="s">
        <v>2174</v>
      </c>
    </row>
    <row r="65" customFormat="false" ht="15" hidden="false" customHeight="true" outlineLevel="0" collapsed="false">
      <c r="A65" s="6" t="s">
        <v>2175</v>
      </c>
      <c r="B65" s="186" t="n">
        <f aca="false">AVERAGE(Har_In!F77:F80)</f>
        <v>0.80134078201291</v>
      </c>
      <c r="C65" s="200" t="n">
        <f aca="false">B5_Beta</f>
        <v>0.75</v>
      </c>
      <c r="D65" s="35" t="s">
        <v>73</v>
      </c>
      <c r="E65" s="85" t="s">
        <v>2176</v>
      </c>
      <c r="F65" s="36" t="s">
        <v>1492</v>
      </c>
    </row>
    <row r="66" customFormat="false" ht="29.25" hidden="false" customHeight="true" outlineLevel="0" collapsed="false">
      <c r="A66" s="6" t="s">
        <v>2177</v>
      </c>
      <c r="B66" s="174" t="n">
        <f aca="false">Harness!G62</f>
        <v>0.627115119175411</v>
      </c>
      <c r="C66" s="200" t="s">
        <v>554</v>
      </c>
      <c r="D66" s="35" t="s">
        <v>69</v>
      </c>
      <c r="E66" s="85" t="s">
        <v>2178</v>
      </c>
      <c r="F66" s="36" t="s">
        <v>2179</v>
      </c>
    </row>
    <row r="67" customFormat="false" ht="29.25" hidden="false" customHeight="true" outlineLevel="0" collapsed="false">
      <c r="A67" s="5" t="s">
        <v>2180</v>
      </c>
      <c r="B67" s="186" t="str">
        <f aca="false">Harness!G152</f>
        <v>Sol｜選定</v>
      </c>
      <c r="C67" s="42" t="str">
        <f aca="false">Harness!G148</f>
        <v>Luna｜選定</v>
      </c>
      <c r="D67" s="34"/>
      <c r="E67" s="85" t="s">
        <v>2181</v>
      </c>
      <c r="F67" s="36" t="s">
        <v>2182</v>
      </c>
    </row>
    <row r="68" customFormat="false" ht="29.25" hidden="false" customHeight="true" outlineLevel="0" collapsed="false">
      <c r="A68" s="6" t="s">
        <v>2183</v>
      </c>
      <c r="B68" s="186" t="n">
        <f aca="false">MIN(Sens_Har!C37:Z37)</f>
        <v>0.362206206370467</v>
      </c>
      <c r="C68" s="42" t="n">
        <f aca="false">MAX(Sens_Har!C37:Z37)</f>
        <v>0.770156534844251</v>
      </c>
      <c r="D68" s="35" t="s">
        <v>73</v>
      </c>
      <c r="E68" s="85" t="s">
        <v>2184</v>
      </c>
      <c r="F68" s="36" t="s">
        <v>2185</v>
      </c>
    </row>
    <row r="69" customFormat="false" ht="26.25" hidden="false" customHeight="true" outlineLevel="0" collapsed="false">
      <c r="A69" s="5" t="s">
        <v>2186</v>
      </c>
      <c r="B69" s="202" t="n">
        <f aca="false">B5_PFloor</f>
        <v>0.5</v>
      </c>
      <c r="C69" s="200" t="s">
        <v>2187</v>
      </c>
      <c r="D69" s="35" t="s">
        <v>69</v>
      </c>
      <c r="E69" s="85" t="s">
        <v>2188</v>
      </c>
      <c r="F69" s="36" t="s">
        <v>2189</v>
      </c>
    </row>
    <row r="70" customFormat="false" ht="29.25" hidden="false" customHeight="true" outlineLevel="0" collapsed="false">
      <c r="A70" s="5" t="s">
        <v>2190</v>
      </c>
      <c r="B70" s="186" t="n">
        <f aca="false">COUNTIF(Harness!C152:G152,"無合格")</f>
        <v>0</v>
      </c>
      <c r="C70" s="200" t="s">
        <v>2191</v>
      </c>
      <c r="D70" s="34"/>
      <c r="E70" s="78" t="s">
        <v>2192</v>
      </c>
      <c r="F70" s="36" t="s">
        <v>2182</v>
      </c>
    </row>
    <row r="72" customFormat="false" ht="15" hidden="false" customHeight="false" outlineLevel="0" collapsed="false">
      <c r="A72" s="82" t="s">
        <v>2193</v>
      </c>
      <c r="B72" s="60"/>
      <c r="C72" s="60"/>
      <c r="D72" s="60"/>
      <c r="E72" s="60"/>
      <c r="F72" s="60"/>
    </row>
    <row r="73" customFormat="false" ht="15" hidden="false" customHeight="false" outlineLevel="0" collapsed="false">
      <c r="A73" s="10" t="s">
        <v>2194</v>
      </c>
      <c r="B73" s="10" t="s">
        <v>2195</v>
      </c>
      <c r="C73" s="10" t="s">
        <v>2196</v>
      </c>
      <c r="D73" s="10" t="s">
        <v>2197</v>
      </c>
      <c r="E73" s="10" t="s">
        <v>2198</v>
      </c>
    </row>
    <row r="74" customFormat="false" ht="15" hidden="false" customHeight="false" outlineLevel="0" collapsed="false">
      <c r="A74" s="53" t="s">
        <v>2199</v>
      </c>
      <c r="B74" s="52" t="s">
        <v>2200</v>
      </c>
      <c r="C74" s="51" t="s">
        <v>2201</v>
      </c>
      <c r="D74" s="103" t="n">
        <f aca="false">COUNTIF(Gov_Map!$V$5:$V$700,1)</f>
        <v>0</v>
      </c>
      <c r="E74" s="50" t="s">
        <v>2202</v>
      </c>
    </row>
    <row r="75" customFormat="false" ht="15" hidden="false" customHeight="false" outlineLevel="0" collapsed="false">
      <c r="A75" s="53" t="s">
        <v>2203</v>
      </c>
      <c r="B75" s="53" t="s">
        <v>2204</v>
      </c>
      <c r="C75" s="51" t="s">
        <v>2201</v>
      </c>
      <c r="D75" s="103" t="n">
        <f aca="false">COUNTIF(Gov_Map!$W$5:$W$700,1)</f>
        <v>0</v>
      </c>
      <c r="E75" s="50" t="s">
        <v>2205</v>
      </c>
    </row>
    <row r="76" customFormat="false" ht="15" hidden="false" customHeight="false" outlineLevel="0" collapsed="false">
      <c r="A76" s="53" t="s">
        <v>2206</v>
      </c>
      <c r="B76" s="53" t="s">
        <v>2207</v>
      </c>
      <c r="C76" s="51" t="s">
        <v>2201</v>
      </c>
      <c r="D76" s="103" t="n">
        <f aca="false">COUNTIF(Gov_Map!$X$5:$X$700,1)</f>
        <v>0</v>
      </c>
      <c r="E76" s="50" t="s">
        <v>2208</v>
      </c>
    </row>
    <row r="77" customFormat="false" ht="15" hidden="false" customHeight="false" outlineLevel="0" collapsed="false">
      <c r="A77" s="53" t="s">
        <v>2209</v>
      </c>
      <c r="B77" s="53" t="s">
        <v>2210</v>
      </c>
      <c r="C77" s="51" t="s">
        <v>2201</v>
      </c>
      <c r="D77" s="103" t="n">
        <f aca="false">COUNTIF(Gov_Map!$Y$5:$Y$700,1)</f>
        <v>0</v>
      </c>
      <c r="E77" s="50" t="s">
        <v>2205</v>
      </c>
    </row>
    <row r="78" customFormat="false" ht="15" hidden="false" customHeight="false" outlineLevel="0" collapsed="false">
      <c r="A78" s="53" t="s">
        <v>2211</v>
      </c>
      <c r="B78" s="53" t="s">
        <v>2212</v>
      </c>
      <c r="C78" s="51" t="s">
        <v>2201</v>
      </c>
      <c r="D78" s="103" t="n">
        <f aca="false">COUNTIF(Gov_Map!$Z$5:$Z$700,1)</f>
        <v>0</v>
      </c>
      <c r="E78" s="50" t="s">
        <v>2205</v>
      </c>
    </row>
    <row r="79" customFormat="false" ht="15" hidden="false" customHeight="false" outlineLevel="0" collapsed="false">
      <c r="A79" s="53" t="s">
        <v>2213</v>
      </c>
      <c r="B79" s="52" t="s">
        <v>2214</v>
      </c>
      <c r="C79" s="51" t="s">
        <v>2201</v>
      </c>
      <c r="D79" s="103" t="n">
        <f aca="false">COUNTIF(Gov_Map!$AA$5:$AA$700,1)</f>
        <v>0</v>
      </c>
      <c r="E79" s="50" t="s">
        <v>2215</v>
      </c>
    </row>
    <row r="80" customFormat="false" ht="15" hidden="false" customHeight="false" outlineLevel="0" collapsed="false">
      <c r="A80" s="53" t="s">
        <v>2216</v>
      </c>
      <c r="B80" s="52" t="s">
        <v>2217</v>
      </c>
      <c r="C80" s="51" t="s">
        <v>2201</v>
      </c>
      <c r="D80" s="103" t="n">
        <f aca="false">COUNTIF(SRC_HW!$X$5:$X$400,"&gt;1")+COUNTIF(SRC_DC!$X$5:$X$400,"&gt;1")+COUNTIF(SRC_Model!$X$5:$X$400,"&gt;1")+COUNTIF(SRC_Perf!$X$5:$X$400,"&gt;1")</f>
        <v>0</v>
      </c>
      <c r="E80" s="50" t="s">
        <v>2218</v>
      </c>
    </row>
    <row r="81" customFormat="false" ht="15" hidden="false" customHeight="false" outlineLevel="0" collapsed="false">
      <c r="A81" s="53" t="s">
        <v>2219</v>
      </c>
      <c r="B81" s="53" t="s">
        <v>2220</v>
      </c>
      <c r="C81" s="51" t="s">
        <v>2201</v>
      </c>
      <c r="D81" s="103" t="n">
        <f aca="false">COUNTIF(SRC_HW!$Y$5:$Y$400,"1")+COUNTIF(SRC_DC!$Y$5:$Y$400,"1")+COUNTIF(SRC_Model!$Y$5:$Y$400,"1")+COUNTIF(SRC_Perf!$Y$5:$Y$400,"1")</f>
        <v>0</v>
      </c>
      <c r="E81" s="50" t="s">
        <v>2221</v>
      </c>
    </row>
    <row r="82" customFormat="false" ht="15" hidden="false" customHeight="false" outlineLevel="0" collapsed="false">
      <c r="A82" s="53" t="s">
        <v>2222</v>
      </c>
      <c r="B82" s="52" t="s">
        <v>2223</v>
      </c>
      <c r="C82" s="51" t="s">
        <v>2201</v>
      </c>
      <c r="D82" s="103" t="n">
        <f aca="false">COUNTIF(Gov_Map!$AB$5:$AB$700,1)</f>
        <v>0</v>
      </c>
      <c r="E82" s="50" t="s">
        <v>2224</v>
      </c>
    </row>
    <row r="83" customFormat="false" ht="15" hidden="false" customHeight="false" outlineLevel="0" collapsed="false">
      <c r="A83" s="53" t="s">
        <v>2225</v>
      </c>
      <c r="B83" s="52" t="s">
        <v>2226</v>
      </c>
      <c r="C83" s="51" t="s">
        <v>2201</v>
      </c>
      <c r="D83" s="103" t="n">
        <f aca="false">COUNTIF(Gov_Map!$AC$5:$AC$700,1)</f>
        <v>0</v>
      </c>
      <c r="E83" s="50" t="s">
        <v>2227</v>
      </c>
    </row>
    <row r="84" customFormat="false" ht="15" hidden="false" customHeight="false" outlineLevel="0" collapsed="false">
      <c r="A84" s="53" t="s">
        <v>2228</v>
      </c>
      <c r="B84" s="53" t="s">
        <v>2229</v>
      </c>
      <c r="C84" s="51" t="s">
        <v>2201</v>
      </c>
      <c r="D84" s="103" t="n">
        <v>0</v>
      </c>
      <c r="E84" s="64" t="s">
        <v>2230</v>
      </c>
    </row>
    <row r="85" customFormat="false" ht="15" hidden="false" customHeight="false" outlineLevel="0" collapsed="false">
      <c r="A85" s="53" t="s">
        <v>2231</v>
      </c>
      <c r="B85" s="52" t="s">
        <v>2232</v>
      </c>
      <c r="C85" s="51" t="s">
        <v>2201</v>
      </c>
      <c r="D85" s="103" t="n">
        <f aca="false">COUNTIF(Gov_Map!$AE$5:$AE$700,1)</f>
        <v>0</v>
      </c>
      <c r="E85" s="50" t="s">
        <v>2205</v>
      </c>
    </row>
    <row r="86" customFormat="false" ht="15" hidden="false" customHeight="false" outlineLevel="0" collapsed="false">
      <c r="A86" s="53" t="s">
        <v>2233</v>
      </c>
      <c r="B86" s="52" t="s">
        <v>2234</v>
      </c>
      <c r="C86" s="53" t="s">
        <v>2235</v>
      </c>
      <c r="D86" s="103" t="n">
        <f aca="false">COUNTIF(SRC_HW!$Z$5:$Z$400,"1")+COUNTIF(SRC_DC!$Z$5:$Z$400,"1")+COUNTIF(SRC_Model!$Z$5:$Z$400,"1")+COUNTIF(SRC_Perf!$Z$5:$Z$400,"1")</f>
        <v>133</v>
      </c>
      <c r="E86" s="50" t="s">
        <v>2236</v>
      </c>
    </row>
    <row r="87" customFormat="false" ht="15" hidden="false" customHeight="false" outlineLevel="0" collapsed="false">
      <c r="A87" s="53" t="s">
        <v>2237</v>
      </c>
      <c r="B87" s="53" t="s">
        <v>2238</v>
      </c>
      <c r="C87" s="53" t="s">
        <v>2235</v>
      </c>
      <c r="D87" s="103" t="n">
        <f aca="false">COUNTIF(Gov_Map!$AD$5:$AD$700,1)</f>
        <v>31</v>
      </c>
      <c r="E87" s="50" t="s">
        <v>2239</v>
      </c>
    </row>
    <row r="88" customFormat="false" ht="15" hidden="false" customHeight="false" outlineLevel="0" collapsed="false">
      <c r="A88" s="53" t="s">
        <v>2240</v>
      </c>
      <c r="B88" s="53" t="s">
        <v>2241</v>
      </c>
      <c r="C88" s="53" t="s">
        <v>2242</v>
      </c>
      <c r="D88" s="103" t="n">
        <f aca="false">COUNTIF(DB_Evidence!$L$5:$L$500,"待判定")</f>
        <v>4</v>
      </c>
      <c r="E88" s="50" t="s">
        <v>2243</v>
      </c>
    </row>
    <row r="89" customFormat="false" ht="15" hidden="false" customHeight="false" outlineLevel="0" collapsed="false">
      <c r="A89" s="53" t="s">
        <v>2244</v>
      </c>
      <c r="B89" s="53" t="s">
        <v>2245</v>
      </c>
      <c r="C89" s="53" t="s">
        <v>2242</v>
      </c>
      <c r="D89" s="103" t="n">
        <f aca="false">COUNTIF(DB_Evidence!$L$5:$L$500,"待 Andy")</f>
        <v>0</v>
      </c>
      <c r="E89" s="50" t="s">
        <v>2243</v>
      </c>
    </row>
    <row r="90" customFormat="false" ht="15" hidden="false" customHeight="false" outlineLevel="0" collapsed="false">
      <c r="A90" s="53" t="s">
        <v>2246</v>
      </c>
      <c r="B90" s="53" t="s">
        <v>2247</v>
      </c>
      <c r="C90" s="53" t="s">
        <v>2242</v>
      </c>
      <c r="D90" s="103" t="n">
        <f aca="false">COUNTIF(L1!$P$5:$P$200,"低於外部區間")+COUNTIF(L1!$P$5:$P$200,"高於外部區間")+COUNTIF(L1!$P$5:$P$200,"差距 &gt;20%")</f>
        <v>2</v>
      </c>
      <c r="E90" s="50" t="s">
        <v>2248</v>
      </c>
    </row>
    <row r="91" customFormat="false" ht="15" hidden="false" customHeight="false" outlineLevel="0" collapsed="false">
      <c r="A91" s="53" t="s">
        <v>2249</v>
      </c>
      <c r="B91" s="52" t="s">
        <v>2250</v>
      </c>
      <c r="C91" s="53" t="s">
        <v>2242</v>
      </c>
      <c r="D91" s="103" t="n">
        <f aca="false">COUNTIF(Gov_Map!$F$5:$F$700,"原始數據（G0-2 保留）")</f>
        <v>17</v>
      </c>
      <c r="E91" s="50" t="s">
        <v>2205</v>
      </c>
    </row>
    <row r="92" customFormat="false" ht="15" hidden="false" customHeight="false" outlineLevel="0" collapsed="false">
      <c r="A92" s="53" t="s">
        <v>2251</v>
      </c>
      <c r="B92" s="53" t="s">
        <v>2252</v>
      </c>
      <c r="C92" s="53" t="s">
        <v>2242</v>
      </c>
      <c r="D92" s="103" t="n">
        <f aca="false">COUNTIF(Gov_Map!$F$5:$F$700,"Derived（待改公式）")</f>
        <v>10</v>
      </c>
      <c r="E92" s="50" t="s">
        <v>2253</v>
      </c>
    </row>
    <row r="93" customFormat="false" ht="15" hidden="false" customHeight="false" outlineLevel="0" collapsed="false">
      <c r="A93" s="53" t="s">
        <v>2254</v>
      </c>
      <c r="B93" s="52" t="s">
        <v>2255</v>
      </c>
      <c r="C93" s="53" t="s">
        <v>2242</v>
      </c>
      <c r="D93" s="103" t="n">
        <f aca="false">COUNTIF(Gov_Map!$M$5:$M$700,"結構選擇（無數值區間）")</f>
        <v>5</v>
      </c>
      <c r="E93" s="50" t="s">
        <v>2205</v>
      </c>
    </row>
    <row r="94" customFormat="false" ht="15" hidden="false" customHeight="false" outlineLevel="0" collapsed="false">
      <c r="A94" s="53" t="s">
        <v>2256</v>
      </c>
      <c r="B94" s="52" t="s">
        <v>2257</v>
      </c>
      <c r="C94" s="53" t="s">
        <v>2242</v>
      </c>
      <c r="D94" s="103" t="n">
        <f aca="false">COUNTIF(Gov_Map!$F$5:$F$700,"原始數據（切片二）")</f>
        <v>3</v>
      </c>
      <c r="E94" s="50" t="s">
        <v>2258</v>
      </c>
    </row>
    <row r="95" customFormat="false" ht="15" hidden="false" customHeight="false" outlineLevel="0" collapsed="false">
      <c r="A95" s="53" t="s">
        <v>2259</v>
      </c>
      <c r="B95" s="53" t="s">
        <v>2260</v>
      </c>
      <c r="C95" s="53" t="s">
        <v>2242</v>
      </c>
      <c r="D95" s="103" t="n">
        <f aca="false">COUNTIF(Gov_Map!$O$5:$O$700,"&lt;&gt;—")-COUNTIF(Gov_Map!$O$5:$O$700,"")</f>
        <v>28</v>
      </c>
      <c r="E95" s="50" t="s">
        <v>2261</v>
      </c>
    </row>
    <row r="96" customFormat="false" ht="15" hidden="false" customHeight="false" outlineLevel="0" collapsed="false">
      <c r="B96" s="51" t="s">
        <v>2262</v>
      </c>
      <c r="D96" s="203" t="n">
        <f aca="false">D74+D75+D76+D77+D78+D79+D80+D81+D82+D83+D84+D85</f>
        <v>0</v>
      </c>
    </row>
    <row r="97" customFormat="false" ht="15" hidden="false" customHeight="false" outlineLevel="0" collapsed="false">
      <c r="B97" s="51" t="s">
        <v>2263</v>
      </c>
      <c r="D97" s="103" t="n">
        <f aca="false">D86+D87</f>
        <v>164</v>
      </c>
    </row>
    <row r="98" customFormat="false" ht="15" hidden="false" customHeight="false" outlineLevel="0" collapsed="false">
      <c r="B98" s="51" t="s">
        <v>2264</v>
      </c>
      <c r="D98" s="103" t="n">
        <f aca="false">D88+D89+D90+D91+D92+D93+D94+D95</f>
        <v>69</v>
      </c>
    </row>
    <row r="99" customFormat="false" ht="15" hidden="false" customHeight="false" outlineLevel="0" collapsed="false">
      <c r="B99" s="64" t="s">
        <v>2265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18"/>
    <col collapsed="false" customWidth="true" hidden="false" outlineLevel="0" max="14" min="14" style="0" width="36"/>
    <col collapsed="false" customWidth="true" hidden="false" outlineLevel="0" max="15" min="15" style="0" width="22"/>
    <col collapsed="false" customWidth="true" hidden="false" outlineLevel="0" max="16" min="16" style="0" width="7"/>
    <col collapsed="false" customWidth="true" hidden="false" outlineLevel="0" max="31" min="17" style="0" width="9"/>
  </cols>
  <sheetData>
    <row r="1" customFormat="false" ht="20.1" hidden="false" customHeight="false" outlineLevel="0" collapsed="false">
      <c r="A1" s="49" t="s">
        <v>2266</v>
      </c>
    </row>
    <row r="2" customFormat="false" ht="15" hidden="false" customHeight="false" outlineLevel="0" collapsed="false">
      <c r="A2" s="50" t="s">
        <v>2267</v>
      </c>
    </row>
    <row r="4" customFormat="false" ht="44" hidden="false" customHeight="false" outlineLevel="0" collapsed="false">
      <c r="A4" s="75" t="s">
        <v>2268</v>
      </c>
      <c r="B4" s="74" t="s">
        <v>2269</v>
      </c>
      <c r="C4" s="74" t="s">
        <v>12</v>
      </c>
      <c r="D4" s="74" t="s">
        <v>2270</v>
      </c>
      <c r="E4" s="74" t="s">
        <v>2271</v>
      </c>
      <c r="F4" s="74" t="s">
        <v>2272</v>
      </c>
      <c r="G4" s="74" t="s">
        <v>2273</v>
      </c>
      <c r="H4" s="75" t="s">
        <v>2274</v>
      </c>
      <c r="I4" s="74" t="s">
        <v>2275</v>
      </c>
      <c r="J4" s="74" t="s">
        <v>2276</v>
      </c>
      <c r="K4" s="74" t="s">
        <v>1078</v>
      </c>
      <c r="L4" s="74" t="s">
        <v>1079</v>
      </c>
      <c r="M4" s="74" t="s">
        <v>2277</v>
      </c>
      <c r="N4" s="74" t="s">
        <v>2278</v>
      </c>
      <c r="O4" s="74" t="s">
        <v>2279</v>
      </c>
      <c r="P4" s="75" t="s">
        <v>2280</v>
      </c>
      <c r="Q4" s="74" t="s">
        <v>2281</v>
      </c>
      <c r="R4" s="75" t="s">
        <v>2282</v>
      </c>
      <c r="S4" s="75" t="s">
        <v>2283</v>
      </c>
      <c r="T4" s="75" t="s">
        <v>2284</v>
      </c>
      <c r="U4" s="74" t="s">
        <v>2285</v>
      </c>
      <c r="V4" s="75" t="s">
        <v>2286</v>
      </c>
      <c r="W4" s="75" t="s">
        <v>2287</v>
      </c>
      <c r="X4" s="75" t="s">
        <v>2288</v>
      </c>
      <c r="Y4" s="75" t="s">
        <v>2289</v>
      </c>
      <c r="Z4" s="75" t="s">
        <v>2290</v>
      </c>
      <c r="AA4" s="75" t="s">
        <v>2291</v>
      </c>
      <c r="AB4" s="75" t="s">
        <v>2292</v>
      </c>
      <c r="AC4" s="75" t="s">
        <v>2293</v>
      </c>
      <c r="AD4" s="75" t="s">
        <v>2294</v>
      </c>
      <c r="AE4" s="75" t="s">
        <v>2295</v>
      </c>
    </row>
    <row r="5" customFormat="false" ht="15" hidden="false" customHeight="false" outlineLevel="0" collapsed="false">
      <c r="A5" s="53" t="s">
        <v>2296</v>
      </c>
      <c r="B5" s="52" t="s">
        <v>2297</v>
      </c>
      <c r="C5" s="53" t="s">
        <v>2298</v>
      </c>
      <c r="D5" s="53" t="s">
        <v>2211</v>
      </c>
      <c r="E5" s="6" t="s">
        <v>60</v>
      </c>
      <c r="F5" s="53" t="s">
        <v>62</v>
      </c>
      <c r="G5" s="52" t="s">
        <v>2299</v>
      </c>
      <c r="H5" s="53" t="s">
        <v>554</v>
      </c>
      <c r="I5" s="6" t="s">
        <v>554</v>
      </c>
      <c r="J5" s="53" t="s">
        <v>2300</v>
      </c>
      <c r="K5" s="52"/>
      <c r="L5" s="52"/>
      <c r="M5" s="53" t="s">
        <v>554</v>
      </c>
      <c r="N5" s="6" t="s">
        <v>2301</v>
      </c>
      <c r="O5" s="6" t="s">
        <v>554</v>
      </c>
      <c r="P5" s="52" t="s">
        <v>1079</v>
      </c>
      <c r="Q5" s="54" t="n">
        <f aca="false">Inputs!E5</f>
        <v>1</v>
      </c>
      <c r="R5" s="53" t="s">
        <v>554</v>
      </c>
      <c r="S5" s="83" t="str">
        <f aca="false">IF(OR($H5="—",$H5=""),"—",IF(ISNUMBER(MATCH($H5,SRC_HW!$A$5:$A$400,0)),INDEX(SRC_HW!$O$5:$O$400,MATCH($H5,SRC_HW!$A$5:$A$400,0)),IF(ISNUMBER(MATCH($H5,SRC_DC!$A$5:$A$400,0)),INDEX(SRC_DC!$O$5:$O$400,MATCH($H5,SRC_DC!$A$5:$A$400,0)),IF(ISNUMBER(MATCH($H5,SRC_Model!$A$5:$A$400,0)),INDEX(SRC_Model!$O$5:$O$400,MATCH($H5,SRC_Model!$A$5:$A$400,0)),IF(ISNUMBER(MATCH($H5,SRC_Perf!$A$5:$A$400,0)),INDEX(SRC_Perf!$O$5:$O$400,MATCH($H5,SRC_Perf!$A$5:$A$400,0)),"不存在")))))</f>
        <v>—</v>
      </c>
      <c r="T5" s="83" t="str">
        <f aca="false">IF(OR($H5="—",$H5=""),"—",IF(ISNUMBER(MATCH($H5,SRC_HW!$A$5:$A$400,0)),INDEX(SRC_HW!$K$5:$K$400,MATCH($H5,SRC_HW!$A$5:$A$400,0)),IF(ISNUMBER(MATCH($H5,SRC_DC!$A$5:$A$400,0)),INDEX(SRC_DC!$K$5:$K$400,MATCH($H5,SRC_DC!$A$5:$A$400,0)),IF(ISNUMBER(MATCH($H5,SRC_Model!$A$5:$A$400,0)),INDEX(SRC_Model!$K$5:$K$400,MATCH($H5,SRC_Model!$A$5:$A$400,0)),IF(ISNUMBER(MATCH($H5,SRC_Perf!$A$5:$A$400,0)),INDEX(SRC_Perf!$K$5:$K$400,MATCH($H5,SRC_Perf!$A$5:$A$400,0)),"不存在")))))</f>
        <v>—</v>
      </c>
      <c r="U5" s="52" t="s">
        <v>2302</v>
      </c>
      <c r="V5" s="103" t="n">
        <f aca="false">IF(AND($F5="原始數據",$U5&lt;&gt;"連結 SRC"),1,0)</f>
        <v>0</v>
      </c>
      <c r="W5" s="103" t="n">
        <f aca="false">IF(AND($F5="Analogy",OR($H5="—",$H5="")),1,0)</f>
        <v>0</v>
      </c>
      <c r="X5" s="103" t="n">
        <f aca="false">IF(AND(OR($F5="Analogy",$F5="Assumed"),$G5&lt;&gt;"低",$G5&lt;&gt;"高",NOT(ISNUMBER($K5)),NOT(ISNUMBER($L5)),OR($M5="—",$M5="")),1,0)</f>
        <v>0</v>
      </c>
      <c r="Y5" s="103" t="n">
        <f aca="false">IF(AND(OR($F5="Analogy",$F5="Assumed",$F5="Derived（待改公式）",$F5="Derived（公式）"),OR($N5="—",$N5="",$N5=0)),1,0)</f>
        <v>0</v>
      </c>
      <c r="Z5" s="103" t="n">
        <f aca="false">IF(AND($F5="Decision",OR($J5="—",$J5="")),1,0)</f>
        <v>0</v>
      </c>
      <c r="AA5" s="84" t="n">
        <f aca="false">IF(OR($J5="—",$J5=""),0,IF(COUNTIF(Decisions!$A$5:$A$300,$J5)=0,1,0))</f>
        <v>0</v>
      </c>
      <c r="AB5" s="103" t="n">
        <f aca="false">IF(AND($F5="原始數據",$S5&lt;&gt;"Active"),1,0)</f>
        <v>0</v>
      </c>
      <c r="AC5" s="103" t="n">
        <f aca="false">IF(AND(ISNUMBER($K5),ISNUMBER($L5),ISNUMBER($Q5)),IF(OR($Q5&lt;MIN($K5,$L5),$Q5&gt;MAX($K5,$L5)),1,0),0)</f>
        <v>0</v>
      </c>
      <c r="AD5" s="103" t="n">
        <f aca="false">IF(AND(ISNUMBER($T5),$P5="高"),IF($T5=3,1,0),0)</f>
        <v>0</v>
      </c>
      <c r="AE5" s="103" t="n">
        <f aca="false">IF(AND($S5="不存在",$B5="切片一"),1,0)</f>
        <v>0</v>
      </c>
    </row>
    <row r="6" customFormat="false" ht="29.85" hidden="false" customHeight="false" outlineLevel="0" collapsed="false">
      <c r="A6" s="53" t="s">
        <v>2303</v>
      </c>
      <c r="B6" s="52" t="s">
        <v>2297</v>
      </c>
      <c r="C6" s="53" t="s">
        <v>2298</v>
      </c>
      <c r="D6" s="53" t="s">
        <v>2213</v>
      </c>
      <c r="E6" s="5" t="s">
        <v>2304</v>
      </c>
      <c r="F6" s="53" t="s">
        <v>62</v>
      </c>
      <c r="G6" s="52" t="s">
        <v>2299</v>
      </c>
      <c r="H6" s="53" t="s">
        <v>554</v>
      </c>
      <c r="I6" s="6" t="s">
        <v>554</v>
      </c>
      <c r="J6" s="53" t="s">
        <v>2305</v>
      </c>
      <c r="K6" s="52"/>
      <c r="L6" s="52"/>
      <c r="M6" s="53" t="s">
        <v>554</v>
      </c>
      <c r="N6" s="6" t="s">
        <v>2306</v>
      </c>
      <c r="O6" s="6" t="s">
        <v>554</v>
      </c>
      <c r="P6" s="52" t="s">
        <v>2307</v>
      </c>
      <c r="Q6" s="54" t="n">
        <f aca="false">Inputs!E6</f>
        <v>2</v>
      </c>
      <c r="R6" s="53" t="s">
        <v>554</v>
      </c>
      <c r="S6" s="83" t="str">
        <f aca="false">IF(OR($H6="—",$H6=""),"—",IF(ISNUMBER(MATCH($H6,SRC_HW!$A$5:$A$400,0)),INDEX(SRC_HW!$O$5:$O$400,MATCH($H6,SRC_HW!$A$5:$A$400,0)),IF(ISNUMBER(MATCH($H6,SRC_DC!$A$5:$A$400,0)),INDEX(SRC_DC!$O$5:$O$400,MATCH($H6,SRC_DC!$A$5:$A$400,0)),IF(ISNUMBER(MATCH($H6,SRC_Model!$A$5:$A$400,0)),INDEX(SRC_Model!$O$5:$O$400,MATCH($H6,SRC_Model!$A$5:$A$400,0)),IF(ISNUMBER(MATCH($H6,SRC_Perf!$A$5:$A$400,0)),INDEX(SRC_Perf!$O$5:$O$400,MATCH($H6,SRC_Perf!$A$5:$A$400,0)),"不存在")))))</f>
        <v>—</v>
      </c>
      <c r="T6" s="83" t="str">
        <f aca="false">IF(OR($H6="—",$H6=""),"—",IF(ISNUMBER(MATCH($H6,SRC_HW!$A$5:$A$400,0)),INDEX(SRC_HW!$K$5:$K$400,MATCH($H6,SRC_HW!$A$5:$A$400,0)),IF(ISNUMBER(MATCH($H6,SRC_DC!$A$5:$A$400,0)),INDEX(SRC_DC!$K$5:$K$400,MATCH($H6,SRC_DC!$A$5:$A$400,0)),IF(ISNUMBER(MATCH($H6,SRC_Model!$A$5:$A$400,0)),INDEX(SRC_Model!$K$5:$K$400,MATCH($H6,SRC_Model!$A$5:$A$400,0)),IF(ISNUMBER(MATCH($H6,SRC_Perf!$A$5:$A$400,0)),INDEX(SRC_Perf!$K$5:$K$400,MATCH($H6,SRC_Perf!$A$5:$A$400,0)),"不存在")))))</f>
        <v>—</v>
      </c>
      <c r="U6" s="52" t="s">
        <v>2302</v>
      </c>
      <c r="V6" s="103" t="n">
        <f aca="false">IF(AND($F6="原始數據",$U6&lt;&gt;"連結 SRC"),1,0)</f>
        <v>0</v>
      </c>
      <c r="W6" s="103" t="n">
        <f aca="false">IF(AND($F6="Analogy",OR($H6="—",$H6="")),1,0)</f>
        <v>0</v>
      </c>
      <c r="X6" s="103" t="n">
        <f aca="false">IF(AND(OR($F6="Analogy",$F6="Assumed"),$G6&lt;&gt;"低",$G6&lt;&gt;"高",NOT(ISNUMBER($K6)),NOT(ISNUMBER($L6)),OR($M6="—",$M6="")),1,0)</f>
        <v>0</v>
      </c>
      <c r="Y6" s="103" t="n">
        <f aca="false">IF(AND(OR($F6="Analogy",$F6="Assumed",$F6="Derived（待改公式）",$F6="Derived（公式）"),OR($N6="—",$N6="",$N6=0)),1,0)</f>
        <v>0</v>
      </c>
      <c r="Z6" s="103" t="n">
        <f aca="false">IF(AND($F6="Decision",OR($J6="—",$J6="")),1,0)</f>
        <v>0</v>
      </c>
      <c r="AA6" s="84" t="n">
        <f aca="false">IF(OR($J6="—",$J6=""),0,IF(COUNTIF(Decisions!$A$5:$A$300,$J6)=0,1,0))</f>
        <v>0</v>
      </c>
      <c r="AB6" s="103" t="n">
        <f aca="false">IF(AND($F6="原始數據",$S6&lt;&gt;"Active"),1,0)</f>
        <v>0</v>
      </c>
      <c r="AC6" s="103" t="n">
        <f aca="false">IF(AND(ISNUMBER($K6),ISNUMBER($L6),ISNUMBER($Q6)),IF(OR($Q6&lt;MIN($K6,$L6),$Q6&gt;MAX($K6,$L6)),1,0),0)</f>
        <v>0</v>
      </c>
      <c r="AD6" s="103" t="n">
        <f aca="false">IF(AND(ISNUMBER($T6),$P6="高"),IF($T6=3,1,0),0)</f>
        <v>0</v>
      </c>
      <c r="AE6" s="103" t="n">
        <f aca="false">IF(AND($S6="不存在",$B6="切片一"),1,0)</f>
        <v>0</v>
      </c>
    </row>
    <row r="7" customFormat="false" ht="29.85" hidden="false" customHeight="false" outlineLevel="0" collapsed="false">
      <c r="A7" s="53" t="s">
        <v>2308</v>
      </c>
      <c r="B7" s="52" t="s">
        <v>2297</v>
      </c>
      <c r="C7" s="53" t="s">
        <v>2298</v>
      </c>
      <c r="D7" s="53" t="s">
        <v>2219</v>
      </c>
      <c r="E7" s="5" t="s">
        <v>2309</v>
      </c>
      <c r="F7" s="53" t="s">
        <v>70</v>
      </c>
      <c r="G7" s="52" t="s">
        <v>55</v>
      </c>
      <c r="H7" s="53" t="s">
        <v>554</v>
      </c>
      <c r="I7" s="6" t="s">
        <v>554</v>
      </c>
      <c r="J7" s="53" t="s">
        <v>554</v>
      </c>
      <c r="K7" s="101" t="n">
        <f aca="false">Sensitivity!$X$8</f>
        <v>0.05</v>
      </c>
      <c r="L7" s="101" t="n">
        <f aca="false">Sensitivity!$Y$8</f>
        <v>0.12</v>
      </c>
      <c r="M7" s="53" t="s">
        <v>2310</v>
      </c>
      <c r="N7" s="204" t="str">
        <f aca="false">Inputs!$H$8</f>
        <v>管理、儲存、網路機櫃等；區間 5–12%（見 Sensitivity）。v4 未計</v>
      </c>
      <c r="O7" s="6" t="s">
        <v>554</v>
      </c>
      <c r="P7" s="52" t="s">
        <v>1078</v>
      </c>
      <c r="Q7" s="101" t="n">
        <f aca="false">Inputs!E8</f>
        <v>0.08</v>
      </c>
      <c r="R7" s="53" t="s">
        <v>554</v>
      </c>
      <c r="S7" s="83" t="str">
        <f aca="false">IF(OR($H7="—",$H7=""),"—",IF(ISNUMBER(MATCH($H7,SRC_HW!$A$5:$A$400,0)),INDEX(SRC_HW!$O$5:$O$400,MATCH($H7,SRC_HW!$A$5:$A$400,0)),IF(ISNUMBER(MATCH($H7,SRC_DC!$A$5:$A$400,0)),INDEX(SRC_DC!$O$5:$O$400,MATCH($H7,SRC_DC!$A$5:$A$400,0)),IF(ISNUMBER(MATCH($H7,SRC_Model!$A$5:$A$400,0)),INDEX(SRC_Model!$O$5:$O$400,MATCH($H7,SRC_Model!$A$5:$A$400,0)),IF(ISNUMBER(MATCH($H7,SRC_Perf!$A$5:$A$400,0)),INDEX(SRC_Perf!$O$5:$O$400,MATCH($H7,SRC_Perf!$A$5:$A$400,0)),"不存在")))))</f>
        <v>—</v>
      </c>
      <c r="T7" s="83" t="str">
        <f aca="false">IF(OR($H7="—",$H7=""),"—",IF(ISNUMBER(MATCH($H7,SRC_HW!$A$5:$A$400,0)),INDEX(SRC_HW!$K$5:$K$400,MATCH($H7,SRC_HW!$A$5:$A$400,0)),IF(ISNUMBER(MATCH($H7,SRC_DC!$A$5:$A$400,0)),INDEX(SRC_DC!$K$5:$K$400,MATCH($H7,SRC_DC!$A$5:$A$400,0)),IF(ISNUMBER(MATCH($H7,SRC_Model!$A$5:$A$400,0)),INDEX(SRC_Model!$K$5:$K$400,MATCH($H7,SRC_Model!$A$5:$A$400,0)),IF(ISNUMBER(MATCH($H7,SRC_Perf!$A$5:$A$400,0)),INDEX(SRC_Perf!$K$5:$K$400,MATCH($H7,SRC_Perf!$A$5:$A$400,0)),"不存在")))))</f>
        <v>—</v>
      </c>
      <c r="U7" s="52" t="s">
        <v>2302</v>
      </c>
      <c r="V7" s="103" t="n">
        <f aca="false">IF(AND($F7="原始數據",$U7&lt;&gt;"連結 SRC"),1,0)</f>
        <v>0</v>
      </c>
      <c r="W7" s="103" t="n">
        <f aca="false">IF(AND($F7="Analogy",OR($H7="—",$H7="")),1,0)</f>
        <v>0</v>
      </c>
      <c r="X7" s="103" t="n">
        <f aca="false">IF(AND(OR($F7="Analogy",$F7="Assumed"),$G7&lt;&gt;"低",$G7&lt;&gt;"高",NOT(ISNUMBER($K7)),NOT(ISNUMBER($L7)),OR($M7="—",$M7="")),1,0)</f>
        <v>0</v>
      </c>
      <c r="Y7" s="103" t="n">
        <f aca="false">IF(AND(OR($F7="Analogy",$F7="Assumed",$F7="Derived（待改公式）",$F7="Derived（公式）"),OR($N7="—",$N7="",$N7=0)),1,0)</f>
        <v>0</v>
      </c>
      <c r="Z7" s="103" t="n">
        <f aca="false">IF(AND($F7="Decision",OR($J7="—",$J7="")),1,0)</f>
        <v>0</v>
      </c>
      <c r="AA7" s="84" t="n">
        <f aca="false">IF(OR($J7="—",$J7=""),0,IF(COUNTIF(Decisions!$A$5:$A$300,$J7)=0,1,0))</f>
        <v>0</v>
      </c>
      <c r="AB7" s="103" t="n">
        <f aca="false">IF(AND($F7="原始數據",$S7&lt;&gt;"Active"),1,0)</f>
        <v>0</v>
      </c>
      <c r="AC7" s="103" t="n">
        <f aca="false">IF(AND(ISNUMBER($K7),ISNUMBER($L7),ISNUMBER($Q7)),IF(OR($Q7&lt;MIN($K7,$L7),$Q7&gt;MAX($K7,$L7)),1,0),0)</f>
        <v>0</v>
      </c>
      <c r="AD7" s="103" t="n">
        <f aca="false">IF(AND(ISNUMBER($T7),$P7="高"),IF($T7=3,1,0),0)</f>
        <v>0</v>
      </c>
      <c r="AE7" s="103" t="n">
        <f aca="false">IF(AND($S7="不存在",$B7="切片一"),1,0)</f>
        <v>0</v>
      </c>
    </row>
    <row r="8" customFormat="false" ht="44" hidden="false" customHeight="false" outlineLevel="0" collapsed="false">
      <c r="A8" s="53" t="s">
        <v>2311</v>
      </c>
      <c r="B8" s="52" t="s">
        <v>2297</v>
      </c>
      <c r="C8" s="53" t="s">
        <v>2298</v>
      </c>
      <c r="D8" s="53" t="s">
        <v>2222</v>
      </c>
      <c r="E8" s="6" t="s">
        <v>72</v>
      </c>
      <c r="F8" s="53" t="s">
        <v>70</v>
      </c>
      <c r="G8" s="52" t="s">
        <v>55</v>
      </c>
      <c r="H8" s="53" t="s">
        <v>554</v>
      </c>
      <c r="I8" s="6" t="s">
        <v>554</v>
      </c>
      <c r="J8" s="53" t="s">
        <v>554</v>
      </c>
      <c r="K8" s="89" t="n">
        <f aca="false">Inputs!$D$9</f>
        <v>1.1</v>
      </c>
      <c r="L8" s="89" t="n">
        <f aca="false">Inputs!$F$9</f>
        <v>1.3</v>
      </c>
      <c r="M8" s="53" t="s">
        <v>554</v>
      </c>
      <c r="N8" s="204" t="str">
        <f aca="false">Inputs!$H$9</f>
        <v>液冷 AI 設施；v4＝1.2。S14</v>
      </c>
      <c r="O8" s="6" t="s">
        <v>2312</v>
      </c>
      <c r="P8" s="52" t="s">
        <v>1078</v>
      </c>
      <c r="Q8" s="89" t="n">
        <f aca="false">Inputs!E9</f>
        <v>1.2</v>
      </c>
      <c r="R8" s="53" t="s">
        <v>554</v>
      </c>
      <c r="S8" s="83" t="str">
        <f aca="false">IF(OR($H8="—",$H8=""),"—",IF(ISNUMBER(MATCH($H8,SRC_HW!$A$5:$A$400,0)),INDEX(SRC_HW!$O$5:$O$400,MATCH($H8,SRC_HW!$A$5:$A$400,0)),IF(ISNUMBER(MATCH($H8,SRC_DC!$A$5:$A$400,0)),INDEX(SRC_DC!$O$5:$O$400,MATCH($H8,SRC_DC!$A$5:$A$400,0)),IF(ISNUMBER(MATCH($H8,SRC_Model!$A$5:$A$400,0)),INDEX(SRC_Model!$O$5:$O$400,MATCH($H8,SRC_Model!$A$5:$A$400,0)),IF(ISNUMBER(MATCH($H8,SRC_Perf!$A$5:$A$400,0)),INDEX(SRC_Perf!$O$5:$O$400,MATCH($H8,SRC_Perf!$A$5:$A$400,0)),"不存在")))))</f>
        <v>—</v>
      </c>
      <c r="T8" s="83" t="str">
        <f aca="false">IF(OR($H8="—",$H8=""),"—",IF(ISNUMBER(MATCH($H8,SRC_HW!$A$5:$A$400,0)),INDEX(SRC_HW!$K$5:$K$400,MATCH($H8,SRC_HW!$A$5:$A$400,0)),IF(ISNUMBER(MATCH($H8,SRC_DC!$A$5:$A$400,0)),INDEX(SRC_DC!$K$5:$K$400,MATCH($H8,SRC_DC!$A$5:$A$400,0)),IF(ISNUMBER(MATCH($H8,SRC_Model!$A$5:$A$400,0)),INDEX(SRC_Model!$K$5:$K$400,MATCH($H8,SRC_Model!$A$5:$A$400,0)),IF(ISNUMBER(MATCH($H8,SRC_Perf!$A$5:$A$400,0)),INDEX(SRC_Perf!$K$5:$K$400,MATCH($H8,SRC_Perf!$A$5:$A$400,0)),"不存在")))))</f>
        <v>—</v>
      </c>
      <c r="U8" s="52" t="s">
        <v>2302</v>
      </c>
      <c r="V8" s="103" t="n">
        <f aca="false">IF(AND($F8="原始數據",$U8&lt;&gt;"連結 SRC"),1,0)</f>
        <v>0</v>
      </c>
      <c r="W8" s="103" t="n">
        <f aca="false">IF(AND($F8="Analogy",OR($H8="—",$H8="")),1,0)</f>
        <v>0</v>
      </c>
      <c r="X8" s="103" t="n">
        <f aca="false">IF(AND(OR($F8="Analogy",$F8="Assumed"),$G8&lt;&gt;"低",$G8&lt;&gt;"高",NOT(ISNUMBER($K8)),NOT(ISNUMBER($L8)),OR($M8="—",$M8="")),1,0)</f>
        <v>0</v>
      </c>
      <c r="Y8" s="103" t="n">
        <f aca="false">IF(AND(OR($F8="Analogy",$F8="Assumed",$F8="Derived（待改公式）",$F8="Derived（公式）"),OR($N8="—",$N8="",$N8=0)),1,0)</f>
        <v>0</v>
      </c>
      <c r="Z8" s="103" t="n">
        <f aca="false">IF(AND($F8="Decision",OR($J8="—",$J8="")),1,0)</f>
        <v>0</v>
      </c>
      <c r="AA8" s="84" t="n">
        <f aca="false">IF(OR($J8="—",$J8=""),0,IF(COUNTIF(Decisions!$A$5:$A$300,$J8)=0,1,0))</f>
        <v>0</v>
      </c>
      <c r="AB8" s="103" t="n">
        <f aca="false">IF(AND($F8="原始數據",$S8&lt;&gt;"Active"),1,0)</f>
        <v>0</v>
      </c>
      <c r="AC8" s="103" t="n">
        <f aca="false">IF(AND(ISNUMBER($K8),ISNUMBER($L8),ISNUMBER($Q8)),IF(OR($Q8&lt;MIN($K8,$L8),$Q8&gt;MAX($K8,$L8)),1,0),0)</f>
        <v>0</v>
      </c>
      <c r="AD8" s="103" t="n">
        <f aca="false">IF(AND(ISNUMBER($T8),$P8="高"),IF($T8=3,1,0),0)</f>
        <v>0</v>
      </c>
      <c r="AE8" s="103" t="n">
        <f aca="false">IF(AND($S8="不存在",$B8="切片一"),1,0)</f>
        <v>0</v>
      </c>
    </row>
    <row r="9" customFormat="false" ht="44" hidden="false" customHeight="false" outlineLevel="0" collapsed="false">
      <c r="A9" s="53" t="s">
        <v>2313</v>
      </c>
      <c r="B9" s="52" t="s">
        <v>2297</v>
      </c>
      <c r="C9" s="53" t="s">
        <v>2298</v>
      </c>
      <c r="D9" s="53" t="s">
        <v>2314</v>
      </c>
      <c r="E9" s="6" t="s">
        <v>72</v>
      </c>
      <c r="F9" s="53" t="s">
        <v>70</v>
      </c>
      <c r="G9" s="52" t="s">
        <v>1078</v>
      </c>
      <c r="H9" s="53" t="s">
        <v>554</v>
      </c>
      <c r="I9" s="6" t="s">
        <v>554</v>
      </c>
      <c r="J9" s="53" t="s">
        <v>554</v>
      </c>
      <c r="K9" s="52"/>
      <c r="L9" s="52"/>
      <c r="M9" s="53" t="s">
        <v>554</v>
      </c>
      <c r="N9" s="204" t="str">
        <f aca="false">Inputs!$H$9</f>
        <v>液冷 AI 設施；v4＝1.2。S14</v>
      </c>
      <c r="O9" s="6" t="s">
        <v>2312</v>
      </c>
      <c r="P9" s="52" t="s">
        <v>1078</v>
      </c>
      <c r="Q9" s="89" t="n">
        <f aca="false">Inputs!D9</f>
        <v>1.1</v>
      </c>
      <c r="R9" s="53" t="s">
        <v>554</v>
      </c>
      <c r="S9" s="83" t="str">
        <f aca="false">IF(OR($H9="—",$H9=""),"—",IF(ISNUMBER(MATCH($H9,SRC_HW!$A$5:$A$400,0)),INDEX(SRC_HW!$O$5:$O$400,MATCH($H9,SRC_HW!$A$5:$A$400,0)),IF(ISNUMBER(MATCH($H9,SRC_DC!$A$5:$A$400,0)),INDEX(SRC_DC!$O$5:$O$400,MATCH($H9,SRC_DC!$A$5:$A$400,0)),IF(ISNUMBER(MATCH($H9,SRC_Model!$A$5:$A$400,0)),INDEX(SRC_Model!$O$5:$O$400,MATCH($H9,SRC_Model!$A$5:$A$400,0)),IF(ISNUMBER(MATCH($H9,SRC_Perf!$A$5:$A$400,0)),INDEX(SRC_Perf!$O$5:$O$400,MATCH($H9,SRC_Perf!$A$5:$A$400,0)),"不存在")))))</f>
        <v>—</v>
      </c>
      <c r="T9" s="83" t="str">
        <f aca="false">IF(OR($H9="—",$H9=""),"—",IF(ISNUMBER(MATCH($H9,SRC_HW!$A$5:$A$400,0)),INDEX(SRC_HW!$K$5:$K$400,MATCH($H9,SRC_HW!$A$5:$A$400,0)),IF(ISNUMBER(MATCH($H9,SRC_DC!$A$5:$A$400,0)),INDEX(SRC_DC!$K$5:$K$400,MATCH($H9,SRC_DC!$A$5:$A$400,0)),IF(ISNUMBER(MATCH($H9,SRC_Model!$A$5:$A$400,0)),INDEX(SRC_Model!$K$5:$K$400,MATCH($H9,SRC_Model!$A$5:$A$400,0)),IF(ISNUMBER(MATCH($H9,SRC_Perf!$A$5:$A$400,0)),INDEX(SRC_Perf!$K$5:$K$400,MATCH($H9,SRC_Perf!$A$5:$A$400,0)),"不存在")))))</f>
        <v>—</v>
      </c>
      <c r="U9" s="52" t="s">
        <v>2302</v>
      </c>
      <c r="V9" s="103" t="n">
        <f aca="false">IF(AND($F9="原始數據",$U9&lt;&gt;"連結 SRC"),1,0)</f>
        <v>0</v>
      </c>
      <c r="W9" s="103" t="n">
        <f aca="false">IF(AND($F9="Analogy",OR($H9="—",$H9="")),1,0)</f>
        <v>0</v>
      </c>
      <c r="X9" s="103" t="n">
        <f aca="false">IF(AND(OR($F9="Analogy",$F9="Assumed"),$G9&lt;&gt;"低",$G9&lt;&gt;"高",NOT(ISNUMBER($K9)),NOT(ISNUMBER($L9)),OR($M9="—",$M9="")),1,0)</f>
        <v>0</v>
      </c>
      <c r="Y9" s="103" t="n">
        <f aca="false">IF(AND(OR($F9="Analogy",$F9="Assumed",$F9="Derived（待改公式）",$F9="Derived（公式）"),OR($N9="—",$N9="",$N9=0)),1,0)</f>
        <v>0</v>
      </c>
      <c r="Z9" s="103" t="n">
        <f aca="false">IF(AND($F9="Decision",OR($J9="—",$J9="")),1,0)</f>
        <v>0</v>
      </c>
      <c r="AA9" s="84" t="n">
        <f aca="false">IF(OR($J9="—",$J9=""),0,IF(COUNTIF(Decisions!$A$5:$A$300,$J9)=0,1,0))</f>
        <v>0</v>
      </c>
      <c r="AB9" s="103" t="n">
        <f aca="false">IF(AND($F9="原始數據",$S9&lt;&gt;"Active"),1,0)</f>
        <v>0</v>
      </c>
      <c r="AC9" s="103" t="n">
        <f aca="false">IF(AND(ISNUMBER($K9),ISNUMBER($L9),ISNUMBER($Q9)),IF(OR($Q9&lt;MIN($K9,$L9),$Q9&gt;MAX($K9,$L9)),1,0),0)</f>
        <v>0</v>
      </c>
      <c r="AD9" s="103" t="n">
        <f aca="false">IF(AND(ISNUMBER($T9),$P9="高"),IF($T9=3,1,0),0)</f>
        <v>0</v>
      </c>
      <c r="AE9" s="103" t="n">
        <f aca="false">IF(AND($S9="不存在",$B9="切片一"),1,0)</f>
        <v>0</v>
      </c>
    </row>
    <row r="10" customFormat="false" ht="44" hidden="false" customHeight="false" outlineLevel="0" collapsed="false">
      <c r="A10" s="53" t="s">
        <v>2315</v>
      </c>
      <c r="B10" s="52" t="s">
        <v>2297</v>
      </c>
      <c r="C10" s="53" t="s">
        <v>2298</v>
      </c>
      <c r="D10" s="53" t="s">
        <v>2316</v>
      </c>
      <c r="E10" s="6" t="s">
        <v>72</v>
      </c>
      <c r="F10" s="53" t="s">
        <v>70</v>
      </c>
      <c r="G10" s="52" t="s">
        <v>1079</v>
      </c>
      <c r="H10" s="53" t="s">
        <v>554</v>
      </c>
      <c r="I10" s="6" t="s">
        <v>554</v>
      </c>
      <c r="J10" s="53" t="s">
        <v>554</v>
      </c>
      <c r="K10" s="52"/>
      <c r="L10" s="52"/>
      <c r="M10" s="53" t="s">
        <v>554</v>
      </c>
      <c r="N10" s="204" t="str">
        <f aca="false">Inputs!$H$9</f>
        <v>液冷 AI 設施；v4＝1.2。S14</v>
      </c>
      <c r="O10" s="6" t="s">
        <v>2312</v>
      </c>
      <c r="P10" s="52" t="s">
        <v>1078</v>
      </c>
      <c r="Q10" s="89" t="n">
        <f aca="false">Inputs!F9</f>
        <v>1.3</v>
      </c>
      <c r="R10" s="53" t="s">
        <v>554</v>
      </c>
      <c r="S10" s="83" t="str">
        <f aca="false">IF(OR($H10="—",$H10=""),"—",IF(ISNUMBER(MATCH($H10,SRC_HW!$A$5:$A$400,0)),INDEX(SRC_HW!$O$5:$O$400,MATCH($H10,SRC_HW!$A$5:$A$400,0)),IF(ISNUMBER(MATCH($H10,SRC_DC!$A$5:$A$400,0)),INDEX(SRC_DC!$O$5:$O$400,MATCH($H10,SRC_DC!$A$5:$A$400,0)),IF(ISNUMBER(MATCH($H10,SRC_Model!$A$5:$A$400,0)),INDEX(SRC_Model!$O$5:$O$400,MATCH($H10,SRC_Model!$A$5:$A$400,0)),IF(ISNUMBER(MATCH($H10,SRC_Perf!$A$5:$A$400,0)),INDEX(SRC_Perf!$O$5:$O$400,MATCH($H10,SRC_Perf!$A$5:$A$400,0)),"不存在")))))</f>
        <v>—</v>
      </c>
      <c r="T10" s="83" t="str">
        <f aca="false">IF(OR($H10="—",$H10=""),"—",IF(ISNUMBER(MATCH($H10,SRC_HW!$A$5:$A$400,0)),INDEX(SRC_HW!$K$5:$K$400,MATCH($H10,SRC_HW!$A$5:$A$400,0)),IF(ISNUMBER(MATCH($H10,SRC_DC!$A$5:$A$400,0)),INDEX(SRC_DC!$K$5:$K$400,MATCH($H10,SRC_DC!$A$5:$A$400,0)),IF(ISNUMBER(MATCH($H10,SRC_Model!$A$5:$A$400,0)),INDEX(SRC_Model!$K$5:$K$400,MATCH($H10,SRC_Model!$A$5:$A$400,0)),IF(ISNUMBER(MATCH($H10,SRC_Perf!$A$5:$A$400,0)),INDEX(SRC_Perf!$K$5:$K$400,MATCH($H10,SRC_Perf!$A$5:$A$400,0)),"不存在")))))</f>
        <v>—</v>
      </c>
      <c r="U10" s="52" t="s">
        <v>2302</v>
      </c>
      <c r="V10" s="103" t="n">
        <f aca="false">IF(AND($F10="原始數據",$U10&lt;&gt;"連結 SRC"),1,0)</f>
        <v>0</v>
      </c>
      <c r="W10" s="103" t="n">
        <f aca="false">IF(AND($F10="Analogy",OR($H10="—",$H10="")),1,0)</f>
        <v>0</v>
      </c>
      <c r="X10" s="103" t="n">
        <f aca="false">IF(AND(OR($F10="Analogy",$F10="Assumed"),$G10&lt;&gt;"低",$G10&lt;&gt;"高",NOT(ISNUMBER($K10)),NOT(ISNUMBER($L10)),OR($M10="—",$M10="")),1,0)</f>
        <v>0</v>
      </c>
      <c r="Y10" s="103" t="n">
        <f aca="false">IF(AND(OR($F10="Analogy",$F10="Assumed",$F10="Derived（待改公式）",$F10="Derived（公式）"),OR($N10="—",$N10="",$N10=0)),1,0)</f>
        <v>0</v>
      </c>
      <c r="Z10" s="103" t="n">
        <f aca="false">IF(AND($F10="Decision",OR($J10="—",$J10="")),1,0)</f>
        <v>0</v>
      </c>
      <c r="AA10" s="84" t="n">
        <f aca="false">IF(OR($J10="—",$J10=""),0,IF(COUNTIF(Decisions!$A$5:$A$300,$J10)=0,1,0))</f>
        <v>0</v>
      </c>
      <c r="AB10" s="103" t="n">
        <f aca="false">IF(AND($F10="原始數據",$S10&lt;&gt;"Active"),1,0)</f>
        <v>0</v>
      </c>
      <c r="AC10" s="103" t="n">
        <f aca="false">IF(AND(ISNUMBER($K10),ISNUMBER($L10),ISNUMBER($Q10)),IF(OR($Q10&lt;MIN($K10,$L10),$Q10&gt;MAX($K10,$L10)),1,0),0)</f>
        <v>0</v>
      </c>
      <c r="AD10" s="103" t="n">
        <f aca="false">IF(AND(ISNUMBER($T10),$P10="高"),IF($T10=3,1,0),0)</f>
        <v>0</v>
      </c>
      <c r="AE10" s="103" t="n">
        <f aca="false">IF(AND($S10="不存在",$B10="切片一"),1,0)</f>
        <v>0</v>
      </c>
    </row>
    <row r="11" customFormat="false" ht="15" hidden="false" customHeight="false" outlineLevel="0" collapsed="false">
      <c r="A11" s="53" t="s">
        <v>2317</v>
      </c>
      <c r="B11" s="52" t="s">
        <v>2297</v>
      </c>
      <c r="C11" s="53" t="s">
        <v>2298</v>
      </c>
      <c r="D11" s="53" t="s">
        <v>2225</v>
      </c>
      <c r="E11" s="5" t="s">
        <v>2318</v>
      </c>
      <c r="F11" s="53" t="s">
        <v>70</v>
      </c>
      <c r="G11" s="52" t="s">
        <v>55</v>
      </c>
      <c r="H11" s="53" t="s">
        <v>554</v>
      </c>
      <c r="I11" s="6" t="s">
        <v>554</v>
      </c>
      <c r="J11" s="53" t="s">
        <v>554</v>
      </c>
      <c r="K11" s="101" t="n">
        <f aca="false">Inputs!$D$10</f>
        <v>0.7</v>
      </c>
      <c r="L11" s="101" t="n">
        <f aca="false">Inputs!$F$10</f>
        <v>0.9</v>
      </c>
      <c r="M11" s="53" t="s">
        <v>554</v>
      </c>
      <c r="N11" s="204" t="str">
        <f aca="false">Inputs!$H$10</f>
        <v>Block 2 以逐步能量模型閉合檢查</v>
      </c>
      <c r="O11" s="6" t="s">
        <v>554</v>
      </c>
      <c r="P11" s="52" t="s">
        <v>1078</v>
      </c>
      <c r="Q11" s="101" t="n">
        <f aca="false">Inputs!E10</f>
        <v>0.8</v>
      </c>
      <c r="R11" s="53" t="s">
        <v>554</v>
      </c>
      <c r="S11" s="83" t="str">
        <f aca="false">IF(OR($H11="—",$H11=""),"—",IF(ISNUMBER(MATCH($H11,SRC_HW!$A$5:$A$400,0)),INDEX(SRC_HW!$O$5:$O$400,MATCH($H11,SRC_HW!$A$5:$A$400,0)),IF(ISNUMBER(MATCH($H11,SRC_DC!$A$5:$A$400,0)),INDEX(SRC_DC!$O$5:$O$400,MATCH($H11,SRC_DC!$A$5:$A$400,0)),IF(ISNUMBER(MATCH($H11,SRC_Model!$A$5:$A$400,0)),INDEX(SRC_Model!$O$5:$O$400,MATCH($H11,SRC_Model!$A$5:$A$400,0)),IF(ISNUMBER(MATCH($H11,SRC_Perf!$A$5:$A$400,0)),INDEX(SRC_Perf!$O$5:$O$400,MATCH($H11,SRC_Perf!$A$5:$A$400,0)),"不存在")))))</f>
        <v>—</v>
      </c>
      <c r="T11" s="83" t="str">
        <f aca="false">IF(OR($H11="—",$H11=""),"—",IF(ISNUMBER(MATCH($H11,SRC_HW!$A$5:$A$400,0)),INDEX(SRC_HW!$K$5:$K$400,MATCH($H11,SRC_HW!$A$5:$A$400,0)),IF(ISNUMBER(MATCH($H11,SRC_DC!$A$5:$A$400,0)),INDEX(SRC_DC!$K$5:$K$400,MATCH($H11,SRC_DC!$A$5:$A$400,0)),IF(ISNUMBER(MATCH($H11,SRC_Model!$A$5:$A$400,0)),INDEX(SRC_Model!$K$5:$K$400,MATCH($H11,SRC_Model!$A$5:$A$400,0)),IF(ISNUMBER(MATCH($H11,SRC_Perf!$A$5:$A$400,0)),INDEX(SRC_Perf!$K$5:$K$400,MATCH($H11,SRC_Perf!$A$5:$A$400,0)),"不存在")))))</f>
        <v>—</v>
      </c>
      <c r="U11" s="52" t="s">
        <v>2302</v>
      </c>
      <c r="V11" s="103" t="n">
        <f aca="false">IF(AND($F11="原始數據",$U11&lt;&gt;"連結 SRC"),1,0)</f>
        <v>0</v>
      </c>
      <c r="W11" s="103" t="n">
        <f aca="false">IF(AND($F11="Analogy",OR($H11="—",$H11="")),1,0)</f>
        <v>0</v>
      </c>
      <c r="X11" s="103" t="n">
        <f aca="false">IF(AND(OR($F11="Analogy",$F11="Assumed"),$G11&lt;&gt;"低",$G11&lt;&gt;"高",NOT(ISNUMBER($K11)),NOT(ISNUMBER($L11)),OR($M11="—",$M11="")),1,0)</f>
        <v>0</v>
      </c>
      <c r="Y11" s="103" t="n">
        <f aca="false">IF(AND(OR($F11="Analogy",$F11="Assumed",$F11="Derived（待改公式）",$F11="Derived（公式）"),OR($N11="—",$N11="",$N11=0)),1,0)</f>
        <v>0</v>
      </c>
      <c r="Z11" s="103" t="n">
        <f aca="false">IF(AND($F11="Decision",OR($J11="—",$J11="")),1,0)</f>
        <v>0</v>
      </c>
      <c r="AA11" s="84" t="n">
        <f aca="false">IF(OR($J11="—",$J11=""),0,IF(COUNTIF(Decisions!$A$5:$A$300,$J11)=0,1,0))</f>
        <v>0</v>
      </c>
      <c r="AB11" s="103" t="n">
        <f aca="false">IF(AND($F11="原始數據",$S11&lt;&gt;"Active"),1,0)</f>
        <v>0</v>
      </c>
      <c r="AC11" s="103" t="n">
        <f aca="false">IF(AND(ISNUMBER($K11),ISNUMBER($L11),ISNUMBER($Q11)),IF(OR($Q11&lt;MIN($K11,$L11),$Q11&gt;MAX($K11,$L11)),1,0),0)</f>
        <v>0</v>
      </c>
      <c r="AD11" s="103" t="n">
        <f aca="false">IF(AND(ISNUMBER($T11),$P11="高"),IF($T11=3,1,0),0)</f>
        <v>0</v>
      </c>
      <c r="AE11" s="103" t="n">
        <f aca="false">IF(AND($S11="不存在",$B11="切片一"),1,0)</f>
        <v>0</v>
      </c>
    </row>
    <row r="12" customFormat="false" ht="15" hidden="false" customHeight="false" outlineLevel="0" collapsed="false">
      <c r="A12" s="53" t="s">
        <v>2319</v>
      </c>
      <c r="B12" s="52" t="s">
        <v>2297</v>
      </c>
      <c r="C12" s="53" t="s">
        <v>2298</v>
      </c>
      <c r="D12" s="53" t="s">
        <v>2320</v>
      </c>
      <c r="E12" s="5" t="s">
        <v>2318</v>
      </c>
      <c r="F12" s="53" t="s">
        <v>70</v>
      </c>
      <c r="G12" s="52" t="s">
        <v>1078</v>
      </c>
      <c r="H12" s="53" t="s">
        <v>554</v>
      </c>
      <c r="I12" s="6" t="s">
        <v>554</v>
      </c>
      <c r="J12" s="53" t="s">
        <v>554</v>
      </c>
      <c r="K12" s="52"/>
      <c r="L12" s="52"/>
      <c r="M12" s="53" t="s">
        <v>554</v>
      </c>
      <c r="N12" s="204" t="str">
        <f aca="false">Inputs!$H$10</f>
        <v>Block 2 以逐步能量模型閉合檢查</v>
      </c>
      <c r="O12" s="6" t="s">
        <v>554</v>
      </c>
      <c r="P12" s="52" t="s">
        <v>1078</v>
      </c>
      <c r="Q12" s="101" t="n">
        <f aca="false">Inputs!D10</f>
        <v>0.7</v>
      </c>
      <c r="R12" s="53" t="s">
        <v>554</v>
      </c>
      <c r="S12" s="83" t="str">
        <f aca="false">IF(OR($H12="—",$H12=""),"—",IF(ISNUMBER(MATCH($H12,SRC_HW!$A$5:$A$400,0)),INDEX(SRC_HW!$O$5:$O$400,MATCH($H12,SRC_HW!$A$5:$A$400,0)),IF(ISNUMBER(MATCH($H12,SRC_DC!$A$5:$A$400,0)),INDEX(SRC_DC!$O$5:$O$400,MATCH($H12,SRC_DC!$A$5:$A$400,0)),IF(ISNUMBER(MATCH($H12,SRC_Model!$A$5:$A$400,0)),INDEX(SRC_Model!$O$5:$O$400,MATCH($H12,SRC_Model!$A$5:$A$400,0)),IF(ISNUMBER(MATCH($H12,SRC_Perf!$A$5:$A$400,0)),INDEX(SRC_Perf!$O$5:$O$400,MATCH($H12,SRC_Perf!$A$5:$A$400,0)),"不存在")))))</f>
        <v>—</v>
      </c>
      <c r="T12" s="83" t="str">
        <f aca="false">IF(OR($H12="—",$H12=""),"—",IF(ISNUMBER(MATCH($H12,SRC_HW!$A$5:$A$400,0)),INDEX(SRC_HW!$K$5:$K$400,MATCH($H12,SRC_HW!$A$5:$A$400,0)),IF(ISNUMBER(MATCH($H12,SRC_DC!$A$5:$A$400,0)),INDEX(SRC_DC!$K$5:$K$400,MATCH($H12,SRC_DC!$A$5:$A$400,0)),IF(ISNUMBER(MATCH($H12,SRC_Model!$A$5:$A$400,0)),INDEX(SRC_Model!$K$5:$K$400,MATCH($H12,SRC_Model!$A$5:$A$400,0)),IF(ISNUMBER(MATCH($H12,SRC_Perf!$A$5:$A$400,0)),INDEX(SRC_Perf!$K$5:$K$400,MATCH($H12,SRC_Perf!$A$5:$A$400,0)),"不存在")))))</f>
        <v>—</v>
      </c>
      <c r="U12" s="52" t="s">
        <v>2302</v>
      </c>
      <c r="V12" s="103" t="n">
        <f aca="false">IF(AND($F12="原始數據",$U12&lt;&gt;"連結 SRC"),1,0)</f>
        <v>0</v>
      </c>
      <c r="W12" s="103" t="n">
        <f aca="false">IF(AND($F12="Analogy",OR($H12="—",$H12="")),1,0)</f>
        <v>0</v>
      </c>
      <c r="X12" s="103" t="n">
        <f aca="false">IF(AND(OR($F12="Analogy",$F12="Assumed"),$G12&lt;&gt;"低",$G12&lt;&gt;"高",NOT(ISNUMBER($K12)),NOT(ISNUMBER($L12)),OR($M12="—",$M12="")),1,0)</f>
        <v>0</v>
      </c>
      <c r="Y12" s="103" t="n">
        <f aca="false">IF(AND(OR($F12="Analogy",$F12="Assumed",$F12="Derived（待改公式）",$F12="Derived（公式）"),OR($N12="—",$N12="",$N12=0)),1,0)</f>
        <v>0</v>
      </c>
      <c r="Z12" s="103" t="n">
        <f aca="false">IF(AND($F12="Decision",OR($J12="—",$J12="")),1,0)</f>
        <v>0</v>
      </c>
      <c r="AA12" s="84" t="n">
        <f aca="false">IF(OR($J12="—",$J12=""),0,IF(COUNTIF(Decisions!$A$5:$A$300,$J12)=0,1,0))</f>
        <v>0</v>
      </c>
      <c r="AB12" s="103" t="n">
        <f aca="false">IF(AND($F12="原始數據",$S12&lt;&gt;"Active"),1,0)</f>
        <v>0</v>
      </c>
      <c r="AC12" s="103" t="n">
        <f aca="false">IF(AND(ISNUMBER($K12),ISNUMBER($L12),ISNUMBER($Q12)),IF(OR($Q12&lt;MIN($K12,$L12),$Q12&gt;MAX($K12,$L12)),1,0),0)</f>
        <v>0</v>
      </c>
      <c r="AD12" s="103" t="n">
        <f aca="false">IF(AND(ISNUMBER($T12),$P12="高"),IF($T12=3,1,0),0)</f>
        <v>0</v>
      </c>
      <c r="AE12" s="103" t="n">
        <f aca="false">IF(AND($S12="不存在",$B12="切片一"),1,0)</f>
        <v>0</v>
      </c>
    </row>
    <row r="13" customFormat="false" ht="15" hidden="false" customHeight="false" outlineLevel="0" collapsed="false">
      <c r="A13" s="53" t="s">
        <v>2321</v>
      </c>
      <c r="B13" s="52" t="s">
        <v>2297</v>
      </c>
      <c r="C13" s="53" t="s">
        <v>2298</v>
      </c>
      <c r="D13" s="53" t="s">
        <v>2322</v>
      </c>
      <c r="E13" s="5" t="s">
        <v>2318</v>
      </c>
      <c r="F13" s="53" t="s">
        <v>70</v>
      </c>
      <c r="G13" s="52" t="s">
        <v>1079</v>
      </c>
      <c r="H13" s="53" t="s">
        <v>554</v>
      </c>
      <c r="I13" s="6" t="s">
        <v>554</v>
      </c>
      <c r="J13" s="53" t="s">
        <v>554</v>
      </c>
      <c r="K13" s="52"/>
      <c r="L13" s="52"/>
      <c r="M13" s="53" t="s">
        <v>554</v>
      </c>
      <c r="N13" s="204" t="str">
        <f aca="false">Inputs!$H$10</f>
        <v>Block 2 以逐步能量模型閉合檢查</v>
      </c>
      <c r="O13" s="6" t="s">
        <v>554</v>
      </c>
      <c r="P13" s="52" t="s">
        <v>1078</v>
      </c>
      <c r="Q13" s="101" t="n">
        <f aca="false">Inputs!F10</f>
        <v>0.9</v>
      </c>
      <c r="R13" s="53" t="s">
        <v>554</v>
      </c>
      <c r="S13" s="83" t="str">
        <f aca="false">IF(OR($H13="—",$H13=""),"—",IF(ISNUMBER(MATCH($H13,SRC_HW!$A$5:$A$400,0)),INDEX(SRC_HW!$O$5:$O$400,MATCH($H13,SRC_HW!$A$5:$A$400,0)),IF(ISNUMBER(MATCH($H13,SRC_DC!$A$5:$A$400,0)),INDEX(SRC_DC!$O$5:$O$400,MATCH($H13,SRC_DC!$A$5:$A$400,0)),IF(ISNUMBER(MATCH($H13,SRC_Model!$A$5:$A$400,0)),INDEX(SRC_Model!$O$5:$O$400,MATCH($H13,SRC_Model!$A$5:$A$400,0)),IF(ISNUMBER(MATCH($H13,SRC_Perf!$A$5:$A$400,0)),INDEX(SRC_Perf!$O$5:$O$400,MATCH($H13,SRC_Perf!$A$5:$A$400,0)),"不存在")))))</f>
        <v>—</v>
      </c>
      <c r="T13" s="83" t="str">
        <f aca="false">IF(OR($H13="—",$H13=""),"—",IF(ISNUMBER(MATCH($H13,SRC_HW!$A$5:$A$400,0)),INDEX(SRC_HW!$K$5:$K$400,MATCH($H13,SRC_HW!$A$5:$A$400,0)),IF(ISNUMBER(MATCH($H13,SRC_DC!$A$5:$A$400,0)),INDEX(SRC_DC!$K$5:$K$400,MATCH($H13,SRC_DC!$A$5:$A$400,0)),IF(ISNUMBER(MATCH($H13,SRC_Model!$A$5:$A$400,0)),INDEX(SRC_Model!$K$5:$K$400,MATCH($H13,SRC_Model!$A$5:$A$400,0)),IF(ISNUMBER(MATCH($H13,SRC_Perf!$A$5:$A$400,0)),INDEX(SRC_Perf!$K$5:$K$400,MATCH($H13,SRC_Perf!$A$5:$A$400,0)),"不存在")))))</f>
        <v>—</v>
      </c>
      <c r="U13" s="52" t="s">
        <v>2302</v>
      </c>
      <c r="V13" s="103" t="n">
        <f aca="false">IF(AND($F13="原始數據",$U13&lt;&gt;"連結 SRC"),1,0)</f>
        <v>0</v>
      </c>
      <c r="W13" s="103" t="n">
        <f aca="false">IF(AND($F13="Analogy",OR($H13="—",$H13="")),1,0)</f>
        <v>0</v>
      </c>
      <c r="X13" s="103" t="n">
        <f aca="false">IF(AND(OR($F13="Analogy",$F13="Assumed"),$G13&lt;&gt;"低",$G13&lt;&gt;"高",NOT(ISNUMBER($K13)),NOT(ISNUMBER($L13)),OR($M13="—",$M13="")),1,0)</f>
        <v>0</v>
      </c>
      <c r="Y13" s="103" t="n">
        <f aca="false">IF(AND(OR($F13="Analogy",$F13="Assumed",$F13="Derived（待改公式）",$F13="Derived（公式）"),OR($N13="—",$N13="",$N13=0)),1,0)</f>
        <v>0</v>
      </c>
      <c r="Z13" s="103" t="n">
        <f aca="false">IF(AND($F13="Decision",OR($J13="—",$J13="")),1,0)</f>
        <v>0</v>
      </c>
      <c r="AA13" s="84" t="n">
        <f aca="false">IF(OR($J13="—",$J13=""),0,IF(COUNTIF(Decisions!$A$5:$A$300,$J13)=0,1,0))</f>
        <v>0</v>
      </c>
      <c r="AB13" s="103" t="n">
        <f aca="false">IF(AND($F13="原始數據",$S13&lt;&gt;"Active"),1,0)</f>
        <v>0</v>
      </c>
      <c r="AC13" s="103" t="n">
        <f aca="false">IF(AND(ISNUMBER($K13),ISNUMBER($L13),ISNUMBER($Q13)),IF(OR($Q13&lt;MIN($K13,$L13),$Q13&gt;MAX($K13,$L13)),1,0),0)</f>
        <v>0</v>
      </c>
      <c r="AD13" s="103" t="n">
        <f aca="false">IF(AND(ISNUMBER($T13),$P13="高"),IF($T13=3,1,0),0)</f>
        <v>0</v>
      </c>
      <c r="AE13" s="103" t="n">
        <f aca="false">IF(AND($S13="不存在",$B13="切片一"),1,0)</f>
        <v>0</v>
      </c>
    </row>
    <row r="14" customFormat="false" ht="29.85" hidden="false" customHeight="false" outlineLevel="0" collapsed="false">
      <c r="A14" s="53" t="s">
        <v>2323</v>
      </c>
      <c r="B14" s="52" t="s">
        <v>2297</v>
      </c>
      <c r="C14" s="53" t="s">
        <v>2298</v>
      </c>
      <c r="D14" s="53" t="s">
        <v>2228</v>
      </c>
      <c r="E14" s="5" t="s">
        <v>78</v>
      </c>
      <c r="F14" s="53" t="s">
        <v>74</v>
      </c>
      <c r="G14" s="52" t="s">
        <v>55</v>
      </c>
      <c r="H14" s="53" t="s">
        <v>2324</v>
      </c>
      <c r="I14" s="5" t="s">
        <v>2325</v>
      </c>
      <c r="J14" s="53" t="s">
        <v>554</v>
      </c>
      <c r="K14" s="89" t="n">
        <f aca="false">Inputs!$D$11</f>
        <v>0.06</v>
      </c>
      <c r="L14" s="89" t="n">
        <f aca="false">Inputs!$F$11</f>
        <v>0.1</v>
      </c>
      <c r="M14" s="53" t="s">
        <v>554</v>
      </c>
      <c r="N14" s="204" t="str">
        <f aca="false">Inputs!$H$11</f>
        <v>EIA 美國工業電價 2026 年約 8.6–8.7¢（S13）；低端為 PPA（v4＝0.06）</v>
      </c>
      <c r="O14" s="6" t="s">
        <v>554</v>
      </c>
      <c r="P14" s="52" t="s">
        <v>1078</v>
      </c>
      <c r="Q14" s="89" t="n">
        <f aca="false">Inputs!E11</f>
        <v>0.08</v>
      </c>
      <c r="R14" s="83" t="n">
        <f aca="false">SRC_DC_006</f>
        <v>0.0871</v>
      </c>
      <c r="S14" s="83" t="str">
        <f aca="false">IF(OR($H14="—",$H14=""),"—",IF(ISNUMBER(MATCH($H14,SRC_HW!$A$5:$A$400,0)),INDEX(SRC_HW!$O$5:$O$400,MATCH($H14,SRC_HW!$A$5:$A$400,0)),IF(ISNUMBER(MATCH($H14,SRC_DC!$A$5:$A$400,0)),INDEX(SRC_DC!$O$5:$O$400,MATCH($H14,SRC_DC!$A$5:$A$400,0)),IF(ISNUMBER(MATCH($H14,SRC_Model!$A$5:$A$400,0)),INDEX(SRC_Model!$O$5:$O$400,MATCH($H14,SRC_Model!$A$5:$A$400,0)),IF(ISNUMBER(MATCH($H14,SRC_Perf!$A$5:$A$400,0)),INDEX(SRC_Perf!$O$5:$O$400,MATCH($H14,SRC_Perf!$A$5:$A$400,0)),"不存在")))))</f>
        <v>Active</v>
      </c>
      <c r="T14" s="83" t="n">
        <f aca="false">IF(OR($H14="—",$H14=""),"—",IF(ISNUMBER(MATCH($H14,SRC_HW!$A$5:$A$400,0)),INDEX(SRC_HW!$K$5:$K$400,MATCH($H14,SRC_HW!$A$5:$A$400,0)),IF(ISNUMBER(MATCH($H14,SRC_DC!$A$5:$A$400,0)),INDEX(SRC_DC!$K$5:$K$400,MATCH($H14,SRC_DC!$A$5:$A$400,0)),IF(ISNUMBER(MATCH($H14,SRC_Model!$A$5:$A$400,0)),INDEX(SRC_Model!$K$5:$K$400,MATCH($H14,SRC_Model!$A$5:$A$400,0)),IF(ISNUMBER(MATCH($H14,SRC_Perf!$A$5:$A$400,0)),INDEX(SRC_Perf!$K$5:$K$400,MATCH($H14,SRC_Perf!$A$5:$A$400,0)),"不存在")))))</f>
        <v>2</v>
      </c>
      <c r="U14" s="52" t="s">
        <v>2302</v>
      </c>
      <c r="V14" s="103" t="n">
        <f aca="false">IF(AND($F14="原始數據",$U14&lt;&gt;"連結 SRC"),1,0)</f>
        <v>0</v>
      </c>
      <c r="W14" s="103" t="n">
        <f aca="false">IF(AND($F14="Analogy",OR($H14="—",$H14="")),1,0)</f>
        <v>0</v>
      </c>
      <c r="X14" s="103" t="n">
        <f aca="false">IF(AND(OR($F14="Analogy",$F14="Assumed"),$G14&lt;&gt;"低",$G14&lt;&gt;"高",NOT(ISNUMBER($K14)),NOT(ISNUMBER($L14)),OR($M14="—",$M14="")),1,0)</f>
        <v>0</v>
      </c>
      <c r="Y14" s="103" t="n">
        <f aca="false">IF(AND(OR($F14="Analogy",$F14="Assumed",$F14="Derived（待改公式）",$F14="Derived（公式）"),OR($N14="—",$N14="",$N14=0)),1,0)</f>
        <v>0</v>
      </c>
      <c r="Z14" s="103" t="n">
        <f aca="false">IF(AND($F14="Decision",OR($J14="—",$J14="")),1,0)</f>
        <v>0</v>
      </c>
      <c r="AA14" s="84" t="n">
        <f aca="false">IF(OR($J14="—",$J14=""),0,IF(COUNTIF(Decisions!$A$5:$A$300,$J14)=0,1,0))</f>
        <v>0</v>
      </c>
      <c r="AB14" s="103" t="n">
        <f aca="false">IF(AND($F14="原始數據",$S14&lt;&gt;"Active"),1,0)</f>
        <v>0</v>
      </c>
      <c r="AC14" s="103" t="n">
        <f aca="false">IF(AND(ISNUMBER($K14),ISNUMBER($L14),ISNUMBER($Q14)),IF(OR($Q14&lt;MIN($K14,$L14),$Q14&gt;MAX($K14,$L14)),1,0),0)</f>
        <v>0</v>
      </c>
      <c r="AD14" s="103" t="n">
        <f aca="false">IF(AND(ISNUMBER($T14),$P14="高"),IF($T14=3,1,0),0)</f>
        <v>0</v>
      </c>
      <c r="AE14" s="103" t="n">
        <f aca="false">IF(AND($S14="不存在",$B14="切片一"),1,0)</f>
        <v>0</v>
      </c>
    </row>
    <row r="15" customFormat="false" ht="29.85" hidden="false" customHeight="false" outlineLevel="0" collapsed="false">
      <c r="A15" s="53" t="s">
        <v>2326</v>
      </c>
      <c r="B15" s="52" t="s">
        <v>2297</v>
      </c>
      <c r="C15" s="53" t="s">
        <v>2298</v>
      </c>
      <c r="D15" s="53" t="s">
        <v>2327</v>
      </c>
      <c r="E15" s="5" t="s">
        <v>78</v>
      </c>
      <c r="F15" s="53" t="s">
        <v>74</v>
      </c>
      <c r="G15" s="52" t="s">
        <v>1078</v>
      </c>
      <c r="H15" s="53" t="s">
        <v>2324</v>
      </c>
      <c r="I15" s="5" t="s">
        <v>2325</v>
      </c>
      <c r="J15" s="53" t="s">
        <v>554</v>
      </c>
      <c r="K15" s="52"/>
      <c r="L15" s="52"/>
      <c r="M15" s="53" t="s">
        <v>554</v>
      </c>
      <c r="N15" s="204" t="str">
        <f aca="false">Inputs!$H$11</f>
        <v>EIA 美國工業電價 2026 年約 8.6–8.7¢（S13）；低端為 PPA（v4＝0.06）</v>
      </c>
      <c r="O15" s="6" t="s">
        <v>554</v>
      </c>
      <c r="P15" s="52" t="s">
        <v>1078</v>
      </c>
      <c r="Q15" s="89" t="n">
        <f aca="false">Inputs!D11</f>
        <v>0.06</v>
      </c>
      <c r="R15" s="83" t="n">
        <f aca="false">SRC_DC_006</f>
        <v>0.0871</v>
      </c>
      <c r="S15" s="83" t="str">
        <f aca="false">IF(OR($H15="—",$H15=""),"—",IF(ISNUMBER(MATCH($H15,SRC_HW!$A$5:$A$400,0)),INDEX(SRC_HW!$O$5:$O$400,MATCH($H15,SRC_HW!$A$5:$A$400,0)),IF(ISNUMBER(MATCH($H15,SRC_DC!$A$5:$A$400,0)),INDEX(SRC_DC!$O$5:$O$400,MATCH($H15,SRC_DC!$A$5:$A$400,0)),IF(ISNUMBER(MATCH($H15,SRC_Model!$A$5:$A$400,0)),INDEX(SRC_Model!$O$5:$O$400,MATCH($H15,SRC_Model!$A$5:$A$400,0)),IF(ISNUMBER(MATCH($H15,SRC_Perf!$A$5:$A$400,0)),INDEX(SRC_Perf!$O$5:$O$400,MATCH($H15,SRC_Perf!$A$5:$A$400,0)),"不存在")))))</f>
        <v>Active</v>
      </c>
      <c r="T15" s="83" t="n">
        <f aca="false">IF(OR($H15="—",$H15=""),"—",IF(ISNUMBER(MATCH($H15,SRC_HW!$A$5:$A$400,0)),INDEX(SRC_HW!$K$5:$K$400,MATCH($H15,SRC_HW!$A$5:$A$400,0)),IF(ISNUMBER(MATCH($H15,SRC_DC!$A$5:$A$400,0)),INDEX(SRC_DC!$K$5:$K$400,MATCH($H15,SRC_DC!$A$5:$A$400,0)),IF(ISNUMBER(MATCH($H15,SRC_Model!$A$5:$A$400,0)),INDEX(SRC_Model!$K$5:$K$400,MATCH($H15,SRC_Model!$A$5:$A$400,0)),IF(ISNUMBER(MATCH($H15,SRC_Perf!$A$5:$A$400,0)),INDEX(SRC_Perf!$K$5:$K$400,MATCH($H15,SRC_Perf!$A$5:$A$400,0)),"不存在")))))</f>
        <v>2</v>
      </c>
      <c r="U15" s="52" t="s">
        <v>2302</v>
      </c>
      <c r="V15" s="103" t="n">
        <f aca="false">IF(AND($F15="原始數據",$U15&lt;&gt;"連結 SRC"),1,0)</f>
        <v>0</v>
      </c>
      <c r="W15" s="103" t="n">
        <f aca="false">IF(AND($F15="Analogy",OR($H15="—",$H15="")),1,0)</f>
        <v>0</v>
      </c>
      <c r="X15" s="103" t="n">
        <f aca="false">IF(AND(OR($F15="Analogy",$F15="Assumed"),$G15&lt;&gt;"低",$G15&lt;&gt;"高",NOT(ISNUMBER($K15)),NOT(ISNUMBER($L15)),OR($M15="—",$M15="")),1,0)</f>
        <v>0</v>
      </c>
      <c r="Y15" s="103" t="n">
        <f aca="false">IF(AND(OR($F15="Analogy",$F15="Assumed",$F15="Derived（待改公式）",$F15="Derived（公式）"),OR($N15="—",$N15="",$N15=0)),1,0)</f>
        <v>0</v>
      </c>
      <c r="Z15" s="103" t="n">
        <f aca="false">IF(AND($F15="Decision",OR($J15="—",$J15="")),1,0)</f>
        <v>0</v>
      </c>
      <c r="AA15" s="84" t="n">
        <f aca="false">IF(OR($J15="—",$J15=""),0,IF(COUNTIF(Decisions!$A$5:$A$300,$J15)=0,1,0))</f>
        <v>0</v>
      </c>
      <c r="AB15" s="103" t="n">
        <f aca="false">IF(AND($F15="原始數據",$S15&lt;&gt;"Active"),1,0)</f>
        <v>0</v>
      </c>
      <c r="AC15" s="103" t="n">
        <f aca="false">IF(AND(ISNUMBER($K15),ISNUMBER($L15),ISNUMBER($Q15)),IF(OR($Q15&lt;MIN($K15,$L15),$Q15&gt;MAX($K15,$L15)),1,0),0)</f>
        <v>0</v>
      </c>
      <c r="AD15" s="103" t="n">
        <f aca="false">IF(AND(ISNUMBER($T15),$P15="高"),IF($T15=3,1,0),0)</f>
        <v>0</v>
      </c>
      <c r="AE15" s="103" t="n">
        <f aca="false">IF(AND($S15="不存在",$B15="切片一"),1,0)</f>
        <v>0</v>
      </c>
    </row>
    <row r="16" customFormat="false" ht="29.85" hidden="false" customHeight="false" outlineLevel="0" collapsed="false">
      <c r="A16" s="53" t="s">
        <v>2328</v>
      </c>
      <c r="B16" s="52" t="s">
        <v>2297</v>
      </c>
      <c r="C16" s="53" t="s">
        <v>2298</v>
      </c>
      <c r="D16" s="53" t="s">
        <v>2329</v>
      </c>
      <c r="E16" s="5" t="s">
        <v>78</v>
      </c>
      <c r="F16" s="53" t="s">
        <v>74</v>
      </c>
      <c r="G16" s="52" t="s">
        <v>1079</v>
      </c>
      <c r="H16" s="53" t="s">
        <v>2324</v>
      </c>
      <c r="I16" s="5" t="s">
        <v>2325</v>
      </c>
      <c r="J16" s="53" t="s">
        <v>554</v>
      </c>
      <c r="K16" s="52"/>
      <c r="L16" s="52"/>
      <c r="M16" s="53" t="s">
        <v>554</v>
      </c>
      <c r="N16" s="204" t="str">
        <f aca="false">Inputs!$H$11</f>
        <v>EIA 美國工業電價 2026 年約 8.6–8.7¢（S13）；低端為 PPA（v4＝0.06）</v>
      </c>
      <c r="O16" s="6" t="s">
        <v>554</v>
      </c>
      <c r="P16" s="52" t="s">
        <v>1078</v>
      </c>
      <c r="Q16" s="89" t="n">
        <f aca="false">Inputs!F11</f>
        <v>0.1</v>
      </c>
      <c r="R16" s="83" t="n">
        <f aca="false">SRC_DC_006</f>
        <v>0.0871</v>
      </c>
      <c r="S16" s="83" t="str">
        <f aca="false">IF(OR($H16="—",$H16=""),"—",IF(ISNUMBER(MATCH($H16,SRC_HW!$A$5:$A$400,0)),INDEX(SRC_HW!$O$5:$O$400,MATCH($H16,SRC_HW!$A$5:$A$400,0)),IF(ISNUMBER(MATCH($H16,SRC_DC!$A$5:$A$400,0)),INDEX(SRC_DC!$O$5:$O$400,MATCH($H16,SRC_DC!$A$5:$A$400,0)),IF(ISNUMBER(MATCH($H16,SRC_Model!$A$5:$A$400,0)),INDEX(SRC_Model!$O$5:$O$400,MATCH($H16,SRC_Model!$A$5:$A$400,0)),IF(ISNUMBER(MATCH($H16,SRC_Perf!$A$5:$A$400,0)),INDEX(SRC_Perf!$O$5:$O$400,MATCH($H16,SRC_Perf!$A$5:$A$400,0)),"不存在")))))</f>
        <v>Active</v>
      </c>
      <c r="T16" s="83" t="n">
        <f aca="false">IF(OR($H16="—",$H16=""),"—",IF(ISNUMBER(MATCH($H16,SRC_HW!$A$5:$A$400,0)),INDEX(SRC_HW!$K$5:$K$400,MATCH($H16,SRC_HW!$A$5:$A$400,0)),IF(ISNUMBER(MATCH($H16,SRC_DC!$A$5:$A$400,0)),INDEX(SRC_DC!$K$5:$K$400,MATCH($H16,SRC_DC!$A$5:$A$400,0)),IF(ISNUMBER(MATCH($H16,SRC_Model!$A$5:$A$400,0)),INDEX(SRC_Model!$K$5:$K$400,MATCH($H16,SRC_Model!$A$5:$A$400,0)),IF(ISNUMBER(MATCH($H16,SRC_Perf!$A$5:$A$400,0)),INDEX(SRC_Perf!$K$5:$K$400,MATCH($H16,SRC_Perf!$A$5:$A$400,0)),"不存在")))))</f>
        <v>2</v>
      </c>
      <c r="U16" s="52" t="s">
        <v>2302</v>
      </c>
      <c r="V16" s="103" t="n">
        <f aca="false">IF(AND($F16="原始數據",$U16&lt;&gt;"連結 SRC"),1,0)</f>
        <v>0</v>
      </c>
      <c r="W16" s="103" t="n">
        <f aca="false">IF(AND($F16="Analogy",OR($H16="—",$H16="")),1,0)</f>
        <v>0</v>
      </c>
      <c r="X16" s="103" t="n">
        <f aca="false">IF(AND(OR($F16="Analogy",$F16="Assumed"),$G16&lt;&gt;"低",$G16&lt;&gt;"高",NOT(ISNUMBER($K16)),NOT(ISNUMBER($L16)),OR($M16="—",$M16="")),1,0)</f>
        <v>0</v>
      </c>
      <c r="Y16" s="103" t="n">
        <f aca="false">IF(AND(OR($F16="Analogy",$F16="Assumed",$F16="Derived（待改公式）",$F16="Derived（公式）"),OR($N16="—",$N16="",$N16=0)),1,0)</f>
        <v>0</v>
      </c>
      <c r="Z16" s="103" t="n">
        <f aca="false">IF(AND($F16="Decision",OR($J16="—",$J16="")),1,0)</f>
        <v>0</v>
      </c>
      <c r="AA16" s="84" t="n">
        <f aca="false">IF(OR($J16="—",$J16=""),0,IF(COUNTIF(Decisions!$A$5:$A$300,$J16)=0,1,0))</f>
        <v>0</v>
      </c>
      <c r="AB16" s="103" t="n">
        <f aca="false">IF(AND($F16="原始數據",$S16&lt;&gt;"Active"),1,0)</f>
        <v>0</v>
      </c>
      <c r="AC16" s="103" t="n">
        <f aca="false">IF(AND(ISNUMBER($K16),ISNUMBER($L16),ISNUMBER($Q16)),IF(OR($Q16&lt;MIN($K16,$L16),$Q16&gt;MAX($K16,$L16)),1,0),0)</f>
        <v>0</v>
      </c>
      <c r="AD16" s="103" t="n">
        <f aca="false">IF(AND(ISNUMBER($T16),$P16="高"),IF($T16=3,1,0),0)</f>
        <v>0</v>
      </c>
      <c r="AE16" s="103" t="n">
        <f aca="false">IF(AND($S16="不存在",$B16="切片一"),1,0)</f>
        <v>0</v>
      </c>
    </row>
    <row r="17" customFormat="false" ht="41" hidden="false" customHeight="false" outlineLevel="0" collapsed="false">
      <c r="A17" s="53" t="s">
        <v>2330</v>
      </c>
      <c r="B17" s="52" t="s">
        <v>2297</v>
      </c>
      <c r="C17" s="53" t="s">
        <v>2298</v>
      </c>
      <c r="D17" s="53" t="s">
        <v>2331</v>
      </c>
      <c r="E17" s="6" t="s">
        <v>83</v>
      </c>
      <c r="F17" s="53" t="s">
        <v>74</v>
      </c>
      <c r="G17" s="52" t="s">
        <v>55</v>
      </c>
      <c r="H17" s="53" t="s">
        <v>2332</v>
      </c>
      <c r="I17" s="5" t="s">
        <v>2325</v>
      </c>
      <c r="J17" s="53" t="s">
        <v>554</v>
      </c>
      <c r="K17" s="101" t="n">
        <f aca="false">Inputs!$D$13</f>
        <v>0.05</v>
      </c>
      <c r="L17" s="101" t="n">
        <f aca="false">Inputs!$F$13</f>
        <v>0.15</v>
      </c>
      <c r="M17" s="53" t="s">
        <v>554</v>
      </c>
      <c r="N17" s="204" t="str">
        <f aca="false">Inputs!$H$13</f>
        <v>1,024 GPU 叢集網路約為 GPU BOM 4–8%（S10）；GW 級多一層以上交換，取 5–15%</v>
      </c>
      <c r="O17" s="6" t="s">
        <v>554</v>
      </c>
      <c r="P17" s="52" t="s">
        <v>1078</v>
      </c>
      <c r="Q17" s="101" t="n">
        <f aca="false">Inputs!E13</f>
        <v>0.1</v>
      </c>
      <c r="R17" s="83" t="n">
        <f aca="false">SRC_DC_001_Lo</f>
        <v>0.04</v>
      </c>
      <c r="S17" s="83" t="str">
        <f aca="false">IF(OR($H17="—",$H17=""),"—",IF(ISNUMBER(MATCH($H17,SRC_HW!$A$5:$A$400,0)),INDEX(SRC_HW!$O$5:$O$400,MATCH($H17,SRC_HW!$A$5:$A$400,0)),IF(ISNUMBER(MATCH($H17,SRC_DC!$A$5:$A$400,0)),INDEX(SRC_DC!$O$5:$O$400,MATCH($H17,SRC_DC!$A$5:$A$400,0)),IF(ISNUMBER(MATCH($H17,SRC_Model!$A$5:$A$400,0)),INDEX(SRC_Model!$O$5:$O$400,MATCH($H17,SRC_Model!$A$5:$A$400,0)),IF(ISNUMBER(MATCH($H17,SRC_Perf!$A$5:$A$400,0)),INDEX(SRC_Perf!$O$5:$O$400,MATCH($H17,SRC_Perf!$A$5:$A$400,0)),"不存在")))))</f>
        <v>Active</v>
      </c>
      <c r="T17" s="83" t="n">
        <f aca="false">IF(OR($H17="—",$H17=""),"—",IF(ISNUMBER(MATCH($H17,SRC_HW!$A$5:$A$400,0)),INDEX(SRC_HW!$K$5:$K$400,MATCH($H17,SRC_HW!$A$5:$A$400,0)),IF(ISNUMBER(MATCH($H17,SRC_DC!$A$5:$A$400,0)),INDEX(SRC_DC!$K$5:$K$400,MATCH($H17,SRC_DC!$A$5:$A$400,0)),IF(ISNUMBER(MATCH($H17,SRC_Model!$A$5:$A$400,0)),INDEX(SRC_Model!$K$5:$K$400,MATCH($H17,SRC_Model!$A$5:$A$400,0)),IF(ISNUMBER(MATCH($H17,SRC_Perf!$A$5:$A$400,0)),INDEX(SRC_Perf!$K$5:$K$400,MATCH($H17,SRC_Perf!$A$5:$A$400,0)),"不存在")))))</f>
        <v>3</v>
      </c>
      <c r="U17" s="52" t="s">
        <v>2302</v>
      </c>
      <c r="V17" s="103" t="n">
        <f aca="false">IF(AND($F17="原始數據",$U17&lt;&gt;"連結 SRC"),1,0)</f>
        <v>0</v>
      </c>
      <c r="W17" s="103" t="n">
        <f aca="false">IF(AND($F17="Analogy",OR($H17="—",$H17="")),1,0)</f>
        <v>0</v>
      </c>
      <c r="X17" s="103" t="n">
        <f aca="false">IF(AND(OR($F17="Analogy",$F17="Assumed"),$G17&lt;&gt;"低",$G17&lt;&gt;"高",NOT(ISNUMBER($K17)),NOT(ISNUMBER($L17)),OR($M17="—",$M17="")),1,0)</f>
        <v>0</v>
      </c>
      <c r="Y17" s="103" t="n">
        <f aca="false">IF(AND(OR($F17="Analogy",$F17="Assumed",$F17="Derived（待改公式）",$F17="Derived（公式）"),OR($N17="—",$N17="",$N17=0)),1,0)</f>
        <v>0</v>
      </c>
      <c r="Z17" s="103" t="n">
        <f aca="false">IF(AND($F17="Decision",OR($J17="—",$J17="")),1,0)</f>
        <v>0</v>
      </c>
      <c r="AA17" s="84" t="n">
        <f aca="false">IF(OR($J17="—",$J17=""),0,IF(COUNTIF(Decisions!$A$5:$A$300,$J17)=0,1,0))</f>
        <v>0</v>
      </c>
      <c r="AB17" s="103" t="n">
        <f aca="false">IF(AND($F17="原始數據",$S17&lt;&gt;"Active"),1,0)</f>
        <v>0</v>
      </c>
      <c r="AC17" s="103" t="n">
        <f aca="false">IF(AND(ISNUMBER($K17),ISNUMBER($L17),ISNUMBER($Q17)),IF(OR($Q17&lt;MIN($K17,$L17),$Q17&gt;MAX($K17,$L17)),1,0),0)</f>
        <v>0</v>
      </c>
      <c r="AD17" s="103" t="n">
        <f aca="false">IF(AND(ISNUMBER($T17),$P17="高"),IF($T17=3,1,0),0)</f>
        <v>0</v>
      </c>
      <c r="AE17" s="103" t="n">
        <f aca="false">IF(AND($S17="不存在",$B17="切片一"),1,0)</f>
        <v>0</v>
      </c>
    </row>
    <row r="18" customFormat="false" ht="41" hidden="false" customHeight="false" outlineLevel="0" collapsed="false">
      <c r="A18" s="53" t="s">
        <v>2333</v>
      </c>
      <c r="B18" s="52" t="s">
        <v>2297</v>
      </c>
      <c r="C18" s="53" t="s">
        <v>2298</v>
      </c>
      <c r="D18" s="53" t="s">
        <v>2334</v>
      </c>
      <c r="E18" s="6" t="s">
        <v>83</v>
      </c>
      <c r="F18" s="53" t="s">
        <v>74</v>
      </c>
      <c r="G18" s="52" t="s">
        <v>1078</v>
      </c>
      <c r="H18" s="53" t="s">
        <v>2332</v>
      </c>
      <c r="I18" s="5" t="s">
        <v>2325</v>
      </c>
      <c r="J18" s="53" t="s">
        <v>554</v>
      </c>
      <c r="K18" s="52"/>
      <c r="L18" s="52"/>
      <c r="M18" s="53" t="s">
        <v>554</v>
      </c>
      <c r="N18" s="204" t="str">
        <f aca="false">Inputs!$H$13</f>
        <v>1,024 GPU 叢集網路約為 GPU BOM 4–8%（S10）；GW 級多一層以上交換，取 5–15%</v>
      </c>
      <c r="O18" s="6" t="s">
        <v>554</v>
      </c>
      <c r="P18" s="52" t="s">
        <v>1078</v>
      </c>
      <c r="Q18" s="101" t="n">
        <f aca="false">Inputs!D13</f>
        <v>0.05</v>
      </c>
      <c r="R18" s="83" t="n">
        <f aca="false">SRC_DC_001_Lo</f>
        <v>0.04</v>
      </c>
      <c r="S18" s="83" t="str">
        <f aca="false">IF(OR($H18="—",$H18=""),"—",IF(ISNUMBER(MATCH($H18,SRC_HW!$A$5:$A$400,0)),INDEX(SRC_HW!$O$5:$O$400,MATCH($H18,SRC_HW!$A$5:$A$400,0)),IF(ISNUMBER(MATCH($H18,SRC_DC!$A$5:$A$400,0)),INDEX(SRC_DC!$O$5:$O$400,MATCH($H18,SRC_DC!$A$5:$A$400,0)),IF(ISNUMBER(MATCH($H18,SRC_Model!$A$5:$A$400,0)),INDEX(SRC_Model!$O$5:$O$400,MATCH($H18,SRC_Model!$A$5:$A$400,0)),IF(ISNUMBER(MATCH($H18,SRC_Perf!$A$5:$A$400,0)),INDEX(SRC_Perf!$O$5:$O$400,MATCH($H18,SRC_Perf!$A$5:$A$400,0)),"不存在")))))</f>
        <v>Active</v>
      </c>
      <c r="T18" s="83" t="n">
        <f aca="false">IF(OR($H18="—",$H18=""),"—",IF(ISNUMBER(MATCH($H18,SRC_HW!$A$5:$A$400,0)),INDEX(SRC_HW!$K$5:$K$400,MATCH($H18,SRC_HW!$A$5:$A$400,0)),IF(ISNUMBER(MATCH($H18,SRC_DC!$A$5:$A$400,0)),INDEX(SRC_DC!$K$5:$K$400,MATCH($H18,SRC_DC!$A$5:$A$400,0)),IF(ISNUMBER(MATCH($H18,SRC_Model!$A$5:$A$400,0)),INDEX(SRC_Model!$K$5:$K$400,MATCH($H18,SRC_Model!$A$5:$A$400,0)),IF(ISNUMBER(MATCH($H18,SRC_Perf!$A$5:$A$400,0)),INDEX(SRC_Perf!$K$5:$K$400,MATCH($H18,SRC_Perf!$A$5:$A$400,0)),"不存在")))))</f>
        <v>3</v>
      </c>
      <c r="U18" s="52" t="s">
        <v>2302</v>
      </c>
      <c r="V18" s="103" t="n">
        <f aca="false">IF(AND($F18="原始數據",$U18&lt;&gt;"連結 SRC"),1,0)</f>
        <v>0</v>
      </c>
      <c r="W18" s="103" t="n">
        <f aca="false">IF(AND($F18="Analogy",OR($H18="—",$H18="")),1,0)</f>
        <v>0</v>
      </c>
      <c r="X18" s="103" t="n">
        <f aca="false">IF(AND(OR($F18="Analogy",$F18="Assumed"),$G18&lt;&gt;"低",$G18&lt;&gt;"高",NOT(ISNUMBER($K18)),NOT(ISNUMBER($L18)),OR($M18="—",$M18="")),1,0)</f>
        <v>0</v>
      </c>
      <c r="Y18" s="103" t="n">
        <f aca="false">IF(AND(OR($F18="Analogy",$F18="Assumed",$F18="Derived（待改公式）",$F18="Derived（公式）"),OR($N18="—",$N18="",$N18=0)),1,0)</f>
        <v>0</v>
      </c>
      <c r="Z18" s="103" t="n">
        <f aca="false">IF(AND($F18="Decision",OR($J18="—",$J18="")),1,0)</f>
        <v>0</v>
      </c>
      <c r="AA18" s="84" t="n">
        <f aca="false">IF(OR($J18="—",$J18=""),0,IF(COUNTIF(Decisions!$A$5:$A$300,$J18)=0,1,0))</f>
        <v>0</v>
      </c>
      <c r="AB18" s="103" t="n">
        <f aca="false">IF(AND($F18="原始數據",$S18&lt;&gt;"Active"),1,0)</f>
        <v>0</v>
      </c>
      <c r="AC18" s="103" t="n">
        <f aca="false">IF(AND(ISNUMBER($K18),ISNUMBER($L18),ISNUMBER($Q18)),IF(OR($Q18&lt;MIN($K18,$L18),$Q18&gt;MAX($K18,$L18)),1,0),0)</f>
        <v>0</v>
      </c>
      <c r="AD18" s="103" t="n">
        <f aca="false">IF(AND(ISNUMBER($T18),$P18="高"),IF($T18=3,1,0),0)</f>
        <v>0</v>
      </c>
      <c r="AE18" s="103" t="n">
        <f aca="false">IF(AND($S18="不存在",$B18="切片一"),1,0)</f>
        <v>0</v>
      </c>
    </row>
    <row r="19" customFormat="false" ht="15" hidden="false" customHeight="false" outlineLevel="0" collapsed="false">
      <c r="A19" s="53" t="s">
        <v>2335</v>
      </c>
      <c r="B19" s="52" t="s">
        <v>2297</v>
      </c>
      <c r="C19" s="53" t="s">
        <v>2298</v>
      </c>
      <c r="D19" s="53" t="s">
        <v>2336</v>
      </c>
      <c r="E19" s="6" t="s">
        <v>83</v>
      </c>
      <c r="F19" s="52" t="s">
        <v>2337</v>
      </c>
      <c r="G19" s="52" t="s">
        <v>2299</v>
      </c>
      <c r="H19" s="53" t="s">
        <v>2338</v>
      </c>
      <c r="I19" s="5" t="s">
        <v>2339</v>
      </c>
      <c r="J19" s="53" t="s">
        <v>554</v>
      </c>
      <c r="K19" s="52"/>
      <c r="L19" s="52"/>
      <c r="M19" s="53" t="s">
        <v>554</v>
      </c>
      <c r="N19" s="5" t="s">
        <v>2340</v>
      </c>
      <c r="O19" s="6" t="s">
        <v>554</v>
      </c>
      <c r="P19" s="52" t="s">
        <v>1078</v>
      </c>
      <c r="Q19" s="101" t="n">
        <f aca="false">Inputs!F13</f>
        <v>0.15</v>
      </c>
      <c r="R19" s="83" t="n">
        <f aca="false">SRC_DC_002</f>
        <v>0.15</v>
      </c>
      <c r="S19" s="83" t="str">
        <f aca="false">IF(OR($H19="—",$H19=""),"—",IF(ISNUMBER(MATCH($H19,SRC_HW!$A$5:$A$400,0)),INDEX(SRC_HW!$O$5:$O$400,MATCH($H19,SRC_HW!$A$5:$A$400,0)),IF(ISNUMBER(MATCH($H19,SRC_DC!$A$5:$A$400,0)),INDEX(SRC_DC!$O$5:$O$400,MATCH($H19,SRC_DC!$A$5:$A$400,0)),IF(ISNUMBER(MATCH($H19,SRC_Model!$A$5:$A$400,0)),INDEX(SRC_Model!$O$5:$O$400,MATCH($H19,SRC_Model!$A$5:$A$400,0)),IF(ISNUMBER(MATCH($H19,SRC_Perf!$A$5:$A$400,0)),INDEX(SRC_Perf!$O$5:$O$400,MATCH($H19,SRC_Perf!$A$5:$A$400,0)),"不存在")))))</f>
        <v>Active</v>
      </c>
      <c r="T19" s="83" t="n">
        <f aca="false">IF(OR($H19="—",$H19=""),"—",IF(ISNUMBER(MATCH($H19,SRC_HW!$A$5:$A$400,0)),INDEX(SRC_HW!$K$5:$K$400,MATCH($H19,SRC_HW!$A$5:$A$400,0)),IF(ISNUMBER(MATCH($H19,SRC_DC!$A$5:$A$400,0)),INDEX(SRC_DC!$K$5:$K$400,MATCH($H19,SRC_DC!$A$5:$A$400,0)),IF(ISNUMBER(MATCH($H19,SRC_Model!$A$5:$A$400,0)),INDEX(SRC_Model!$K$5:$K$400,MATCH($H19,SRC_Model!$A$5:$A$400,0)),IF(ISNUMBER(MATCH($H19,SRC_Perf!$A$5:$A$400,0)),INDEX(SRC_Perf!$K$5:$K$400,MATCH($H19,SRC_Perf!$A$5:$A$400,0)),"不存在")))))</f>
        <v>3</v>
      </c>
      <c r="U19" s="52" t="s">
        <v>2341</v>
      </c>
      <c r="V19" s="103" t="n">
        <f aca="false">IF(AND($F19="原始數據",$U19&lt;&gt;"連結 SRC"),1,0)</f>
        <v>0</v>
      </c>
      <c r="W19" s="103" t="n">
        <f aca="false">IF(AND($F19="Analogy",OR($H19="—",$H19="")),1,0)</f>
        <v>0</v>
      </c>
      <c r="X19" s="103" t="n">
        <f aca="false">IF(AND(OR($F19="Analogy",$F19="Assumed"),$G19&lt;&gt;"低",$G19&lt;&gt;"高",NOT(ISNUMBER($K19)),NOT(ISNUMBER($L19)),OR($M19="—",$M19="")),1,0)</f>
        <v>0</v>
      </c>
      <c r="Y19" s="103" t="n">
        <f aca="false">IF(AND(OR($F19="Analogy",$F19="Assumed",$F19="Derived（待改公式）",$F19="Derived（公式）"),OR($N19="—",$N19="",$N19=0)),1,0)</f>
        <v>0</v>
      </c>
      <c r="Z19" s="103" t="n">
        <f aca="false">IF(AND($F19="Decision",OR($J19="—",$J19="")),1,0)</f>
        <v>0</v>
      </c>
      <c r="AA19" s="84" t="n">
        <f aca="false">IF(OR($J19="—",$J19=""),0,IF(COUNTIF(Decisions!$A$5:$A$300,$J19)=0,1,0))</f>
        <v>0</v>
      </c>
      <c r="AB19" s="103" t="n">
        <f aca="false">IF(AND($F19="原始數據",$S19&lt;&gt;"Active"),1,0)</f>
        <v>0</v>
      </c>
      <c r="AC19" s="103" t="n">
        <f aca="false">IF(AND(ISNUMBER($K19),ISNUMBER($L19),ISNUMBER($Q19)),IF(OR($Q19&lt;MIN($K19,$L19),$Q19&gt;MAX($K19,$L19)),1,0),0)</f>
        <v>0</v>
      </c>
      <c r="AD19" s="103" t="n">
        <f aca="false">IF(AND(ISNUMBER($T19),$P19="高"),IF($T19=3,1,0),0)</f>
        <v>0</v>
      </c>
      <c r="AE19" s="103" t="n">
        <f aca="false">IF(AND($S19="不存在",$B19="切片一"),1,0)</f>
        <v>0</v>
      </c>
    </row>
    <row r="20" customFormat="false" ht="15" hidden="false" customHeight="false" outlineLevel="0" collapsed="false">
      <c r="A20" s="53" t="s">
        <v>2342</v>
      </c>
      <c r="B20" s="52" t="s">
        <v>2297</v>
      </c>
      <c r="C20" s="53" t="s">
        <v>2298</v>
      </c>
      <c r="D20" s="53" t="s">
        <v>2343</v>
      </c>
      <c r="E20" s="5" t="s">
        <v>85</v>
      </c>
      <c r="F20" s="53" t="s">
        <v>70</v>
      </c>
      <c r="G20" s="52" t="s">
        <v>55</v>
      </c>
      <c r="H20" s="53" t="s">
        <v>554</v>
      </c>
      <c r="I20" s="6" t="s">
        <v>554</v>
      </c>
      <c r="J20" s="53" t="s">
        <v>554</v>
      </c>
      <c r="K20" s="54" t="n">
        <f aca="false">Inputs!$D$14</f>
        <v>300</v>
      </c>
      <c r="L20" s="54" t="n">
        <f aca="false">Inputs!$F$14</f>
        <v>800</v>
      </c>
      <c r="M20" s="53" t="s">
        <v>554</v>
      </c>
      <c r="N20" s="204" t="str">
        <f aca="false">Inputs!$H$14</f>
        <v>v4 約 $350/GPU（$25K/架）</v>
      </c>
      <c r="O20" s="6" t="s">
        <v>554</v>
      </c>
      <c r="P20" s="52" t="s">
        <v>1078</v>
      </c>
      <c r="Q20" s="54" t="n">
        <f aca="false">Inputs!E14</f>
        <v>500</v>
      </c>
      <c r="R20" s="53" t="s">
        <v>554</v>
      </c>
      <c r="S20" s="83" t="str">
        <f aca="false">IF(OR($H20="—",$H20=""),"—",IF(ISNUMBER(MATCH($H20,SRC_HW!$A$5:$A$400,0)),INDEX(SRC_HW!$O$5:$O$400,MATCH($H20,SRC_HW!$A$5:$A$400,0)),IF(ISNUMBER(MATCH($H20,SRC_DC!$A$5:$A$400,0)),INDEX(SRC_DC!$O$5:$O$400,MATCH($H20,SRC_DC!$A$5:$A$400,0)),IF(ISNUMBER(MATCH($H20,SRC_Model!$A$5:$A$400,0)),INDEX(SRC_Model!$O$5:$O$400,MATCH($H20,SRC_Model!$A$5:$A$400,0)),IF(ISNUMBER(MATCH($H20,SRC_Perf!$A$5:$A$400,0)),INDEX(SRC_Perf!$O$5:$O$400,MATCH($H20,SRC_Perf!$A$5:$A$400,0)),"不存在")))))</f>
        <v>—</v>
      </c>
      <c r="T20" s="83" t="str">
        <f aca="false">IF(OR($H20="—",$H20=""),"—",IF(ISNUMBER(MATCH($H20,SRC_HW!$A$5:$A$400,0)),INDEX(SRC_HW!$K$5:$K$400,MATCH($H20,SRC_HW!$A$5:$A$400,0)),IF(ISNUMBER(MATCH($H20,SRC_DC!$A$5:$A$400,0)),INDEX(SRC_DC!$K$5:$K$400,MATCH($H20,SRC_DC!$A$5:$A$400,0)),IF(ISNUMBER(MATCH($H20,SRC_Model!$A$5:$A$400,0)),INDEX(SRC_Model!$K$5:$K$400,MATCH($H20,SRC_Model!$A$5:$A$400,0)),IF(ISNUMBER(MATCH($H20,SRC_Perf!$A$5:$A$400,0)),INDEX(SRC_Perf!$K$5:$K$400,MATCH($H20,SRC_Perf!$A$5:$A$400,0)),"不存在")))))</f>
        <v>—</v>
      </c>
      <c r="U20" s="52" t="s">
        <v>2302</v>
      </c>
      <c r="V20" s="103" t="n">
        <f aca="false">IF(AND($F20="原始數據",$U20&lt;&gt;"連結 SRC"),1,0)</f>
        <v>0</v>
      </c>
      <c r="W20" s="103" t="n">
        <f aca="false">IF(AND($F20="Analogy",OR($H20="—",$H20="")),1,0)</f>
        <v>0</v>
      </c>
      <c r="X20" s="103" t="n">
        <f aca="false">IF(AND(OR($F20="Analogy",$F20="Assumed"),$G20&lt;&gt;"低",$G20&lt;&gt;"高",NOT(ISNUMBER($K20)),NOT(ISNUMBER($L20)),OR($M20="—",$M20="")),1,0)</f>
        <v>0</v>
      </c>
      <c r="Y20" s="103" t="n">
        <f aca="false">IF(AND(OR($F20="Analogy",$F20="Assumed",$F20="Derived（待改公式）",$F20="Derived（公式）"),OR($N20="—",$N20="",$N20=0)),1,0)</f>
        <v>0</v>
      </c>
      <c r="Z20" s="103" t="n">
        <f aca="false">IF(AND($F20="Decision",OR($J20="—",$J20="")),1,0)</f>
        <v>0</v>
      </c>
      <c r="AA20" s="84" t="n">
        <f aca="false">IF(OR($J20="—",$J20=""),0,IF(COUNTIF(Decisions!$A$5:$A$300,$J20)=0,1,0))</f>
        <v>0</v>
      </c>
      <c r="AB20" s="103" t="n">
        <f aca="false">IF(AND($F20="原始數據",$S20&lt;&gt;"Active"),1,0)</f>
        <v>0</v>
      </c>
      <c r="AC20" s="103" t="n">
        <f aca="false">IF(AND(ISNUMBER($K20),ISNUMBER($L20),ISNUMBER($Q20)),IF(OR($Q20&lt;MIN($K20,$L20),$Q20&gt;MAX($K20,$L20)),1,0),0)</f>
        <v>0</v>
      </c>
      <c r="AD20" s="103" t="n">
        <f aca="false">IF(AND(ISNUMBER($T20),$P20="高"),IF($T20=3,1,0),0)</f>
        <v>0</v>
      </c>
      <c r="AE20" s="103" t="n">
        <f aca="false">IF(AND($S20="不存在",$B20="切片一"),1,0)</f>
        <v>0</v>
      </c>
    </row>
    <row r="21" customFormat="false" ht="15" hidden="false" customHeight="false" outlineLevel="0" collapsed="false">
      <c r="A21" s="53" t="s">
        <v>2344</v>
      </c>
      <c r="B21" s="52" t="s">
        <v>2297</v>
      </c>
      <c r="C21" s="53" t="s">
        <v>2298</v>
      </c>
      <c r="D21" s="53" t="s">
        <v>2345</v>
      </c>
      <c r="E21" s="5" t="s">
        <v>85</v>
      </c>
      <c r="F21" s="53" t="s">
        <v>70</v>
      </c>
      <c r="G21" s="52" t="s">
        <v>1078</v>
      </c>
      <c r="H21" s="53" t="s">
        <v>554</v>
      </c>
      <c r="I21" s="6" t="s">
        <v>554</v>
      </c>
      <c r="J21" s="53" t="s">
        <v>554</v>
      </c>
      <c r="K21" s="52"/>
      <c r="L21" s="52"/>
      <c r="M21" s="53" t="s">
        <v>554</v>
      </c>
      <c r="N21" s="204" t="str">
        <f aca="false">Inputs!$H$14</f>
        <v>v4 約 $350/GPU（$25K/架）</v>
      </c>
      <c r="O21" s="6" t="s">
        <v>554</v>
      </c>
      <c r="P21" s="52" t="s">
        <v>1078</v>
      </c>
      <c r="Q21" s="54" t="n">
        <f aca="false">Inputs!D14</f>
        <v>300</v>
      </c>
      <c r="R21" s="53" t="s">
        <v>554</v>
      </c>
      <c r="S21" s="83" t="str">
        <f aca="false">IF(OR($H21="—",$H21=""),"—",IF(ISNUMBER(MATCH($H21,SRC_HW!$A$5:$A$400,0)),INDEX(SRC_HW!$O$5:$O$400,MATCH($H21,SRC_HW!$A$5:$A$400,0)),IF(ISNUMBER(MATCH($H21,SRC_DC!$A$5:$A$400,0)),INDEX(SRC_DC!$O$5:$O$400,MATCH($H21,SRC_DC!$A$5:$A$400,0)),IF(ISNUMBER(MATCH($H21,SRC_Model!$A$5:$A$400,0)),INDEX(SRC_Model!$O$5:$O$400,MATCH($H21,SRC_Model!$A$5:$A$400,0)),IF(ISNUMBER(MATCH($H21,SRC_Perf!$A$5:$A$400,0)),INDEX(SRC_Perf!$O$5:$O$400,MATCH($H21,SRC_Perf!$A$5:$A$400,0)),"不存在")))))</f>
        <v>—</v>
      </c>
      <c r="T21" s="83" t="str">
        <f aca="false">IF(OR($H21="—",$H21=""),"—",IF(ISNUMBER(MATCH($H21,SRC_HW!$A$5:$A$400,0)),INDEX(SRC_HW!$K$5:$K$400,MATCH($H21,SRC_HW!$A$5:$A$400,0)),IF(ISNUMBER(MATCH($H21,SRC_DC!$A$5:$A$400,0)),INDEX(SRC_DC!$K$5:$K$400,MATCH($H21,SRC_DC!$A$5:$A$400,0)),IF(ISNUMBER(MATCH($H21,SRC_Model!$A$5:$A$400,0)),INDEX(SRC_Model!$K$5:$K$400,MATCH($H21,SRC_Model!$A$5:$A$400,0)),IF(ISNUMBER(MATCH($H21,SRC_Perf!$A$5:$A$400,0)),INDEX(SRC_Perf!$K$5:$K$400,MATCH($H21,SRC_Perf!$A$5:$A$400,0)),"不存在")))))</f>
        <v>—</v>
      </c>
      <c r="U21" s="52" t="s">
        <v>2302</v>
      </c>
      <c r="V21" s="103" t="n">
        <f aca="false">IF(AND($F21="原始數據",$U21&lt;&gt;"連結 SRC"),1,0)</f>
        <v>0</v>
      </c>
      <c r="W21" s="103" t="n">
        <f aca="false">IF(AND($F21="Analogy",OR($H21="—",$H21="")),1,0)</f>
        <v>0</v>
      </c>
      <c r="X21" s="103" t="n">
        <f aca="false">IF(AND(OR($F21="Analogy",$F21="Assumed"),$G21&lt;&gt;"低",$G21&lt;&gt;"高",NOT(ISNUMBER($K21)),NOT(ISNUMBER($L21)),OR($M21="—",$M21="")),1,0)</f>
        <v>0</v>
      </c>
      <c r="Y21" s="103" t="n">
        <f aca="false">IF(AND(OR($F21="Analogy",$F21="Assumed",$F21="Derived（待改公式）",$F21="Derived（公式）"),OR($N21="—",$N21="",$N21=0)),1,0)</f>
        <v>0</v>
      </c>
      <c r="Z21" s="103" t="n">
        <f aca="false">IF(AND($F21="Decision",OR($J21="—",$J21="")),1,0)</f>
        <v>0</v>
      </c>
      <c r="AA21" s="84" t="n">
        <f aca="false">IF(OR($J21="—",$J21=""),0,IF(COUNTIF(Decisions!$A$5:$A$300,$J21)=0,1,0))</f>
        <v>0</v>
      </c>
      <c r="AB21" s="103" t="n">
        <f aca="false">IF(AND($F21="原始數據",$S21&lt;&gt;"Active"),1,0)</f>
        <v>0</v>
      </c>
      <c r="AC21" s="103" t="n">
        <f aca="false">IF(AND(ISNUMBER($K21),ISNUMBER($L21),ISNUMBER($Q21)),IF(OR($Q21&lt;MIN($K21,$L21),$Q21&gt;MAX($K21,$L21)),1,0),0)</f>
        <v>0</v>
      </c>
      <c r="AD21" s="103" t="n">
        <f aca="false">IF(AND(ISNUMBER($T21),$P21="高"),IF($T21=3,1,0),0)</f>
        <v>0</v>
      </c>
      <c r="AE21" s="103" t="n">
        <f aca="false">IF(AND($S21="不存在",$B21="切片一"),1,0)</f>
        <v>0</v>
      </c>
    </row>
    <row r="22" customFormat="false" ht="15" hidden="false" customHeight="false" outlineLevel="0" collapsed="false">
      <c r="A22" s="53" t="s">
        <v>2346</v>
      </c>
      <c r="B22" s="52" t="s">
        <v>2297</v>
      </c>
      <c r="C22" s="53" t="s">
        <v>2298</v>
      </c>
      <c r="D22" s="53" t="s">
        <v>2347</v>
      </c>
      <c r="E22" s="5" t="s">
        <v>85</v>
      </c>
      <c r="F22" s="53" t="s">
        <v>70</v>
      </c>
      <c r="G22" s="52" t="s">
        <v>1079</v>
      </c>
      <c r="H22" s="53" t="s">
        <v>554</v>
      </c>
      <c r="I22" s="6" t="s">
        <v>554</v>
      </c>
      <c r="J22" s="53" t="s">
        <v>554</v>
      </c>
      <c r="K22" s="52"/>
      <c r="L22" s="52"/>
      <c r="M22" s="53" t="s">
        <v>554</v>
      </c>
      <c r="N22" s="204" t="str">
        <f aca="false">Inputs!$H$14</f>
        <v>v4 約 $350/GPU（$25K/架）</v>
      </c>
      <c r="O22" s="6" t="s">
        <v>554</v>
      </c>
      <c r="P22" s="52" t="s">
        <v>1078</v>
      </c>
      <c r="Q22" s="54" t="n">
        <f aca="false">Inputs!F14</f>
        <v>800</v>
      </c>
      <c r="R22" s="53" t="s">
        <v>554</v>
      </c>
      <c r="S22" s="83" t="str">
        <f aca="false">IF(OR($H22="—",$H22=""),"—",IF(ISNUMBER(MATCH($H22,SRC_HW!$A$5:$A$400,0)),INDEX(SRC_HW!$O$5:$O$400,MATCH($H22,SRC_HW!$A$5:$A$400,0)),IF(ISNUMBER(MATCH($H22,SRC_DC!$A$5:$A$400,0)),INDEX(SRC_DC!$O$5:$O$400,MATCH($H22,SRC_DC!$A$5:$A$400,0)),IF(ISNUMBER(MATCH($H22,SRC_Model!$A$5:$A$400,0)),INDEX(SRC_Model!$O$5:$O$400,MATCH($H22,SRC_Model!$A$5:$A$400,0)),IF(ISNUMBER(MATCH($H22,SRC_Perf!$A$5:$A$400,0)),INDEX(SRC_Perf!$O$5:$O$400,MATCH($H22,SRC_Perf!$A$5:$A$400,0)),"不存在")))))</f>
        <v>—</v>
      </c>
      <c r="T22" s="83" t="str">
        <f aca="false">IF(OR($H22="—",$H22=""),"—",IF(ISNUMBER(MATCH($H22,SRC_HW!$A$5:$A$400,0)),INDEX(SRC_HW!$K$5:$K$400,MATCH($H22,SRC_HW!$A$5:$A$400,0)),IF(ISNUMBER(MATCH($H22,SRC_DC!$A$5:$A$400,0)),INDEX(SRC_DC!$K$5:$K$400,MATCH($H22,SRC_DC!$A$5:$A$400,0)),IF(ISNUMBER(MATCH($H22,SRC_Model!$A$5:$A$400,0)),INDEX(SRC_Model!$K$5:$K$400,MATCH($H22,SRC_Model!$A$5:$A$400,0)),IF(ISNUMBER(MATCH($H22,SRC_Perf!$A$5:$A$400,0)),INDEX(SRC_Perf!$K$5:$K$400,MATCH($H22,SRC_Perf!$A$5:$A$400,0)),"不存在")))))</f>
        <v>—</v>
      </c>
      <c r="U22" s="52" t="s">
        <v>2302</v>
      </c>
      <c r="V22" s="103" t="n">
        <f aca="false">IF(AND($F22="原始數據",$U22&lt;&gt;"連結 SRC"),1,0)</f>
        <v>0</v>
      </c>
      <c r="W22" s="103" t="n">
        <f aca="false">IF(AND($F22="Analogy",OR($H22="—",$H22="")),1,0)</f>
        <v>0</v>
      </c>
      <c r="X22" s="103" t="n">
        <f aca="false">IF(AND(OR($F22="Analogy",$F22="Assumed"),$G22&lt;&gt;"低",$G22&lt;&gt;"高",NOT(ISNUMBER($K22)),NOT(ISNUMBER($L22)),OR($M22="—",$M22="")),1,0)</f>
        <v>0</v>
      </c>
      <c r="Y22" s="103" t="n">
        <f aca="false">IF(AND(OR($F22="Analogy",$F22="Assumed",$F22="Derived（待改公式）",$F22="Derived（公式）"),OR($N22="—",$N22="",$N22=0)),1,0)</f>
        <v>0</v>
      </c>
      <c r="Z22" s="103" t="n">
        <f aca="false">IF(AND($F22="Decision",OR($J22="—",$J22="")),1,0)</f>
        <v>0</v>
      </c>
      <c r="AA22" s="84" t="n">
        <f aca="false">IF(OR($J22="—",$J22=""),0,IF(COUNTIF(Decisions!$A$5:$A$300,$J22)=0,1,0))</f>
        <v>0</v>
      </c>
      <c r="AB22" s="103" t="n">
        <f aca="false">IF(AND($F22="原始數據",$S22&lt;&gt;"Active"),1,0)</f>
        <v>0</v>
      </c>
      <c r="AC22" s="103" t="n">
        <f aca="false">IF(AND(ISNUMBER($K22),ISNUMBER($L22),ISNUMBER($Q22)),IF(OR($Q22&lt;MIN($K22,$L22),$Q22&gt;MAX($K22,$L22)),1,0),0)</f>
        <v>0</v>
      </c>
      <c r="AD22" s="103" t="n">
        <f aca="false">IF(AND(ISNUMBER($T22),$P22="高"),IF($T22=3,1,0),0)</f>
        <v>0</v>
      </c>
      <c r="AE22" s="103" t="n">
        <f aca="false">IF(AND($S22="不存在",$B22="切片一"),1,0)</f>
        <v>0</v>
      </c>
    </row>
    <row r="23" customFormat="false" ht="15" hidden="false" customHeight="false" outlineLevel="0" collapsed="false">
      <c r="A23" s="53" t="s">
        <v>2348</v>
      </c>
      <c r="B23" s="52" t="s">
        <v>2297</v>
      </c>
      <c r="C23" s="53" t="s">
        <v>2298</v>
      </c>
      <c r="D23" s="53" t="s">
        <v>2349</v>
      </c>
      <c r="E23" s="5" t="s">
        <v>89</v>
      </c>
      <c r="F23" s="53" t="s">
        <v>70</v>
      </c>
      <c r="G23" s="52" t="s">
        <v>55</v>
      </c>
      <c r="H23" s="53" t="s">
        <v>554</v>
      </c>
      <c r="I23" s="6" t="s">
        <v>554</v>
      </c>
      <c r="J23" s="53" t="s">
        <v>554</v>
      </c>
      <c r="K23" s="89" t="n">
        <f aca="false">Inputs!$D$16</f>
        <v>0.02</v>
      </c>
      <c r="L23" s="89" t="n">
        <f aca="false">Inputs!$F$16</f>
        <v>0.02</v>
      </c>
      <c r="M23" s="53" t="s">
        <v>554</v>
      </c>
      <c r="N23" s="204" t="str">
        <f aca="false">Inputs!$H$16</f>
        <v>v4：100 英畝 × $200K／GW</v>
      </c>
      <c r="O23" s="6" t="s">
        <v>554</v>
      </c>
      <c r="P23" s="52" t="s">
        <v>1078</v>
      </c>
      <c r="Q23" s="89" t="n">
        <f aca="false">Inputs!E16</f>
        <v>0.02</v>
      </c>
      <c r="R23" s="53" t="s">
        <v>554</v>
      </c>
      <c r="S23" s="83" t="str">
        <f aca="false">IF(OR($H23="—",$H23=""),"—",IF(ISNUMBER(MATCH($H23,SRC_HW!$A$5:$A$400,0)),INDEX(SRC_HW!$O$5:$O$400,MATCH($H23,SRC_HW!$A$5:$A$400,0)),IF(ISNUMBER(MATCH($H23,SRC_DC!$A$5:$A$400,0)),INDEX(SRC_DC!$O$5:$O$400,MATCH($H23,SRC_DC!$A$5:$A$400,0)),IF(ISNUMBER(MATCH($H23,SRC_Model!$A$5:$A$400,0)),INDEX(SRC_Model!$O$5:$O$400,MATCH($H23,SRC_Model!$A$5:$A$400,0)),IF(ISNUMBER(MATCH($H23,SRC_Perf!$A$5:$A$400,0)),INDEX(SRC_Perf!$O$5:$O$400,MATCH($H23,SRC_Perf!$A$5:$A$400,0)),"不存在")))))</f>
        <v>—</v>
      </c>
      <c r="T23" s="83" t="str">
        <f aca="false">IF(OR($H23="—",$H23=""),"—",IF(ISNUMBER(MATCH($H23,SRC_HW!$A$5:$A$400,0)),INDEX(SRC_HW!$K$5:$K$400,MATCH($H23,SRC_HW!$A$5:$A$400,0)),IF(ISNUMBER(MATCH($H23,SRC_DC!$A$5:$A$400,0)),INDEX(SRC_DC!$K$5:$K$400,MATCH($H23,SRC_DC!$A$5:$A$400,0)),IF(ISNUMBER(MATCH($H23,SRC_Model!$A$5:$A$400,0)),INDEX(SRC_Model!$K$5:$K$400,MATCH($H23,SRC_Model!$A$5:$A$400,0)),IF(ISNUMBER(MATCH($H23,SRC_Perf!$A$5:$A$400,0)),INDEX(SRC_Perf!$K$5:$K$400,MATCH($H23,SRC_Perf!$A$5:$A$400,0)),"不存在")))))</f>
        <v>—</v>
      </c>
      <c r="U23" s="52" t="s">
        <v>2302</v>
      </c>
      <c r="V23" s="103" t="n">
        <f aca="false">IF(AND($F23="原始數據",$U23&lt;&gt;"連結 SRC"),1,0)</f>
        <v>0</v>
      </c>
      <c r="W23" s="103" t="n">
        <f aca="false">IF(AND($F23="Analogy",OR($H23="—",$H23="")),1,0)</f>
        <v>0</v>
      </c>
      <c r="X23" s="103" t="n">
        <f aca="false">IF(AND(OR($F23="Analogy",$F23="Assumed"),$G23&lt;&gt;"低",$G23&lt;&gt;"高",NOT(ISNUMBER($K23)),NOT(ISNUMBER($L23)),OR($M23="—",$M23="")),1,0)</f>
        <v>0</v>
      </c>
      <c r="Y23" s="103" t="n">
        <f aca="false">IF(AND(OR($F23="Analogy",$F23="Assumed",$F23="Derived（待改公式）",$F23="Derived（公式）"),OR($N23="—",$N23="",$N23=0)),1,0)</f>
        <v>0</v>
      </c>
      <c r="Z23" s="103" t="n">
        <f aca="false">IF(AND($F23="Decision",OR($J23="—",$J23="")),1,0)</f>
        <v>0</v>
      </c>
      <c r="AA23" s="84" t="n">
        <f aca="false">IF(OR($J23="—",$J23=""),0,IF(COUNTIF(Decisions!$A$5:$A$300,$J23)=0,1,0))</f>
        <v>0</v>
      </c>
      <c r="AB23" s="103" t="n">
        <f aca="false">IF(AND($F23="原始數據",$S23&lt;&gt;"Active"),1,0)</f>
        <v>0</v>
      </c>
      <c r="AC23" s="103" t="n">
        <f aca="false">IF(AND(ISNUMBER($K23),ISNUMBER($L23),ISNUMBER($Q23)),IF(OR($Q23&lt;MIN($K23,$L23),$Q23&gt;MAX($K23,$L23)),1,0),0)</f>
        <v>0</v>
      </c>
      <c r="AD23" s="103" t="n">
        <f aca="false">IF(AND(ISNUMBER($T23),$P23="高"),IF($T23=3,1,0),0)</f>
        <v>0</v>
      </c>
      <c r="AE23" s="103" t="n">
        <f aca="false">IF(AND($S23="不存在",$B23="切片一"),1,0)</f>
        <v>0</v>
      </c>
    </row>
    <row r="24" customFormat="false" ht="15" hidden="false" customHeight="false" outlineLevel="0" collapsed="false">
      <c r="A24" s="53" t="s">
        <v>2350</v>
      </c>
      <c r="B24" s="52" t="s">
        <v>2297</v>
      </c>
      <c r="C24" s="53" t="s">
        <v>2298</v>
      </c>
      <c r="D24" s="53" t="s">
        <v>2351</v>
      </c>
      <c r="E24" s="5" t="s">
        <v>89</v>
      </c>
      <c r="F24" s="53" t="s">
        <v>70</v>
      </c>
      <c r="G24" s="52" t="s">
        <v>1078</v>
      </c>
      <c r="H24" s="53" t="s">
        <v>554</v>
      </c>
      <c r="I24" s="6" t="s">
        <v>554</v>
      </c>
      <c r="J24" s="53" t="s">
        <v>554</v>
      </c>
      <c r="K24" s="52"/>
      <c r="L24" s="52"/>
      <c r="M24" s="53" t="s">
        <v>554</v>
      </c>
      <c r="N24" s="204" t="str">
        <f aca="false">Inputs!$H$16</f>
        <v>v4：100 英畝 × $200K／GW</v>
      </c>
      <c r="O24" s="6" t="s">
        <v>554</v>
      </c>
      <c r="P24" s="52" t="s">
        <v>1078</v>
      </c>
      <c r="Q24" s="89" t="n">
        <f aca="false">Inputs!D16</f>
        <v>0.02</v>
      </c>
      <c r="R24" s="53" t="s">
        <v>554</v>
      </c>
      <c r="S24" s="83" t="str">
        <f aca="false">IF(OR($H24="—",$H24=""),"—",IF(ISNUMBER(MATCH($H24,SRC_HW!$A$5:$A$400,0)),INDEX(SRC_HW!$O$5:$O$400,MATCH($H24,SRC_HW!$A$5:$A$400,0)),IF(ISNUMBER(MATCH($H24,SRC_DC!$A$5:$A$400,0)),INDEX(SRC_DC!$O$5:$O$400,MATCH($H24,SRC_DC!$A$5:$A$400,0)),IF(ISNUMBER(MATCH($H24,SRC_Model!$A$5:$A$400,0)),INDEX(SRC_Model!$O$5:$O$400,MATCH($H24,SRC_Model!$A$5:$A$400,0)),IF(ISNUMBER(MATCH($H24,SRC_Perf!$A$5:$A$400,0)),INDEX(SRC_Perf!$O$5:$O$400,MATCH($H24,SRC_Perf!$A$5:$A$400,0)),"不存在")))))</f>
        <v>—</v>
      </c>
      <c r="T24" s="83" t="str">
        <f aca="false">IF(OR($H24="—",$H24=""),"—",IF(ISNUMBER(MATCH($H24,SRC_HW!$A$5:$A$400,0)),INDEX(SRC_HW!$K$5:$K$400,MATCH($H24,SRC_HW!$A$5:$A$400,0)),IF(ISNUMBER(MATCH($H24,SRC_DC!$A$5:$A$400,0)),INDEX(SRC_DC!$K$5:$K$400,MATCH($H24,SRC_DC!$A$5:$A$400,0)),IF(ISNUMBER(MATCH($H24,SRC_Model!$A$5:$A$400,0)),INDEX(SRC_Model!$K$5:$K$400,MATCH($H24,SRC_Model!$A$5:$A$400,0)),IF(ISNUMBER(MATCH($H24,SRC_Perf!$A$5:$A$400,0)),INDEX(SRC_Perf!$K$5:$K$400,MATCH($H24,SRC_Perf!$A$5:$A$400,0)),"不存在")))))</f>
        <v>—</v>
      </c>
      <c r="U24" s="52" t="s">
        <v>2302</v>
      </c>
      <c r="V24" s="103" t="n">
        <f aca="false">IF(AND($F24="原始數據",$U24&lt;&gt;"連結 SRC"),1,0)</f>
        <v>0</v>
      </c>
      <c r="W24" s="103" t="n">
        <f aca="false">IF(AND($F24="Analogy",OR($H24="—",$H24="")),1,0)</f>
        <v>0</v>
      </c>
      <c r="X24" s="103" t="n">
        <f aca="false">IF(AND(OR($F24="Analogy",$F24="Assumed"),$G24&lt;&gt;"低",$G24&lt;&gt;"高",NOT(ISNUMBER($K24)),NOT(ISNUMBER($L24)),OR($M24="—",$M24="")),1,0)</f>
        <v>0</v>
      </c>
      <c r="Y24" s="103" t="n">
        <f aca="false">IF(AND(OR($F24="Analogy",$F24="Assumed",$F24="Derived（待改公式）",$F24="Derived（公式）"),OR($N24="—",$N24="",$N24=0)),1,0)</f>
        <v>0</v>
      </c>
      <c r="Z24" s="103" t="n">
        <f aca="false">IF(AND($F24="Decision",OR($J24="—",$J24="")),1,0)</f>
        <v>0</v>
      </c>
      <c r="AA24" s="84" t="n">
        <f aca="false">IF(OR($J24="—",$J24=""),0,IF(COUNTIF(Decisions!$A$5:$A$300,$J24)=0,1,0))</f>
        <v>0</v>
      </c>
      <c r="AB24" s="103" t="n">
        <f aca="false">IF(AND($F24="原始數據",$S24&lt;&gt;"Active"),1,0)</f>
        <v>0</v>
      </c>
      <c r="AC24" s="103" t="n">
        <f aca="false">IF(AND(ISNUMBER($K24),ISNUMBER($L24),ISNUMBER($Q24)),IF(OR($Q24&lt;MIN($K24,$L24),$Q24&gt;MAX($K24,$L24)),1,0),0)</f>
        <v>0</v>
      </c>
      <c r="AD24" s="103" t="n">
        <f aca="false">IF(AND(ISNUMBER($T24),$P24="高"),IF($T24=3,1,0),0)</f>
        <v>0</v>
      </c>
      <c r="AE24" s="103" t="n">
        <f aca="false">IF(AND($S24="不存在",$B24="切片一"),1,0)</f>
        <v>0</v>
      </c>
    </row>
    <row r="25" customFormat="false" ht="15" hidden="false" customHeight="false" outlineLevel="0" collapsed="false">
      <c r="A25" s="53" t="s">
        <v>2352</v>
      </c>
      <c r="B25" s="52" t="s">
        <v>2297</v>
      </c>
      <c r="C25" s="53" t="s">
        <v>2298</v>
      </c>
      <c r="D25" s="53" t="s">
        <v>2353</v>
      </c>
      <c r="E25" s="5" t="s">
        <v>89</v>
      </c>
      <c r="F25" s="53" t="s">
        <v>70</v>
      </c>
      <c r="G25" s="52" t="s">
        <v>1079</v>
      </c>
      <c r="H25" s="53" t="s">
        <v>554</v>
      </c>
      <c r="I25" s="6" t="s">
        <v>554</v>
      </c>
      <c r="J25" s="53" t="s">
        <v>554</v>
      </c>
      <c r="K25" s="52"/>
      <c r="L25" s="52"/>
      <c r="M25" s="53" t="s">
        <v>554</v>
      </c>
      <c r="N25" s="204" t="str">
        <f aca="false">Inputs!$H$16</f>
        <v>v4：100 英畝 × $200K／GW</v>
      </c>
      <c r="O25" s="6" t="s">
        <v>554</v>
      </c>
      <c r="P25" s="52" t="s">
        <v>1078</v>
      </c>
      <c r="Q25" s="89" t="n">
        <f aca="false">Inputs!F16</f>
        <v>0.02</v>
      </c>
      <c r="R25" s="53" t="s">
        <v>554</v>
      </c>
      <c r="S25" s="83" t="str">
        <f aca="false">IF(OR($H25="—",$H25=""),"—",IF(ISNUMBER(MATCH($H25,SRC_HW!$A$5:$A$400,0)),INDEX(SRC_HW!$O$5:$O$400,MATCH($H25,SRC_HW!$A$5:$A$400,0)),IF(ISNUMBER(MATCH($H25,SRC_DC!$A$5:$A$400,0)),INDEX(SRC_DC!$O$5:$O$400,MATCH($H25,SRC_DC!$A$5:$A$400,0)),IF(ISNUMBER(MATCH($H25,SRC_Model!$A$5:$A$400,0)),INDEX(SRC_Model!$O$5:$O$400,MATCH($H25,SRC_Model!$A$5:$A$400,0)),IF(ISNUMBER(MATCH($H25,SRC_Perf!$A$5:$A$400,0)),INDEX(SRC_Perf!$O$5:$O$400,MATCH($H25,SRC_Perf!$A$5:$A$400,0)),"不存在")))))</f>
        <v>—</v>
      </c>
      <c r="T25" s="83" t="str">
        <f aca="false">IF(OR($H25="—",$H25=""),"—",IF(ISNUMBER(MATCH($H25,SRC_HW!$A$5:$A$400,0)),INDEX(SRC_HW!$K$5:$K$400,MATCH($H25,SRC_HW!$A$5:$A$400,0)),IF(ISNUMBER(MATCH($H25,SRC_DC!$A$5:$A$400,0)),INDEX(SRC_DC!$K$5:$K$400,MATCH($H25,SRC_DC!$A$5:$A$400,0)),IF(ISNUMBER(MATCH($H25,SRC_Model!$A$5:$A$400,0)),INDEX(SRC_Model!$K$5:$K$400,MATCH($H25,SRC_Model!$A$5:$A$400,0)),IF(ISNUMBER(MATCH($H25,SRC_Perf!$A$5:$A$400,0)),INDEX(SRC_Perf!$K$5:$K$400,MATCH($H25,SRC_Perf!$A$5:$A$400,0)),"不存在")))))</f>
        <v>—</v>
      </c>
      <c r="U25" s="52" t="s">
        <v>2302</v>
      </c>
      <c r="V25" s="103" t="n">
        <f aca="false">IF(AND($F25="原始數據",$U25&lt;&gt;"連結 SRC"),1,0)</f>
        <v>0</v>
      </c>
      <c r="W25" s="103" t="n">
        <f aca="false">IF(AND($F25="Analogy",OR($H25="—",$H25="")),1,0)</f>
        <v>0</v>
      </c>
      <c r="X25" s="103" t="n">
        <f aca="false">IF(AND(OR($F25="Analogy",$F25="Assumed"),$G25&lt;&gt;"低",$G25&lt;&gt;"高",NOT(ISNUMBER($K25)),NOT(ISNUMBER($L25)),OR($M25="—",$M25="")),1,0)</f>
        <v>0</v>
      </c>
      <c r="Y25" s="103" t="n">
        <f aca="false">IF(AND(OR($F25="Analogy",$F25="Assumed",$F25="Derived（待改公式）",$F25="Derived（公式）"),OR($N25="—",$N25="",$N25=0)),1,0)</f>
        <v>0</v>
      </c>
      <c r="Z25" s="103" t="n">
        <f aca="false">IF(AND($F25="Decision",OR($J25="—",$J25="")),1,0)</f>
        <v>0</v>
      </c>
      <c r="AA25" s="84" t="n">
        <f aca="false">IF(OR($J25="—",$J25=""),0,IF(COUNTIF(Decisions!$A$5:$A$300,$J25)=0,1,0))</f>
        <v>0</v>
      </c>
      <c r="AB25" s="103" t="n">
        <f aca="false">IF(AND($F25="原始數據",$S25&lt;&gt;"Active"),1,0)</f>
        <v>0</v>
      </c>
      <c r="AC25" s="103" t="n">
        <f aca="false">IF(AND(ISNUMBER($K25),ISNUMBER($L25),ISNUMBER($Q25)),IF(OR($Q25&lt;MIN($K25,$L25),$Q25&gt;MAX($K25,$L25)),1,0),0)</f>
        <v>0</v>
      </c>
      <c r="AD25" s="103" t="n">
        <f aca="false">IF(AND(ISNUMBER($T25),$P25="高"),IF($T25=3,1,0),0)</f>
        <v>0</v>
      </c>
      <c r="AE25" s="103" t="n">
        <f aca="false">IF(AND($S25="不存在",$B25="切片一"),1,0)</f>
        <v>0</v>
      </c>
    </row>
    <row r="26" customFormat="false" ht="15" hidden="false" customHeight="false" outlineLevel="0" collapsed="false">
      <c r="A26" s="53" t="s">
        <v>2354</v>
      </c>
      <c r="B26" s="52" t="s">
        <v>2297</v>
      </c>
      <c r="C26" s="53" t="s">
        <v>2298</v>
      </c>
      <c r="D26" s="53" t="s">
        <v>2355</v>
      </c>
      <c r="E26" s="5" t="s">
        <v>92</v>
      </c>
      <c r="F26" s="53" t="s">
        <v>70</v>
      </c>
      <c r="G26" s="52" t="s">
        <v>55</v>
      </c>
      <c r="H26" s="53" t="s">
        <v>554</v>
      </c>
      <c r="I26" s="6" t="s">
        <v>554</v>
      </c>
      <c r="J26" s="53" t="s">
        <v>554</v>
      </c>
      <c r="K26" s="89" t="n">
        <f aca="false">Inputs!$D$17</f>
        <v>3</v>
      </c>
      <c r="L26" s="89" t="n">
        <f aca="false">Inputs!$F$17</f>
        <v>4.5</v>
      </c>
      <c r="M26" s="53" t="s">
        <v>554</v>
      </c>
      <c r="N26" s="204" t="str">
        <f aca="false">Inputs!$H$17</f>
        <v>分項為假設；總額以 JLL 校準（S12）</v>
      </c>
      <c r="O26" s="6" t="s">
        <v>554</v>
      </c>
      <c r="P26" s="52" t="s">
        <v>1078</v>
      </c>
      <c r="Q26" s="89" t="n">
        <f aca="false">Inputs!E17</f>
        <v>3.6</v>
      </c>
      <c r="R26" s="53" t="s">
        <v>554</v>
      </c>
      <c r="S26" s="83" t="str">
        <f aca="false">IF(OR($H26="—",$H26=""),"—",IF(ISNUMBER(MATCH($H26,SRC_HW!$A$5:$A$400,0)),INDEX(SRC_HW!$O$5:$O$400,MATCH($H26,SRC_HW!$A$5:$A$400,0)),IF(ISNUMBER(MATCH($H26,SRC_DC!$A$5:$A$400,0)),INDEX(SRC_DC!$O$5:$O$400,MATCH($H26,SRC_DC!$A$5:$A$400,0)),IF(ISNUMBER(MATCH($H26,SRC_Model!$A$5:$A$400,0)),INDEX(SRC_Model!$O$5:$O$400,MATCH($H26,SRC_Model!$A$5:$A$400,0)),IF(ISNUMBER(MATCH($H26,SRC_Perf!$A$5:$A$400,0)),INDEX(SRC_Perf!$O$5:$O$400,MATCH($H26,SRC_Perf!$A$5:$A$400,0)),"不存在")))))</f>
        <v>—</v>
      </c>
      <c r="T26" s="83" t="str">
        <f aca="false">IF(OR($H26="—",$H26=""),"—",IF(ISNUMBER(MATCH($H26,SRC_HW!$A$5:$A$400,0)),INDEX(SRC_HW!$K$5:$K$400,MATCH($H26,SRC_HW!$A$5:$A$400,0)),IF(ISNUMBER(MATCH($H26,SRC_DC!$A$5:$A$400,0)),INDEX(SRC_DC!$K$5:$K$400,MATCH($H26,SRC_DC!$A$5:$A$400,0)),IF(ISNUMBER(MATCH($H26,SRC_Model!$A$5:$A$400,0)),INDEX(SRC_Model!$K$5:$K$400,MATCH($H26,SRC_Model!$A$5:$A$400,0)),IF(ISNUMBER(MATCH($H26,SRC_Perf!$A$5:$A$400,0)),INDEX(SRC_Perf!$K$5:$K$400,MATCH($H26,SRC_Perf!$A$5:$A$400,0)),"不存在")))))</f>
        <v>—</v>
      </c>
      <c r="U26" s="52" t="s">
        <v>2302</v>
      </c>
      <c r="V26" s="103" t="n">
        <f aca="false">IF(AND($F26="原始數據",$U26&lt;&gt;"連結 SRC"),1,0)</f>
        <v>0</v>
      </c>
      <c r="W26" s="103" t="n">
        <f aca="false">IF(AND($F26="Analogy",OR($H26="—",$H26="")),1,0)</f>
        <v>0</v>
      </c>
      <c r="X26" s="103" t="n">
        <f aca="false">IF(AND(OR($F26="Analogy",$F26="Assumed"),$G26&lt;&gt;"低",$G26&lt;&gt;"高",NOT(ISNUMBER($K26)),NOT(ISNUMBER($L26)),OR($M26="—",$M26="")),1,0)</f>
        <v>0</v>
      </c>
      <c r="Y26" s="103" t="n">
        <f aca="false">IF(AND(OR($F26="Analogy",$F26="Assumed",$F26="Derived（待改公式）",$F26="Derived（公式）"),OR($N26="—",$N26="",$N26=0)),1,0)</f>
        <v>0</v>
      </c>
      <c r="Z26" s="103" t="n">
        <f aca="false">IF(AND($F26="Decision",OR($J26="—",$J26="")),1,0)</f>
        <v>0</v>
      </c>
      <c r="AA26" s="84" t="n">
        <f aca="false">IF(OR($J26="—",$J26=""),0,IF(COUNTIF(Decisions!$A$5:$A$300,$J26)=0,1,0))</f>
        <v>0</v>
      </c>
      <c r="AB26" s="103" t="n">
        <f aca="false">IF(AND($F26="原始數據",$S26&lt;&gt;"Active"),1,0)</f>
        <v>0</v>
      </c>
      <c r="AC26" s="103" t="n">
        <f aca="false">IF(AND(ISNUMBER($K26),ISNUMBER($L26),ISNUMBER($Q26)),IF(OR($Q26&lt;MIN($K26,$L26),$Q26&gt;MAX($K26,$L26)),1,0),0)</f>
        <v>0</v>
      </c>
      <c r="AD26" s="103" t="n">
        <f aca="false">IF(AND(ISNUMBER($T26),$P26="高"),IF($T26=3,1,0),0)</f>
        <v>0</v>
      </c>
      <c r="AE26" s="103" t="n">
        <f aca="false">IF(AND($S26="不存在",$B26="切片一"),1,0)</f>
        <v>0</v>
      </c>
    </row>
    <row r="27" customFormat="false" ht="15" hidden="false" customHeight="false" outlineLevel="0" collapsed="false">
      <c r="A27" s="53" t="s">
        <v>2356</v>
      </c>
      <c r="B27" s="52" t="s">
        <v>2297</v>
      </c>
      <c r="C27" s="53" t="s">
        <v>2298</v>
      </c>
      <c r="D27" s="53" t="s">
        <v>2357</v>
      </c>
      <c r="E27" s="5" t="s">
        <v>92</v>
      </c>
      <c r="F27" s="53" t="s">
        <v>70</v>
      </c>
      <c r="G27" s="52" t="s">
        <v>1078</v>
      </c>
      <c r="H27" s="53" t="s">
        <v>554</v>
      </c>
      <c r="I27" s="6" t="s">
        <v>554</v>
      </c>
      <c r="J27" s="53" t="s">
        <v>554</v>
      </c>
      <c r="K27" s="52"/>
      <c r="L27" s="52"/>
      <c r="M27" s="53" t="s">
        <v>554</v>
      </c>
      <c r="N27" s="204" t="str">
        <f aca="false">Inputs!$H$17</f>
        <v>分項為假設；總額以 JLL 校準（S12）</v>
      </c>
      <c r="O27" s="6" t="s">
        <v>554</v>
      </c>
      <c r="P27" s="52" t="s">
        <v>1078</v>
      </c>
      <c r="Q27" s="89" t="n">
        <f aca="false">Inputs!D17</f>
        <v>3</v>
      </c>
      <c r="R27" s="53" t="s">
        <v>554</v>
      </c>
      <c r="S27" s="83" t="str">
        <f aca="false">IF(OR($H27="—",$H27=""),"—",IF(ISNUMBER(MATCH($H27,SRC_HW!$A$5:$A$400,0)),INDEX(SRC_HW!$O$5:$O$400,MATCH($H27,SRC_HW!$A$5:$A$400,0)),IF(ISNUMBER(MATCH($H27,SRC_DC!$A$5:$A$400,0)),INDEX(SRC_DC!$O$5:$O$400,MATCH($H27,SRC_DC!$A$5:$A$400,0)),IF(ISNUMBER(MATCH($H27,SRC_Model!$A$5:$A$400,0)),INDEX(SRC_Model!$O$5:$O$400,MATCH($H27,SRC_Model!$A$5:$A$400,0)),IF(ISNUMBER(MATCH($H27,SRC_Perf!$A$5:$A$400,0)),INDEX(SRC_Perf!$O$5:$O$400,MATCH($H27,SRC_Perf!$A$5:$A$400,0)),"不存在")))))</f>
        <v>—</v>
      </c>
      <c r="T27" s="83" t="str">
        <f aca="false">IF(OR($H27="—",$H27=""),"—",IF(ISNUMBER(MATCH($H27,SRC_HW!$A$5:$A$400,0)),INDEX(SRC_HW!$K$5:$K$400,MATCH($H27,SRC_HW!$A$5:$A$400,0)),IF(ISNUMBER(MATCH($H27,SRC_DC!$A$5:$A$400,0)),INDEX(SRC_DC!$K$5:$K$400,MATCH($H27,SRC_DC!$A$5:$A$400,0)),IF(ISNUMBER(MATCH($H27,SRC_Model!$A$5:$A$400,0)),INDEX(SRC_Model!$K$5:$K$400,MATCH($H27,SRC_Model!$A$5:$A$400,0)),IF(ISNUMBER(MATCH($H27,SRC_Perf!$A$5:$A$400,0)),INDEX(SRC_Perf!$K$5:$K$400,MATCH($H27,SRC_Perf!$A$5:$A$400,0)),"不存在")))))</f>
        <v>—</v>
      </c>
      <c r="U27" s="52" t="s">
        <v>2302</v>
      </c>
      <c r="V27" s="103" t="n">
        <f aca="false">IF(AND($F27="原始數據",$U27&lt;&gt;"連結 SRC"),1,0)</f>
        <v>0</v>
      </c>
      <c r="W27" s="103" t="n">
        <f aca="false">IF(AND($F27="Analogy",OR($H27="—",$H27="")),1,0)</f>
        <v>0</v>
      </c>
      <c r="X27" s="103" t="n">
        <f aca="false">IF(AND(OR($F27="Analogy",$F27="Assumed"),$G27&lt;&gt;"低",$G27&lt;&gt;"高",NOT(ISNUMBER($K27)),NOT(ISNUMBER($L27)),OR($M27="—",$M27="")),1,0)</f>
        <v>0</v>
      </c>
      <c r="Y27" s="103" t="n">
        <f aca="false">IF(AND(OR($F27="Analogy",$F27="Assumed",$F27="Derived（待改公式）",$F27="Derived（公式）"),OR($N27="—",$N27="",$N27=0)),1,0)</f>
        <v>0</v>
      </c>
      <c r="Z27" s="103" t="n">
        <f aca="false">IF(AND($F27="Decision",OR($J27="—",$J27="")),1,0)</f>
        <v>0</v>
      </c>
      <c r="AA27" s="84" t="n">
        <f aca="false">IF(OR($J27="—",$J27=""),0,IF(COUNTIF(Decisions!$A$5:$A$300,$J27)=0,1,0))</f>
        <v>0</v>
      </c>
      <c r="AB27" s="103" t="n">
        <f aca="false">IF(AND($F27="原始數據",$S27&lt;&gt;"Active"),1,0)</f>
        <v>0</v>
      </c>
      <c r="AC27" s="103" t="n">
        <f aca="false">IF(AND(ISNUMBER($K27),ISNUMBER($L27),ISNUMBER($Q27)),IF(OR($Q27&lt;MIN($K27,$L27),$Q27&gt;MAX($K27,$L27)),1,0),0)</f>
        <v>0</v>
      </c>
      <c r="AD27" s="103" t="n">
        <f aca="false">IF(AND(ISNUMBER($T27),$P27="高"),IF($T27=3,1,0),0)</f>
        <v>0</v>
      </c>
      <c r="AE27" s="103" t="n">
        <f aca="false">IF(AND($S27="不存在",$B27="切片一"),1,0)</f>
        <v>0</v>
      </c>
    </row>
    <row r="28" customFormat="false" ht="15" hidden="false" customHeight="false" outlineLevel="0" collapsed="false">
      <c r="A28" s="53" t="s">
        <v>2358</v>
      </c>
      <c r="B28" s="52" t="s">
        <v>2297</v>
      </c>
      <c r="C28" s="53" t="s">
        <v>2298</v>
      </c>
      <c r="D28" s="53" t="s">
        <v>2359</v>
      </c>
      <c r="E28" s="5" t="s">
        <v>92</v>
      </c>
      <c r="F28" s="53" t="s">
        <v>70</v>
      </c>
      <c r="G28" s="52" t="s">
        <v>1079</v>
      </c>
      <c r="H28" s="53" t="s">
        <v>554</v>
      </c>
      <c r="I28" s="6" t="s">
        <v>554</v>
      </c>
      <c r="J28" s="53" t="s">
        <v>554</v>
      </c>
      <c r="K28" s="52"/>
      <c r="L28" s="52"/>
      <c r="M28" s="53" t="s">
        <v>554</v>
      </c>
      <c r="N28" s="204" t="str">
        <f aca="false">Inputs!$H$17</f>
        <v>分項為假設；總額以 JLL 校準（S12）</v>
      </c>
      <c r="O28" s="6" t="s">
        <v>554</v>
      </c>
      <c r="P28" s="52" t="s">
        <v>1078</v>
      </c>
      <c r="Q28" s="89" t="n">
        <f aca="false">Inputs!F17</f>
        <v>4.5</v>
      </c>
      <c r="R28" s="53" t="s">
        <v>554</v>
      </c>
      <c r="S28" s="83" t="str">
        <f aca="false">IF(OR($H28="—",$H28=""),"—",IF(ISNUMBER(MATCH($H28,SRC_HW!$A$5:$A$400,0)),INDEX(SRC_HW!$O$5:$O$400,MATCH($H28,SRC_HW!$A$5:$A$400,0)),IF(ISNUMBER(MATCH($H28,SRC_DC!$A$5:$A$400,0)),INDEX(SRC_DC!$O$5:$O$400,MATCH($H28,SRC_DC!$A$5:$A$400,0)),IF(ISNUMBER(MATCH($H28,SRC_Model!$A$5:$A$400,0)),INDEX(SRC_Model!$O$5:$O$400,MATCH($H28,SRC_Model!$A$5:$A$400,0)),IF(ISNUMBER(MATCH($H28,SRC_Perf!$A$5:$A$400,0)),INDEX(SRC_Perf!$O$5:$O$400,MATCH($H28,SRC_Perf!$A$5:$A$400,0)),"不存在")))))</f>
        <v>—</v>
      </c>
      <c r="T28" s="83" t="str">
        <f aca="false">IF(OR($H28="—",$H28=""),"—",IF(ISNUMBER(MATCH($H28,SRC_HW!$A$5:$A$400,0)),INDEX(SRC_HW!$K$5:$K$400,MATCH($H28,SRC_HW!$A$5:$A$400,0)),IF(ISNUMBER(MATCH($H28,SRC_DC!$A$5:$A$400,0)),INDEX(SRC_DC!$K$5:$K$400,MATCH($H28,SRC_DC!$A$5:$A$400,0)),IF(ISNUMBER(MATCH($H28,SRC_Model!$A$5:$A$400,0)),INDEX(SRC_Model!$K$5:$K$400,MATCH($H28,SRC_Model!$A$5:$A$400,0)),IF(ISNUMBER(MATCH($H28,SRC_Perf!$A$5:$A$400,0)),INDEX(SRC_Perf!$K$5:$K$400,MATCH($H28,SRC_Perf!$A$5:$A$400,0)),"不存在")))))</f>
        <v>—</v>
      </c>
      <c r="U28" s="52" t="s">
        <v>2302</v>
      </c>
      <c r="V28" s="103" t="n">
        <f aca="false">IF(AND($F28="原始數據",$U28&lt;&gt;"連結 SRC"),1,0)</f>
        <v>0</v>
      </c>
      <c r="W28" s="103" t="n">
        <f aca="false">IF(AND($F28="Analogy",OR($H28="—",$H28="")),1,0)</f>
        <v>0</v>
      </c>
      <c r="X28" s="103" t="n">
        <f aca="false">IF(AND(OR($F28="Analogy",$F28="Assumed"),$G28&lt;&gt;"低",$G28&lt;&gt;"高",NOT(ISNUMBER($K28)),NOT(ISNUMBER($L28)),OR($M28="—",$M28="")),1,0)</f>
        <v>0</v>
      </c>
      <c r="Y28" s="103" t="n">
        <f aca="false">IF(AND(OR($F28="Analogy",$F28="Assumed",$F28="Derived（待改公式）",$F28="Derived（公式）"),OR($N28="—",$N28="",$N28=0)),1,0)</f>
        <v>0</v>
      </c>
      <c r="Z28" s="103" t="n">
        <f aca="false">IF(AND($F28="Decision",OR($J28="—",$J28="")),1,0)</f>
        <v>0</v>
      </c>
      <c r="AA28" s="84" t="n">
        <f aca="false">IF(OR($J28="—",$J28=""),0,IF(COUNTIF(Decisions!$A$5:$A$300,$J28)=0,1,0))</f>
        <v>0</v>
      </c>
      <c r="AB28" s="103" t="n">
        <f aca="false">IF(AND($F28="原始數據",$S28&lt;&gt;"Active"),1,0)</f>
        <v>0</v>
      </c>
      <c r="AC28" s="103" t="n">
        <f aca="false">IF(AND(ISNUMBER($K28),ISNUMBER($L28),ISNUMBER($Q28)),IF(OR($Q28&lt;MIN($K28,$L28),$Q28&gt;MAX($K28,$L28)),1,0),0)</f>
        <v>0</v>
      </c>
      <c r="AD28" s="103" t="n">
        <f aca="false">IF(AND(ISNUMBER($T28),$P28="高"),IF($T28=3,1,0),0)</f>
        <v>0</v>
      </c>
      <c r="AE28" s="103" t="n">
        <f aca="false">IF(AND($S28="不存在",$B28="切片一"),1,0)</f>
        <v>0</v>
      </c>
    </row>
    <row r="29" customFormat="false" ht="29.85" hidden="false" customHeight="false" outlineLevel="0" collapsed="false">
      <c r="A29" s="53" t="s">
        <v>2360</v>
      </c>
      <c r="B29" s="52" t="s">
        <v>2297</v>
      </c>
      <c r="C29" s="53" t="s">
        <v>2298</v>
      </c>
      <c r="D29" s="53" t="s">
        <v>2361</v>
      </c>
      <c r="E29" s="5" t="s">
        <v>2362</v>
      </c>
      <c r="F29" s="53" t="s">
        <v>70</v>
      </c>
      <c r="G29" s="52" t="s">
        <v>55</v>
      </c>
      <c r="H29" s="53" t="s">
        <v>554</v>
      </c>
      <c r="I29" s="6" t="s">
        <v>554</v>
      </c>
      <c r="J29" s="53" t="s">
        <v>554</v>
      </c>
      <c r="K29" s="89" t="n">
        <f aca="false">Inputs!$D$18</f>
        <v>3.8</v>
      </c>
      <c r="L29" s="89" t="n">
        <f aca="false">Inputs!$F$18</f>
        <v>5.5</v>
      </c>
      <c r="M29" s="53" t="s">
        <v>554</v>
      </c>
      <c r="N29" s="5" t="s">
        <v>2363</v>
      </c>
      <c r="O29" s="6" t="s">
        <v>554</v>
      </c>
      <c r="P29" s="52" t="s">
        <v>2364</v>
      </c>
      <c r="Q29" s="89" t="n">
        <f aca="false">Inputs!E18</f>
        <v>4.5</v>
      </c>
      <c r="R29" s="53" t="s">
        <v>554</v>
      </c>
      <c r="S29" s="83" t="str">
        <f aca="false">IF(OR($H29="—",$H29=""),"—",IF(ISNUMBER(MATCH($H29,SRC_HW!$A$5:$A$400,0)),INDEX(SRC_HW!$O$5:$O$400,MATCH($H29,SRC_HW!$A$5:$A$400,0)),IF(ISNUMBER(MATCH($H29,SRC_DC!$A$5:$A$400,0)),INDEX(SRC_DC!$O$5:$O$400,MATCH($H29,SRC_DC!$A$5:$A$400,0)),IF(ISNUMBER(MATCH($H29,SRC_Model!$A$5:$A$400,0)),INDEX(SRC_Model!$O$5:$O$400,MATCH($H29,SRC_Model!$A$5:$A$400,0)),IF(ISNUMBER(MATCH($H29,SRC_Perf!$A$5:$A$400,0)),INDEX(SRC_Perf!$O$5:$O$400,MATCH($H29,SRC_Perf!$A$5:$A$400,0)),"不存在")))))</f>
        <v>—</v>
      </c>
      <c r="T29" s="83" t="str">
        <f aca="false">IF(OR($H29="—",$H29=""),"—",IF(ISNUMBER(MATCH($H29,SRC_HW!$A$5:$A$400,0)),INDEX(SRC_HW!$K$5:$K$400,MATCH($H29,SRC_HW!$A$5:$A$400,0)),IF(ISNUMBER(MATCH($H29,SRC_DC!$A$5:$A$400,0)),INDEX(SRC_DC!$K$5:$K$400,MATCH($H29,SRC_DC!$A$5:$A$400,0)),IF(ISNUMBER(MATCH($H29,SRC_Model!$A$5:$A$400,0)),INDEX(SRC_Model!$K$5:$K$400,MATCH($H29,SRC_Model!$A$5:$A$400,0)),IF(ISNUMBER(MATCH($H29,SRC_Perf!$A$5:$A$400,0)),INDEX(SRC_Perf!$K$5:$K$400,MATCH($H29,SRC_Perf!$A$5:$A$400,0)),"不存在")))))</f>
        <v>—</v>
      </c>
      <c r="U29" s="52" t="s">
        <v>2302</v>
      </c>
      <c r="V29" s="103" t="n">
        <f aca="false">IF(AND($F29="原始數據",$U29&lt;&gt;"連結 SRC"),1,0)</f>
        <v>0</v>
      </c>
      <c r="W29" s="103" t="n">
        <f aca="false">IF(AND($F29="Analogy",OR($H29="—",$H29="")),1,0)</f>
        <v>0</v>
      </c>
      <c r="X29" s="103" t="n">
        <f aca="false">IF(AND(OR($F29="Analogy",$F29="Assumed"),$G29&lt;&gt;"低",$G29&lt;&gt;"高",NOT(ISNUMBER($K29)),NOT(ISNUMBER($L29)),OR($M29="—",$M29="")),1,0)</f>
        <v>0</v>
      </c>
      <c r="Y29" s="103" t="n">
        <f aca="false">IF(AND(OR($F29="Analogy",$F29="Assumed",$F29="Derived（待改公式）",$F29="Derived（公式）"),OR($N29="—",$N29="",$N29=0)),1,0)</f>
        <v>0</v>
      </c>
      <c r="Z29" s="103" t="n">
        <f aca="false">IF(AND($F29="Decision",OR($J29="—",$J29="")),1,0)</f>
        <v>0</v>
      </c>
      <c r="AA29" s="84" t="n">
        <f aca="false">IF(OR($J29="—",$J29=""),0,IF(COUNTIF(Decisions!$A$5:$A$300,$J29)=0,1,0))</f>
        <v>0</v>
      </c>
      <c r="AB29" s="103" t="n">
        <f aca="false">IF(AND($F29="原始數據",$S29&lt;&gt;"Active"),1,0)</f>
        <v>0</v>
      </c>
      <c r="AC29" s="103" t="n">
        <f aca="false">IF(AND(ISNUMBER($K29),ISNUMBER($L29),ISNUMBER($Q29)),IF(OR($Q29&lt;MIN($K29,$L29),$Q29&gt;MAX($K29,$L29)),1,0),0)</f>
        <v>0</v>
      </c>
      <c r="AD29" s="103" t="n">
        <f aca="false">IF(AND(ISNUMBER($T29),$P29="高"),IF($T29=3,1,0),0)</f>
        <v>0</v>
      </c>
      <c r="AE29" s="103" t="n">
        <f aca="false">IF(AND($S29="不存在",$B29="切片一"),1,0)</f>
        <v>0</v>
      </c>
    </row>
    <row r="30" customFormat="false" ht="29.85" hidden="false" customHeight="false" outlineLevel="0" collapsed="false">
      <c r="A30" s="53" t="s">
        <v>2365</v>
      </c>
      <c r="B30" s="52" t="s">
        <v>2297</v>
      </c>
      <c r="C30" s="53" t="s">
        <v>2298</v>
      </c>
      <c r="D30" s="53" t="s">
        <v>2366</v>
      </c>
      <c r="E30" s="5" t="s">
        <v>2362</v>
      </c>
      <c r="F30" s="53" t="s">
        <v>70</v>
      </c>
      <c r="G30" s="52" t="s">
        <v>1078</v>
      </c>
      <c r="H30" s="53" t="s">
        <v>554</v>
      </c>
      <c r="I30" s="6" t="s">
        <v>554</v>
      </c>
      <c r="J30" s="53" t="s">
        <v>554</v>
      </c>
      <c r="K30" s="52"/>
      <c r="L30" s="52"/>
      <c r="M30" s="53" t="s">
        <v>554</v>
      </c>
      <c r="N30" s="5" t="s">
        <v>2363</v>
      </c>
      <c r="O30" s="6" t="s">
        <v>554</v>
      </c>
      <c r="P30" s="52" t="s">
        <v>2364</v>
      </c>
      <c r="Q30" s="89" t="n">
        <f aca="false">Inputs!D18</f>
        <v>3.8</v>
      </c>
      <c r="R30" s="53" t="s">
        <v>554</v>
      </c>
      <c r="S30" s="83" t="str">
        <f aca="false">IF(OR($H30="—",$H30=""),"—",IF(ISNUMBER(MATCH($H30,SRC_HW!$A$5:$A$400,0)),INDEX(SRC_HW!$O$5:$O$400,MATCH($H30,SRC_HW!$A$5:$A$400,0)),IF(ISNUMBER(MATCH($H30,SRC_DC!$A$5:$A$400,0)),INDEX(SRC_DC!$O$5:$O$400,MATCH($H30,SRC_DC!$A$5:$A$400,0)),IF(ISNUMBER(MATCH($H30,SRC_Model!$A$5:$A$400,0)),INDEX(SRC_Model!$O$5:$O$400,MATCH($H30,SRC_Model!$A$5:$A$400,0)),IF(ISNUMBER(MATCH($H30,SRC_Perf!$A$5:$A$400,0)),INDEX(SRC_Perf!$O$5:$O$400,MATCH($H30,SRC_Perf!$A$5:$A$400,0)),"不存在")))))</f>
        <v>—</v>
      </c>
      <c r="T30" s="83" t="str">
        <f aca="false">IF(OR($H30="—",$H30=""),"—",IF(ISNUMBER(MATCH($H30,SRC_HW!$A$5:$A$400,0)),INDEX(SRC_HW!$K$5:$K$400,MATCH($H30,SRC_HW!$A$5:$A$400,0)),IF(ISNUMBER(MATCH($H30,SRC_DC!$A$5:$A$400,0)),INDEX(SRC_DC!$K$5:$K$400,MATCH($H30,SRC_DC!$A$5:$A$400,0)),IF(ISNUMBER(MATCH($H30,SRC_Model!$A$5:$A$400,0)),INDEX(SRC_Model!$K$5:$K$400,MATCH($H30,SRC_Model!$A$5:$A$400,0)),IF(ISNUMBER(MATCH($H30,SRC_Perf!$A$5:$A$400,0)),INDEX(SRC_Perf!$K$5:$K$400,MATCH($H30,SRC_Perf!$A$5:$A$400,0)),"不存在")))))</f>
        <v>—</v>
      </c>
      <c r="U30" s="52" t="s">
        <v>2302</v>
      </c>
      <c r="V30" s="103" t="n">
        <f aca="false">IF(AND($F30="原始數據",$U30&lt;&gt;"連結 SRC"),1,0)</f>
        <v>0</v>
      </c>
      <c r="W30" s="103" t="n">
        <f aca="false">IF(AND($F30="Analogy",OR($H30="—",$H30="")),1,0)</f>
        <v>0</v>
      </c>
      <c r="X30" s="103" t="n">
        <f aca="false">IF(AND(OR($F30="Analogy",$F30="Assumed"),$G30&lt;&gt;"低",$G30&lt;&gt;"高",NOT(ISNUMBER($K30)),NOT(ISNUMBER($L30)),OR($M30="—",$M30="")),1,0)</f>
        <v>0</v>
      </c>
      <c r="Y30" s="103" t="n">
        <f aca="false">IF(AND(OR($F30="Analogy",$F30="Assumed",$F30="Derived（待改公式）",$F30="Derived（公式）"),OR($N30="—",$N30="",$N30=0)),1,0)</f>
        <v>0</v>
      </c>
      <c r="Z30" s="103" t="n">
        <f aca="false">IF(AND($F30="Decision",OR($J30="—",$J30="")),1,0)</f>
        <v>0</v>
      </c>
      <c r="AA30" s="84" t="n">
        <f aca="false">IF(OR($J30="—",$J30=""),0,IF(COUNTIF(Decisions!$A$5:$A$300,$J30)=0,1,0))</f>
        <v>0</v>
      </c>
      <c r="AB30" s="103" t="n">
        <f aca="false">IF(AND($F30="原始數據",$S30&lt;&gt;"Active"),1,0)</f>
        <v>0</v>
      </c>
      <c r="AC30" s="103" t="n">
        <f aca="false">IF(AND(ISNUMBER($K30),ISNUMBER($L30),ISNUMBER($Q30)),IF(OR($Q30&lt;MIN($K30,$L30),$Q30&gt;MAX($K30,$L30)),1,0),0)</f>
        <v>0</v>
      </c>
      <c r="AD30" s="103" t="n">
        <f aca="false">IF(AND(ISNUMBER($T30),$P30="高"),IF($T30=3,1,0),0)</f>
        <v>0</v>
      </c>
      <c r="AE30" s="103" t="n">
        <f aca="false">IF(AND($S30="不存在",$B30="切片一"),1,0)</f>
        <v>0</v>
      </c>
    </row>
    <row r="31" customFormat="false" ht="29.85" hidden="false" customHeight="false" outlineLevel="0" collapsed="false">
      <c r="A31" s="53" t="s">
        <v>2367</v>
      </c>
      <c r="B31" s="52" t="s">
        <v>2297</v>
      </c>
      <c r="C31" s="53" t="s">
        <v>2298</v>
      </c>
      <c r="D31" s="53" t="s">
        <v>2368</v>
      </c>
      <c r="E31" s="5" t="s">
        <v>2362</v>
      </c>
      <c r="F31" s="53" t="s">
        <v>70</v>
      </c>
      <c r="G31" s="52" t="s">
        <v>1079</v>
      </c>
      <c r="H31" s="53" t="s">
        <v>554</v>
      </c>
      <c r="I31" s="6" t="s">
        <v>554</v>
      </c>
      <c r="J31" s="53" t="s">
        <v>554</v>
      </c>
      <c r="K31" s="52"/>
      <c r="L31" s="52"/>
      <c r="M31" s="53" t="s">
        <v>554</v>
      </c>
      <c r="N31" s="5" t="s">
        <v>2363</v>
      </c>
      <c r="O31" s="6" t="s">
        <v>554</v>
      </c>
      <c r="P31" s="52" t="s">
        <v>2364</v>
      </c>
      <c r="Q31" s="89" t="n">
        <f aca="false">Inputs!F18</f>
        <v>5.5</v>
      </c>
      <c r="R31" s="53" t="s">
        <v>554</v>
      </c>
      <c r="S31" s="83" t="str">
        <f aca="false">IF(OR($H31="—",$H31=""),"—",IF(ISNUMBER(MATCH($H31,SRC_HW!$A$5:$A$400,0)),INDEX(SRC_HW!$O$5:$O$400,MATCH($H31,SRC_HW!$A$5:$A$400,0)),IF(ISNUMBER(MATCH($H31,SRC_DC!$A$5:$A$400,0)),INDEX(SRC_DC!$O$5:$O$400,MATCH($H31,SRC_DC!$A$5:$A$400,0)),IF(ISNUMBER(MATCH($H31,SRC_Model!$A$5:$A$400,0)),INDEX(SRC_Model!$O$5:$O$400,MATCH($H31,SRC_Model!$A$5:$A$400,0)),IF(ISNUMBER(MATCH($H31,SRC_Perf!$A$5:$A$400,0)),INDEX(SRC_Perf!$O$5:$O$400,MATCH($H31,SRC_Perf!$A$5:$A$400,0)),"不存在")))))</f>
        <v>—</v>
      </c>
      <c r="T31" s="83" t="str">
        <f aca="false">IF(OR($H31="—",$H31=""),"—",IF(ISNUMBER(MATCH($H31,SRC_HW!$A$5:$A$400,0)),INDEX(SRC_HW!$K$5:$K$400,MATCH($H31,SRC_HW!$A$5:$A$400,0)),IF(ISNUMBER(MATCH($H31,SRC_DC!$A$5:$A$400,0)),INDEX(SRC_DC!$K$5:$K$400,MATCH($H31,SRC_DC!$A$5:$A$400,0)),IF(ISNUMBER(MATCH($H31,SRC_Model!$A$5:$A$400,0)),INDEX(SRC_Model!$K$5:$K$400,MATCH($H31,SRC_Model!$A$5:$A$400,0)),IF(ISNUMBER(MATCH($H31,SRC_Perf!$A$5:$A$400,0)),INDEX(SRC_Perf!$K$5:$K$400,MATCH($H31,SRC_Perf!$A$5:$A$400,0)),"不存在")))))</f>
        <v>—</v>
      </c>
      <c r="U31" s="52" t="s">
        <v>2302</v>
      </c>
      <c r="V31" s="103" t="n">
        <f aca="false">IF(AND($F31="原始數據",$U31&lt;&gt;"連結 SRC"),1,0)</f>
        <v>0</v>
      </c>
      <c r="W31" s="103" t="n">
        <f aca="false">IF(AND($F31="Analogy",OR($H31="—",$H31="")),1,0)</f>
        <v>0</v>
      </c>
      <c r="X31" s="103" t="n">
        <f aca="false">IF(AND(OR($F31="Analogy",$F31="Assumed"),$G31&lt;&gt;"低",$G31&lt;&gt;"高",NOT(ISNUMBER($K31)),NOT(ISNUMBER($L31)),OR($M31="—",$M31="")),1,0)</f>
        <v>0</v>
      </c>
      <c r="Y31" s="103" t="n">
        <f aca="false">IF(AND(OR($F31="Analogy",$F31="Assumed",$F31="Derived（待改公式）",$F31="Derived（公式）"),OR($N31="—",$N31="",$N31=0)),1,0)</f>
        <v>0</v>
      </c>
      <c r="Z31" s="103" t="n">
        <f aca="false">IF(AND($F31="Decision",OR($J31="—",$J31="")),1,0)</f>
        <v>0</v>
      </c>
      <c r="AA31" s="84" t="n">
        <f aca="false">IF(OR($J31="—",$J31=""),0,IF(COUNTIF(Decisions!$A$5:$A$300,$J31)=0,1,0))</f>
        <v>0</v>
      </c>
      <c r="AB31" s="103" t="n">
        <f aca="false">IF(AND($F31="原始數據",$S31&lt;&gt;"Active"),1,0)</f>
        <v>0</v>
      </c>
      <c r="AC31" s="103" t="n">
        <f aca="false">IF(AND(ISNUMBER($K31),ISNUMBER($L31),ISNUMBER($Q31)),IF(OR($Q31&lt;MIN($K31,$L31),$Q31&gt;MAX($K31,$L31)),1,0),0)</f>
        <v>0</v>
      </c>
      <c r="AD31" s="103" t="n">
        <f aca="false">IF(AND(ISNUMBER($T31),$P31="高"),IF($T31=3,1,0),0)</f>
        <v>0</v>
      </c>
      <c r="AE31" s="103" t="n">
        <f aca="false">IF(AND($S31="不存在",$B31="切片一"),1,0)</f>
        <v>0</v>
      </c>
    </row>
    <row r="32" customFormat="false" ht="29.85" hidden="false" customHeight="false" outlineLevel="0" collapsed="false">
      <c r="A32" s="53" t="s">
        <v>2369</v>
      </c>
      <c r="B32" s="52" t="s">
        <v>2297</v>
      </c>
      <c r="C32" s="53" t="s">
        <v>2298</v>
      </c>
      <c r="D32" s="53" t="s">
        <v>2370</v>
      </c>
      <c r="E32" s="5" t="s">
        <v>96</v>
      </c>
      <c r="F32" s="53" t="s">
        <v>70</v>
      </c>
      <c r="G32" s="52" t="s">
        <v>55</v>
      </c>
      <c r="H32" s="53" t="s">
        <v>554</v>
      </c>
      <c r="I32" s="6" t="s">
        <v>554</v>
      </c>
      <c r="J32" s="53" t="s">
        <v>554</v>
      </c>
      <c r="K32" s="89" t="n">
        <f aca="false">Inputs!$D$19</f>
        <v>2</v>
      </c>
      <c r="L32" s="89" t="n">
        <f aca="false">Inputs!$F$19</f>
        <v>3.2</v>
      </c>
      <c r="M32" s="53" t="s">
        <v>554</v>
      </c>
      <c r="N32" s="204" t="str">
        <f aca="false">Inputs!$H$19</f>
        <v>機架內冷板與 manifold 含在機架價格</v>
      </c>
      <c r="O32" s="6" t="s">
        <v>554</v>
      </c>
      <c r="P32" s="52" t="s">
        <v>1078</v>
      </c>
      <c r="Q32" s="89" t="n">
        <f aca="false">Inputs!E19</f>
        <v>2.5</v>
      </c>
      <c r="R32" s="53" t="s">
        <v>554</v>
      </c>
      <c r="S32" s="83" t="str">
        <f aca="false">IF(OR($H32="—",$H32=""),"—",IF(ISNUMBER(MATCH($H32,SRC_HW!$A$5:$A$400,0)),INDEX(SRC_HW!$O$5:$O$400,MATCH($H32,SRC_HW!$A$5:$A$400,0)),IF(ISNUMBER(MATCH($H32,SRC_DC!$A$5:$A$400,0)),INDEX(SRC_DC!$O$5:$O$400,MATCH($H32,SRC_DC!$A$5:$A$400,0)),IF(ISNUMBER(MATCH($H32,SRC_Model!$A$5:$A$400,0)),INDEX(SRC_Model!$O$5:$O$400,MATCH($H32,SRC_Model!$A$5:$A$400,0)),IF(ISNUMBER(MATCH($H32,SRC_Perf!$A$5:$A$400,0)),INDEX(SRC_Perf!$O$5:$O$400,MATCH($H32,SRC_Perf!$A$5:$A$400,0)),"不存在")))))</f>
        <v>—</v>
      </c>
      <c r="T32" s="83" t="str">
        <f aca="false">IF(OR($H32="—",$H32=""),"—",IF(ISNUMBER(MATCH($H32,SRC_HW!$A$5:$A$400,0)),INDEX(SRC_HW!$K$5:$K$400,MATCH($H32,SRC_HW!$A$5:$A$400,0)),IF(ISNUMBER(MATCH($H32,SRC_DC!$A$5:$A$400,0)),INDEX(SRC_DC!$K$5:$K$400,MATCH($H32,SRC_DC!$A$5:$A$400,0)),IF(ISNUMBER(MATCH($H32,SRC_Model!$A$5:$A$400,0)),INDEX(SRC_Model!$K$5:$K$400,MATCH($H32,SRC_Model!$A$5:$A$400,0)),IF(ISNUMBER(MATCH($H32,SRC_Perf!$A$5:$A$400,0)),INDEX(SRC_Perf!$K$5:$K$400,MATCH($H32,SRC_Perf!$A$5:$A$400,0)),"不存在")))))</f>
        <v>—</v>
      </c>
      <c r="U32" s="52" t="s">
        <v>2302</v>
      </c>
      <c r="V32" s="103" t="n">
        <f aca="false">IF(AND($F32="原始數據",$U32&lt;&gt;"連結 SRC"),1,0)</f>
        <v>0</v>
      </c>
      <c r="W32" s="103" t="n">
        <f aca="false">IF(AND($F32="Analogy",OR($H32="—",$H32="")),1,0)</f>
        <v>0</v>
      </c>
      <c r="X32" s="103" t="n">
        <f aca="false">IF(AND(OR($F32="Analogy",$F32="Assumed"),$G32&lt;&gt;"低",$G32&lt;&gt;"高",NOT(ISNUMBER($K32)),NOT(ISNUMBER($L32)),OR($M32="—",$M32="")),1,0)</f>
        <v>0</v>
      </c>
      <c r="Y32" s="103" t="n">
        <f aca="false">IF(AND(OR($F32="Analogy",$F32="Assumed",$F32="Derived（待改公式）",$F32="Derived（公式）"),OR($N32="—",$N32="",$N32=0)),1,0)</f>
        <v>0</v>
      </c>
      <c r="Z32" s="103" t="n">
        <f aca="false">IF(AND($F32="Decision",OR($J32="—",$J32="")),1,0)</f>
        <v>0</v>
      </c>
      <c r="AA32" s="84" t="n">
        <f aca="false">IF(OR($J32="—",$J32=""),0,IF(COUNTIF(Decisions!$A$5:$A$300,$J32)=0,1,0))</f>
        <v>0</v>
      </c>
      <c r="AB32" s="103" t="n">
        <f aca="false">IF(AND($F32="原始數據",$S32&lt;&gt;"Active"),1,0)</f>
        <v>0</v>
      </c>
      <c r="AC32" s="103" t="n">
        <f aca="false">IF(AND(ISNUMBER($K32),ISNUMBER($L32),ISNUMBER($Q32)),IF(OR($Q32&lt;MIN($K32,$L32),$Q32&gt;MAX($K32,$L32)),1,0),0)</f>
        <v>0</v>
      </c>
      <c r="AD32" s="103" t="n">
        <f aca="false">IF(AND(ISNUMBER($T32),$P32="高"),IF($T32=3,1,0),0)</f>
        <v>0</v>
      </c>
      <c r="AE32" s="103" t="n">
        <f aca="false">IF(AND($S32="不存在",$B32="切片一"),1,0)</f>
        <v>0</v>
      </c>
    </row>
    <row r="33" customFormat="false" ht="29.85" hidden="false" customHeight="false" outlineLevel="0" collapsed="false">
      <c r="A33" s="53" t="s">
        <v>2371</v>
      </c>
      <c r="B33" s="52" t="s">
        <v>2297</v>
      </c>
      <c r="C33" s="53" t="s">
        <v>2298</v>
      </c>
      <c r="D33" s="53" t="s">
        <v>2372</v>
      </c>
      <c r="E33" s="5" t="s">
        <v>96</v>
      </c>
      <c r="F33" s="53" t="s">
        <v>70</v>
      </c>
      <c r="G33" s="52" t="s">
        <v>1078</v>
      </c>
      <c r="H33" s="53" t="s">
        <v>554</v>
      </c>
      <c r="I33" s="6" t="s">
        <v>554</v>
      </c>
      <c r="J33" s="53" t="s">
        <v>554</v>
      </c>
      <c r="K33" s="52"/>
      <c r="L33" s="52"/>
      <c r="M33" s="53" t="s">
        <v>554</v>
      </c>
      <c r="N33" s="204" t="str">
        <f aca="false">Inputs!$H$19</f>
        <v>機架內冷板與 manifold 含在機架價格</v>
      </c>
      <c r="O33" s="6" t="s">
        <v>554</v>
      </c>
      <c r="P33" s="52" t="s">
        <v>1078</v>
      </c>
      <c r="Q33" s="89" t="n">
        <f aca="false">Inputs!D19</f>
        <v>2</v>
      </c>
      <c r="R33" s="53" t="s">
        <v>554</v>
      </c>
      <c r="S33" s="83" t="str">
        <f aca="false">IF(OR($H33="—",$H33=""),"—",IF(ISNUMBER(MATCH($H33,SRC_HW!$A$5:$A$400,0)),INDEX(SRC_HW!$O$5:$O$400,MATCH($H33,SRC_HW!$A$5:$A$400,0)),IF(ISNUMBER(MATCH($H33,SRC_DC!$A$5:$A$400,0)),INDEX(SRC_DC!$O$5:$O$400,MATCH($H33,SRC_DC!$A$5:$A$400,0)),IF(ISNUMBER(MATCH($H33,SRC_Model!$A$5:$A$400,0)),INDEX(SRC_Model!$O$5:$O$400,MATCH($H33,SRC_Model!$A$5:$A$400,0)),IF(ISNUMBER(MATCH($H33,SRC_Perf!$A$5:$A$400,0)),INDEX(SRC_Perf!$O$5:$O$400,MATCH($H33,SRC_Perf!$A$5:$A$400,0)),"不存在")))))</f>
        <v>—</v>
      </c>
      <c r="T33" s="83" t="str">
        <f aca="false">IF(OR($H33="—",$H33=""),"—",IF(ISNUMBER(MATCH($H33,SRC_HW!$A$5:$A$400,0)),INDEX(SRC_HW!$K$5:$K$400,MATCH($H33,SRC_HW!$A$5:$A$400,0)),IF(ISNUMBER(MATCH($H33,SRC_DC!$A$5:$A$400,0)),INDEX(SRC_DC!$K$5:$K$400,MATCH($H33,SRC_DC!$A$5:$A$400,0)),IF(ISNUMBER(MATCH($H33,SRC_Model!$A$5:$A$400,0)),INDEX(SRC_Model!$K$5:$K$400,MATCH($H33,SRC_Model!$A$5:$A$400,0)),IF(ISNUMBER(MATCH($H33,SRC_Perf!$A$5:$A$400,0)),INDEX(SRC_Perf!$K$5:$K$400,MATCH($H33,SRC_Perf!$A$5:$A$400,0)),"不存在")))))</f>
        <v>—</v>
      </c>
      <c r="U33" s="52" t="s">
        <v>2302</v>
      </c>
      <c r="V33" s="103" t="n">
        <f aca="false">IF(AND($F33="原始數據",$U33&lt;&gt;"連結 SRC"),1,0)</f>
        <v>0</v>
      </c>
      <c r="W33" s="103" t="n">
        <f aca="false">IF(AND($F33="Analogy",OR($H33="—",$H33="")),1,0)</f>
        <v>0</v>
      </c>
      <c r="X33" s="103" t="n">
        <f aca="false">IF(AND(OR($F33="Analogy",$F33="Assumed"),$G33&lt;&gt;"低",$G33&lt;&gt;"高",NOT(ISNUMBER($K33)),NOT(ISNUMBER($L33)),OR($M33="—",$M33="")),1,0)</f>
        <v>0</v>
      </c>
      <c r="Y33" s="103" t="n">
        <f aca="false">IF(AND(OR($F33="Analogy",$F33="Assumed",$F33="Derived（待改公式）",$F33="Derived（公式）"),OR($N33="—",$N33="",$N33=0)),1,0)</f>
        <v>0</v>
      </c>
      <c r="Z33" s="103" t="n">
        <f aca="false">IF(AND($F33="Decision",OR($J33="—",$J33="")),1,0)</f>
        <v>0</v>
      </c>
      <c r="AA33" s="84" t="n">
        <f aca="false">IF(OR($J33="—",$J33=""),0,IF(COUNTIF(Decisions!$A$5:$A$300,$J33)=0,1,0))</f>
        <v>0</v>
      </c>
      <c r="AB33" s="103" t="n">
        <f aca="false">IF(AND($F33="原始數據",$S33&lt;&gt;"Active"),1,0)</f>
        <v>0</v>
      </c>
      <c r="AC33" s="103" t="n">
        <f aca="false">IF(AND(ISNUMBER($K33),ISNUMBER($L33),ISNUMBER($Q33)),IF(OR($Q33&lt;MIN($K33,$L33),$Q33&gt;MAX($K33,$L33)),1,0),0)</f>
        <v>0</v>
      </c>
      <c r="AD33" s="103" t="n">
        <f aca="false">IF(AND(ISNUMBER($T33),$P33="高"),IF($T33=3,1,0),0)</f>
        <v>0</v>
      </c>
      <c r="AE33" s="103" t="n">
        <f aca="false">IF(AND($S33="不存在",$B33="切片一"),1,0)</f>
        <v>0</v>
      </c>
    </row>
    <row r="34" customFormat="false" ht="29.85" hidden="false" customHeight="false" outlineLevel="0" collapsed="false">
      <c r="A34" s="53" t="s">
        <v>2373</v>
      </c>
      <c r="B34" s="52" t="s">
        <v>2297</v>
      </c>
      <c r="C34" s="53" t="s">
        <v>2298</v>
      </c>
      <c r="D34" s="53" t="s">
        <v>2374</v>
      </c>
      <c r="E34" s="5" t="s">
        <v>96</v>
      </c>
      <c r="F34" s="53" t="s">
        <v>70</v>
      </c>
      <c r="G34" s="52" t="s">
        <v>1079</v>
      </c>
      <c r="H34" s="53" t="s">
        <v>554</v>
      </c>
      <c r="I34" s="6" t="s">
        <v>554</v>
      </c>
      <c r="J34" s="53" t="s">
        <v>554</v>
      </c>
      <c r="K34" s="52"/>
      <c r="L34" s="52"/>
      <c r="M34" s="53" t="s">
        <v>554</v>
      </c>
      <c r="N34" s="204" t="str">
        <f aca="false">Inputs!$H$19</f>
        <v>機架內冷板與 manifold 含在機架價格</v>
      </c>
      <c r="O34" s="6" t="s">
        <v>554</v>
      </c>
      <c r="P34" s="52" t="s">
        <v>1078</v>
      </c>
      <c r="Q34" s="89" t="n">
        <f aca="false">Inputs!F19</f>
        <v>3.2</v>
      </c>
      <c r="R34" s="53" t="s">
        <v>554</v>
      </c>
      <c r="S34" s="83" t="str">
        <f aca="false">IF(OR($H34="—",$H34=""),"—",IF(ISNUMBER(MATCH($H34,SRC_HW!$A$5:$A$400,0)),INDEX(SRC_HW!$O$5:$O$400,MATCH($H34,SRC_HW!$A$5:$A$400,0)),IF(ISNUMBER(MATCH($H34,SRC_DC!$A$5:$A$400,0)),INDEX(SRC_DC!$O$5:$O$400,MATCH($H34,SRC_DC!$A$5:$A$400,0)),IF(ISNUMBER(MATCH($H34,SRC_Model!$A$5:$A$400,0)),INDEX(SRC_Model!$O$5:$O$400,MATCH($H34,SRC_Model!$A$5:$A$400,0)),IF(ISNUMBER(MATCH($H34,SRC_Perf!$A$5:$A$400,0)),INDEX(SRC_Perf!$O$5:$O$400,MATCH($H34,SRC_Perf!$A$5:$A$400,0)),"不存在")))))</f>
        <v>—</v>
      </c>
      <c r="T34" s="83" t="str">
        <f aca="false">IF(OR($H34="—",$H34=""),"—",IF(ISNUMBER(MATCH($H34,SRC_HW!$A$5:$A$400,0)),INDEX(SRC_HW!$K$5:$K$400,MATCH($H34,SRC_HW!$A$5:$A$400,0)),IF(ISNUMBER(MATCH($H34,SRC_DC!$A$5:$A$400,0)),INDEX(SRC_DC!$K$5:$K$400,MATCH($H34,SRC_DC!$A$5:$A$400,0)),IF(ISNUMBER(MATCH($H34,SRC_Model!$A$5:$A$400,0)),INDEX(SRC_Model!$K$5:$K$400,MATCH($H34,SRC_Model!$A$5:$A$400,0)),IF(ISNUMBER(MATCH($H34,SRC_Perf!$A$5:$A$400,0)),INDEX(SRC_Perf!$K$5:$K$400,MATCH($H34,SRC_Perf!$A$5:$A$400,0)),"不存在")))))</f>
        <v>—</v>
      </c>
      <c r="U34" s="52" t="s">
        <v>2302</v>
      </c>
      <c r="V34" s="103" t="n">
        <f aca="false">IF(AND($F34="原始數據",$U34&lt;&gt;"連結 SRC"),1,0)</f>
        <v>0</v>
      </c>
      <c r="W34" s="103" t="n">
        <f aca="false">IF(AND($F34="Analogy",OR($H34="—",$H34="")),1,0)</f>
        <v>0</v>
      </c>
      <c r="X34" s="103" t="n">
        <f aca="false">IF(AND(OR($F34="Analogy",$F34="Assumed"),$G34&lt;&gt;"低",$G34&lt;&gt;"高",NOT(ISNUMBER($K34)),NOT(ISNUMBER($L34)),OR($M34="—",$M34="")),1,0)</f>
        <v>0</v>
      </c>
      <c r="Y34" s="103" t="n">
        <f aca="false">IF(AND(OR($F34="Analogy",$F34="Assumed",$F34="Derived（待改公式）",$F34="Derived（公式）"),OR($N34="—",$N34="",$N34=0)),1,0)</f>
        <v>0</v>
      </c>
      <c r="Z34" s="103" t="n">
        <f aca="false">IF(AND($F34="Decision",OR($J34="—",$J34="")),1,0)</f>
        <v>0</v>
      </c>
      <c r="AA34" s="84" t="n">
        <f aca="false">IF(OR($J34="—",$J34=""),0,IF(COUNTIF(Decisions!$A$5:$A$300,$J34)=0,1,0))</f>
        <v>0</v>
      </c>
      <c r="AB34" s="103" t="n">
        <f aca="false">IF(AND($F34="原始數據",$S34&lt;&gt;"Active"),1,0)</f>
        <v>0</v>
      </c>
      <c r="AC34" s="103" t="n">
        <f aca="false">IF(AND(ISNUMBER($K34),ISNUMBER($L34),ISNUMBER($Q34)),IF(OR($Q34&lt;MIN($K34,$L34),$Q34&gt;MAX($K34,$L34)),1,0),0)</f>
        <v>0</v>
      </c>
      <c r="AD34" s="103" t="n">
        <f aca="false">IF(AND(ISNUMBER($T34),$P34="高"),IF($T34=3,1,0),0)</f>
        <v>0</v>
      </c>
      <c r="AE34" s="103" t="n">
        <f aca="false">IF(AND($S34="不存在",$B34="切片一"),1,0)</f>
        <v>0</v>
      </c>
    </row>
    <row r="35" customFormat="false" ht="15" hidden="false" customHeight="false" outlineLevel="0" collapsed="false">
      <c r="A35" s="53" t="s">
        <v>2375</v>
      </c>
      <c r="B35" s="52" t="s">
        <v>2297</v>
      </c>
      <c r="C35" s="53" t="s">
        <v>2298</v>
      </c>
      <c r="D35" s="53" t="s">
        <v>2376</v>
      </c>
      <c r="E35" s="5" t="s">
        <v>2377</v>
      </c>
      <c r="F35" s="53" t="s">
        <v>70</v>
      </c>
      <c r="G35" s="52" t="s">
        <v>55</v>
      </c>
      <c r="H35" s="53" t="s">
        <v>554</v>
      </c>
      <c r="I35" s="6" t="s">
        <v>554</v>
      </c>
      <c r="J35" s="53" t="s">
        <v>554</v>
      </c>
      <c r="K35" s="89" t="n">
        <f aca="false">Inputs!$D$20</f>
        <v>0.3</v>
      </c>
      <c r="L35" s="89" t="n">
        <f aca="false">Inputs!$F$20</f>
        <v>0.5</v>
      </c>
      <c r="M35" s="53" t="s">
        <v>554</v>
      </c>
      <c r="N35" s="5" t="s">
        <v>2378</v>
      </c>
      <c r="O35" s="6" t="s">
        <v>554</v>
      </c>
      <c r="P35" s="52" t="s">
        <v>1078</v>
      </c>
      <c r="Q35" s="89" t="n">
        <f aca="false">Inputs!E20</f>
        <v>0.4</v>
      </c>
      <c r="R35" s="53" t="s">
        <v>554</v>
      </c>
      <c r="S35" s="83" t="str">
        <f aca="false">IF(OR($H35="—",$H35=""),"—",IF(ISNUMBER(MATCH($H35,SRC_HW!$A$5:$A$400,0)),INDEX(SRC_HW!$O$5:$O$400,MATCH($H35,SRC_HW!$A$5:$A$400,0)),IF(ISNUMBER(MATCH($H35,SRC_DC!$A$5:$A$400,0)),INDEX(SRC_DC!$O$5:$O$400,MATCH($H35,SRC_DC!$A$5:$A$400,0)),IF(ISNUMBER(MATCH($H35,SRC_Model!$A$5:$A$400,0)),INDEX(SRC_Model!$O$5:$O$400,MATCH($H35,SRC_Model!$A$5:$A$400,0)),IF(ISNUMBER(MATCH($H35,SRC_Perf!$A$5:$A$400,0)),INDEX(SRC_Perf!$O$5:$O$400,MATCH($H35,SRC_Perf!$A$5:$A$400,0)),"不存在")))))</f>
        <v>—</v>
      </c>
      <c r="T35" s="83" t="str">
        <f aca="false">IF(OR($H35="—",$H35=""),"—",IF(ISNUMBER(MATCH($H35,SRC_HW!$A$5:$A$400,0)),INDEX(SRC_HW!$K$5:$K$400,MATCH($H35,SRC_HW!$A$5:$A$400,0)),IF(ISNUMBER(MATCH($H35,SRC_DC!$A$5:$A$400,0)),INDEX(SRC_DC!$K$5:$K$400,MATCH($H35,SRC_DC!$A$5:$A$400,0)),IF(ISNUMBER(MATCH($H35,SRC_Model!$A$5:$A$400,0)),INDEX(SRC_Model!$K$5:$K$400,MATCH($H35,SRC_Model!$A$5:$A$400,0)),IF(ISNUMBER(MATCH($H35,SRC_Perf!$A$5:$A$400,0)),INDEX(SRC_Perf!$K$5:$K$400,MATCH($H35,SRC_Perf!$A$5:$A$400,0)),"不存在")))))</f>
        <v>—</v>
      </c>
      <c r="U35" s="52" t="s">
        <v>2302</v>
      </c>
      <c r="V35" s="103" t="n">
        <f aca="false">IF(AND($F35="原始數據",$U35&lt;&gt;"連結 SRC"),1,0)</f>
        <v>0</v>
      </c>
      <c r="W35" s="103" t="n">
        <f aca="false">IF(AND($F35="Analogy",OR($H35="—",$H35="")),1,0)</f>
        <v>0</v>
      </c>
      <c r="X35" s="103" t="n">
        <f aca="false">IF(AND(OR($F35="Analogy",$F35="Assumed"),$G35&lt;&gt;"低",$G35&lt;&gt;"高",NOT(ISNUMBER($K35)),NOT(ISNUMBER($L35)),OR($M35="—",$M35="")),1,0)</f>
        <v>0</v>
      </c>
      <c r="Y35" s="103" t="n">
        <f aca="false">IF(AND(OR($F35="Analogy",$F35="Assumed",$F35="Derived（待改公式）",$F35="Derived（公式）"),OR($N35="—",$N35="",$N35=0)),1,0)</f>
        <v>0</v>
      </c>
      <c r="Z35" s="103" t="n">
        <f aca="false">IF(AND($F35="Decision",OR($J35="—",$J35="")),1,0)</f>
        <v>0</v>
      </c>
      <c r="AA35" s="84" t="n">
        <f aca="false">IF(OR($J35="—",$J35=""),0,IF(COUNTIF(Decisions!$A$5:$A$300,$J35)=0,1,0))</f>
        <v>0</v>
      </c>
      <c r="AB35" s="103" t="n">
        <f aca="false">IF(AND($F35="原始數據",$S35&lt;&gt;"Active"),1,0)</f>
        <v>0</v>
      </c>
      <c r="AC35" s="103" t="n">
        <f aca="false">IF(AND(ISNUMBER($K35),ISNUMBER($L35),ISNUMBER($Q35)),IF(OR($Q35&lt;MIN($K35,$L35),$Q35&gt;MAX($K35,$L35)),1,0),0)</f>
        <v>0</v>
      </c>
      <c r="AD35" s="103" t="n">
        <f aca="false">IF(AND(ISNUMBER($T35),$P35="高"),IF($T35=3,1,0),0)</f>
        <v>0</v>
      </c>
      <c r="AE35" s="103" t="n">
        <f aca="false">IF(AND($S35="不存在",$B35="切片一"),1,0)</f>
        <v>0</v>
      </c>
    </row>
    <row r="36" customFormat="false" ht="15" hidden="false" customHeight="false" outlineLevel="0" collapsed="false">
      <c r="A36" s="53" t="s">
        <v>2379</v>
      </c>
      <c r="B36" s="52" t="s">
        <v>2297</v>
      </c>
      <c r="C36" s="53" t="s">
        <v>2298</v>
      </c>
      <c r="D36" s="53" t="s">
        <v>2380</v>
      </c>
      <c r="E36" s="5" t="s">
        <v>2377</v>
      </c>
      <c r="F36" s="53" t="s">
        <v>70</v>
      </c>
      <c r="G36" s="52" t="s">
        <v>1078</v>
      </c>
      <c r="H36" s="53" t="s">
        <v>554</v>
      </c>
      <c r="I36" s="6" t="s">
        <v>554</v>
      </c>
      <c r="J36" s="53" t="s">
        <v>554</v>
      </c>
      <c r="K36" s="52"/>
      <c r="L36" s="52"/>
      <c r="M36" s="53" t="s">
        <v>554</v>
      </c>
      <c r="N36" s="5" t="s">
        <v>2378</v>
      </c>
      <c r="O36" s="6" t="s">
        <v>554</v>
      </c>
      <c r="P36" s="52" t="s">
        <v>1078</v>
      </c>
      <c r="Q36" s="89" t="n">
        <f aca="false">Inputs!D20</f>
        <v>0.3</v>
      </c>
      <c r="R36" s="53" t="s">
        <v>554</v>
      </c>
      <c r="S36" s="83" t="str">
        <f aca="false">IF(OR($H36="—",$H36=""),"—",IF(ISNUMBER(MATCH($H36,SRC_HW!$A$5:$A$400,0)),INDEX(SRC_HW!$O$5:$O$400,MATCH($H36,SRC_HW!$A$5:$A$400,0)),IF(ISNUMBER(MATCH($H36,SRC_DC!$A$5:$A$400,0)),INDEX(SRC_DC!$O$5:$O$400,MATCH($H36,SRC_DC!$A$5:$A$400,0)),IF(ISNUMBER(MATCH($H36,SRC_Model!$A$5:$A$400,0)),INDEX(SRC_Model!$O$5:$O$400,MATCH($H36,SRC_Model!$A$5:$A$400,0)),IF(ISNUMBER(MATCH($H36,SRC_Perf!$A$5:$A$400,0)),INDEX(SRC_Perf!$O$5:$O$400,MATCH($H36,SRC_Perf!$A$5:$A$400,0)),"不存在")))))</f>
        <v>—</v>
      </c>
      <c r="T36" s="83" t="str">
        <f aca="false">IF(OR($H36="—",$H36=""),"—",IF(ISNUMBER(MATCH($H36,SRC_HW!$A$5:$A$400,0)),INDEX(SRC_HW!$K$5:$K$400,MATCH($H36,SRC_HW!$A$5:$A$400,0)),IF(ISNUMBER(MATCH($H36,SRC_DC!$A$5:$A$400,0)),INDEX(SRC_DC!$K$5:$K$400,MATCH($H36,SRC_DC!$A$5:$A$400,0)),IF(ISNUMBER(MATCH($H36,SRC_Model!$A$5:$A$400,0)),INDEX(SRC_Model!$K$5:$K$400,MATCH($H36,SRC_Model!$A$5:$A$400,0)),IF(ISNUMBER(MATCH($H36,SRC_Perf!$A$5:$A$400,0)),INDEX(SRC_Perf!$K$5:$K$400,MATCH($H36,SRC_Perf!$A$5:$A$400,0)),"不存在")))))</f>
        <v>—</v>
      </c>
      <c r="U36" s="52" t="s">
        <v>2302</v>
      </c>
      <c r="V36" s="103" t="n">
        <f aca="false">IF(AND($F36="原始數據",$U36&lt;&gt;"連結 SRC"),1,0)</f>
        <v>0</v>
      </c>
      <c r="W36" s="103" t="n">
        <f aca="false">IF(AND($F36="Analogy",OR($H36="—",$H36="")),1,0)</f>
        <v>0</v>
      </c>
      <c r="X36" s="103" t="n">
        <f aca="false">IF(AND(OR($F36="Analogy",$F36="Assumed"),$G36&lt;&gt;"低",$G36&lt;&gt;"高",NOT(ISNUMBER($K36)),NOT(ISNUMBER($L36)),OR($M36="—",$M36="")),1,0)</f>
        <v>0</v>
      </c>
      <c r="Y36" s="103" t="n">
        <f aca="false">IF(AND(OR($F36="Analogy",$F36="Assumed",$F36="Derived（待改公式）",$F36="Derived（公式）"),OR($N36="—",$N36="",$N36=0)),1,0)</f>
        <v>0</v>
      </c>
      <c r="Z36" s="103" t="n">
        <f aca="false">IF(AND($F36="Decision",OR($J36="—",$J36="")),1,0)</f>
        <v>0</v>
      </c>
      <c r="AA36" s="84" t="n">
        <f aca="false">IF(OR($J36="—",$J36=""),0,IF(COUNTIF(Decisions!$A$5:$A$300,$J36)=0,1,0))</f>
        <v>0</v>
      </c>
      <c r="AB36" s="103" t="n">
        <f aca="false">IF(AND($F36="原始數據",$S36&lt;&gt;"Active"),1,0)</f>
        <v>0</v>
      </c>
      <c r="AC36" s="103" t="n">
        <f aca="false">IF(AND(ISNUMBER($K36),ISNUMBER($L36),ISNUMBER($Q36)),IF(OR($Q36&lt;MIN($K36,$L36),$Q36&gt;MAX($K36,$L36)),1,0),0)</f>
        <v>0</v>
      </c>
      <c r="AD36" s="103" t="n">
        <f aca="false">IF(AND(ISNUMBER($T36),$P36="高"),IF($T36=3,1,0),0)</f>
        <v>0</v>
      </c>
      <c r="AE36" s="103" t="n">
        <f aca="false">IF(AND($S36="不存在",$B36="切片一"),1,0)</f>
        <v>0</v>
      </c>
    </row>
    <row r="37" customFormat="false" ht="15" hidden="false" customHeight="false" outlineLevel="0" collapsed="false">
      <c r="A37" s="53" t="s">
        <v>2381</v>
      </c>
      <c r="B37" s="52" t="s">
        <v>2297</v>
      </c>
      <c r="C37" s="53" t="s">
        <v>2298</v>
      </c>
      <c r="D37" s="53" t="s">
        <v>2382</v>
      </c>
      <c r="E37" s="5" t="s">
        <v>2377</v>
      </c>
      <c r="F37" s="53" t="s">
        <v>70</v>
      </c>
      <c r="G37" s="52" t="s">
        <v>1079</v>
      </c>
      <c r="H37" s="53" t="s">
        <v>554</v>
      </c>
      <c r="I37" s="6" t="s">
        <v>554</v>
      </c>
      <c r="J37" s="53" t="s">
        <v>554</v>
      </c>
      <c r="K37" s="52"/>
      <c r="L37" s="52"/>
      <c r="M37" s="53" t="s">
        <v>554</v>
      </c>
      <c r="N37" s="5" t="s">
        <v>2378</v>
      </c>
      <c r="O37" s="6" t="s">
        <v>554</v>
      </c>
      <c r="P37" s="52" t="s">
        <v>1078</v>
      </c>
      <c r="Q37" s="89" t="n">
        <f aca="false">Inputs!F20</f>
        <v>0.5</v>
      </c>
      <c r="R37" s="53" t="s">
        <v>554</v>
      </c>
      <c r="S37" s="83" t="str">
        <f aca="false">IF(OR($H37="—",$H37=""),"—",IF(ISNUMBER(MATCH($H37,SRC_HW!$A$5:$A$400,0)),INDEX(SRC_HW!$O$5:$O$400,MATCH($H37,SRC_HW!$A$5:$A$400,0)),IF(ISNUMBER(MATCH($H37,SRC_DC!$A$5:$A$400,0)),INDEX(SRC_DC!$O$5:$O$400,MATCH($H37,SRC_DC!$A$5:$A$400,0)),IF(ISNUMBER(MATCH($H37,SRC_Model!$A$5:$A$400,0)),INDEX(SRC_Model!$O$5:$O$400,MATCH($H37,SRC_Model!$A$5:$A$400,0)),IF(ISNUMBER(MATCH($H37,SRC_Perf!$A$5:$A$400,0)),INDEX(SRC_Perf!$O$5:$O$400,MATCH($H37,SRC_Perf!$A$5:$A$400,0)),"不存在")))))</f>
        <v>—</v>
      </c>
      <c r="T37" s="83" t="str">
        <f aca="false">IF(OR($H37="—",$H37=""),"—",IF(ISNUMBER(MATCH($H37,SRC_HW!$A$5:$A$400,0)),INDEX(SRC_HW!$K$5:$K$400,MATCH($H37,SRC_HW!$A$5:$A$400,0)),IF(ISNUMBER(MATCH($H37,SRC_DC!$A$5:$A$400,0)),INDEX(SRC_DC!$K$5:$K$400,MATCH($H37,SRC_DC!$A$5:$A$400,0)),IF(ISNUMBER(MATCH($H37,SRC_Model!$A$5:$A$400,0)),INDEX(SRC_Model!$K$5:$K$400,MATCH($H37,SRC_Model!$A$5:$A$400,0)),IF(ISNUMBER(MATCH($H37,SRC_Perf!$A$5:$A$400,0)),INDEX(SRC_Perf!$K$5:$K$400,MATCH($H37,SRC_Perf!$A$5:$A$400,0)),"不存在")))))</f>
        <v>—</v>
      </c>
      <c r="U37" s="52" t="s">
        <v>2302</v>
      </c>
      <c r="V37" s="103" t="n">
        <f aca="false">IF(AND($F37="原始數據",$U37&lt;&gt;"連結 SRC"),1,0)</f>
        <v>0</v>
      </c>
      <c r="W37" s="103" t="n">
        <f aca="false">IF(AND($F37="Analogy",OR($H37="—",$H37="")),1,0)</f>
        <v>0</v>
      </c>
      <c r="X37" s="103" t="n">
        <f aca="false">IF(AND(OR($F37="Analogy",$F37="Assumed"),$G37&lt;&gt;"低",$G37&lt;&gt;"高",NOT(ISNUMBER($K37)),NOT(ISNUMBER($L37)),OR($M37="—",$M37="")),1,0)</f>
        <v>0</v>
      </c>
      <c r="Y37" s="103" t="n">
        <f aca="false">IF(AND(OR($F37="Analogy",$F37="Assumed",$F37="Derived（待改公式）",$F37="Derived（公式）"),OR($N37="—",$N37="",$N37=0)),1,0)</f>
        <v>0</v>
      </c>
      <c r="Z37" s="103" t="n">
        <f aca="false">IF(AND($F37="Decision",OR($J37="—",$J37="")),1,0)</f>
        <v>0</v>
      </c>
      <c r="AA37" s="84" t="n">
        <f aca="false">IF(OR($J37="—",$J37=""),0,IF(COUNTIF(Decisions!$A$5:$A$300,$J37)=0,1,0))</f>
        <v>0</v>
      </c>
      <c r="AB37" s="103" t="n">
        <f aca="false">IF(AND($F37="原始數據",$S37&lt;&gt;"Active"),1,0)</f>
        <v>0</v>
      </c>
      <c r="AC37" s="103" t="n">
        <f aca="false">IF(AND(ISNUMBER($K37),ISNUMBER($L37),ISNUMBER($Q37)),IF(OR($Q37&lt;MIN($K37,$L37),$Q37&gt;MAX($K37,$L37)),1,0),0)</f>
        <v>0</v>
      </c>
      <c r="AD37" s="103" t="n">
        <f aca="false">IF(AND(ISNUMBER($T37),$P37="高"),IF($T37=3,1,0),0)</f>
        <v>0</v>
      </c>
      <c r="AE37" s="103" t="n">
        <f aca="false">IF(AND($S37="不存在",$B37="切片一"),1,0)</f>
        <v>0</v>
      </c>
    </row>
    <row r="38" customFormat="false" ht="15" hidden="false" customHeight="false" outlineLevel="0" collapsed="false">
      <c r="A38" s="53" t="s">
        <v>2383</v>
      </c>
      <c r="B38" s="52" t="s">
        <v>2297</v>
      </c>
      <c r="C38" s="53" t="s">
        <v>2298</v>
      </c>
      <c r="D38" s="53" t="s">
        <v>2384</v>
      </c>
      <c r="E38" s="5" t="s">
        <v>99</v>
      </c>
      <c r="F38" s="53" t="s">
        <v>70</v>
      </c>
      <c r="G38" s="52" t="s">
        <v>55</v>
      </c>
      <c r="H38" s="53" t="s">
        <v>554</v>
      </c>
      <c r="I38" s="6" t="s">
        <v>554</v>
      </c>
      <c r="J38" s="53" t="s">
        <v>554</v>
      </c>
      <c r="K38" s="101" t="n">
        <f aca="false">Inputs!$D$21</f>
        <v>0.12</v>
      </c>
      <c r="L38" s="101" t="n">
        <f aca="false">Inputs!$F$21</f>
        <v>0.18</v>
      </c>
      <c r="M38" s="53" t="s">
        <v>554</v>
      </c>
      <c r="N38" s="6" t="s">
        <v>2385</v>
      </c>
      <c r="O38" s="6" t="s">
        <v>554</v>
      </c>
      <c r="P38" s="52" t="s">
        <v>1078</v>
      </c>
      <c r="Q38" s="101" t="n">
        <f aca="false">Inputs!E21</f>
        <v>0.15</v>
      </c>
      <c r="R38" s="53" t="s">
        <v>554</v>
      </c>
      <c r="S38" s="83" t="str">
        <f aca="false">IF(OR($H38="—",$H38=""),"—",IF(ISNUMBER(MATCH($H38,SRC_HW!$A$5:$A$400,0)),INDEX(SRC_HW!$O$5:$O$400,MATCH($H38,SRC_HW!$A$5:$A$400,0)),IF(ISNUMBER(MATCH($H38,SRC_DC!$A$5:$A$400,0)),INDEX(SRC_DC!$O$5:$O$400,MATCH($H38,SRC_DC!$A$5:$A$400,0)),IF(ISNUMBER(MATCH($H38,SRC_Model!$A$5:$A$400,0)),INDEX(SRC_Model!$O$5:$O$400,MATCH($H38,SRC_Model!$A$5:$A$400,0)),IF(ISNUMBER(MATCH($H38,SRC_Perf!$A$5:$A$400,0)),INDEX(SRC_Perf!$O$5:$O$400,MATCH($H38,SRC_Perf!$A$5:$A$400,0)),"不存在")))))</f>
        <v>—</v>
      </c>
      <c r="T38" s="83" t="str">
        <f aca="false">IF(OR($H38="—",$H38=""),"—",IF(ISNUMBER(MATCH($H38,SRC_HW!$A$5:$A$400,0)),INDEX(SRC_HW!$K$5:$K$400,MATCH($H38,SRC_HW!$A$5:$A$400,0)),IF(ISNUMBER(MATCH($H38,SRC_DC!$A$5:$A$400,0)),INDEX(SRC_DC!$K$5:$K$400,MATCH($H38,SRC_DC!$A$5:$A$400,0)),IF(ISNUMBER(MATCH($H38,SRC_Model!$A$5:$A$400,0)),INDEX(SRC_Model!$K$5:$K$400,MATCH($H38,SRC_Model!$A$5:$A$400,0)),IF(ISNUMBER(MATCH($H38,SRC_Perf!$A$5:$A$400,0)),INDEX(SRC_Perf!$K$5:$K$400,MATCH($H38,SRC_Perf!$A$5:$A$400,0)),"不存在")))))</f>
        <v>—</v>
      </c>
      <c r="U38" s="52" t="s">
        <v>2302</v>
      </c>
      <c r="V38" s="103" t="n">
        <f aca="false">IF(AND($F38="原始數據",$U38&lt;&gt;"連結 SRC"),1,0)</f>
        <v>0</v>
      </c>
      <c r="W38" s="103" t="n">
        <f aca="false">IF(AND($F38="Analogy",OR($H38="—",$H38="")),1,0)</f>
        <v>0</v>
      </c>
      <c r="X38" s="103" t="n">
        <f aca="false">IF(AND(OR($F38="Analogy",$F38="Assumed"),$G38&lt;&gt;"低",$G38&lt;&gt;"高",NOT(ISNUMBER($K38)),NOT(ISNUMBER($L38)),OR($M38="—",$M38="")),1,0)</f>
        <v>0</v>
      </c>
      <c r="Y38" s="103" t="n">
        <f aca="false">IF(AND(OR($F38="Analogy",$F38="Assumed",$F38="Derived（待改公式）",$F38="Derived（公式）"),OR($N38="—",$N38="",$N38=0)),1,0)</f>
        <v>0</v>
      </c>
      <c r="Z38" s="103" t="n">
        <f aca="false">IF(AND($F38="Decision",OR($J38="—",$J38="")),1,0)</f>
        <v>0</v>
      </c>
      <c r="AA38" s="84" t="n">
        <f aca="false">IF(OR($J38="—",$J38=""),0,IF(COUNTIF(Decisions!$A$5:$A$300,$J38)=0,1,0))</f>
        <v>0</v>
      </c>
      <c r="AB38" s="103" t="n">
        <f aca="false">IF(AND($F38="原始數據",$S38&lt;&gt;"Active"),1,0)</f>
        <v>0</v>
      </c>
      <c r="AC38" s="103" t="n">
        <f aca="false">IF(AND(ISNUMBER($K38),ISNUMBER($L38),ISNUMBER($Q38)),IF(OR($Q38&lt;MIN($K38,$L38),$Q38&gt;MAX($K38,$L38)),1,0),0)</f>
        <v>0</v>
      </c>
      <c r="AD38" s="103" t="n">
        <f aca="false">IF(AND(ISNUMBER($T38),$P38="高"),IF($T38=3,1,0),0)</f>
        <v>0</v>
      </c>
      <c r="AE38" s="103" t="n">
        <f aca="false">IF(AND($S38="不存在",$B38="切片一"),1,0)</f>
        <v>0</v>
      </c>
    </row>
    <row r="39" customFormat="false" ht="15" hidden="false" customHeight="false" outlineLevel="0" collapsed="false">
      <c r="A39" s="53" t="s">
        <v>2386</v>
      </c>
      <c r="B39" s="52" t="s">
        <v>2297</v>
      </c>
      <c r="C39" s="53" t="s">
        <v>2298</v>
      </c>
      <c r="D39" s="53" t="s">
        <v>2387</v>
      </c>
      <c r="E39" s="5" t="s">
        <v>99</v>
      </c>
      <c r="F39" s="53" t="s">
        <v>70</v>
      </c>
      <c r="G39" s="52" t="s">
        <v>1078</v>
      </c>
      <c r="H39" s="53" t="s">
        <v>554</v>
      </c>
      <c r="I39" s="6" t="s">
        <v>554</v>
      </c>
      <c r="J39" s="53" t="s">
        <v>554</v>
      </c>
      <c r="K39" s="52"/>
      <c r="L39" s="52"/>
      <c r="M39" s="53" t="s">
        <v>554</v>
      </c>
      <c r="N39" s="6" t="s">
        <v>2385</v>
      </c>
      <c r="O39" s="6" t="s">
        <v>554</v>
      </c>
      <c r="P39" s="52" t="s">
        <v>1078</v>
      </c>
      <c r="Q39" s="101" t="n">
        <f aca="false">Inputs!D21</f>
        <v>0.12</v>
      </c>
      <c r="R39" s="53" t="s">
        <v>554</v>
      </c>
      <c r="S39" s="83" t="str">
        <f aca="false">IF(OR($H39="—",$H39=""),"—",IF(ISNUMBER(MATCH($H39,SRC_HW!$A$5:$A$400,0)),INDEX(SRC_HW!$O$5:$O$400,MATCH($H39,SRC_HW!$A$5:$A$400,0)),IF(ISNUMBER(MATCH($H39,SRC_DC!$A$5:$A$400,0)),INDEX(SRC_DC!$O$5:$O$400,MATCH($H39,SRC_DC!$A$5:$A$400,0)),IF(ISNUMBER(MATCH($H39,SRC_Model!$A$5:$A$400,0)),INDEX(SRC_Model!$O$5:$O$400,MATCH($H39,SRC_Model!$A$5:$A$400,0)),IF(ISNUMBER(MATCH($H39,SRC_Perf!$A$5:$A$400,0)),INDEX(SRC_Perf!$O$5:$O$400,MATCH($H39,SRC_Perf!$A$5:$A$400,0)),"不存在")))))</f>
        <v>—</v>
      </c>
      <c r="T39" s="83" t="str">
        <f aca="false">IF(OR($H39="—",$H39=""),"—",IF(ISNUMBER(MATCH($H39,SRC_HW!$A$5:$A$400,0)),INDEX(SRC_HW!$K$5:$K$400,MATCH($H39,SRC_HW!$A$5:$A$400,0)),IF(ISNUMBER(MATCH($H39,SRC_DC!$A$5:$A$400,0)),INDEX(SRC_DC!$K$5:$K$400,MATCH($H39,SRC_DC!$A$5:$A$400,0)),IF(ISNUMBER(MATCH($H39,SRC_Model!$A$5:$A$400,0)),INDEX(SRC_Model!$K$5:$K$400,MATCH($H39,SRC_Model!$A$5:$A$400,0)),IF(ISNUMBER(MATCH($H39,SRC_Perf!$A$5:$A$400,0)),INDEX(SRC_Perf!$K$5:$K$400,MATCH($H39,SRC_Perf!$A$5:$A$400,0)),"不存在")))))</f>
        <v>—</v>
      </c>
      <c r="U39" s="52" t="s">
        <v>2302</v>
      </c>
      <c r="V39" s="103" t="n">
        <f aca="false">IF(AND($F39="原始數據",$U39&lt;&gt;"連結 SRC"),1,0)</f>
        <v>0</v>
      </c>
      <c r="W39" s="103" t="n">
        <f aca="false">IF(AND($F39="Analogy",OR($H39="—",$H39="")),1,0)</f>
        <v>0</v>
      </c>
      <c r="X39" s="103" t="n">
        <f aca="false">IF(AND(OR($F39="Analogy",$F39="Assumed"),$G39&lt;&gt;"低",$G39&lt;&gt;"高",NOT(ISNUMBER($K39)),NOT(ISNUMBER($L39)),OR($M39="—",$M39="")),1,0)</f>
        <v>0</v>
      </c>
      <c r="Y39" s="103" t="n">
        <f aca="false">IF(AND(OR($F39="Analogy",$F39="Assumed",$F39="Derived（待改公式）",$F39="Derived（公式）"),OR($N39="—",$N39="",$N39=0)),1,0)</f>
        <v>0</v>
      </c>
      <c r="Z39" s="103" t="n">
        <f aca="false">IF(AND($F39="Decision",OR($J39="—",$J39="")),1,0)</f>
        <v>0</v>
      </c>
      <c r="AA39" s="84" t="n">
        <f aca="false">IF(OR($J39="—",$J39=""),0,IF(COUNTIF(Decisions!$A$5:$A$300,$J39)=0,1,0))</f>
        <v>0</v>
      </c>
      <c r="AB39" s="103" t="n">
        <f aca="false">IF(AND($F39="原始數據",$S39&lt;&gt;"Active"),1,0)</f>
        <v>0</v>
      </c>
      <c r="AC39" s="103" t="n">
        <f aca="false">IF(AND(ISNUMBER($K39),ISNUMBER($L39),ISNUMBER($Q39)),IF(OR($Q39&lt;MIN($K39,$L39),$Q39&gt;MAX($K39,$L39)),1,0),0)</f>
        <v>0</v>
      </c>
      <c r="AD39" s="103" t="n">
        <f aca="false">IF(AND(ISNUMBER($T39),$P39="高"),IF($T39=3,1,0),0)</f>
        <v>0</v>
      </c>
      <c r="AE39" s="103" t="n">
        <f aca="false">IF(AND($S39="不存在",$B39="切片一"),1,0)</f>
        <v>0</v>
      </c>
    </row>
    <row r="40" customFormat="false" ht="15" hidden="false" customHeight="false" outlineLevel="0" collapsed="false">
      <c r="A40" s="53" t="s">
        <v>2388</v>
      </c>
      <c r="B40" s="52" t="s">
        <v>2297</v>
      </c>
      <c r="C40" s="53" t="s">
        <v>2298</v>
      </c>
      <c r="D40" s="53" t="s">
        <v>2389</v>
      </c>
      <c r="E40" s="5" t="s">
        <v>99</v>
      </c>
      <c r="F40" s="53" t="s">
        <v>70</v>
      </c>
      <c r="G40" s="52" t="s">
        <v>1079</v>
      </c>
      <c r="H40" s="53" t="s">
        <v>554</v>
      </c>
      <c r="I40" s="6" t="s">
        <v>554</v>
      </c>
      <c r="J40" s="53" t="s">
        <v>554</v>
      </c>
      <c r="K40" s="52"/>
      <c r="L40" s="52"/>
      <c r="M40" s="53" t="s">
        <v>554</v>
      </c>
      <c r="N40" s="6" t="s">
        <v>2385</v>
      </c>
      <c r="O40" s="6" t="s">
        <v>554</v>
      </c>
      <c r="P40" s="52" t="s">
        <v>1078</v>
      </c>
      <c r="Q40" s="101" t="n">
        <f aca="false">Inputs!F21</f>
        <v>0.18</v>
      </c>
      <c r="R40" s="53" t="s">
        <v>554</v>
      </c>
      <c r="S40" s="83" t="str">
        <f aca="false">IF(OR($H40="—",$H40=""),"—",IF(ISNUMBER(MATCH($H40,SRC_HW!$A$5:$A$400,0)),INDEX(SRC_HW!$O$5:$O$400,MATCH($H40,SRC_HW!$A$5:$A$400,0)),IF(ISNUMBER(MATCH($H40,SRC_DC!$A$5:$A$400,0)),INDEX(SRC_DC!$O$5:$O$400,MATCH($H40,SRC_DC!$A$5:$A$400,0)),IF(ISNUMBER(MATCH($H40,SRC_Model!$A$5:$A$400,0)),INDEX(SRC_Model!$O$5:$O$400,MATCH($H40,SRC_Model!$A$5:$A$400,0)),IF(ISNUMBER(MATCH($H40,SRC_Perf!$A$5:$A$400,0)),INDEX(SRC_Perf!$O$5:$O$400,MATCH($H40,SRC_Perf!$A$5:$A$400,0)),"不存在")))))</f>
        <v>—</v>
      </c>
      <c r="T40" s="83" t="str">
        <f aca="false">IF(OR($H40="—",$H40=""),"—",IF(ISNUMBER(MATCH($H40,SRC_HW!$A$5:$A$400,0)),INDEX(SRC_HW!$K$5:$K$400,MATCH($H40,SRC_HW!$A$5:$A$400,0)),IF(ISNUMBER(MATCH($H40,SRC_DC!$A$5:$A$400,0)),INDEX(SRC_DC!$K$5:$K$400,MATCH($H40,SRC_DC!$A$5:$A$400,0)),IF(ISNUMBER(MATCH($H40,SRC_Model!$A$5:$A$400,0)),INDEX(SRC_Model!$K$5:$K$400,MATCH($H40,SRC_Model!$A$5:$A$400,0)),IF(ISNUMBER(MATCH($H40,SRC_Perf!$A$5:$A$400,0)),INDEX(SRC_Perf!$K$5:$K$400,MATCH($H40,SRC_Perf!$A$5:$A$400,0)),"不存在")))))</f>
        <v>—</v>
      </c>
      <c r="U40" s="52" t="s">
        <v>2302</v>
      </c>
      <c r="V40" s="103" t="n">
        <f aca="false">IF(AND($F40="原始數據",$U40&lt;&gt;"連結 SRC"),1,0)</f>
        <v>0</v>
      </c>
      <c r="W40" s="103" t="n">
        <f aca="false">IF(AND($F40="Analogy",OR($H40="—",$H40="")),1,0)</f>
        <v>0</v>
      </c>
      <c r="X40" s="103" t="n">
        <f aca="false">IF(AND(OR($F40="Analogy",$F40="Assumed"),$G40&lt;&gt;"低",$G40&lt;&gt;"高",NOT(ISNUMBER($K40)),NOT(ISNUMBER($L40)),OR($M40="—",$M40="")),1,0)</f>
        <v>0</v>
      </c>
      <c r="Y40" s="103" t="n">
        <f aca="false">IF(AND(OR($F40="Analogy",$F40="Assumed",$F40="Derived（待改公式）",$F40="Derived（公式）"),OR($N40="—",$N40="",$N40=0)),1,0)</f>
        <v>0</v>
      </c>
      <c r="Z40" s="103" t="n">
        <f aca="false">IF(AND($F40="Decision",OR($J40="—",$J40="")),1,0)</f>
        <v>0</v>
      </c>
      <c r="AA40" s="84" t="n">
        <f aca="false">IF(OR($J40="—",$J40=""),0,IF(COUNTIF(Decisions!$A$5:$A$300,$J40)=0,1,0))</f>
        <v>0</v>
      </c>
      <c r="AB40" s="103" t="n">
        <f aca="false">IF(AND($F40="原始數據",$S40&lt;&gt;"Active"),1,0)</f>
        <v>0</v>
      </c>
      <c r="AC40" s="103" t="n">
        <f aca="false">IF(AND(ISNUMBER($K40),ISNUMBER($L40),ISNUMBER($Q40)),IF(OR($Q40&lt;MIN($K40,$L40),$Q40&gt;MAX($K40,$L40)),1,0),0)</f>
        <v>0</v>
      </c>
      <c r="AD40" s="103" t="n">
        <f aca="false">IF(AND(ISNUMBER($T40),$P40="高"),IF($T40=3,1,0),0)</f>
        <v>0</v>
      </c>
      <c r="AE40" s="103" t="n">
        <f aca="false">IF(AND($S40="不存在",$B40="切片一"),1,0)</f>
        <v>0</v>
      </c>
    </row>
    <row r="41" customFormat="false" ht="29.85" hidden="false" customHeight="false" outlineLevel="0" collapsed="false">
      <c r="A41" s="53" t="s">
        <v>2390</v>
      </c>
      <c r="B41" s="52" t="s">
        <v>2297</v>
      </c>
      <c r="C41" s="53" t="s">
        <v>2298</v>
      </c>
      <c r="D41" s="53" t="s">
        <v>2391</v>
      </c>
      <c r="E41" s="6" t="s">
        <v>112</v>
      </c>
      <c r="F41" s="53" t="s">
        <v>70</v>
      </c>
      <c r="G41" s="52" t="s">
        <v>55</v>
      </c>
      <c r="H41" s="53" t="s">
        <v>554</v>
      </c>
      <c r="I41" s="6" t="s">
        <v>554</v>
      </c>
      <c r="J41" s="53" t="s">
        <v>2320</v>
      </c>
      <c r="K41" s="101" t="n">
        <f aca="false">Inputs!$D$28</f>
        <v>0.08</v>
      </c>
      <c r="L41" s="101" t="n">
        <f aca="false">Inputs!$F$28</f>
        <v>0.13</v>
      </c>
      <c r="M41" s="53" t="s">
        <v>554</v>
      </c>
      <c r="N41" s="204" t="str">
        <f aca="false">Inputs!$H$28</f>
        <v>與擁有者無關的單一假設；下游公司模型以自身 WACC 覆寫（Andy 2026-09-30 決定）</v>
      </c>
      <c r="O41" s="6" t="s">
        <v>554</v>
      </c>
      <c r="P41" s="52" t="s">
        <v>2364</v>
      </c>
      <c r="Q41" s="101" t="n">
        <f aca="false">Inputs!E28</f>
        <v>0.1</v>
      </c>
      <c r="R41" s="53" t="s">
        <v>554</v>
      </c>
      <c r="S41" s="83" t="str">
        <f aca="false">IF(OR($H41="—",$H41=""),"—",IF(ISNUMBER(MATCH($H41,SRC_HW!$A$5:$A$400,0)),INDEX(SRC_HW!$O$5:$O$400,MATCH($H41,SRC_HW!$A$5:$A$400,0)),IF(ISNUMBER(MATCH($H41,SRC_DC!$A$5:$A$400,0)),INDEX(SRC_DC!$O$5:$O$400,MATCH($H41,SRC_DC!$A$5:$A$400,0)),IF(ISNUMBER(MATCH($H41,SRC_Model!$A$5:$A$400,0)),INDEX(SRC_Model!$O$5:$O$400,MATCH($H41,SRC_Model!$A$5:$A$400,0)),IF(ISNUMBER(MATCH($H41,SRC_Perf!$A$5:$A$400,0)),INDEX(SRC_Perf!$O$5:$O$400,MATCH($H41,SRC_Perf!$A$5:$A$400,0)),"不存在")))))</f>
        <v>—</v>
      </c>
      <c r="T41" s="83" t="str">
        <f aca="false">IF(OR($H41="—",$H41=""),"—",IF(ISNUMBER(MATCH($H41,SRC_HW!$A$5:$A$400,0)),INDEX(SRC_HW!$K$5:$K$400,MATCH($H41,SRC_HW!$A$5:$A$400,0)),IF(ISNUMBER(MATCH($H41,SRC_DC!$A$5:$A$400,0)),INDEX(SRC_DC!$K$5:$K$400,MATCH($H41,SRC_DC!$A$5:$A$400,0)),IF(ISNUMBER(MATCH($H41,SRC_Model!$A$5:$A$400,0)),INDEX(SRC_Model!$K$5:$K$400,MATCH($H41,SRC_Model!$A$5:$A$400,0)),IF(ISNUMBER(MATCH($H41,SRC_Perf!$A$5:$A$400,0)),INDEX(SRC_Perf!$K$5:$K$400,MATCH($H41,SRC_Perf!$A$5:$A$400,0)),"不存在")))))</f>
        <v>—</v>
      </c>
      <c r="U41" s="52" t="s">
        <v>2302</v>
      </c>
      <c r="V41" s="103" t="n">
        <f aca="false">IF(AND($F41="原始數據",$U41&lt;&gt;"連結 SRC"),1,0)</f>
        <v>0</v>
      </c>
      <c r="W41" s="103" t="n">
        <f aca="false">IF(AND($F41="Analogy",OR($H41="—",$H41="")),1,0)</f>
        <v>0</v>
      </c>
      <c r="X41" s="103" t="n">
        <f aca="false">IF(AND(OR($F41="Analogy",$F41="Assumed"),$G41&lt;&gt;"低",$G41&lt;&gt;"高",NOT(ISNUMBER($K41)),NOT(ISNUMBER($L41)),OR($M41="—",$M41="")),1,0)</f>
        <v>0</v>
      </c>
      <c r="Y41" s="103" t="n">
        <f aca="false">IF(AND(OR($F41="Analogy",$F41="Assumed",$F41="Derived（待改公式）",$F41="Derived（公式）"),OR($N41="—",$N41="",$N41=0)),1,0)</f>
        <v>0</v>
      </c>
      <c r="Z41" s="103" t="n">
        <f aca="false">IF(AND($F41="Decision",OR($J41="—",$J41="")),1,0)</f>
        <v>0</v>
      </c>
      <c r="AA41" s="84" t="n">
        <f aca="false">IF(OR($J41="—",$J41=""),0,IF(COUNTIF(Decisions!$A$5:$A$300,$J41)=0,1,0))</f>
        <v>0</v>
      </c>
      <c r="AB41" s="103" t="n">
        <f aca="false">IF(AND($F41="原始數據",$S41&lt;&gt;"Active"),1,0)</f>
        <v>0</v>
      </c>
      <c r="AC41" s="103" t="n">
        <f aca="false">IF(AND(ISNUMBER($K41),ISNUMBER($L41),ISNUMBER($Q41)),IF(OR($Q41&lt;MIN($K41,$L41),$Q41&gt;MAX($K41,$L41)),1,0),0)</f>
        <v>0</v>
      </c>
      <c r="AD41" s="103" t="n">
        <f aca="false">IF(AND(ISNUMBER($T41),$P41="高"),IF($T41=3,1,0),0)</f>
        <v>0</v>
      </c>
      <c r="AE41" s="103" t="n">
        <f aca="false">IF(AND($S41="不存在",$B41="切片一"),1,0)</f>
        <v>0</v>
      </c>
    </row>
    <row r="42" customFormat="false" ht="29.85" hidden="false" customHeight="false" outlineLevel="0" collapsed="false">
      <c r="A42" s="53" t="s">
        <v>2392</v>
      </c>
      <c r="B42" s="52" t="s">
        <v>2297</v>
      </c>
      <c r="C42" s="53" t="s">
        <v>2298</v>
      </c>
      <c r="D42" s="53" t="s">
        <v>2393</v>
      </c>
      <c r="E42" s="6" t="s">
        <v>112</v>
      </c>
      <c r="F42" s="53" t="s">
        <v>70</v>
      </c>
      <c r="G42" s="52" t="s">
        <v>1078</v>
      </c>
      <c r="H42" s="53" t="s">
        <v>554</v>
      </c>
      <c r="I42" s="6" t="s">
        <v>554</v>
      </c>
      <c r="J42" s="53" t="s">
        <v>554</v>
      </c>
      <c r="K42" s="52"/>
      <c r="L42" s="52"/>
      <c r="M42" s="53" t="s">
        <v>554</v>
      </c>
      <c r="N42" s="204" t="str">
        <f aca="false">Inputs!$H$28</f>
        <v>與擁有者無關的單一假設；下游公司模型以自身 WACC 覆寫（Andy 2026-09-30 決定）</v>
      </c>
      <c r="O42" s="6" t="s">
        <v>554</v>
      </c>
      <c r="P42" s="52" t="s">
        <v>2364</v>
      </c>
      <c r="Q42" s="101" t="n">
        <f aca="false">Inputs!D28</f>
        <v>0.08</v>
      </c>
      <c r="R42" s="53" t="s">
        <v>554</v>
      </c>
      <c r="S42" s="83" t="str">
        <f aca="false">IF(OR($H42="—",$H42=""),"—",IF(ISNUMBER(MATCH($H42,SRC_HW!$A$5:$A$400,0)),INDEX(SRC_HW!$O$5:$O$400,MATCH($H42,SRC_HW!$A$5:$A$400,0)),IF(ISNUMBER(MATCH($H42,SRC_DC!$A$5:$A$400,0)),INDEX(SRC_DC!$O$5:$O$400,MATCH($H42,SRC_DC!$A$5:$A$400,0)),IF(ISNUMBER(MATCH($H42,SRC_Model!$A$5:$A$400,0)),INDEX(SRC_Model!$O$5:$O$400,MATCH($H42,SRC_Model!$A$5:$A$400,0)),IF(ISNUMBER(MATCH($H42,SRC_Perf!$A$5:$A$400,0)),INDEX(SRC_Perf!$O$5:$O$400,MATCH($H42,SRC_Perf!$A$5:$A$400,0)),"不存在")))))</f>
        <v>—</v>
      </c>
      <c r="T42" s="83" t="str">
        <f aca="false">IF(OR($H42="—",$H42=""),"—",IF(ISNUMBER(MATCH($H42,SRC_HW!$A$5:$A$400,0)),INDEX(SRC_HW!$K$5:$K$400,MATCH($H42,SRC_HW!$A$5:$A$400,0)),IF(ISNUMBER(MATCH($H42,SRC_DC!$A$5:$A$400,0)),INDEX(SRC_DC!$K$5:$K$400,MATCH($H42,SRC_DC!$A$5:$A$400,0)),IF(ISNUMBER(MATCH($H42,SRC_Model!$A$5:$A$400,0)),INDEX(SRC_Model!$K$5:$K$400,MATCH($H42,SRC_Model!$A$5:$A$400,0)),IF(ISNUMBER(MATCH($H42,SRC_Perf!$A$5:$A$400,0)),INDEX(SRC_Perf!$K$5:$K$400,MATCH($H42,SRC_Perf!$A$5:$A$400,0)),"不存在")))))</f>
        <v>—</v>
      </c>
      <c r="U42" s="52" t="s">
        <v>2302</v>
      </c>
      <c r="V42" s="103" t="n">
        <f aca="false">IF(AND($F42="原始數據",$U42&lt;&gt;"連結 SRC"),1,0)</f>
        <v>0</v>
      </c>
      <c r="W42" s="103" t="n">
        <f aca="false">IF(AND($F42="Analogy",OR($H42="—",$H42="")),1,0)</f>
        <v>0</v>
      </c>
      <c r="X42" s="103" t="n">
        <f aca="false">IF(AND(OR($F42="Analogy",$F42="Assumed"),$G42&lt;&gt;"低",$G42&lt;&gt;"高",NOT(ISNUMBER($K42)),NOT(ISNUMBER($L42)),OR($M42="—",$M42="")),1,0)</f>
        <v>0</v>
      </c>
      <c r="Y42" s="103" t="n">
        <f aca="false">IF(AND(OR($F42="Analogy",$F42="Assumed",$F42="Derived（待改公式）",$F42="Derived（公式）"),OR($N42="—",$N42="",$N42=0)),1,0)</f>
        <v>0</v>
      </c>
      <c r="Z42" s="103" t="n">
        <f aca="false">IF(AND($F42="Decision",OR($J42="—",$J42="")),1,0)</f>
        <v>0</v>
      </c>
      <c r="AA42" s="84" t="n">
        <f aca="false">IF(OR($J42="—",$J42=""),0,IF(COUNTIF(Decisions!$A$5:$A$300,$J42)=0,1,0))</f>
        <v>0</v>
      </c>
      <c r="AB42" s="103" t="n">
        <f aca="false">IF(AND($F42="原始數據",$S42&lt;&gt;"Active"),1,0)</f>
        <v>0</v>
      </c>
      <c r="AC42" s="103" t="n">
        <f aca="false">IF(AND(ISNUMBER($K42),ISNUMBER($L42),ISNUMBER($Q42)),IF(OR($Q42&lt;MIN($K42,$L42),$Q42&gt;MAX($K42,$L42)),1,0),0)</f>
        <v>0</v>
      </c>
      <c r="AD42" s="103" t="n">
        <f aca="false">IF(AND(ISNUMBER($T42),$P42="高"),IF($T42=3,1,0),0)</f>
        <v>0</v>
      </c>
      <c r="AE42" s="103" t="n">
        <f aca="false">IF(AND($S42="不存在",$B42="切片一"),1,0)</f>
        <v>0</v>
      </c>
    </row>
    <row r="43" customFormat="false" ht="29.85" hidden="false" customHeight="false" outlineLevel="0" collapsed="false">
      <c r="A43" s="53" t="s">
        <v>2394</v>
      </c>
      <c r="B43" s="52" t="s">
        <v>2297</v>
      </c>
      <c r="C43" s="53" t="s">
        <v>2298</v>
      </c>
      <c r="D43" s="53" t="s">
        <v>2395</v>
      </c>
      <c r="E43" s="6" t="s">
        <v>112</v>
      </c>
      <c r="F43" s="53" t="s">
        <v>70</v>
      </c>
      <c r="G43" s="52" t="s">
        <v>1079</v>
      </c>
      <c r="H43" s="53" t="s">
        <v>554</v>
      </c>
      <c r="I43" s="6" t="s">
        <v>554</v>
      </c>
      <c r="J43" s="53" t="s">
        <v>554</v>
      </c>
      <c r="K43" s="52"/>
      <c r="L43" s="52"/>
      <c r="M43" s="53" t="s">
        <v>554</v>
      </c>
      <c r="N43" s="204" t="str">
        <f aca="false">Inputs!$H$28</f>
        <v>與擁有者無關的單一假設；下游公司模型以自身 WACC 覆寫（Andy 2026-09-30 決定）</v>
      </c>
      <c r="O43" s="6" t="s">
        <v>554</v>
      </c>
      <c r="P43" s="52" t="s">
        <v>2364</v>
      </c>
      <c r="Q43" s="101" t="n">
        <f aca="false">Inputs!F28</f>
        <v>0.13</v>
      </c>
      <c r="R43" s="53" t="s">
        <v>554</v>
      </c>
      <c r="S43" s="83" t="str">
        <f aca="false">IF(OR($H43="—",$H43=""),"—",IF(ISNUMBER(MATCH($H43,SRC_HW!$A$5:$A$400,0)),INDEX(SRC_HW!$O$5:$O$400,MATCH($H43,SRC_HW!$A$5:$A$400,0)),IF(ISNUMBER(MATCH($H43,SRC_DC!$A$5:$A$400,0)),INDEX(SRC_DC!$O$5:$O$400,MATCH($H43,SRC_DC!$A$5:$A$400,0)),IF(ISNUMBER(MATCH($H43,SRC_Model!$A$5:$A$400,0)),INDEX(SRC_Model!$O$5:$O$400,MATCH($H43,SRC_Model!$A$5:$A$400,0)),IF(ISNUMBER(MATCH($H43,SRC_Perf!$A$5:$A$400,0)),INDEX(SRC_Perf!$O$5:$O$400,MATCH($H43,SRC_Perf!$A$5:$A$400,0)),"不存在")))))</f>
        <v>—</v>
      </c>
      <c r="T43" s="83" t="str">
        <f aca="false">IF(OR($H43="—",$H43=""),"—",IF(ISNUMBER(MATCH($H43,SRC_HW!$A$5:$A$400,0)),INDEX(SRC_HW!$K$5:$K$400,MATCH($H43,SRC_HW!$A$5:$A$400,0)),IF(ISNUMBER(MATCH($H43,SRC_DC!$A$5:$A$400,0)),INDEX(SRC_DC!$K$5:$K$400,MATCH($H43,SRC_DC!$A$5:$A$400,0)),IF(ISNUMBER(MATCH($H43,SRC_Model!$A$5:$A$400,0)),INDEX(SRC_Model!$K$5:$K$400,MATCH($H43,SRC_Model!$A$5:$A$400,0)),IF(ISNUMBER(MATCH($H43,SRC_Perf!$A$5:$A$400,0)),INDEX(SRC_Perf!$K$5:$K$400,MATCH($H43,SRC_Perf!$A$5:$A$400,0)),"不存在")))))</f>
        <v>—</v>
      </c>
      <c r="U43" s="52" t="s">
        <v>2302</v>
      </c>
      <c r="V43" s="103" t="n">
        <f aca="false">IF(AND($F43="原始數據",$U43&lt;&gt;"連結 SRC"),1,0)</f>
        <v>0</v>
      </c>
      <c r="W43" s="103" t="n">
        <f aca="false">IF(AND($F43="Analogy",OR($H43="—",$H43="")),1,0)</f>
        <v>0</v>
      </c>
      <c r="X43" s="103" t="n">
        <f aca="false">IF(AND(OR($F43="Analogy",$F43="Assumed"),$G43&lt;&gt;"低",$G43&lt;&gt;"高",NOT(ISNUMBER($K43)),NOT(ISNUMBER($L43)),OR($M43="—",$M43="")),1,0)</f>
        <v>0</v>
      </c>
      <c r="Y43" s="103" t="n">
        <f aca="false">IF(AND(OR($F43="Analogy",$F43="Assumed",$F43="Derived（待改公式）",$F43="Derived（公式）"),OR($N43="—",$N43="",$N43=0)),1,0)</f>
        <v>0</v>
      </c>
      <c r="Z43" s="103" t="n">
        <f aca="false">IF(AND($F43="Decision",OR($J43="—",$J43="")),1,0)</f>
        <v>0</v>
      </c>
      <c r="AA43" s="84" t="n">
        <f aca="false">IF(OR($J43="—",$J43=""),0,IF(COUNTIF(Decisions!$A$5:$A$300,$J43)=0,1,0))</f>
        <v>0</v>
      </c>
      <c r="AB43" s="103" t="n">
        <f aca="false">IF(AND($F43="原始數據",$S43&lt;&gt;"Active"),1,0)</f>
        <v>0</v>
      </c>
      <c r="AC43" s="103" t="n">
        <f aca="false">IF(AND(ISNUMBER($K43),ISNUMBER($L43),ISNUMBER($Q43)),IF(OR($Q43&lt;MIN($K43,$L43),$Q43&gt;MAX($K43,$L43)),1,0),0)</f>
        <v>0</v>
      </c>
      <c r="AD43" s="103" t="n">
        <f aca="false">IF(AND(ISNUMBER($T43),$P43="高"),IF($T43=3,1,0),0)</f>
        <v>0</v>
      </c>
      <c r="AE43" s="103" t="n">
        <f aca="false">IF(AND($S43="不存在",$B43="切片一"),1,0)</f>
        <v>0</v>
      </c>
    </row>
    <row r="44" customFormat="false" ht="29.85" hidden="false" customHeight="false" outlineLevel="0" collapsed="false">
      <c r="A44" s="53" t="s">
        <v>2396</v>
      </c>
      <c r="B44" s="52" t="s">
        <v>2297</v>
      </c>
      <c r="C44" s="53" t="s">
        <v>2298</v>
      </c>
      <c r="D44" s="53" t="s">
        <v>2397</v>
      </c>
      <c r="E44" s="6" t="s">
        <v>115</v>
      </c>
      <c r="F44" s="53" t="s">
        <v>70</v>
      </c>
      <c r="G44" s="52" t="s">
        <v>55</v>
      </c>
      <c r="H44" s="53" t="s">
        <v>554</v>
      </c>
      <c r="I44" s="6" t="s">
        <v>554</v>
      </c>
      <c r="J44" s="53" t="s">
        <v>554</v>
      </c>
      <c r="K44" s="101" t="n">
        <f aca="false">Inputs!$D$30</f>
        <v>0.02</v>
      </c>
      <c r="L44" s="101" t="n">
        <f aca="false">Inputs!$F$30</f>
        <v>0.04</v>
      </c>
      <c r="M44" s="53" t="s">
        <v>554</v>
      </c>
      <c r="N44" s="6" t="s">
        <v>117</v>
      </c>
      <c r="O44" s="6" t="s">
        <v>2398</v>
      </c>
      <c r="P44" s="52" t="s">
        <v>1078</v>
      </c>
      <c r="Q44" s="101" t="n">
        <f aca="false">Inputs!E30</f>
        <v>0.03</v>
      </c>
      <c r="R44" s="53" t="s">
        <v>554</v>
      </c>
      <c r="S44" s="83" t="str">
        <f aca="false">IF(OR($H44="—",$H44=""),"—",IF(ISNUMBER(MATCH($H44,SRC_HW!$A$5:$A$400,0)),INDEX(SRC_HW!$O$5:$O$400,MATCH($H44,SRC_HW!$A$5:$A$400,0)),IF(ISNUMBER(MATCH($H44,SRC_DC!$A$5:$A$400,0)),INDEX(SRC_DC!$O$5:$O$400,MATCH($H44,SRC_DC!$A$5:$A$400,0)),IF(ISNUMBER(MATCH($H44,SRC_Model!$A$5:$A$400,0)),INDEX(SRC_Model!$O$5:$O$400,MATCH($H44,SRC_Model!$A$5:$A$400,0)),IF(ISNUMBER(MATCH($H44,SRC_Perf!$A$5:$A$400,0)),INDEX(SRC_Perf!$O$5:$O$400,MATCH($H44,SRC_Perf!$A$5:$A$400,0)),"不存在")))))</f>
        <v>—</v>
      </c>
      <c r="T44" s="83" t="str">
        <f aca="false">IF(OR($H44="—",$H44=""),"—",IF(ISNUMBER(MATCH($H44,SRC_HW!$A$5:$A$400,0)),INDEX(SRC_HW!$K$5:$K$400,MATCH($H44,SRC_HW!$A$5:$A$400,0)),IF(ISNUMBER(MATCH($H44,SRC_DC!$A$5:$A$400,0)),INDEX(SRC_DC!$K$5:$K$400,MATCH($H44,SRC_DC!$A$5:$A$400,0)),IF(ISNUMBER(MATCH($H44,SRC_Model!$A$5:$A$400,0)),INDEX(SRC_Model!$K$5:$K$400,MATCH($H44,SRC_Model!$A$5:$A$400,0)),IF(ISNUMBER(MATCH($H44,SRC_Perf!$A$5:$A$400,0)),INDEX(SRC_Perf!$K$5:$K$400,MATCH($H44,SRC_Perf!$A$5:$A$400,0)),"不存在")))))</f>
        <v>—</v>
      </c>
      <c r="U44" s="52" t="s">
        <v>2302</v>
      </c>
      <c r="V44" s="103" t="n">
        <f aca="false">IF(AND($F44="原始數據",$U44&lt;&gt;"連結 SRC"),1,0)</f>
        <v>0</v>
      </c>
      <c r="W44" s="103" t="n">
        <f aca="false">IF(AND($F44="Analogy",OR($H44="—",$H44="")),1,0)</f>
        <v>0</v>
      </c>
      <c r="X44" s="103" t="n">
        <f aca="false">IF(AND(OR($F44="Analogy",$F44="Assumed"),$G44&lt;&gt;"低",$G44&lt;&gt;"高",NOT(ISNUMBER($K44)),NOT(ISNUMBER($L44)),OR($M44="—",$M44="")),1,0)</f>
        <v>0</v>
      </c>
      <c r="Y44" s="103" t="n">
        <f aca="false">IF(AND(OR($F44="Analogy",$F44="Assumed",$F44="Derived（待改公式）",$F44="Derived（公式）"),OR($N44="—",$N44="",$N44=0)),1,0)</f>
        <v>0</v>
      </c>
      <c r="Z44" s="103" t="n">
        <f aca="false">IF(AND($F44="Decision",OR($J44="—",$J44="")),1,0)</f>
        <v>0</v>
      </c>
      <c r="AA44" s="84" t="n">
        <f aca="false">IF(OR($J44="—",$J44=""),0,IF(COUNTIF(Decisions!$A$5:$A$300,$J44)=0,1,0))</f>
        <v>0</v>
      </c>
      <c r="AB44" s="103" t="n">
        <f aca="false">IF(AND($F44="原始數據",$S44&lt;&gt;"Active"),1,0)</f>
        <v>0</v>
      </c>
      <c r="AC44" s="103" t="n">
        <f aca="false">IF(AND(ISNUMBER($K44),ISNUMBER($L44),ISNUMBER($Q44)),IF(OR($Q44&lt;MIN($K44,$L44),$Q44&gt;MAX($K44,$L44)),1,0),0)</f>
        <v>0</v>
      </c>
      <c r="AD44" s="103" t="n">
        <f aca="false">IF(AND(ISNUMBER($T44),$P44="高"),IF($T44=3,1,0),0)</f>
        <v>0</v>
      </c>
      <c r="AE44" s="103" t="n">
        <f aca="false">IF(AND($S44="不存在",$B44="切片一"),1,0)</f>
        <v>0</v>
      </c>
    </row>
    <row r="45" customFormat="false" ht="29.85" hidden="false" customHeight="false" outlineLevel="0" collapsed="false">
      <c r="A45" s="53" t="s">
        <v>2399</v>
      </c>
      <c r="B45" s="52" t="s">
        <v>2297</v>
      </c>
      <c r="C45" s="53" t="s">
        <v>2298</v>
      </c>
      <c r="D45" s="53" t="s">
        <v>2400</v>
      </c>
      <c r="E45" s="6" t="s">
        <v>115</v>
      </c>
      <c r="F45" s="53" t="s">
        <v>70</v>
      </c>
      <c r="G45" s="52" t="s">
        <v>1078</v>
      </c>
      <c r="H45" s="53" t="s">
        <v>554</v>
      </c>
      <c r="I45" s="6" t="s">
        <v>554</v>
      </c>
      <c r="J45" s="53" t="s">
        <v>554</v>
      </c>
      <c r="K45" s="52"/>
      <c r="L45" s="52"/>
      <c r="M45" s="53" t="s">
        <v>554</v>
      </c>
      <c r="N45" s="6" t="s">
        <v>117</v>
      </c>
      <c r="O45" s="6" t="s">
        <v>2398</v>
      </c>
      <c r="P45" s="52" t="s">
        <v>1078</v>
      </c>
      <c r="Q45" s="101" t="n">
        <f aca="false">Inputs!D30</f>
        <v>0.02</v>
      </c>
      <c r="R45" s="53" t="s">
        <v>554</v>
      </c>
      <c r="S45" s="83" t="str">
        <f aca="false">IF(OR($H45="—",$H45=""),"—",IF(ISNUMBER(MATCH($H45,SRC_HW!$A$5:$A$400,0)),INDEX(SRC_HW!$O$5:$O$400,MATCH($H45,SRC_HW!$A$5:$A$400,0)),IF(ISNUMBER(MATCH($H45,SRC_DC!$A$5:$A$400,0)),INDEX(SRC_DC!$O$5:$O$400,MATCH($H45,SRC_DC!$A$5:$A$400,0)),IF(ISNUMBER(MATCH($H45,SRC_Model!$A$5:$A$400,0)),INDEX(SRC_Model!$O$5:$O$400,MATCH($H45,SRC_Model!$A$5:$A$400,0)),IF(ISNUMBER(MATCH($H45,SRC_Perf!$A$5:$A$400,0)),INDEX(SRC_Perf!$O$5:$O$400,MATCH($H45,SRC_Perf!$A$5:$A$400,0)),"不存在")))))</f>
        <v>—</v>
      </c>
      <c r="T45" s="83" t="str">
        <f aca="false">IF(OR($H45="—",$H45=""),"—",IF(ISNUMBER(MATCH($H45,SRC_HW!$A$5:$A$400,0)),INDEX(SRC_HW!$K$5:$K$400,MATCH($H45,SRC_HW!$A$5:$A$400,0)),IF(ISNUMBER(MATCH($H45,SRC_DC!$A$5:$A$400,0)),INDEX(SRC_DC!$K$5:$K$400,MATCH($H45,SRC_DC!$A$5:$A$400,0)),IF(ISNUMBER(MATCH($H45,SRC_Model!$A$5:$A$400,0)),INDEX(SRC_Model!$K$5:$K$400,MATCH($H45,SRC_Model!$A$5:$A$400,0)),IF(ISNUMBER(MATCH($H45,SRC_Perf!$A$5:$A$400,0)),INDEX(SRC_Perf!$K$5:$K$400,MATCH($H45,SRC_Perf!$A$5:$A$400,0)),"不存在")))))</f>
        <v>—</v>
      </c>
      <c r="U45" s="52" t="s">
        <v>2302</v>
      </c>
      <c r="V45" s="103" t="n">
        <f aca="false">IF(AND($F45="原始數據",$U45&lt;&gt;"連結 SRC"),1,0)</f>
        <v>0</v>
      </c>
      <c r="W45" s="103" t="n">
        <f aca="false">IF(AND($F45="Analogy",OR($H45="—",$H45="")),1,0)</f>
        <v>0</v>
      </c>
      <c r="X45" s="103" t="n">
        <f aca="false">IF(AND(OR($F45="Analogy",$F45="Assumed"),$G45&lt;&gt;"低",$G45&lt;&gt;"高",NOT(ISNUMBER($K45)),NOT(ISNUMBER($L45)),OR($M45="—",$M45="")),1,0)</f>
        <v>0</v>
      </c>
      <c r="Y45" s="103" t="n">
        <f aca="false">IF(AND(OR($F45="Analogy",$F45="Assumed",$F45="Derived（待改公式）",$F45="Derived（公式）"),OR($N45="—",$N45="",$N45=0)),1,0)</f>
        <v>0</v>
      </c>
      <c r="Z45" s="103" t="n">
        <f aca="false">IF(AND($F45="Decision",OR($J45="—",$J45="")),1,0)</f>
        <v>0</v>
      </c>
      <c r="AA45" s="84" t="n">
        <f aca="false">IF(OR($J45="—",$J45=""),0,IF(COUNTIF(Decisions!$A$5:$A$300,$J45)=0,1,0))</f>
        <v>0</v>
      </c>
      <c r="AB45" s="103" t="n">
        <f aca="false">IF(AND($F45="原始數據",$S45&lt;&gt;"Active"),1,0)</f>
        <v>0</v>
      </c>
      <c r="AC45" s="103" t="n">
        <f aca="false">IF(AND(ISNUMBER($K45),ISNUMBER($L45),ISNUMBER($Q45)),IF(OR($Q45&lt;MIN($K45,$L45),$Q45&gt;MAX($K45,$L45)),1,0),0)</f>
        <v>0</v>
      </c>
      <c r="AD45" s="103" t="n">
        <f aca="false">IF(AND(ISNUMBER($T45),$P45="高"),IF($T45=3,1,0),0)</f>
        <v>0</v>
      </c>
      <c r="AE45" s="103" t="n">
        <f aca="false">IF(AND($S45="不存在",$B45="切片一"),1,0)</f>
        <v>0</v>
      </c>
    </row>
    <row r="46" customFormat="false" ht="29.85" hidden="false" customHeight="false" outlineLevel="0" collapsed="false">
      <c r="A46" s="53" t="s">
        <v>2401</v>
      </c>
      <c r="B46" s="52" t="s">
        <v>2297</v>
      </c>
      <c r="C46" s="53" t="s">
        <v>2298</v>
      </c>
      <c r="D46" s="53" t="s">
        <v>2402</v>
      </c>
      <c r="E46" s="6" t="s">
        <v>115</v>
      </c>
      <c r="F46" s="53" t="s">
        <v>70</v>
      </c>
      <c r="G46" s="52" t="s">
        <v>1079</v>
      </c>
      <c r="H46" s="53" t="s">
        <v>554</v>
      </c>
      <c r="I46" s="6" t="s">
        <v>554</v>
      </c>
      <c r="J46" s="53" t="s">
        <v>554</v>
      </c>
      <c r="K46" s="52"/>
      <c r="L46" s="52"/>
      <c r="M46" s="53" t="s">
        <v>554</v>
      </c>
      <c r="N46" s="6" t="s">
        <v>117</v>
      </c>
      <c r="O46" s="6" t="s">
        <v>2398</v>
      </c>
      <c r="P46" s="52" t="s">
        <v>1078</v>
      </c>
      <c r="Q46" s="101" t="n">
        <f aca="false">Inputs!F30</f>
        <v>0.04</v>
      </c>
      <c r="R46" s="53" t="s">
        <v>554</v>
      </c>
      <c r="S46" s="83" t="str">
        <f aca="false">IF(OR($H46="—",$H46=""),"—",IF(ISNUMBER(MATCH($H46,SRC_HW!$A$5:$A$400,0)),INDEX(SRC_HW!$O$5:$O$400,MATCH($H46,SRC_HW!$A$5:$A$400,0)),IF(ISNUMBER(MATCH($H46,SRC_DC!$A$5:$A$400,0)),INDEX(SRC_DC!$O$5:$O$400,MATCH($H46,SRC_DC!$A$5:$A$400,0)),IF(ISNUMBER(MATCH($H46,SRC_Model!$A$5:$A$400,0)),INDEX(SRC_Model!$O$5:$O$400,MATCH($H46,SRC_Model!$A$5:$A$400,0)),IF(ISNUMBER(MATCH($H46,SRC_Perf!$A$5:$A$400,0)),INDEX(SRC_Perf!$O$5:$O$400,MATCH($H46,SRC_Perf!$A$5:$A$400,0)),"不存在")))))</f>
        <v>—</v>
      </c>
      <c r="T46" s="83" t="str">
        <f aca="false">IF(OR($H46="—",$H46=""),"—",IF(ISNUMBER(MATCH($H46,SRC_HW!$A$5:$A$400,0)),INDEX(SRC_HW!$K$5:$K$400,MATCH($H46,SRC_HW!$A$5:$A$400,0)),IF(ISNUMBER(MATCH($H46,SRC_DC!$A$5:$A$400,0)),INDEX(SRC_DC!$K$5:$K$400,MATCH($H46,SRC_DC!$A$5:$A$400,0)),IF(ISNUMBER(MATCH($H46,SRC_Model!$A$5:$A$400,0)),INDEX(SRC_Model!$K$5:$K$400,MATCH($H46,SRC_Model!$A$5:$A$400,0)),IF(ISNUMBER(MATCH($H46,SRC_Perf!$A$5:$A$400,0)),INDEX(SRC_Perf!$K$5:$K$400,MATCH($H46,SRC_Perf!$A$5:$A$400,0)),"不存在")))))</f>
        <v>—</v>
      </c>
      <c r="U46" s="52" t="s">
        <v>2302</v>
      </c>
      <c r="V46" s="103" t="n">
        <f aca="false">IF(AND($F46="原始數據",$U46&lt;&gt;"連結 SRC"),1,0)</f>
        <v>0</v>
      </c>
      <c r="W46" s="103" t="n">
        <f aca="false">IF(AND($F46="Analogy",OR($H46="—",$H46="")),1,0)</f>
        <v>0</v>
      </c>
      <c r="X46" s="103" t="n">
        <f aca="false">IF(AND(OR($F46="Analogy",$F46="Assumed"),$G46&lt;&gt;"低",$G46&lt;&gt;"高",NOT(ISNUMBER($K46)),NOT(ISNUMBER($L46)),OR($M46="—",$M46="")),1,0)</f>
        <v>0</v>
      </c>
      <c r="Y46" s="103" t="n">
        <f aca="false">IF(AND(OR($F46="Analogy",$F46="Assumed",$F46="Derived（待改公式）",$F46="Derived（公式）"),OR($N46="—",$N46="",$N46=0)),1,0)</f>
        <v>0</v>
      </c>
      <c r="Z46" s="103" t="n">
        <f aca="false">IF(AND($F46="Decision",OR($J46="—",$J46="")),1,0)</f>
        <v>0</v>
      </c>
      <c r="AA46" s="84" t="n">
        <f aca="false">IF(OR($J46="—",$J46=""),0,IF(COUNTIF(Decisions!$A$5:$A$300,$J46)=0,1,0))</f>
        <v>0</v>
      </c>
      <c r="AB46" s="103" t="n">
        <f aca="false">IF(AND($F46="原始數據",$S46&lt;&gt;"Active"),1,0)</f>
        <v>0</v>
      </c>
      <c r="AC46" s="103" t="n">
        <f aca="false">IF(AND(ISNUMBER($K46),ISNUMBER($L46),ISNUMBER($Q46)),IF(OR($Q46&lt;MIN($K46,$L46),$Q46&gt;MAX($K46,$L46)),1,0),0)</f>
        <v>0</v>
      </c>
      <c r="AD46" s="103" t="n">
        <f aca="false">IF(AND(ISNUMBER($T46),$P46="高"),IF($T46=3,1,0),0)</f>
        <v>0</v>
      </c>
      <c r="AE46" s="103" t="n">
        <f aca="false">IF(AND($S46="不存在",$B46="切片一"),1,0)</f>
        <v>0</v>
      </c>
    </row>
    <row r="47" customFormat="false" ht="29.85" hidden="false" customHeight="false" outlineLevel="0" collapsed="false">
      <c r="A47" s="53" t="s">
        <v>2403</v>
      </c>
      <c r="B47" s="52" t="s">
        <v>2297</v>
      </c>
      <c r="C47" s="53" t="s">
        <v>2298</v>
      </c>
      <c r="D47" s="53" t="s">
        <v>2404</v>
      </c>
      <c r="E47" s="5" t="s">
        <v>118</v>
      </c>
      <c r="F47" s="53" t="s">
        <v>70</v>
      </c>
      <c r="G47" s="52" t="s">
        <v>55</v>
      </c>
      <c r="H47" s="53" t="s">
        <v>554</v>
      </c>
      <c r="I47" s="6" t="s">
        <v>554</v>
      </c>
      <c r="J47" s="53" t="s">
        <v>554</v>
      </c>
      <c r="K47" s="101" t="n">
        <f aca="false">Inputs!$D$31</f>
        <v>0.015</v>
      </c>
      <c r="L47" s="101" t="n">
        <f aca="false">Inputs!$F$31</f>
        <v>0.025</v>
      </c>
      <c r="M47" s="53" t="s">
        <v>554</v>
      </c>
      <c r="N47" s="6" t="s">
        <v>120</v>
      </c>
      <c r="O47" s="6" t="s">
        <v>2405</v>
      </c>
      <c r="P47" s="52" t="s">
        <v>1078</v>
      </c>
      <c r="Q47" s="101" t="n">
        <f aca="false">Inputs!E31</f>
        <v>0.02</v>
      </c>
      <c r="R47" s="53" t="s">
        <v>554</v>
      </c>
      <c r="S47" s="83" t="str">
        <f aca="false">IF(OR($H47="—",$H47=""),"—",IF(ISNUMBER(MATCH($H47,SRC_HW!$A$5:$A$400,0)),INDEX(SRC_HW!$O$5:$O$400,MATCH($H47,SRC_HW!$A$5:$A$400,0)),IF(ISNUMBER(MATCH($H47,SRC_DC!$A$5:$A$400,0)),INDEX(SRC_DC!$O$5:$O$400,MATCH($H47,SRC_DC!$A$5:$A$400,0)),IF(ISNUMBER(MATCH($H47,SRC_Model!$A$5:$A$400,0)),INDEX(SRC_Model!$O$5:$O$400,MATCH($H47,SRC_Model!$A$5:$A$400,0)),IF(ISNUMBER(MATCH($H47,SRC_Perf!$A$5:$A$400,0)),INDEX(SRC_Perf!$O$5:$O$400,MATCH($H47,SRC_Perf!$A$5:$A$400,0)),"不存在")))))</f>
        <v>—</v>
      </c>
      <c r="T47" s="83" t="str">
        <f aca="false">IF(OR($H47="—",$H47=""),"—",IF(ISNUMBER(MATCH($H47,SRC_HW!$A$5:$A$400,0)),INDEX(SRC_HW!$K$5:$K$400,MATCH($H47,SRC_HW!$A$5:$A$400,0)),IF(ISNUMBER(MATCH($H47,SRC_DC!$A$5:$A$400,0)),INDEX(SRC_DC!$K$5:$K$400,MATCH($H47,SRC_DC!$A$5:$A$400,0)),IF(ISNUMBER(MATCH($H47,SRC_Model!$A$5:$A$400,0)),INDEX(SRC_Model!$K$5:$K$400,MATCH($H47,SRC_Model!$A$5:$A$400,0)),IF(ISNUMBER(MATCH($H47,SRC_Perf!$A$5:$A$400,0)),INDEX(SRC_Perf!$K$5:$K$400,MATCH($H47,SRC_Perf!$A$5:$A$400,0)),"不存在")))))</f>
        <v>—</v>
      </c>
      <c r="U47" s="52" t="s">
        <v>2302</v>
      </c>
      <c r="V47" s="103" t="n">
        <f aca="false">IF(AND($F47="原始數據",$U47&lt;&gt;"連結 SRC"),1,0)</f>
        <v>0</v>
      </c>
      <c r="W47" s="103" t="n">
        <f aca="false">IF(AND($F47="Analogy",OR($H47="—",$H47="")),1,0)</f>
        <v>0</v>
      </c>
      <c r="X47" s="103" t="n">
        <f aca="false">IF(AND(OR($F47="Analogy",$F47="Assumed"),$G47&lt;&gt;"低",$G47&lt;&gt;"高",NOT(ISNUMBER($K47)),NOT(ISNUMBER($L47)),OR($M47="—",$M47="")),1,0)</f>
        <v>0</v>
      </c>
      <c r="Y47" s="103" t="n">
        <f aca="false">IF(AND(OR($F47="Analogy",$F47="Assumed",$F47="Derived（待改公式）",$F47="Derived（公式）"),OR($N47="—",$N47="",$N47=0)),1,0)</f>
        <v>0</v>
      </c>
      <c r="Z47" s="103" t="n">
        <f aca="false">IF(AND($F47="Decision",OR($J47="—",$J47="")),1,0)</f>
        <v>0</v>
      </c>
      <c r="AA47" s="84" t="n">
        <f aca="false">IF(OR($J47="—",$J47=""),0,IF(COUNTIF(Decisions!$A$5:$A$300,$J47)=0,1,0))</f>
        <v>0</v>
      </c>
      <c r="AB47" s="103" t="n">
        <f aca="false">IF(AND($F47="原始數據",$S47&lt;&gt;"Active"),1,0)</f>
        <v>0</v>
      </c>
      <c r="AC47" s="103" t="n">
        <f aca="false">IF(AND(ISNUMBER($K47),ISNUMBER($L47),ISNUMBER($Q47)),IF(OR($Q47&lt;MIN($K47,$L47),$Q47&gt;MAX($K47,$L47)),1,0),0)</f>
        <v>0</v>
      </c>
      <c r="AD47" s="103" t="n">
        <f aca="false">IF(AND(ISNUMBER($T47),$P47="高"),IF($T47=3,1,0),0)</f>
        <v>0</v>
      </c>
      <c r="AE47" s="103" t="n">
        <f aca="false">IF(AND($S47="不存在",$B47="切片一"),1,0)</f>
        <v>0</v>
      </c>
    </row>
    <row r="48" customFormat="false" ht="29.85" hidden="false" customHeight="false" outlineLevel="0" collapsed="false">
      <c r="A48" s="53" t="s">
        <v>2406</v>
      </c>
      <c r="B48" s="52" t="s">
        <v>2297</v>
      </c>
      <c r="C48" s="53" t="s">
        <v>2298</v>
      </c>
      <c r="D48" s="53" t="s">
        <v>2407</v>
      </c>
      <c r="E48" s="5" t="s">
        <v>118</v>
      </c>
      <c r="F48" s="53" t="s">
        <v>70</v>
      </c>
      <c r="G48" s="52" t="s">
        <v>1078</v>
      </c>
      <c r="H48" s="53" t="s">
        <v>554</v>
      </c>
      <c r="I48" s="6" t="s">
        <v>554</v>
      </c>
      <c r="J48" s="53" t="s">
        <v>554</v>
      </c>
      <c r="K48" s="52"/>
      <c r="L48" s="52"/>
      <c r="M48" s="53" t="s">
        <v>554</v>
      </c>
      <c r="N48" s="6" t="s">
        <v>120</v>
      </c>
      <c r="O48" s="6" t="s">
        <v>2405</v>
      </c>
      <c r="P48" s="52" t="s">
        <v>1078</v>
      </c>
      <c r="Q48" s="101" t="n">
        <f aca="false">Inputs!D31</f>
        <v>0.015</v>
      </c>
      <c r="R48" s="53" t="s">
        <v>554</v>
      </c>
      <c r="S48" s="83" t="str">
        <f aca="false">IF(OR($H48="—",$H48=""),"—",IF(ISNUMBER(MATCH($H48,SRC_HW!$A$5:$A$400,0)),INDEX(SRC_HW!$O$5:$O$400,MATCH($H48,SRC_HW!$A$5:$A$400,0)),IF(ISNUMBER(MATCH($H48,SRC_DC!$A$5:$A$400,0)),INDEX(SRC_DC!$O$5:$O$400,MATCH($H48,SRC_DC!$A$5:$A$400,0)),IF(ISNUMBER(MATCH($H48,SRC_Model!$A$5:$A$400,0)),INDEX(SRC_Model!$O$5:$O$400,MATCH($H48,SRC_Model!$A$5:$A$400,0)),IF(ISNUMBER(MATCH($H48,SRC_Perf!$A$5:$A$400,0)),INDEX(SRC_Perf!$O$5:$O$400,MATCH($H48,SRC_Perf!$A$5:$A$400,0)),"不存在")))))</f>
        <v>—</v>
      </c>
      <c r="T48" s="83" t="str">
        <f aca="false">IF(OR($H48="—",$H48=""),"—",IF(ISNUMBER(MATCH($H48,SRC_HW!$A$5:$A$400,0)),INDEX(SRC_HW!$K$5:$K$400,MATCH($H48,SRC_HW!$A$5:$A$400,0)),IF(ISNUMBER(MATCH($H48,SRC_DC!$A$5:$A$400,0)),INDEX(SRC_DC!$K$5:$K$400,MATCH($H48,SRC_DC!$A$5:$A$400,0)),IF(ISNUMBER(MATCH($H48,SRC_Model!$A$5:$A$400,0)),INDEX(SRC_Model!$K$5:$K$400,MATCH($H48,SRC_Model!$A$5:$A$400,0)),IF(ISNUMBER(MATCH($H48,SRC_Perf!$A$5:$A$400,0)),INDEX(SRC_Perf!$K$5:$K$400,MATCH($H48,SRC_Perf!$A$5:$A$400,0)),"不存在")))))</f>
        <v>—</v>
      </c>
      <c r="U48" s="52" t="s">
        <v>2302</v>
      </c>
      <c r="V48" s="103" t="n">
        <f aca="false">IF(AND($F48="原始數據",$U48&lt;&gt;"連結 SRC"),1,0)</f>
        <v>0</v>
      </c>
      <c r="W48" s="103" t="n">
        <f aca="false">IF(AND($F48="Analogy",OR($H48="—",$H48="")),1,0)</f>
        <v>0</v>
      </c>
      <c r="X48" s="103" t="n">
        <f aca="false">IF(AND(OR($F48="Analogy",$F48="Assumed"),$G48&lt;&gt;"低",$G48&lt;&gt;"高",NOT(ISNUMBER($K48)),NOT(ISNUMBER($L48)),OR($M48="—",$M48="")),1,0)</f>
        <v>0</v>
      </c>
      <c r="Y48" s="103" t="n">
        <f aca="false">IF(AND(OR($F48="Analogy",$F48="Assumed",$F48="Derived（待改公式）",$F48="Derived（公式）"),OR($N48="—",$N48="",$N48=0)),1,0)</f>
        <v>0</v>
      </c>
      <c r="Z48" s="103" t="n">
        <f aca="false">IF(AND($F48="Decision",OR($J48="—",$J48="")),1,0)</f>
        <v>0</v>
      </c>
      <c r="AA48" s="84" t="n">
        <f aca="false">IF(OR($J48="—",$J48=""),0,IF(COUNTIF(Decisions!$A$5:$A$300,$J48)=0,1,0))</f>
        <v>0</v>
      </c>
      <c r="AB48" s="103" t="n">
        <f aca="false">IF(AND($F48="原始數據",$S48&lt;&gt;"Active"),1,0)</f>
        <v>0</v>
      </c>
      <c r="AC48" s="103" t="n">
        <f aca="false">IF(AND(ISNUMBER($K48),ISNUMBER($L48),ISNUMBER($Q48)),IF(OR($Q48&lt;MIN($K48,$L48),$Q48&gt;MAX($K48,$L48)),1,0),0)</f>
        <v>0</v>
      </c>
      <c r="AD48" s="103" t="n">
        <f aca="false">IF(AND(ISNUMBER($T48),$P48="高"),IF($T48=3,1,0),0)</f>
        <v>0</v>
      </c>
      <c r="AE48" s="103" t="n">
        <f aca="false">IF(AND($S48="不存在",$B48="切片一"),1,0)</f>
        <v>0</v>
      </c>
    </row>
    <row r="49" customFormat="false" ht="29.85" hidden="false" customHeight="false" outlineLevel="0" collapsed="false">
      <c r="A49" s="53" t="s">
        <v>2408</v>
      </c>
      <c r="B49" s="52" t="s">
        <v>2297</v>
      </c>
      <c r="C49" s="53" t="s">
        <v>2298</v>
      </c>
      <c r="D49" s="53" t="s">
        <v>2409</v>
      </c>
      <c r="E49" s="5" t="s">
        <v>118</v>
      </c>
      <c r="F49" s="53" t="s">
        <v>70</v>
      </c>
      <c r="G49" s="52" t="s">
        <v>1079</v>
      </c>
      <c r="H49" s="53" t="s">
        <v>554</v>
      </c>
      <c r="I49" s="6" t="s">
        <v>554</v>
      </c>
      <c r="J49" s="53" t="s">
        <v>554</v>
      </c>
      <c r="K49" s="52"/>
      <c r="L49" s="52"/>
      <c r="M49" s="53" t="s">
        <v>554</v>
      </c>
      <c r="N49" s="6" t="s">
        <v>120</v>
      </c>
      <c r="O49" s="6" t="s">
        <v>2405</v>
      </c>
      <c r="P49" s="52" t="s">
        <v>1078</v>
      </c>
      <c r="Q49" s="101" t="n">
        <f aca="false">Inputs!F31</f>
        <v>0.025</v>
      </c>
      <c r="R49" s="53" t="s">
        <v>554</v>
      </c>
      <c r="S49" s="83" t="str">
        <f aca="false">IF(OR($H49="—",$H49=""),"—",IF(ISNUMBER(MATCH($H49,SRC_HW!$A$5:$A$400,0)),INDEX(SRC_HW!$O$5:$O$400,MATCH($H49,SRC_HW!$A$5:$A$400,0)),IF(ISNUMBER(MATCH($H49,SRC_DC!$A$5:$A$400,0)),INDEX(SRC_DC!$O$5:$O$400,MATCH($H49,SRC_DC!$A$5:$A$400,0)),IF(ISNUMBER(MATCH($H49,SRC_Model!$A$5:$A$400,0)),INDEX(SRC_Model!$O$5:$O$400,MATCH($H49,SRC_Model!$A$5:$A$400,0)),IF(ISNUMBER(MATCH($H49,SRC_Perf!$A$5:$A$400,0)),INDEX(SRC_Perf!$O$5:$O$400,MATCH($H49,SRC_Perf!$A$5:$A$400,0)),"不存在")))))</f>
        <v>—</v>
      </c>
      <c r="T49" s="83" t="str">
        <f aca="false">IF(OR($H49="—",$H49=""),"—",IF(ISNUMBER(MATCH($H49,SRC_HW!$A$5:$A$400,0)),INDEX(SRC_HW!$K$5:$K$400,MATCH($H49,SRC_HW!$A$5:$A$400,0)),IF(ISNUMBER(MATCH($H49,SRC_DC!$A$5:$A$400,0)),INDEX(SRC_DC!$K$5:$K$400,MATCH($H49,SRC_DC!$A$5:$A$400,0)),IF(ISNUMBER(MATCH($H49,SRC_Model!$A$5:$A$400,0)),INDEX(SRC_Model!$K$5:$K$400,MATCH($H49,SRC_Model!$A$5:$A$400,0)),IF(ISNUMBER(MATCH($H49,SRC_Perf!$A$5:$A$400,0)),INDEX(SRC_Perf!$K$5:$K$400,MATCH($H49,SRC_Perf!$A$5:$A$400,0)),"不存在")))))</f>
        <v>—</v>
      </c>
      <c r="U49" s="52" t="s">
        <v>2302</v>
      </c>
      <c r="V49" s="103" t="n">
        <f aca="false">IF(AND($F49="原始數據",$U49&lt;&gt;"連結 SRC"),1,0)</f>
        <v>0</v>
      </c>
      <c r="W49" s="103" t="n">
        <f aca="false">IF(AND($F49="Analogy",OR($H49="—",$H49="")),1,0)</f>
        <v>0</v>
      </c>
      <c r="X49" s="103" t="n">
        <f aca="false">IF(AND(OR($F49="Analogy",$F49="Assumed"),$G49&lt;&gt;"低",$G49&lt;&gt;"高",NOT(ISNUMBER($K49)),NOT(ISNUMBER($L49)),OR($M49="—",$M49="")),1,0)</f>
        <v>0</v>
      </c>
      <c r="Y49" s="103" t="n">
        <f aca="false">IF(AND(OR($F49="Analogy",$F49="Assumed",$F49="Derived（待改公式）",$F49="Derived（公式）"),OR($N49="—",$N49="",$N49=0)),1,0)</f>
        <v>0</v>
      </c>
      <c r="Z49" s="103" t="n">
        <f aca="false">IF(AND($F49="Decision",OR($J49="—",$J49="")),1,0)</f>
        <v>0</v>
      </c>
      <c r="AA49" s="84" t="n">
        <f aca="false">IF(OR($J49="—",$J49=""),0,IF(COUNTIF(Decisions!$A$5:$A$300,$J49)=0,1,0))</f>
        <v>0</v>
      </c>
      <c r="AB49" s="103" t="n">
        <f aca="false">IF(AND($F49="原始數據",$S49&lt;&gt;"Active"),1,0)</f>
        <v>0</v>
      </c>
      <c r="AC49" s="103" t="n">
        <f aca="false">IF(AND(ISNUMBER($K49),ISNUMBER($L49),ISNUMBER($Q49)),IF(OR($Q49&lt;MIN($K49,$L49),$Q49&gt;MAX($K49,$L49)),1,0),0)</f>
        <v>0</v>
      </c>
      <c r="AD49" s="103" t="n">
        <f aca="false">IF(AND(ISNUMBER($T49),$P49="高"),IF($T49=3,1,0),0)</f>
        <v>0</v>
      </c>
      <c r="AE49" s="103" t="n">
        <f aca="false">IF(AND($S49="不存在",$B49="切片一"),1,0)</f>
        <v>0</v>
      </c>
    </row>
    <row r="50" customFormat="false" ht="15" hidden="false" customHeight="false" outlineLevel="0" collapsed="false">
      <c r="A50" s="53" t="s">
        <v>2410</v>
      </c>
      <c r="B50" s="52" t="s">
        <v>2297</v>
      </c>
      <c r="C50" s="53" t="s">
        <v>2298</v>
      </c>
      <c r="D50" s="53" t="s">
        <v>2411</v>
      </c>
      <c r="E50" s="5" t="s">
        <v>121</v>
      </c>
      <c r="F50" s="53" t="s">
        <v>70</v>
      </c>
      <c r="G50" s="52" t="s">
        <v>55</v>
      </c>
      <c r="H50" s="53" t="s">
        <v>554</v>
      </c>
      <c r="I50" s="6" t="s">
        <v>554</v>
      </c>
      <c r="J50" s="53" t="s">
        <v>554</v>
      </c>
      <c r="K50" s="54" t="n">
        <f aca="false">Inputs!$D$32</f>
        <v>50</v>
      </c>
      <c r="L50" s="54" t="n">
        <f aca="false">Inputs!$F$32</f>
        <v>100</v>
      </c>
      <c r="M50" s="53" t="s">
        <v>554</v>
      </c>
      <c r="N50" s="204" t="str">
        <f aca="false">Inputs!$H$32</f>
        <v>v4：500 FTE × $150K</v>
      </c>
      <c r="O50" s="6" t="s">
        <v>554</v>
      </c>
      <c r="P50" s="52" t="s">
        <v>1078</v>
      </c>
      <c r="Q50" s="54" t="n">
        <f aca="false">Inputs!E32</f>
        <v>75</v>
      </c>
      <c r="R50" s="53" t="s">
        <v>554</v>
      </c>
      <c r="S50" s="83" t="str">
        <f aca="false">IF(OR($H50="—",$H50=""),"—",IF(ISNUMBER(MATCH($H50,SRC_HW!$A$5:$A$400,0)),INDEX(SRC_HW!$O$5:$O$400,MATCH($H50,SRC_HW!$A$5:$A$400,0)),IF(ISNUMBER(MATCH($H50,SRC_DC!$A$5:$A$400,0)),INDEX(SRC_DC!$O$5:$O$400,MATCH($H50,SRC_DC!$A$5:$A$400,0)),IF(ISNUMBER(MATCH($H50,SRC_Model!$A$5:$A$400,0)),INDEX(SRC_Model!$O$5:$O$400,MATCH($H50,SRC_Model!$A$5:$A$400,0)),IF(ISNUMBER(MATCH($H50,SRC_Perf!$A$5:$A$400,0)),INDEX(SRC_Perf!$O$5:$O$400,MATCH($H50,SRC_Perf!$A$5:$A$400,0)),"不存在")))))</f>
        <v>—</v>
      </c>
      <c r="T50" s="83" t="str">
        <f aca="false">IF(OR($H50="—",$H50=""),"—",IF(ISNUMBER(MATCH($H50,SRC_HW!$A$5:$A$400,0)),INDEX(SRC_HW!$K$5:$K$400,MATCH($H50,SRC_HW!$A$5:$A$400,0)),IF(ISNUMBER(MATCH($H50,SRC_DC!$A$5:$A$400,0)),INDEX(SRC_DC!$K$5:$K$400,MATCH($H50,SRC_DC!$A$5:$A$400,0)),IF(ISNUMBER(MATCH($H50,SRC_Model!$A$5:$A$400,0)),INDEX(SRC_Model!$K$5:$K$400,MATCH($H50,SRC_Model!$A$5:$A$400,0)),IF(ISNUMBER(MATCH($H50,SRC_Perf!$A$5:$A$400,0)),INDEX(SRC_Perf!$K$5:$K$400,MATCH($H50,SRC_Perf!$A$5:$A$400,0)),"不存在")))))</f>
        <v>—</v>
      </c>
      <c r="U50" s="52" t="s">
        <v>2302</v>
      </c>
      <c r="V50" s="103" t="n">
        <f aca="false">IF(AND($F50="原始數據",$U50&lt;&gt;"連結 SRC"),1,0)</f>
        <v>0</v>
      </c>
      <c r="W50" s="103" t="n">
        <f aca="false">IF(AND($F50="Analogy",OR($H50="—",$H50="")),1,0)</f>
        <v>0</v>
      </c>
      <c r="X50" s="103" t="n">
        <f aca="false">IF(AND(OR($F50="Analogy",$F50="Assumed"),$G50&lt;&gt;"低",$G50&lt;&gt;"高",NOT(ISNUMBER($K50)),NOT(ISNUMBER($L50)),OR($M50="—",$M50="")),1,0)</f>
        <v>0</v>
      </c>
      <c r="Y50" s="103" t="n">
        <f aca="false">IF(AND(OR($F50="Analogy",$F50="Assumed",$F50="Derived（待改公式）",$F50="Derived（公式）"),OR($N50="—",$N50="",$N50=0)),1,0)</f>
        <v>0</v>
      </c>
      <c r="Z50" s="103" t="n">
        <f aca="false">IF(AND($F50="Decision",OR($J50="—",$J50="")),1,0)</f>
        <v>0</v>
      </c>
      <c r="AA50" s="84" t="n">
        <f aca="false">IF(OR($J50="—",$J50=""),0,IF(COUNTIF(Decisions!$A$5:$A$300,$J50)=0,1,0))</f>
        <v>0</v>
      </c>
      <c r="AB50" s="103" t="n">
        <f aca="false">IF(AND($F50="原始數據",$S50&lt;&gt;"Active"),1,0)</f>
        <v>0</v>
      </c>
      <c r="AC50" s="103" t="n">
        <f aca="false">IF(AND(ISNUMBER($K50),ISNUMBER($L50),ISNUMBER($Q50)),IF(OR($Q50&lt;MIN($K50,$L50),$Q50&gt;MAX($K50,$L50)),1,0),0)</f>
        <v>0</v>
      </c>
      <c r="AD50" s="103" t="n">
        <f aca="false">IF(AND(ISNUMBER($T50),$P50="高"),IF($T50=3,1,0),0)</f>
        <v>0</v>
      </c>
      <c r="AE50" s="103" t="n">
        <f aca="false">IF(AND($S50="不存在",$B50="切片一"),1,0)</f>
        <v>0</v>
      </c>
    </row>
    <row r="51" customFormat="false" ht="15" hidden="false" customHeight="false" outlineLevel="0" collapsed="false">
      <c r="A51" s="53" t="s">
        <v>2412</v>
      </c>
      <c r="B51" s="52" t="s">
        <v>2297</v>
      </c>
      <c r="C51" s="53" t="s">
        <v>2298</v>
      </c>
      <c r="D51" s="53" t="s">
        <v>2413</v>
      </c>
      <c r="E51" s="5" t="s">
        <v>121</v>
      </c>
      <c r="F51" s="53" t="s">
        <v>70</v>
      </c>
      <c r="G51" s="52" t="s">
        <v>1078</v>
      </c>
      <c r="H51" s="53" t="s">
        <v>554</v>
      </c>
      <c r="I51" s="6" t="s">
        <v>554</v>
      </c>
      <c r="J51" s="53" t="s">
        <v>554</v>
      </c>
      <c r="K51" s="52"/>
      <c r="L51" s="52"/>
      <c r="M51" s="53" t="s">
        <v>554</v>
      </c>
      <c r="N51" s="204" t="str">
        <f aca="false">Inputs!$H$32</f>
        <v>v4：500 FTE × $150K</v>
      </c>
      <c r="O51" s="6" t="s">
        <v>554</v>
      </c>
      <c r="P51" s="52" t="s">
        <v>1078</v>
      </c>
      <c r="Q51" s="54" t="n">
        <f aca="false">Inputs!D32</f>
        <v>50</v>
      </c>
      <c r="R51" s="53" t="s">
        <v>554</v>
      </c>
      <c r="S51" s="83" t="str">
        <f aca="false">IF(OR($H51="—",$H51=""),"—",IF(ISNUMBER(MATCH($H51,SRC_HW!$A$5:$A$400,0)),INDEX(SRC_HW!$O$5:$O$400,MATCH($H51,SRC_HW!$A$5:$A$400,0)),IF(ISNUMBER(MATCH($H51,SRC_DC!$A$5:$A$400,0)),INDEX(SRC_DC!$O$5:$O$400,MATCH($H51,SRC_DC!$A$5:$A$400,0)),IF(ISNUMBER(MATCH($H51,SRC_Model!$A$5:$A$400,0)),INDEX(SRC_Model!$O$5:$O$400,MATCH($H51,SRC_Model!$A$5:$A$400,0)),IF(ISNUMBER(MATCH($H51,SRC_Perf!$A$5:$A$400,0)),INDEX(SRC_Perf!$O$5:$O$400,MATCH($H51,SRC_Perf!$A$5:$A$400,0)),"不存在")))))</f>
        <v>—</v>
      </c>
      <c r="T51" s="83" t="str">
        <f aca="false">IF(OR($H51="—",$H51=""),"—",IF(ISNUMBER(MATCH($H51,SRC_HW!$A$5:$A$400,0)),INDEX(SRC_HW!$K$5:$K$400,MATCH($H51,SRC_HW!$A$5:$A$400,0)),IF(ISNUMBER(MATCH($H51,SRC_DC!$A$5:$A$400,0)),INDEX(SRC_DC!$K$5:$K$400,MATCH($H51,SRC_DC!$A$5:$A$400,0)),IF(ISNUMBER(MATCH($H51,SRC_Model!$A$5:$A$400,0)),INDEX(SRC_Model!$K$5:$K$400,MATCH($H51,SRC_Model!$A$5:$A$400,0)),IF(ISNUMBER(MATCH($H51,SRC_Perf!$A$5:$A$400,0)),INDEX(SRC_Perf!$K$5:$K$400,MATCH($H51,SRC_Perf!$A$5:$A$400,0)),"不存在")))))</f>
        <v>—</v>
      </c>
      <c r="U51" s="52" t="s">
        <v>2302</v>
      </c>
      <c r="V51" s="103" t="n">
        <f aca="false">IF(AND($F51="原始數據",$U51&lt;&gt;"連結 SRC"),1,0)</f>
        <v>0</v>
      </c>
      <c r="W51" s="103" t="n">
        <f aca="false">IF(AND($F51="Analogy",OR($H51="—",$H51="")),1,0)</f>
        <v>0</v>
      </c>
      <c r="X51" s="103" t="n">
        <f aca="false">IF(AND(OR($F51="Analogy",$F51="Assumed"),$G51&lt;&gt;"低",$G51&lt;&gt;"高",NOT(ISNUMBER($K51)),NOT(ISNUMBER($L51)),OR($M51="—",$M51="")),1,0)</f>
        <v>0</v>
      </c>
      <c r="Y51" s="103" t="n">
        <f aca="false">IF(AND(OR($F51="Analogy",$F51="Assumed",$F51="Derived（待改公式）",$F51="Derived（公式）"),OR($N51="—",$N51="",$N51=0)),1,0)</f>
        <v>0</v>
      </c>
      <c r="Z51" s="103" t="n">
        <f aca="false">IF(AND($F51="Decision",OR($J51="—",$J51="")),1,0)</f>
        <v>0</v>
      </c>
      <c r="AA51" s="84" t="n">
        <f aca="false">IF(OR($J51="—",$J51=""),0,IF(COUNTIF(Decisions!$A$5:$A$300,$J51)=0,1,0))</f>
        <v>0</v>
      </c>
      <c r="AB51" s="103" t="n">
        <f aca="false">IF(AND($F51="原始數據",$S51&lt;&gt;"Active"),1,0)</f>
        <v>0</v>
      </c>
      <c r="AC51" s="103" t="n">
        <f aca="false">IF(AND(ISNUMBER($K51),ISNUMBER($L51),ISNUMBER($Q51)),IF(OR($Q51&lt;MIN($K51,$L51),$Q51&gt;MAX($K51,$L51)),1,0),0)</f>
        <v>0</v>
      </c>
      <c r="AD51" s="103" t="n">
        <f aca="false">IF(AND(ISNUMBER($T51),$P51="高"),IF($T51=3,1,0),0)</f>
        <v>0</v>
      </c>
      <c r="AE51" s="103" t="n">
        <f aca="false">IF(AND($S51="不存在",$B51="切片一"),1,0)</f>
        <v>0</v>
      </c>
    </row>
    <row r="52" customFormat="false" ht="15" hidden="false" customHeight="false" outlineLevel="0" collapsed="false">
      <c r="A52" s="53" t="s">
        <v>2414</v>
      </c>
      <c r="B52" s="52" t="s">
        <v>2297</v>
      </c>
      <c r="C52" s="53" t="s">
        <v>2298</v>
      </c>
      <c r="D52" s="53" t="s">
        <v>2415</v>
      </c>
      <c r="E52" s="5" t="s">
        <v>121</v>
      </c>
      <c r="F52" s="53" t="s">
        <v>70</v>
      </c>
      <c r="G52" s="52" t="s">
        <v>1079</v>
      </c>
      <c r="H52" s="53" t="s">
        <v>554</v>
      </c>
      <c r="I52" s="6" t="s">
        <v>554</v>
      </c>
      <c r="J52" s="53" t="s">
        <v>554</v>
      </c>
      <c r="K52" s="52"/>
      <c r="L52" s="52"/>
      <c r="M52" s="53" t="s">
        <v>554</v>
      </c>
      <c r="N52" s="204" t="str">
        <f aca="false">Inputs!$H$32</f>
        <v>v4：500 FTE × $150K</v>
      </c>
      <c r="O52" s="6" t="s">
        <v>554</v>
      </c>
      <c r="P52" s="52" t="s">
        <v>1078</v>
      </c>
      <c r="Q52" s="54" t="n">
        <f aca="false">Inputs!F32</f>
        <v>100</v>
      </c>
      <c r="R52" s="53" t="s">
        <v>554</v>
      </c>
      <c r="S52" s="83" t="str">
        <f aca="false">IF(OR($H52="—",$H52=""),"—",IF(ISNUMBER(MATCH($H52,SRC_HW!$A$5:$A$400,0)),INDEX(SRC_HW!$O$5:$O$400,MATCH($H52,SRC_HW!$A$5:$A$400,0)),IF(ISNUMBER(MATCH($H52,SRC_DC!$A$5:$A$400,0)),INDEX(SRC_DC!$O$5:$O$400,MATCH($H52,SRC_DC!$A$5:$A$400,0)),IF(ISNUMBER(MATCH($H52,SRC_Model!$A$5:$A$400,0)),INDEX(SRC_Model!$O$5:$O$400,MATCH($H52,SRC_Model!$A$5:$A$400,0)),IF(ISNUMBER(MATCH($H52,SRC_Perf!$A$5:$A$400,0)),INDEX(SRC_Perf!$O$5:$O$400,MATCH($H52,SRC_Perf!$A$5:$A$400,0)),"不存在")))))</f>
        <v>—</v>
      </c>
      <c r="T52" s="83" t="str">
        <f aca="false">IF(OR($H52="—",$H52=""),"—",IF(ISNUMBER(MATCH($H52,SRC_HW!$A$5:$A$400,0)),INDEX(SRC_HW!$K$5:$K$400,MATCH($H52,SRC_HW!$A$5:$A$400,0)),IF(ISNUMBER(MATCH($H52,SRC_DC!$A$5:$A$400,0)),INDEX(SRC_DC!$K$5:$K$400,MATCH($H52,SRC_DC!$A$5:$A$400,0)),IF(ISNUMBER(MATCH($H52,SRC_Model!$A$5:$A$400,0)),INDEX(SRC_Model!$K$5:$K$400,MATCH($H52,SRC_Model!$A$5:$A$400,0)),IF(ISNUMBER(MATCH($H52,SRC_Perf!$A$5:$A$400,0)),INDEX(SRC_Perf!$K$5:$K$400,MATCH($H52,SRC_Perf!$A$5:$A$400,0)),"不存在")))))</f>
        <v>—</v>
      </c>
      <c r="U52" s="52" t="s">
        <v>2302</v>
      </c>
      <c r="V52" s="103" t="n">
        <f aca="false">IF(AND($F52="原始數據",$U52&lt;&gt;"連結 SRC"),1,0)</f>
        <v>0</v>
      </c>
      <c r="W52" s="103" t="n">
        <f aca="false">IF(AND($F52="Analogy",OR($H52="—",$H52="")),1,0)</f>
        <v>0</v>
      </c>
      <c r="X52" s="103" t="n">
        <f aca="false">IF(AND(OR($F52="Analogy",$F52="Assumed"),$G52&lt;&gt;"低",$G52&lt;&gt;"高",NOT(ISNUMBER($K52)),NOT(ISNUMBER($L52)),OR($M52="—",$M52="")),1,0)</f>
        <v>0</v>
      </c>
      <c r="Y52" s="103" t="n">
        <f aca="false">IF(AND(OR($F52="Analogy",$F52="Assumed",$F52="Derived（待改公式）",$F52="Derived（公式）"),OR($N52="—",$N52="",$N52=0)),1,0)</f>
        <v>0</v>
      </c>
      <c r="Z52" s="103" t="n">
        <f aca="false">IF(AND($F52="Decision",OR($J52="—",$J52="")),1,0)</f>
        <v>0</v>
      </c>
      <c r="AA52" s="84" t="n">
        <f aca="false">IF(OR($J52="—",$J52=""),0,IF(COUNTIF(Decisions!$A$5:$A$300,$J52)=0,1,0))</f>
        <v>0</v>
      </c>
      <c r="AB52" s="103" t="n">
        <f aca="false">IF(AND($F52="原始數據",$S52&lt;&gt;"Active"),1,0)</f>
        <v>0</v>
      </c>
      <c r="AC52" s="103" t="n">
        <f aca="false">IF(AND(ISNUMBER($K52),ISNUMBER($L52),ISNUMBER($Q52)),IF(OR($Q52&lt;MIN($K52,$L52),$Q52&gt;MAX($K52,$L52)),1,0),0)</f>
        <v>0</v>
      </c>
      <c r="AD52" s="103" t="n">
        <f aca="false">IF(AND(ISNUMBER($T52),$P52="高"),IF($T52=3,1,0),0)</f>
        <v>0</v>
      </c>
      <c r="AE52" s="103" t="n">
        <f aca="false">IF(AND($S52="不存在",$B52="切片一"),1,0)</f>
        <v>0</v>
      </c>
    </row>
    <row r="53" customFormat="false" ht="15" hidden="false" customHeight="false" outlineLevel="0" collapsed="false">
      <c r="A53" s="53" t="s">
        <v>2416</v>
      </c>
      <c r="B53" s="52" t="s">
        <v>2297</v>
      </c>
      <c r="C53" s="53" t="s">
        <v>2298</v>
      </c>
      <c r="D53" s="53" t="s">
        <v>2417</v>
      </c>
      <c r="E53" s="5" t="s">
        <v>124</v>
      </c>
      <c r="F53" s="53" t="s">
        <v>70</v>
      </c>
      <c r="G53" s="52" t="s">
        <v>55</v>
      </c>
      <c r="H53" s="53" t="s">
        <v>554</v>
      </c>
      <c r="I53" s="6" t="s">
        <v>554</v>
      </c>
      <c r="J53" s="53" t="s">
        <v>554</v>
      </c>
      <c r="K53" s="54" t="n">
        <f aca="false">Inputs!$D$33</f>
        <v>150</v>
      </c>
      <c r="L53" s="54" t="n">
        <f aca="false">Inputs!$F$33</f>
        <v>250</v>
      </c>
      <c r="M53" s="53" t="s">
        <v>554</v>
      </c>
      <c r="N53" s="204" t="str">
        <f aca="false">Inputs!$H$33</f>
        <v>v4＝$200M</v>
      </c>
      <c r="O53" s="6" t="s">
        <v>554</v>
      </c>
      <c r="P53" s="52" t="s">
        <v>1078</v>
      </c>
      <c r="Q53" s="54" t="n">
        <f aca="false">Inputs!E33</f>
        <v>200</v>
      </c>
      <c r="R53" s="53" t="s">
        <v>554</v>
      </c>
      <c r="S53" s="83" t="str">
        <f aca="false">IF(OR($H53="—",$H53=""),"—",IF(ISNUMBER(MATCH($H53,SRC_HW!$A$5:$A$400,0)),INDEX(SRC_HW!$O$5:$O$400,MATCH($H53,SRC_HW!$A$5:$A$400,0)),IF(ISNUMBER(MATCH($H53,SRC_DC!$A$5:$A$400,0)),INDEX(SRC_DC!$O$5:$O$400,MATCH($H53,SRC_DC!$A$5:$A$400,0)),IF(ISNUMBER(MATCH($H53,SRC_Model!$A$5:$A$400,0)),INDEX(SRC_Model!$O$5:$O$400,MATCH($H53,SRC_Model!$A$5:$A$400,0)),IF(ISNUMBER(MATCH($H53,SRC_Perf!$A$5:$A$400,0)),INDEX(SRC_Perf!$O$5:$O$400,MATCH($H53,SRC_Perf!$A$5:$A$400,0)),"不存在")))))</f>
        <v>—</v>
      </c>
      <c r="T53" s="83" t="str">
        <f aca="false">IF(OR($H53="—",$H53=""),"—",IF(ISNUMBER(MATCH($H53,SRC_HW!$A$5:$A$400,0)),INDEX(SRC_HW!$K$5:$K$400,MATCH($H53,SRC_HW!$A$5:$A$400,0)),IF(ISNUMBER(MATCH($H53,SRC_DC!$A$5:$A$400,0)),INDEX(SRC_DC!$K$5:$K$400,MATCH($H53,SRC_DC!$A$5:$A$400,0)),IF(ISNUMBER(MATCH($H53,SRC_Model!$A$5:$A$400,0)),INDEX(SRC_Model!$K$5:$K$400,MATCH($H53,SRC_Model!$A$5:$A$400,0)),IF(ISNUMBER(MATCH($H53,SRC_Perf!$A$5:$A$400,0)),INDEX(SRC_Perf!$K$5:$K$400,MATCH($H53,SRC_Perf!$A$5:$A$400,0)),"不存在")))))</f>
        <v>—</v>
      </c>
      <c r="U53" s="52" t="s">
        <v>2302</v>
      </c>
      <c r="V53" s="103" t="n">
        <f aca="false">IF(AND($F53="原始數據",$U53&lt;&gt;"連結 SRC"),1,0)</f>
        <v>0</v>
      </c>
      <c r="W53" s="103" t="n">
        <f aca="false">IF(AND($F53="Analogy",OR($H53="—",$H53="")),1,0)</f>
        <v>0</v>
      </c>
      <c r="X53" s="103" t="n">
        <f aca="false">IF(AND(OR($F53="Analogy",$F53="Assumed"),$G53&lt;&gt;"低",$G53&lt;&gt;"高",NOT(ISNUMBER($K53)),NOT(ISNUMBER($L53)),OR($M53="—",$M53="")),1,0)</f>
        <v>0</v>
      </c>
      <c r="Y53" s="103" t="n">
        <f aca="false">IF(AND(OR($F53="Analogy",$F53="Assumed",$F53="Derived（待改公式）",$F53="Derived（公式）"),OR($N53="—",$N53="",$N53=0)),1,0)</f>
        <v>0</v>
      </c>
      <c r="Z53" s="103" t="n">
        <f aca="false">IF(AND($F53="Decision",OR($J53="—",$J53="")),1,0)</f>
        <v>0</v>
      </c>
      <c r="AA53" s="84" t="n">
        <f aca="false">IF(OR($J53="—",$J53=""),0,IF(COUNTIF(Decisions!$A$5:$A$300,$J53)=0,1,0))</f>
        <v>0</v>
      </c>
      <c r="AB53" s="103" t="n">
        <f aca="false">IF(AND($F53="原始數據",$S53&lt;&gt;"Active"),1,0)</f>
        <v>0</v>
      </c>
      <c r="AC53" s="103" t="n">
        <f aca="false">IF(AND(ISNUMBER($K53),ISNUMBER($L53),ISNUMBER($Q53)),IF(OR($Q53&lt;MIN($K53,$L53),$Q53&gt;MAX($K53,$L53)),1,0),0)</f>
        <v>0</v>
      </c>
      <c r="AD53" s="103" t="n">
        <f aca="false">IF(AND(ISNUMBER($T53),$P53="高"),IF($T53=3,1,0),0)</f>
        <v>0</v>
      </c>
      <c r="AE53" s="103" t="n">
        <f aca="false">IF(AND($S53="不存在",$B53="切片一"),1,0)</f>
        <v>0</v>
      </c>
    </row>
    <row r="54" customFormat="false" ht="15" hidden="false" customHeight="false" outlineLevel="0" collapsed="false">
      <c r="A54" s="53" t="s">
        <v>2418</v>
      </c>
      <c r="B54" s="52" t="s">
        <v>2297</v>
      </c>
      <c r="C54" s="53" t="s">
        <v>2298</v>
      </c>
      <c r="D54" s="53" t="s">
        <v>2419</v>
      </c>
      <c r="E54" s="5" t="s">
        <v>124</v>
      </c>
      <c r="F54" s="53" t="s">
        <v>70</v>
      </c>
      <c r="G54" s="52" t="s">
        <v>1078</v>
      </c>
      <c r="H54" s="53" t="s">
        <v>554</v>
      </c>
      <c r="I54" s="6" t="s">
        <v>554</v>
      </c>
      <c r="J54" s="53" t="s">
        <v>554</v>
      </c>
      <c r="K54" s="52"/>
      <c r="L54" s="52"/>
      <c r="M54" s="53" t="s">
        <v>554</v>
      </c>
      <c r="N54" s="204" t="str">
        <f aca="false">Inputs!$H$33</f>
        <v>v4＝$200M</v>
      </c>
      <c r="O54" s="6" t="s">
        <v>554</v>
      </c>
      <c r="P54" s="52" t="s">
        <v>1078</v>
      </c>
      <c r="Q54" s="54" t="n">
        <f aca="false">Inputs!D33</f>
        <v>150</v>
      </c>
      <c r="R54" s="53" t="s">
        <v>554</v>
      </c>
      <c r="S54" s="83" t="str">
        <f aca="false">IF(OR($H54="—",$H54=""),"—",IF(ISNUMBER(MATCH($H54,SRC_HW!$A$5:$A$400,0)),INDEX(SRC_HW!$O$5:$O$400,MATCH($H54,SRC_HW!$A$5:$A$400,0)),IF(ISNUMBER(MATCH($H54,SRC_DC!$A$5:$A$400,0)),INDEX(SRC_DC!$O$5:$O$400,MATCH($H54,SRC_DC!$A$5:$A$400,0)),IF(ISNUMBER(MATCH($H54,SRC_Model!$A$5:$A$400,0)),INDEX(SRC_Model!$O$5:$O$400,MATCH($H54,SRC_Model!$A$5:$A$400,0)),IF(ISNUMBER(MATCH($H54,SRC_Perf!$A$5:$A$400,0)),INDEX(SRC_Perf!$O$5:$O$400,MATCH($H54,SRC_Perf!$A$5:$A$400,0)),"不存在")))))</f>
        <v>—</v>
      </c>
      <c r="T54" s="83" t="str">
        <f aca="false">IF(OR($H54="—",$H54=""),"—",IF(ISNUMBER(MATCH($H54,SRC_HW!$A$5:$A$400,0)),INDEX(SRC_HW!$K$5:$K$400,MATCH($H54,SRC_HW!$A$5:$A$400,0)),IF(ISNUMBER(MATCH($H54,SRC_DC!$A$5:$A$400,0)),INDEX(SRC_DC!$K$5:$K$400,MATCH($H54,SRC_DC!$A$5:$A$400,0)),IF(ISNUMBER(MATCH($H54,SRC_Model!$A$5:$A$400,0)),INDEX(SRC_Model!$K$5:$K$400,MATCH($H54,SRC_Model!$A$5:$A$400,0)),IF(ISNUMBER(MATCH($H54,SRC_Perf!$A$5:$A$400,0)),INDEX(SRC_Perf!$K$5:$K$400,MATCH($H54,SRC_Perf!$A$5:$A$400,0)),"不存在")))))</f>
        <v>—</v>
      </c>
      <c r="U54" s="52" t="s">
        <v>2302</v>
      </c>
      <c r="V54" s="103" t="n">
        <f aca="false">IF(AND($F54="原始數據",$U54&lt;&gt;"連結 SRC"),1,0)</f>
        <v>0</v>
      </c>
      <c r="W54" s="103" t="n">
        <f aca="false">IF(AND($F54="Analogy",OR($H54="—",$H54="")),1,0)</f>
        <v>0</v>
      </c>
      <c r="X54" s="103" t="n">
        <f aca="false">IF(AND(OR($F54="Analogy",$F54="Assumed"),$G54&lt;&gt;"低",$G54&lt;&gt;"高",NOT(ISNUMBER($K54)),NOT(ISNUMBER($L54)),OR($M54="—",$M54="")),1,0)</f>
        <v>0</v>
      </c>
      <c r="Y54" s="103" t="n">
        <f aca="false">IF(AND(OR($F54="Analogy",$F54="Assumed",$F54="Derived（待改公式）",$F54="Derived（公式）"),OR($N54="—",$N54="",$N54=0)),1,0)</f>
        <v>0</v>
      </c>
      <c r="Z54" s="103" t="n">
        <f aca="false">IF(AND($F54="Decision",OR($J54="—",$J54="")),1,0)</f>
        <v>0</v>
      </c>
      <c r="AA54" s="84" t="n">
        <f aca="false">IF(OR($J54="—",$J54=""),0,IF(COUNTIF(Decisions!$A$5:$A$300,$J54)=0,1,0))</f>
        <v>0</v>
      </c>
      <c r="AB54" s="103" t="n">
        <f aca="false">IF(AND($F54="原始數據",$S54&lt;&gt;"Active"),1,0)</f>
        <v>0</v>
      </c>
      <c r="AC54" s="103" t="n">
        <f aca="false">IF(AND(ISNUMBER($K54),ISNUMBER($L54),ISNUMBER($Q54)),IF(OR($Q54&lt;MIN($K54,$L54),$Q54&gt;MAX($K54,$L54)),1,0),0)</f>
        <v>0</v>
      </c>
      <c r="AD54" s="103" t="n">
        <f aca="false">IF(AND(ISNUMBER($T54),$P54="高"),IF($T54=3,1,0),0)</f>
        <v>0</v>
      </c>
      <c r="AE54" s="103" t="n">
        <f aca="false">IF(AND($S54="不存在",$B54="切片一"),1,0)</f>
        <v>0</v>
      </c>
    </row>
    <row r="55" customFormat="false" ht="15" hidden="false" customHeight="false" outlineLevel="0" collapsed="false">
      <c r="A55" s="53" t="s">
        <v>2420</v>
      </c>
      <c r="B55" s="52" t="s">
        <v>2297</v>
      </c>
      <c r="C55" s="53" t="s">
        <v>2298</v>
      </c>
      <c r="D55" s="53" t="s">
        <v>2421</v>
      </c>
      <c r="E55" s="5" t="s">
        <v>124</v>
      </c>
      <c r="F55" s="53" t="s">
        <v>70</v>
      </c>
      <c r="G55" s="52" t="s">
        <v>1079</v>
      </c>
      <c r="H55" s="53" t="s">
        <v>554</v>
      </c>
      <c r="I55" s="6" t="s">
        <v>554</v>
      </c>
      <c r="J55" s="53" t="s">
        <v>554</v>
      </c>
      <c r="K55" s="52"/>
      <c r="L55" s="52"/>
      <c r="M55" s="53" t="s">
        <v>554</v>
      </c>
      <c r="N55" s="204" t="str">
        <f aca="false">Inputs!$H$33</f>
        <v>v4＝$200M</v>
      </c>
      <c r="O55" s="6" t="s">
        <v>554</v>
      </c>
      <c r="P55" s="52" t="s">
        <v>1078</v>
      </c>
      <c r="Q55" s="54" t="n">
        <f aca="false">Inputs!F33</f>
        <v>250</v>
      </c>
      <c r="R55" s="53" t="s">
        <v>554</v>
      </c>
      <c r="S55" s="83" t="str">
        <f aca="false">IF(OR($H55="—",$H55=""),"—",IF(ISNUMBER(MATCH($H55,SRC_HW!$A$5:$A$400,0)),INDEX(SRC_HW!$O$5:$O$400,MATCH($H55,SRC_HW!$A$5:$A$400,0)),IF(ISNUMBER(MATCH($H55,SRC_DC!$A$5:$A$400,0)),INDEX(SRC_DC!$O$5:$O$400,MATCH($H55,SRC_DC!$A$5:$A$400,0)),IF(ISNUMBER(MATCH($H55,SRC_Model!$A$5:$A$400,0)),INDEX(SRC_Model!$O$5:$O$400,MATCH($H55,SRC_Model!$A$5:$A$400,0)),IF(ISNUMBER(MATCH($H55,SRC_Perf!$A$5:$A$400,0)),INDEX(SRC_Perf!$O$5:$O$400,MATCH($H55,SRC_Perf!$A$5:$A$400,0)),"不存在")))))</f>
        <v>—</v>
      </c>
      <c r="T55" s="83" t="str">
        <f aca="false">IF(OR($H55="—",$H55=""),"—",IF(ISNUMBER(MATCH($H55,SRC_HW!$A$5:$A$400,0)),INDEX(SRC_HW!$K$5:$K$400,MATCH($H55,SRC_HW!$A$5:$A$400,0)),IF(ISNUMBER(MATCH($H55,SRC_DC!$A$5:$A$400,0)),INDEX(SRC_DC!$K$5:$K$400,MATCH($H55,SRC_DC!$A$5:$A$400,0)),IF(ISNUMBER(MATCH($H55,SRC_Model!$A$5:$A$400,0)),INDEX(SRC_Model!$K$5:$K$400,MATCH($H55,SRC_Model!$A$5:$A$400,0)),IF(ISNUMBER(MATCH($H55,SRC_Perf!$A$5:$A$400,0)),INDEX(SRC_Perf!$K$5:$K$400,MATCH($H55,SRC_Perf!$A$5:$A$400,0)),"不存在")))))</f>
        <v>—</v>
      </c>
      <c r="U55" s="52" t="s">
        <v>2302</v>
      </c>
      <c r="V55" s="103" t="n">
        <f aca="false">IF(AND($F55="原始數據",$U55&lt;&gt;"連結 SRC"),1,0)</f>
        <v>0</v>
      </c>
      <c r="W55" s="103" t="n">
        <f aca="false">IF(AND($F55="Analogy",OR($H55="—",$H55="")),1,0)</f>
        <v>0</v>
      </c>
      <c r="X55" s="103" t="n">
        <f aca="false">IF(AND(OR($F55="Analogy",$F55="Assumed"),$G55&lt;&gt;"低",$G55&lt;&gt;"高",NOT(ISNUMBER($K55)),NOT(ISNUMBER($L55)),OR($M55="—",$M55="")),1,0)</f>
        <v>0</v>
      </c>
      <c r="Y55" s="103" t="n">
        <f aca="false">IF(AND(OR($F55="Analogy",$F55="Assumed",$F55="Derived（待改公式）",$F55="Derived（公式）"),OR($N55="—",$N55="",$N55=0)),1,0)</f>
        <v>0</v>
      </c>
      <c r="Z55" s="103" t="n">
        <f aca="false">IF(AND($F55="Decision",OR($J55="—",$J55="")),1,0)</f>
        <v>0</v>
      </c>
      <c r="AA55" s="84" t="n">
        <f aca="false">IF(OR($J55="—",$J55=""),0,IF(COUNTIF(Decisions!$A$5:$A$300,$J55)=0,1,0))</f>
        <v>0</v>
      </c>
      <c r="AB55" s="103" t="n">
        <f aca="false">IF(AND($F55="原始數據",$S55&lt;&gt;"Active"),1,0)</f>
        <v>0</v>
      </c>
      <c r="AC55" s="103" t="n">
        <f aca="false">IF(AND(ISNUMBER($K55),ISNUMBER($L55),ISNUMBER($Q55)),IF(OR($Q55&lt;MIN($K55,$L55),$Q55&gt;MAX($K55,$L55)),1,0),0)</f>
        <v>0</v>
      </c>
      <c r="AD55" s="103" t="n">
        <f aca="false">IF(AND(ISNUMBER($T55),$P55="高"),IF($T55=3,1,0),0)</f>
        <v>0</v>
      </c>
      <c r="AE55" s="103" t="n">
        <f aca="false">IF(AND($S55="不存在",$B55="切片一"),1,0)</f>
        <v>0</v>
      </c>
    </row>
    <row r="56" customFormat="false" ht="15" hidden="false" customHeight="false" outlineLevel="0" collapsed="false">
      <c r="A56" s="53" t="s">
        <v>2422</v>
      </c>
      <c r="B56" s="52" t="s">
        <v>2297</v>
      </c>
      <c r="C56" s="53" t="s">
        <v>2298</v>
      </c>
      <c r="D56" s="53" t="s">
        <v>2423</v>
      </c>
      <c r="E56" s="5" t="s">
        <v>126</v>
      </c>
      <c r="F56" s="53" t="s">
        <v>70</v>
      </c>
      <c r="G56" s="52" t="s">
        <v>55</v>
      </c>
      <c r="H56" s="53" t="s">
        <v>554</v>
      </c>
      <c r="I56" s="6" t="s">
        <v>554</v>
      </c>
      <c r="J56" s="53" t="s">
        <v>554</v>
      </c>
      <c r="K56" s="89" t="n">
        <f aca="false">Inputs!$D$34</f>
        <v>0.04</v>
      </c>
      <c r="L56" s="89" t="n">
        <f aca="false">Inputs!$F$34</f>
        <v>0.06</v>
      </c>
      <c r="M56" s="53" t="s">
        <v>554</v>
      </c>
      <c r="N56" s="204" t="str">
        <f aca="false">Inputs!$H$34</f>
        <v>v4＝$50K/MW</v>
      </c>
      <c r="O56" s="6" t="s">
        <v>554</v>
      </c>
      <c r="P56" s="52" t="s">
        <v>1078</v>
      </c>
      <c r="Q56" s="89" t="n">
        <f aca="false">Inputs!E34</f>
        <v>0.05</v>
      </c>
      <c r="R56" s="53" t="s">
        <v>554</v>
      </c>
      <c r="S56" s="83" t="str">
        <f aca="false">IF(OR($H56="—",$H56=""),"—",IF(ISNUMBER(MATCH($H56,SRC_HW!$A$5:$A$400,0)),INDEX(SRC_HW!$O$5:$O$400,MATCH($H56,SRC_HW!$A$5:$A$400,0)),IF(ISNUMBER(MATCH($H56,SRC_DC!$A$5:$A$400,0)),INDEX(SRC_DC!$O$5:$O$400,MATCH($H56,SRC_DC!$A$5:$A$400,0)),IF(ISNUMBER(MATCH($H56,SRC_Model!$A$5:$A$400,0)),INDEX(SRC_Model!$O$5:$O$400,MATCH($H56,SRC_Model!$A$5:$A$400,0)),IF(ISNUMBER(MATCH($H56,SRC_Perf!$A$5:$A$400,0)),INDEX(SRC_Perf!$O$5:$O$400,MATCH($H56,SRC_Perf!$A$5:$A$400,0)),"不存在")))))</f>
        <v>—</v>
      </c>
      <c r="T56" s="83" t="str">
        <f aca="false">IF(OR($H56="—",$H56=""),"—",IF(ISNUMBER(MATCH($H56,SRC_HW!$A$5:$A$400,0)),INDEX(SRC_HW!$K$5:$K$400,MATCH($H56,SRC_HW!$A$5:$A$400,0)),IF(ISNUMBER(MATCH($H56,SRC_DC!$A$5:$A$400,0)),INDEX(SRC_DC!$K$5:$K$400,MATCH($H56,SRC_DC!$A$5:$A$400,0)),IF(ISNUMBER(MATCH($H56,SRC_Model!$A$5:$A$400,0)),INDEX(SRC_Model!$K$5:$K$400,MATCH($H56,SRC_Model!$A$5:$A$400,0)),IF(ISNUMBER(MATCH($H56,SRC_Perf!$A$5:$A$400,0)),INDEX(SRC_Perf!$K$5:$K$400,MATCH($H56,SRC_Perf!$A$5:$A$400,0)),"不存在")))))</f>
        <v>—</v>
      </c>
      <c r="U56" s="52" t="s">
        <v>2302</v>
      </c>
      <c r="V56" s="103" t="n">
        <f aca="false">IF(AND($F56="原始數據",$U56&lt;&gt;"連結 SRC"),1,0)</f>
        <v>0</v>
      </c>
      <c r="W56" s="103" t="n">
        <f aca="false">IF(AND($F56="Analogy",OR($H56="—",$H56="")),1,0)</f>
        <v>0</v>
      </c>
      <c r="X56" s="103" t="n">
        <f aca="false">IF(AND(OR($F56="Analogy",$F56="Assumed"),$G56&lt;&gt;"低",$G56&lt;&gt;"高",NOT(ISNUMBER($K56)),NOT(ISNUMBER($L56)),OR($M56="—",$M56="")),1,0)</f>
        <v>0</v>
      </c>
      <c r="Y56" s="103" t="n">
        <f aca="false">IF(AND(OR($F56="Analogy",$F56="Assumed",$F56="Derived（待改公式）",$F56="Derived（公式）"),OR($N56="—",$N56="",$N56=0)),1,0)</f>
        <v>0</v>
      </c>
      <c r="Z56" s="103" t="n">
        <f aca="false">IF(AND($F56="Decision",OR($J56="—",$J56="")),1,0)</f>
        <v>0</v>
      </c>
      <c r="AA56" s="84" t="n">
        <f aca="false">IF(OR($J56="—",$J56=""),0,IF(COUNTIF(Decisions!$A$5:$A$300,$J56)=0,1,0))</f>
        <v>0</v>
      </c>
      <c r="AB56" s="103" t="n">
        <f aca="false">IF(AND($F56="原始數據",$S56&lt;&gt;"Active"),1,0)</f>
        <v>0</v>
      </c>
      <c r="AC56" s="103" t="n">
        <f aca="false">IF(AND(ISNUMBER($K56),ISNUMBER($L56),ISNUMBER($Q56)),IF(OR($Q56&lt;MIN($K56,$L56),$Q56&gt;MAX($K56,$L56)),1,0),0)</f>
        <v>0</v>
      </c>
      <c r="AD56" s="103" t="n">
        <f aca="false">IF(AND(ISNUMBER($T56),$P56="高"),IF($T56=3,1,0),0)</f>
        <v>0</v>
      </c>
      <c r="AE56" s="103" t="n">
        <f aca="false">IF(AND($S56="不存在",$B56="切片一"),1,0)</f>
        <v>0</v>
      </c>
    </row>
    <row r="57" customFormat="false" ht="15" hidden="false" customHeight="false" outlineLevel="0" collapsed="false">
      <c r="A57" s="53" t="s">
        <v>2424</v>
      </c>
      <c r="B57" s="52" t="s">
        <v>2297</v>
      </c>
      <c r="C57" s="53" t="s">
        <v>2298</v>
      </c>
      <c r="D57" s="53" t="s">
        <v>2425</v>
      </c>
      <c r="E57" s="5" t="s">
        <v>126</v>
      </c>
      <c r="F57" s="53" t="s">
        <v>70</v>
      </c>
      <c r="G57" s="52" t="s">
        <v>1078</v>
      </c>
      <c r="H57" s="53" t="s">
        <v>554</v>
      </c>
      <c r="I57" s="6" t="s">
        <v>554</v>
      </c>
      <c r="J57" s="53" t="s">
        <v>554</v>
      </c>
      <c r="K57" s="52"/>
      <c r="L57" s="52"/>
      <c r="M57" s="53" t="s">
        <v>554</v>
      </c>
      <c r="N57" s="204" t="str">
        <f aca="false">Inputs!$H$34</f>
        <v>v4＝$50K/MW</v>
      </c>
      <c r="O57" s="6" t="s">
        <v>554</v>
      </c>
      <c r="P57" s="52" t="s">
        <v>1078</v>
      </c>
      <c r="Q57" s="89" t="n">
        <f aca="false">Inputs!D34</f>
        <v>0.04</v>
      </c>
      <c r="R57" s="53" t="s">
        <v>554</v>
      </c>
      <c r="S57" s="83" t="str">
        <f aca="false">IF(OR($H57="—",$H57=""),"—",IF(ISNUMBER(MATCH($H57,SRC_HW!$A$5:$A$400,0)),INDEX(SRC_HW!$O$5:$O$400,MATCH($H57,SRC_HW!$A$5:$A$400,0)),IF(ISNUMBER(MATCH($H57,SRC_DC!$A$5:$A$400,0)),INDEX(SRC_DC!$O$5:$O$400,MATCH($H57,SRC_DC!$A$5:$A$400,0)),IF(ISNUMBER(MATCH($H57,SRC_Model!$A$5:$A$400,0)),INDEX(SRC_Model!$O$5:$O$400,MATCH($H57,SRC_Model!$A$5:$A$400,0)),IF(ISNUMBER(MATCH($H57,SRC_Perf!$A$5:$A$400,0)),INDEX(SRC_Perf!$O$5:$O$400,MATCH($H57,SRC_Perf!$A$5:$A$400,0)),"不存在")))))</f>
        <v>—</v>
      </c>
      <c r="T57" s="83" t="str">
        <f aca="false">IF(OR($H57="—",$H57=""),"—",IF(ISNUMBER(MATCH($H57,SRC_HW!$A$5:$A$400,0)),INDEX(SRC_HW!$K$5:$K$400,MATCH($H57,SRC_HW!$A$5:$A$400,0)),IF(ISNUMBER(MATCH($H57,SRC_DC!$A$5:$A$400,0)),INDEX(SRC_DC!$K$5:$K$400,MATCH($H57,SRC_DC!$A$5:$A$400,0)),IF(ISNUMBER(MATCH($H57,SRC_Model!$A$5:$A$400,0)),INDEX(SRC_Model!$K$5:$K$400,MATCH($H57,SRC_Model!$A$5:$A$400,0)),IF(ISNUMBER(MATCH($H57,SRC_Perf!$A$5:$A$400,0)),INDEX(SRC_Perf!$K$5:$K$400,MATCH($H57,SRC_Perf!$A$5:$A$400,0)),"不存在")))))</f>
        <v>—</v>
      </c>
      <c r="U57" s="52" t="s">
        <v>2302</v>
      </c>
      <c r="V57" s="103" t="n">
        <f aca="false">IF(AND($F57="原始數據",$U57&lt;&gt;"連結 SRC"),1,0)</f>
        <v>0</v>
      </c>
      <c r="W57" s="103" t="n">
        <f aca="false">IF(AND($F57="Analogy",OR($H57="—",$H57="")),1,0)</f>
        <v>0</v>
      </c>
      <c r="X57" s="103" t="n">
        <f aca="false">IF(AND(OR($F57="Analogy",$F57="Assumed"),$G57&lt;&gt;"低",$G57&lt;&gt;"高",NOT(ISNUMBER($K57)),NOT(ISNUMBER($L57)),OR($M57="—",$M57="")),1,0)</f>
        <v>0</v>
      </c>
      <c r="Y57" s="103" t="n">
        <f aca="false">IF(AND(OR($F57="Analogy",$F57="Assumed",$F57="Derived（待改公式）",$F57="Derived（公式）"),OR($N57="—",$N57="",$N57=0)),1,0)</f>
        <v>0</v>
      </c>
      <c r="Z57" s="103" t="n">
        <f aca="false">IF(AND($F57="Decision",OR($J57="—",$J57="")),1,0)</f>
        <v>0</v>
      </c>
      <c r="AA57" s="84" t="n">
        <f aca="false">IF(OR($J57="—",$J57=""),0,IF(COUNTIF(Decisions!$A$5:$A$300,$J57)=0,1,0))</f>
        <v>0</v>
      </c>
      <c r="AB57" s="103" t="n">
        <f aca="false">IF(AND($F57="原始數據",$S57&lt;&gt;"Active"),1,0)</f>
        <v>0</v>
      </c>
      <c r="AC57" s="103" t="n">
        <f aca="false">IF(AND(ISNUMBER($K57),ISNUMBER($L57),ISNUMBER($Q57)),IF(OR($Q57&lt;MIN($K57,$L57),$Q57&gt;MAX($K57,$L57)),1,0),0)</f>
        <v>0</v>
      </c>
      <c r="AD57" s="103" t="n">
        <f aca="false">IF(AND(ISNUMBER($T57),$P57="高"),IF($T57=3,1,0),0)</f>
        <v>0</v>
      </c>
      <c r="AE57" s="103" t="n">
        <f aca="false">IF(AND($S57="不存在",$B57="切片一"),1,0)</f>
        <v>0</v>
      </c>
    </row>
    <row r="58" customFormat="false" ht="15" hidden="false" customHeight="false" outlineLevel="0" collapsed="false">
      <c r="A58" s="53" t="s">
        <v>2426</v>
      </c>
      <c r="B58" s="52" t="s">
        <v>2297</v>
      </c>
      <c r="C58" s="53" t="s">
        <v>2298</v>
      </c>
      <c r="D58" s="53" t="s">
        <v>2427</v>
      </c>
      <c r="E58" s="5" t="s">
        <v>126</v>
      </c>
      <c r="F58" s="53" t="s">
        <v>70</v>
      </c>
      <c r="G58" s="52" t="s">
        <v>1079</v>
      </c>
      <c r="H58" s="53" t="s">
        <v>554</v>
      </c>
      <c r="I58" s="6" t="s">
        <v>554</v>
      </c>
      <c r="J58" s="53" t="s">
        <v>554</v>
      </c>
      <c r="K58" s="52"/>
      <c r="L58" s="52"/>
      <c r="M58" s="53" t="s">
        <v>554</v>
      </c>
      <c r="N58" s="204" t="str">
        <f aca="false">Inputs!$H$34</f>
        <v>v4＝$50K/MW</v>
      </c>
      <c r="O58" s="6" t="s">
        <v>554</v>
      </c>
      <c r="P58" s="52" t="s">
        <v>1078</v>
      </c>
      <c r="Q58" s="89" t="n">
        <f aca="false">Inputs!F34</f>
        <v>0.06</v>
      </c>
      <c r="R58" s="53" t="s">
        <v>554</v>
      </c>
      <c r="S58" s="83" t="str">
        <f aca="false">IF(OR($H58="—",$H58=""),"—",IF(ISNUMBER(MATCH($H58,SRC_HW!$A$5:$A$400,0)),INDEX(SRC_HW!$O$5:$O$400,MATCH($H58,SRC_HW!$A$5:$A$400,0)),IF(ISNUMBER(MATCH($H58,SRC_DC!$A$5:$A$400,0)),INDEX(SRC_DC!$O$5:$O$400,MATCH($H58,SRC_DC!$A$5:$A$400,0)),IF(ISNUMBER(MATCH($H58,SRC_Model!$A$5:$A$400,0)),INDEX(SRC_Model!$O$5:$O$400,MATCH($H58,SRC_Model!$A$5:$A$400,0)),IF(ISNUMBER(MATCH($H58,SRC_Perf!$A$5:$A$400,0)),INDEX(SRC_Perf!$O$5:$O$400,MATCH($H58,SRC_Perf!$A$5:$A$400,0)),"不存在")))))</f>
        <v>—</v>
      </c>
      <c r="T58" s="83" t="str">
        <f aca="false">IF(OR($H58="—",$H58=""),"—",IF(ISNUMBER(MATCH($H58,SRC_HW!$A$5:$A$400,0)),INDEX(SRC_HW!$K$5:$K$400,MATCH($H58,SRC_HW!$A$5:$A$400,0)),IF(ISNUMBER(MATCH($H58,SRC_DC!$A$5:$A$400,0)),INDEX(SRC_DC!$K$5:$K$400,MATCH($H58,SRC_DC!$A$5:$A$400,0)),IF(ISNUMBER(MATCH($H58,SRC_Model!$A$5:$A$400,0)),INDEX(SRC_Model!$K$5:$K$400,MATCH($H58,SRC_Model!$A$5:$A$400,0)),IF(ISNUMBER(MATCH($H58,SRC_Perf!$A$5:$A$400,0)),INDEX(SRC_Perf!$K$5:$K$400,MATCH($H58,SRC_Perf!$A$5:$A$400,0)),"不存在")))))</f>
        <v>—</v>
      </c>
      <c r="U58" s="52" t="s">
        <v>2302</v>
      </c>
      <c r="V58" s="103" t="n">
        <f aca="false">IF(AND($F58="原始數據",$U58&lt;&gt;"連結 SRC"),1,0)</f>
        <v>0</v>
      </c>
      <c r="W58" s="103" t="n">
        <f aca="false">IF(AND($F58="Analogy",OR($H58="—",$H58="")),1,0)</f>
        <v>0</v>
      </c>
      <c r="X58" s="103" t="n">
        <f aca="false">IF(AND(OR($F58="Analogy",$F58="Assumed"),$G58&lt;&gt;"低",$G58&lt;&gt;"高",NOT(ISNUMBER($K58)),NOT(ISNUMBER($L58)),OR($M58="—",$M58="")),1,0)</f>
        <v>0</v>
      </c>
      <c r="Y58" s="103" t="n">
        <f aca="false">IF(AND(OR($F58="Analogy",$F58="Assumed",$F58="Derived（待改公式）",$F58="Derived（公式）"),OR($N58="—",$N58="",$N58=0)),1,0)</f>
        <v>0</v>
      </c>
      <c r="Z58" s="103" t="n">
        <f aca="false">IF(AND($F58="Decision",OR($J58="—",$J58="")),1,0)</f>
        <v>0</v>
      </c>
      <c r="AA58" s="84" t="n">
        <f aca="false">IF(OR($J58="—",$J58=""),0,IF(COUNTIF(Decisions!$A$5:$A$300,$J58)=0,1,0))</f>
        <v>0</v>
      </c>
      <c r="AB58" s="103" t="n">
        <f aca="false">IF(AND($F58="原始數據",$S58&lt;&gt;"Active"),1,0)</f>
        <v>0</v>
      </c>
      <c r="AC58" s="103" t="n">
        <f aca="false">IF(AND(ISNUMBER($K58),ISNUMBER($L58),ISNUMBER($Q58)),IF(OR($Q58&lt;MIN($K58,$L58),$Q58&gt;MAX($K58,$L58)),1,0),0)</f>
        <v>0</v>
      </c>
      <c r="AD58" s="103" t="n">
        <f aca="false">IF(AND(ISNUMBER($T58),$P58="高"),IF($T58=3,1,0),0)</f>
        <v>0</v>
      </c>
      <c r="AE58" s="103" t="n">
        <f aca="false">IF(AND($S58="不存在",$B58="切片一"),1,0)</f>
        <v>0</v>
      </c>
    </row>
    <row r="59" customFormat="false" ht="29.85" hidden="false" customHeight="false" outlineLevel="0" collapsed="false">
      <c r="A59" s="53" t="s">
        <v>2428</v>
      </c>
      <c r="B59" s="52" t="s">
        <v>2297</v>
      </c>
      <c r="C59" s="53" t="s">
        <v>2298</v>
      </c>
      <c r="D59" s="53" t="s">
        <v>2429</v>
      </c>
      <c r="E59" s="5" t="s">
        <v>129</v>
      </c>
      <c r="F59" s="53" t="s">
        <v>70</v>
      </c>
      <c r="G59" s="52" t="s">
        <v>55</v>
      </c>
      <c r="H59" s="53" t="s">
        <v>554</v>
      </c>
      <c r="I59" s="6" t="s">
        <v>554</v>
      </c>
      <c r="J59" s="53" t="s">
        <v>554</v>
      </c>
      <c r="K59" s="101" t="n">
        <f aca="false">Inputs!$D$35</f>
        <v>0.003</v>
      </c>
      <c r="L59" s="101" t="n">
        <f aca="false">Inputs!$F$35</f>
        <v>0.008</v>
      </c>
      <c r="M59" s="53" t="s">
        <v>554</v>
      </c>
      <c r="N59" s="204" t="str">
        <f aca="false">Inputs!$H$35</f>
        <v>v4＝0.5%</v>
      </c>
      <c r="O59" s="6" t="s">
        <v>2405</v>
      </c>
      <c r="P59" s="52" t="s">
        <v>1078</v>
      </c>
      <c r="Q59" s="101" t="n">
        <f aca="false">Inputs!E35</f>
        <v>0.005</v>
      </c>
      <c r="R59" s="53" t="s">
        <v>554</v>
      </c>
      <c r="S59" s="83" t="str">
        <f aca="false">IF(OR($H59="—",$H59=""),"—",IF(ISNUMBER(MATCH($H59,SRC_HW!$A$5:$A$400,0)),INDEX(SRC_HW!$O$5:$O$400,MATCH($H59,SRC_HW!$A$5:$A$400,0)),IF(ISNUMBER(MATCH($H59,SRC_DC!$A$5:$A$400,0)),INDEX(SRC_DC!$O$5:$O$400,MATCH($H59,SRC_DC!$A$5:$A$400,0)),IF(ISNUMBER(MATCH($H59,SRC_Model!$A$5:$A$400,0)),INDEX(SRC_Model!$O$5:$O$400,MATCH($H59,SRC_Model!$A$5:$A$400,0)),IF(ISNUMBER(MATCH($H59,SRC_Perf!$A$5:$A$400,0)),INDEX(SRC_Perf!$O$5:$O$400,MATCH($H59,SRC_Perf!$A$5:$A$400,0)),"不存在")))))</f>
        <v>—</v>
      </c>
      <c r="T59" s="83" t="str">
        <f aca="false">IF(OR($H59="—",$H59=""),"—",IF(ISNUMBER(MATCH($H59,SRC_HW!$A$5:$A$400,0)),INDEX(SRC_HW!$K$5:$K$400,MATCH($H59,SRC_HW!$A$5:$A$400,0)),IF(ISNUMBER(MATCH($H59,SRC_DC!$A$5:$A$400,0)),INDEX(SRC_DC!$K$5:$K$400,MATCH($H59,SRC_DC!$A$5:$A$400,0)),IF(ISNUMBER(MATCH($H59,SRC_Model!$A$5:$A$400,0)),INDEX(SRC_Model!$K$5:$K$400,MATCH($H59,SRC_Model!$A$5:$A$400,0)),IF(ISNUMBER(MATCH($H59,SRC_Perf!$A$5:$A$400,0)),INDEX(SRC_Perf!$K$5:$K$400,MATCH($H59,SRC_Perf!$A$5:$A$400,0)),"不存在")))))</f>
        <v>—</v>
      </c>
      <c r="U59" s="52" t="s">
        <v>2302</v>
      </c>
      <c r="V59" s="103" t="n">
        <f aca="false">IF(AND($F59="原始數據",$U59&lt;&gt;"連結 SRC"),1,0)</f>
        <v>0</v>
      </c>
      <c r="W59" s="103" t="n">
        <f aca="false">IF(AND($F59="Analogy",OR($H59="—",$H59="")),1,0)</f>
        <v>0</v>
      </c>
      <c r="X59" s="103" t="n">
        <f aca="false">IF(AND(OR($F59="Analogy",$F59="Assumed"),$G59&lt;&gt;"低",$G59&lt;&gt;"高",NOT(ISNUMBER($K59)),NOT(ISNUMBER($L59)),OR($M59="—",$M59="")),1,0)</f>
        <v>0</v>
      </c>
      <c r="Y59" s="103" t="n">
        <f aca="false">IF(AND(OR($F59="Analogy",$F59="Assumed",$F59="Derived（待改公式）",$F59="Derived（公式）"),OR($N59="—",$N59="",$N59=0)),1,0)</f>
        <v>0</v>
      </c>
      <c r="Z59" s="103" t="n">
        <f aca="false">IF(AND($F59="Decision",OR($J59="—",$J59="")),1,0)</f>
        <v>0</v>
      </c>
      <c r="AA59" s="84" t="n">
        <f aca="false">IF(OR($J59="—",$J59=""),0,IF(COUNTIF(Decisions!$A$5:$A$300,$J59)=0,1,0))</f>
        <v>0</v>
      </c>
      <c r="AB59" s="103" t="n">
        <f aca="false">IF(AND($F59="原始數據",$S59&lt;&gt;"Active"),1,0)</f>
        <v>0</v>
      </c>
      <c r="AC59" s="103" t="n">
        <f aca="false">IF(AND(ISNUMBER($K59),ISNUMBER($L59),ISNUMBER($Q59)),IF(OR($Q59&lt;MIN($K59,$L59),$Q59&gt;MAX($K59,$L59)),1,0),0)</f>
        <v>0</v>
      </c>
      <c r="AD59" s="103" t="n">
        <f aca="false">IF(AND(ISNUMBER($T59),$P59="高"),IF($T59=3,1,0),0)</f>
        <v>0</v>
      </c>
      <c r="AE59" s="103" t="n">
        <f aca="false">IF(AND($S59="不存在",$B59="切片一"),1,0)</f>
        <v>0</v>
      </c>
    </row>
    <row r="60" customFormat="false" ht="29.85" hidden="false" customHeight="false" outlineLevel="0" collapsed="false">
      <c r="A60" s="53" t="s">
        <v>2430</v>
      </c>
      <c r="B60" s="52" t="s">
        <v>2297</v>
      </c>
      <c r="C60" s="53" t="s">
        <v>2298</v>
      </c>
      <c r="D60" s="53" t="s">
        <v>2431</v>
      </c>
      <c r="E60" s="5" t="s">
        <v>129</v>
      </c>
      <c r="F60" s="53" t="s">
        <v>70</v>
      </c>
      <c r="G60" s="52" t="s">
        <v>1078</v>
      </c>
      <c r="H60" s="53" t="s">
        <v>554</v>
      </c>
      <c r="I60" s="6" t="s">
        <v>554</v>
      </c>
      <c r="J60" s="53" t="s">
        <v>554</v>
      </c>
      <c r="K60" s="52"/>
      <c r="L60" s="52"/>
      <c r="M60" s="53" t="s">
        <v>554</v>
      </c>
      <c r="N60" s="204" t="str">
        <f aca="false">Inputs!$H$35</f>
        <v>v4＝0.5%</v>
      </c>
      <c r="O60" s="6" t="s">
        <v>2405</v>
      </c>
      <c r="P60" s="52" t="s">
        <v>1078</v>
      </c>
      <c r="Q60" s="101" t="n">
        <f aca="false">Inputs!D35</f>
        <v>0.003</v>
      </c>
      <c r="R60" s="53" t="s">
        <v>554</v>
      </c>
      <c r="S60" s="83" t="str">
        <f aca="false">IF(OR($H60="—",$H60=""),"—",IF(ISNUMBER(MATCH($H60,SRC_HW!$A$5:$A$400,0)),INDEX(SRC_HW!$O$5:$O$400,MATCH($H60,SRC_HW!$A$5:$A$400,0)),IF(ISNUMBER(MATCH($H60,SRC_DC!$A$5:$A$400,0)),INDEX(SRC_DC!$O$5:$O$400,MATCH($H60,SRC_DC!$A$5:$A$400,0)),IF(ISNUMBER(MATCH($H60,SRC_Model!$A$5:$A$400,0)),INDEX(SRC_Model!$O$5:$O$400,MATCH($H60,SRC_Model!$A$5:$A$400,0)),IF(ISNUMBER(MATCH($H60,SRC_Perf!$A$5:$A$400,0)),INDEX(SRC_Perf!$O$5:$O$400,MATCH($H60,SRC_Perf!$A$5:$A$400,0)),"不存在")))))</f>
        <v>—</v>
      </c>
      <c r="T60" s="83" t="str">
        <f aca="false">IF(OR($H60="—",$H60=""),"—",IF(ISNUMBER(MATCH($H60,SRC_HW!$A$5:$A$400,0)),INDEX(SRC_HW!$K$5:$K$400,MATCH($H60,SRC_HW!$A$5:$A$400,0)),IF(ISNUMBER(MATCH($H60,SRC_DC!$A$5:$A$400,0)),INDEX(SRC_DC!$K$5:$K$400,MATCH($H60,SRC_DC!$A$5:$A$400,0)),IF(ISNUMBER(MATCH($H60,SRC_Model!$A$5:$A$400,0)),INDEX(SRC_Model!$K$5:$K$400,MATCH($H60,SRC_Model!$A$5:$A$400,0)),IF(ISNUMBER(MATCH($H60,SRC_Perf!$A$5:$A$400,0)),INDEX(SRC_Perf!$K$5:$K$400,MATCH($H60,SRC_Perf!$A$5:$A$400,0)),"不存在")))))</f>
        <v>—</v>
      </c>
      <c r="U60" s="52" t="s">
        <v>2302</v>
      </c>
      <c r="V60" s="103" t="n">
        <f aca="false">IF(AND($F60="原始數據",$U60&lt;&gt;"連結 SRC"),1,0)</f>
        <v>0</v>
      </c>
      <c r="W60" s="103" t="n">
        <f aca="false">IF(AND($F60="Analogy",OR($H60="—",$H60="")),1,0)</f>
        <v>0</v>
      </c>
      <c r="X60" s="103" t="n">
        <f aca="false">IF(AND(OR($F60="Analogy",$F60="Assumed"),$G60&lt;&gt;"低",$G60&lt;&gt;"高",NOT(ISNUMBER($K60)),NOT(ISNUMBER($L60)),OR($M60="—",$M60="")),1,0)</f>
        <v>0</v>
      </c>
      <c r="Y60" s="103" t="n">
        <f aca="false">IF(AND(OR($F60="Analogy",$F60="Assumed",$F60="Derived（待改公式）",$F60="Derived（公式）"),OR($N60="—",$N60="",$N60=0)),1,0)</f>
        <v>0</v>
      </c>
      <c r="Z60" s="103" t="n">
        <f aca="false">IF(AND($F60="Decision",OR($J60="—",$J60="")),1,0)</f>
        <v>0</v>
      </c>
      <c r="AA60" s="84" t="n">
        <f aca="false">IF(OR($J60="—",$J60=""),0,IF(COUNTIF(Decisions!$A$5:$A$300,$J60)=0,1,0))</f>
        <v>0</v>
      </c>
      <c r="AB60" s="103" t="n">
        <f aca="false">IF(AND($F60="原始數據",$S60&lt;&gt;"Active"),1,0)</f>
        <v>0</v>
      </c>
      <c r="AC60" s="103" t="n">
        <f aca="false">IF(AND(ISNUMBER($K60),ISNUMBER($L60),ISNUMBER($Q60)),IF(OR($Q60&lt;MIN($K60,$L60),$Q60&gt;MAX($K60,$L60)),1,0),0)</f>
        <v>0</v>
      </c>
      <c r="AD60" s="103" t="n">
        <f aca="false">IF(AND(ISNUMBER($T60),$P60="高"),IF($T60=3,1,0),0)</f>
        <v>0</v>
      </c>
      <c r="AE60" s="103" t="n">
        <f aca="false">IF(AND($S60="不存在",$B60="切片一"),1,0)</f>
        <v>0</v>
      </c>
    </row>
    <row r="61" customFormat="false" ht="29.85" hidden="false" customHeight="false" outlineLevel="0" collapsed="false">
      <c r="A61" s="53" t="s">
        <v>2432</v>
      </c>
      <c r="B61" s="52" t="s">
        <v>2297</v>
      </c>
      <c r="C61" s="53" t="s">
        <v>2298</v>
      </c>
      <c r="D61" s="53" t="s">
        <v>2433</v>
      </c>
      <c r="E61" s="5" t="s">
        <v>129</v>
      </c>
      <c r="F61" s="53" t="s">
        <v>70</v>
      </c>
      <c r="G61" s="52" t="s">
        <v>1079</v>
      </c>
      <c r="H61" s="53" t="s">
        <v>554</v>
      </c>
      <c r="I61" s="6" t="s">
        <v>554</v>
      </c>
      <c r="J61" s="53" t="s">
        <v>554</v>
      </c>
      <c r="K61" s="52"/>
      <c r="L61" s="52"/>
      <c r="M61" s="53" t="s">
        <v>554</v>
      </c>
      <c r="N61" s="204" t="str">
        <f aca="false">Inputs!$H$35</f>
        <v>v4＝0.5%</v>
      </c>
      <c r="O61" s="6" t="s">
        <v>2405</v>
      </c>
      <c r="P61" s="52" t="s">
        <v>1078</v>
      </c>
      <c r="Q61" s="101" t="n">
        <f aca="false">Inputs!F35</f>
        <v>0.008</v>
      </c>
      <c r="R61" s="53" t="s">
        <v>554</v>
      </c>
      <c r="S61" s="83" t="str">
        <f aca="false">IF(OR($H61="—",$H61=""),"—",IF(ISNUMBER(MATCH($H61,SRC_HW!$A$5:$A$400,0)),INDEX(SRC_HW!$O$5:$O$400,MATCH($H61,SRC_HW!$A$5:$A$400,0)),IF(ISNUMBER(MATCH($H61,SRC_DC!$A$5:$A$400,0)),INDEX(SRC_DC!$O$5:$O$400,MATCH($H61,SRC_DC!$A$5:$A$400,0)),IF(ISNUMBER(MATCH($H61,SRC_Model!$A$5:$A$400,0)),INDEX(SRC_Model!$O$5:$O$400,MATCH($H61,SRC_Model!$A$5:$A$400,0)),IF(ISNUMBER(MATCH($H61,SRC_Perf!$A$5:$A$400,0)),INDEX(SRC_Perf!$O$5:$O$400,MATCH($H61,SRC_Perf!$A$5:$A$400,0)),"不存在")))))</f>
        <v>—</v>
      </c>
      <c r="T61" s="83" t="str">
        <f aca="false">IF(OR($H61="—",$H61=""),"—",IF(ISNUMBER(MATCH($H61,SRC_HW!$A$5:$A$400,0)),INDEX(SRC_HW!$K$5:$K$400,MATCH($H61,SRC_HW!$A$5:$A$400,0)),IF(ISNUMBER(MATCH($H61,SRC_DC!$A$5:$A$400,0)),INDEX(SRC_DC!$K$5:$K$400,MATCH($H61,SRC_DC!$A$5:$A$400,0)),IF(ISNUMBER(MATCH($H61,SRC_Model!$A$5:$A$400,0)),INDEX(SRC_Model!$K$5:$K$400,MATCH($H61,SRC_Model!$A$5:$A$400,0)),IF(ISNUMBER(MATCH($H61,SRC_Perf!$A$5:$A$400,0)),INDEX(SRC_Perf!$K$5:$K$400,MATCH($H61,SRC_Perf!$A$5:$A$400,0)),"不存在")))))</f>
        <v>—</v>
      </c>
      <c r="U61" s="52" t="s">
        <v>2302</v>
      </c>
      <c r="V61" s="103" t="n">
        <f aca="false">IF(AND($F61="原始數據",$U61&lt;&gt;"連結 SRC"),1,0)</f>
        <v>0</v>
      </c>
      <c r="W61" s="103" t="n">
        <f aca="false">IF(AND($F61="Analogy",OR($H61="—",$H61="")),1,0)</f>
        <v>0</v>
      </c>
      <c r="X61" s="103" t="n">
        <f aca="false">IF(AND(OR($F61="Analogy",$F61="Assumed"),$G61&lt;&gt;"低",$G61&lt;&gt;"高",NOT(ISNUMBER($K61)),NOT(ISNUMBER($L61)),OR($M61="—",$M61="")),1,0)</f>
        <v>0</v>
      </c>
      <c r="Y61" s="103" t="n">
        <f aca="false">IF(AND(OR($F61="Analogy",$F61="Assumed",$F61="Derived（待改公式）",$F61="Derived（公式）"),OR($N61="—",$N61="",$N61=0)),1,0)</f>
        <v>0</v>
      </c>
      <c r="Z61" s="103" t="n">
        <f aca="false">IF(AND($F61="Decision",OR($J61="—",$J61="")),1,0)</f>
        <v>0</v>
      </c>
      <c r="AA61" s="84" t="n">
        <f aca="false">IF(OR($J61="—",$J61=""),0,IF(COUNTIF(Decisions!$A$5:$A$300,$J61)=0,1,0))</f>
        <v>0</v>
      </c>
      <c r="AB61" s="103" t="n">
        <f aca="false">IF(AND($F61="原始數據",$S61&lt;&gt;"Active"),1,0)</f>
        <v>0</v>
      </c>
      <c r="AC61" s="103" t="n">
        <f aca="false">IF(AND(ISNUMBER($K61),ISNUMBER($L61),ISNUMBER($Q61)),IF(OR($Q61&lt;MIN($K61,$L61),$Q61&gt;MAX($K61,$L61)),1,0),0)</f>
        <v>0</v>
      </c>
      <c r="AD61" s="103" t="n">
        <f aca="false">IF(AND(ISNUMBER($T61),$P61="高"),IF($T61=3,1,0),0)</f>
        <v>0</v>
      </c>
      <c r="AE61" s="103" t="n">
        <f aca="false">IF(AND($S61="不存在",$B61="切片一"),1,0)</f>
        <v>0</v>
      </c>
    </row>
    <row r="62" customFormat="false" ht="15" hidden="false" customHeight="false" outlineLevel="0" collapsed="false">
      <c r="A62" s="53" t="s">
        <v>2434</v>
      </c>
      <c r="B62" s="52" t="s">
        <v>2297</v>
      </c>
      <c r="C62" s="53" t="s">
        <v>2298</v>
      </c>
      <c r="D62" s="53" t="s">
        <v>2435</v>
      </c>
      <c r="E62" s="6" t="s">
        <v>103</v>
      </c>
      <c r="F62" s="52" t="s">
        <v>2337</v>
      </c>
      <c r="G62" s="52" t="s">
        <v>2299</v>
      </c>
      <c r="H62" s="53" t="s">
        <v>2436</v>
      </c>
      <c r="I62" s="5" t="s">
        <v>2339</v>
      </c>
      <c r="J62" s="53" t="s">
        <v>2437</v>
      </c>
      <c r="K62" s="52"/>
      <c r="L62" s="52"/>
      <c r="M62" s="53" t="s">
        <v>554</v>
      </c>
      <c r="N62" s="5" t="s">
        <v>2340</v>
      </c>
      <c r="O62" s="6" t="s">
        <v>554</v>
      </c>
      <c r="P62" s="52" t="s">
        <v>1079</v>
      </c>
      <c r="Q62" s="54" t="n">
        <f aca="false">Inputs!D23</f>
        <v>6</v>
      </c>
      <c r="R62" s="83" t="n">
        <f aca="false">SRC_DC_007</f>
        <v>6</v>
      </c>
      <c r="S62" s="83" t="str">
        <f aca="false">IF(OR($H62="—",$H62=""),"—",IF(ISNUMBER(MATCH($H62,SRC_HW!$A$5:$A$400,0)),INDEX(SRC_HW!$O$5:$O$400,MATCH($H62,SRC_HW!$A$5:$A$400,0)),IF(ISNUMBER(MATCH($H62,SRC_DC!$A$5:$A$400,0)),INDEX(SRC_DC!$O$5:$O$400,MATCH($H62,SRC_DC!$A$5:$A$400,0)),IF(ISNUMBER(MATCH($H62,SRC_Model!$A$5:$A$400,0)),INDEX(SRC_Model!$O$5:$O$400,MATCH($H62,SRC_Model!$A$5:$A$400,0)),IF(ISNUMBER(MATCH($H62,SRC_Perf!$A$5:$A$400,0)),INDEX(SRC_Perf!$O$5:$O$400,MATCH($H62,SRC_Perf!$A$5:$A$400,0)),"不存在")))))</f>
        <v>Active</v>
      </c>
      <c r="T62" s="83" t="n">
        <f aca="false">IF(OR($H62="—",$H62=""),"—",IF(ISNUMBER(MATCH($H62,SRC_HW!$A$5:$A$400,0)),INDEX(SRC_HW!$K$5:$K$400,MATCH($H62,SRC_HW!$A$5:$A$400,0)),IF(ISNUMBER(MATCH($H62,SRC_DC!$A$5:$A$400,0)),INDEX(SRC_DC!$K$5:$K$400,MATCH($H62,SRC_DC!$A$5:$A$400,0)),IF(ISNUMBER(MATCH($H62,SRC_Model!$A$5:$A$400,0)),INDEX(SRC_Model!$K$5:$K$400,MATCH($H62,SRC_Model!$A$5:$A$400,0)),IF(ISNUMBER(MATCH($H62,SRC_Perf!$A$5:$A$400,0)),INDEX(SRC_Perf!$K$5:$K$400,MATCH($H62,SRC_Perf!$A$5:$A$400,0)),"不存在")))))</f>
        <v>2</v>
      </c>
      <c r="U62" s="52" t="s">
        <v>2341</v>
      </c>
      <c r="V62" s="103" t="n">
        <f aca="false">IF(AND($F62="原始數據",$U62&lt;&gt;"連結 SRC"),1,0)</f>
        <v>0</v>
      </c>
      <c r="W62" s="103" t="n">
        <f aca="false">IF(AND($F62="Analogy",OR($H62="—",$H62="")),1,0)</f>
        <v>0</v>
      </c>
      <c r="X62" s="103" t="n">
        <f aca="false">IF(AND(OR($F62="Analogy",$F62="Assumed"),$G62&lt;&gt;"低",$G62&lt;&gt;"高",NOT(ISNUMBER($K62)),NOT(ISNUMBER($L62)),OR($M62="—",$M62="")),1,0)</f>
        <v>0</v>
      </c>
      <c r="Y62" s="103" t="n">
        <f aca="false">IF(AND(OR($F62="Analogy",$F62="Assumed",$F62="Derived（待改公式）",$F62="Derived（公式）"),OR($N62="—",$N62="",$N62=0)),1,0)</f>
        <v>0</v>
      </c>
      <c r="Z62" s="103" t="n">
        <f aca="false">IF(AND($F62="Decision",OR($J62="—",$J62="")),1,0)</f>
        <v>0</v>
      </c>
      <c r="AA62" s="84" t="n">
        <f aca="false">IF(OR($J62="—",$J62=""),0,IF(COUNTIF(Decisions!$A$5:$A$300,$J62)=0,1,0))</f>
        <v>0</v>
      </c>
      <c r="AB62" s="103" t="n">
        <f aca="false">IF(AND($F62="原始數據",$S62&lt;&gt;"Active"),1,0)</f>
        <v>0</v>
      </c>
      <c r="AC62" s="103" t="n">
        <f aca="false">IF(AND(ISNUMBER($K62),ISNUMBER($L62),ISNUMBER($Q62)),IF(OR($Q62&lt;MIN($K62,$L62),$Q62&gt;MAX($K62,$L62)),1,0),0)</f>
        <v>0</v>
      </c>
      <c r="AD62" s="103" t="n">
        <f aca="false">IF(AND(ISNUMBER($T62),$P62="高"),IF($T62=3,1,0),0)</f>
        <v>0</v>
      </c>
      <c r="AE62" s="103" t="n">
        <f aca="false">IF(AND($S62="不存在",$B62="切片一"),1,0)</f>
        <v>0</v>
      </c>
    </row>
    <row r="63" customFormat="false" ht="15" hidden="false" customHeight="false" outlineLevel="0" collapsed="false">
      <c r="A63" s="53" t="s">
        <v>2438</v>
      </c>
      <c r="B63" s="52" t="s">
        <v>2297</v>
      </c>
      <c r="C63" s="53" t="s">
        <v>2298</v>
      </c>
      <c r="D63" s="53" t="s">
        <v>2439</v>
      </c>
      <c r="E63" s="6" t="s">
        <v>103</v>
      </c>
      <c r="F63" s="52" t="s">
        <v>2337</v>
      </c>
      <c r="G63" s="52" t="s">
        <v>2299</v>
      </c>
      <c r="H63" s="53" t="s">
        <v>2436</v>
      </c>
      <c r="I63" s="5" t="s">
        <v>2339</v>
      </c>
      <c r="J63" s="53" t="s">
        <v>2437</v>
      </c>
      <c r="K63" s="52"/>
      <c r="L63" s="52"/>
      <c r="M63" s="53" t="s">
        <v>554</v>
      </c>
      <c r="N63" s="5" t="s">
        <v>2340</v>
      </c>
      <c r="O63" s="6" t="s">
        <v>554</v>
      </c>
      <c r="P63" s="52" t="s">
        <v>1079</v>
      </c>
      <c r="Q63" s="54" t="n">
        <f aca="false">Inputs!E23</f>
        <v>6</v>
      </c>
      <c r="R63" s="83" t="n">
        <f aca="false">SRC_DC_007</f>
        <v>6</v>
      </c>
      <c r="S63" s="83" t="str">
        <f aca="false">IF(OR($H63="—",$H63=""),"—",IF(ISNUMBER(MATCH($H63,SRC_HW!$A$5:$A$400,0)),INDEX(SRC_HW!$O$5:$O$400,MATCH($H63,SRC_HW!$A$5:$A$400,0)),IF(ISNUMBER(MATCH($H63,SRC_DC!$A$5:$A$400,0)),INDEX(SRC_DC!$O$5:$O$400,MATCH($H63,SRC_DC!$A$5:$A$400,0)),IF(ISNUMBER(MATCH($H63,SRC_Model!$A$5:$A$400,0)),INDEX(SRC_Model!$O$5:$O$400,MATCH($H63,SRC_Model!$A$5:$A$400,0)),IF(ISNUMBER(MATCH($H63,SRC_Perf!$A$5:$A$400,0)),INDEX(SRC_Perf!$O$5:$O$400,MATCH($H63,SRC_Perf!$A$5:$A$400,0)),"不存在")))))</f>
        <v>Active</v>
      </c>
      <c r="T63" s="83" t="n">
        <f aca="false">IF(OR($H63="—",$H63=""),"—",IF(ISNUMBER(MATCH($H63,SRC_HW!$A$5:$A$400,0)),INDEX(SRC_HW!$K$5:$K$400,MATCH($H63,SRC_HW!$A$5:$A$400,0)),IF(ISNUMBER(MATCH($H63,SRC_DC!$A$5:$A$400,0)),INDEX(SRC_DC!$K$5:$K$400,MATCH($H63,SRC_DC!$A$5:$A$400,0)),IF(ISNUMBER(MATCH($H63,SRC_Model!$A$5:$A$400,0)),INDEX(SRC_Model!$K$5:$K$400,MATCH($H63,SRC_Model!$A$5:$A$400,0)),IF(ISNUMBER(MATCH($H63,SRC_Perf!$A$5:$A$400,0)),INDEX(SRC_Perf!$K$5:$K$400,MATCH($H63,SRC_Perf!$A$5:$A$400,0)),"不存在")))))</f>
        <v>2</v>
      </c>
      <c r="U63" s="52" t="s">
        <v>2341</v>
      </c>
      <c r="V63" s="103" t="n">
        <f aca="false">IF(AND($F63="原始數據",$U63&lt;&gt;"連結 SRC"),1,0)</f>
        <v>0</v>
      </c>
      <c r="W63" s="103" t="n">
        <f aca="false">IF(AND($F63="Analogy",OR($H63="—",$H63="")),1,0)</f>
        <v>0</v>
      </c>
      <c r="X63" s="103" t="n">
        <f aca="false">IF(AND(OR($F63="Analogy",$F63="Assumed"),$G63&lt;&gt;"低",$G63&lt;&gt;"高",NOT(ISNUMBER($K63)),NOT(ISNUMBER($L63)),OR($M63="—",$M63="")),1,0)</f>
        <v>0</v>
      </c>
      <c r="Y63" s="103" t="n">
        <f aca="false">IF(AND(OR($F63="Analogy",$F63="Assumed",$F63="Derived（待改公式）",$F63="Derived（公式）"),OR($N63="—",$N63="",$N63=0)),1,0)</f>
        <v>0</v>
      </c>
      <c r="Z63" s="103" t="n">
        <f aca="false">IF(AND($F63="Decision",OR($J63="—",$J63="")),1,0)</f>
        <v>0</v>
      </c>
      <c r="AA63" s="84" t="n">
        <f aca="false">IF(OR($J63="—",$J63=""),0,IF(COUNTIF(Decisions!$A$5:$A$300,$J63)=0,1,0))</f>
        <v>0</v>
      </c>
      <c r="AB63" s="103" t="n">
        <f aca="false">IF(AND($F63="原始數據",$S63&lt;&gt;"Active"),1,0)</f>
        <v>0</v>
      </c>
      <c r="AC63" s="103" t="n">
        <f aca="false">IF(AND(ISNUMBER($K63),ISNUMBER($L63),ISNUMBER($Q63)),IF(OR($Q63&lt;MIN($K63,$L63),$Q63&gt;MAX($K63,$L63)),1,0),0)</f>
        <v>0</v>
      </c>
      <c r="AD63" s="103" t="n">
        <f aca="false">IF(AND(ISNUMBER($T63),$P63="高"),IF($T63=3,1,0),0)</f>
        <v>0</v>
      </c>
      <c r="AE63" s="103" t="n">
        <f aca="false">IF(AND($S63="不存在",$B63="切片一"),1,0)</f>
        <v>0</v>
      </c>
    </row>
    <row r="64" customFormat="false" ht="15" hidden="false" customHeight="false" outlineLevel="0" collapsed="false">
      <c r="A64" s="53" t="s">
        <v>2440</v>
      </c>
      <c r="B64" s="52" t="s">
        <v>2297</v>
      </c>
      <c r="C64" s="53" t="s">
        <v>2298</v>
      </c>
      <c r="D64" s="53" t="s">
        <v>2441</v>
      </c>
      <c r="E64" s="6" t="s">
        <v>103</v>
      </c>
      <c r="F64" s="52" t="s">
        <v>2337</v>
      </c>
      <c r="G64" s="52" t="s">
        <v>2299</v>
      </c>
      <c r="H64" s="53" t="s">
        <v>2442</v>
      </c>
      <c r="I64" s="5" t="s">
        <v>2339</v>
      </c>
      <c r="J64" s="53" t="s">
        <v>2437</v>
      </c>
      <c r="K64" s="52"/>
      <c r="L64" s="52"/>
      <c r="M64" s="53" t="s">
        <v>554</v>
      </c>
      <c r="N64" s="5" t="s">
        <v>2340</v>
      </c>
      <c r="O64" s="6" t="s">
        <v>554</v>
      </c>
      <c r="P64" s="52" t="s">
        <v>1079</v>
      </c>
      <c r="Q64" s="54" t="n">
        <f aca="false">Inputs!F23</f>
        <v>4</v>
      </c>
      <c r="R64" s="83" t="n">
        <f aca="false">SRC_DC_008</f>
        <v>4</v>
      </c>
      <c r="S64" s="83" t="str">
        <f aca="false">IF(OR($H64="—",$H64=""),"—",IF(ISNUMBER(MATCH($H64,SRC_HW!$A$5:$A$400,0)),INDEX(SRC_HW!$O$5:$O$400,MATCH($H64,SRC_HW!$A$5:$A$400,0)),IF(ISNUMBER(MATCH($H64,SRC_DC!$A$5:$A$400,0)),INDEX(SRC_DC!$O$5:$O$400,MATCH($H64,SRC_DC!$A$5:$A$400,0)),IF(ISNUMBER(MATCH($H64,SRC_Model!$A$5:$A$400,0)),INDEX(SRC_Model!$O$5:$O$400,MATCH($H64,SRC_Model!$A$5:$A$400,0)),IF(ISNUMBER(MATCH($H64,SRC_Perf!$A$5:$A$400,0)),INDEX(SRC_Perf!$O$5:$O$400,MATCH($H64,SRC_Perf!$A$5:$A$400,0)),"不存在")))))</f>
        <v>Active</v>
      </c>
      <c r="T64" s="83" t="n">
        <f aca="false">IF(OR($H64="—",$H64=""),"—",IF(ISNUMBER(MATCH($H64,SRC_HW!$A$5:$A$400,0)),INDEX(SRC_HW!$K$5:$K$400,MATCH($H64,SRC_HW!$A$5:$A$400,0)),IF(ISNUMBER(MATCH($H64,SRC_DC!$A$5:$A$400,0)),INDEX(SRC_DC!$K$5:$K$400,MATCH($H64,SRC_DC!$A$5:$A$400,0)),IF(ISNUMBER(MATCH($H64,SRC_Model!$A$5:$A$400,0)),INDEX(SRC_Model!$K$5:$K$400,MATCH($H64,SRC_Model!$A$5:$A$400,0)),IF(ISNUMBER(MATCH($H64,SRC_Perf!$A$5:$A$400,0)),INDEX(SRC_Perf!$K$5:$K$400,MATCH($H64,SRC_Perf!$A$5:$A$400,0)),"不存在")))))</f>
        <v>2</v>
      </c>
      <c r="U64" s="52" t="s">
        <v>2341</v>
      </c>
      <c r="V64" s="103" t="n">
        <f aca="false">IF(AND($F64="原始數據",$U64&lt;&gt;"連結 SRC"),1,0)</f>
        <v>0</v>
      </c>
      <c r="W64" s="103" t="n">
        <f aca="false">IF(AND($F64="Analogy",OR($H64="—",$H64="")),1,0)</f>
        <v>0</v>
      </c>
      <c r="X64" s="103" t="n">
        <f aca="false">IF(AND(OR($F64="Analogy",$F64="Assumed"),$G64&lt;&gt;"低",$G64&lt;&gt;"高",NOT(ISNUMBER($K64)),NOT(ISNUMBER($L64)),OR($M64="—",$M64="")),1,0)</f>
        <v>0</v>
      </c>
      <c r="Y64" s="103" t="n">
        <f aca="false">IF(AND(OR($F64="Analogy",$F64="Assumed",$F64="Derived（待改公式）",$F64="Derived（公式）"),OR($N64="—",$N64="",$N64=0)),1,0)</f>
        <v>0</v>
      </c>
      <c r="Z64" s="103" t="n">
        <f aca="false">IF(AND($F64="Decision",OR($J64="—",$J64="")),1,0)</f>
        <v>0</v>
      </c>
      <c r="AA64" s="84" t="n">
        <f aca="false">IF(OR($J64="—",$J64=""),0,IF(COUNTIF(Decisions!$A$5:$A$300,$J64)=0,1,0))</f>
        <v>0</v>
      </c>
      <c r="AB64" s="103" t="n">
        <f aca="false">IF(AND($F64="原始數據",$S64&lt;&gt;"Active"),1,0)</f>
        <v>0</v>
      </c>
      <c r="AC64" s="103" t="n">
        <f aca="false">IF(AND(ISNUMBER($K64),ISNUMBER($L64),ISNUMBER($Q64)),IF(OR($Q64&lt;MIN($K64,$L64),$Q64&gt;MAX($K64,$L64)),1,0),0)</f>
        <v>0</v>
      </c>
      <c r="AD64" s="103" t="n">
        <f aca="false">IF(AND(ISNUMBER($T64),$P64="高"),IF($T64=3,1,0),0)</f>
        <v>0</v>
      </c>
      <c r="AE64" s="103" t="n">
        <f aca="false">IF(AND($S64="不存在",$B64="切片一"),1,0)</f>
        <v>0</v>
      </c>
    </row>
    <row r="65" customFormat="false" ht="29.85" hidden="false" customHeight="false" outlineLevel="0" collapsed="false">
      <c r="A65" s="53" t="s">
        <v>2443</v>
      </c>
      <c r="B65" s="52" t="s">
        <v>2297</v>
      </c>
      <c r="C65" s="53" t="s">
        <v>2298</v>
      </c>
      <c r="D65" s="53" t="s">
        <v>2444</v>
      </c>
      <c r="E65" s="5" t="s">
        <v>107</v>
      </c>
      <c r="F65" s="53" t="s">
        <v>70</v>
      </c>
      <c r="G65" s="52" t="s">
        <v>55</v>
      </c>
      <c r="H65" s="53" t="s">
        <v>554</v>
      </c>
      <c r="I65" s="6" t="s">
        <v>554</v>
      </c>
      <c r="J65" s="53" t="s">
        <v>554</v>
      </c>
      <c r="K65" s="128" t="n">
        <v>25</v>
      </c>
      <c r="L65" s="128" t="n">
        <v>40</v>
      </c>
      <c r="M65" s="53" t="s">
        <v>2445</v>
      </c>
      <c r="N65" s="5" t="s">
        <v>2446</v>
      </c>
      <c r="O65" s="6" t="s">
        <v>2398</v>
      </c>
      <c r="P65" s="52" t="s">
        <v>1078</v>
      </c>
      <c r="Q65" s="54" t="n">
        <f aca="false">Inputs!E24</f>
        <v>30</v>
      </c>
      <c r="R65" s="53" t="s">
        <v>554</v>
      </c>
      <c r="S65" s="83" t="str">
        <f aca="false">IF(OR($H65="—",$H65=""),"—",IF(ISNUMBER(MATCH($H65,SRC_HW!$A$5:$A$400,0)),INDEX(SRC_HW!$O$5:$O$400,MATCH($H65,SRC_HW!$A$5:$A$400,0)),IF(ISNUMBER(MATCH($H65,SRC_DC!$A$5:$A$400,0)),INDEX(SRC_DC!$O$5:$O$400,MATCH($H65,SRC_DC!$A$5:$A$400,0)),IF(ISNUMBER(MATCH($H65,SRC_Model!$A$5:$A$400,0)),INDEX(SRC_Model!$O$5:$O$400,MATCH($H65,SRC_Model!$A$5:$A$400,0)),IF(ISNUMBER(MATCH($H65,SRC_Perf!$A$5:$A$400,0)),INDEX(SRC_Perf!$O$5:$O$400,MATCH($H65,SRC_Perf!$A$5:$A$400,0)),"不存在")))))</f>
        <v>—</v>
      </c>
      <c r="T65" s="83" t="str">
        <f aca="false">IF(OR($H65="—",$H65=""),"—",IF(ISNUMBER(MATCH($H65,SRC_HW!$A$5:$A$400,0)),INDEX(SRC_HW!$K$5:$K$400,MATCH($H65,SRC_HW!$A$5:$A$400,0)),IF(ISNUMBER(MATCH($H65,SRC_DC!$A$5:$A$400,0)),INDEX(SRC_DC!$K$5:$K$400,MATCH($H65,SRC_DC!$A$5:$A$400,0)),IF(ISNUMBER(MATCH($H65,SRC_Model!$A$5:$A$400,0)),INDEX(SRC_Model!$K$5:$K$400,MATCH($H65,SRC_Model!$A$5:$A$400,0)),IF(ISNUMBER(MATCH($H65,SRC_Perf!$A$5:$A$400,0)),INDEX(SRC_Perf!$K$5:$K$400,MATCH($H65,SRC_Perf!$A$5:$A$400,0)),"不存在")))))</f>
        <v>—</v>
      </c>
      <c r="U65" s="52" t="s">
        <v>2302</v>
      </c>
      <c r="V65" s="103" t="n">
        <f aca="false">IF(AND($F65="原始數據",$U65&lt;&gt;"連結 SRC"),1,0)</f>
        <v>0</v>
      </c>
      <c r="W65" s="103" t="n">
        <f aca="false">IF(AND($F65="Analogy",OR($H65="—",$H65="")),1,0)</f>
        <v>0</v>
      </c>
      <c r="X65" s="103" t="n">
        <f aca="false">IF(AND(OR($F65="Analogy",$F65="Assumed"),$G65&lt;&gt;"低",$G65&lt;&gt;"高",NOT(ISNUMBER($K65)),NOT(ISNUMBER($L65)),OR($M65="—",$M65="")),1,0)</f>
        <v>0</v>
      </c>
      <c r="Y65" s="103" t="n">
        <f aca="false">IF(AND(OR($F65="Analogy",$F65="Assumed",$F65="Derived（待改公式）",$F65="Derived（公式）"),OR($N65="—",$N65="",$N65=0)),1,0)</f>
        <v>0</v>
      </c>
      <c r="Z65" s="103" t="n">
        <f aca="false">IF(AND($F65="Decision",OR($J65="—",$J65="")),1,0)</f>
        <v>0</v>
      </c>
      <c r="AA65" s="84" t="n">
        <f aca="false">IF(OR($J65="—",$J65=""),0,IF(COUNTIF(Decisions!$A$5:$A$300,$J65)=0,1,0))</f>
        <v>0</v>
      </c>
      <c r="AB65" s="103" t="n">
        <f aca="false">IF(AND($F65="原始數據",$S65&lt;&gt;"Active"),1,0)</f>
        <v>0</v>
      </c>
      <c r="AC65" s="103" t="n">
        <f aca="false">IF(AND(ISNUMBER($K65),ISNUMBER($L65),ISNUMBER($Q65)),IF(OR($Q65&lt;MIN($K65,$L65),$Q65&gt;MAX($K65,$L65)),1,0),0)</f>
        <v>0</v>
      </c>
      <c r="AD65" s="103" t="n">
        <f aca="false">IF(AND(ISNUMBER($T65),$P65="高"),IF($T65=3,1,0),0)</f>
        <v>0</v>
      </c>
      <c r="AE65" s="103" t="n">
        <f aca="false">IF(AND($S65="不存在",$B65="切片一"),1,0)</f>
        <v>0</v>
      </c>
    </row>
    <row r="66" customFormat="false" ht="29.85" hidden="false" customHeight="false" outlineLevel="0" collapsed="false">
      <c r="A66" s="53" t="s">
        <v>2447</v>
      </c>
      <c r="B66" s="52" t="s">
        <v>2297</v>
      </c>
      <c r="C66" s="53" t="s">
        <v>2298</v>
      </c>
      <c r="D66" s="53" t="s">
        <v>2448</v>
      </c>
      <c r="E66" s="5" t="s">
        <v>109</v>
      </c>
      <c r="F66" s="53" t="s">
        <v>70</v>
      </c>
      <c r="G66" s="52" t="s">
        <v>55</v>
      </c>
      <c r="H66" s="53" t="s">
        <v>554</v>
      </c>
      <c r="I66" s="6" t="s">
        <v>554</v>
      </c>
      <c r="J66" s="53" t="s">
        <v>554</v>
      </c>
      <c r="K66" s="128" t="n">
        <v>15</v>
      </c>
      <c r="L66" s="128" t="n">
        <v>25</v>
      </c>
      <c r="M66" s="53" t="s">
        <v>2449</v>
      </c>
      <c r="N66" s="5" t="s">
        <v>2450</v>
      </c>
      <c r="O66" s="6" t="s">
        <v>2398</v>
      </c>
      <c r="P66" s="52" t="s">
        <v>1078</v>
      </c>
      <c r="Q66" s="54" t="n">
        <f aca="false">Inputs!E25</f>
        <v>20</v>
      </c>
      <c r="R66" s="53" t="s">
        <v>554</v>
      </c>
      <c r="S66" s="83" t="str">
        <f aca="false">IF(OR($H66="—",$H66=""),"—",IF(ISNUMBER(MATCH($H66,SRC_HW!$A$5:$A$400,0)),INDEX(SRC_HW!$O$5:$O$400,MATCH($H66,SRC_HW!$A$5:$A$400,0)),IF(ISNUMBER(MATCH($H66,SRC_DC!$A$5:$A$400,0)),INDEX(SRC_DC!$O$5:$O$400,MATCH($H66,SRC_DC!$A$5:$A$400,0)),IF(ISNUMBER(MATCH($H66,SRC_Model!$A$5:$A$400,0)),INDEX(SRC_Model!$O$5:$O$400,MATCH($H66,SRC_Model!$A$5:$A$400,0)),IF(ISNUMBER(MATCH($H66,SRC_Perf!$A$5:$A$400,0)),INDEX(SRC_Perf!$O$5:$O$400,MATCH($H66,SRC_Perf!$A$5:$A$400,0)),"不存在")))))</f>
        <v>—</v>
      </c>
      <c r="T66" s="83" t="str">
        <f aca="false">IF(OR($H66="—",$H66=""),"—",IF(ISNUMBER(MATCH($H66,SRC_HW!$A$5:$A$400,0)),INDEX(SRC_HW!$K$5:$K$400,MATCH($H66,SRC_HW!$A$5:$A$400,0)),IF(ISNUMBER(MATCH($H66,SRC_DC!$A$5:$A$400,0)),INDEX(SRC_DC!$K$5:$K$400,MATCH($H66,SRC_DC!$A$5:$A$400,0)),IF(ISNUMBER(MATCH($H66,SRC_Model!$A$5:$A$400,0)),INDEX(SRC_Model!$K$5:$K$400,MATCH($H66,SRC_Model!$A$5:$A$400,0)),IF(ISNUMBER(MATCH($H66,SRC_Perf!$A$5:$A$400,0)),INDEX(SRC_Perf!$K$5:$K$400,MATCH($H66,SRC_Perf!$A$5:$A$400,0)),"不存在")))))</f>
        <v>—</v>
      </c>
      <c r="U66" s="52" t="s">
        <v>2302</v>
      </c>
      <c r="V66" s="103" t="n">
        <f aca="false">IF(AND($F66="原始數據",$U66&lt;&gt;"連結 SRC"),1,0)</f>
        <v>0</v>
      </c>
      <c r="W66" s="103" t="n">
        <f aca="false">IF(AND($F66="Analogy",OR($H66="—",$H66="")),1,0)</f>
        <v>0</v>
      </c>
      <c r="X66" s="103" t="n">
        <f aca="false">IF(AND(OR($F66="Analogy",$F66="Assumed"),$G66&lt;&gt;"低",$G66&lt;&gt;"高",NOT(ISNUMBER($K66)),NOT(ISNUMBER($L66)),OR($M66="—",$M66="")),1,0)</f>
        <v>0</v>
      </c>
      <c r="Y66" s="103" t="n">
        <f aca="false">IF(AND(OR($F66="Analogy",$F66="Assumed",$F66="Derived（待改公式）",$F66="Derived（公式）"),OR($N66="—",$N66="",$N66=0)),1,0)</f>
        <v>0</v>
      </c>
      <c r="Z66" s="103" t="n">
        <f aca="false">IF(AND($F66="Decision",OR($J66="—",$J66="")),1,0)</f>
        <v>0</v>
      </c>
      <c r="AA66" s="84" t="n">
        <f aca="false">IF(OR($J66="—",$J66=""),0,IF(COUNTIF(Decisions!$A$5:$A$300,$J66)=0,1,0))</f>
        <v>0</v>
      </c>
      <c r="AB66" s="103" t="n">
        <f aca="false">IF(AND($F66="原始數據",$S66&lt;&gt;"Active"),1,0)</f>
        <v>0</v>
      </c>
      <c r="AC66" s="103" t="n">
        <f aca="false">IF(AND(ISNUMBER($K66),ISNUMBER($L66),ISNUMBER($Q66)),IF(OR($Q66&lt;MIN($K66,$L66),$Q66&gt;MAX($K66,$L66)),1,0),0)</f>
        <v>0</v>
      </c>
      <c r="AD66" s="103" t="n">
        <f aca="false">IF(AND(ISNUMBER($T66),$P66="高"),IF($T66=3,1,0),0)</f>
        <v>0</v>
      </c>
      <c r="AE66" s="103" t="n">
        <f aca="false">IF(AND($S66="不存在",$B66="切片一"),1,0)</f>
        <v>0</v>
      </c>
    </row>
    <row r="67" customFormat="false" ht="29.85" hidden="false" customHeight="false" outlineLevel="0" collapsed="false">
      <c r="A67" s="53" t="s">
        <v>2451</v>
      </c>
      <c r="B67" s="52" t="s">
        <v>2297</v>
      </c>
      <c r="C67" s="53" t="s">
        <v>2298</v>
      </c>
      <c r="D67" s="53" t="s">
        <v>2452</v>
      </c>
      <c r="E67" s="5" t="s">
        <v>110</v>
      </c>
      <c r="F67" s="53" t="s">
        <v>70</v>
      </c>
      <c r="G67" s="52" t="s">
        <v>55</v>
      </c>
      <c r="H67" s="53" t="s">
        <v>554</v>
      </c>
      <c r="I67" s="6" t="s">
        <v>554</v>
      </c>
      <c r="J67" s="53" t="s">
        <v>554</v>
      </c>
      <c r="K67" s="128" t="n">
        <v>10</v>
      </c>
      <c r="L67" s="128" t="n">
        <v>20</v>
      </c>
      <c r="M67" s="53" t="s">
        <v>2453</v>
      </c>
      <c r="N67" s="5" t="s">
        <v>2454</v>
      </c>
      <c r="O67" s="6" t="s">
        <v>2398</v>
      </c>
      <c r="P67" s="52" t="s">
        <v>1078</v>
      </c>
      <c r="Q67" s="54" t="n">
        <f aca="false">Inputs!E26</f>
        <v>15</v>
      </c>
      <c r="R67" s="53" t="s">
        <v>554</v>
      </c>
      <c r="S67" s="83" t="str">
        <f aca="false">IF(OR($H67="—",$H67=""),"—",IF(ISNUMBER(MATCH($H67,SRC_HW!$A$5:$A$400,0)),INDEX(SRC_HW!$O$5:$O$400,MATCH($H67,SRC_HW!$A$5:$A$400,0)),IF(ISNUMBER(MATCH($H67,SRC_DC!$A$5:$A$400,0)),INDEX(SRC_DC!$O$5:$O$400,MATCH($H67,SRC_DC!$A$5:$A$400,0)),IF(ISNUMBER(MATCH($H67,SRC_Model!$A$5:$A$400,0)),INDEX(SRC_Model!$O$5:$O$400,MATCH($H67,SRC_Model!$A$5:$A$400,0)),IF(ISNUMBER(MATCH($H67,SRC_Perf!$A$5:$A$400,0)),INDEX(SRC_Perf!$O$5:$O$400,MATCH($H67,SRC_Perf!$A$5:$A$400,0)),"不存在")))))</f>
        <v>—</v>
      </c>
      <c r="T67" s="83" t="str">
        <f aca="false">IF(OR($H67="—",$H67=""),"—",IF(ISNUMBER(MATCH($H67,SRC_HW!$A$5:$A$400,0)),INDEX(SRC_HW!$K$5:$K$400,MATCH($H67,SRC_HW!$A$5:$A$400,0)),IF(ISNUMBER(MATCH($H67,SRC_DC!$A$5:$A$400,0)),INDEX(SRC_DC!$K$5:$K$400,MATCH($H67,SRC_DC!$A$5:$A$400,0)),IF(ISNUMBER(MATCH($H67,SRC_Model!$A$5:$A$400,0)),INDEX(SRC_Model!$K$5:$K$400,MATCH($H67,SRC_Model!$A$5:$A$400,0)),IF(ISNUMBER(MATCH($H67,SRC_Perf!$A$5:$A$400,0)),INDEX(SRC_Perf!$K$5:$K$400,MATCH($H67,SRC_Perf!$A$5:$A$400,0)),"不存在")))))</f>
        <v>—</v>
      </c>
      <c r="U67" s="52" t="s">
        <v>2302</v>
      </c>
      <c r="V67" s="103" t="n">
        <f aca="false">IF(AND($F67="原始數據",$U67&lt;&gt;"連結 SRC"),1,0)</f>
        <v>0</v>
      </c>
      <c r="W67" s="103" t="n">
        <f aca="false">IF(AND($F67="Analogy",OR($H67="—",$H67="")),1,0)</f>
        <v>0</v>
      </c>
      <c r="X67" s="103" t="n">
        <f aca="false">IF(AND(OR($F67="Analogy",$F67="Assumed"),$G67&lt;&gt;"低",$G67&lt;&gt;"高",NOT(ISNUMBER($K67)),NOT(ISNUMBER($L67)),OR($M67="—",$M67="")),1,0)</f>
        <v>0</v>
      </c>
      <c r="Y67" s="103" t="n">
        <f aca="false">IF(AND(OR($F67="Analogy",$F67="Assumed",$F67="Derived（待改公式）",$F67="Derived（公式）"),OR($N67="—",$N67="",$N67=0)),1,0)</f>
        <v>0</v>
      </c>
      <c r="Z67" s="103" t="n">
        <f aca="false">IF(AND($F67="Decision",OR($J67="—",$J67="")),1,0)</f>
        <v>0</v>
      </c>
      <c r="AA67" s="84" t="n">
        <f aca="false">IF(OR($J67="—",$J67=""),0,IF(COUNTIF(Decisions!$A$5:$A$300,$J67)=0,1,0))</f>
        <v>0</v>
      </c>
      <c r="AB67" s="103" t="n">
        <f aca="false">IF(AND($F67="原始數據",$S67&lt;&gt;"Active"),1,0)</f>
        <v>0</v>
      </c>
      <c r="AC67" s="103" t="n">
        <f aca="false">IF(AND(ISNUMBER($K67),ISNUMBER($L67),ISNUMBER($Q67)),IF(OR($Q67&lt;MIN($K67,$L67),$Q67&gt;MAX($K67,$L67)),1,0),0)</f>
        <v>0</v>
      </c>
      <c r="AD67" s="103" t="n">
        <f aca="false">IF(AND(ISNUMBER($T67),$P67="高"),IF($T67=3,1,0),0)</f>
        <v>0</v>
      </c>
      <c r="AE67" s="103" t="n">
        <f aca="false">IF(AND($S67="不存在",$B67="切片一"),1,0)</f>
        <v>0</v>
      </c>
    </row>
    <row r="68" customFormat="false" ht="29.85" hidden="false" customHeight="false" outlineLevel="0" collapsed="false">
      <c r="A68" s="53" t="s">
        <v>2455</v>
      </c>
      <c r="B68" s="52" t="s">
        <v>2297</v>
      </c>
      <c r="C68" s="53" t="s">
        <v>2298</v>
      </c>
      <c r="D68" s="53" t="s">
        <v>2456</v>
      </c>
      <c r="E68" s="5" t="s">
        <v>111</v>
      </c>
      <c r="F68" s="53" t="s">
        <v>70</v>
      </c>
      <c r="G68" s="52" t="s">
        <v>55</v>
      </c>
      <c r="H68" s="53" t="s">
        <v>554</v>
      </c>
      <c r="I68" s="6" t="s">
        <v>554</v>
      </c>
      <c r="J68" s="53" t="s">
        <v>554</v>
      </c>
      <c r="K68" s="128" t="n">
        <v>7</v>
      </c>
      <c r="L68" s="128" t="n">
        <v>15</v>
      </c>
      <c r="M68" s="53" t="s">
        <v>2457</v>
      </c>
      <c r="N68" s="5" t="s">
        <v>2458</v>
      </c>
      <c r="O68" s="6" t="s">
        <v>2398</v>
      </c>
      <c r="P68" s="52" t="s">
        <v>1078</v>
      </c>
      <c r="Q68" s="54" t="n">
        <f aca="false">Inputs!E27</f>
        <v>10</v>
      </c>
      <c r="R68" s="53" t="s">
        <v>554</v>
      </c>
      <c r="S68" s="83" t="str">
        <f aca="false">IF(OR($H68="—",$H68=""),"—",IF(ISNUMBER(MATCH($H68,SRC_HW!$A$5:$A$400,0)),INDEX(SRC_HW!$O$5:$O$400,MATCH($H68,SRC_HW!$A$5:$A$400,0)),IF(ISNUMBER(MATCH($H68,SRC_DC!$A$5:$A$400,0)),INDEX(SRC_DC!$O$5:$O$400,MATCH($H68,SRC_DC!$A$5:$A$400,0)),IF(ISNUMBER(MATCH($H68,SRC_Model!$A$5:$A$400,0)),INDEX(SRC_Model!$O$5:$O$400,MATCH($H68,SRC_Model!$A$5:$A$400,0)),IF(ISNUMBER(MATCH($H68,SRC_Perf!$A$5:$A$400,0)),INDEX(SRC_Perf!$O$5:$O$400,MATCH($H68,SRC_Perf!$A$5:$A$400,0)),"不存在")))))</f>
        <v>—</v>
      </c>
      <c r="T68" s="83" t="str">
        <f aca="false">IF(OR($H68="—",$H68=""),"—",IF(ISNUMBER(MATCH($H68,SRC_HW!$A$5:$A$400,0)),INDEX(SRC_HW!$K$5:$K$400,MATCH($H68,SRC_HW!$A$5:$A$400,0)),IF(ISNUMBER(MATCH($H68,SRC_DC!$A$5:$A$400,0)),INDEX(SRC_DC!$K$5:$K$400,MATCH($H68,SRC_DC!$A$5:$A$400,0)),IF(ISNUMBER(MATCH($H68,SRC_Model!$A$5:$A$400,0)),INDEX(SRC_Model!$K$5:$K$400,MATCH($H68,SRC_Model!$A$5:$A$400,0)),IF(ISNUMBER(MATCH($H68,SRC_Perf!$A$5:$A$400,0)),INDEX(SRC_Perf!$K$5:$K$400,MATCH($H68,SRC_Perf!$A$5:$A$400,0)),"不存在")))))</f>
        <v>—</v>
      </c>
      <c r="U68" s="52" t="s">
        <v>2302</v>
      </c>
      <c r="V68" s="103" t="n">
        <f aca="false">IF(AND($F68="原始數據",$U68&lt;&gt;"連結 SRC"),1,0)</f>
        <v>0</v>
      </c>
      <c r="W68" s="103" t="n">
        <f aca="false">IF(AND($F68="Analogy",OR($H68="—",$H68="")),1,0)</f>
        <v>0</v>
      </c>
      <c r="X68" s="103" t="n">
        <f aca="false">IF(AND(OR($F68="Analogy",$F68="Assumed"),$G68&lt;&gt;"低",$G68&lt;&gt;"高",NOT(ISNUMBER($K68)),NOT(ISNUMBER($L68)),OR($M68="—",$M68="")),1,0)</f>
        <v>0</v>
      </c>
      <c r="Y68" s="103" t="n">
        <f aca="false">IF(AND(OR($F68="Analogy",$F68="Assumed",$F68="Derived（待改公式）",$F68="Derived（公式）"),OR($N68="—",$N68="",$N68=0)),1,0)</f>
        <v>0</v>
      </c>
      <c r="Z68" s="103" t="n">
        <f aca="false">IF(AND($F68="Decision",OR($J68="—",$J68="")),1,0)</f>
        <v>0</v>
      </c>
      <c r="AA68" s="84" t="n">
        <f aca="false">IF(OR($J68="—",$J68=""),0,IF(COUNTIF(Decisions!$A$5:$A$300,$J68)=0,1,0))</f>
        <v>0</v>
      </c>
      <c r="AB68" s="103" t="n">
        <f aca="false">IF(AND($F68="原始數據",$S68&lt;&gt;"Active"),1,0)</f>
        <v>0</v>
      </c>
      <c r="AC68" s="103" t="n">
        <f aca="false">IF(AND(ISNUMBER($K68),ISNUMBER($L68),ISNUMBER($Q68)),IF(OR($Q68&lt;MIN($K68,$L68),$Q68&gt;MAX($K68,$L68)),1,0),0)</f>
        <v>0</v>
      </c>
      <c r="AD68" s="103" t="n">
        <f aca="false">IF(AND(ISNUMBER($T68),$P68="高"),IF($T68=3,1,0),0)</f>
        <v>0</v>
      </c>
      <c r="AE68" s="103" t="n">
        <f aca="false">IF(AND($S68="不存在",$B68="切片一"),1,0)</f>
        <v>0</v>
      </c>
    </row>
    <row r="69" customFormat="false" ht="15" hidden="false" customHeight="false" outlineLevel="0" collapsed="false">
      <c r="A69" s="53" t="s">
        <v>2459</v>
      </c>
      <c r="B69" s="52" t="s">
        <v>2297</v>
      </c>
      <c r="C69" s="53" t="s">
        <v>2460</v>
      </c>
      <c r="D69" s="53" t="s">
        <v>2461</v>
      </c>
      <c r="E69" s="6" t="s">
        <v>147</v>
      </c>
      <c r="F69" s="53" t="s">
        <v>62</v>
      </c>
      <c r="G69" s="52" t="s">
        <v>2299</v>
      </c>
      <c r="H69" s="53" t="s">
        <v>554</v>
      </c>
      <c r="I69" s="6" t="s">
        <v>554</v>
      </c>
      <c r="J69" s="53" t="s">
        <v>2462</v>
      </c>
      <c r="K69" s="52"/>
      <c r="L69" s="52"/>
      <c r="M69" s="53" t="s">
        <v>554</v>
      </c>
      <c r="N69" s="6" t="s">
        <v>2463</v>
      </c>
      <c r="O69" s="6" t="s">
        <v>554</v>
      </c>
      <c r="P69" s="52" t="s">
        <v>1079</v>
      </c>
      <c r="Q69" s="54" t="n">
        <f aca="false">Spec_Rack!C6</f>
        <v>32</v>
      </c>
      <c r="R69" s="53" t="s">
        <v>554</v>
      </c>
      <c r="S69" s="83" t="str">
        <f aca="false">IF(OR($H69="—",$H69=""),"—",IF(ISNUMBER(MATCH($H69,SRC_HW!$A$5:$A$400,0)),INDEX(SRC_HW!$O$5:$O$400,MATCH($H69,SRC_HW!$A$5:$A$400,0)),IF(ISNUMBER(MATCH($H69,SRC_DC!$A$5:$A$400,0)),INDEX(SRC_DC!$O$5:$O$400,MATCH($H69,SRC_DC!$A$5:$A$400,0)),IF(ISNUMBER(MATCH($H69,SRC_Model!$A$5:$A$400,0)),INDEX(SRC_Model!$O$5:$O$400,MATCH($H69,SRC_Model!$A$5:$A$400,0)),IF(ISNUMBER(MATCH($H69,SRC_Perf!$A$5:$A$400,0)),INDEX(SRC_Perf!$O$5:$O$400,MATCH($H69,SRC_Perf!$A$5:$A$400,0)),"不存在")))))</f>
        <v>—</v>
      </c>
      <c r="T69" s="83" t="str">
        <f aca="false">IF(OR($H69="—",$H69=""),"—",IF(ISNUMBER(MATCH($H69,SRC_HW!$A$5:$A$400,0)),INDEX(SRC_HW!$K$5:$K$400,MATCH($H69,SRC_HW!$A$5:$A$400,0)),IF(ISNUMBER(MATCH($H69,SRC_DC!$A$5:$A$400,0)),INDEX(SRC_DC!$K$5:$K$400,MATCH($H69,SRC_DC!$A$5:$A$400,0)),IF(ISNUMBER(MATCH($H69,SRC_Model!$A$5:$A$400,0)),INDEX(SRC_Model!$K$5:$K$400,MATCH($H69,SRC_Model!$A$5:$A$400,0)),IF(ISNUMBER(MATCH($H69,SRC_Perf!$A$5:$A$400,0)),INDEX(SRC_Perf!$K$5:$K$400,MATCH($H69,SRC_Perf!$A$5:$A$400,0)),"不存在")))))</f>
        <v>—</v>
      </c>
      <c r="U69" s="52" t="s">
        <v>2302</v>
      </c>
      <c r="V69" s="103" t="n">
        <f aca="false">IF(AND($F69="原始數據",$U69&lt;&gt;"連結 SRC"),1,0)</f>
        <v>0</v>
      </c>
      <c r="W69" s="103" t="n">
        <f aca="false">IF(AND($F69="Analogy",OR($H69="—",$H69="")),1,0)</f>
        <v>0</v>
      </c>
      <c r="X69" s="103" t="n">
        <f aca="false">IF(AND(OR($F69="Analogy",$F69="Assumed"),$G69&lt;&gt;"低",$G69&lt;&gt;"高",NOT(ISNUMBER($K69)),NOT(ISNUMBER($L69)),OR($M69="—",$M69="")),1,0)</f>
        <v>0</v>
      </c>
      <c r="Y69" s="103" t="n">
        <f aca="false">IF(AND(OR($F69="Analogy",$F69="Assumed",$F69="Derived（待改公式）",$F69="Derived（公式）"),OR($N69="—",$N69="",$N69=0)),1,0)</f>
        <v>0</v>
      </c>
      <c r="Z69" s="103" t="n">
        <f aca="false">IF(AND($F69="Decision",OR($J69="—",$J69="")),1,0)</f>
        <v>0</v>
      </c>
      <c r="AA69" s="84" t="n">
        <f aca="false">IF(OR($J69="—",$J69=""),0,IF(COUNTIF(Decisions!$A$5:$A$300,$J69)=0,1,0))</f>
        <v>0</v>
      </c>
      <c r="AB69" s="103" t="n">
        <f aca="false">IF(AND($F69="原始數據",$S69&lt;&gt;"Active"),1,0)</f>
        <v>0</v>
      </c>
      <c r="AC69" s="103" t="n">
        <f aca="false">IF(AND(ISNUMBER($K69),ISNUMBER($L69),ISNUMBER($Q69)),IF(OR($Q69&lt;MIN($K69,$L69),$Q69&gt;MAX($K69,$L69)),1,0),0)</f>
        <v>0</v>
      </c>
      <c r="AD69" s="103" t="n">
        <f aca="false">IF(AND(ISNUMBER($T69),$P69="高"),IF($T69=3,1,0),0)</f>
        <v>0</v>
      </c>
      <c r="AE69" s="103" t="n">
        <f aca="false">IF(AND($S69="不存在",$B69="切片一"),1,0)</f>
        <v>0</v>
      </c>
    </row>
    <row r="70" customFormat="false" ht="15" hidden="false" customHeight="false" outlineLevel="0" collapsed="false">
      <c r="A70" s="53" t="s">
        <v>2464</v>
      </c>
      <c r="B70" s="52" t="s">
        <v>2297</v>
      </c>
      <c r="C70" s="53" t="s">
        <v>2460</v>
      </c>
      <c r="D70" s="53" t="s">
        <v>2465</v>
      </c>
      <c r="E70" s="6" t="s">
        <v>147</v>
      </c>
      <c r="F70" s="52" t="s">
        <v>2337</v>
      </c>
      <c r="G70" s="52" t="s">
        <v>2299</v>
      </c>
      <c r="H70" s="53" t="s">
        <v>2466</v>
      </c>
      <c r="I70" s="5" t="s">
        <v>2339</v>
      </c>
      <c r="J70" s="53" t="s">
        <v>554</v>
      </c>
      <c r="K70" s="52"/>
      <c r="L70" s="52"/>
      <c r="M70" s="53" t="s">
        <v>554</v>
      </c>
      <c r="N70" s="5" t="s">
        <v>2340</v>
      </c>
      <c r="O70" s="6" t="s">
        <v>554</v>
      </c>
      <c r="P70" s="52" t="s">
        <v>1079</v>
      </c>
      <c r="Q70" s="54" t="n">
        <f aca="false">Spec_Rack!D6</f>
        <v>72</v>
      </c>
      <c r="R70" s="83" t="n">
        <f aca="false">SRC_HW_047</f>
        <v>72</v>
      </c>
      <c r="S70" s="83" t="str">
        <f aca="false">IF(OR($H70="—",$H70=""),"—",IF(ISNUMBER(MATCH($H70,SRC_HW!$A$5:$A$400,0)),INDEX(SRC_HW!$O$5:$O$400,MATCH($H70,SRC_HW!$A$5:$A$400,0)),IF(ISNUMBER(MATCH($H70,SRC_DC!$A$5:$A$400,0)),INDEX(SRC_DC!$O$5:$O$400,MATCH($H70,SRC_DC!$A$5:$A$400,0)),IF(ISNUMBER(MATCH($H70,SRC_Model!$A$5:$A$400,0)),INDEX(SRC_Model!$O$5:$O$400,MATCH($H70,SRC_Model!$A$5:$A$400,0)),IF(ISNUMBER(MATCH($H70,SRC_Perf!$A$5:$A$400,0)),INDEX(SRC_Perf!$O$5:$O$400,MATCH($H70,SRC_Perf!$A$5:$A$400,0)),"不存在")))))</f>
        <v>Active</v>
      </c>
      <c r="T70" s="83" t="n">
        <f aca="false">IF(OR($H70="—",$H70=""),"—",IF(ISNUMBER(MATCH($H70,SRC_HW!$A$5:$A$400,0)),INDEX(SRC_HW!$K$5:$K$400,MATCH($H70,SRC_HW!$A$5:$A$400,0)),IF(ISNUMBER(MATCH($H70,SRC_DC!$A$5:$A$400,0)),INDEX(SRC_DC!$K$5:$K$400,MATCH($H70,SRC_DC!$A$5:$A$400,0)),IF(ISNUMBER(MATCH($H70,SRC_Model!$A$5:$A$400,0)),INDEX(SRC_Model!$K$5:$K$400,MATCH($H70,SRC_Model!$A$5:$A$400,0)),IF(ISNUMBER(MATCH($H70,SRC_Perf!$A$5:$A$400,0)),INDEX(SRC_Perf!$K$5:$K$400,MATCH($H70,SRC_Perf!$A$5:$A$400,0)),"不存在")))))</f>
        <v>3</v>
      </c>
      <c r="U70" s="52" t="s">
        <v>2341</v>
      </c>
      <c r="V70" s="103" t="n">
        <f aca="false">IF(AND($F70="原始數據",$U70&lt;&gt;"連結 SRC"),1,0)</f>
        <v>0</v>
      </c>
      <c r="W70" s="103" t="n">
        <f aca="false">IF(AND($F70="Analogy",OR($H70="—",$H70="")),1,0)</f>
        <v>0</v>
      </c>
      <c r="X70" s="103" t="n">
        <f aca="false">IF(AND(OR($F70="Analogy",$F70="Assumed"),$G70&lt;&gt;"低",$G70&lt;&gt;"高",NOT(ISNUMBER($K70)),NOT(ISNUMBER($L70)),OR($M70="—",$M70="")),1,0)</f>
        <v>0</v>
      </c>
      <c r="Y70" s="103" t="n">
        <f aca="false">IF(AND(OR($F70="Analogy",$F70="Assumed",$F70="Derived（待改公式）",$F70="Derived（公式）"),OR($N70="—",$N70="",$N70=0)),1,0)</f>
        <v>0</v>
      </c>
      <c r="Z70" s="103" t="n">
        <f aca="false">IF(AND($F70="Decision",OR($J70="—",$J70="")),1,0)</f>
        <v>0</v>
      </c>
      <c r="AA70" s="84" t="n">
        <f aca="false">IF(OR($J70="—",$J70=""),0,IF(COUNTIF(Decisions!$A$5:$A$300,$J70)=0,1,0))</f>
        <v>0</v>
      </c>
      <c r="AB70" s="103" t="n">
        <f aca="false">IF(AND($F70="原始數據",$S70&lt;&gt;"Active"),1,0)</f>
        <v>0</v>
      </c>
      <c r="AC70" s="103" t="n">
        <f aca="false">IF(AND(ISNUMBER($K70),ISNUMBER($L70),ISNUMBER($Q70)),IF(OR($Q70&lt;MIN($K70,$L70),$Q70&gt;MAX($K70,$L70)),1,0),0)</f>
        <v>0</v>
      </c>
      <c r="AD70" s="103" t="n">
        <f aca="false">IF(AND(ISNUMBER($T70),$P70="高"),IF($T70=3,1,0),0)</f>
        <v>1</v>
      </c>
      <c r="AE70" s="103" t="n">
        <f aca="false">IF(AND($S70="不存在",$B70="切片一"),1,0)</f>
        <v>0</v>
      </c>
    </row>
    <row r="71" customFormat="false" ht="15" hidden="false" customHeight="false" outlineLevel="0" collapsed="false">
      <c r="A71" s="53" t="s">
        <v>2467</v>
      </c>
      <c r="B71" s="52" t="s">
        <v>2297</v>
      </c>
      <c r="C71" s="53" t="s">
        <v>2460</v>
      </c>
      <c r="D71" s="53" t="s">
        <v>2213</v>
      </c>
      <c r="E71" s="6" t="s">
        <v>147</v>
      </c>
      <c r="F71" s="52" t="s">
        <v>2337</v>
      </c>
      <c r="G71" s="52" t="s">
        <v>2299</v>
      </c>
      <c r="H71" s="53" t="s">
        <v>2466</v>
      </c>
      <c r="I71" s="5" t="s">
        <v>2339</v>
      </c>
      <c r="J71" s="53" t="s">
        <v>554</v>
      </c>
      <c r="K71" s="52"/>
      <c r="L71" s="52"/>
      <c r="M71" s="53" t="s">
        <v>554</v>
      </c>
      <c r="N71" s="5" t="s">
        <v>2340</v>
      </c>
      <c r="O71" s="6" t="s">
        <v>554</v>
      </c>
      <c r="P71" s="52" t="s">
        <v>1079</v>
      </c>
      <c r="Q71" s="54" t="n">
        <f aca="false">Spec_Rack!E6</f>
        <v>72</v>
      </c>
      <c r="R71" s="83" t="n">
        <f aca="false">SRC_HW_047</f>
        <v>72</v>
      </c>
      <c r="S71" s="83" t="str">
        <f aca="false">IF(OR($H71="—",$H71=""),"—",IF(ISNUMBER(MATCH($H71,SRC_HW!$A$5:$A$400,0)),INDEX(SRC_HW!$O$5:$O$400,MATCH($H71,SRC_HW!$A$5:$A$400,0)),IF(ISNUMBER(MATCH($H71,SRC_DC!$A$5:$A$400,0)),INDEX(SRC_DC!$O$5:$O$400,MATCH($H71,SRC_DC!$A$5:$A$400,0)),IF(ISNUMBER(MATCH($H71,SRC_Model!$A$5:$A$400,0)),INDEX(SRC_Model!$O$5:$O$400,MATCH($H71,SRC_Model!$A$5:$A$400,0)),IF(ISNUMBER(MATCH($H71,SRC_Perf!$A$5:$A$400,0)),INDEX(SRC_Perf!$O$5:$O$400,MATCH($H71,SRC_Perf!$A$5:$A$400,0)),"不存在")))))</f>
        <v>Active</v>
      </c>
      <c r="T71" s="83" t="n">
        <f aca="false">IF(OR($H71="—",$H71=""),"—",IF(ISNUMBER(MATCH($H71,SRC_HW!$A$5:$A$400,0)),INDEX(SRC_HW!$K$5:$K$400,MATCH($H71,SRC_HW!$A$5:$A$400,0)),IF(ISNUMBER(MATCH($H71,SRC_DC!$A$5:$A$400,0)),INDEX(SRC_DC!$K$5:$K$400,MATCH($H71,SRC_DC!$A$5:$A$400,0)),IF(ISNUMBER(MATCH($H71,SRC_Model!$A$5:$A$400,0)),INDEX(SRC_Model!$K$5:$K$400,MATCH($H71,SRC_Model!$A$5:$A$400,0)),IF(ISNUMBER(MATCH($H71,SRC_Perf!$A$5:$A$400,0)),INDEX(SRC_Perf!$K$5:$K$400,MATCH($H71,SRC_Perf!$A$5:$A$400,0)),"不存在")))))</f>
        <v>3</v>
      </c>
      <c r="U71" s="52" t="s">
        <v>2341</v>
      </c>
      <c r="V71" s="103" t="n">
        <f aca="false">IF(AND($F71="原始數據",$U71&lt;&gt;"連結 SRC"),1,0)</f>
        <v>0</v>
      </c>
      <c r="W71" s="103" t="n">
        <f aca="false">IF(AND($F71="Analogy",OR($H71="—",$H71="")),1,0)</f>
        <v>0</v>
      </c>
      <c r="X71" s="103" t="n">
        <f aca="false">IF(AND(OR($F71="Analogy",$F71="Assumed"),$G71&lt;&gt;"低",$G71&lt;&gt;"高",NOT(ISNUMBER($K71)),NOT(ISNUMBER($L71)),OR($M71="—",$M71="")),1,0)</f>
        <v>0</v>
      </c>
      <c r="Y71" s="103" t="n">
        <f aca="false">IF(AND(OR($F71="Analogy",$F71="Assumed",$F71="Derived（待改公式）",$F71="Derived（公式）"),OR($N71="—",$N71="",$N71=0)),1,0)</f>
        <v>0</v>
      </c>
      <c r="Z71" s="103" t="n">
        <f aca="false">IF(AND($F71="Decision",OR($J71="—",$J71="")),1,0)</f>
        <v>0</v>
      </c>
      <c r="AA71" s="84" t="n">
        <f aca="false">IF(OR($J71="—",$J71=""),0,IF(COUNTIF(Decisions!$A$5:$A$300,$J71)=0,1,0))</f>
        <v>0</v>
      </c>
      <c r="AB71" s="103" t="n">
        <f aca="false">IF(AND($F71="原始數據",$S71&lt;&gt;"Active"),1,0)</f>
        <v>0</v>
      </c>
      <c r="AC71" s="103" t="n">
        <f aca="false">IF(AND(ISNUMBER($K71),ISNUMBER($L71),ISNUMBER($Q71)),IF(OR($Q71&lt;MIN($K71,$L71),$Q71&gt;MAX($K71,$L71)),1,0),0)</f>
        <v>0</v>
      </c>
      <c r="AD71" s="103" t="n">
        <f aca="false">IF(AND(ISNUMBER($T71),$P71="高"),IF($T71=3,1,0),0)</f>
        <v>1</v>
      </c>
      <c r="AE71" s="103" t="n">
        <f aca="false">IF(AND($S71="不存在",$B71="切片一"),1,0)</f>
        <v>0</v>
      </c>
    </row>
    <row r="72" customFormat="false" ht="15" hidden="false" customHeight="false" outlineLevel="0" collapsed="false">
      <c r="A72" s="53" t="s">
        <v>2468</v>
      </c>
      <c r="B72" s="52" t="s">
        <v>2297</v>
      </c>
      <c r="C72" s="53" t="s">
        <v>2460</v>
      </c>
      <c r="D72" s="53" t="s">
        <v>2469</v>
      </c>
      <c r="E72" s="6" t="s">
        <v>147</v>
      </c>
      <c r="F72" s="52" t="s">
        <v>2337</v>
      </c>
      <c r="G72" s="52" t="s">
        <v>2299</v>
      </c>
      <c r="H72" s="53" t="s">
        <v>2466</v>
      </c>
      <c r="I72" s="5" t="s">
        <v>2339</v>
      </c>
      <c r="J72" s="53" t="s">
        <v>554</v>
      </c>
      <c r="K72" s="52"/>
      <c r="L72" s="52"/>
      <c r="M72" s="53" t="s">
        <v>554</v>
      </c>
      <c r="N72" s="5" t="s">
        <v>2340</v>
      </c>
      <c r="O72" s="6" t="s">
        <v>554</v>
      </c>
      <c r="P72" s="52" t="s">
        <v>1079</v>
      </c>
      <c r="Q72" s="54" t="n">
        <f aca="false">Spec_Rack!F6</f>
        <v>72</v>
      </c>
      <c r="R72" s="83" t="n">
        <f aca="false">SRC_HW_047</f>
        <v>72</v>
      </c>
      <c r="S72" s="83" t="str">
        <f aca="false">IF(OR($H72="—",$H72=""),"—",IF(ISNUMBER(MATCH($H72,SRC_HW!$A$5:$A$400,0)),INDEX(SRC_HW!$O$5:$O$400,MATCH($H72,SRC_HW!$A$5:$A$400,0)),IF(ISNUMBER(MATCH($H72,SRC_DC!$A$5:$A$400,0)),INDEX(SRC_DC!$O$5:$O$400,MATCH($H72,SRC_DC!$A$5:$A$400,0)),IF(ISNUMBER(MATCH($H72,SRC_Model!$A$5:$A$400,0)),INDEX(SRC_Model!$O$5:$O$400,MATCH($H72,SRC_Model!$A$5:$A$400,0)),IF(ISNUMBER(MATCH($H72,SRC_Perf!$A$5:$A$400,0)),INDEX(SRC_Perf!$O$5:$O$400,MATCH($H72,SRC_Perf!$A$5:$A$400,0)),"不存在")))))</f>
        <v>Active</v>
      </c>
      <c r="T72" s="83" t="n">
        <f aca="false">IF(OR($H72="—",$H72=""),"—",IF(ISNUMBER(MATCH($H72,SRC_HW!$A$5:$A$400,0)),INDEX(SRC_HW!$K$5:$K$400,MATCH($H72,SRC_HW!$A$5:$A$400,0)),IF(ISNUMBER(MATCH($H72,SRC_DC!$A$5:$A$400,0)),INDEX(SRC_DC!$K$5:$K$400,MATCH($H72,SRC_DC!$A$5:$A$400,0)),IF(ISNUMBER(MATCH($H72,SRC_Model!$A$5:$A$400,0)),INDEX(SRC_Model!$K$5:$K$400,MATCH($H72,SRC_Model!$A$5:$A$400,0)),IF(ISNUMBER(MATCH($H72,SRC_Perf!$A$5:$A$400,0)),INDEX(SRC_Perf!$K$5:$K$400,MATCH($H72,SRC_Perf!$A$5:$A$400,0)),"不存在")))))</f>
        <v>3</v>
      </c>
      <c r="U72" s="52" t="s">
        <v>2341</v>
      </c>
      <c r="V72" s="103" t="n">
        <f aca="false">IF(AND($F72="原始數據",$U72&lt;&gt;"連結 SRC"),1,0)</f>
        <v>0</v>
      </c>
      <c r="W72" s="103" t="n">
        <f aca="false">IF(AND($F72="Analogy",OR($H72="—",$H72="")),1,0)</f>
        <v>0</v>
      </c>
      <c r="X72" s="103" t="n">
        <f aca="false">IF(AND(OR($F72="Analogy",$F72="Assumed"),$G72&lt;&gt;"低",$G72&lt;&gt;"高",NOT(ISNUMBER($K72)),NOT(ISNUMBER($L72)),OR($M72="—",$M72="")),1,0)</f>
        <v>0</v>
      </c>
      <c r="Y72" s="103" t="n">
        <f aca="false">IF(AND(OR($F72="Analogy",$F72="Assumed",$F72="Derived（待改公式）",$F72="Derived（公式）"),OR($N72="—",$N72="",$N72=0)),1,0)</f>
        <v>0</v>
      </c>
      <c r="Z72" s="103" t="n">
        <f aca="false">IF(AND($F72="Decision",OR($J72="—",$J72="")),1,0)</f>
        <v>0</v>
      </c>
      <c r="AA72" s="84" t="n">
        <f aca="false">IF(OR($J72="—",$J72=""),0,IF(COUNTIF(Decisions!$A$5:$A$300,$J72)=0,1,0))</f>
        <v>0</v>
      </c>
      <c r="AB72" s="103" t="n">
        <f aca="false">IF(AND($F72="原始數據",$S72&lt;&gt;"Active"),1,0)</f>
        <v>0</v>
      </c>
      <c r="AC72" s="103" t="n">
        <f aca="false">IF(AND(ISNUMBER($K72),ISNUMBER($L72),ISNUMBER($Q72)),IF(OR($Q72&lt;MIN($K72,$L72),$Q72&gt;MAX($K72,$L72)),1,0),0)</f>
        <v>0</v>
      </c>
      <c r="AD72" s="103" t="n">
        <f aca="false">IF(AND(ISNUMBER($T72),$P72="高"),IF($T72=3,1,0),0)</f>
        <v>1</v>
      </c>
      <c r="AE72" s="103" t="n">
        <f aca="false">IF(AND($S72="不存在",$B72="切片一"),1,0)</f>
        <v>0</v>
      </c>
    </row>
    <row r="73" customFormat="false" ht="15" hidden="false" customHeight="false" outlineLevel="0" collapsed="false">
      <c r="A73" s="53" t="s">
        <v>2470</v>
      </c>
      <c r="B73" s="52" t="s">
        <v>2297</v>
      </c>
      <c r="C73" s="53" t="s">
        <v>2460</v>
      </c>
      <c r="D73" s="53" t="s">
        <v>2471</v>
      </c>
      <c r="E73" s="6" t="s">
        <v>147</v>
      </c>
      <c r="F73" s="52" t="s">
        <v>2337</v>
      </c>
      <c r="G73" s="52" t="s">
        <v>2299</v>
      </c>
      <c r="H73" s="53" t="s">
        <v>2472</v>
      </c>
      <c r="I73" s="5" t="s">
        <v>2339</v>
      </c>
      <c r="J73" s="53" t="s">
        <v>554</v>
      </c>
      <c r="K73" s="52"/>
      <c r="L73" s="52"/>
      <c r="M73" s="53" t="s">
        <v>554</v>
      </c>
      <c r="N73" s="5" t="s">
        <v>2340</v>
      </c>
      <c r="O73" s="6" t="s">
        <v>554</v>
      </c>
      <c r="P73" s="52" t="s">
        <v>1079</v>
      </c>
      <c r="Q73" s="54" t="n">
        <f aca="false">Spec_Rack!G6</f>
        <v>144</v>
      </c>
      <c r="R73" s="83" t="n">
        <f aca="false">SRC_HW_054</f>
        <v>144</v>
      </c>
      <c r="S73" s="83" t="str">
        <f aca="false">IF(OR($H73="—",$H73=""),"—",IF(ISNUMBER(MATCH($H73,SRC_HW!$A$5:$A$400,0)),INDEX(SRC_HW!$O$5:$O$400,MATCH($H73,SRC_HW!$A$5:$A$400,0)),IF(ISNUMBER(MATCH($H73,SRC_DC!$A$5:$A$400,0)),INDEX(SRC_DC!$O$5:$O$400,MATCH($H73,SRC_DC!$A$5:$A$400,0)),IF(ISNUMBER(MATCH($H73,SRC_Model!$A$5:$A$400,0)),INDEX(SRC_Model!$O$5:$O$400,MATCH($H73,SRC_Model!$A$5:$A$400,0)),IF(ISNUMBER(MATCH($H73,SRC_Perf!$A$5:$A$400,0)),INDEX(SRC_Perf!$O$5:$O$400,MATCH($H73,SRC_Perf!$A$5:$A$400,0)),"不存在")))))</f>
        <v>Active</v>
      </c>
      <c r="T73" s="83" t="n">
        <f aca="false">IF(OR($H73="—",$H73=""),"—",IF(ISNUMBER(MATCH($H73,SRC_HW!$A$5:$A$400,0)),INDEX(SRC_HW!$K$5:$K$400,MATCH($H73,SRC_HW!$A$5:$A$400,0)),IF(ISNUMBER(MATCH($H73,SRC_DC!$A$5:$A$400,0)),INDEX(SRC_DC!$K$5:$K$400,MATCH($H73,SRC_DC!$A$5:$A$400,0)),IF(ISNUMBER(MATCH($H73,SRC_Model!$A$5:$A$400,0)),INDEX(SRC_Model!$K$5:$K$400,MATCH($H73,SRC_Model!$A$5:$A$400,0)),IF(ISNUMBER(MATCH($H73,SRC_Perf!$A$5:$A$400,0)),INDEX(SRC_Perf!$K$5:$K$400,MATCH($H73,SRC_Perf!$A$5:$A$400,0)),"不存在")))))</f>
        <v>3</v>
      </c>
      <c r="U73" s="52" t="s">
        <v>2341</v>
      </c>
      <c r="V73" s="103" t="n">
        <f aca="false">IF(AND($F73="原始數據",$U73&lt;&gt;"連結 SRC"),1,0)</f>
        <v>0</v>
      </c>
      <c r="W73" s="103" t="n">
        <f aca="false">IF(AND($F73="Analogy",OR($H73="—",$H73="")),1,0)</f>
        <v>0</v>
      </c>
      <c r="X73" s="103" t="n">
        <f aca="false">IF(AND(OR($F73="Analogy",$F73="Assumed"),$G73&lt;&gt;"低",$G73&lt;&gt;"高",NOT(ISNUMBER($K73)),NOT(ISNUMBER($L73)),OR($M73="—",$M73="")),1,0)</f>
        <v>0</v>
      </c>
      <c r="Y73" s="103" t="n">
        <f aca="false">IF(AND(OR($F73="Analogy",$F73="Assumed",$F73="Derived（待改公式）",$F73="Derived（公式）"),OR($N73="—",$N73="",$N73=0)),1,0)</f>
        <v>0</v>
      </c>
      <c r="Z73" s="103" t="n">
        <f aca="false">IF(AND($F73="Decision",OR($J73="—",$J73="")),1,0)</f>
        <v>0</v>
      </c>
      <c r="AA73" s="84" t="n">
        <f aca="false">IF(OR($J73="—",$J73=""),0,IF(COUNTIF(Decisions!$A$5:$A$300,$J73)=0,1,0))</f>
        <v>0</v>
      </c>
      <c r="AB73" s="103" t="n">
        <f aca="false">IF(AND($F73="原始數據",$S73&lt;&gt;"Active"),1,0)</f>
        <v>0</v>
      </c>
      <c r="AC73" s="103" t="n">
        <f aca="false">IF(AND(ISNUMBER($K73),ISNUMBER($L73),ISNUMBER($Q73)),IF(OR($Q73&lt;MIN($K73,$L73),$Q73&gt;MAX($K73,$L73)),1,0),0)</f>
        <v>0</v>
      </c>
      <c r="AD73" s="103" t="n">
        <f aca="false">IF(AND(ISNUMBER($T73),$P73="高"),IF($T73=3,1,0),0)</f>
        <v>1</v>
      </c>
      <c r="AE73" s="103" t="n">
        <f aca="false">IF(AND($S73="不存在",$B73="切片一"),1,0)</f>
        <v>0</v>
      </c>
    </row>
    <row r="74" customFormat="false" ht="29.85" hidden="false" customHeight="false" outlineLevel="0" collapsed="false">
      <c r="A74" s="53" t="s">
        <v>2473</v>
      </c>
      <c r="B74" s="52" t="s">
        <v>2297</v>
      </c>
      <c r="C74" s="53" t="s">
        <v>2460</v>
      </c>
      <c r="D74" s="53" t="s">
        <v>2474</v>
      </c>
      <c r="E74" s="5" t="s">
        <v>2475</v>
      </c>
      <c r="F74" s="53" t="s">
        <v>70</v>
      </c>
      <c r="G74" s="52" t="s">
        <v>1078</v>
      </c>
      <c r="H74" s="53" t="s">
        <v>554</v>
      </c>
      <c r="I74" s="6" t="s">
        <v>554</v>
      </c>
      <c r="J74" s="53" t="s">
        <v>554</v>
      </c>
      <c r="K74" s="52"/>
      <c r="L74" s="52"/>
      <c r="M74" s="53" t="s">
        <v>554</v>
      </c>
      <c r="N74" s="6" t="s">
        <v>2476</v>
      </c>
      <c r="O74" s="6" t="s">
        <v>554</v>
      </c>
      <c r="P74" s="52" t="s">
        <v>2307</v>
      </c>
      <c r="Q74" s="54" t="n">
        <f aca="false">Spec_Rack!C8</f>
        <v>38</v>
      </c>
      <c r="R74" s="53" t="s">
        <v>554</v>
      </c>
      <c r="S74" s="83" t="str">
        <f aca="false">IF(OR($H74="—",$H74=""),"—",IF(ISNUMBER(MATCH($H74,SRC_HW!$A$5:$A$400,0)),INDEX(SRC_HW!$O$5:$O$400,MATCH($H74,SRC_HW!$A$5:$A$400,0)),IF(ISNUMBER(MATCH($H74,SRC_DC!$A$5:$A$400,0)),INDEX(SRC_DC!$O$5:$O$400,MATCH($H74,SRC_DC!$A$5:$A$400,0)),IF(ISNUMBER(MATCH($H74,SRC_Model!$A$5:$A$400,0)),INDEX(SRC_Model!$O$5:$O$400,MATCH($H74,SRC_Model!$A$5:$A$400,0)),IF(ISNUMBER(MATCH($H74,SRC_Perf!$A$5:$A$400,0)),INDEX(SRC_Perf!$O$5:$O$400,MATCH($H74,SRC_Perf!$A$5:$A$400,0)),"不存在")))))</f>
        <v>—</v>
      </c>
      <c r="T74" s="83" t="str">
        <f aca="false">IF(OR($H74="—",$H74=""),"—",IF(ISNUMBER(MATCH($H74,SRC_HW!$A$5:$A$400,0)),INDEX(SRC_HW!$K$5:$K$400,MATCH($H74,SRC_HW!$A$5:$A$400,0)),IF(ISNUMBER(MATCH($H74,SRC_DC!$A$5:$A$400,0)),INDEX(SRC_DC!$K$5:$K$400,MATCH($H74,SRC_DC!$A$5:$A$400,0)),IF(ISNUMBER(MATCH($H74,SRC_Model!$A$5:$A$400,0)),INDEX(SRC_Model!$K$5:$K$400,MATCH($H74,SRC_Model!$A$5:$A$400,0)),IF(ISNUMBER(MATCH($H74,SRC_Perf!$A$5:$A$400,0)),INDEX(SRC_Perf!$K$5:$K$400,MATCH($H74,SRC_Perf!$A$5:$A$400,0)),"不存在")))))</f>
        <v>—</v>
      </c>
      <c r="U74" s="52" t="s">
        <v>2302</v>
      </c>
      <c r="V74" s="103" t="n">
        <f aca="false">IF(AND($F74="原始數據",$U74&lt;&gt;"連結 SRC"),1,0)</f>
        <v>0</v>
      </c>
      <c r="W74" s="103" t="n">
        <f aca="false">IF(AND($F74="Analogy",OR($H74="—",$H74="")),1,0)</f>
        <v>0</v>
      </c>
      <c r="X74" s="103" t="n">
        <f aca="false">IF(AND(OR($F74="Analogy",$F74="Assumed"),$G74&lt;&gt;"低",$G74&lt;&gt;"高",NOT(ISNUMBER($K74)),NOT(ISNUMBER($L74)),OR($M74="—",$M74="")),1,0)</f>
        <v>0</v>
      </c>
      <c r="Y74" s="103" t="n">
        <f aca="false">IF(AND(OR($F74="Analogy",$F74="Assumed",$F74="Derived（待改公式）",$F74="Derived（公式）"),OR($N74="—",$N74="",$N74=0)),1,0)</f>
        <v>0</v>
      </c>
      <c r="Z74" s="103" t="n">
        <f aca="false">IF(AND($F74="Decision",OR($J74="—",$J74="")),1,0)</f>
        <v>0</v>
      </c>
      <c r="AA74" s="84" t="n">
        <f aca="false">IF(OR($J74="—",$J74=""),0,IF(COUNTIF(Decisions!$A$5:$A$300,$J74)=0,1,0))</f>
        <v>0</v>
      </c>
      <c r="AB74" s="103" t="n">
        <f aca="false">IF(AND($F74="原始數據",$S74&lt;&gt;"Active"),1,0)</f>
        <v>0</v>
      </c>
      <c r="AC74" s="103" t="n">
        <f aca="false">IF(AND(ISNUMBER($K74),ISNUMBER($L74),ISNUMBER($Q74)),IF(OR($Q74&lt;MIN($K74,$L74),$Q74&gt;MAX($K74,$L74)),1,0),0)</f>
        <v>0</v>
      </c>
      <c r="AD74" s="103" t="n">
        <f aca="false">IF(AND(ISNUMBER($T74),$P74="高"),IF($T74=3,1,0),0)</f>
        <v>0</v>
      </c>
      <c r="AE74" s="103" t="n">
        <f aca="false">IF(AND($S74="不存在",$B74="切片一"),1,0)</f>
        <v>0</v>
      </c>
    </row>
    <row r="75" customFormat="false" ht="15" hidden="false" customHeight="false" outlineLevel="0" collapsed="false">
      <c r="A75" s="53" t="s">
        <v>2477</v>
      </c>
      <c r="B75" s="52" t="s">
        <v>2297</v>
      </c>
      <c r="C75" s="53" t="s">
        <v>2460</v>
      </c>
      <c r="D75" s="53" t="s">
        <v>2478</v>
      </c>
      <c r="E75" s="5" t="s">
        <v>2475</v>
      </c>
      <c r="F75" s="52" t="s">
        <v>2337</v>
      </c>
      <c r="G75" s="52" t="s">
        <v>2299</v>
      </c>
      <c r="H75" s="53" t="s">
        <v>2479</v>
      </c>
      <c r="I75" s="5" t="s">
        <v>2339</v>
      </c>
      <c r="J75" s="53" t="s">
        <v>554</v>
      </c>
      <c r="K75" s="52"/>
      <c r="L75" s="52"/>
      <c r="M75" s="53" t="s">
        <v>554</v>
      </c>
      <c r="N75" s="5" t="s">
        <v>2340</v>
      </c>
      <c r="O75" s="6" t="s">
        <v>554</v>
      </c>
      <c r="P75" s="52" t="s">
        <v>2307</v>
      </c>
      <c r="Q75" s="54" t="n">
        <f aca="false">Spec_Rack!D8</f>
        <v>120</v>
      </c>
      <c r="R75" s="83" t="n">
        <f aca="false">SRC_HW_004_Lo</f>
        <v>120</v>
      </c>
      <c r="S75" s="83" t="str">
        <f aca="false">IF(OR($H75="—",$H75=""),"—",IF(ISNUMBER(MATCH($H75,SRC_HW!$A$5:$A$400,0)),INDEX(SRC_HW!$O$5:$O$400,MATCH($H75,SRC_HW!$A$5:$A$400,0)),IF(ISNUMBER(MATCH($H75,SRC_DC!$A$5:$A$400,0)),INDEX(SRC_DC!$O$5:$O$400,MATCH($H75,SRC_DC!$A$5:$A$400,0)),IF(ISNUMBER(MATCH($H75,SRC_Model!$A$5:$A$400,0)),INDEX(SRC_Model!$O$5:$O$400,MATCH($H75,SRC_Model!$A$5:$A$400,0)),IF(ISNUMBER(MATCH($H75,SRC_Perf!$A$5:$A$400,0)),INDEX(SRC_Perf!$O$5:$O$400,MATCH($H75,SRC_Perf!$A$5:$A$400,0)),"不存在")))))</f>
        <v>Active</v>
      </c>
      <c r="T75" s="83" t="n">
        <f aca="false">IF(OR($H75="—",$H75=""),"—",IF(ISNUMBER(MATCH($H75,SRC_HW!$A$5:$A$400,0)),INDEX(SRC_HW!$K$5:$K$400,MATCH($H75,SRC_HW!$A$5:$A$400,0)),IF(ISNUMBER(MATCH($H75,SRC_DC!$A$5:$A$400,0)),INDEX(SRC_DC!$K$5:$K$400,MATCH($H75,SRC_DC!$A$5:$A$400,0)),IF(ISNUMBER(MATCH($H75,SRC_Model!$A$5:$A$400,0)),INDEX(SRC_Model!$K$5:$K$400,MATCH($H75,SRC_Model!$A$5:$A$400,0)),IF(ISNUMBER(MATCH($H75,SRC_Perf!$A$5:$A$400,0)),INDEX(SRC_Perf!$K$5:$K$400,MATCH($H75,SRC_Perf!$A$5:$A$400,0)),"不存在")))))</f>
        <v>3</v>
      </c>
      <c r="U75" s="52" t="s">
        <v>2341</v>
      </c>
      <c r="V75" s="103" t="n">
        <f aca="false">IF(AND($F75="原始數據",$U75&lt;&gt;"連結 SRC"),1,0)</f>
        <v>0</v>
      </c>
      <c r="W75" s="103" t="n">
        <f aca="false">IF(AND($F75="Analogy",OR($H75="—",$H75="")),1,0)</f>
        <v>0</v>
      </c>
      <c r="X75" s="103" t="n">
        <f aca="false">IF(AND(OR($F75="Analogy",$F75="Assumed"),$G75&lt;&gt;"低",$G75&lt;&gt;"高",NOT(ISNUMBER($K75)),NOT(ISNUMBER($L75)),OR($M75="—",$M75="")),1,0)</f>
        <v>0</v>
      </c>
      <c r="Y75" s="103" t="n">
        <f aca="false">IF(AND(OR($F75="Analogy",$F75="Assumed",$F75="Derived（待改公式）",$F75="Derived（公式）"),OR($N75="—",$N75="",$N75=0)),1,0)</f>
        <v>0</v>
      </c>
      <c r="Z75" s="103" t="n">
        <f aca="false">IF(AND($F75="Decision",OR($J75="—",$J75="")),1,0)</f>
        <v>0</v>
      </c>
      <c r="AA75" s="84" t="n">
        <f aca="false">IF(OR($J75="—",$J75=""),0,IF(COUNTIF(Decisions!$A$5:$A$300,$J75)=0,1,0))</f>
        <v>0</v>
      </c>
      <c r="AB75" s="103" t="n">
        <f aca="false">IF(AND($F75="原始數據",$S75&lt;&gt;"Active"),1,0)</f>
        <v>0</v>
      </c>
      <c r="AC75" s="103" t="n">
        <f aca="false">IF(AND(ISNUMBER($K75),ISNUMBER($L75),ISNUMBER($Q75)),IF(OR($Q75&lt;MIN($K75,$L75),$Q75&gt;MAX($K75,$L75)),1,0),0)</f>
        <v>0</v>
      </c>
      <c r="AD75" s="103" t="n">
        <f aca="false">IF(AND(ISNUMBER($T75),$P75="高"),IF($T75=3,1,0),0)</f>
        <v>0</v>
      </c>
      <c r="AE75" s="103" t="n">
        <f aca="false">IF(AND($S75="不存在",$B75="切片一"),1,0)</f>
        <v>0</v>
      </c>
    </row>
    <row r="76" customFormat="false" ht="15" hidden="false" customHeight="false" outlineLevel="0" collapsed="false">
      <c r="A76" s="53" t="s">
        <v>2480</v>
      </c>
      <c r="B76" s="52" t="s">
        <v>2297</v>
      </c>
      <c r="C76" s="53" t="s">
        <v>2460</v>
      </c>
      <c r="D76" s="53" t="s">
        <v>2219</v>
      </c>
      <c r="E76" s="5" t="s">
        <v>2475</v>
      </c>
      <c r="F76" s="52" t="s">
        <v>2337</v>
      </c>
      <c r="G76" s="52" t="s">
        <v>2299</v>
      </c>
      <c r="H76" s="53" t="s">
        <v>2481</v>
      </c>
      <c r="I76" s="5" t="s">
        <v>2339</v>
      </c>
      <c r="J76" s="53" t="s">
        <v>554</v>
      </c>
      <c r="K76" s="52"/>
      <c r="L76" s="52"/>
      <c r="M76" s="53" t="s">
        <v>554</v>
      </c>
      <c r="N76" s="5" t="s">
        <v>2340</v>
      </c>
      <c r="O76" s="6" t="s">
        <v>554</v>
      </c>
      <c r="P76" s="52" t="s">
        <v>2307</v>
      </c>
      <c r="Q76" s="54" t="n">
        <f aca="false">Spec_Rack!E8</f>
        <v>132</v>
      </c>
      <c r="R76" s="83" t="n">
        <f aca="false">SRC_HW_005_Lo</f>
        <v>132</v>
      </c>
      <c r="S76" s="83" t="str">
        <f aca="false">IF(OR($H76="—",$H76=""),"—",IF(ISNUMBER(MATCH($H76,SRC_HW!$A$5:$A$400,0)),INDEX(SRC_HW!$O$5:$O$400,MATCH($H76,SRC_HW!$A$5:$A$400,0)),IF(ISNUMBER(MATCH($H76,SRC_DC!$A$5:$A$400,0)),INDEX(SRC_DC!$O$5:$O$400,MATCH($H76,SRC_DC!$A$5:$A$400,0)),IF(ISNUMBER(MATCH($H76,SRC_Model!$A$5:$A$400,0)),INDEX(SRC_Model!$O$5:$O$400,MATCH($H76,SRC_Model!$A$5:$A$400,0)),IF(ISNUMBER(MATCH($H76,SRC_Perf!$A$5:$A$400,0)),INDEX(SRC_Perf!$O$5:$O$400,MATCH($H76,SRC_Perf!$A$5:$A$400,0)),"不存在")))))</f>
        <v>Active</v>
      </c>
      <c r="T76" s="83" t="n">
        <f aca="false">IF(OR($H76="—",$H76=""),"—",IF(ISNUMBER(MATCH($H76,SRC_HW!$A$5:$A$400,0)),INDEX(SRC_HW!$K$5:$K$400,MATCH($H76,SRC_HW!$A$5:$A$400,0)),IF(ISNUMBER(MATCH($H76,SRC_DC!$A$5:$A$400,0)),INDEX(SRC_DC!$K$5:$K$400,MATCH($H76,SRC_DC!$A$5:$A$400,0)),IF(ISNUMBER(MATCH($H76,SRC_Model!$A$5:$A$400,0)),INDEX(SRC_Model!$K$5:$K$400,MATCH($H76,SRC_Model!$A$5:$A$400,0)),IF(ISNUMBER(MATCH($H76,SRC_Perf!$A$5:$A$400,0)),INDEX(SRC_Perf!$K$5:$K$400,MATCH($H76,SRC_Perf!$A$5:$A$400,0)),"不存在")))))</f>
        <v>3</v>
      </c>
      <c r="U76" s="52" t="s">
        <v>2341</v>
      </c>
      <c r="V76" s="103" t="n">
        <f aca="false">IF(AND($F76="原始數據",$U76&lt;&gt;"連結 SRC"),1,0)</f>
        <v>0</v>
      </c>
      <c r="W76" s="103" t="n">
        <f aca="false">IF(AND($F76="Analogy",OR($H76="—",$H76="")),1,0)</f>
        <v>0</v>
      </c>
      <c r="X76" s="103" t="n">
        <f aca="false">IF(AND(OR($F76="Analogy",$F76="Assumed"),$G76&lt;&gt;"低",$G76&lt;&gt;"高",NOT(ISNUMBER($K76)),NOT(ISNUMBER($L76)),OR($M76="—",$M76="")),1,0)</f>
        <v>0</v>
      </c>
      <c r="Y76" s="103" t="n">
        <f aca="false">IF(AND(OR($F76="Analogy",$F76="Assumed",$F76="Derived（待改公式）",$F76="Derived（公式）"),OR($N76="—",$N76="",$N76=0)),1,0)</f>
        <v>0</v>
      </c>
      <c r="Z76" s="103" t="n">
        <f aca="false">IF(AND($F76="Decision",OR($J76="—",$J76="")),1,0)</f>
        <v>0</v>
      </c>
      <c r="AA76" s="84" t="n">
        <f aca="false">IF(OR($J76="—",$J76=""),0,IF(COUNTIF(Decisions!$A$5:$A$300,$J76)=0,1,0))</f>
        <v>0</v>
      </c>
      <c r="AB76" s="103" t="n">
        <f aca="false">IF(AND($F76="原始數據",$S76&lt;&gt;"Active"),1,0)</f>
        <v>0</v>
      </c>
      <c r="AC76" s="103" t="n">
        <f aca="false">IF(AND(ISNUMBER($K76),ISNUMBER($L76),ISNUMBER($Q76)),IF(OR($Q76&lt;MIN($K76,$L76),$Q76&gt;MAX($K76,$L76)),1,0),0)</f>
        <v>0</v>
      </c>
      <c r="AD76" s="103" t="n">
        <f aca="false">IF(AND(ISNUMBER($T76),$P76="高"),IF($T76=3,1,0),0)</f>
        <v>0</v>
      </c>
      <c r="AE76" s="103" t="n">
        <f aca="false">IF(AND($S76="不存在",$B76="切片一"),1,0)</f>
        <v>0</v>
      </c>
    </row>
    <row r="77" customFormat="false" ht="15" hidden="false" customHeight="false" outlineLevel="0" collapsed="false">
      <c r="A77" s="53" t="s">
        <v>2482</v>
      </c>
      <c r="B77" s="52" t="s">
        <v>2297</v>
      </c>
      <c r="C77" s="53" t="s">
        <v>2460</v>
      </c>
      <c r="D77" s="53" t="s">
        <v>2483</v>
      </c>
      <c r="E77" s="5" t="s">
        <v>2475</v>
      </c>
      <c r="F77" s="52" t="s">
        <v>2337</v>
      </c>
      <c r="G77" s="52" t="s">
        <v>2299</v>
      </c>
      <c r="H77" s="53" t="s">
        <v>2484</v>
      </c>
      <c r="I77" s="5" t="s">
        <v>2339</v>
      </c>
      <c r="J77" s="53" t="s">
        <v>554</v>
      </c>
      <c r="K77" s="52"/>
      <c r="L77" s="52"/>
      <c r="M77" s="53" t="s">
        <v>554</v>
      </c>
      <c r="N77" s="5" t="s">
        <v>2340</v>
      </c>
      <c r="O77" s="6" t="s">
        <v>554</v>
      </c>
      <c r="P77" s="52" t="s">
        <v>2307</v>
      </c>
      <c r="Q77" s="54" t="n">
        <f aca="false">Spec_Rack!F8</f>
        <v>190</v>
      </c>
      <c r="R77" s="83" t="n">
        <f aca="false">SRC_HW_011</f>
        <v>190</v>
      </c>
      <c r="S77" s="83" t="str">
        <f aca="false">IF(OR($H77="—",$H77=""),"—",IF(ISNUMBER(MATCH($H77,SRC_HW!$A$5:$A$400,0)),INDEX(SRC_HW!$O$5:$O$400,MATCH($H77,SRC_HW!$A$5:$A$400,0)),IF(ISNUMBER(MATCH($H77,SRC_DC!$A$5:$A$400,0)),INDEX(SRC_DC!$O$5:$O$400,MATCH($H77,SRC_DC!$A$5:$A$400,0)),IF(ISNUMBER(MATCH($H77,SRC_Model!$A$5:$A$400,0)),INDEX(SRC_Model!$O$5:$O$400,MATCH($H77,SRC_Model!$A$5:$A$400,0)),IF(ISNUMBER(MATCH($H77,SRC_Perf!$A$5:$A$400,0)),INDEX(SRC_Perf!$O$5:$O$400,MATCH($H77,SRC_Perf!$A$5:$A$400,0)),"不存在")))))</f>
        <v>Active</v>
      </c>
      <c r="T77" s="83" t="n">
        <f aca="false">IF(OR($H77="—",$H77=""),"—",IF(ISNUMBER(MATCH($H77,SRC_HW!$A$5:$A$400,0)),INDEX(SRC_HW!$K$5:$K$400,MATCH($H77,SRC_HW!$A$5:$A$400,0)),IF(ISNUMBER(MATCH($H77,SRC_DC!$A$5:$A$400,0)),INDEX(SRC_DC!$K$5:$K$400,MATCH($H77,SRC_DC!$A$5:$A$400,0)),IF(ISNUMBER(MATCH($H77,SRC_Model!$A$5:$A$400,0)),INDEX(SRC_Model!$K$5:$K$400,MATCH($H77,SRC_Model!$A$5:$A$400,0)),IF(ISNUMBER(MATCH($H77,SRC_Perf!$A$5:$A$400,0)),INDEX(SRC_Perf!$K$5:$K$400,MATCH($H77,SRC_Perf!$A$5:$A$400,0)),"不存在")))))</f>
        <v>3</v>
      </c>
      <c r="U77" s="52" t="s">
        <v>2341</v>
      </c>
      <c r="V77" s="103" t="n">
        <f aca="false">IF(AND($F77="原始數據",$U77&lt;&gt;"連結 SRC"),1,0)</f>
        <v>0</v>
      </c>
      <c r="W77" s="103" t="n">
        <f aca="false">IF(AND($F77="Analogy",OR($H77="—",$H77="")),1,0)</f>
        <v>0</v>
      </c>
      <c r="X77" s="103" t="n">
        <f aca="false">IF(AND(OR($F77="Analogy",$F77="Assumed"),$G77&lt;&gt;"低",$G77&lt;&gt;"高",NOT(ISNUMBER($K77)),NOT(ISNUMBER($L77)),OR($M77="—",$M77="")),1,0)</f>
        <v>0</v>
      </c>
      <c r="Y77" s="103" t="n">
        <f aca="false">IF(AND(OR($F77="Analogy",$F77="Assumed",$F77="Derived（待改公式）",$F77="Derived（公式）"),OR($N77="—",$N77="",$N77=0)),1,0)</f>
        <v>0</v>
      </c>
      <c r="Z77" s="103" t="n">
        <f aca="false">IF(AND($F77="Decision",OR($J77="—",$J77="")),1,0)</f>
        <v>0</v>
      </c>
      <c r="AA77" s="84" t="n">
        <f aca="false">IF(OR($J77="—",$J77=""),0,IF(COUNTIF(Decisions!$A$5:$A$300,$J77)=0,1,0))</f>
        <v>0</v>
      </c>
      <c r="AB77" s="103" t="n">
        <f aca="false">IF(AND($F77="原始數據",$S77&lt;&gt;"Active"),1,0)</f>
        <v>0</v>
      </c>
      <c r="AC77" s="103" t="n">
        <f aca="false">IF(AND(ISNUMBER($K77),ISNUMBER($L77),ISNUMBER($Q77)),IF(OR($Q77&lt;MIN($K77,$L77),$Q77&gt;MAX($K77,$L77)),1,0),0)</f>
        <v>0</v>
      </c>
      <c r="AD77" s="103" t="n">
        <f aca="false">IF(AND(ISNUMBER($T77),$P77="高"),IF($T77=3,1,0),0)</f>
        <v>0</v>
      </c>
      <c r="AE77" s="103" t="n">
        <f aca="false">IF(AND($S77="不存在",$B77="切片一"),1,0)</f>
        <v>0</v>
      </c>
    </row>
    <row r="78" customFormat="false" ht="29.85" hidden="false" customHeight="false" outlineLevel="0" collapsed="false">
      <c r="A78" s="53" t="s">
        <v>2485</v>
      </c>
      <c r="B78" s="52" t="s">
        <v>2297</v>
      </c>
      <c r="C78" s="53" t="s">
        <v>2460</v>
      </c>
      <c r="D78" s="53" t="s">
        <v>2486</v>
      </c>
      <c r="E78" s="5" t="s">
        <v>2475</v>
      </c>
      <c r="F78" s="53" t="s">
        <v>70</v>
      </c>
      <c r="G78" s="52" t="s">
        <v>1078</v>
      </c>
      <c r="H78" s="53" t="s">
        <v>554</v>
      </c>
      <c r="I78" s="6" t="s">
        <v>554</v>
      </c>
      <c r="J78" s="53" t="s">
        <v>554</v>
      </c>
      <c r="K78" s="52"/>
      <c r="L78" s="52"/>
      <c r="M78" s="53" t="s">
        <v>554</v>
      </c>
      <c r="N78" s="6" t="s">
        <v>2487</v>
      </c>
      <c r="O78" s="6" t="s">
        <v>554</v>
      </c>
      <c r="P78" s="52" t="s">
        <v>2307</v>
      </c>
      <c r="Q78" s="54" t="n">
        <f aca="false">Spec_Rack!G8</f>
        <v>550</v>
      </c>
      <c r="R78" s="53" t="s">
        <v>554</v>
      </c>
      <c r="S78" s="83" t="str">
        <f aca="false">IF(OR($H78="—",$H78=""),"—",IF(ISNUMBER(MATCH($H78,SRC_HW!$A$5:$A$400,0)),INDEX(SRC_HW!$O$5:$O$400,MATCH($H78,SRC_HW!$A$5:$A$400,0)),IF(ISNUMBER(MATCH($H78,SRC_DC!$A$5:$A$400,0)),INDEX(SRC_DC!$O$5:$O$400,MATCH($H78,SRC_DC!$A$5:$A$400,0)),IF(ISNUMBER(MATCH($H78,SRC_Model!$A$5:$A$400,0)),INDEX(SRC_Model!$O$5:$O$400,MATCH($H78,SRC_Model!$A$5:$A$400,0)),IF(ISNUMBER(MATCH($H78,SRC_Perf!$A$5:$A$400,0)),INDEX(SRC_Perf!$O$5:$O$400,MATCH($H78,SRC_Perf!$A$5:$A$400,0)),"不存在")))))</f>
        <v>—</v>
      </c>
      <c r="T78" s="83" t="str">
        <f aca="false">IF(OR($H78="—",$H78=""),"—",IF(ISNUMBER(MATCH($H78,SRC_HW!$A$5:$A$400,0)),INDEX(SRC_HW!$K$5:$K$400,MATCH($H78,SRC_HW!$A$5:$A$400,0)),IF(ISNUMBER(MATCH($H78,SRC_DC!$A$5:$A$400,0)),INDEX(SRC_DC!$K$5:$K$400,MATCH($H78,SRC_DC!$A$5:$A$400,0)),IF(ISNUMBER(MATCH($H78,SRC_Model!$A$5:$A$400,0)),INDEX(SRC_Model!$K$5:$K$400,MATCH($H78,SRC_Model!$A$5:$A$400,0)),IF(ISNUMBER(MATCH($H78,SRC_Perf!$A$5:$A$400,0)),INDEX(SRC_Perf!$K$5:$K$400,MATCH($H78,SRC_Perf!$A$5:$A$400,0)),"不存在")))))</f>
        <v>—</v>
      </c>
      <c r="U78" s="52" t="s">
        <v>2302</v>
      </c>
      <c r="V78" s="103" t="n">
        <f aca="false">IF(AND($F78="原始數據",$U78&lt;&gt;"連結 SRC"),1,0)</f>
        <v>0</v>
      </c>
      <c r="W78" s="103" t="n">
        <f aca="false">IF(AND($F78="Analogy",OR($H78="—",$H78="")),1,0)</f>
        <v>0</v>
      </c>
      <c r="X78" s="103" t="n">
        <f aca="false">IF(AND(OR($F78="Analogy",$F78="Assumed"),$G78&lt;&gt;"低",$G78&lt;&gt;"高",NOT(ISNUMBER($K78)),NOT(ISNUMBER($L78)),OR($M78="—",$M78="")),1,0)</f>
        <v>0</v>
      </c>
      <c r="Y78" s="103" t="n">
        <f aca="false">IF(AND(OR($F78="Analogy",$F78="Assumed",$F78="Derived（待改公式）",$F78="Derived（公式）"),OR($N78="—",$N78="",$N78=0)),1,0)</f>
        <v>0</v>
      </c>
      <c r="Z78" s="103" t="n">
        <f aca="false">IF(AND($F78="Decision",OR($J78="—",$J78="")),1,0)</f>
        <v>0</v>
      </c>
      <c r="AA78" s="84" t="n">
        <f aca="false">IF(OR($J78="—",$J78=""),0,IF(COUNTIF(Decisions!$A$5:$A$300,$J78)=0,1,0))</f>
        <v>0</v>
      </c>
      <c r="AB78" s="103" t="n">
        <f aca="false">IF(AND($F78="原始數據",$S78&lt;&gt;"Active"),1,0)</f>
        <v>0</v>
      </c>
      <c r="AC78" s="103" t="n">
        <f aca="false">IF(AND(ISNUMBER($K78),ISNUMBER($L78),ISNUMBER($Q78)),IF(OR($Q78&lt;MIN($K78,$L78),$Q78&gt;MAX($K78,$L78)),1,0),0)</f>
        <v>0</v>
      </c>
      <c r="AD78" s="103" t="n">
        <f aca="false">IF(AND(ISNUMBER($T78),$P78="高"),IF($T78=3,1,0),0)</f>
        <v>0</v>
      </c>
      <c r="AE78" s="103" t="n">
        <f aca="false">IF(AND($S78="不存在",$B78="切片一"),1,0)</f>
        <v>0</v>
      </c>
    </row>
    <row r="79" customFormat="false" ht="44" hidden="false" customHeight="false" outlineLevel="0" collapsed="false">
      <c r="A79" s="53" t="s">
        <v>2488</v>
      </c>
      <c r="B79" s="52" t="s">
        <v>2297</v>
      </c>
      <c r="C79" s="53" t="s">
        <v>2460</v>
      </c>
      <c r="D79" s="53" t="s">
        <v>2489</v>
      </c>
      <c r="E79" s="5" t="s">
        <v>2490</v>
      </c>
      <c r="F79" s="52" t="s">
        <v>2491</v>
      </c>
      <c r="G79" s="52" t="s">
        <v>55</v>
      </c>
      <c r="H79" s="53" t="s">
        <v>2492</v>
      </c>
      <c r="I79" s="5" t="s">
        <v>2493</v>
      </c>
      <c r="J79" s="53" t="s">
        <v>554</v>
      </c>
      <c r="K79" s="54" t="n">
        <f aca="false">Spec_Rack!C8</f>
        <v>38</v>
      </c>
      <c r="L79" s="54" t="n">
        <f aca="false">Spec_Rack!C10</f>
        <v>44</v>
      </c>
      <c r="M79" s="53" t="s">
        <v>554</v>
      </c>
      <c r="N79" s="5" t="s">
        <v>2494</v>
      </c>
      <c r="O79" s="6" t="s">
        <v>554</v>
      </c>
      <c r="P79" s="52" t="s">
        <v>1079</v>
      </c>
      <c r="Q79" s="54" t="n">
        <f aca="false">Spec_Rack!C9</f>
        <v>41</v>
      </c>
      <c r="R79" s="83" t="n">
        <f aca="false">SRC_HW_001</f>
        <v>10.2</v>
      </c>
      <c r="S79" s="83" t="str">
        <f aca="false">IF(OR($H79="—",$H79=""),"—",IF(ISNUMBER(MATCH($H79,SRC_HW!$A$5:$A$400,0)),INDEX(SRC_HW!$O$5:$O$400,MATCH($H79,SRC_HW!$A$5:$A$400,0)),IF(ISNUMBER(MATCH($H79,SRC_DC!$A$5:$A$400,0)),INDEX(SRC_DC!$O$5:$O$400,MATCH($H79,SRC_DC!$A$5:$A$400,0)),IF(ISNUMBER(MATCH($H79,SRC_Model!$A$5:$A$400,0)),INDEX(SRC_Model!$O$5:$O$400,MATCH($H79,SRC_Model!$A$5:$A$400,0)),IF(ISNUMBER(MATCH($H79,SRC_Perf!$A$5:$A$400,0)),INDEX(SRC_Perf!$O$5:$O$400,MATCH($H79,SRC_Perf!$A$5:$A$400,0)),"不存在")))))</f>
        <v>Active</v>
      </c>
      <c r="T79" s="83" t="n">
        <f aca="false">IF(OR($H79="—",$H79=""),"—",IF(ISNUMBER(MATCH($H79,SRC_HW!$A$5:$A$400,0)),INDEX(SRC_HW!$K$5:$K$400,MATCH($H79,SRC_HW!$A$5:$A$400,0)),IF(ISNUMBER(MATCH($H79,SRC_DC!$A$5:$A$400,0)),INDEX(SRC_DC!$K$5:$K$400,MATCH($H79,SRC_DC!$A$5:$A$400,0)),IF(ISNUMBER(MATCH($H79,SRC_Model!$A$5:$A$400,0)),INDEX(SRC_Model!$K$5:$K$400,MATCH($H79,SRC_Model!$A$5:$A$400,0)),IF(ISNUMBER(MATCH($H79,SRC_Perf!$A$5:$A$400,0)),INDEX(SRC_Perf!$K$5:$K$400,MATCH($H79,SRC_Perf!$A$5:$A$400,0)),"不存在")))))</f>
        <v>3</v>
      </c>
      <c r="U79" s="52" t="s">
        <v>2302</v>
      </c>
      <c r="V79" s="103" t="n">
        <f aca="false">IF(AND($F79="原始數據",$U79&lt;&gt;"連結 SRC"),1,0)</f>
        <v>0</v>
      </c>
      <c r="W79" s="103" t="n">
        <f aca="false">IF(AND($F79="Analogy",OR($H79="—",$H79="")),1,0)</f>
        <v>0</v>
      </c>
      <c r="X79" s="103" t="n">
        <f aca="false">IF(AND(OR($F79="Analogy",$F79="Assumed"),$G79&lt;&gt;"低",$G79&lt;&gt;"高",NOT(ISNUMBER($K79)),NOT(ISNUMBER($L79)),OR($M79="—",$M79="")),1,0)</f>
        <v>0</v>
      </c>
      <c r="Y79" s="103" t="n">
        <f aca="false">IF(AND(OR($F79="Analogy",$F79="Assumed",$F79="Derived（待改公式）",$F79="Derived（公式）"),OR($N79="—",$N79="",$N79=0)),1,0)</f>
        <v>0</v>
      </c>
      <c r="Z79" s="103" t="n">
        <f aca="false">IF(AND($F79="Decision",OR($J79="—",$J79="")),1,0)</f>
        <v>0</v>
      </c>
      <c r="AA79" s="84" t="n">
        <f aca="false">IF(OR($J79="—",$J79=""),0,IF(COUNTIF(Decisions!$A$5:$A$300,$J79)=0,1,0))</f>
        <v>0</v>
      </c>
      <c r="AB79" s="103" t="n">
        <f aca="false">IF(AND($F79="原始數據",$S79&lt;&gt;"Active"),1,0)</f>
        <v>0</v>
      </c>
      <c r="AC79" s="103" t="n">
        <f aca="false">IF(AND(ISNUMBER($K79),ISNUMBER($L79),ISNUMBER($Q79)),IF(OR($Q79&lt;MIN($K79,$L79),$Q79&gt;MAX($K79,$L79)),1,0),0)</f>
        <v>0</v>
      </c>
      <c r="AD79" s="103" t="n">
        <f aca="false">IF(AND(ISNUMBER($T79),$P79="高"),IF($T79=3,1,0),0)</f>
        <v>1</v>
      </c>
      <c r="AE79" s="103" t="n">
        <f aca="false">IF(AND($S79="不存在",$B79="切片一"),1,0)</f>
        <v>0</v>
      </c>
    </row>
    <row r="80" customFormat="false" ht="44" hidden="false" customHeight="false" outlineLevel="0" collapsed="false">
      <c r="A80" s="53" t="s">
        <v>2495</v>
      </c>
      <c r="B80" s="52" t="s">
        <v>2297</v>
      </c>
      <c r="C80" s="53" t="s">
        <v>2460</v>
      </c>
      <c r="D80" s="53" t="s">
        <v>2314</v>
      </c>
      <c r="E80" s="5" t="s">
        <v>2490</v>
      </c>
      <c r="F80" s="52" t="s">
        <v>2491</v>
      </c>
      <c r="G80" s="52" t="s">
        <v>55</v>
      </c>
      <c r="H80" s="53" t="s">
        <v>2479</v>
      </c>
      <c r="I80" s="5" t="s">
        <v>2496</v>
      </c>
      <c r="J80" s="53" t="s">
        <v>554</v>
      </c>
      <c r="K80" s="54" t="n">
        <f aca="false">Spec_Rack!D8</f>
        <v>120</v>
      </c>
      <c r="L80" s="54" t="n">
        <f aca="false">Spec_Rack!D10</f>
        <v>140</v>
      </c>
      <c r="M80" s="53" t="s">
        <v>554</v>
      </c>
      <c r="N80" s="5" t="s">
        <v>2497</v>
      </c>
      <c r="O80" s="6" t="s">
        <v>554</v>
      </c>
      <c r="P80" s="52" t="s">
        <v>1079</v>
      </c>
      <c r="Q80" s="54" t="n">
        <f aca="false">Spec_Rack!D9</f>
        <v>130</v>
      </c>
      <c r="R80" s="83" t="n">
        <f aca="false">SRC_HW_004_Lo</f>
        <v>120</v>
      </c>
      <c r="S80" s="83" t="str">
        <f aca="false">IF(OR($H80="—",$H80=""),"—",IF(ISNUMBER(MATCH($H80,SRC_HW!$A$5:$A$400,0)),INDEX(SRC_HW!$O$5:$O$400,MATCH($H80,SRC_HW!$A$5:$A$400,0)),IF(ISNUMBER(MATCH($H80,SRC_DC!$A$5:$A$400,0)),INDEX(SRC_DC!$O$5:$O$400,MATCH($H80,SRC_DC!$A$5:$A$400,0)),IF(ISNUMBER(MATCH($H80,SRC_Model!$A$5:$A$400,0)),INDEX(SRC_Model!$O$5:$O$400,MATCH($H80,SRC_Model!$A$5:$A$400,0)),IF(ISNUMBER(MATCH($H80,SRC_Perf!$A$5:$A$400,0)),INDEX(SRC_Perf!$O$5:$O$400,MATCH($H80,SRC_Perf!$A$5:$A$400,0)),"不存在")))))</f>
        <v>Active</v>
      </c>
      <c r="T80" s="83" t="n">
        <f aca="false">IF(OR($H80="—",$H80=""),"—",IF(ISNUMBER(MATCH($H80,SRC_HW!$A$5:$A$400,0)),INDEX(SRC_HW!$K$5:$K$400,MATCH($H80,SRC_HW!$A$5:$A$400,0)),IF(ISNUMBER(MATCH($H80,SRC_DC!$A$5:$A$400,0)),INDEX(SRC_DC!$K$5:$K$400,MATCH($H80,SRC_DC!$A$5:$A$400,0)),IF(ISNUMBER(MATCH($H80,SRC_Model!$A$5:$A$400,0)),INDEX(SRC_Model!$K$5:$K$400,MATCH($H80,SRC_Model!$A$5:$A$400,0)),IF(ISNUMBER(MATCH($H80,SRC_Perf!$A$5:$A$400,0)),INDEX(SRC_Perf!$K$5:$K$400,MATCH($H80,SRC_Perf!$A$5:$A$400,0)),"不存在")))))</f>
        <v>3</v>
      </c>
      <c r="U80" s="52" t="s">
        <v>2302</v>
      </c>
      <c r="V80" s="103" t="n">
        <f aca="false">IF(AND($F80="原始數據",$U80&lt;&gt;"連結 SRC"),1,0)</f>
        <v>0</v>
      </c>
      <c r="W80" s="103" t="n">
        <f aca="false">IF(AND($F80="Analogy",OR($H80="—",$H80="")),1,0)</f>
        <v>0</v>
      </c>
      <c r="X80" s="103" t="n">
        <f aca="false">IF(AND(OR($F80="Analogy",$F80="Assumed"),$G80&lt;&gt;"低",$G80&lt;&gt;"高",NOT(ISNUMBER($K80)),NOT(ISNUMBER($L80)),OR($M80="—",$M80="")),1,0)</f>
        <v>0</v>
      </c>
      <c r="Y80" s="103" t="n">
        <f aca="false">IF(AND(OR($F80="Analogy",$F80="Assumed",$F80="Derived（待改公式）",$F80="Derived（公式）"),OR($N80="—",$N80="",$N80=0)),1,0)</f>
        <v>0</v>
      </c>
      <c r="Z80" s="103" t="n">
        <f aca="false">IF(AND($F80="Decision",OR($J80="—",$J80="")),1,0)</f>
        <v>0</v>
      </c>
      <c r="AA80" s="84" t="n">
        <f aca="false">IF(OR($J80="—",$J80=""),0,IF(COUNTIF(Decisions!$A$5:$A$300,$J80)=0,1,0))</f>
        <v>0</v>
      </c>
      <c r="AB80" s="103" t="n">
        <f aca="false">IF(AND($F80="原始數據",$S80&lt;&gt;"Active"),1,0)</f>
        <v>0</v>
      </c>
      <c r="AC80" s="103" t="n">
        <f aca="false">IF(AND(ISNUMBER($K80),ISNUMBER($L80),ISNUMBER($Q80)),IF(OR($Q80&lt;MIN($K80,$L80),$Q80&gt;MAX($K80,$L80)),1,0),0)</f>
        <v>0</v>
      </c>
      <c r="AD80" s="103" t="n">
        <f aca="false">IF(AND(ISNUMBER($T80),$P80="高"),IF($T80=3,1,0),0)</f>
        <v>1</v>
      </c>
      <c r="AE80" s="103" t="n">
        <f aca="false">IF(AND($S80="不存在",$B80="切片一"),1,0)</f>
        <v>0</v>
      </c>
    </row>
    <row r="81" customFormat="false" ht="29.85" hidden="false" customHeight="false" outlineLevel="0" collapsed="false">
      <c r="A81" s="53" t="s">
        <v>2498</v>
      </c>
      <c r="B81" s="52" t="s">
        <v>2297</v>
      </c>
      <c r="C81" s="53" t="s">
        <v>2460</v>
      </c>
      <c r="D81" s="53" t="s">
        <v>2222</v>
      </c>
      <c r="E81" s="5" t="s">
        <v>2490</v>
      </c>
      <c r="F81" s="52" t="s">
        <v>2491</v>
      </c>
      <c r="G81" s="52" t="s">
        <v>55</v>
      </c>
      <c r="H81" s="53" t="s">
        <v>2481</v>
      </c>
      <c r="I81" s="5" t="s">
        <v>2499</v>
      </c>
      <c r="J81" s="53" t="s">
        <v>554</v>
      </c>
      <c r="K81" s="54" t="n">
        <f aca="false">Spec_Rack!E8</f>
        <v>132</v>
      </c>
      <c r="L81" s="54" t="n">
        <f aca="false">Spec_Rack!E10</f>
        <v>142</v>
      </c>
      <c r="M81" s="53" t="s">
        <v>554</v>
      </c>
      <c r="N81" s="5" t="s">
        <v>2500</v>
      </c>
      <c r="O81" s="6" t="s">
        <v>554</v>
      </c>
      <c r="P81" s="52" t="s">
        <v>1079</v>
      </c>
      <c r="Q81" s="54" t="n">
        <f aca="false">Spec_Rack!E9</f>
        <v>137</v>
      </c>
      <c r="R81" s="83" t="n">
        <f aca="false">SRC_HW_005_Lo</f>
        <v>132</v>
      </c>
      <c r="S81" s="83" t="str">
        <f aca="false">IF(OR($H81="—",$H81=""),"—",IF(ISNUMBER(MATCH($H81,SRC_HW!$A$5:$A$400,0)),INDEX(SRC_HW!$O$5:$O$400,MATCH($H81,SRC_HW!$A$5:$A$400,0)),IF(ISNUMBER(MATCH($H81,SRC_DC!$A$5:$A$400,0)),INDEX(SRC_DC!$O$5:$O$400,MATCH($H81,SRC_DC!$A$5:$A$400,0)),IF(ISNUMBER(MATCH($H81,SRC_Model!$A$5:$A$400,0)),INDEX(SRC_Model!$O$5:$O$400,MATCH($H81,SRC_Model!$A$5:$A$400,0)),IF(ISNUMBER(MATCH($H81,SRC_Perf!$A$5:$A$400,0)),INDEX(SRC_Perf!$O$5:$O$400,MATCH($H81,SRC_Perf!$A$5:$A$400,0)),"不存在")))))</f>
        <v>Active</v>
      </c>
      <c r="T81" s="83" t="n">
        <f aca="false">IF(OR($H81="—",$H81=""),"—",IF(ISNUMBER(MATCH($H81,SRC_HW!$A$5:$A$400,0)),INDEX(SRC_HW!$K$5:$K$400,MATCH($H81,SRC_HW!$A$5:$A$400,0)),IF(ISNUMBER(MATCH($H81,SRC_DC!$A$5:$A$400,0)),INDEX(SRC_DC!$K$5:$K$400,MATCH($H81,SRC_DC!$A$5:$A$400,0)),IF(ISNUMBER(MATCH($H81,SRC_Model!$A$5:$A$400,0)),INDEX(SRC_Model!$K$5:$K$400,MATCH($H81,SRC_Model!$A$5:$A$400,0)),IF(ISNUMBER(MATCH($H81,SRC_Perf!$A$5:$A$400,0)),INDEX(SRC_Perf!$K$5:$K$400,MATCH($H81,SRC_Perf!$A$5:$A$400,0)),"不存在")))))</f>
        <v>3</v>
      </c>
      <c r="U81" s="52" t="s">
        <v>2302</v>
      </c>
      <c r="V81" s="103" t="n">
        <f aca="false">IF(AND($F81="原始數據",$U81&lt;&gt;"連結 SRC"),1,0)</f>
        <v>0</v>
      </c>
      <c r="W81" s="103" t="n">
        <f aca="false">IF(AND($F81="Analogy",OR($H81="—",$H81="")),1,0)</f>
        <v>0</v>
      </c>
      <c r="X81" s="103" t="n">
        <f aca="false">IF(AND(OR($F81="Analogy",$F81="Assumed"),$G81&lt;&gt;"低",$G81&lt;&gt;"高",NOT(ISNUMBER($K81)),NOT(ISNUMBER($L81)),OR($M81="—",$M81="")),1,0)</f>
        <v>0</v>
      </c>
      <c r="Y81" s="103" t="n">
        <f aca="false">IF(AND(OR($F81="Analogy",$F81="Assumed",$F81="Derived（待改公式）",$F81="Derived（公式）"),OR($N81="—",$N81="",$N81=0)),1,0)</f>
        <v>0</v>
      </c>
      <c r="Z81" s="103" t="n">
        <f aca="false">IF(AND($F81="Decision",OR($J81="—",$J81="")),1,0)</f>
        <v>0</v>
      </c>
      <c r="AA81" s="84" t="n">
        <f aca="false">IF(OR($J81="—",$J81=""),0,IF(COUNTIF(Decisions!$A$5:$A$300,$J81)=0,1,0))</f>
        <v>0</v>
      </c>
      <c r="AB81" s="103" t="n">
        <f aca="false">IF(AND($F81="原始數據",$S81&lt;&gt;"Active"),1,0)</f>
        <v>0</v>
      </c>
      <c r="AC81" s="103" t="n">
        <f aca="false">IF(AND(ISNUMBER($K81),ISNUMBER($L81),ISNUMBER($Q81)),IF(OR($Q81&lt;MIN($K81,$L81),$Q81&gt;MAX($K81,$L81)),1,0),0)</f>
        <v>0</v>
      </c>
      <c r="AD81" s="103" t="n">
        <f aca="false">IF(AND(ISNUMBER($T81),$P81="高"),IF($T81=3,1,0),0)</f>
        <v>1</v>
      </c>
      <c r="AE81" s="103" t="n">
        <f aca="false">IF(AND($S81="不存在",$B81="切片一"),1,0)</f>
        <v>0</v>
      </c>
    </row>
    <row r="82" customFormat="false" ht="15" hidden="false" customHeight="false" outlineLevel="0" collapsed="false">
      <c r="A82" s="53" t="s">
        <v>2501</v>
      </c>
      <c r="B82" s="52" t="s">
        <v>2297</v>
      </c>
      <c r="C82" s="53" t="s">
        <v>2460</v>
      </c>
      <c r="D82" s="53" t="s">
        <v>2316</v>
      </c>
      <c r="E82" s="5" t="s">
        <v>2490</v>
      </c>
      <c r="F82" s="52" t="s">
        <v>2337</v>
      </c>
      <c r="G82" s="52" t="s">
        <v>2299</v>
      </c>
      <c r="H82" s="53" t="s">
        <v>2502</v>
      </c>
      <c r="I82" s="5" t="s">
        <v>2339</v>
      </c>
      <c r="J82" s="53" t="s">
        <v>554</v>
      </c>
      <c r="K82" s="52"/>
      <c r="L82" s="52"/>
      <c r="M82" s="53" t="s">
        <v>554</v>
      </c>
      <c r="N82" s="5" t="s">
        <v>2340</v>
      </c>
      <c r="O82" s="6" t="s">
        <v>554</v>
      </c>
      <c r="P82" s="52" t="s">
        <v>1079</v>
      </c>
      <c r="Q82" s="54" t="n">
        <f aca="false">Spec_Rack!F9</f>
        <v>227</v>
      </c>
      <c r="R82" s="83" t="n">
        <f aca="false">SRC_HW_014</f>
        <v>227</v>
      </c>
      <c r="S82" s="83" t="str">
        <f aca="false">IF(OR($H82="—",$H82=""),"—",IF(ISNUMBER(MATCH($H82,SRC_HW!$A$5:$A$400,0)),INDEX(SRC_HW!$O$5:$O$400,MATCH($H82,SRC_HW!$A$5:$A$400,0)),IF(ISNUMBER(MATCH($H82,SRC_DC!$A$5:$A$400,0)),INDEX(SRC_DC!$O$5:$O$400,MATCH($H82,SRC_DC!$A$5:$A$400,0)),IF(ISNUMBER(MATCH($H82,SRC_Model!$A$5:$A$400,0)),INDEX(SRC_Model!$O$5:$O$400,MATCH($H82,SRC_Model!$A$5:$A$400,0)),IF(ISNUMBER(MATCH($H82,SRC_Perf!$A$5:$A$400,0)),INDEX(SRC_Perf!$O$5:$O$400,MATCH($H82,SRC_Perf!$A$5:$A$400,0)),"不存在")))))</f>
        <v>Active</v>
      </c>
      <c r="T82" s="83" t="n">
        <f aca="false">IF(OR($H82="—",$H82=""),"—",IF(ISNUMBER(MATCH($H82,SRC_HW!$A$5:$A$400,0)),INDEX(SRC_HW!$K$5:$K$400,MATCH($H82,SRC_HW!$A$5:$A$400,0)),IF(ISNUMBER(MATCH($H82,SRC_DC!$A$5:$A$400,0)),INDEX(SRC_DC!$K$5:$K$400,MATCH($H82,SRC_DC!$A$5:$A$400,0)),IF(ISNUMBER(MATCH($H82,SRC_Model!$A$5:$A$400,0)),INDEX(SRC_Model!$K$5:$K$400,MATCH($H82,SRC_Model!$A$5:$A$400,0)),IF(ISNUMBER(MATCH($H82,SRC_Perf!$A$5:$A$400,0)),INDEX(SRC_Perf!$K$5:$K$400,MATCH($H82,SRC_Perf!$A$5:$A$400,0)),"不存在")))))</f>
        <v>3</v>
      </c>
      <c r="U82" s="52" t="s">
        <v>2341</v>
      </c>
      <c r="V82" s="103" t="n">
        <f aca="false">IF(AND($F82="原始數據",$U82&lt;&gt;"連結 SRC"),1,0)</f>
        <v>0</v>
      </c>
      <c r="W82" s="103" t="n">
        <f aca="false">IF(AND($F82="Analogy",OR($H82="—",$H82="")),1,0)</f>
        <v>0</v>
      </c>
      <c r="X82" s="103" t="n">
        <f aca="false">IF(AND(OR($F82="Analogy",$F82="Assumed"),$G82&lt;&gt;"低",$G82&lt;&gt;"高",NOT(ISNUMBER($K82)),NOT(ISNUMBER($L82)),OR($M82="—",$M82="")),1,0)</f>
        <v>0</v>
      </c>
      <c r="Y82" s="103" t="n">
        <f aca="false">IF(AND(OR($F82="Analogy",$F82="Assumed",$F82="Derived（待改公式）",$F82="Derived（公式）"),OR($N82="—",$N82="",$N82=0)),1,0)</f>
        <v>0</v>
      </c>
      <c r="Z82" s="103" t="n">
        <f aca="false">IF(AND($F82="Decision",OR($J82="—",$J82="")),1,0)</f>
        <v>0</v>
      </c>
      <c r="AA82" s="84" t="n">
        <f aca="false">IF(OR($J82="—",$J82=""),0,IF(COUNTIF(Decisions!$A$5:$A$300,$J82)=0,1,0))</f>
        <v>0</v>
      </c>
      <c r="AB82" s="103" t="n">
        <f aca="false">IF(AND($F82="原始數據",$S82&lt;&gt;"Active"),1,0)</f>
        <v>0</v>
      </c>
      <c r="AC82" s="103" t="n">
        <f aca="false">IF(AND(ISNUMBER($K82),ISNUMBER($L82),ISNUMBER($Q82)),IF(OR($Q82&lt;MIN($K82,$L82),$Q82&gt;MAX($K82,$L82)),1,0),0)</f>
        <v>0</v>
      </c>
      <c r="AD82" s="103" t="n">
        <f aca="false">IF(AND(ISNUMBER($T82),$P82="高"),IF($T82=3,1,0),0)</f>
        <v>1</v>
      </c>
      <c r="AE82" s="103" t="n">
        <f aca="false">IF(AND($S82="不存在",$B82="切片一"),1,0)</f>
        <v>0</v>
      </c>
    </row>
    <row r="83" customFormat="false" ht="15" hidden="false" customHeight="false" outlineLevel="0" collapsed="false">
      <c r="A83" s="53" t="s">
        <v>2503</v>
      </c>
      <c r="B83" s="52" t="s">
        <v>2297</v>
      </c>
      <c r="C83" s="53" t="s">
        <v>2460</v>
      </c>
      <c r="D83" s="53" t="s">
        <v>2504</v>
      </c>
      <c r="E83" s="5" t="s">
        <v>2490</v>
      </c>
      <c r="F83" s="52" t="s">
        <v>2337</v>
      </c>
      <c r="G83" s="52" t="s">
        <v>2299</v>
      </c>
      <c r="H83" s="53" t="s">
        <v>2505</v>
      </c>
      <c r="I83" s="5" t="s">
        <v>2339</v>
      </c>
      <c r="J83" s="53" t="s">
        <v>554</v>
      </c>
      <c r="K83" s="52"/>
      <c r="L83" s="52"/>
      <c r="M83" s="53" t="s">
        <v>554</v>
      </c>
      <c r="N83" s="5" t="s">
        <v>2340</v>
      </c>
      <c r="O83" s="6" t="s">
        <v>554</v>
      </c>
      <c r="P83" s="52" t="s">
        <v>1079</v>
      </c>
      <c r="Q83" s="54" t="n">
        <f aca="false">Spec_Rack!G9</f>
        <v>600</v>
      </c>
      <c r="R83" s="83" t="n">
        <f aca="false">SRC_HW_013</f>
        <v>600</v>
      </c>
      <c r="S83" s="83" t="str">
        <f aca="false">IF(OR($H83="—",$H83=""),"—",IF(ISNUMBER(MATCH($H83,SRC_HW!$A$5:$A$400,0)),INDEX(SRC_HW!$O$5:$O$400,MATCH($H83,SRC_HW!$A$5:$A$400,0)),IF(ISNUMBER(MATCH($H83,SRC_DC!$A$5:$A$400,0)),INDEX(SRC_DC!$O$5:$O$400,MATCH($H83,SRC_DC!$A$5:$A$400,0)),IF(ISNUMBER(MATCH($H83,SRC_Model!$A$5:$A$400,0)),INDEX(SRC_Model!$O$5:$O$400,MATCH($H83,SRC_Model!$A$5:$A$400,0)),IF(ISNUMBER(MATCH($H83,SRC_Perf!$A$5:$A$400,0)),INDEX(SRC_Perf!$O$5:$O$400,MATCH($H83,SRC_Perf!$A$5:$A$400,0)),"不存在")))))</f>
        <v>Active</v>
      </c>
      <c r="T83" s="83" t="n">
        <f aca="false">IF(OR($H83="—",$H83=""),"—",IF(ISNUMBER(MATCH($H83,SRC_HW!$A$5:$A$400,0)),INDEX(SRC_HW!$K$5:$K$400,MATCH($H83,SRC_HW!$A$5:$A$400,0)),IF(ISNUMBER(MATCH($H83,SRC_DC!$A$5:$A$400,0)),INDEX(SRC_DC!$K$5:$K$400,MATCH($H83,SRC_DC!$A$5:$A$400,0)),IF(ISNUMBER(MATCH($H83,SRC_Model!$A$5:$A$400,0)),INDEX(SRC_Model!$K$5:$K$400,MATCH($H83,SRC_Model!$A$5:$A$400,0)),IF(ISNUMBER(MATCH($H83,SRC_Perf!$A$5:$A$400,0)),INDEX(SRC_Perf!$K$5:$K$400,MATCH($H83,SRC_Perf!$A$5:$A$400,0)),"不存在")))))</f>
        <v>3</v>
      </c>
      <c r="U83" s="52" t="s">
        <v>2341</v>
      </c>
      <c r="V83" s="103" t="n">
        <f aca="false">IF(AND($F83="原始數據",$U83&lt;&gt;"連結 SRC"),1,0)</f>
        <v>0</v>
      </c>
      <c r="W83" s="103" t="n">
        <f aca="false">IF(AND($F83="Analogy",OR($H83="—",$H83="")),1,0)</f>
        <v>0</v>
      </c>
      <c r="X83" s="103" t="n">
        <f aca="false">IF(AND(OR($F83="Analogy",$F83="Assumed"),$G83&lt;&gt;"低",$G83&lt;&gt;"高",NOT(ISNUMBER($K83)),NOT(ISNUMBER($L83)),OR($M83="—",$M83="")),1,0)</f>
        <v>0</v>
      </c>
      <c r="Y83" s="103" t="n">
        <f aca="false">IF(AND(OR($F83="Analogy",$F83="Assumed",$F83="Derived（待改公式）",$F83="Derived（公式）"),OR($N83="—",$N83="",$N83=0)),1,0)</f>
        <v>0</v>
      </c>
      <c r="Z83" s="103" t="n">
        <f aca="false">IF(AND($F83="Decision",OR($J83="—",$J83="")),1,0)</f>
        <v>0</v>
      </c>
      <c r="AA83" s="84" t="n">
        <f aca="false">IF(OR($J83="—",$J83=""),0,IF(COUNTIF(Decisions!$A$5:$A$300,$J83)=0,1,0))</f>
        <v>0</v>
      </c>
      <c r="AB83" s="103" t="n">
        <f aca="false">IF(AND($F83="原始數據",$S83&lt;&gt;"Active"),1,0)</f>
        <v>0</v>
      </c>
      <c r="AC83" s="103" t="n">
        <f aca="false">IF(AND(ISNUMBER($K83),ISNUMBER($L83),ISNUMBER($Q83)),IF(OR($Q83&lt;MIN($K83,$L83),$Q83&gt;MAX($K83,$L83)),1,0),0)</f>
        <v>0</v>
      </c>
      <c r="AD83" s="103" t="n">
        <f aca="false">IF(AND(ISNUMBER($T83),$P83="高"),IF($T83=3,1,0),0)</f>
        <v>1</v>
      </c>
      <c r="AE83" s="103" t="n">
        <f aca="false">IF(AND($S83="不存在",$B83="切片一"),1,0)</f>
        <v>0</v>
      </c>
    </row>
    <row r="84" customFormat="false" ht="29.85" hidden="false" customHeight="false" outlineLevel="0" collapsed="false">
      <c r="A84" s="53" t="s">
        <v>2506</v>
      </c>
      <c r="B84" s="52" t="s">
        <v>2297</v>
      </c>
      <c r="C84" s="53" t="s">
        <v>2460</v>
      </c>
      <c r="D84" s="53" t="s">
        <v>2507</v>
      </c>
      <c r="E84" s="5" t="s">
        <v>2508</v>
      </c>
      <c r="F84" s="53" t="s">
        <v>70</v>
      </c>
      <c r="G84" s="52" t="s">
        <v>1079</v>
      </c>
      <c r="H84" s="53" t="s">
        <v>554</v>
      </c>
      <c r="I84" s="6" t="s">
        <v>554</v>
      </c>
      <c r="J84" s="53" t="s">
        <v>554</v>
      </c>
      <c r="K84" s="52"/>
      <c r="L84" s="52"/>
      <c r="M84" s="53" t="s">
        <v>554</v>
      </c>
      <c r="N84" s="6" t="s">
        <v>2509</v>
      </c>
      <c r="O84" s="6" t="s">
        <v>554</v>
      </c>
      <c r="P84" s="52" t="s">
        <v>2307</v>
      </c>
      <c r="Q84" s="54" t="n">
        <f aca="false">Spec_Rack!C10</f>
        <v>44</v>
      </c>
      <c r="R84" s="53" t="s">
        <v>554</v>
      </c>
      <c r="S84" s="83" t="str">
        <f aca="false">IF(OR($H84="—",$H84=""),"—",IF(ISNUMBER(MATCH($H84,SRC_HW!$A$5:$A$400,0)),INDEX(SRC_HW!$O$5:$O$400,MATCH($H84,SRC_HW!$A$5:$A$400,0)),IF(ISNUMBER(MATCH($H84,SRC_DC!$A$5:$A$400,0)),INDEX(SRC_DC!$O$5:$O$400,MATCH($H84,SRC_DC!$A$5:$A$400,0)),IF(ISNUMBER(MATCH($H84,SRC_Model!$A$5:$A$400,0)),INDEX(SRC_Model!$O$5:$O$400,MATCH($H84,SRC_Model!$A$5:$A$400,0)),IF(ISNUMBER(MATCH($H84,SRC_Perf!$A$5:$A$400,0)),INDEX(SRC_Perf!$O$5:$O$400,MATCH($H84,SRC_Perf!$A$5:$A$400,0)),"不存在")))))</f>
        <v>—</v>
      </c>
      <c r="T84" s="83" t="str">
        <f aca="false">IF(OR($H84="—",$H84=""),"—",IF(ISNUMBER(MATCH($H84,SRC_HW!$A$5:$A$400,0)),INDEX(SRC_HW!$K$5:$K$400,MATCH($H84,SRC_HW!$A$5:$A$400,0)),IF(ISNUMBER(MATCH($H84,SRC_DC!$A$5:$A$400,0)),INDEX(SRC_DC!$K$5:$K$400,MATCH($H84,SRC_DC!$A$5:$A$400,0)),IF(ISNUMBER(MATCH($H84,SRC_Model!$A$5:$A$400,0)),INDEX(SRC_Model!$K$5:$K$400,MATCH($H84,SRC_Model!$A$5:$A$400,0)),IF(ISNUMBER(MATCH($H84,SRC_Perf!$A$5:$A$400,0)),INDEX(SRC_Perf!$K$5:$K$400,MATCH($H84,SRC_Perf!$A$5:$A$400,0)),"不存在")))))</f>
        <v>—</v>
      </c>
      <c r="U84" s="52" t="s">
        <v>2302</v>
      </c>
      <c r="V84" s="103" t="n">
        <f aca="false">IF(AND($F84="原始數據",$U84&lt;&gt;"連結 SRC"),1,0)</f>
        <v>0</v>
      </c>
      <c r="W84" s="103" t="n">
        <f aca="false">IF(AND($F84="Analogy",OR($H84="—",$H84="")),1,0)</f>
        <v>0</v>
      </c>
      <c r="X84" s="103" t="n">
        <f aca="false">IF(AND(OR($F84="Analogy",$F84="Assumed"),$G84&lt;&gt;"低",$G84&lt;&gt;"高",NOT(ISNUMBER($K84)),NOT(ISNUMBER($L84)),OR($M84="—",$M84="")),1,0)</f>
        <v>0</v>
      </c>
      <c r="Y84" s="103" t="n">
        <f aca="false">IF(AND(OR($F84="Analogy",$F84="Assumed",$F84="Derived（待改公式）",$F84="Derived（公式）"),OR($N84="—",$N84="",$N84=0)),1,0)</f>
        <v>0</v>
      </c>
      <c r="Z84" s="103" t="n">
        <f aca="false">IF(AND($F84="Decision",OR($J84="—",$J84="")),1,0)</f>
        <v>0</v>
      </c>
      <c r="AA84" s="84" t="n">
        <f aca="false">IF(OR($J84="—",$J84=""),0,IF(COUNTIF(Decisions!$A$5:$A$300,$J84)=0,1,0))</f>
        <v>0</v>
      </c>
      <c r="AB84" s="103" t="n">
        <f aca="false">IF(AND($F84="原始數據",$S84&lt;&gt;"Active"),1,0)</f>
        <v>0</v>
      </c>
      <c r="AC84" s="103" t="n">
        <f aca="false">IF(AND(ISNUMBER($K84),ISNUMBER($L84),ISNUMBER($Q84)),IF(OR($Q84&lt;MIN($K84,$L84),$Q84&gt;MAX($K84,$L84)),1,0),0)</f>
        <v>0</v>
      </c>
      <c r="AD84" s="103" t="n">
        <f aca="false">IF(AND(ISNUMBER($T84),$P84="高"),IF($T84=3,1,0),0)</f>
        <v>0</v>
      </c>
      <c r="AE84" s="103" t="n">
        <f aca="false">IF(AND($S84="不存在",$B84="切片一"),1,0)</f>
        <v>0</v>
      </c>
    </row>
    <row r="85" customFormat="false" ht="15" hidden="false" customHeight="false" outlineLevel="0" collapsed="false">
      <c r="A85" s="53" t="s">
        <v>2510</v>
      </c>
      <c r="B85" s="52" t="s">
        <v>2297</v>
      </c>
      <c r="C85" s="53" t="s">
        <v>2460</v>
      </c>
      <c r="D85" s="53" t="s">
        <v>2320</v>
      </c>
      <c r="E85" s="5" t="s">
        <v>2508</v>
      </c>
      <c r="F85" s="53" t="s">
        <v>70</v>
      </c>
      <c r="G85" s="52" t="s">
        <v>1079</v>
      </c>
      <c r="H85" s="53" t="s">
        <v>554</v>
      </c>
      <c r="I85" s="6" t="s">
        <v>554</v>
      </c>
      <c r="J85" s="53" t="s">
        <v>554</v>
      </c>
      <c r="K85" s="52"/>
      <c r="L85" s="52"/>
      <c r="M85" s="53" t="s">
        <v>554</v>
      </c>
      <c r="N85" s="6" t="s">
        <v>2511</v>
      </c>
      <c r="O85" s="6" t="s">
        <v>554</v>
      </c>
      <c r="P85" s="52" t="s">
        <v>2307</v>
      </c>
      <c r="Q85" s="54" t="n">
        <f aca="false">Spec_Rack!D10</f>
        <v>140</v>
      </c>
      <c r="R85" s="53" t="s">
        <v>554</v>
      </c>
      <c r="S85" s="83" t="str">
        <f aca="false">IF(OR($H85="—",$H85=""),"—",IF(ISNUMBER(MATCH($H85,SRC_HW!$A$5:$A$400,0)),INDEX(SRC_HW!$O$5:$O$400,MATCH($H85,SRC_HW!$A$5:$A$400,0)),IF(ISNUMBER(MATCH($H85,SRC_DC!$A$5:$A$400,0)),INDEX(SRC_DC!$O$5:$O$400,MATCH($H85,SRC_DC!$A$5:$A$400,0)),IF(ISNUMBER(MATCH($H85,SRC_Model!$A$5:$A$400,0)),INDEX(SRC_Model!$O$5:$O$400,MATCH($H85,SRC_Model!$A$5:$A$400,0)),IF(ISNUMBER(MATCH($H85,SRC_Perf!$A$5:$A$400,0)),INDEX(SRC_Perf!$O$5:$O$400,MATCH($H85,SRC_Perf!$A$5:$A$400,0)),"不存在")))))</f>
        <v>—</v>
      </c>
      <c r="T85" s="83" t="str">
        <f aca="false">IF(OR($H85="—",$H85=""),"—",IF(ISNUMBER(MATCH($H85,SRC_HW!$A$5:$A$400,0)),INDEX(SRC_HW!$K$5:$K$400,MATCH($H85,SRC_HW!$A$5:$A$400,0)),IF(ISNUMBER(MATCH($H85,SRC_DC!$A$5:$A$400,0)),INDEX(SRC_DC!$K$5:$K$400,MATCH($H85,SRC_DC!$A$5:$A$400,0)),IF(ISNUMBER(MATCH($H85,SRC_Model!$A$5:$A$400,0)),INDEX(SRC_Model!$K$5:$K$400,MATCH($H85,SRC_Model!$A$5:$A$400,0)),IF(ISNUMBER(MATCH($H85,SRC_Perf!$A$5:$A$400,0)),INDEX(SRC_Perf!$K$5:$K$400,MATCH($H85,SRC_Perf!$A$5:$A$400,0)),"不存在")))))</f>
        <v>—</v>
      </c>
      <c r="U85" s="52" t="s">
        <v>2302</v>
      </c>
      <c r="V85" s="103" t="n">
        <f aca="false">IF(AND($F85="原始數據",$U85&lt;&gt;"連結 SRC"),1,0)</f>
        <v>0</v>
      </c>
      <c r="W85" s="103" t="n">
        <f aca="false">IF(AND($F85="Analogy",OR($H85="—",$H85="")),1,0)</f>
        <v>0</v>
      </c>
      <c r="X85" s="103" t="n">
        <f aca="false">IF(AND(OR($F85="Analogy",$F85="Assumed"),$G85&lt;&gt;"低",$G85&lt;&gt;"高",NOT(ISNUMBER($K85)),NOT(ISNUMBER($L85)),OR($M85="—",$M85="")),1,0)</f>
        <v>0</v>
      </c>
      <c r="Y85" s="103" t="n">
        <f aca="false">IF(AND(OR($F85="Analogy",$F85="Assumed",$F85="Derived（待改公式）",$F85="Derived（公式）"),OR($N85="—",$N85="",$N85=0)),1,0)</f>
        <v>0</v>
      </c>
      <c r="Z85" s="103" t="n">
        <f aca="false">IF(AND($F85="Decision",OR($J85="—",$J85="")),1,0)</f>
        <v>0</v>
      </c>
      <c r="AA85" s="84" t="n">
        <f aca="false">IF(OR($J85="—",$J85=""),0,IF(COUNTIF(Decisions!$A$5:$A$300,$J85)=0,1,0))</f>
        <v>0</v>
      </c>
      <c r="AB85" s="103" t="n">
        <f aca="false">IF(AND($F85="原始數據",$S85&lt;&gt;"Active"),1,0)</f>
        <v>0</v>
      </c>
      <c r="AC85" s="103" t="n">
        <f aca="false">IF(AND(ISNUMBER($K85),ISNUMBER($L85),ISNUMBER($Q85)),IF(OR($Q85&lt;MIN($K85,$L85),$Q85&gt;MAX($K85,$L85)),1,0),0)</f>
        <v>0</v>
      </c>
      <c r="AD85" s="103" t="n">
        <f aca="false">IF(AND(ISNUMBER($T85),$P85="高"),IF($T85=3,1,0),0)</f>
        <v>0</v>
      </c>
      <c r="AE85" s="103" t="n">
        <f aca="false">IF(AND($S85="不存在",$B85="切片一"),1,0)</f>
        <v>0</v>
      </c>
    </row>
    <row r="86" customFormat="false" ht="15" hidden="false" customHeight="false" outlineLevel="0" collapsed="false">
      <c r="A86" s="53" t="s">
        <v>2512</v>
      </c>
      <c r="B86" s="52" t="s">
        <v>2297</v>
      </c>
      <c r="C86" s="53" t="s">
        <v>2460</v>
      </c>
      <c r="D86" s="53" t="s">
        <v>2225</v>
      </c>
      <c r="E86" s="5" t="s">
        <v>2508</v>
      </c>
      <c r="F86" s="52" t="s">
        <v>2337</v>
      </c>
      <c r="G86" s="52" t="s">
        <v>2299</v>
      </c>
      <c r="H86" s="53" t="s">
        <v>2481</v>
      </c>
      <c r="I86" s="5" t="s">
        <v>2339</v>
      </c>
      <c r="J86" s="53" t="s">
        <v>554</v>
      </c>
      <c r="K86" s="52"/>
      <c r="L86" s="52"/>
      <c r="M86" s="53" t="s">
        <v>554</v>
      </c>
      <c r="N86" s="5" t="s">
        <v>2340</v>
      </c>
      <c r="O86" s="6" t="s">
        <v>554</v>
      </c>
      <c r="P86" s="52" t="s">
        <v>2307</v>
      </c>
      <c r="Q86" s="54" t="n">
        <f aca="false">Spec_Rack!E10</f>
        <v>142</v>
      </c>
      <c r="R86" s="83" t="n">
        <f aca="false">SRC_HW_005_Hi</f>
        <v>142</v>
      </c>
      <c r="S86" s="83" t="str">
        <f aca="false">IF(OR($H86="—",$H86=""),"—",IF(ISNUMBER(MATCH($H86,SRC_HW!$A$5:$A$400,0)),INDEX(SRC_HW!$O$5:$O$400,MATCH($H86,SRC_HW!$A$5:$A$400,0)),IF(ISNUMBER(MATCH($H86,SRC_DC!$A$5:$A$400,0)),INDEX(SRC_DC!$O$5:$O$400,MATCH($H86,SRC_DC!$A$5:$A$400,0)),IF(ISNUMBER(MATCH($H86,SRC_Model!$A$5:$A$400,0)),INDEX(SRC_Model!$O$5:$O$400,MATCH($H86,SRC_Model!$A$5:$A$400,0)),IF(ISNUMBER(MATCH($H86,SRC_Perf!$A$5:$A$400,0)),INDEX(SRC_Perf!$O$5:$O$400,MATCH($H86,SRC_Perf!$A$5:$A$400,0)),"不存在")))))</f>
        <v>Active</v>
      </c>
      <c r="T86" s="83" t="n">
        <f aca="false">IF(OR($H86="—",$H86=""),"—",IF(ISNUMBER(MATCH($H86,SRC_HW!$A$5:$A$400,0)),INDEX(SRC_HW!$K$5:$K$400,MATCH($H86,SRC_HW!$A$5:$A$400,0)),IF(ISNUMBER(MATCH($H86,SRC_DC!$A$5:$A$400,0)),INDEX(SRC_DC!$K$5:$K$400,MATCH($H86,SRC_DC!$A$5:$A$400,0)),IF(ISNUMBER(MATCH($H86,SRC_Model!$A$5:$A$400,0)),INDEX(SRC_Model!$K$5:$K$400,MATCH($H86,SRC_Model!$A$5:$A$400,0)),IF(ISNUMBER(MATCH($H86,SRC_Perf!$A$5:$A$400,0)),INDEX(SRC_Perf!$K$5:$K$400,MATCH($H86,SRC_Perf!$A$5:$A$400,0)),"不存在")))))</f>
        <v>3</v>
      </c>
      <c r="U86" s="52" t="s">
        <v>2341</v>
      </c>
      <c r="V86" s="103" t="n">
        <f aca="false">IF(AND($F86="原始數據",$U86&lt;&gt;"連結 SRC"),1,0)</f>
        <v>0</v>
      </c>
      <c r="W86" s="103" t="n">
        <f aca="false">IF(AND($F86="Analogy",OR($H86="—",$H86="")),1,0)</f>
        <v>0</v>
      </c>
      <c r="X86" s="103" t="n">
        <f aca="false">IF(AND(OR($F86="Analogy",$F86="Assumed"),$G86&lt;&gt;"低",$G86&lt;&gt;"高",NOT(ISNUMBER($K86)),NOT(ISNUMBER($L86)),OR($M86="—",$M86="")),1,0)</f>
        <v>0</v>
      </c>
      <c r="Y86" s="103" t="n">
        <f aca="false">IF(AND(OR($F86="Analogy",$F86="Assumed",$F86="Derived（待改公式）",$F86="Derived（公式）"),OR($N86="—",$N86="",$N86=0)),1,0)</f>
        <v>0</v>
      </c>
      <c r="Z86" s="103" t="n">
        <f aca="false">IF(AND($F86="Decision",OR($J86="—",$J86="")),1,0)</f>
        <v>0</v>
      </c>
      <c r="AA86" s="84" t="n">
        <f aca="false">IF(OR($J86="—",$J86=""),0,IF(COUNTIF(Decisions!$A$5:$A$300,$J86)=0,1,0))</f>
        <v>0</v>
      </c>
      <c r="AB86" s="103" t="n">
        <f aca="false">IF(AND($F86="原始數據",$S86&lt;&gt;"Active"),1,0)</f>
        <v>0</v>
      </c>
      <c r="AC86" s="103" t="n">
        <f aca="false">IF(AND(ISNUMBER($K86),ISNUMBER($L86),ISNUMBER($Q86)),IF(OR($Q86&lt;MIN($K86,$L86),$Q86&gt;MAX($K86,$L86)),1,0),0)</f>
        <v>0</v>
      </c>
      <c r="AD86" s="103" t="n">
        <f aca="false">IF(AND(ISNUMBER($T86),$P86="高"),IF($T86=3,1,0),0)</f>
        <v>0</v>
      </c>
      <c r="AE86" s="103" t="n">
        <f aca="false">IF(AND($S86="不存在",$B86="切片一"),1,0)</f>
        <v>0</v>
      </c>
    </row>
    <row r="87" customFormat="false" ht="15" hidden="false" customHeight="false" outlineLevel="0" collapsed="false">
      <c r="A87" s="53" t="s">
        <v>2513</v>
      </c>
      <c r="B87" s="52" t="s">
        <v>2297</v>
      </c>
      <c r="C87" s="53" t="s">
        <v>2460</v>
      </c>
      <c r="D87" s="53" t="s">
        <v>2322</v>
      </c>
      <c r="E87" s="5" t="s">
        <v>2508</v>
      </c>
      <c r="F87" s="52" t="s">
        <v>2337</v>
      </c>
      <c r="G87" s="52" t="s">
        <v>2299</v>
      </c>
      <c r="H87" s="53" t="s">
        <v>2514</v>
      </c>
      <c r="I87" s="5" t="s">
        <v>2339</v>
      </c>
      <c r="J87" s="53" t="s">
        <v>554</v>
      </c>
      <c r="K87" s="52"/>
      <c r="L87" s="52"/>
      <c r="M87" s="53" t="s">
        <v>554</v>
      </c>
      <c r="N87" s="5" t="s">
        <v>2340</v>
      </c>
      <c r="O87" s="6" t="s">
        <v>554</v>
      </c>
      <c r="P87" s="52" t="s">
        <v>2307</v>
      </c>
      <c r="Q87" s="54" t="n">
        <f aca="false">Spec_Rack!F10</f>
        <v>230</v>
      </c>
      <c r="R87" s="83" t="n">
        <f aca="false">SRC_HW_012</f>
        <v>230</v>
      </c>
      <c r="S87" s="83" t="str">
        <f aca="false">IF(OR($H87="—",$H87=""),"—",IF(ISNUMBER(MATCH($H87,SRC_HW!$A$5:$A$400,0)),INDEX(SRC_HW!$O$5:$O$400,MATCH($H87,SRC_HW!$A$5:$A$400,0)),IF(ISNUMBER(MATCH($H87,SRC_DC!$A$5:$A$400,0)),INDEX(SRC_DC!$O$5:$O$400,MATCH($H87,SRC_DC!$A$5:$A$400,0)),IF(ISNUMBER(MATCH($H87,SRC_Model!$A$5:$A$400,0)),INDEX(SRC_Model!$O$5:$O$400,MATCH($H87,SRC_Model!$A$5:$A$400,0)),IF(ISNUMBER(MATCH($H87,SRC_Perf!$A$5:$A$400,0)),INDEX(SRC_Perf!$O$5:$O$400,MATCH($H87,SRC_Perf!$A$5:$A$400,0)),"不存在")))))</f>
        <v>Active</v>
      </c>
      <c r="T87" s="83" t="n">
        <f aca="false">IF(OR($H87="—",$H87=""),"—",IF(ISNUMBER(MATCH($H87,SRC_HW!$A$5:$A$400,0)),INDEX(SRC_HW!$K$5:$K$400,MATCH($H87,SRC_HW!$A$5:$A$400,0)),IF(ISNUMBER(MATCH($H87,SRC_DC!$A$5:$A$400,0)),INDEX(SRC_DC!$K$5:$K$400,MATCH($H87,SRC_DC!$A$5:$A$400,0)),IF(ISNUMBER(MATCH($H87,SRC_Model!$A$5:$A$400,0)),INDEX(SRC_Model!$K$5:$K$400,MATCH($H87,SRC_Model!$A$5:$A$400,0)),IF(ISNUMBER(MATCH($H87,SRC_Perf!$A$5:$A$400,0)),INDEX(SRC_Perf!$K$5:$K$400,MATCH($H87,SRC_Perf!$A$5:$A$400,0)),"不存在")))))</f>
        <v>3</v>
      </c>
      <c r="U87" s="52" t="s">
        <v>2341</v>
      </c>
      <c r="V87" s="103" t="n">
        <f aca="false">IF(AND($F87="原始數據",$U87&lt;&gt;"連結 SRC"),1,0)</f>
        <v>0</v>
      </c>
      <c r="W87" s="103" t="n">
        <f aca="false">IF(AND($F87="Analogy",OR($H87="—",$H87="")),1,0)</f>
        <v>0</v>
      </c>
      <c r="X87" s="103" t="n">
        <f aca="false">IF(AND(OR($F87="Analogy",$F87="Assumed"),$G87&lt;&gt;"低",$G87&lt;&gt;"高",NOT(ISNUMBER($K87)),NOT(ISNUMBER($L87)),OR($M87="—",$M87="")),1,0)</f>
        <v>0</v>
      </c>
      <c r="Y87" s="103" t="n">
        <f aca="false">IF(AND(OR($F87="Analogy",$F87="Assumed",$F87="Derived（待改公式）",$F87="Derived（公式）"),OR($N87="—",$N87="",$N87=0)),1,0)</f>
        <v>0</v>
      </c>
      <c r="Z87" s="103" t="n">
        <f aca="false">IF(AND($F87="Decision",OR($J87="—",$J87="")),1,0)</f>
        <v>0</v>
      </c>
      <c r="AA87" s="84" t="n">
        <f aca="false">IF(OR($J87="—",$J87=""),0,IF(COUNTIF(Decisions!$A$5:$A$300,$J87)=0,1,0))</f>
        <v>0</v>
      </c>
      <c r="AB87" s="103" t="n">
        <f aca="false">IF(AND($F87="原始數據",$S87&lt;&gt;"Active"),1,0)</f>
        <v>0</v>
      </c>
      <c r="AC87" s="103" t="n">
        <f aca="false">IF(AND(ISNUMBER($K87),ISNUMBER($L87),ISNUMBER($Q87)),IF(OR($Q87&lt;MIN($K87,$L87),$Q87&gt;MAX($K87,$L87)),1,0),0)</f>
        <v>0</v>
      </c>
      <c r="AD87" s="103" t="n">
        <f aca="false">IF(AND(ISNUMBER($T87),$P87="高"),IF($T87=3,1,0),0)</f>
        <v>0</v>
      </c>
      <c r="AE87" s="103" t="n">
        <f aca="false">IF(AND($S87="不存在",$B87="切片一"),1,0)</f>
        <v>0</v>
      </c>
    </row>
    <row r="88" customFormat="false" ht="29.85" hidden="false" customHeight="false" outlineLevel="0" collapsed="false">
      <c r="A88" s="53" t="s">
        <v>2515</v>
      </c>
      <c r="B88" s="52" t="s">
        <v>2297</v>
      </c>
      <c r="C88" s="53" t="s">
        <v>2460</v>
      </c>
      <c r="D88" s="53" t="s">
        <v>2516</v>
      </c>
      <c r="E88" s="5" t="s">
        <v>2508</v>
      </c>
      <c r="F88" s="53" t="s">
        <v>70</v>
      </c>
      <c r="G88" s="52" t="s">
        <v>1079</v>
      </c>
      <c r="H88" s="53" t="s">
        <v>554</v>
      </c>
      <c r="I88" s="6" t="s">
        <v>554</v>
      </c>
      <c r="J88" s="53" t="s">
        <v>554</v>
      </c>
      <c r="K88" s="52"/>
      <c r="L88" s="52"/>
      <c r="M88" s="53" t="s">
        <v>554</v>
      </c>
      <c r="N88" s="6" t="s">
        <v>2487</v>
      </c>
      <c r="O88" s="6" t="s">
        <v>554</v>
      </c>
      <c r="P88" s="52" t="s">
        <v>2307</v>
      </c>
      <c r="Q88" s="54" t="n">
        <f aca="false">Spec_Rack!G10</f>
        <v>650</v>
      </c>
      <c r="R88" s="53" t="s">
        <v>554</v>
      </c>
      <c r="S88" s="83" t="str">
        <f aca="false">IF(OR($H88="—",$H88=""),"—",IF(ISNUMBER(MATCH($H88,SRC_HW!$A$5:$A$400,0)),INDEX(SRC_HW!$O$5:$O$400,MATCH($H88,SRC_HW!$A$5:$A$400,0)),IF(ISNUMBER(MATCH($H88,SRC_DC!$A$5:$A$400,0)),INDEX(SRC_DC!$O$5:$O$400,MATCH($H88,SRC_DC!$A$5:$A$400,0)),IF(ISNUMBER(MATCH($H88,SRC_Model!$A$5:$A$400,0)),INDEX(SRC_Model!$O$5:$O$400,MATCH($H88,SRC_Model!$A$5:$A$400,0)),IF(ISNUMBER(MATCH($H88,SRC_Perf!$A$5:$A$400,0)),INDEX(SRC_Perf!$O$5:$O$400,MATCH($H88,SRC_Perf!$A$5:$A$400,0)),"不存在")))))</f>
        <v>—</v>
      </c>
      <c r="T88" s="83" t="str">
        <f aca="false">IF(OR($H88="—",$H88=""),"—",IF(ISNUMBER(MATCH($H88,SRC_HW!$A$5:$A$400,0)),INDEX(SRC_HW!$K$5:$K$400,MATCH($H88,SRC_HW!$A$5:$A$400,0)),IF(ISNUMBER(MATCH($H88,SRC_DC!$A$5:$A$400,0)),INDEX(SRC_DC!$K$5:$K$400,MATCH($H88,SRC_DC!$A$5:$A$400,0)),IF(ISNUMBER(MATCH($H88,SRC_Model!$A$5:$A$400,0)),INDEX(SRC_Model!$K$5:$K$400,MATCH($H88,SRC_Model!$A$5:$A$400,0)),IF(ISNUMBER(MATCH($H88,SRC_Perf!$A$5:$A$400,0)),INDEX(SRC_Perf!$K$5:$K$400,MATCH($H88,SRC_Perf!$A$5:$A$400,0)),"不存在")))))</f>
        <v>—</v>
      </c>
      <c r="U88" s="52" t="s">
        <v>2302</v>
      </c>
      <c r="V88" s="103" t="n">
        <f aca="false">IF(AND($F88="原始數據",$U88&lt;&gt;"連結 SRC"),1,0)</f>
        <v>0</v>
      </c>
      <c r="W88" s="103" t="n">
        <f aca="false">IF(AND($F88="Analogy",OR($H88="—",$H88="")),1,0)</f>
        <v>0</v>
      </c>
      <c r="X88" s="103" t="n">
        <f aca="false">IF(AND(OR($F88="Analogy",$F88="Assumed"),$G88&lt;&gt;"低",$G88&lt;&gt;"高",NOT(ISNUMBER($K88)),NOT(ISNUMBER($L88)),OR($M88="—",$M88="")),1,0)</f>
        <v>0</v>
      </c>
      <c r="Y88" s="103" t="n">
        <f aca="false">IF(AND(OR($F88="Analogy",$F88="Assumed",$F88="Derived（待改公式）",$F88="Derived（公式）"),OR($N88="—",$N88="",$N88=0)),1,0)</f>
        <v>0</v>
      </c>
      <c r="Z88" s="103" t="n">
        <f aca="false">IF(AND($F88="Decision",OR($J88="—",$J88="")),1,0)</f>
        <v>0</v>
      </c>
      <c r="AA88" s="84" t="n">
        <f aca="false">IF(OR($J88="—",$J88=""),0,IF(COUNTIF(Decisions!$A$5:$A$300,$J88)=0,1,0))</f>
        <v>0</v>
      </c>
      <c r="AB88" s="103" t="n">
        <f aca="false">IF(AND($F88="原始數據",$S88&lt;&gt;"Active"),1,0)</f>
        <v>0</v>
      </c>
      <c r="AC88" s="103" t="n">
        <f aca="false">IF(AND(ISNUMBER($K88),ISNUMBER($L88),ISNUMBER($Q88)),IF(OR($Q88&lt;MIN($K88,$L88),$Q88&gt;MAX($K88,$L88)),1,0),0)</f>
        <v>0</v>
      </c>
      <c r="AD88" s="103" t="n">
        <f aca="false">IF(AND(ISNUMBER($T88),$P88="高"),IF($T88=3,1,0),0)</f>
        <v>0</v>
      </c>
      <c r="AE88" s="103" t="n">
        <f aca="false">IF(AND($S88="不存在",$B88="切片一"),1,0)</f>
        <v>0</v>
      </c>
    </row>
    <row r="89" customFormat="false" ht="44" hidden="false" customHeight="false" outlineLevel="0" collapsed="false">
      <c r="A89" s="53" t="s">
        <v>2517</v>
      </c>
      <c r="B89" s="52" t="s">
        <v>2297</v>
      </c>
      <c r="C89" s="53" t="s">
        <v>2460</v>
      </c>
      <c r="D89" s="53" t="s">
        <v>2518</v>
      </c>
      <c r="E89" s="5" t="s">
        <v>2519</v>
      </c>
      <c r="F89" s="52" t="s">
        <v>2491</v>
      </c>
      <c r="G89" s="52" t="s">
        <v>1078</v>
      </c>
      <c r="H89" s="53" t="s">
        <v>2520</v>
      </c>
      <c r="I89" s="5" t="s">
        <v>2521</v>
      </c>
      <c r="J89" s="53" t="s">
        <v>554</v>
      </c>
      <c r="K89" s="52"/>
      <c r="L89" s="52"/>
      <c r="M89" s="53" t="s">
        <v>554</v>
      </c>
      <c r="N89" s="5" t="s">
        <v>2522</v>
      </c>
      <c r="O89" s="6" t="s">
        <v>554</v>
      </c>
      <c r="P89" s="52" t="s">
        <v>2307</v>
      </c>
      <c r="Q89" s="90" t="n">
        <f aca="false">Spec_Rack!C11</f>
        <v>0.9</v>
      </c>
      <c r="R89" s="83" t="n">
        <f aca="false">SRC_HW_003_Lo</f>
        <v>220000</v>
      </c>
      <c r="S89" s="83" t="str">
        <f aca="false">IF(OR($H89="—",$H89=""),"—",IF(ISNUMBER(MATCH($H89,SRC_HW!$A$5:$A$400,0)),INDEX(SRC_HW!$O$5:$O$400,MATCH($H89,SRC_HW!$A$5:$A$400,0)),IF(ISNUMBER(MATCH($H89,SRC_DC!$A$5:$A$400,0)),INDEX(SRC_DC!$O$5:$O$400,MATCH($H89,SRC_DC!$A$5:$A$400,0)),IF(ISNUMBER(MATCH($H89,SRC_Model!$A$5:$A$400,0)),INDEX(SRC_Model!$O$5:$O$400,MATCH($H89,SRC_Model!$A$5:$A$400,0)),IF(ISNUMBER(MATCH($H89,SRC_Perf!$A$5:$A$400,0)),INDEX(SRC_Perf!$O$5:$O$400,MATCH($H89,SRC_Perf!$A$5:$A$400,0)),"不存在")))))</f>
        <v>Active</v>
      </c>
      <c r="T89" s="83" t="n">
        <f aca="false">IF(OR($H89="—",$H89=""),"—",IF(ISNUMBER(MATCH($H89,SRC_HW!$A$5:$A$400,0)),INDEX(SRC_HW!$K$5:$K$400,MATCH($H89,SRC_HW!$A$5:$A$400,0)),IF(ISNUMBER(MATCH($H89,SRC_DC!$A$5:$A$400,0)),INDEX(SRC_DC!$K$5:$K$400,MATCH($H89,SRC_DC!$A$5:$A$400,0)),IF(ISNUMBER(MATCH($H89,SRC_Model!$A$5:$A$400,0)),INDEX(SRC_Model!$K$5:$K$400,MATCH($H89,SRC_Model!$A$5:$A$400,0)),IF(ISNUMBER(MATCH($H89,SRC_Perf!$A$5:$A$400,0)),INDEX(SRC_Perf!$K$5:$K$400,MATCH($H89,SRC_Perf!$A$5:$A$400,0)),"不存在")))))</f>
        <v>3</v>
      </c>
      <c r="U89" s="52" t="s">
        <v>2302</v>
      </c>
      <c r="V89" s="103" t="n">
        <f aca="false">IF(AND($F89="原始數據",$U89&lt;&gt;"連結 SRC"),1,0)</f>
        <v>0</v>
      </c>
      <c r="W89" s="103" t="n">
        <f aca="false">IF(AND($F89="Analogy",OR($H89="—",$H89="")),1,0)</f>
        <v>0</v>
      </c>
      <c r="X89" s="103" t="n">
        <f aca="false">IF(AND(OR($F89="Analogy",$F89="Assumed"),$G89&lt;&gt;"低",$G89&lt;&gt;"高",NOT(ISNUMBER($K89)),NOT(ISNUMBER($L89)),OR($M89="—",$M89="")),1,0)</f>
        <v>0</v>
      </c>
      <c r="Y89" s="103" t="n">
        <f aca="false">IF(AND(OR($F89="Analogy",$F89="Assumed",$F89="Derived（待改公式）",$F89="Derived（公式）"),OR($N89="—",$N89="",$N89=0)),1,0)</f>
        <v>0</v>
      </c>
      <c r="Z89" s="103" t="n">
        <f aca="false">IF(AND($F89="Decision",OR($J89="—",$J89="")),1,0)</f>
        <v>0</v>
      </c>
      <c r="AA89" s="84" t="n">
        <f aca="false">IF(OR($J89="—",$J89=""),0,IF(COUNTIF(Decisions!$A$5:$A$300,$J89)=0,1,0))</f>
        <v>0</v>
      </c>
      <c r="AB89" s="103" t="n">
        <f aca="false">IF(AND($F89="原始數據",$S89&lt;&gt;"Active"),1,0)</f>
        <v>0</v>
      </c>
      <c r="AC89" s="103" t="n">
        <f aca="false">IF(AND(ISNUMBER($K89),ISNUMBER($L89),ISNUMBER($Q89)),IF(OR($Q89&lt;MIN($K89,$L89),$Q89&gt;MAX($K89,$L89)),1,0),0)</f>
        <v>0</v>
      </c>
      <c r="AD89" s="103" t="n">
        <f aca="false">IF(AND(ISNUMBER($T89),$P89="高"),IF($T89=3,1,0),0)</f>
        <v>0</v>
      </c>
      <c r="AE89" s="103" t="n">
        <f aca="false">IF(AND($S89="不存在",$B89="切片一"),1,0)</f>
        <v>0</v>
      </c>
    </row>
    <row r="90" customFormat="false" ht="15" hidden="false" customHeight="false" outlineLevel="0" collapsed="false">
      <c r="A90" s="53" t="s">
        <v>2523</v>
      </c>
      <c r="B90" s="52" t="s">
        <v>2297</v>
      </c>
      <c r="C90" s="53" t="s">
        <v>2460</v>
      </c>
      <c r="D90" s="53" t="s">
        <v>2327</v>
      </c>
      <c r="E90" s="5" t="s">
        <v>2519</v>
      </c>
      <c r="F90" s="52" t="s">
        <v>2337</v>
      </c>
      <c r="G90" s="52" t="s">
        <v>2299</v>
      </c>
      <c r="H90" s="53" t="s">
        <v>2524</v>
      </c>
      <c r="I90" s="5" t="s">
        <v>2339</v>
      </c>
      <c r="J90" s="53" t="s">
        <v>554</v>
      </c>
      <c r="K90" s="52"/>
      <c r="L90" s="52"/>
      <c r="M90" s="53" t="s">
        <v>554</v>
      </c>
      <c r="N90" s="5" t="s">
        <v>2340</v>
      </c>
      <c r="O90" s="6" t="s">
        <v>554</v>
      </c>
      <c r="P90" s="52" t="s">
        <v>2307</v>
      </c>
      <c r="Q90" s="90" t="n">
        <f aca="false">Spec_Rack!D11</f>
        <v>2.8</v>
      </c>
      <c r="R90" s="83" t="n">
        <f aca="false">SRC_HW_006_Lo</f>
        <v>2.8</v>
      </c>
      <c r="S90" s="83" t="str">
        <f aca="false">IF(OR($H90="—",$H90=""),"—",IF(ISNUMBER(MATCH($H90,SRC_HW!$A$5:$A$400,0)),INDEX(SRC_HW!$O$5:$O$400,MATCH($H90,SRC_HW!$A$5:$A$400,0)),IF(ISNUMBER(MATCH($H90,SRC_DC!$A$5:$A$400,0)),INDEX(SRC_DC!$O$5:$O$400,MATCH($H90,SRC_DC!$A$5:$A$400,0)),IF(ISNUMBER(MATCH($H90,SRC_Model!$A$5:$A$400,0)),INDEX(SRC_Model!$O$5:$O$400,MATCH($H90,SRC_Model!$A$5:$A$400,0)),IF(ISNUMBER(MATCH($H90,SRC_Perf!$A$5:$A$400,0)),INDEX(SRC_Perf!$O$5:$O$400,MATCH($H90,SRC_Perf!$A$5:$A$400,0)),"不存在")))))</f>
        <v>Active</v>
      </c>
      <c r="T90" s="83" t="n">
        <f aca="false">IF(OR($H90="—",$H90=""),"—",IF(ISNUMBER(MATCH($H90,SRC_HW!$A$5:$A$400,0)),INDEX(SRC_HW!$K$5:$K$400,MATCH($H90,SRC_HW!$A$5:$A$400,0)),IF(ISNUMBER(MATCH($H90,SRC_DC!$A$5:$A$400,0)),INDEX(SRC_DC!$K$5:$K$400,MATCH($H90,SRC_DC!$A$5:$A$400,0)),IF(ISNUMBER(MATCH($H90,SRC_Model!$A$5:$A$400,0)),INDEX(SRC_Model!$K$5:$K$400,MATCH($H90,SRC_Model!$A$5:$A$400,0)),IF(ISNUMBER(MATCH($H90,SRC_Perf!$A$5:$A$400,0)),INDEX(SRC_Perf!$K$5:$K$400,MATCH($H90,SRC_Perf!$A$5:$A$400,0)),"不存在")))))</f>
        <v>3</v>
      </c>
      <c r="U90" s="52" t="s">
        <v>2341</v>
      </c>
      <c r="V90" s="103" t="n">
        <f aca="false">IF(AND($F90="原始數據",$U90&lt;&gt;"連結 SRC"),1,0)</f>
        <v>0</v>
      </c>
      <c r="W90" s="103" t="n">
        <f aca="false">IF(AND($F90="Analogy",OR($H90="—",$H90="")),1,0)</f>
        <v>0</v>
      </c>
      <c r="X90" s="103" t="n">
        <f aca="false">IF(AND(OR($F90="Analogy",$F90="Assumed"),$G90&lt;&gt;"低",$G90&lt;&gt;"高",NOT(ISNUMBER($K90)),NOT(ISNUMBER($L90)),OR($M90="—",$M90="")),1,0)</f>
        <v>0</v>
      </c>
      <c r="Y90" s="103" t="n">
        <f aca="false">IF(AND(OR($F90="Analogy",$F90="Assumed",$F90="Derived（待改公式）",$F90="Derived（公式）"),OR($N90="—",$N90="",$N90=0)),1,0)</f>
        <v>0</v>
      </c>
      <c r="Z90" s="103" t="n">
        <f aca="false">IF(AND($F90="Decision",OR($J90="—",$J90="")),1,0)</f>
        <v>0</v>
      </c>
      <c r="AA90" s="84" t="n">
        <f aca="false">IF(OR($J90="—",$J90=""),0,IF(COUNTIF(Decisions!$A$5:$A$300,$J90)=0,1,0))</f>
        <v>0</v>
      </c>
      <c r="AB90" s="103" t="n">
        <f aca="false">IF(AND($F90="原始數據",$S90&lt;&gt;"Active"),1,0)</f>
        <v>0</v>
      </c>
      <c r="AC90" s="103" t="n">
        <f aca="false">IF(AND(ISNUMBER($K90),ISNUMBER($L90),ISNUMBER($Q90)),IF(OR($Q90&lt;MIN($K90,$L90),$Q90&gt;MAX($K90,$L90)),1,0),0)</f>
        <v>0</v>
      </c>
      <c r="AD90" s="103" t="n">
        <f aca="false">IF(AND(ISNUMBER($T90),$P90="高"),IF($T90=3,1,0),0)</f>
        <v>0</v>
      </c>
      <c r="AE90" s="103" t="n">
        <f aca="false">IF(AND($S90="不存在",$B90="切片一"),1,0)</f>
        <v>0</v>
      </c>
    </row>
    <row r="91" customFormat="false" ht="15" hidden="false" customHeight="false" outlineLevel="0" collapsed="false">
      <c r="A91" s="53" t="s">
        <v>2525</v>
      </c>
      <c r="B91" s="52" t="s">
        <v>2297</v>
      </c>
      <c r="C91" s="53" t="s">
        <v>2460</v>
      </c>
      <c r="D91" s="53" t="s">
        <v>2228</v>
      </c>
      <c r="E91" s="5" t="s">
        <v>2519</v>
      </c>
      <c r="F91" s="52" t="s">
        <v>2337</v>
      </c>
      <c r="G91" s="52" t="s">
        <v>2299</v>
      </c>
      <c r="H91" s="53" t="s">
        <v>2526</v>
      </c>
      <c r="I91" s="5" t="s">
        <v>2339</v>
      </c>
      <c r="J91" s="53" t="s">
        <v>554</v>
      </c>
      <c r="K91" s="52"/>
      <c r="L91" s="52"/>
      <c r="M91" s="53" t="s">
        <v>554</v>
      </c>
      <c r="N91" s="5" t="s">
        <v>2340</v>
      </c>
      <c r="O91" s="6" t="s">
        <v>554</v>
      </c>
      <c r="P91" s="52" t="s">
        <v>2307</v>
      </c>
      <c r="Q91" s="90" t="n">
        <f aca="false">Spec_Rack!E11</f>
        <v>4</v>
      </c>
      <c r="R91" s="83" t="n">
        <f aca="false">SRC_HW_052</f>
        <v>4</v>
      </c>
      <c r="S91" s="83" t="str">
        <f aca="false">IF(OR($H91="—",$H91=""),"—",IF(ISNUMBER(MATCH($H91,SRC_HW!$A$5:$A$400,0)),INDEX(SRC_HW!$O$5:$O$400,MATCH($H91,SRC_HW!$A$5:$A$400,0)),IF(ISNUMBER(MATCH($H91,SRC_DC!$A$5:$A$400,0)),INDEX(SRC_DC!$O$5:$O$400,MATCH($H91,SRC_DC!$A$5:$A$400,0)),IF(ISNUMBER(MATCH($H91,SRC_Model!$A$5:$A$400,0)),INDEX(SRC_Model!$O$5:$O$400,MATCH($H91,SRC_Model!$A$5:$A$400,0)),IF(ISNUMBER(MATCH($H91,SRC_Perf!$A$5:$A$400,0)),INDEX(SRC_Perf!$O$5:$O$400,MATCH($H91,SRC_Perf!$A$5:$A$400,0)),"不存在")))))</f>
        <v>Active</v>
      </c>
      <c r="T91" s="83" t="n">
        <f aca="false">IF(OR($H91="—",$H91=""),"—",IF(ISNUMBER(MATCH($H91,SRC_HW!$A$5:$A$400,0)),INDEX(SRC_HW!$K$5:$K$400,MATCH($H91,SRC_HW!$A$5:$A$400,0)),IF(ISNUMBER(MATCH($H91,SRC_DC!$A$5:$A$400,0)),INDEX(SRC_DC!$K$5:$K$400,MATCH($H91,SRC_DC!$A$5:$A$400,0)),IF(ISNUMBER(MATCH($H91,SRC_Model!$A$5:$A$400,0)),INDEX(SRC_Model!$K$5:$K$400,MATCH($H91,SRC_Model!$A$5:$A$400,0)),IF(ISNUMBER(MATCH($H91,SRC_Perf!$A$5:$A$400,0)),INDEX(SRC_Perf!$K$5:$K$400,MATCH($H91,SRC_Perf!$A$5:$A$400,0)),"不存在")))))</f>
        <v>3</v>
      </c>
      <c r="U91" s="52" t="s">
        <v>2341</v>
      </c>
      <c r="V91" s="103" t="n">
        <f aca="false">IF(AND($F91="原始數據",$U91&lt;&gt;"連結 SRC"),1,0)</f>
        <v>0</v>
      </c>
      <c r="W91" s="103" t="n">
        <f aca="false">IF(AND($F91="Analogy",OR($H91="—",$H91="")),1,0)</f>
        <v>0</v>
      </c>
      <c r="X91" s="103" t="n">
        <f aca="false">IF(AND(OR($F91="Analogy",$F91="Assumed"),$G91&lt;&gt;"低",$G91&lt;&gt;"高",NOT(ISNUMBER($K91)),NOT(ISNUMBER($L91)),OR($M91="—",$M91="")),1,0)</f>
        <v>0</v>
      </c>
      <c r="Y91" s="103" t="n">
        <f aca="false">IF(AND(OR($F91="Analogy",$F91="Assumed",$F91="Derived（待改公式）",$F91="Derived（公式）"),OR($N91="—",$N91="",$N91=0)),1,0)</f>
        <v>0</v>
      </c>
      <c r="Z91" s="103" t="n">
        <f aca="false">IF(AND($F91="Decision",OR($J91="—",$J91="")),1,0)</f>
        <v>0</v>
      </c>
      <c r="AA91" s="84" t="n">
        <f aca="false">IF(OR($J91="—",$J91=""),0,IF(COUNTIF(Decisions!$A$5:$A$300,$J91)=0,1,0))</f>
        <v>0</v>
      </c>
      <c r="AB91" s="103" t="n">
        <f aca="false">IF(AND($F91="原始數據",$S91&lt;&gt;"Active"),1,0)</f>
        <v>0</v>
      </c>
      <c r="AC91" s="103" t="n">
        <f aca="false">IF(AND(ISNUMBER($K91),ISNUMBER($L91),ISNUMBER($Q91)),IF(OR($Q91&lt;MIN($K91,$L91),$Q91&gt;MAX($K91,$L91)),1,0),0)</f>
        <v>0</v>
      </c>
      <c r="AD91" s="103" t="n">
        <f aca="false">IF(AND(ISNUMBER($T91),$P91="高"),IF($T91=3,1,0),0)</f>
        <v>0</v>
      </c>
      <c r="AE91" s="103" t="n">
        <f aca="false">IF(AND($S91="不存在",$B91="切片一"),1,0)</f>
        <v>0</v>
      </c>
    </row>
    <row r="92" customFormat="false" ht="44" hidden="false" customHeight="false" outlineLevel="0" collapsed="false">
      <c r="A92" s="53" t="s">
        <v>2527</v>
      </c>
      <c r="B92" s="52" t="s">
        <v>2297</v>
      </c>
      <c r="C92" s="53" t="s">
        <v>2460</v>
      </c>
      <c r="D92" s="53" t="s">
        <v>2329</v>
      </c>
      <c r="E92" s="5" t="s">
        <v>2519</v>
      </c>
      <c r="F92" s="52" t="s">
        <v>2491</v>
      </c>
      <c r="G92" s="52" t="s">
        <v>1078</v>
      </c>
      <c r="H92" s="53" t="s">
        <v>2528</v>
      </c>
      <c r="I92" s="5" t="s">
        <v>2529</v>
      </c>
      <c r="J92" s="53" t="s">
        <v>554</v>
      </c>
      <c r="K92" s="52"/>
      <c r="L92" s="52"/>
      <c r="M92" s="53" t="s">
        <v>554</v>
      </c>
      <c r="N92" s="5" t="s">
        <v>2530</v>
      </c>
      <c r="O92" s="6" t="s">
        <v>554</v>
      </c>
      <c r="P92" s="52" t="s">
        <v>2307</v>
      </c>
      <c r="Q92" s="90" t="n">
        <f aca="false">Spec_Rack!F11</f>
        <v>6.7</v>
      </c>
      <c r="R92" s="83" t="n">
        <f aca="false">SRC_HW_016</f>
        <v>6.7</v>
      </c>
      <c r="S92" s="83" t="str">
        <f aca="false">IF(OR($H92="—",$H92=""),"—",IF(ISNUMBER(MATCH($H92,SRC_HW!$A$5:$A$400,0)),INDEX(SRC_HW!$O$5:$O$400,MATCH($H92,SRC_HW!$A$5:$A$400,0)),IF(ISNUMBER(MATCH($H92,SRC_DC!$A$5:$A$400,0)),INDEX(SRC_DC!$O$5:$O$400,MATCH($H92,SRC_DC!$A$5:$A$400,0)),IF(ISNUMBER(MATCH($H92,SRC_Model!$A$5:$A$400,0)),INDEX(SRC_Model!$O$5:$O$400,MATCH($H92,SRC_Model!$A$5:$A$400,0)),IF(ISNUMBER(MATCH($H92,SRC_Perf!$A$5:$A$400,0)),INDEX(SRC_Perf!$O$5:$O$400,MATCH($H92,SRC_Perf!$A$5:$A$400,0)),"不存在")))))</f>
        <v>Alt</v>
      </c>
      <c r="T92" s="83" t="n">
        <f aca="false">IF(OR($H92="—",$H92=""),"—",IF(ISNUMBER(MATCH($H92,SRC_HW!$A$5:$A$400,0)),INDEX(SRC_HW!$K$5:$K$400,MATCH($H92,SRC_HW!$A$5:$A$400,0)),IF(ISNUMBER(MATCH($H92,SRC_DC!$A$5:$A$400,0)),INDEX(SRC_DC!$K$5:$K$400,MATCH($H92,SRC_DC!$A$5:$A$400,0)),IF(ISNUMBER(MATCH($H92,SRC_Model!$A$5:$A$400,0)),INDEX(SRC_Model!$K$5:$K$400,MATCH($H92,SRC_Model!$A$5:$A$400,0)),IF(ISNUMBER(MATCH($H92,SRC_Perf!$A$5:$A$400,0)),INDEX(SRC_Perf!$K$5:$K$400,MATCH($H92,SRC_Perf!$A$5:$A$400,0)),"不存在")))))</f>
        <v>3</v>
      </c>
      <c r="U92" s="52" t="s">
        <v>2302</v>
      </c>
      <c r="V92" s="103" t="n">
        <f aca="false">IF(AND($F92="原始數據",$U92&lt;&gt;"連結 SRC"),1,0)</f>
        <v>0</v>
      </c>
      <c r="W92" s="103" t="n">
        <f aca="false">IF(AND($F92="Analogy",OR($H92="—",$H92="")),1,0)</f>
        <v>0</v>
      </c>
      <c r="X92" s="103" t="n">
        <f aca="false">IF(AND(OR($F92="Analogy",$F92="Assumed"),$G92&lt;&gt;"低",$G92&lt;&gt;"高",NOT(ISNUMBER($K92)),NOT(ISNUMBER($L92)),OR($M92="—",$M92="")),1,0)</f>
        <v>0</v>
      </c>
      <c r="Y92" s="103" t="n">
        <f aca="false">IF(AND(OR($F92="Analogy",$F92="Assumed",$F92="Derived（待改公式）",$F92="Derived（公式）"),OR($N92="—",$N92="",$N92=0)),1,0)</f>
        <v>0</v>
      </c>
      <c r="Z92" s="103" t="n">
        <f aca="false">IF(AND($F92="Decision",OR($J92="—",$J92="")),1,0)</f>
        <v>0</v>
      </c>
      <c r="AA92" s="84" t="n">
        <f aca="false">IF(OR($J92="—",$J92=""),0,IF(COUNTIF(Decisions!$A$5:$A$300,$J92)=0,1,0))</f>
        <v>0</v>
      </c>
      <c r="AB92" s="103" t="n">
        <f aca="false">IF(AND($F92="原始數據",$S92&lt;&gt;"Active"),1,0)</f>
        <v>0</v>
      </c>
      <c r="AC92" s="103" t="n">
        <f aca="false">IF(AND(ISNUMBER($K92),ISNUMBER($L92),ISNUMBER($Q92)),IF(OR($Q92&lt;MIN($K92,$L92),$Q92&gt;MAX($K92,$L92)),1,0),0)</f>
        <v>0</v>
      </c>
      <c r="AD92" s="103" t="n">
        <f aca="false">IF(AND(ISNUMBER($T92),$P92="高"),IF($T92=3,1,0),0)</f>
        <v>0</v>
      </c>
      <c r="AE92" s="103" t="n">
        <f aca="false">IF(AND($S92="不存在",$B92="切片一"),1,0)</f>
        <v>0</v>
      </c>
    </row>
    <row r="93" customFormat="false" ht="29.85" hidden="false" customHeight="false" outlineLevel="0" collapsed="false">
      <c r="A93" s="53" t="s">
        <v>2531</v>
      </c>
      <c r="B93" s="52" t="s">
        <v>2297</v>
      </c>
      <c r="C93" s="53" t="s">
        <v>2460</v>
      </c>
      <c r="D93" s="53" t="s">
        <v>2532</v>
      </c>
      <c r="E93" s="5" t="s">
        <v>2519</v>
      </c>
      <c r="F93" s="53" t="s">
        <v>70</v>
      </c>
      <c r="G93" s="52" t="s">
        <v>1078</v>
      </c>
      <c r="H93" s="53" t="s">
        <v>554</v>
      </c>
      <c r="I93" s="6" t="s">
        <v>554</v>
      </c>
      <c r="J93" s="53" t="s">
        <v>554</v>
      </c>
      <c r="K93" s="52"/>
      <c r="L93" s="52"/>
      <c r="M93" s="53" t="s">
        <v>554</v>
      </c>
      <c r="N93" s="6" t="s">
        <v>2533</v>
      </c>
      <c r="O93" s="6" t="s">
        <v>554</v>
      </c>
      <c r="P93" s="52" t="s">
        <v>2307</v>
      </c>
      <c r="Q93" s="90" t="n">
        <f aca="false">Spec_Rack!G11</f>
        <v>23.4</v>
      </c>
      <c r="R93" s="53" t="s">
        <v>554</v>
      </c>
      <c r="S93" s="83" t="str">
        <f aca="false">IF(OR($H93="—",$H93=""),"—",IF(ISNUMBER(MATCH($H93,SRC_HW!$A$5:$A$400,0)),INDEX(SRC_HW!$O$5:$O$400,MATCH($H93,SRC_HW!$A$5:$A$400,0)),IF(ISNUMBER(MATCH($H93,SRC_DC!$A$5:$A$400,0)),INDEX(SRC_DC!$O$5:$O$400,MATCH($H93,SRC_DC!$A$5:$A$400,0)),IF(ISNUMBER(MATCH($H93,SRC_Model!$A$5:$A$400,0)),INDEX(SRC_Model!$O$5:$O$400,MATCH($H93,SRC_Model!$A$5:$A$400,0)),IF(ISNUMBER(MATCH($H93,SRC_Perf!$A$5:$A$400,0)),INDEX(SRC_Perf!$O$5:$O$400,MATCH($H93,SRC_Perf!$A$5:$A$400,0)),"不存在")))))</f>
        <v>—</v>
      </c>
      <c r="T93" s="83" t="str">
        <f aca="false">IF(OR($H93="—",$H93=""),"—",IF(ISNUMBER(MATCH($H93,SRC_HW!$A$5:$A$400,0)),INDEX(SRC_HW!$K$5:$K$400,MATCH($H93,SRC_HW!$A$5:$A$400,0)),IF(ISNUMBER(MATCH($H93,SRC_DC!$A$5:$A$400,0)),INDEX(SRC_DC!$K$5:$K$400,MATCH($H93,SRC_DC!$A$5:$A$400,0)),IF(ISNUMBER(MATCH($H93,SRC_Model!$A$5:$A$400,0)),INDEX(SRC_Model!$K$5:$K$400,MATCH($H93,SRC_Model!$A$5:$A$400,0)),IF(ISNUMBER(MATCH($H93,SRC_Perf!$A$5:$A$400,0)),INDEX(SRC_Perf!$K$5:$K$400,MATCH($H93,SRC_Perf!$A$5:$A$400,0)),"不存在")))))</f>
        <v>—</v>
      </c>
      <c r="U93" s="52" t="s">
        <v>2302</v>
      </c>
      <c r="V93" s="103" t="n">
        <f aca="false">IF(AND($F93="原始數據",$U93&lt;&gt;"連結 SRC"),1,0)</f>
        <v>0</v>
      </c>
      <c r="W93" s="103" t="n">
        <f aca="false">IF(AND($F93="Analogy",OR($H93="—",$H93="")),1,0)</f>
        <v>0</v>
      </c>
      <c r="X93" s="103" t="n">
        <f aca="false">IF(AND(OR($F93="Analogy",$F93="Assumed"),$G93&lt;&gt;"低",$G93&lt;&gt;"高",NOT(ISNUMBER($K93)),NOT(ISNUMBER($L93)),OR($M93="—",$M93="")),1,0)</f>
        <v>0</v>
      </c>
      <c r="Y93" s="103" t="n">
        <f aca="false">IF(AND(OR($F93="Analogy",$F93="Assumed",$F93="Derived（待改公式）",$F93="Derived（公式）"),OR($N93="—",$N93="",$N93=0)),1,0)</f>
        <v>0</v>
      </c>
      <c r="Z93" s="103" t="n">
        <f aca="false">IF(AND($F93="Decision",OR($J93="—",$J93="")),1,0)</f>
        <v>0</v>
      </c>
      <c r="AA93" s="84" t="n">
        <f aca="false">IF(OR($J93="—",$J93=""),0,IF(COUNTIF(Decisions!$A$5:$A$300,$J93)=0,1,0))</f>
        <v>0</v>
      </c>
      <c r="AB93" s="103" t="n">
        <f aca="false">IF(AND($F93="原始數據",$S93&lt;&gt;"Active"),1,0)</f>
        <v>0</v>
      </c>
      <c r="AC93" s="103" t="n">
        <f aca="false">IF(AND(ISNUMBER($K93),ISNUMBER($L93),ISNUMBER($Q93)),IF(OR($Q93&lt;MIN($K93,$L93),$Q93&gt;MAX($K93,$L93)),1,0),0)</f>
        <v>0</v>
      </c>
      <c r="AD93" s="103" t="n">
        <f aca="false">IF(AND(ISNUMBER($T93),$P93="高"),IF($T93=3,1,0),0)</f>
        <v>0</v>
      </c>
      <c r="AE93" s="103" t="n">
        <f aca="false">IF(AND($S93="不存在",$B93="切片一"),1,0)</f>
        <v>0</v>
      </c>
    </row>
    <row r="94" customFormat="false" ht="44" hidden="false" customHeight="false" outlineLevel="0" collapsed="false">
      <c r="A94" s="53" t="s">
        <v>2534</v>
      </c>
      <c r="B94" s="52" t="s">
        <v>2297</v>
      </c>
      <c r="C94" s="53" t="s">
        <v>2460</v>
      </c>
      <c r="D94" s="53" t="s">
        <v>2535</v>
      </c>
      <c r="E94" s="5" t="s">
        <v>2536</v>
      </c>
      <c r="F94" s="52" t="s">
        <v>2491</v>
      </c>
      <c r="G94" s="52" t="s">
        <v>55</v>
      </c>
      <c r="H94" s="53" t="s">
        <v>2520</v>
      </c>
      <c r="I94" s="5" t="s">
        <v>2537</v>
      </c>
      <c r="J94" s="53" t="s">
        <v>554</v>
      </c>
      <c r="K94" s="90" t="n">
        <f aca="false">Spec_Rack!C11</f>
        <v>0.9</v>
      </c>
      <c r="L94" s="90" t="n">
        <f aca="false">Spec_Rack!C13</f>
        <v>1.3</v>
      </c>
      <c r="M94" s="53" t="s">
        <v>554</v>
      </c>
      <c r="N94" s="5" t="s">
        <v>2538</v>
      </c>
      <c r="O94" s="6" t="s">
        <v>554</v>
      </c>
      <c r="P94" s="52" t="s">
        <v>1079</v>
      </c>
      <c r="Q94" s="90" t="n">
        <f aca="false">Spec_Rack!C12</f>
        <v>1.1</v>
      </c>
      <c r="R94" s="83" t="n">
        <f aca="false">SRC_HW_003_Lo</f>
        <v>220000</v>
      </c>
      <c r="S94" s="83" t="str">
        <f aca="false">IF(OR($H94="—",$H94=""),"—",IF(ISNUMBER(MATCH($H94,SRC_HW!$A$5:$A$400,0)),INDEX(SRC_HW!$O$5:$O$400,MATCH($H94,SRC_HW!$A$5:$A$400,0)),IF(ISNUMBER(MATCH($H94,SRC_DC!$A$5:$A$400,0)),INDEX(SRC_DC!$O$5:$O$400,MATCH($H94,SRC_DC!$A$5:$A$400,0)),IF(ISNUMBER(MATCH($H94,SRC_Model!$A$5:$A$400,0)),INDEX(SRC_Model!$O$5:$O$400,MATCH($H94,SRC_Model!$A$5:$A$400,0)),IF(ISNUMBER(MATCH($H94,SRC_Perf!$A$5:$A$400,0)),INDEX(SRC_Perf!$O$5:$O$400,MATCH($H94,SRC_Perf!$A$5:$A$400,0)),"不存在")))))</f>
        <v>Active</v>
      </c>
      <c r="T94" s="83" t="n">
        <f aca="false">IF(OR($H94="—",$H94=""),"—",IF(ISNUMBER(MATCH($H94,SRC_HW!$A$5:$A$400,0)),INDEX(SRC_HW!$K$5:$K$400,MATCH($H94,SRC_HW!$A$5:$A$400,0)),IF(ISNUMBER(MATCH($H94,SRC_DC!$A$5:$A$400,0)),INDEX(SRC_DC!$K$5:$K$400,MATCH($H94,SRC_DC!$A$5:$A$400,0)),IF(ISNUMBER(MATCH($H94,SRC_Model!$A$5:$A$400,0)),INDEX(SRC_Model!$K$5:$K$400,MATCH($H94,SRC_Model!$A$5:$A$400,0)),IF(ISNUMBER(MATCH($H94,SRC_Perf!$A$5:$A$400,0)),INDEX(SRC_Perf!$K$5:$K$400,MATCH($H94,SRC_Perf!$A$5:$A$400,0)),"不存在")))))</f>
        <v>3</v>
      </c>
      <c r="U94" s="52" t="s">
        <v>2302</v>
      </c>
      <c r="V94" s="103" t="n">
        <f aca="false">IF(AND($F94="原始數據",$U94&lt;&gt;"連結 SRC"),1,0)</f>
        <v>0</v>
      </c>
      <c r="W94" s="103" t="n">
        <f aca="false">IF(AND($F94="Analogy",OR($H94="—",$H94="")),1,0)</f>
        <v>0</v>
      </c>
      <c r="X94" s="103" t="n">
        <f aca="false">IF(AND(OR($F94="Analogy",$F94="Assumed"),$G94&lt;&gt;"低",$G94&lt;&gt;"高",NOT(ISNUMBER($K94)),NOT(ISNUMBER($L94)),OR($M94="—",$M94="")),1,0)</f>
        <v>0</v>
      </c>
      <c r="Y94" s="103" t="n">
        <f aca="false">IF(AND(OR($F94="Analogy",$F94="Assumed",$F94="Derived（待改公式）",$F94="Derived（公式）"),OR($N94="—",$N94="",$N94=0)),1,0)</f>
        <v>0</v>
      </c>
      <c r="Z94" s="103" t="n">
        <f aca="false">IF(AND($F94="Decision",OR($J94="—",$J94="")),1,0)</f>
        <v>0</v>
      </c>
      <c r="AA94" s="84" t="n">
        <f aca="false">IF(OR($J94="—",$J94=""),0,IF(COUNTIF(Decisions!$A$5:$A$300,$J94)=0,1,0))</f>
        <v>0</v>
      </c>
      <c r="AB94" s="103" t="n">
        <f aca="false">IF(AND($F94="原始數據",$S94&lt;&gt;"Active"),1,0)</f>
        <v>0</v>
      </c>
      <c r="AC94" s="103" t="n">
        <f aca="false">IF(AND(ISNUMBER($K94),ISNUMBER($L94),ISNUMBER($Q94)),IF(OR($Q94&lt;MIN($K94,$L94),$Q94&gt;MAX($K94,$L94)),1,0),0)</f>
        <v>0</v>
      </c>
      <c r="AD94" s="103" t="n">
        <f aca="false">IF(AND(ISNUMBER($T94),$P94="高"),IF($T94=3,1,0),0)</f>
        <v>1</v>
      </c>
      <c r="AE94" s="103" t="n">
        <f aca="false">IF(AND($S94="不存在",$B94="切片一"),1,0)</f>
        <v>0</v>
      </c>
    </row>
    <row r="95" customFormat="false" ht="29.85" hidden="false" customHeight="false" outlineLevel="0" collapsed="false">
      <c r="A95" s="53" t="s">
        <v>2539</v>
      </c>
      <c r="B95" s="52" t="s">
        <v>2297</v>
      </c>
      <c r="C95" s="53" t="s">
        <v>2460</v>
      </c>
      <c r="D95" s="53" t="s">
        <v>2540</v>
      </c>
      <c r="E95" s="5" t="s">
        <v>2536</v>
      </c>
      <c r="F95" s="52" t="s">
        <v>2491</v>
      </c>
      <c r="G95" s="52" t="s">
        <v>55</v>
      </c>
      <c r="H95" s="53" t="s">
        <v>2524</v>
      </c>
      <c r="I95" s="5" t="s">
        <v>2499</v>
      </c>
      <c r="J95" s="53" t="s">
        <v>554</v>
      </c>
      <c r="K95" s="90" t="n">
        <f aca="false">Spec_Rack!D11</f>
        <v>2.8</v>
      </c>
      <c r="L95" s="90" t="n">
        <f aca="false">Spec_Rack!D13</f>
        <v>3.4</v>
      </c>
      <c r="M95" s="53" t="s">
        <v>554</v>
      </c>
      <c r="N95" s="5" t="s">
        <v>2500</v>
      </c>
      <c r="O95" s="6" t="s">
        <v>554</v>
      </c>
      <c r="P95" s="52" t="s">
        <v>1079</v>
      </c>
      <c r="Q95" s="90" t="n">
        <f aca="false">Spec_Rack!D12</f>
        <v>3.1</v>
      </c>
      <c r="R95" s="83" t="n">
        <f aca="false">SRC_HW_006_Lo</f>
        <v>2.8</v>
      </c>
      <c r="S95" s="83" t="str">
        <f aca="false">IF(OR($H95="—",$H95=""),"—",IF(ISNUMBER(MATCH($H95,SRC_HW!$A$5:$A$400,0)),INDEX(SRC_HW!$O$5:$O$400,MATCH($H95,SRC_HW!$A$5:$A$400,0)),IF(ISNUMBER(MATCH($H95,SRC_DC!$A$5:$A$400,0)),INDEX(SRC_DC!$O$5:$O$400,MATCH($H95,SRC_DC!$A$5:$A$400,0)),IF(ISNUMBER(MATCH($H95,SRC_Model!$A$5:$A$400,0)),INDEX(SRC_Model!$O$5:$O$400,MATCH($H95,SRC_Model!$A$5:$A$400,0)),IF(ISNUMBER(MATCH($H95,SRC_Perf!$A$5:$A$400,0)),INDEX(SRC_Perf!$O$5:$O$400,MATCH($H95,SRC_Perf!$A$5:$A$400,0)),"不存在")))))</f>
        <v>Active</v>
      </c>
      <c r="T95" s="83" t="n">
        <f aca="false">IF(OR($H95="—",$H95=""),"—",IF(ISNUMBER(MATCH($H95,SRC_HW!$A$5:$A$400,0)),INDEX(SRC_HW!$K$5:$K$400,MATCH($H95,SRC_HW!$A$5:$A$400,0)),IF(ISNUMBER(MATCH($H95,SRC_DC!$A$5:$A$400,0)),INDEX(SRC_DC!$K$5:$K$400,MATCH($H95,SRC_DC!$A$5:$A$400,0)),IF(ISNUMBER(MATCH($H95,SRC_Model!$A$5:$A$400,0)),INDEX(SRC_Model!$K$5:$K$400,MATCH($H95,SRC_Model!$A$5:$A$400,0)),IF(ISNUMBER(MATCH($H95,SRC_Perf!$A$5:$A$400,0)),INDEX(SRC_Perf!$K$5:$K$400,MATCH($H95,SRC_Perf!$A$5:$A$400,0)),"不存在")))))</f>
        <v>3</v>
      </c>
      <c r="U95" s="52" t="s">
        <v>2302</v>
      </c>
      <c r="V95" s="103" t="n">
        <f aca="false">IF(AND($F95="原始數據",$U95&lt;&gt;"連結 SRC"),1,0)</f>
        <v>0</v>
      </c>
      <c r="W95" s="103" t="n">
        <f aca="false">IF(AND($F95="Analogy",OR($H95="—",$H95="")),1,0)</f>
        <v>0</v>
      </c>
      <c r="X95" s="103" t="n">
        <f aca="false">IF(AND(OR($F95="Analogy",$F95="Assumed"),$G95&lt;&gt;"低",$G95&lt;&gt;"高",NOT(ISNUMBER($K95)),NOT(ISNUMBER($L95)),OR($M95="—",$M95="")),1,0)</f>
        <v>0</v>
      </c>
      <c r="Y95" s="103" t="n">
        <f aca="false">IF(AND(OR($F95="Analogy",$F95="Assumed",$F95="Derived（待改公式）",$F95="Derived（公式）"),OR($N95="—",$N95="",$N95=0)),1,0)</f>
        <v>0</v>
      </c>
      <c r="Z95" s="103" t="n">
        <f aca="false">IF(AND($F95="Decision",OR($J95="—",$J95="")),1,0)</f>
        <v>0</v>
      </c>
      <c r="AA95" s="84" t="n">
        <f aca="false">IF(OR($J95="—",$J95=""),0,IF(COUNTIF(Decisions!$A$5:$A$300,$J95)=0,1,0))</f>
        <v>0</v>
      </c>
      <c r="AB95" s="103" t="n">
        <f aca="false">IF(AND($F95="原始數據",$S95&lt;&gt;"Active"),1,0)</f>
        <v>0</v>
      </c>
      <c r="AC95" s="103" t="n">
        <f aca="false">IF(AND(ISNUMBER($K95),ISNUMBER($L95),ISNUMBER($Q95)),IF(OR($Q95&lt;MIN($K95,$L95),$Q95&gt;MAX($K95,$L95)),1,0),0)</f>
        <v>0</v>
      </c>
      <c r="AD95" s="103" t="n">
        <f aca="false">IF(AND(ISNUMBER($T95),$P95="高"),IF($T95=3,1,0),0)</f>
        <v>1</v>
      </c>
      <c r="AE95" s="103" t="n">
        <f aca="false">IF(AND($S95="不存在",$B95="切片一"),1,0)</f>
        <v>0</v>
      </c>
    </row>
    <row r="96" customFormat="false" ht="15" hidden="false" customHeight="false" outlineLevel="0" collapsed="false">
      <c r="A96" s="53" t="s">
        <v>2541</v>
      </c>
      <c r="B96" s="52" t="s">
        <v>2297</v>
      </c>
      <c r="C96" s="53" t="s">
        <v>2460</v>
      </c>
      <c r="D96" s="53" t="s">
        <v>2231</v>
      </c>
      <c r="E96" s="5" t="s">
        <v>2536</v>
      </c>
      <c r="F96" s="52" t="s">
        <v>2337</v>
      </c>
      <c r="G96" s="52" t="s">
        <v>2299</v>
      </c>
      <c r="H96" s="53" t="s">
        <v>2542</v>
      </c>
      <c r="I96" s="5" t="s">
        <v>2339</v>
      </c>
      <c r="J96" s="53" t="s">
        <v>554</v>
      </c>
      <c r="K96" s="52"/>
      <c r="L96" s="52"/>
      <c r="M96" s="53" t="s">
        <v>554</v>
      </c>
      <c r="N96" s="5" t="s">
        <v>2340</v>
      </c>
      <c r="O96" s="6" t="s">
        <v>554</v>
      </c>
      <c r="P96" s="52" t="s">
        <v>1079</v>
      </c>
      <c r="Q96" s="90" t="n">
        <f aca="false">Spec_Rack!E12</f>
        <v>5</v>
      </c>
      <c r="R96" s="83" t="n">
        <f aca="false">SRC_HW_010</f>
        <v>5</v>
      </c>
      <c r="S96" s="83" t="str">
        <f aca="false">IF(OR($H96="—",$H96=""),"—",IF(ISNUMBER(MATCH($H96,SRC_HW!$A$5:$A$400,0)),INDEX(SRC_HW!$O$5:$O$400,MATCH($H96,SRC_HW!$A$5:$A$400,0)),IF(ISNUMBER(MATCH($H96,SRC_DC!$A$5:$A$400,0)),INDEX(SRC_DC!$O$5:$O$400,MATCH($H96,SRC_DC!$A$5:$A$400,0)),IF(ISNUMBER(MATCH($H96,SRC_Model!$A$5:$A$400,0)),INDEX(SRC_Model!$O$5:$O$400,MATCH($H96,SRC_Model!$A$5:$A$400,0)),IF(ISNUMBER(MATCH($H96,SRC_Perf!$A$5:$A$400,0)),INDEX(SRC_Perf!$O$5:$O$400,MATCH($H96,SRC_Perf!$A$5:$A$400,0)),"不存在")))))</f>
        <v>Active</v>
      </c>
      <c r="T96" s="83" t="n">
        <f aca="false">IF(OR($H96="—",$H96=""),"—",IF(ISNUMBER(MATCH($H96,SRC_HW!$A$5:$A$400,0)),INDEX(SRC_HW!$K$5:$K$400,MATCH($H96,SRC_HW!$A$5:$A$400,0)),IF(ISNUMBER(MATCH($H96,SRC_DC!$A$5:$A$400,0)),INDEX(SRC_DC!$K$5:$K$400,MATCH($H96,SRC_DC!$A$5:$A$400,0)),IF(ISNUMBER(MATCH($H96,SRC_Model!$A$5:$A$400,0)),INDEX(SRC_Model!$K$5:$K$400,MATCH($H96,SRC_Model!$A$5:$A$400,0)),IF(ISNUMBER(MATCH($H96,SRC_Perf!$A$5:$A$400,0)),INDEX(SRC_Perf!$K$5:$K$400,MATCH($H96,SRC_Perf!$A$5:$A$400,0)),"不存在")))))</f>
        <v>3</v>
      </c>
      <c r="U96" s="52" t="s">
        <v>2341</v>
      </c>
      <c r="V96" s="103" t="n">
        <f aca="false">IF(AND($F96="原始數據",$U96&lt;&gt;"連結 SRC"),1,0)</f>
        <v>0</v>
      </c>
      <c r="W96" s="103" t="n">
        <f aca="false">IF(AND($F96="Analogy",OR($H96="—",$H96="")),1,0)</f>
        <v>0</v>
      </c>
      <c r="X96" s="103" t="n">
        <f aca="false">IF(AND(OR($F96="Analogy",$F96="Assumed"),$G96&lt;&gt;"低",$G96&lt;&gt;"高",NOT(ISNUMBER($K96)),NOT(ISNUMBER($L96)),OR($M96="—",$M96="")),1,0)</f>
        <v>0</v>
      </c>
      <c r="Y96" s="103" t="n">
        <f aca="false">IF(AND(OR($F96="Analogy",$F96="Assumed",$F96="Derived（待改公式）",$F96="Derived（公式）"),OR($N96="—",$N96="",$N96=0)),1,0)</f>
        <v>0</v>
      </c>
      <c r="Z96" s="103" t="n">
        <f aca="false">IF(AND($F96="Decision",OR($J96="—",$J96="")),1,0)</f>
        <v>0</v>
      </c>
      <c r="AA96" s="84" t="n">
        <f aca="false">IF(OR($J96="—",$J96=""),0,IF(COUNTIF(Decisions!$A$5:$A$300,$J96)=0,1,0))</f>
        <v>0</v>
      </c>
      <c r="AB96" s="103" t="n">
        <f aca="false">IF(AND($F96="原始數據",$S96&lt;&gt;"Active"),1,0)</f>
        <v>0</v>
      </c>
      <c r="AC96" s="103" t="n">
        <f aca="false">IF(AND(ISNUMBER($K96),ISNUMBER($L96),ISNUMBER($Q96)),IF(OR($Q96&lt;MIN($K96,$L96),$Q96&gt;MAX($K96,$L96)),1,0),0)</f>
        <v>0</v>
      </c>
      <c r="AD96" s="103" t="n">
        <f aca="false">IF(AND(ISNUMBER($T96),$P96="高"),IF($T96=3,1,0),0)</f>
        <v>1</v>
      </c>
      <c r="AE96" s="103" t="n">
        <f aca="false">IF(AND($S96="不存在",$B96="切片一"),1,0)</f>
        <v>0</v>
      </c>
    </row>
    <row r="97" customFormat="false" ht="15" hidden="false" customHeight="false" outlineLevel="0" collapsed="false">
      <c r="A97" s="53" t="s">
        <v>2543</v>
      </c>
      <c r="B97" s="52" t="s">
        <v>2297</v>
      </c>
      <c r="C97" s="53" t="s">
        <v>2460</v>
      </c>
      <c r="D97" s="53" t="s">
        <v>2544</v>
      </c>
      <c r="E97" s="5" t="s">
        <v>2536</v>
      </c>
      <c r="F97" s="52" t="s">
        <v>2337</v>
      </c>
      <c r="G97" s="52" t="s">
        <v>2299</v>
      </c>
      <c r="H97" s="53" t="s">
        <v>2545</v>
      </c>
      <c r="I97" s="5" t="s">
        <v>2339</v>
      </c>
      <c r="J97" s="53" t="s">
        <v>554</v>
      </c>
      <c r="K97" s="52"/>
      <c r="L97" s="52"/>
      <c r="M97" s="53" t="s">
        <v>554</v>
      </c>
      <c r="N97" s="5" t="s">
        <v>2340</v>
      </c>
      <c r="O97" s="6" t="s">
        <v>554</v>
      </c>
      <c r="P97" s="52" t="s">
        <v>1079</v>
      </c>
      <c r="Q97" s="90" t="n">
        <f aca="false">Spec_Rack!F12</f>
        <v>7.8</v>
      </c>
      <c r="R97" s="83" t="n">
        <f aca="false">SRC_HW_015</f>
        <v>7.8</v>
      </c>
      <c r="S97" s="83" t="str">
        <f aca="false">IF(OR($H97="—",$H97=""),"—",IF(ISNUMBER(MATCH($H97,SRC_HW!$A$5:$A$400,0)),INDEX(SRC_HW!$O$5:$O$400,MATCH($H97,SRC_HW!$A$5:$A$400,0)),IF(ISNUMBER(MATCH($H97,SRC_DC!$A$5:$A$400,0)),INDEX(SRC_DC!$O$5:$O$400,MATCH($H97,SRC_DC!$A$5:$A$400,0)),IF(ISNUMBER(MATCH($H97,SRC_Model!$A$5:$A$400,0)),INDEX(SRC_Model!$O$5:$O$400,MATCH($H97,SRC_Model!$A$5:$A$400,0)),IF(ISNUMBER(MATCH($H97,SRC_Perf!$A$5:$A$400,0)),INDEX(SRC_Perf!$O$5:$O$400,MATCH($H97,SRC_Perf!$A$5:$A$400,0)),"不存在")))))</f>
        <v>Active</v>
      </c>
      <c r="T97" s="83" t="n">
        <f aca="false">IF(OR($H97="—",$H97=""),"—",IF(ISNUMBER(MATCH($H97,SRC_HW!$A$5:$A$400,0)),INDEX(SRC_HW!$K$5:$K$400,MATCH($H97,SRC_HW!$A$5:$A$400,0)),IF(ISNUMBER(MATCH($H97,SRC_DC!$A$5:$A$400,0)),INDEX(SRC_DC!$K$5:$K$400,MATCH($H97,SRC_DC!$A$5:$A$400,0)),IF(ISNUMBER(MATCH($H97,SRC_Model!$A$5:$A$400,0)),INDEX(SRC_Model!$K$5:$K$400,MATCH($H97,SRC_Model!$A$5:$A$400,0)),IF(ISNUMBER(MATCH($H97,SRC_Perf!$A$5:$A$400,0)),INDEX(SRC_Perf!$K$5:$K$400,MATCH($H97,SRC_Perf!$A$5:$A$400,0)),"不存在")))))</f>
        <v>3</v>
      </c>
      <c r="U97" s="52" t="s">
        <v>2341</v>
      </c>
      <c r="V97" s="103" t="n">
        <f aca="false">IF(AND($F97="原始數據",$U97&lt;&gt;"連結 SRC"),1,0)</f>
        <v>0</v>
      </c>
      <c r="W97" s="103" t="n">
        <f aca="false">IF(AND($F97="Analogy",OR($H97="—",$H97="")),1,0)</f>
        <v>0</v>
      </c>
      <c r="X97" s="103" t="n">
        <f aca="false">IF(AND(OR($F97="Analogy",$F97="Assumed"),$G97&lt;&gt;"低",$G97&lt;&gt;"高",NOT(ISNUMBER($K97)),NOT(ISNUMBER($L97)),OR($M97="—",$M97="")),1,0)</f>
        <v>0</v>
      </c>
      <c r="Y97" s="103" t="n">
        <f aca="false">IF(AND(OR($F97="Analogy",$F97="Assumed",$F97="Derived（待改公式）",$F97="Derived（公式）"),OR($N97="—",$N97="",$N97=0)),1,0)</f>
        <v>0</v>
      </c>
      <c r="Z97" s="103" t="n">
        <f aca="false">IF(AND($F97="Decision",OR($J97="—",$J97="")),1,0)</f>
        <v>0</v>
      </c>
      <c r="AA97" s="84" t="n">
        <f aca="false">IF(OR($J97="—",$J97=""),0,IF(COUNTIF(Decisions!$A$5:$A$300,$J97)=0,1,0))</f>
        <v>0</v>
      </c>
      <c r="AB97" s="103" t="n">
        <f aca="false">IF(AND($F97="原始數據",$S97&lt;&gt;"Active"),1,0)</f>
        <v>0</v>
      </c>
      <c r="AC97" s="103" t="n">
        <f aca="false">IF(AND(ISNUMBER($K97),ISNUMBER($L97),ISNUMBER($Q97)),IF(OR($Q97&lt;MIN($K97,$L97),$Q97&gt;MAX($K97,$L97)),1,0),0)</f>
        <v>0</v>
      </c>
      <c r="AD97" s="103" t="n">
        <f aca="false">IF(AND(ISNUMBER($T97),$P97="高"),IF($T97=3,1,0),0)</f>
        <v>1</v>
      </c>
      <c r="AE97" s="103" t="n">
        <f aca="false">IF(AND($S97="不存在",$B97="切片一"),1,0)</f>
        <v>0</v>
      </c>
    </row>
    <row r="98" customFormat="false" ht="29.85" hidden="false" customHeight="false" outlineLevel="0" collapsed="false">
      <c r="A98" s="53" t="s">
        <v>2546</v>
      </c>
      <c r="B98" s="52" t="s">
        <v>2297</v>
      </c>
      <c r="C98" s="53" t="s">
        <v>2460</v>
      </c>
      <c r="D98" s="53" t="s">
        <v>2547</v>
      </c>
      <c r="E98" s="5" t="s">
        <v>2536</v>
      </c>
      <c r="F98" s="53" t="s">
        <v>70</v>
      </c>
      <c r="G98" s="52" t="s">
        <v>55</v>
      </c>
      <c r="H98" s="53" t="s">
        <v>554</v>
      </c>
      <c r="I98" s="6" t="s">
        <v>554</v>
      </c>
      <c r="J98" s="53" t="s">
        <v>554</v>
      </c>
      <c r="K98" s="90" t="n">
        <f aca="false">Spec_Rack!G11</f>
        <v>23.4</v>
      </c>
      <c r="L98" s="90" t="n">
        <f aca="false">Spec_Rack!G13</f>
        <v>39</v>
      </c>
      <c r="M98" s="53" t="s">
        <v>554</v>
      </c>
      <c r="N98" s="6" t="s">
        <v>2548</v>
      </c>
      <c r="O98" s="6" t="s">
        <v>554</v>
      </c>
      <c r="P98" s="52" t="s">
        <v>1079</v>
      </c>
      <c r="Q98" s="90" t="n">
        <f aca="false">Spec_Rack!G12</f>
        <v>31.2</v>
      </c>
      <c r="R98" s="53" t="s">
        <v>554</v>
      </c>
      <c r="S98" s="83" t="str">
        <f aca="false">IF(OR($H98="—",$H98=""),"—",IF(ISNUMBER(MATCH($H98,SRC_HW!$A$5:$A$400,0)),INDEX(SRC_HW!$O$5:$O$400,MATCH($H98,SRC_HW!$A$5:$A$400,0)),IF(ISNUMBER(MATCH($H98,SRC_DC!$A$5:$A$400,0)),INDEX(SRC_DC!$O$5:$O$400,MATCH($H98,SRC_DC!$A$5:$A$400,0)),IF(ISNUMBER(MATCH($H98,SRC_Model!$A$5:$A$400,0)),INDEX(SRC_Model!$O$5:$O$400,MATCH($H98,SRC_Model!$A$5:$A$400,0)),IF(ISNUMBER(MATCH($H98,SRC_Perf!$A$5:$A$400,0)),INDEX(SRC_Perf!$O$5:$O$400,MATCH($H98,SRC_Perf!$A$5:$A$400,0)),"不存在")))))</f>
        <v>—</v>
      </c>
      <c r="T98" s="83" t="str">
        <f aca="false">IF(OR($H98="—",$H98=""),"—",IF(ISNUMBER(MATCH($H98,SRC_HW!$A$5:$A$400,0)),INDEX(SRC_HW!$K$5:$K$400,MATCH($H98,SRC_HW!$A$5:$A$400,0)),IF(ISNUMBER(MATCH($H98,SRC_DC!$A$5:$A$400,0)),INDEX(SRC_DC!$K$5:$K$400,MATCH($H98,SRC_DC!$A$5:$A$400,0)),IF(ISNUMBER(MATCH($H98,SRC_Model!$A$5:$A$400,0)),INDEX(SRC_Model!$K$5:$K$400,MATCH($H98,SRC_Model!$A$5:$A$400,0)),IF(ISNUMBER(MATCH($H98,SRC_Perf!$A$5:$A$400,0)),INDEX(SRC_Perf!$K$5:$K$400,MATCH($H98,SRC_Perf!$A$5:$A$400,0)),"不存在")))))</f>
        <v>—</v>
      </c>
      <c r="U98" s="52" t="s">
        <v>2302</v>
      </c>
      <c r="V98" s="103" t="n">
        <f aca="false">IF(AND($F98="原始數據",$U98&lt;&gt;"連結 SRC"),1,0)</f>
        <v>0</v>
      </c>
      <c r="W98" s="103" t="n">
        <f aca="false">IF(AND($F98="Analogy",OR($H98="—",$H98="")),1,0)</f>
        <v>0</v>
      </c>
      <c r="X98" s="103" t="n">
        <f aca="false">IF(AND(OR($F98="Analogy",$F98="Assumed"),$G98&lt;&gt;"低",$G98&lt;&gt;"高",NOT(ISNUMBER($K98)),NOT(ISNUMBER($L98)),OR($M98="—",$M98="")),1,0)</f>
        <v>0</v>
      </c>
      <c r="Y98" s="103" t="n">
        <f aca="false">IF(AND(OR($F98="Analogy",$F98="Assumed",$F98="Derived（待改公式）",$F98="Derived（公式）"),OR($N98="—",$N98="",$N98=0)),1,0)</f>
        <v>0</v>
      </c>
      <c r="Z98" s="103" t="n">
        <f aca="false">IF(AND($F98="Decision",OR($J98="—",$J98="")),1,0)</f>
        <v>0</v>
      </c>
      <c r="AA98" s="84" t="n">
        <f aca="false">IF(OR($J98="—",$J98=""),0,IF(COUNTIF(Decisions!$A$5:$A$300,$J98)=0,1,0))</f>
        <v>0</v>
      </c>
      <c r="AB98" s="103" t="n">
        <f aca="false">IF(AND($F98="原始數據",$S98&lt;&gt;"Active"),1,0)</f>
        <v>0</v>
      </c>
      <c r="AC98" s="103" t="n">
        <f aca="false">IF(AND(ISNUMBER($K98),ISNUMBER($L98),ISNUMBER($Q98)),IF(OR($Q98&lt;MIN($K98,$L98),$Q98&gt;MAX($K98,$L98)),1,0),0)</f>
        <v>0</v>
      </c>
      <c r="AD98" s="103" t="n">
        <f aca="false">IF(AND(ISNUMBER($T98),$P98="高"),IF($T98=3,1,0),0)</f>
        <v>0</v>
      </c>
      <c r="AE98" s="103" t="n">
        <f aca="false">IF(AND($S98="不存在",$B98="切片一"),1,0)</f>
        <v>0</v>
      </c>
    </row>
    <row r="99" customFormat="false" ht="44" hidden="false" customHeight="false" outlineLevel="0" collapsed="false">
      <c r="A99" s="53" t="s">
        <v>2549</v>
      </c>
      <c r="B99" s="52" t="s">
        <v>2297</v>
      </c>
      <c r="C99" s="53" t="s">
        <v>2460</v>
      </c>
      <c r="D99" s="53" t="s">
        <v>2550</v>
      </c>
      <c r="E99" s="5" t="s">
        <v>2551</v>
      </c>
      <c r="F99" s="52" t="s">
        <v>2491</v>
      </c>
      <c r="G99" s="52" t="s">
        <v>1079</v>
      </c>
      <c r="H99" s="53" t="s">
        <v>2520</v>
      </c>
      <c r="I99" s="5" t="s">
        <v>2552</v>
      </c>
      <c r="J99" s="53" t="s">
        <v>554</v>
      </c>
      <c r="K99" s="52"/>
      <c r="L99" s="52"/>
      <c r="M99" s="53" t="s">
        <v>554</v>
      </c>
      <c r="N99" s="5" t="s">
        <v>2553</v>
      </c>
      <c r="O99" s="6" t="s">
        <v>554</v>
      </c>
      <c r="P99" s="52" t="s">
        <v>2307</v>
      </c>
      <c r="Q99" s="90" t="n">
        <f aca="false">Spec_Rack!C13</f>
        <v>1.3</v>
      </c>
      <c r="R99" s="83" t="n">
        <f aca="false">SRC_HW_003_Lo</f>
        <v>220000</v>
      </c>
      <c r="S99" s="83" t="str">
        <f aca="false">IF(OR($H99="—",$H99=""),"—",IF(ISNUMBER(MATCH($H99,SRC_HW!$A$5:$A$400,0)),INDEX(SRC_HW!$O$5:$O$400,MATCH($H99,SRC_HW!$A$5:$A$400,0)),IF(ISNUMBER(MATCH($H99,SRC_DC!$A$5:$A$400,0)),INDEX(SRC_DC!$O$5:$O$400,MATCH($H99,SRC_DC!$A$5:$A$400,0)),IF(ISNUMBER(MATCH($H99,SRC_Model!$A$5:$A$400,0)),INDEX(SRC_Model!$O$5:$O$400,MATCH($H99,SRC_Model!$A$5:$A$400,0)),IF(ISNUMBER(MATCH($H99,SRC_Perf!$A$5:$A$400,0)),INDEX(SRC_Perf!$O$5:$O$400,MATCH($H99,SRC_Perf!$A$5:$A$400,0)),"不存在")))))</f>
        <v>Active</v>
      </c>
      <c r="T99" s="83" t="n">
        <f aca="false">IF(OR($H99="—",$H99=""),"—",IF(ISNUMBER(MATCH($H99,SRC_HW!$A$5:$A$400,0)),INDEX(SRC_HW!$K$5:$K$400,MATCH($H99,SRC_HW!$A$5:$A$400,0)),IF(ISNUMBER(MATCH($H99,SRC_DC!$A$5:$A$400,0)),INDEX(SRC_DC!$K$5:$K$400,MATCH($H99,SRC_DC!$A$5:$A$400,0)),IF(ISNUMBER(MATCH($H99,SRC_Model!$A$5:$A$400,0)),INDEX(SRC_Model!$K$5:$K$400,MATCH($H99,SRC_Model!$A$5:$A$400,0)),IF(ISNUMBER(MATCH($H99,SRC_Perf!$A$5:$A$400,0)),INDEX(SRC_Perf!$K$5:$K$400,MATCH($H99,SRC_Perf!$A$5:$A$400,0)),"不存在")))))</f>
        <v>3</v>
      </c>
      <c r="U99" s="52" t="s">
        <v>2302</v>
      </c>
      <c r="V99" s="103" t="n">
        <f aca="false">IF(AND($F99="原始數據",$U99&lt;&gt;"連結 SRC"),1,0)</f>
        <v>0</v>
      </c>
      <c r="W99" s="103" t="n">
        <f aca="false">IF(AND($F99="Analogy",OR($H99="—",$H99="")),1,0)</f>
        <v>0</v>
      </c>
      <c r="X99" s="103" t="n">
        <f aca="false">IF(AND(OR($F99="Analogy",$F99="Assumed"),$G99&lt;&gt;"低",$G99&lt;&gt;"高",NOT(ISNUMBER($K99)),NOT(ISNUMBER($L99)),OR($M99="—",$M99="")),1,0)</f>
        <v>0</v>
      </c>
      <c r="Y99" s="103" t="n">
        <f aca="false">IF(AND(OR($F99="Analogy",$F99="Assumed",$F99="Derived（待改公式）",$F99="Derived（公式）"),OR($N99="—",$N99="",$N99=0)),1,0)</f>
        <v>0</v>
      </c>
      <c r="Z99" s="103" t="n">
        <f aca="false">IF(AND($F99="Decision",OR($J99="—",$J99="")),1,0)</f>
        <v>0</v>
      </c>
      <c r="AA99" s="84" t="n">
        <f aca="false">IF(OR($J99="—",$J99=""),0,IF(COUNTIF(Decisions!$A$5:$A$300,$J99)=0,1,0))</f>
        <v>0</v>
      </c>
      <c r="AB99" s="103" t="n">
        <f aca="false">IF(AND($F99="原始數據",$S99&lt;&gt;"Active"),1,0)</f>
        <v>0</v>
      </c>
      <c r="AC99" s="103" t="n">
        <f aca="false">IF(AND(ISNUMBER($K99),ISNUMBER($L99),ISNUMBER($Q99)),IF(OR($Q99&lt;MIN($K99,$L99),$Q99&gt;MAX($K99,$L99)),1,0),0)</f>
        <v>0</v>
      </c>
      <c r="AD99" s="103" t="n">
        <f aca="false">IF(AND(ISNUMBER($T99),$P99="高"),IF($T99=3,1,0),0)</f>
        <v>0</v>
      </c>
      <c r="AE99" s="103" t="n">
        <f aca="false">IF(AND($S99="不存在",$B99="切片一"),1,0)</f>
        <v>0</v>
      </c>
    </row>
    <row r="100" customFormat="false" ht="15" hidden="false" customHeight="false" outlineLevel="0" collapsed="false">
      <c r="A100" s="53" t="s">
        <v>2554</v>
      </c>
      <c r="B100" s="52" t="s">
        <v>2297</v>
      </c>
      <c r="C100" s="53" t="s">
        <v>2460</v>
      </c>
      <c r="D100" s="53" t="s">
        <v>2334</v>
      </c>
      <c r="E100" s="5" t="s">
        <v>2551</v>
      </c>
      <c r="F100" s="52" t="s">
        <v>2337</v>
      </c>
      <c r="G100" s="52" t="s">
        <v>2299</v>
      </c>
      <c r="H100" s="53" t="s">
        <v>2524</v>
      </c>
      <c r="I100" s="5" t="s">
        <v>2339</v>
      </c>
      <c r="J100" s="53" t="s">
        <v>554</v>
      </c>
      <c r="K100" s="52"/>
      <c r="L100" s="52"/>
      <c r="M100" s="53" t="s">
        <v>554</v>
      </c>
      <c r="N100" s="5" t="s">
        <v>2340</v>
      </c>
      <c r="O100" s="6" t="s">
        <v>554</v>
      </c>
      <c r="P100" s="52" t="s">
        <v>2307</v>
      </c>
      <c r="Q100" s="90" t="n">
        <f aca="false">Spec_Rack!D13</f>
        <v>3.4</v>
      </c>
      <c r="R100" s="83" t="n">
        <f aca="false">SRC_HW_006_Hi</f>
        <v>3.4</v>
      </c>
      <c r="S100" s="83" t="str">
        <f aca="false">IF(OR($H100="—",$H100=""),"—",IF(ISNUMBER(MATCH($H100,SRC_HW!$A$5:$A$400,0)),INDEX(SRC_HW!$O$5:$O$400,MATCH($H100,SRC_HW!$A$5:$A$400,0)),IF(ISNUMBER(MATCH($H100,SRC_DC!$A$5:$A$400,0)),INDEX(SRC_DC!$O$5:$O$400,MATCH($H100,SRC_DC!$A$5:$A$400,0)),IF(ISNUMBER(MATCH($H100,SRC_Model!$A$5:$A$400,0)),INDEX(SRC_Model!$O$5:$O$400,MATCH($H100,SRC_Model!$A$5:$A$400,0)),IF(ISNUMBER(MATCH($H100,SRC_Perf!$A$5:$A$400,0)),INDEX(SRC_Perf!$O$5:$O$400,MATCH($H100,SRC_Perf!$A$5:$A$400,0)),"不存在")))))</f>
        <v>Active</v>
      </c>
      <c r="T100" s="83" t="n">
        <f aca="false">IF(OR($H100="—",$H100=""),"—",IF(ISNUMBER(MATCH($H100,SRC_HW!$A$5:$A$400,0)),INDEX(SRC_HW!$K$5:$K$400,MATCH($H100,SRC_HW!$A$5:$A$400,0)),IF(ISNUMBER(MATCH($H100,SRC_DC!$A$5:$A$400,0)),INDEX(SRC_DC!$K$5:$K$400,MATCH($H100,SRC_DC!$A$5:$A$400,0)),IF(ISNUMBER(MATCH($H100,SRC_Model!$A$5:$A$400,0)),INDEX(SRC_Model!$K$5:$K$400,MATCH($H100,SRC_Model!$A$5:$A$400,0)),IF(ISNUMBER(MATCH($H100,SRC_Perf!$A$5:$A$400,0)),INDEX(SRC_Perf!$K$5:$K$400,MATCH($H100,SRC_Perf!$A$5:$A$400,0)),"不存在")))))</f>
        <v>3</v>
      </c>
      <c r="U100" s="52" t="s">
        <v>2341</v>
      </c>
      <c r="V100" s="103" t="n">
        <f aca="false">IF(AND($F100="原始數據",$U100&lt;&gt;"連結 SRC"),1,0)</f>
        <v>0</v>
      </c>
      <c r="W100" s="103" t="n">
        <f aca="false">IF(AND($F100="Analogy",OR($H100="—",$H100="")),1,0)</f>
        <v>0</v>
      </c>
      <c r="X100" s="103" t="n">
        <f aca="false">IF(AND(OR($F100="Analogy",$F100="Assumed"),$G100&lt;&gt;"低",$G100&lt;&gt;"高",NOT(ISNUMBER($K100)),NOT(ISNUMBER($L100)),OR($M100="—",$M100="")),1,0)</f>
        <v>0</v>
      </c>
      <c r="Y100" s="103" t="n">
        <f aca="false">IF(AND(OR($F100="Analogy",$F100="Assumed",$F100="Derived（待改公式）",$F100="Derived（公式）"),OR($N100="—",$N100="",$N100=0)),1,0)</f>
        <v>0</v>
      </c>
      <c r="Z100" s="103" t="n">
        <f aca="false">IF(AND($F100="Decision",OR($J100="—",$J100="")),1,0)</f>
        <v>0</v>
      </c>
      <c r="AA100" s="84" t="n">
        <f aca="false">IF(OR($J100="—",$J100=""),0,IF(COUNTIF(Decisions!$A$5:$A$300,$J100)=0,1,0))</f>
        <v>0</v>
      </c>
      <c r="AB100" s="103" t="n">
        <f aca="false">IF(AND($F100="原始數據",$S100&lt;&gt;"Active"),1,0)</f>
        <v>0</v>
      </c>
      <c r="AC100" s="103" t="n">
        <f aca="false">IF(AND(ISNUMBER($K100),ISNUMBER($L100),ISNUMBER($Q100)),IF(OR($Q100&lt;MIN($K100,$L100),$Q100&gt;MAX($K100,$L100)),1,0),0)</f>
        <v>0</v>
      </c>
      <c r="AD100" s="103" t="n">
        <f aca="false">IF(AND(ISNUMBER($T100),$P100="高"),IF($T100=3,1,0),0)</f>
        <v>0</v>
      </c>
      <c r="AE100" s="103" t="n">
        <f aca="false">IF(AND($S100="不存在",$B100="切片一"),1,0)</f>
        <v>0</v>
      </c>
    </row>
    <row r="101" customFormat="false" ht="15" hidden="false" customHeight="false" outlineLevel="0" collapsed="false">
      <c r="A101" s="53" t="s">
        <v>2555</v>
      </c>
      <c r="B101" s="52" t="s">
        <v>2297</v>
      </c>
      <c r="C101" s="53" t="s">
        <v>2460</v>
      </c>
      <c r="D101" s="53" t="s">
        <v>2331</v>
      </c>
      <c r="E101" s="5" t="s">
        <v>2551</v>
      </c>
      <c r="F101" s="52" t="s">
        <v>2337</v>
      </c>
      <c r="G101" s="52" t="s">
        <v>2299</v>
      </c>
      <c r="H101" s="53" t="s">
        <v>2556</v>
      </c>
      <c r="I101" s="5" t="s">
        <v>2339</v>
      </c>
      <c r="J101" s="53" t="s">
        <v>554</v>
      </c>
      <c r="K101" s="52"/>
      <c r="L101" s="52"/>
      <c r="M101" s="53" t="s">
        <v>554</v>
      </c>
      <c r="N101" s="5" t="s">
        <v>2340</v>
      </c>
      <c r="O101" s="6" t="s">
        <v>554</v>
      </c>
      <c r="P101" s="52" t="s">
        <v>2307</v>
      </c>
      <c r="Q101" s="90" t="n">
        <f aca="false">Spec_Rack!E13</f>
        <v>6.5</v>
      </c>
      <c r="R101" s="83" t="n">
        <f aca="false">SRC_HW_007_Hi</f>
        <v>6.5</v>
      </c>
      <c r="S101" s="83" t="str">
        <f aca="false">IF(OR($H101="—",$H101=""),"—",IF(ISNUMBER(MATCH($H101,SRC_HW!$A$5:$A$400,0)),INDEX(SRC_HW!$O$5:$O$400,MATCH($H101,SRC_HW!$A$5:$A$400,0)),IF(ISNUMBER(MATCH($H101,SRC_DC!$A$5:$A$400,0)),INDEX(SRC_DC!$O$5:$O$400,MATCH($H101,SRC_DC!$A$5:$A$400,0)),IF(ISNUMBER(MATCH($H101,SRC_Model!$A$5:$A$400,0)),INDEX(SRC_Model!$O$5:$O$400,MATCH($H101,SRC_Model!$A$5:$A$400,0)),IF(ISNUMBER(MATCH($H101,SRC_Perf!$A$5:$A$400,0)),INDEX(SRC_Perf!$O$5:$O$400,MATCH($H101,SRC_Perf!$A$5:$A$400,0)),"不存在")))))</f>
        <v>Active</v>
      </c>
      <c r="T101" s="83" t="n">
        <f aca="false">IF(OR($H101="—",$H101=""),"—",IF(ISNUMBER(MATCH($H101,SRC_HW!$A$5:$A$400,0)),INDEX(SRC_HW!$K$5:$K$400,MATCH($H101,SRC_HW!$A$5:$A$400,0)),IF(ISNUMBER(MATCH($H101,SRC_DC!$A$5:$A$400,0)),INDEX(SRC_DC!$K$5:$K$400,MATCH($H101,SRC_DC!$A$5:$A$400,0)),IF(ISNUMBER(MATCH($H101,SRC_Model!$A$5:$A$400,0)),INDEX(SRC_Model!$K$5:$K$400,MATCH($H101,SRC_Model!$A$5:$A$400,0)),IF(ISNUMBER(MATCH($H101,SRC_Perf!$A$5:$A$400,0)),INDEX(SRC_Perf!$K$5:$K$400,MATCH($H101,SRC_Perf!$A$5:$A$400,0)),"不存在")))))</f>
        <v>3</v>
      </c>
      <c r="U101" s="52" t="s">
        <v>2341</v>
      </c>
      <c r="V101" s="103" t="n">
        <f aca="false">IF(AND($F101="原始數據",$U101&lt;&gt;"連結 SRC"),1,0)</f>
        <v>0</v>
      </c>
      <c r="W101" s="103" t="n">
        <f aca="false">IF(AND($F101="Analogy",OR($H101="—",$H101="")),1,0)</f>
        <v>0</v>
      </c>
      <c r="X101" s="103" t="n">
        <f aca="false">IF(AND(OR($F101="Analogy",$F101="Assumed"),$G101&lt;&gt;"低",$G101&lt;&gt;"高",NOT(ISNUMBER($K101)),NOT(ISNUMBER($L101)),OR($M101="—",$M101="")),1,0)</f>
        <v>0</v>
      </c>
      <c r="Y101" s="103" t="n">
        <f aca="false">IF(AND(OR($F101="Analogy",$F101="Assumed",$F101="Derived（待改公式）",$F101="Derived（公式）"),OR($N101="—",$N101="",$N101=0)),1,0)</f>
        <v>0</v>
      </c>
      <c r="Z101" s="103" t="n">
        <f aca="false">IF(AND($F101="Decision",OR($J101="—",$J101="")),1,0)</f>
        <v>0</v>
      </c>
      <c r="AA101" s="84" t="n">
        <f aca="false">IF(OR($J101="—",$J101=""),0,IF(COUNTIF(Decisions!$A$5:$A$300,$J101)=0,1,0))</f>
        <v>0</v>
      </c>
      <c r="AB101" s="103" t="n">
        <f aca="false">IF(AND($F101="原始數據",$S101&lt;&gt;"Active"),1,0)</f>
        <v>0</v>
      </c>
      <c r="AC101" s="103" t="n">
        <f aca="false">IF(AND(ISNUMBER($K101),ISNUMBER($L101),ISNUMBER($Q101)),IF(OR($Q101&lt;MIN($K101,$L101),$Q101&gt;MAX($K101,$L101)),1,0),0)</f>
        <v>0</v>
      </c>
      <c r="AD101" s="103" t="n">
        <f aca="false">IF(AND(ISNUMBER($T101),$P101="高"),IF($T101=3,1,0),0)</f>
        <v>0</v>
      </c>
      <c r="AE101" s="103" t="n">
        <f aca="false">IF(AND($S101="不存在",$B101="切片一"),1,0)</f>
        <v>0</v>
      </c>
    </row>
    <row r="102" customFormat="false" ht="44" hidden="false" customHeight="false" outlineLevel="0" collapsed="false">
      <c r="A102" s="53" t="s">
        <v>2557</v>
      </c>
      <c r="B102" s="52" t="s">
        <v>2297</v>
      </c>
      <c r="C102" s="53" t="s">
        <v>2460</v>
      </c>
      <c r="D102" s="53" t="s">
        <v>2336</v>
      </c>
      <c r="E102" s="5" t="s">
        <v>2551</v>
      </c>
      <c r="F102" s="52" t="s">
        <v>2491</v>
      </c>
      <c r="G102" s="52" t="s">
        <v>1079</v>
      </c>
      <c r="H102" s="53" t="s">
        <v>2558</v>
      </c>
      <c r="I102" s="5" t="s">
        <v>2559</v>
      </c>
      <c r="J102" s="53" t="s">
        <v>554</v>
      </c>
      <c r="K102" s="52"/>
      <c r="L102" s="52"/>
      <c r="M102" s="53" t="s">
        <v>554</v>
      </c>
      <c r="N102" s="5" t="s">
        <v>2560</v>
      </c>
      <c r="O102" s="6" t="s">
        <v>554</v>
      </c>
      <c r="P102" s="52" t="s">
        <v>2307</v>
      </c>
      <c r="Q102" s="90" t="n">
        <f aca="false">Spec_Rack!F13</f>
        <v>9.1</v>
      </c>
      <c r="R102" s="83" t="n">
        <f aca="false">SRC_HW_017</f>
        <v>9.09</v>
      </c>
      <c r="S102" s="83" t="str">
        <f aca="false">IF(OR($H102="—",$H102=""),"—",IF(ISNUMBER(MATCH($H102,SRC_HW!$A$5:$A$400,0)),INDEX(SRC_HW!$O$5:$O$400,MATCH($H102,SRC_HW!$A$5:$A$400,0)),IF(ISNUMBER(MATCH($H102,SRC_DC!$A$5:$A$400,0)),INDEX(SRC_DC!$O$5:$O$400,MATCH($H102,SRC_DC!$A$5:$A$400,0)),IF(ISNUMBER(MATCH($H102,SRC_Model!$A$5:$A$400,0)),INDEX(SRC_Model!$O$5:$O$400,MATCH($H102,SRC_Model!$A$5:$A$400,0)),IF(ISNUMBER(MATCH($H102,SRC_Perf!$A$5:$A$400,0)),INDEX(SRC_Perf!$O$5:$O$400,MATCH($H102,SRC_Perf!$A$5:$A$400,0)),"不存在")))))</f>
        <v>Alt</v>
      </c>
      <c r="T102" s="83" t="n">
        <f aca="false">IF(OR($H102="—",$H102=""),"—",IF(ISNUMBER(MATCH($H102,SRC_HW!$A$5:$A$400,0)),INDEX(SRC_HW!$K$5:$K$400,MATCH($H102,SRC_HW!$A$5:$A$400,0)),IF(ISNUMBER(MATCH($H102,SRC_DC!$A$5:$A$400,0)),INDEX(SRC_DC!$K$5:$K$400,MATCH($H102,SRC_DC!$A$5:$A$400,0)),IF(ISNUMBER(MATCH($H102,SRC_Model!$A$5:$A$400,0)),INDEX(SRC_Model!$K$5:$K$400,MATCH($H102,SRC_Model!$A$5:$A$400,0)),IF(ISNUMBER(MATCH($H102,SRC_Perf!$A$5:$A$400,0)),INDEX(SRC_Perf!$K$5:$K$400,MATCH($H102,SRC_Perf!$A$5:$A$400,0)),"不存在")))))</f>
        <v>3</v>
      </c>
      <c r="U102" s="52" t="s">
        <v>2302</v>
      </c>
      <c r="V102" s="103" t="n">
        <f aca="false">IF(AND($F102="原始數據",$U102&lt;&gt;"連結 SRC"),1,0)</f>
        <v>0</v>
      </c>
      <c r="W102" s="103" t="n">
        <f aca="false">IF(AND($F102="Analogy",OR($H102="—",$H102="")),1,0)</f>
        <v>0</v>
      </c>
      <c r="X102" s="103" t="n">
        <f aca="false">IF(AND(OR($F102="Analogy",$F102="Assumed"),$G102&lt;&gt;"低",$G102&lt;&gt;"高",NOT(ISNUMBER($K102)),NOT(ISNUMBER($L102)),OR($M102="—",$M102="")),1,0)</f>
        <v>0</v>
      </c>
      <c r="Y102" s="103" t="n">
        <f aca="false">IF(AND(OR($F102="Analogy",$F102="Assumed",$F102="Derived（待改公式）",$F102="Derived（公式）"),OR($N102="—",$N102="",$N102=0)),1,0)</f>
        <v>0</v>
      </c>
      <c r="Z102" s="103" t="n">
        <f aca="false">IF(AND($F102="Decision",OR($J102="—",$J102="")),1,0)</f>
        <v>0</v>
      </c>
      <c r="AA102" s="84" t="n">
        <f aca="false">IF(OR($J102="—",$J102=""),0,IF(COUNTIF(Decisions!$A$5:$A$300,$J102)=0,1,0))</f>
        <v>0</v>
      </c>
      <c r="AB102" s="103" t="n">
        <f aca="false">IF(AND($F102="原始數據",$S102&lt;&gt;"Active"),1,0)</f>
        <v>0</v>
      </c>
      <c r="AC102" s="103" t="n">
        <f aca="false">IF(AND(ISNUMBER($K102),ISNUMBER($L102),ISNUMBER($Q102)),IF(OR($Q102&lt;MIN($K102,$L102),$Q102&gt;MAX($K102,$L102)),1,0),0)</f>
        <v>0</v>
      </c>
      <c r="AD102" s="103" t="n">
        <f aca="false">IF(AND(ISNUMBER($T102),$P102="高"),IF($T102=3,1,0),0)</f>
        <v>0</v>
      </c>
      <c r="AE102" s="103" t="n">
        <f aca="false">IF(AND($S102="不存在",$B102="切片一"),1,0)</f>
        <v>0</v>
      </c>
    </row>
    <row r="103" customFormat="false" ht="29.85" hidden="false" customHeight="false" outlineLevel="0" collapsed="false">
      <c r="A103" s="53" t="s">
        <v>2561</v>
      </c>
      <c r="B103" s="52" t="s">
        <v>2297</v>
      </c>
      <c r="C103" s="53" t="s">
        <v>2460</v>
      </c>
      <c r="D103" s="53" t="s">
        <v>2562</v>
      </c>
      <c r="E103" s="5" t="s">
        <v>2551</v>
      </c>
      <c r="F103" s="53" t="s">
        <v>70</v>
      </c>
      <c r="G103" s="52" t="s">
        <v>1079</v>
      </c>
      <c r="H103" s="53" t="s">
        <v>554</v>
      </c>
      <c r="I103" s="6" t="s">
        <v>554</v>
      </c>
      <c r="J103" s="53" t="s">
        <v>554</v>
      </c>
      <c r="K103" s="52"/>
      <c r="L103" s="52"/>
      <c r="M103" s="53" t="s">
        <v>554</v>
      </c>
      <c r="N103" s="6" t="s">
        <v>2563</v>
      </c>
      <c r="O103" s="6" t="s">
        <v>554</v>
      </c>
      <c r="P103" s="52" t="s">
        <v>2307</v>
      </c>
      <c r="Q103" s="90" t="n">
        <f aca="false">Spec_Rack!G13</f>
        <v>39</v>
      </c>
      <c r="R103" s="53" t="s">
        <v>554</v>
      </c>
      <c r="S103" s="83" t="str">
        <f aca="false">IF(OR($H103="—",$H103=""),"—",IF(ISNUMBER(MATCH($H103,SRC_HW!$A$5:$A$400,0)),INDEX(SRC_HW!$O$5:$O$400,MATCH($H103,SRC_HW!$A$5:$A$400,0)),IF(ISNUMBER(MATCH($H103,SRC_DC!$A$5:$A$400,0)),INDEX(SRC_DC!$O$5:$O$400,MATCH($H103,SRC_DC!$A$5:$A$400,0)),IF(ISNUMBER(MATCH($H103,SRC_Model!$A$5:$A$400,0)),INDEX(SRC_Model!$O$5:$O$400,MATCH($H103,SRC_Model!$A$5:$A$400,0)),IF(ISNUMBER(MATCH($H103,SRC_Perf!$A$5:$A$400,0)),INDEX(SRC_Perf!$O$5:$O$400,MATCH($H103,SRC_Perf!$A$5:$A$400,0)),"不存在")))))</f>
        <v>—</v>
      </c>
      <c r="T103" s="83" t="str">
        <f aca="false">IF(OR($H103="—",$H103=""),"—",IF(ISNUMBER(MATCH($H103,SRC_HW!$A$5:$A$400,0)),INDEX(SRC_HW!$K$5:$K$400,MATCH($H103,SRC_HW!$A$5:$A$400,0)),IF(ISNUMBER(MATCH($H103,SRC_DC!$A$5:$A$400,0)),INDEX(SRC_DC!$K$5:$K$400,MATCH($H103,SRC_DC!$A$5:$A$400,0)),IF(ISNUMBER(MATCH($H103,SRC_Model!$A$5:$A$400,0)),INDEX(SRC_Model!$K$5:$K$400,MATCH($H103,SRC_Model!$A$5:$A$400,0)),IF(ISNUMBER(MATCH($H103,SRC_Perf!$A$5:$A$400,0)),INDEX(SRC_Perf!$K$5:$K$400,MATCH($H103,SRC_Perf!$A$5:$A$400,0)),"不存在")))))</f>
        <v>—</v>
      </c>
      <c r="U103" s="52" t="s">
        <v>2302</v>
      </c>
      <c r="V103" s="103" t="n">
        <f aca="false">IF(AND($F103="原始數據",$U103&lt;&gt;"連結 SRC"),1,0)</f>
        <v>0</v>
      </c>
      <c r="W103" s="103" t="n">
        <f aca="false">IF(AND($F103="Analogy",OR($H103="—",$H103="")),1,0)</f>
        <v>0</v>
      </c>
      <c r="X103" s="103" t="n">
        <f aca="false">IF(AND(OR($F103="Analogy",$F103="Assumed"),$G103&lt;&gt;"低",$G103&lt;&gt;"高",NOT(ISNUMBER($K103)),NOT(ISNUMBER($L103)),OR($M103="—",$M103="")),1,0)</f>
        <v>0</v>
      </c>
      <c r="Y103" s="103" t="n">
        <f aca="false">IF(AND(OR($F103="Analogy",$F103="Assumed",$F103="Derived（待改公式）",$F103="Derived（公式）"),OR($N103="—",$N103="",$N103=0)),1,0)</f>
        <v>0</v>
      </c>
      <c r="Z103" s="103" t="n">
        <f aca="false">IF(AND($F103="Decision",OR($J103="—",$J103="")),1,0)</f>
        <v>0</v>
      </c>
      <c r="AA103" s="84" t="n">
        <f aca="false">IF(OR($J103="—",$J103=""),0,IF(COUNTIF(Decisions!$A$5:$A$300,$J103)=0,1,0))</f>
        <v>0</v>
      </c>
      <c r="AB103" s="103" t="n">
        <f aca="false">IF(AND($F103="原始數據",$S103&lt;&gt;"Active"),1,0)</f>
        <v>0</v>
      </c>
      <c r="AC103" s="103" t="n">
        <f aca="false">IF(AND(ISNUMBER($K103),ISNUMBER($L103),ISNUMBER($Q103)),IF(OR($Q103&lt;MIN($K103,$L103),$Q103&gt;MAX($K103,$L103)),1,0),0)</f>
        <v>0</v>
      </c>
      <c r="AD103" s="103" t="n">
        <f aca="false">IF(AND(ISNUMBER($T103),$P103="高"),IF($T103=3,1,0),0)</f>
        <v>0</v>
      </c>
      <c r="AE103" s="103" t="n">
        <f aca="false">IF(AND($S103="不存在",$B103="切片一"),1,0)</f>
        <v>0</v>
      </c>
    </row>
    <row r="104" customFormat="false" ht="15" hidden="false" customHeight="false" outlineLevel="0" collapsed="false">
      <c r="A104" s="53" t="s">
        <v>2564</v>
      </c>
      <c r="B104" s="52" t="s">
        <v>2297</v>
      </c>
      <c r="C104" s="53" t="s">
        <v>2460</v>
      </c>
      <c r="D104" s="53" t="s">
        <v>2565</v>
      </c>
      <c r="E104" s="5" t="s">
        <v>182</v>
      </c>
      <c r="F104" s="52" t="s">
        <v>2337</v>
      </c>
      <c r="G104" s="52" t="s">
        <v>2299</v>
      </c>
      <c r="H104" s="53" t="s">
        <v>2566</v>
      </c>
      <c r="I104" s="5" t="s">
        <v>2339</v>
      </c>
      <c r="J104" s="53" t="s">
        <v>554</v>
      </c>
      <c r="K104" s="52"/>
      <c r="L104" s="52"/>
      <c r="M104" s="53" t="s">
        <v>554</v>
      </c>
      <c r="N104" s="5" t="s">
        <v>2340</v>
      </c>
      <c r="O104" s="6" t="s">
        <v>554</v>
      </c>
      <c r="P104" s="52" t="s">
        <v>2364</v>
      </c>
      <c r="Q104" s="86" t="n">
        <f aca="false">Spec_Rack!C23</f>
        <v>1.979</v>
      </c>
      <c r="R104" s="83" t="n">
        <f aca="false">SRC_HW_040</f>
        <v>1.979</v>
      </c>
      <c r="S104" s="83" t="str">
        <f aca="false">IF(OR($H104="—",$H104=""),"—",IF(ISNUMBER(MATCH($H104,SRC_HW!$A$5:$A$400,0)),INDEX(SRC_HW!$O$5:$O$400,MATCH($H104,SRC_HW!$A$5:$A$400,0)),IF(ISNUMBER(MATCH($H104,SRC_DC!$A$5:$A$400,0)),INDEX(SRC_DC!$O$5:$O$400,MATCH($H104,SRC_DC!$A$5:$A$400,0)),IF(ISNUMBER(MATCH($H104,SRC_Model!$A$5:$A$400,0)),INDEX(SRC_Model!$O$5:$O$400,MATCH($H104,SRC_Model!$A$5:$A$400,0)),IF(ISNUMBER(MATCH($H104,SRC_Perf!$A$5:$A$400,0)),INDEX(SRC_Perf!$O$5:$O$400,MATCH($H104,SRC_Perf!$A$5:$A$400,0)),"不存在")))))</f>
        <v>Active</v>
      </c>
      <c r="T104" s="83" t="n">
        <f aca="false">IF(OR($H104="—",$H104=""),"—",IF(ISNUMBER(MATCH($H104,SRC_HW!$A$5:$A$400,0)),INDEX(SRC_HW!$K$5:$K$400,MATCH($H104,SRC_HW!$A$5:$A$400,0)),IF(ISNUMBER(MATCH($H104,SRC_DC!$A$5:$A$400,0)),INDEX(SRC_DC!$K$5:$K$400,MATCH($H104,SRC_DC!$A$5:$A$400,0)),IF(ISNUMBER(MATCH($H104,SRC_Model!$A$5:$A$400,0)),INDEX(SRC_Model!$K$5:$K$400,MATCH($H104,SRC_Model!$A$5:$A$400,0)),IF(ISNUMBER(MATCH($H104,SRC_Perf!$A$5:$A$400,0)),INDEX(SRC_Perf!$K$5:$K$400,MATCH($H104,SRC_Perf!$A$5:$A$400,0)),"不存在")))))</f>
        <v>3</v>
      </c>
      <c r="U104" s="52" t="s">
        <v>2341</v>
      </c>
      <c r="V104" s="103" t="n">
        <f aca="false">IF(AND($F104="原始數據",$U104&lt;&gt;"連結 SRC"),1,0)</f>
        <v>0</v>
      </c>
      <c r="W104" s="103" t="n">
        <f aca="false">IF(AND($F104="Analogy",OR($H104="—",$H104="")),1,0)</f>
        <v>0</v>
      </c>
      <c r="X104" s="103" t="n">
        <f aca="false">IF(AND(OR($F104="Analogy",$F104="Assumed"),$G104&lt;&gt;"低",$G104&lt;&gt;"高",NOT(ISNUMBER($K104)),NOT(ISNUMBER($L104)),OR($M104="—",$M104="")),1,0)</f>
        <v>0</v>
      </c>
      <c r="Y104" s="103" t="n">
        <f aca="false">IF(AND(OR($F104="Analogy",$F104="Assumed",$F104="Derived（待改公式）",$F104="Derived（公式）"),OR($N104="—",$N104="",$N104=0)),1,0)</f>
        <v>0</v>
      </c>
      <c r="Z104" s="103" t="n">
        <f aca="false">IF(AND($F104="Decision",OR($J104="—",$J104="")),1,0)</f>
        <v>0</v>
      </c>
      <c r="AA104" s="84" t="n">
        <f aca="false">IF(OR($J104="—",$J104=""),0,IF(COUNTIF(Decisions!$A$5:$A$300,$J104)=0,1,0))</f>
        <v>0</v>
      </c>
      <c r="AB104" s="103" t="n">
        <f aca="false">IF(AND($F104="原始數據",$S104&lt;&gt;"Active"),1,0)</f>
        <v>0</v>
      </c>
      <c r="AC104" s="103" t="n">
        <f aca="false">IF(AND(ISNUMBER($K104),ISNUMBER($L104),ISNUMBER($Q104)),IF(OR($Q104&lt;MIN($K104,$L104),$Q104&gt;MAX($K104,$L104)),1,0),0)</f>
        <v>0</v>
      </c>
      <c r="AD104" s="103" t="n">
        <f aca="false">IF(AND(ISNUMBER($T104),$P104="高"),IF($T104=3,1,0),0)</f>
        <v>0</v>
      </c>
      <c r="AE104" s="103" t="n">
        <f aca="false">IF(AND($S104="不存在",$B104="切片一"),1,0)</f>
        <v>0</v>
      </c>
    </row>
    <row r="105" customFormat="false" ht="15" hidden="false" customHeight="false" outlineLevel="0" collapsed="false">
      <c r="A105" s="53" t="s">
        <v>2567</v>
      </c>
      <c r="B105" s="52" t="s">
        <v>2297</v>
      </c>
      <c r="C105" s="53" t="s">
        <v>2460</v>
      </c>
      <c r="D105" s="53" t="s">
        <v>2435</v>
      </c>
      <c r="E105" s="5" t="s">
        <v>182</v>
      </c>
      <c r="F105" s="52" t="s">
        <v>2337</v>
      </c>
      <c r="G105" s="52" t="s">
        <v>2299</v>
      </c>
      <c r="H105" s="53" t="s">
        <v>2568</v>
      </c>
      <c r="I105" s="5" t="s">
        <v>2339</v>
      </c>
      <c r="J105" s="53" t="s">
        <v>554</v>
      </c>
      <c r="K105" s="52"/>
      <c r="L105" s="52"/>
      <c r="M105" s="53" t="s">
        <v>554</v>
      </c>
      <c r="N105" s="5" t="s">
        <v>2340</v>
      </c>
      <c r="O105" s="6" t="s">
        <v>554</v>
      </c>
      <c r="P105" s="52" t="s">
        <v>2364</v>
      </c>
      <c r="Q105" s="86" t="n">
        <f aca="false">Spec_Rack!D23</f>
        <v>10</v>
      </c>
      <c r="R105" s="83" t="n">
        <f aca="false">SRC_HW_022</f>
        <v>10</v>
      </c>
      <c r="S105" s="83" t="str">
        <f aca="false">IF(OR($H105="—",$H105=""),"—",IF(ISNUMBER(MATCH($H105,SRC_HW!$A$5:$A$400,0)),INDEX(SRC_HW!$O$5:$O$400,MATCH($H105,SRC_HW!$A$5:$A$400,0)),IF(ISNUMBER(MATCH($H105,SRC_DC!$A$5:$A$400,0)),INDEX(SRC_DC!$O$5:$O$400,MATCH($H105,SRC_DC!$A$5:$A$400,0)),IF(ISNUMBER(MATCH($H105,SRC_Model!$A$5:$A$400,0)),INDEX(SRC_Model!$O$5:$O$400,MATCH($H105,SRC_Model!$A$5:$A$400,0)),IF(ISNUMBER(MATCH($H105,SRC_Perf!$A$5:$A$400,0)),INDEX(SRC_Perf!$O$5:$O$400,MATCH($H105,SRC_Perf!$A$5:$A$400,0)),"不存在")))))</f>
        <v>Active</v>
      </c>
      <c r="T105" s="83" t="n">
        <f aca="false">IF(OR($H105="—",$H105=""),"—",IF(ISNUMBER(MATCH($H105,SRC_HW!$A$5:$A$400,0)),INDEX(SRC_HW!$K$5:$K$400,MATCH($H105,SRC_HW!$A$5:$A$400,0)),IF(ISNUMBER(MATCH($H105,SRC_DC!$A$5:$A$400,0)),INDEX(SRC_DC!$K$5:$K$400,MATCH($H105,SRC_DC!$A$5:$A$400,0)),IF(ISNUMBER(MATCH($H105,SRC_Model!$A$5:$A$400,0)),INDEX(SRC_Model!$K$5:$K$400,MATCH($H105,SRC_Model!$A$5:$A$400,0)),IF(ISNUMBER(MATCH($H105,SRC_Perf!$A$5:$A$400,0)),INDEX(SRC_Perf!$K$5:$K$400,MATCH($H105,SRC_Perf!$A$5:$A$400,0)),"不存在")))))</f>
        <v>3</v>
      </c>
      <c r="U105" s="52" t="s">
        <v>2341</v>
      </c>
      <c r="V105" s="103" t="n">
        <f aca="false">IF(AND($F105="原始數據",$U105&lt;&gt;"連結 SRC"),1,0)</f>
        <v>0</v>
      </c>
      <c r="W105" s="103" t="n">
        <f aca="false">IF(AND($F105="Analogy",OR($H105="—",$H105="")),1,0)</f>
        <v>0</v>
      </c>
      <c r="X105" s="103" t="n">
        <f aca="false">IF(AND(OR($F105="Analogy",$F105="Assumed"),$G105&lt;&gt;"低",$G105&lt;&gt;"高",NOT(ISNUMBER($K105)),NOT(ISNUMBER($L105)),OR($M105="—",$M105="")),1,0)</f>
        <v>0</v>
      </c>
      <c r="Y105" s="103" t="n">
        <f aca="false">IF(AND(OR($F105="Analogy",$F105="Assumed",$F105="Derived（待改公式）",$F105="Derived（公式）"),OR($N105="—",$N105="",$N105=0)),1,0)</f>
        <v>0</v>
      </c>
      <c r="Z105" s="103" t="n">
        <f aca="false">IF(AND($F105="Decision",OR($J105="—",$J105="")),1,0)</f>
        <v>0</v>
      </c>
      <c r="AA105" s="84" t="n">
        <f aca="false">IF(OR($J105="—",$J105=""),0,IF(COUNTIF(Decisions!$A$5:$A$300,$J105)=0,1,0))</f>
        <v>0</v>
      </c>
      <c r="AB105" s="103" t="n">
        <f aca="false">IF(AND($F105="原始數據",$S105&lt;&gt;"Active"),1,0)</f>
        <v>0</v>
      </c>
      <c r="AC105" s="103" t="n">
        <f aca="false">IF(AND(ISNUMBER($K105),ISNUMBER($L105),ISNUMBER($Q105)),IF(OR($Q105&lt;MIN($K105,$L105),$Q105&gt;MAX($K105,$L105)),1,0),0)</f>
        <v>0</v>
      </c>
      <c r="AD105" s="103" t="n">
        <f aca="false">IF(AND(ISNUMBER($T105),$P105="高"),IF($T105=3,1,0),0)</f>
        <v>0</v>
      </c>
      <c r="AE105" s="103" t="n">
        <f aca="false">IF(AND($S105="不存在",$B105="切片一"),1,0)</f>
        <v>0</v>
      </c>
    </row>
    <row r="106" customFormat="false" ht="15" hidden="false" customHeight="false" outlineLevel="0" collapsed="false">
      <c r="A106" s="53" t="s">
        <v>2569</v>
      </c>
      <c r="B106" s="52" t="s">
        <v>2297</v>
      </c>
      <c r="C106" s="53" t="s">
        <v>2460</v>
      </c>
      <c r="D106" s="53" t="s">
        <v>2439</v>
      </c>
      <c r="E106" s="5" t="s">
        <v>182</v>
      </c>
      <c r="F106" s="52" t="s">
        <v>2337</v>
      </c>
      <c r="G106" s="52" t="s">
        <v>2299</v>
      </c>
      <c r="H106" s="53" t="s">
        <v>2570</v>
      </c>
      <c r="I106" s="5" t="s">
        <v>2339</v>
      </c>
      <c r="J106" s="53" t="s">
        <v>554</v>
      </c>
      <c r="K106" s="52"/>
      <c r="L106" s="52"/>
      <c r="M106" s="53" t="s">
        <v>554</v>
      </c>
      <c r="N106" s="5" t="s">
        <v>2340</v>
      </c>
      <c r="O106" s="6" t="s">
        <v>554</v>
      </c>
      <c r="P106" s="52" t="s">
        <v>2364</v>
      </c>
      <c r="Q106" s="86" t="n">
        <f aca="false">Spec_Rack!E23</f>
        <v>15</v>
      </c>
      <c r="R106" s="83" t="n">
        <f aca="false">SRC_HW_025</f>
        <v>15</v>
      </c>
      <c r="S106" s="83" t="str">
        <f aca="false">IF(OR($H106="—",$H106=""),"—",IF(ISNUMBER(MATCH($H106,SRC_HW!$A$5:$A$400,0)),INDEX(SRC_HW!$O$5:$O$400,MATCH($H106,SRC_HW!$A$5:$A$400,0)),IF(ISNUMBER(MATCH($H106,SRC_DC!$A$5:$A$400,0)),INDEX(SRC_DC!$O$5:$O$400,MATCH($H106,SRC_DC!$A$5:$A$400,0)),IF(ISNUMBER(MATCH($H106,SRC_Model!$A$5:$A$400,0)),INDEX(SRC_Model!$O$5:$O$400,MATCH($H106,SRC_Model!$A$5:$A$400,0)),IF(ISNUMBER(MATCH($H106,SRC_Perf!$A$5:$A$400,0)),INDEX(SRC_Perf!$O$5:$O$400,MATCH($H106,SRC_Perf!$A$5:$A$400,0)),"不存在")))))</f>
        <v>Active</v>
      </c>
      <c r="T106" s="83" t="n">
        <f aca="false">IF(OR($H106="—",$H106=""),"—",IF(ISNUMBER(MATCH($H106,SRC_HW!$A$5:$A$400,0)),INDEX(SRC_HW!$K$5:$K$400,MATCH($H106,SRC_HW!$A$5:$A$400,0)),IF(ISNUMBER(MATCH($H106,SRC_DC!$A$5:$A$400,0)),INDEX(SRC_DC!$K$5:$K$400,MATCH($H106,SRC_DC!$A$5:$A$400,0)),IF(ISNUMBER(MATCH($H106,SRC_Model!$A$5:$A$400,0)),INDEX(SRC_Model!$K$5:$K$400,MATCH($H106,SRC_Model!$A$5:$A$400,0)),IF(ISNUMBER(MATCH($H106,SRC_Perf!$A$5:$A$400,0)),INDEX(SRC_Perf!$K$5:$K$400,MATCH($H106,SRC_Perf!$A$5:$A$400,0)),"不存在")))))</f>
        <v>3</v>
      </c>
      <c r="U106" s="52" t="s">
        <v>2341</v>
      </c>
      <c r="V106" s="103" t="n">
        <f aca="false">IF(AND($F106="原始數據",$U106&lt;&gt;"連結 SRC"),1,0)</f>
        <v>0</v>
      </c>
      <c r="W106" s="103" t="n">
        <f aca="false">IF(AND($F106="Analogy",OR($H106="—",$H106="")),1,0)</f>
        <v>0</v>
      </c>
      <c r="X106" s="103" t="n">
        <f aca="false">IF(AND(OR($F106="Analogy",$F106="Assumed"),$G106&lt;&gt;"低",$G106&lt;&gt;"高",NOT(ISNUMBER($K106)),NOT(ISNUMBER($L106)),OR($M106="—",$M106="")),1,0)</f>
        <v>0</v>
      </c>
      <c r="Y106" s="103" t="n">
        <f aca="false">IF(AND(OR($F106="Analogy",$F106="Assumed",$F106="Derived（待改公式）",$F106="Derived（公式）"),OR($N106="—",$N106="",$N106=0)),1,0)</f>
        <v>0</v>
      </c>
      <c r="Z106" s="103" t="n">
        <f aca="false">IF(AND($F106="Decision",OR($J106="—",$J106="")),1,0)</f>
        <v>0</v>
      </c>
      <c r="AA106" s="84" t="n">
        <f aca="false">IF(OR($J106="—",$J106=""),0,IF(COUNTIF(Decisions!$A$5:$A$300,$J106)=0,1,0))</f>
        <v>0</v>
      </c>
      <c r="AB106" s="103" t="n">
        <f aca="false">IF(AND($F106="原始數據",$S106&lt;&gt;"Active"),1,0)</f>
        <v>0</v>
      </c>
      <c r="AC106" s="103" t="n">
        <f aca="false">IF(AND(ISNUMBER($K106),ISNUMBER($L106),ISNUMBER($Q106)),IF(OR($Q106&lt;MIN($K106,$L106),$Q106&gt;MAX($K106,$L106)),1,0),0)</f>
        <v>0</v>
      </c>
      <c r="AD106" s="103" t="n">
        <f aca="false">IF(AND(ISNUMBER($T106),$P106="高"),IF($T106=3,1,0),0)</f>
        <v>0</v>
      </c>
      <c r="AE106" s="103" t="n">
        <f aca="false">IF(AND($S106="不存在",$B106="切片一"),1,0)</f>
        <v>0</v>
      </c>
    </row>
    <row r="107" customFormat="false" ht="15" hidden="false" customHeight="false" outlineLevel="0" collapsed="false">
      <c r="A107" s="53" t="s">
        <v>2571</v>
      </c>
      <c r="B107" s="52" t="s">
        <v>2297</v>
      </c>
      <c r="C107" s="53" t="s">
        <v>2460</v>
      </c>
      <c r="D107" s="53" t="s">
        <v>2441</v>
      </c>
      <c r="E107" s="5" t="s">
        <v>182</v>
      </c>
      <c r="F107" s="52" t="s">
        <v>2337</v>
      </c>
      <c r="G107" s="52" t="s">
        <v>2299</v>
      </c>
      <c r="H107" s="53" t="s">
        <v>2572</v>
      </c>
      <c r="I107" s="5" t="s">
        <v>2339</v>
      </c>
      <c r="J107" s="53" t="s">
        <v>554</v>
      </c>
      <c r="K107" s="52"/>
      <c r="L107" s="52"/>
      <c r="M107" s="53" t="s">
        <v>554</v>
      </c>
      <c r="N107" s="5" t="s">
        <v>2340</v>
      </c>
      <c r="O107" s="6" t="s">
        <v>554</v>
      </c>
      <c r="P107" s="52" t="s">
        <v>2364</v>
      </c>
      <c r="Q107" s="86" t="n">
        <f aca="false">Spec_Rack!F23</f>
        <v>35</v>
      </c>
      <c r="R107" s="83" t="n">
        <f aca="false">SRC_HW_028</f>
        <v>35</v>
      </c>
      <c r="S107" s="83" t="str">
        <f aca="false">IF(OR($H107="—",$H107=""),"—",IF(ISNUMBER(MATCH($H107,SRC_HW!$A$5:$A$400,0)),INDEX(SRC_HW!$O$5:$O$400,MATCH($H107,SRC_HW!$A$5:$A$400,0)),IF(ISNUMBER(MATCH($H107,SRC_DC!$A$5:$A$400,0)),INDEX(SRC_DC!$O$5:$O$400,MATCH($H107,SRC_DC!$A$5:$A$400,0)),IF(ISNUMBER(MATCH($H107,SRC_Model!$A$5:$A$400,0)),INDEX(SRC_Model!$O$5:$O$400,MATCH($H107,SRC_Model!$A$5:$A$400,0)),IF(ISNUMBER(MATCH($H107,SRC_Perf!$A$5:$A$400,0)),INDEX(SRC_Perf!$O$5:$O$400,MATCH($H107,SRC_Perf!$A$5:$A$400,0)),"不存在")))))</f>
        <v>Active</v>
      </c>
      <c r="T107" s="83" t="n">
        <f aca="false">IF(OR($H107="—",$H107=""),"—",IF(ISNUMBER(MATCH($H107,SRC_HW!$A$5:$A$400,0)),INDEX(SRC_HW!$K$5:$K$400,MATCH($H107,SRC_HW!$A$5:$A$400,0)),IF(ISNUMBER(MATCH($H107,SRC_DC!$A$5:$A$400,0)),INDEX(SRC_DC!$K$5:$K$400,MATCH($H107,SRC_DC!$A$5:$A$400,0)),IF(ISNUMBER(MATCH($H107,SRC_Model!$A$5:$A$400,0)),INDEX(SRC_Model!$K$5:$K$400,MATCH($H107,SRC_Model!$A$5:$A$400,0)),IF(ISNUMBER(MATCH($H107,SRC_Perf!$A$5:$A$400,0)),INDEX(SRC_Perf!$K$5:$K$400,MATCH($H107,SRC_Perf!$A$5:$A$400,0)),"不存在")))))</f>
        <v>3</v>
      </c>
      <c r="U107" s="52" t="s">
        <v>2341</v>
      </c>
      <c r="V107" s="103" t="n">
        <f aca="false">IF(AND($F107="原始數據",$U107&lt;&gt;"連結 SRC"),1,0)</f>
        <v>0</v>
      </c>
      <c r="W107" s="103" t="n">
        <f aca="false">IF(AND($F107="Analogy",OR($H107="—",$H107="")),1,0)</f>
        <v>0</v>
      </c>
      <c r="X107" s="103" t="n">
        <f aca="false">IF(AND(OR($F107="Analogy",$F107="Assumed"),$G107&lt;&gt;"低",$G107&lt;&gt;"高",NOT(ISNUMBER($K107)),NOT(ISNUMBER($L107)),OR($M107="—",$M107="")),1,0)</f>
        <v>0</v>
      </c>
      <c r="Y107" s="103" t="n">
        <f aca="false">IF(AND(OR($F107="Analogy",$F107="Assumed",$F107="Derived（待改公式）",$F107="Derived（公式）"),OR($N107="—",$N107="",$N107=0)),1,0)</f>
        <v>0</v>
      </c>
      <c r="Z107" s="103" t="n">
        <f aca="false">IF(AND($F107="Decision",OR($J107="—",$J107="")),1,0)</f>
        <v>0</v>
      </c>
      <c r="AA107" s="84" t="n">
        <f aca="false">IF(OR($J107="—",$J107=""),0,IF(COUNTIF(Decisions!$A$5:$A$300,$J107)=0,1,0))</f>
        <v>0</v>
      </c>
      <c r="AB107" s="103" t="n">
        <f aca="false">IF(AND($F107="原始數據",$S107&lt;&gt;"Active"),1,0)</f>
        <v>0</v>
      </c>
      <c r="AC107" s="103" t="n">
        <f aca="false">IF(AND(ISNUMBER($K107),ISNUMBER($L107),ISNUMBER($Q107)),IF(OR($Q107&lt;MIN($K107,$L107),$Q107&gt;MAX($K107,$L107)),1,0),0)</f>
        <v>0</v>
      </c>
      <c r="AD107" s="103" t="n">
        <f aca="false">IF(AND(ISNUMBER($T107),$P107="高"),IF($T107=3,1,0),0)</f>
        <v>0</v>
      </c>
      <c r="AE107" s="103" t="n">
        <f aca="false">IF(AND($S107="不存在",$B107="切片一"),1,0)</f>
        <v>0</v>
      </c>
    </row>
    <row r="108" customFormat="false" ht="15" hidden="false" customHeight="false" outlineLevel="0" collapsed="false">
      <c r="A108" s="53" t="s">
        <v>2573</v>
      </c>
      <c r="B108" s="52" t="s">
        <v>2297</v>
      </c>
      <c r="C108" s="53" t="s">
        <v>2460</v>
      </c>
      <c r="D108" s="53" t="s">
        <v>2574</v>
      </c>
      <c r="E108" s="5" t="s">
        <v>182</v>
      </c>
      <c r="F108" s="53" t="s">
        <v>70</v>
      </c>
      <c r="G108" s="52" t="s">
        <v>55</v>
      </c>
      <c r="H108" s="53" t="s">
        <v>554</v>
      </c>
      <c r="I108" s="6" t="s">
        <v>554</v>
      </c>
      <c r="J108" s="53" t="s">
        <v>554</v>
      </c>
      <c r="K108" s="83" t="n">
        <f aca="false">Spec_Rack!G23*0.7</f>
        <v>51.1</v>
      </c>
      <c r="L108" s="83" t="n">
        <f aca="false">Spec_Rack!G23*1.3</f>
        <v>94.9</v>
      </c>
      <c r="M108" s="53" t="s">
        <v>2575</v>
      </c>
      <c r="N108" s="6" t="s">
        <v>2576</v>
      </c>
      <c r="O108" s="6" t="s">
        <v>554</v>
      </c>
      <c r="P108" s="52" t="s">
        <v>2364</v>
      </c>
      <c r="Q108" s="86" t="n">
        <f aca="false">Spec_Rack!G23</f>
        <v>73</v>
      </c>
      <c r="R108" s="53" t="s">
        <v>554</v>
      </c>
      <c r="S108" s="83" t="str">
        <f aca="false">IF(OR($H108="—",$H108=""),"—",IF(ISNUMBER(MATCH($H108,SRC_HW!$A$5:$A$400,0)),INDEX(SRC_HW!$O$5:$O$400,MATCH($H108,SRC_HW!$A$5:$A$400,0)),IF(ISNUMBER(MATCH($H108,SRC_DC!$A$5:$A$400,0)),INDEX(SRC_DC!$O$5:$O$400,MATCH($H108,SRC_DC!$A$5:$A$400,0)),IF(ISNUMBER(MATCH($H108,SRC_Model!$A$5:$A$400,0)),INDEX(SRC_Model!$O$5:$O$400,MATCH($H108,SRC_Model!$A$5:$A$400,0)),IF(ISNUMBER(MATCH($H108,SRC_Perf!$A$5:$A$400,0)),INDEX(SRC_Perf!$O$5:$O$400,MATCH($H108,SRC_Perf!$A$5:$A$400,0)),"不存在")))))</f>
        <v>—</v>
      </c>
      <c r="T108" s="83" t="str">
        <f aca="false">IF(OR($H108="—",$H108=""),"—",IF(ISNUMBER(MATCH($H108,SRC_HW!$A$5:$A$400,0)),INDEX(SRC_HW!$K$5:$K$400,MATCH($H108,SRC_HW!$A$5:$A$400,0)),IF(ISNUMBER(MATCH($H108,SRC_DC!$A$5:$A$400,0)),INDEX(SRC_DC!$K$5:$K$400,MATCH($H108,SRC_DC!$A$5:$A$400,0)),IF(ISNUMBER(MATCH($H108,SRC_Model!$A$5:$A$400,0)),INDEX(SRC_Model!$K$5:$K$400,MATCH($H108,SRC_Model!$A$5:$A$400,0)),IF(ISNUMBER(MATCH($H108,SRC_Perf!$A$5:$A$400,0)),INDEX(SRC_Perf!$K$5:$K$400,MATCH($H108,SRC_Perf!$A$5:$A$400,0)),"不存在")))))</f>
        <v>—</v>
      </c>
      <c r="U108" s="52" t="s">
        <v>2302</v>
      </c>
      <c r="V108" s="103" t="n">
        <f aca="false">IF(AND($F108="原始數據",$U108&lt;&gt;"連結 SRC"),1,0)</f>
        <v>0</v>
      </c>
      <c r="W108" s="103" t="n">
        <f aca="false">IF(AND($F108="Analogy",OR($H108="—",$H108="")),1,0)</f>
        <v>0</v>
      </c>
      <c r="X108" s="103" t="n">
        <f aca="false">IF(AND(OR($F108="Analogy",$F108="Assumed"),$G108&lt;&gt;"低",$G108&lt;&gt;"高",NOT(ISNUMBER($K108)),NOT(ISNUMBER($L108)),OR($M108="—",$M108="")),1,0)</f>
        <v>0</v>
      </c>
      <c r="Y108" s="103" t="n">
        <f aca="false">IF(AND(OR($F108="Analogy",$F108="Assumed",$F108="Derived（待改公式）",$F108="Derived（公式）"),OR($N108="—",$N108="",$N108=0)),1,0)</f>
        <v>0</v>
      </c>
      <c r="Z108" s="103" t="n">
        <f aca="false">IF(AND($F108="Decision",OR($J108="—",$J108="")),1,0)</f>
        <v>0</v>
      </c>
      <c r="AA108" s="84" t="n">
        <f aca="false">IF(OR($J108="—",$J108=""),0,IF(COUNTIF(Decisions!$A$5:$A$300,$J108)=0,1,0))</f>
        <v>0</v>
      </c>
      <c r="AB108" s="103" t="n">
        <f aca="false">IF(AND($F108="原始數據",$S108&lt;&gt;"Active"),1,0)</f>
        <v>0</v>
      </c>
      <c r="AC108" s="103" t="n">
        <f aca="false">IF(AND(ISNUMBER($K108),ISNUMBER($L108),ISNUMBER($Q108)),IF(OR($Q108&lt;MIN($K108,$L108),$Q108&gt;MAX($K108,$L108)),1,0),0)</f>
        <v>0</v>
      </c>
      <c r="AD108" s="103" t="n">
        <f aca="false">IF(AND(ISNUMBER($T108),$P108="高"),IF($T108=3,1,0),0)</f>
        <v>0</v>
      </c>
      <c r="AE108" s="103" t="n">
        <f aca="false">IF(AND($S108="不存在",$B108="切片一"),1,0)</f>
        <v>0</v>
      </c>
    </row>
    <row r="109" customFormat="false" ht="29.85" hidden="false" customHeight="false" outlineLevel="0" collapsed="false">
      <c r="A109" s="53" t="s">
        <v>2577</v>
      </c>
      <c r="B109" s="52" t="s">
        <v>2297</v>
      </c>
      <c r="C109" s="53" t="s">
        <v>2460</v>
      </c>
      <c r="D109" s="53" t="s">
        <v>2578</v>
      </c>
      <c r="E109" s="5" t="s">
        <v>184</v>
      </c>
      <c r="F109" s="53" t="s">
        <v>2579</v>
      </c>
      <c r="G109" s="52" t="s">
        <v>2299</v>
      </c>
      <c r="H109" s="53" t="s">
        <v>554</v>
      </c>
      <c r="I109" s="6" t="s">
        <v>554</v>
      </c>
      <c r="J109" s="53" t="s">
        <v>554</v>
      </c>
      <c r="K109" s="52"/>
      <c r="L109" s="52"/>
      <c r="M109" s="53" t="s">
        <v>554</v>
      </c>
      <c r="N109" s="6" t="s">
        <v>2580</v>
      </c>
      <c r="O109" s="6" t="s">
        <v>554</v>
      </c>
      <c r="P109" s="52" t="s">
        <v>2307</v>
      </c>
      <c r="Q109" s="86" t="n">
        <f aca="false">Spec_Rack!C24</f>
        <v>1.979</v>
      </c>
      <c r="R109" s="53" t="s">
        <v>554</v>
      </c>
      <c r="S109" s="83" t="str">
        <f aca="false">IF(OR($H109="—",$H109=""),"—",IF(ISNUMBER(MATCH($H109,SRC_HW!$A$5:$A$400,0)),INDEX(SRC_HW!$O$5:$O$400,MATCH($H109,SRC_HW!$A$5:$A$400,0)),IF(ISNUMBER(MATCH($H109,SRC_DC!$A$5:$A$400,0)),INDEX(SRC_DC!$O$5:$O$400,MATCH($H109,SRC_DC!$A$5:$A$400,0)),IF(ISNUMBER(MATCH($H109,SRC_Model!$A$5:$A$400,0)),INDEX(SRC_Model!$O$5:$O$400,MATCH($H109,SRC_Model!$A$5:$A$400,0)),IF(ISNUMBER(MATCH($H109,SRC_Perf!$A$5:$A$400,0)),INDEX(SRC_Perf!$O$5:$O$400,MATCH($H109,SRC_Perf!$A$5:$A$400,0)),"不存在")))))</f>
        <v>—</v>
      </c>
      <c r="T109" s="83" t="str">
        <f aca="false">IF(OR($H109="—",$H109=""),"—",IF(ISNUMBER(MATCH($H109,SRC_HW!$A$5:$A$400,0)),INDEX(SRC_HW!$K$5:$K$400,MATCH($H109,SRC_HW!$A$5:$A$400,0)),IF(ISNUMBER(MATCH($H109,SRC_DC!$A$5:$A$400,0)),INDEX(SRC_DC!$K$5:$K$400,MATCH($H109,SRC_DC!$A$5:$A$400,0)),IF(ISNUMBER(MATCH($H109,SRC_Model!$A$5:$A$400,0)),INDEX(SRC_Model!$K$5:$K$400,MATCH($H109,SRC_Model!$A$5:$A$400,0)),IF(ISNUMBER(MATCH($H109,SRC_Perf!$A$5:$A$400,0)),INDEX(SRC_Perf!$K$5:$K$400,MATCH($H109,SRC_Perf!$A$5:$A$400,0)),"不存在")))))</f>
        <v>—</v>
      </c>
      <c r="U109" s="52" t="s">
        <v>2581</v>
      </c>
      <c r="V109" s="103" t="n">
        <f aca="false">IF(AND($F109="原始數據",$U109&lt;&gt;"連結 SRC"),1,0)</f>
        <v>0</v>
      </c>
      <c r="W109" s="103" t="n">
        <f aca="false">IF(AND($F109="Analogy",OR($H109="—",$H109="")),1,0)</f>
        <v>0</v>
      </c>
      <c r="X109" s="103" t="n">
        <f aca="false">IF(AND(OR($F109="Analogy",$F109="Assumed"),$G109&lt;&gt;"低",$G109&lt;&gt;"高",NOT(ISNUMBER($K109)),NOT(ISNUMBER($L109)),OR($M109="—",$M109="")),1,0)</f>
        <v>0</v>
      </c>
      <c r="Y109" s="103" t="n">
        <f aca="false">IF(AND(OR($F109="Analogy",$F109="Assumed",$F109="Derived（待改公式）",$F109="Derived（公式）"),OR($N109="—",$N109="",$N109=0)),1,0)</f>
        <v>0</v>
      </c>
      <c r="Z109" s="103" t="n">
        <f aca="false">IF(AND($F109="Decision",OR($J109="—",$J109="")),1,0)</f>
        <v>0</v>
      </c>
      <c r="AA109" s="84" t="n">
        <f aca="false">IF(OR($J109="—",$J109=""),0,IF(COUNTIF(Decisions!$A$5:$A$300,$J109)=0,1,0))</f>
        <v>0</v>
      </c>
      <c r="AB109" s="103" t="n">
        <f aca="false">IF(AND($F109="原始數據",$S109&lt;&gt;"Active"),1,0)</f>
        <v>0</v>
      </c>
      <c r="AC109" s="103" t="n">
        <f aca="false">IF(AND(ISNUMBER($K109),ISNUMBER($L109),ISNUMBER($Q109)),IF(OR($Q109&lt;MIN($K109,$L109),$Q109&gt;MAX($K109,$L109)),1,0),0)</f>
        <v>0</v>
      </c>
      <c r="AD109" s="103" t="n">
        <f aca="false">IF(AND(ISNUMBER($T109),$P109="高"),IF($T109=3,1,0),0)</f>
        <v>0</v>
      </c>
      <c r="AE109" s="103" t="n">
        <f aca="false">IF(AND($S109="不存在",$B109="切片一"),1,0)</f>
        <v>0</v>
      </c>
    </row>
    <row r="110" customFormat="false" ht="29.85" hidden="false" customHeight="false" outlineLevel="0" collapsed="false">
      <c r="A110" s="53" t="s">
        <v>2582</v>
      </c>
      <c r="B110" s="52" t="s">
        <v>2297</v>
      </c>
      <c r="C110" s="53" t="s">
        <v>2460</v>
      </c>
      <c r="D110" s="53" t="s">
        <v>2583</v>
      </c>
      <c r="E110" s="5" t="s">
        <v>184</v>
      </c>
      <c r="F110" s="52" t="s">
        <v>2337</v>
      </c>
      <c r="G110" s="52" t="s">
        <v>2299</v>
      </c>
      <c r="H110" s="53" t="s">
        <v>2568</v>
      </c>
      <c r="I110" s="5" t="s">
        <v>2339</v>
      </c>
      <c r="J110" s="53" t="s">
        <v>554</v>
      </c>
      <c r="K110" s="52"/>
      <c r="L110" s="52"/>
      <c r="M110" s="53" t="s">
        <v>554</v>
      </c>
      <c r="N110" s="5" t="s">
        <v>2340</v>
      </c>
      <c r="O110" s="6" t="s">
        <v>554</v>
      </c>
      <c r="P110" s="52" t="s">
        <v>2307</v>
      </c>
      <c r="Q110" s="86" t="n">
        <f aca="false">Spec_Rack!D24</f>
        <v>10</v>
      </c>
      <c r="R110" s="83" t="n">
        <f aca="false">SRC_HW_022</f>
        <v>10</v>
      </c>
      <c r="S110" s="83" t="str">
        <f aca="false">IF(OR($H110="—",$H110=""),"—",IF(ISNUMBER(MATCH($H110,SRC_HW!$A$5:$A$400,0)),INDEX(SRC_HW!$O$5:$O$400,MATCH($H110,SRC_HW!$A$5:$A$400,0)),IF(ISNUMBER(MATCH($H110,SRC_DC!$A$5:$A$400,0)),INDEX(SRC_DC!$O$5:$O$400,MATCH($H110,SRC_DC!$A$5:$A$400,0)),IF(ISNUMBER(MATCH($H110,SRC_Model!$A$5:$A$400,0)),INDEX(SRC_Model!$O$5:$O$400,MATCH($H110,SRC_Model!$A$5:$A$400,0)),IF(ISNUMBER(MATCH($H110,SRC_Perf!$A$5:$A$400,0)),INDEX(SRC_Perf!$O$5:$O$400,MATCH($H110,SRC_Perf!$A$5:$A$400,0)),"不存在")))))</f>
        <v>Active</v>
      </c>
      <c r="T110" s="83" t="n">
        <f aca="false">IF(OR($H110="—",$H110=""),"—",IF(ISNUMBER(MATCH($H110,SRC_HW!$A$5:$A$400,0)),INDEX(SRC_HW!$K$5:$K$400,MATCH($H110,SRC_HW!$A$5:$A$400,0)),IF(ISNUMBER(MATCH($H110,SRC_DC!$A$5:$A$400,0)),INDEX(SRC_DC!$K$5:$K$400,MATCH($H110,SRC_DC!$A$5:$A$400,0)),IF(ISNUMBER(MATCH($H110,SRC_Model!$A$5:$A$400,0)),INDEX(SRC_Model!$K$5:$K$400,MATCH($H110,SRC_Model!$A$5:$A$400,0)),IF(ISNUMBER(MATCH($H110,SRC_Perf!$A$5:$A$400,0)),INDEX(SRC_Perf!$K$5:$K$400,MATCH($H110,SRC_Perf!$A$5:$A$400,0)),"不存在")))))</f>
        <v>3</v>
      </c>
      <c r="U110" s="52" t="s">
        <v>2341</v>
      </c>
      <c r="V110" s="103" t="n">
        <f aca="false">IF(AND($F110="原始數據",$U110&lt;&gt;"連結 SRC"),1,0)</f>
        <v>0</v>
      </c>
      <c r="W110" s="103" t="n">
        <f aca="false">IF(AND($F110="Analogy",OR($H110="—",$H110="")),1,0)</f>
        <v>0</v>
      </c>
      <c r="X110" s="103" t="n">
        <f aca="false">IF(AND(OR($F110="Analogy",$F110="Assumed"),$G110&lt;&gt;"低",$G110&lt;&gt;"高",NOT(ISNUMBER($K110)),NOT(ISNUMBER($L110)),OR($M110="—",$M110="")),1,0)</f>
        <v>0</v>
      </c>
      <c r="Y110" s="103" t="n">
        <f aca="false">IF(AND(OR($F110="Analogy",$F110="Assumed",$F110="Derived（待改公式）",$F110="Derived（公式）"),OR($N110="—",$N110="",$N110=0)),1,0)</f>
        <v>0</v>
      </c>
      <c r="Z110" s="103" t="n">
        <f aca="false">IF(AND($F110="Decision",OR($J110="—",$J110="")),1,0)</f>
        <v>0</v>
      </c>
      <c r="AA110" s="84" t="n">
        <f aca="false">IF(OR($J110="—",$J110=""),0,IF(COUNTIF(Decisions!$A$5:$A$300,$J110)=0,1,0))</f>
        <v>0</v>
      </c>
      <c r="AB110" s="103" t="n">
        <f aca="false">IF(AND($F110="原始數據",$S110&lt;&gt;"Active"),1,0)</f>
        <v>0</v>
      </c>
      <c r="AC110" s="103" t="n">
        <f aca="false">IF(AND(ISNUMBER($K110),ISNUMBER($L110),ISNUMBER($Q110)),IF(OR($Q110&lt;MIN($K110,$L110),$Q110&gt;MAX($K110,$L110)),1,0),0)</f>
        <v>0</v>
      </c>
      <c r="AD110" s="103" t="n">
        <f aca="false">IF(AND(ISNUMBER($T110),$P110="高"),IF($T110=3,1,0),0)</f>
        <v>0</v>
      </c>
      <c r="AE110" s="103" t="n">
        <f aca="false">IF(AND($S110="不存在",$B110="切片一"),1,0)</f>
        <v>0</v>
      </c>
    </row>
    <row r="111" customFormat="false" ht="29.85" hidden="false" customHeight="false" outlineLevel="0" collapsed="false">
      <c r="A111" s="53" t="s">
        <v>2584</v>
      </c>
      <c r="B111" s="52" t="s">
        <v>2297</v>
      </c>
      <c r="C111" s="53" t="s">
        <v>2460</v>
      </c>
      <c r="D111" s="53" t="s">
        <v>2444</v>
      </c>
      <c r="E111" s="5" t="s">
        <v>184</v>
      </c>
      <c r="F111" s="52" t="s">
        <v>2337</v>
      </c>
      <c r="G111" s="52" t="s">
        <v>2299</v>
      </c>
      <c r="H111" s="53" t="s">
        <v>2570</v>
      </c>
      <c r="I111" s="5" t="s">
        <v>2339</v>
      </c>
      <c r="J111" s="53" t="s">
        <v>554</v>
      </c>
      <c r="K111" s="52"/>
      <c r="L111" s="52"/>
      <c r="M111" s="53" t="s">
        <v>554</v>
      </c>
      <c r="N111" s="5" t="s">
        <v>2340</v>
      </c>
      <c r="O111" s="6" t="s">
        <v>554</v>
      </c>
      <c r="P111" s="52" t="s">
        <v>2307</v>
      </c>
      <c r="Q111" s="86" t="n">
        <f aca="false">Spec_Rack!E24</f>
        <v>15</v>
      </c>
      <c r="R111" s="83" t="n">
        <f aca="false">SRC_HW_025</f>
        <v>15</v>
      </c>
      <c r="S111" s="83" t="str">
        <f aca="false">IF(OR($H111="—",$H111=""),"—",IF(ISNUMBER(MATCH($H111,SRC_HW!$A$5:$A$400,0)),INDEX(SRC_HW!$O$5:$O$400,MATCH($H111,SRC_HW!$A$5:$A$400,0)),IF(ISNUMBER(MATCH($H111,SRC_DC!$A$5:$A$400,0)),INDEX(SRC_DC!$O$5:$O$400,MATCH($H111,SRC_DC!$A$5:$A$400,0)),IF(ISNUMBER(MATCH($H111,SRC_Model!$A$5:$A$400,0)),INDEX(SRC_Model!$O$5:$O$400,MATCH($H111,SRC_Model!$A$5:$A$400,0)),IF(ISNUMBER(MATCH($H111,SRC_Perf!$A$5:$A$400,0)),INDEX(SRC_Perf!$O$5:$O$400,MATCH($H111,SRC_Perf!$A$5:$A$400,0)),"不存在")))))</f>
        <v>Active</v>
      </c>
      <c r="T111" s="83" t="n">
        <f aca="false">IF(OR($H111="—",$H111=""),"—",IF(ISNUMBER(MATCH($H111,SRC_HW!$A$5:$A$400,0)),INDEX(SRC_HW!$K$5:$K$400,MATCH($H111,SRC_HW!$A$5:$A$400,0)),IF(ISNUMBER(MATCH($H111,SRC_DC!$A$5:$A$400,0)),INDEX(SRC_DC!$K$5:$K$400,MATCH($H111,SRC_DC!$A$5:$A$400,0)),IF(ISNUMBER(MATCH($H111,SRC_Model!$A$5:$A$400,0)),INDEX(SRC_Model!$K$5:$K$400,MATCH($H111,SRC_Model!$A$5:$A$400,0)),IF(ISNUMBER(MATCH($H111,SRC_Perf!$A$5:$A$400,0)),INDEX(SRC_Perf!$K$5:$K$400,MATCH($H111,SRC_Perf!$A$5:$A$400,0)),"不存在")))))</f>
        <v>3</v>
      </c>
      <c r="U111" s="52" t="s">
        <v>2341</v>
      </c>
      <c r="V111" s="103" t="n">
        <f aca="false">IF(AND($F111="原始數據",$U111&lt;&gt;"連結 SRC"),1,0)</f>
        <v>0</v>
      </c>
      <c r="W111" s="103" t="n">
        <f aca="false">IF(AND($F111="Analogy",OR($H111="—",$H111="")),1,0)</f>
        <v>0</v>
      </c>
      <c r="X111" s="103" t="n">
        <f aca="false">IF(AND(OR($F111="Analogy",$F111="Assumed"),$G111&lt;&gt;"低",$G111&lt;&gt;"高",NOT(ISNUMBER($K111)),NOT(ISNUMBER($L111)),OR($M111="—",$M111="")),1,0)</f>
        <v>0</v>
      </c>
      <c r="Y111" s="103" t="n">
        <f aca="false">IF(AND(OR($F111="Analogy",$F111="Assumed",$F111="Derived（待改公式）",$F111="Derived（公式）"),OR($N111="—",$N111="",$N111=0)),1,0)</f>
        <v>0</v>
      </c>
      <c r="Z111" s="103" t="n">
        <f aca="false">IF(AND($F111="Decision",OR($J111="—",$J111="")),1,0)</f>
        <v>0</v>
      </c>
      <c r="AA111" s="84" t="n">
        <f aca="false">IF(OR($J111="—",$J111=""),0,IF(COUNTIF(Decisions!$A$5:$A$300,$J111)=0,1,0))</f>
        <v>0</v>
      </c>
      <c r="AB111" s="103" t="n">
        <f aca="false">IF(AND($F111="原始數據",$S111&lt;&gt;"Active"),1,0)</f>
        <v>0</v>
      </c>
      <c r="AC111" s="103" t="n">
        <f aca="false">IF(AND(ISNUMBER($K111),ISNUMBER($L111),ISNUMBER($Q111)),IF(OR($Q111&lt;MIN($K111,$L111),$Q111&gt;MAX($K111,$L111)),1,0),0)</f>
        <v>0</v>
      </c>
      <c r="AD111" s="103" t="n">
        <f aca="false">IF(AND(ISNUMBER($T111),$P111="高"),IF($T111=3,1,0),0)</f>
        <v>0</v>
      </c>
      <c r="AE111" s="103" t="n">
        <f aca="false">IF(AND($S111="不存在",$B111="切片一"),1,0)</f>
        <v>0</v>
      </c>
    </row>
    <row r="112" customFormat="false" ht="29.85" hidden="false" customHeight="false" outlineLevel="0" collapsed="false">
      <c r="A112" s="53" t="s">
        <v>2585</v>
      </c>
      <c r="B112" s="52" t="s">
        <v>2297</v>
      </c>
      <c r="C112" s="53" t="s">
        <v>2460</v>
      </c>
      <c r="D112" s="53" t="s">
        <v>2586</v>
      </c>
      <c r="E112" s="5" t="s">
        <v>184</v>
      </c>
      <c r="F112" s="52" t="s">
        <v>2337</v>
      </c>
      <c r="G112" s="52" t="s">
        <v>2299</v>
      </c>
      <c r="H112" s="53" t="s">
        <v>2587</v>
      </c>
      <c r="I112" s="5" t="s">
        <v>2339</v>
      </c>
      <c r="J112" s="53" t="s">
        <v>554</v>
      </c>
      <c r="K112" s="52"/>
      <c r="L112" s="52"/>
      <c r="M112" s="53" t="s">
        <v>554</v>
      </c>
      <c r="N112" s="5" t="s">
        <v>2340</v>
      </c>
      <c r="O112" s="6" t="s">
        <v>554</v>
      </c>
      <c r="P112" s="52" t="s">
        <v>2307</v>
      </c>
      <c r="Q112" s="86" t="n">
        <f aca="false">Spec_Rack!F24</f>
        <v>50</v>
      </c>
      <c r="R112" s="83" t="n">
        <f aca="false">SRC_HW_027</f>
        <v>50</v>
      </c>
      <c r="S112" s="83" t="str">
        <f aca="false">IF(OR($H112="—",$H112=""),"—",IF(ISNUMBER(MATCH($H112,SRC_HW!$A$5:$A$400,0)),INDEX(SRC_HW!$O$5:$O$400,MATCH($H112,SRC_HW!$A$5:$A$400,0)),IF(ISNUMBER(MATCH($H112,SRC_DC!$A$5:$A$400,0)),INDEX(SRC_DC!$O$5:$O$400,MATCH($H112,SRC_DC!$A$5:$A$400,0)),IF(ISNUMBER(MATCH($H112,SRC_Model!$A$5:$A$400,0)),INDEX(SRC_Model!$O$5:$O$400,MATCH($H112,SRC_Model!$A$5:$A$400,0)),IF(ISNUMBER(MATCH($H112,SRC_Perf!$A$5:$A$400,0)),INDEX(SRC_Perf!$O$5:$O$400,MATCH($H112,SRC_Perf!$A$5:$A$400,0)),"不存在")))))</f>
        <v>Active</v>
      </c>
      <c r="T112" s="83" t="n">
        <f aca="false">IF(OR($H112="—",$H112=""),"—",IF(ISNUMBER(MATCH($H112,SRC_HW!$A$5:$A$400,0)),INDEX(SRC_HW!$K$5:$K$400,MATCH($H112,SRC_HW!$A$5:$A$400,0)),IF(ISNUMBER(MATCH($H112,SRC_DC!$A$5:$A$400,0)),INDEX(SRC_DC!$K$5:$K$400,MATCH($H112,SRC_DC!$A$5:$A$400,0)),IF(ISNUMBER(MATCH($H112,SRC_Model!$A$5:$A$400,0)),INDEX(SRC_Model!$K$5:$K$400,MATCH($H112,SRC_Model!$A$5:$A$400,0)),IF(ISNUMBER(MATCH($H112,SRC_Perf!$A$5:$A$400,0)),INDEX(SRC_Perf!$K$5:$K$400,MATCH($H112,SRC_Perf!$A$5:$A$400,0)),"不存在")))))</f>
        <v>3</v>
      </c>
      <c r="U112" s="52" t="s">
        <v>2341</v>
      </c>
      <c r="V112" s="103" t="n">
        <f aca="false">IF(AND($F112="原始數據",$U112&lt;&gt;"連結 SRC"),1,0)</f>
        <v>0</v>
      </c>
      <c r="W112" s="103" t="n">
        <f aca="false">IF(AND($F112="Analogy",OR($H112="—",$H112="")),1,0)</f>
        <v>0</v>
      </c>
      <c r="X112" s="103" t="n">
        <f aca="false">IF(AND(OR($F112="Analogy",$F112="Assumed"),$G112&lt;&gt;"低",$G112&lt;&gt;"高",NOT(ISNUMBER($K112)),NOT(ISNUMBER($L112)),OR($M112="—",$M112="")),1,0)</f>
        <v>0</v>
      </c>
      <c r="Y112" s="103" t="n">
        <f aca="false">IF(AND(OR($F112="Analogy",$F112="Assumed",$F112="Derived（待改公式）",$F112="Derived（公式）"),OR($N112="—",$N112="",$N112=0)),1,0)</f>
        <v>0</v>
      </c>
      <c r="Z112" s="103" t="n">
        <f aca="false">IF(AND($F112="Decision",OR($J112="—",$J112="")),1,0)</f>
        <v>0</v>
      </c>
      <c r="AA112" s="84" t="n">
        <f aca="false">IF(OR($J112="—",$J112=""),0,IF(COUNTIF(Decisions!$A$5:$A$300,$J112)=0,1,0))</f>
        <v>0</v>
      </c>
      <c r="AB112" s="103" t="n">
        <f aca="false">IF(AND($F112="原始數據",$S112&lt;&gt;"Active"),1,0)</f>
        <v>0</v>
      </c>
      <c r="AC112" s="103" t="n">
        <f aca="false">IF(AND(ISNUMBER($K112),ISNUMBER($L112),ISNUMBER($Q112)),IF(OR($Q112&lt;MIN($K112,$L112),$Q112&gt;MAX($K112,$L112)),1,0),0)</f>
        <v>0</v>
      </c>
      <c r="AD112" s="103" t="n">
        <f aca="false">IF(AND(ISNUMBER($T112),$P112="高"),IF($T112=3,1,0),0)</f>
        <v>0</v>
      </c>
      <c r="AE112" s="103" t="n">
        <f aca="false">IF(AND($S112="不存在",$B112="切片一"),1,0)</f>
        <v>0</v>
      </c>
    </row>
    <row r="113" customFormat="false" ht="44" hidden="false" customHeight="false" outlineLevel="0" collapsed="false">
      <c r="A113" s="53" t="s">
        <v>2588</v>
      </c>
      <c r="B113" s="52" t="s">
        <v>2297</v>
      </c>
      <c r="C113" s="53" t="s">
        <v>2460</v>
      </c>
      <c r="D113" s="53" t="s">
        <v>2589</v>
      </c>
      <c r="E113" s="5" t="s">
        <v>184</v>
      </c>
      <c r="F113" s="52" t="s">
        <v>2491</v>
      </c>
      <c r="G113" s="52" t="s">
        <v>2299</v>
      </c>
      <c r="H113" s="53" t="s">
        <v>2590</v>
      </c>
      <c r="I113" s="5" t="s">
        <v>2591</v>
      </c>
      <c r="J113" s="53" t="s">
        <v>554</v>
      </c>
      <c r="K113" s="52"/>
      <c r="L113" s="52"/>
      <c r="M113" s="53" t="s">
        <v>554</v>
      </c>
      <c r="N113" s="5" t="s">
        <v>2592</v>
      </c>
      <c r="O113" s="6" t="s">
        <v>554</v>
      </c>
      <c r="P113" s="52" t="s">
        <v>2307</v>
      </c>
      <c r="Q113" s="86" t="n">
        <f aca="false">Spec_Rack!G24</f>
        <v>104</v>
      </c>
      <c r="R113" s="83" t="n">
        <f aca="false">SRC_HW_031</f>
        <v>15000</v>
      </c>
      <c r="S113" s="83" t="str">
        <f aca="false">IF(OR($H113="—",$H113=""),"—",IF(ISNUMBER(MATCH($H113,SRC_HW!$A$5:$A$400,0)),INDEX(SRC_HW!$O$5:$O$400,MATCH($H113,SRC_HW!$A$5:$A$400,0)),IF(ISNUMBER(MATCH($H113,SRC_DC!$A$5:$A$400,0)),INDEX(SRC_DC!$O$5:$O$400,MATCH($H113,SRC_DC!$A$5:$A$400,0)),IF(ISNUMBER(MATCH($H113,SRC_Model!$A$5:$A$400,0)),INDEX(SRC_Model!$O$5:$O$400,MATCH($H113,SRC_Model!$A$5:$A$400,0)),IF(ISNUMBER(MATCH($H113,SRC_Perf!$A$5:$A$400,0)),INDEX(SRC_Perf!$O$5:$O$400,MATCH($H113,SRC_Perf!$A$5:$A$400,0)),"不存在")))))</f>
        <v>Active</v>
      </c>
      <c r="T113" s="83" t="n">
        <f aca="false">IF(OR($H113="—",$H113=""),"—",IF(ISNUMBER(MATCH($H113,SRC_HW!$A$5:$A$400,0)),INDEX(SRC_HW!$K$5:$K$400,MATCH($H113,SRC_HW!$A$5:$A$400,0)),IF(ISNUMBER(MATCH($H113,SRC_DC!$A$5:$A$400,0)),INDEX(SRC_DC!$K$5:$K$400,MATCH($H113,SRC_DC!$A$5:$A$400,0)),IF(ISNUMBER(MATCH($H113,SRC_Model!$A$5:$A$400,0)),INDEX(SRC_Model!$K$5:$K$400,MATCH($H113,SRC_Model!$A$5:$A$400,0)),IF(ISNUMBER(MATCH($H113,SRC_Perf!$A$5:$A$400,0)),INDEX(SRC_Perf!$K$5:$K$400,MATCH($H113,SRC_Perf!$A$5:$A$400,0)),"不存在")))))</f>
        <v>3</v>
      </c>
      <c r="U113" s="52" t="s">
        <v>2302</v>
      </c>
      <c r="V113" s="103" t="n">
        <f aca="false">IF(AND($F113="原始數據",$U113&lt;&gt;"連結 SRC"),1,0)</f>
        <v>0</v>
      </c>
      <c r="W113" s="103" t="n">
        <f aca="false">IF(AND($F113="Analogy",OR($H113="—",$H113="")),1,0)</f>
        <v>0</v>
      </c>
      <c r="X113" s="103" t="n">
        <f aca="false">IF(AND(OR($F113="Analogy",$F113="Assumed"),$G113&lt;&gt;"低",$G113&lt;&gt;"高",NOT(ISNUMBER($K113)),NOT(ISNUMBER($L113)),OR($M113="—",$M113="")),1,0)</f>
        <v>0</v>
      </c>
      <c r="Y113" s="103" t="n">
        <f aca="false">IF(AND(OR($F113="Analogy",$F113="Assumed",$F113="Derived（待改公式）",$F113="Derived（公式）"),OR($N113="—",$N113="",$N113=0)),1,0)</f>
        <v>0</v>
      </c>
      <c r="Z113" s="103" t="n">
        <f aca="false">IF(AND($F113="Decision",OR($J113="—",$J113="")),1,0)</f>
        <v>0</v>
      </c>
      <c r="AA113" s="84" t="n">
        <f aca="false">IF(OR($J113="—",$J113=""),0,IF(COUNTIF(Decisions!$A$5:$A$300,$J113)=0,1,0))</f>
        <v>0</v>
      </c>
      <c r="AB113" s="103" t="n">
        <f aca="false">IF(AND($F113="原始數據",$S113&lt;&gt;"Active"),1,0)</f>
        <v>0</v>
      </c>
      <c r="AC113" s="103" t="n">
        <f aca="false">IF(AND(ISNUMBER($K113),ISNUMBER($L113),ISNUMBER($Q113)),IF(OR($Q113&lt;MIN($K113,$L113),$Q113&gt;MAX($K113,$L113)),1,0),0)</f>
        <v>0</v>
      </c>
      <c r="AD113" s="103" t="n">
        <f aca="false">IF(AND(ISNUMBER($T113),$P113="高"),IF($T113=3,1,0),0)</f>
        <v>0</v>
      </c>
      <c r="AE113" s="103" t="n">
        <f aca="false">IF(AND($S113="不存在",$B113="切片一"),1,0)</f>
        <v>0</v>
      </c>
    </row>
    <row r="114" customFormat="false" ht="15" hidden="false" customHeight="false" outlineLevel="0" collapsed="false">
      <c r="A114" s="53" t="s">
        <v>2593</v>
      </c>
      <c r="B114" s="52" t="s">
        <v>2297</v>
      </c>
      <c r="C114" s="53" t="s">
        <v>2460</v>
      </c>
      <c r="D114" s="53" t="s">
        <v>2594</v>
      </c>
      <c r="E114" s="6" t="s">
        <v>186</v>
      </c>
      <c r="F114" s="52" t="s">
        <v>2337</v>
      </c>
      <c r="G114" s="52" t="s">
        <v>2299</v>
      </c>
      <c r="H114" s="53" t="s">
        <v>2595</v>
      </c>
      <c r="I114" s="5" t="s">
        <v>2339</v>
      </c>
      <c r="J114" s="53" t="s">
        <v>554</v>
      </c>
      <c r="K114" s="52"/>
      <c r="L114" s="52"/>
      <c r="M114" s="53" t="s">
        <v>554</v>
      </c>
      <c r="N114" s="5" t="s">
        <v>2340</v>
      </c>
      <c r="O114" s="6" t="s">
        <v>554</v>
      </c>
      <c r="P114" s="52" t="s">
        <v>2364</v>
      </c>
      <c r="Q114" s="54" t="n">
        <f aca="false">Spec_Rack!C25</f>
        <v>80</v>
      </c>
      <c r="R114" s="83" t="n">
        <f aca="false">SRC_HW_020</f>
        <v>80</v>
      </c>
      <c r="S114" s="83" t="str">
        <f aca="false">IF(OR($H114="—",$H114=""),"—",IF(ISNUMBER(MATCH($H114,SRC_HW!$A$5:$A$400,0)),INDEX(SRC_HW!$O$5:$O$400,MATCH($H114,SRC_HW!$A$5:$A$400,0)),IF(ISNUMBER(MATCH($H114,SRC_DC!$A$5:$A$400,0)),INDEX(SRC_DC!$O$5:$O$400,MATCH($H114,SRC_DC!$A$5:$A$400,0)),IF(ISNUMBER(MATCH($H114,SRC_Model!$A$5:$A$400,0)),INDEX(SRC_Model!$O$5:$O$400,MATCH($H114,SRC_Model!$A$5:$A$400,0)),IF(ISNUMBER(MATCH($H114,SRC_Perf!$A$5:$A$400,0)),INDEX(SRC_Perf!$O$5:$O$400,MATCH($H114,SRC_Perf!$A$5:$A$400,0)),"不存在")))))</f>
        <v>Active</v>
      </c>
      <c r="T114" s="83" t="n">
        <f aca="false">IF(OR($H114="—",$H114=""),"—",IF(ISNUMBER(MATCH($H114,SRC_HW!$A$5:$A$400,0)),INDEX(SRC_HW!$K$5:$K$400,MATCH($H114,SRC_HW!$A$5:$A$400,0)),IF(ISNUMBER(MATCH($H114,SRC_DC!$A$5:$A$400,0)),INDEX(SRC_DC!$K$5:$K$400,MATCH($H114,SRC_DC!$A$5:$A$400,0)),IF(ISNUMBER(MATCH($H114,SRC_Model!$A$5:$A$400,0)),INDEX(SRC_Model!$K$5:$K$400,MATCH($H114,SRC_Model!$A$5:$A$400,0)),IF(ISNUMBER(MATCH($H114,SRC_Perf!$A$5:$A$400,0)),INDEX(SRC_Perf!$K$5:$K$400,MATCH($H114,SRC_Perf!$A$5:$A$400,0)),"不存在")))))</f>
        <v>3</v>
      </c>
      <c r="U114" s="52" t="s">
        <v>2341</v>
      </c>
      <c r="V114" s="103" t="n">
        <f aca="false">IF(AND($F114="原始數據",$U114&lt;&gt;"連結 SRC"),1,0)</f>
        <v>0</v>
      </c>
      <c r="W114" s="103" t="n">
        <f aca="false">IF(AND($F114="Analogy",OR($H114="—",$H114="")),1,0)</f>
        <v>0</v>
      </c>
      <c r="X114" s="103" t="n">
        <f aca="false">IF(AND(OR($F114="Analogy",$F114="Assumed"),$G114&lt;&gt;"低",$G114&lt;&gt;"高",NOT(ISNUMBER($K114)),NOT(ISNUMBER($L114)),OR($M114="—",$M114="")),1,0)</f>
        <v>0</v>
      </c>
      <c r="Y114" s="103" t="n">
        <f aca="false">IF(AND(OR($F114="Analogy",$F114="Assumed",$F114="Derived（待改公式）",$F114="Derived（公式）"),OR($N114="—",$N114="",$N114=0)),1,0)</f>
        <v>0</v>
      </c>
      <c r="Z114" s="103" t="n">
        <f aca="false">IF(AND($F114="Decision",OR($J114="—",$J114="")),1,0)</f>
        <v>0</v>
      </c>
      <c r="AA114" s="84" t="n">
        <f aca="false">IF(OR($J114="—",$J114=""),0,IF(COUNTIF(Decisions!$A$5:$A$300,$J114)=0,1,0))</f>
        <v>0</v>
      </c>
      <c r="AB114" s="103" t="n">
        <f aca="false">IF(AND($F114="原始數據",$S114&lt;&gt;"Active"),1,0)</f>
        <v>0</v>
      </c>
      <c r="AC114" s="103" t="n">
        <f aca="false">IF(AND(ISNUMBER($K114),ISNUMBER($L114),ISNUMBER($Q114)),IF(OR($Q114&lt;MIN($K114,$L114),$Q114&gt;MAX($K114,$L114)),1,0),0)</f>
        <v>0</v>
      </c>
      <c r="AD114" s="103" t="n">
        <f aca="false">IF(AND(ISNUMBER($T114),$P114="高"),IF($T114=3,1,0),0)</f>
        <v>0</v>
      </c>
      <c r="AE114" s="103" t="n">
        <f aca="false">IF(AND($S114="不存在",$B114="切片一"),1,0)</f>
        <v>0</v>
      </c>
    </row>
    <row r="115" customFormat="false" ht="44" hidden="false" customHeight="false" outlineLevel="0" collapsed="false">
      <c r="A115" s="53" t="s">
        <v>2596</v>
      </c>
      <c r="B115" s="52" t="s">
        <v>2297</v>
      </c>
      <c r="C115" s="53" t="s">
        <v>2460</v>
      </c>
      <c r="D115" s="53" t="s">
        <v>2597</v>
      </c>
      <c r="E115" s="6" t="s">
        <v>186</v>
      </c>
      <c r="F115" s="52" t="s">
        <v>2491</v>
      </c>
      <c r="G115" s="52" t="s">
        <v>2299</v>
      </c>
      <c r="H115" s="53" t="s">
        <v>2598</v>
      </c>
      <c r="I115" s="5" t="s">
        <v>2599</v>
      </c>
      <c r="J115" s="53" t="s">
        <v>554</v>
      </c>
      <c r="K115" s="52"/>
      <c r="L115" s="52"/>
      <c r="M115" s="53" t="s">
        <v>554</v>
      </c>
      <c r="N115" s="5" t="s">
        <v>2600</v>
      </c>
      <c r="O115" s="6" t="s">
        <v>554</v>
      </c>
      <c r="P115" s="52" t="s">
        <v>2364</v>
      </c>
      <c r="Q115" s="54" t="n">
        <f aca="false">Spec_Rack!D25</f>
        <v>186</v>
      </c>
      <c r="R115" s="83" t="n">
        <f aca="false">SRC_HW_041</f>
        <v>13.4</v>
      </c>
      <c r="S115" s="83" t="str">
        <f aca="false">IF(OR($H115="—",$H115=""),"—",IF(ISNUMBER(MATCH($H115,SRC_HW!$A$5:$A$400,0)),INDEX(SRC_HW!$O$5:$O$400,MATCH($H115,SRC_HW!$A$5:$A$400,0)),IF(ISNUMBER(MATCH($H115,SRC_DC!$A$5:$A$400,0)),INDEX(SRC_DC!$O$5:$O$400,MATCH($H115,SRC_DC!$A$5:$A$400,0)),IF(ISNUMBER(MATCH($H115,SRC_Model!$A$5:$A$400,0)),INDEX(SRC_Model!$O$5:$O$400,MATCH($H115,SRC_Model!$A$5:$A$400,0)),IF(ISNUMBER(MATCH($H115,SRC_Perf!$A$5:$A$400,0)),INDEX(SRC_Perf!$O$5:$O$400,MATCH($H115,SRC_Perf!$A$5:$A$400,0)),"不存在")))))</f>
        <v>Active</v>
      </c>
      <c r="T115" s="83" t="n">
        <f aca="false">IF(OR($H115="—",$H115=""),"—",IF(ISNUMBER(MATCH($H115,SRC_HW!$A$5:$A$400,0)),INDEX(SRC_HW!$K$5:$K$400,MATCH($H115,SRC_HW!$A$5:$A$400,0)),IF(ISNUMBER(MATCH($H115,SRC_DC!$A$5:$A$400,0)),INDEX(SRC_DC!$K$5:$K$400,MATCH($H115,SRC_DC!$A$5:$A$400,0)),IF(ISNUMBER(MATCH($H115,SRC_Model!$A$5:$A$400,0)),INDEX(SRC_Model!$K$5:$K$400,MATCH($H115,SRC_Model!$A$5:$A$400,0)),IF(ISNUMBER(MATCH($H115,SRC_Perf!$A$5:$A$400,0)),INDEX(SRC_Perf!$K$5:$K$400,MATCH($H115,SRC_Perf!$A$5:$A$400,0)),"不存在")))))</f>
        <v>3</v>
      </c>
      <c r="U115" s="52" t="s">
        <v>2302</v>
      </c>
      <c r="V115" s="103" t="n">
        <f aca="false">IF(AND($F115="原始數據",$U115&lt;&gt;"連結 SRC"),1,0)</f>
        <v>0</v>
      </c>
      <c r="W115" s="103" t="n">
        <f aca="false">IF(AND($F115="Analogy",OR($H115="—",$H115="")),1,0)</f>
        <v>0</v>
      </c>
      <c r="X115" s="103" t="n">
        <f aca="false">IF(AND(OR($F115="Analogy",$F115="Assumed"),$G115&lt;&gt;"低",$G115&lt;&gt;"高",NOT(ISNUMBER($K115)),NOT(ISNUMBER($L115)),OR($M115="—",$M115="")),1,0)</f>
        <v>0</v>
      </c>
      <c r="Y115" s="103" t="n">
        <f aca="false">IF(AND(OR($F115="Analogy",$F115="Assumed",$F115="Derived（待改公式）",$F115="Derived（公式）"),OR($N115="—",$N115="",$N115=0)),1,0)</f>
        <v>0</v>
      </c>
      <c r="Z115" s="103" t="n">
        <f aca="false">IF(AND($F115="Decision",OR($J115="—",$J115="")),1,0)</f>
        <v>0</v>
      </c>
      <c r="AA115" s="84" t="n">
        <f aca="false">IF(OR($J115="—",$J115=""),0,IF(COUNTIF(Decisions!$A$5:$A$300,$J115)=0,1,0))</f>
        <v>0</v>
      </c>
      <c r="AB115" s="103" t="n">
        <f aca="false">IF(AND($F115="原始數據",$S115&lt;&gt;"Active"),1,0)</f>
        <v>0</v>
      </c>
      <c r="AC115" s="103" t="n">
        <f aca="false">IF(AND(ISNUMBER($K115),ISNUMBER($L115),ISNUMBER($Q115)),IF(OR($Q115&lt;MIN($K115,$L115),$Q115&gt;MAX($K115,$L115)),1,0),0)</f>
        <v>0</v>
      </c>
      <c r="AD115" s="103" t="n">
        <f aca="false">IF(AND(ISNUMBER($T115),$P115="高"),IF($T115=3,1,0),0)</f>
        <v>0</v>
      </c>
      <c r="AE115" s="103" t="n">
        <f aca="false">IF(AND($S115="不存在",$B115="切片一"),1,0)</f>
        <v>0</v>
      </c>
    </row>
    <row r="116" customFormat="false" ht="15" hidden="false" customHeight="false" outlineLevel="0" collapsed="false">
      <c r="A116" s="53" t="s">
        <v>2601</v>
      </c>
      <c r="B116" s="52" t="s">
        <v>2297</v>
      </c>
      <c r="C116" s="53" t="s">
        <v>2460</v>
      </c>
      <c r="D116" s="53" t="s">
        <v>2448</v>
      </c>
      <c r="E116" s="6" t="s">
        <v>186</v>
      </c>
      <c r="F116" s="52" t="s">
        <v>2337</v>
      </c>
      <c r="G116" s="52" t="s">
        <v>2299</v>
      </c>
      <c r="H116" s="53" t="s">
        <v>2602</v>
      </c>
      <c r="I116" s="5" t="s">
        <v>2339</v>
      </c>
      <c r="J116" s="53" t="s">
        <v>554</v>
      </c>
      <c r="K116" s="52"/>
      <c r="L116" s="52"/>
      <c r="M116" s="53" t="s">
        <v>554</v>
      </c>
      <c r="N116" s="5" t="s">
        <v>2340</v>
      </c>
      <c r="O116" s="6" t="s">
        <v>554</v>
      </c>
      <c r="P116" s="52" t="s">
        <v>2364</v>
      </c>
      <c r="Q116" s="54" t="n">
        <f aca="false">Spec_Rack!E25</f>
        <v>288</v>
      </c>
      <c r="R116" s="83" t="n">
        <f aca="false">SRC_HW_026</f>
        <v>288</v>
      </c>
      <c r="S116" s="83" t="str">
        <f aca="false">IF(OR($H116="—",$H116=""),"—",IF(ISNUMBER(MATCH($H116,SRC_HW!$A$5:$A$400,0)),INDEX(SRC_HW!$O$5:$O$400,MATCH($H116,SRC_HW!$A$5:$A$400,0)),IF(ISNUMBER(MATCH($H116,SRC_DC!$A$5:$A$400,0)),INDEX(SRC_DC!$O$5:$O$400,MATCH($H116,SRC_DC!$A$5:$A$400,0)),IF(ISNUMBER(MATCH($H116,SRC_Model!$A$5:$A$400,0)),INDEX(SRC_Model!$O$5:$O$400,MATCH($H116,SRC_Model!$A$5:$A$400,0)),IF(ISNUMBER(MATCH($H116,SRC_Perf!$A$5:$A$400,0)),INDEX(SRC_Perf!$O$5:$O$400,MATCH($H116,SRC_Perf!$A$5:$A$400,0)),"不存在")))))</f>
        <v>Active</v>
      </c>
      <c r="T116" s="83" t="n">
        <f aca="false">IF(OR($H116="—",$H116=""),"—",IF(ISNUMBER(MATCH($H116,SRC_HW!$A$5:$A$400,0)),INDEX(SRC_HW!$K$5:$K$400,MATCH($H116,SRC_HW!$A$5:$A$400,0)),IF(ISNUMBER(MATCH($H116,SRC_DC!$A$5:$A$400,0)),INDEX(SRC_DC!$K$5:$K$400,MATCH($H116,SRC_DC!$A$5:$A$400,0)),IF(ISNUMBER(MATCH($H116,SRC_Model!$A$5:$A$400,0)),INDEX(SRC_Model!$K$5:$K$400,MATCH($H116,SRC_Model!$A$5:$A$400,0)),IF(ISNUMBER(MATCH($H116,SRC_Perf!$A$5:$A$400,0)),INDEX(SRC_Perf!$K$5:$K$400,MATCH($H116,SRC_Perf!$A$5:$A$400,0)),"不存在")))))</f>
        <v>3</v>
      </c>
      <c r="U116" s="52" t="s">
        <v>2341</v>
      </c>
      <c r="V116" s="103" t="n">
        <f aca="false">IF(AND($F116="原始數據",$U116&lt;&gt;"連結 SRC"),1,0)</f>
        <v>0</v>
      </c>
      <c r="W116" s="103" t="n">
        <f aca="false">IF(AND($F116="Analogy",OR($H116="—",$H116="")),1,0)</f>
        <v>0</v>
      </c>
      <c r="X116" s="103" t="n">
        <f aca="false">IF(AND(OR($F116="Analogy",$F116="Assumed"),$G116&lt;&gt;"低",$G116&lt;&gt;"高",NOT(ISNUMBER($K116)),NOT(ISNUMBER($L116)),OR($M116="—",$M116="")),1,0)</f>
        <v>0</v>
      </c>
      <c r="Y116" s="103" t="n">
        <f aca="false">IF(AND(OR($F116="Analogy",$F116="Assumed",$F116="Derived（待改公式）",$F116="Derived（公式）"),OR($N116="—",$N116="",$N116=0)),1,0)</f>
        <v>0</v>
      </c>
      <c r="Z116" s="103" t="n">
        <f aca="false">IF(AND($F116="Decision",OR($J116="—",$J116="")),1,0)</f>
        <v>0</v>
      </c>
      <c r="AA116" s="84" t="n">
        <f aca="false">IF(OR($J116="—",$J116=""),0,IF(COUNTIF(Decisions!$A$5:$A$300,$J116)=0,1,0))</f>
        <v>0</v>
      </c>
      <c r="AB116" s="103" t="n">
        <f aca="false">IF(AND($F116="原始數據",$S116&lt;&gt;"Active"),1,0)</f>
        <v>0</v>
      </c>
      <c r="AC116" s="103" t="n">
        <f aca="false">IF(AND(ISNUMBER($K116),ISNUMBER($L116),ISNUMBER($Q116)),IF(OR($Q116&lt;MIN($K116,$L116),$Q116&gt;MAX($K116,$L116)),1,0),0)</f>
        <v>0</v>
      </c>
      <c r="AD116" s="103" t="n">
        <f aca="false">IF(AND(ISNUMBER($T116),$P116="高"),IF($T116=3,1,0),0)</f>
        <v>0</v>
      </c>
      <c r="AE116" s="103" t="n">
        <f aca="false">IF(AND($S116="不存在",$B116="切片一"),1,0)</f>
        <v>0</v>
      </c>
    </row>
    <row r="117" customFormat="false" ht="15" hidden="false" customHeight="false" outlineLevel="0" collapsed="false">
      <c r="A117" s="53" t="s">
        <v>2603</v>
      </c>
      <c r="B117" s="52" t="s">
        <v>2297</v>
      </c>
      <c r="C117" s="53" t="s">
        <v>2460</v>
      </c>
      <c r="D117" s="53" t="s">
        <v>2604</v>
      </c>
      <c r="E117" s="6" t="s">
        <v>186</v>
      </c>
      <c r="F117" s="52" t="s">
        <v>2337</v>
      </c>
      <c r="G117" s="52" t="s">
        <v>2299</v>
      </c>
      <c r="H117" s="53" t="s">
        <v>2605</v>
      </c>
      <c r="I117" s="5" t="s">
        <v>2339</v>
      </c>
      <c r="J117" s="53" t="s">
        <v>554</v>
      </c>
      <c r="K117" s="52"/>
      <c r="L117" s="52"/>
      <c r="M117" s="53" t="s">
        <v>554</v>
      </c>
      <c r="N117" s="5" t="s">
        <v>2340</v>
      </c>
      <c r="O117" s="6" t="s">
        <v>554</v>
      </c>
      <c r="P117" s="52" t="s">
        <v>2364</v>
      </c>
      <c r="Q117" s="54" t="n">
        <f aca="false">Spec_Rack!F25</f>
        <v>288</v>
      </c>
      <c r="R117" s="83" t="n">
        <f aca="false">SRC_HW_029</f>
        <v>288</v>
      </c>
      <c r="S117" s="83" t="str">
        <f aca="false">IF(OR($H117="—",$H117=""),"—",IF(ISNUMBER(MATCH($H117,SRC_HW!$A$5:$A$400,0)),INDEX(SRC_HW!$O$5:$O$400,MATCH($H117,SRC_HW!$A$5:$A$400,0)),IF(ISNUMBER(MATCH($H117,SRC_DC!$A$5:$A$400,0)),INDEX(SRC_DC!$O$5:$O$400,MATCH($H117,SRC_DC!$A$5:$A$400,0)),IF(ISNUMBER(MATCH($H117,SRC_Model!$A$5:$A$400,0)),INDEX(SRC_Model!$O$5:$O$400,MATCH($H117,SRC_Model!$A$5:$A$400,0)),IF(ISNUMBER(MATCH($H117,SRC_Perf!$A$5:$A$400,0)),INDEX(SRC_Perf!$O$5:$O$400,MATCH($H117,SRC_Perf!$A$5:$A$400,0)),"不存在")))))</f>
        <v>Active</v>
      </c>
      <c r="T117" s="83" t="n">
        <f aca="false">IF(OR($H117="—",$H117=""),"—",IF(ISNUMBER(MATCH($H117,SRC_HW!$A$5:$A$400,0)),INDEX(SRC_HW!$K$5:$K$400,MATCH($H117,SRC_HW!$A$5:$A$400,0)),IF(ISNUMBER(MATCH($H117,SRC_DC!$A$5:$A$400,0)),INDEX(SRC_DC!$K$5:$K$400,MATCH($H117,SRC_DC!$A$5:$A$400,0)),IF(ISNUMBER(MATCH($H117,SRC_Model!$A$5:$A$400,0)),INDEX(SRC_Model!$K$5:$K$400,MATCH($H117,SRC_Model!$A$5:$A$400,0)),IF(ISNUMBER(MATCH($H117,SRC_Perf!$A$5:$A$400,0)),INDEX(SRC_Perf!$K$5:$K$400,MATCH($H117,SRC_Perf!$A$5:$A$400,0)),"不存在")))))</f>
        <v>3</v>
      </c>
      <c r="U117" s="52" t="s">
        <v>2341</v>
      </c>
      <c r="V117" s="103" t="n">
        <f aca="false">IF(AND($F117="原始數據",$U117&lt;&gt;"連結 SRC"),1,0)</f>
        <v>0</v>
      </c>
      <c r="W117" s="103" t="n">
        <f aca="false">IF(AND($F117="Analogy",OR($H117="—",$H117="")),1,0)</f>
        <v>0</v>
      </c>
      <c r="X117" s="103" t="n">
        <f aca="false">IF(AND(OR($F117="Analogy",$F117="Assumed"),$G117&lt;&gt;"低",$G117&lt;&gt;"高",NOT(ISNUMBER($K117)),NOT(ISNUMBER($L117)),OR($M117="—",$M117="")),1,0)</f>
        <v>0</v>
      </c>
      <c r="Y117" s="103" t="n">
        <f aca="false">IF(AND(OR($F117="Analogy",$F117="Assumed",$F117="Derived（待改公式）",$F117="Derived（公式）"),OR($N117="—",$N117="",$N117=0)),1,0)</f>
        <v>0</v>
      </c>
      <c r="Z117" s="103" t="n">
        <f aca="false">IF(AND($F117="Decision",OR($J117="—",$J117="")),1,0)</f>
        <v>0</v>
      </c>
      <c r="AA117" s="84" t="n">
        <f aca="false">IF(OR($J117="—",$J117=""),0,IF(COUNTIF(Decisions!$A$5:$A$300,$J117)=0,1,0))</f>
        <v>0</v>
      </c>
      <c r="AB117" s="103" t="n">
        <f aca="false">IF(AND($F117="原始數據",$S117&lt;&gt;"Active"),1,0)</f>
        <v>0</v>
      </c>
      <c r="AC117" s="103" t="n">
        <f aca="false">IF(AND(ISNUMBER($K117),ISNUMBER($L117),ISNUMBER($Q117)),IF(OR($Q117&lt;MIN($K117,$L117),$Q117&gt;MAX($K117,$L117)),1,0),0)</f>
        <v>0</v>
      </c>
      <c r="AD117" s="103" t="n">
        <f aca="false">IF(AND(ISNUMBER($T117),$P117="高"),IF($T117=3,1,0),0)</f>
        <v>0</v>
      </c>
      <c r="AE117" s="103" t="n">
        <f aca="false">IF(AND($S117="不存在",$B117="切片一"),1,0)</f>
        <v>0</v>
      </c>
    </row>
    <row r="118" customFormat="false" ht="15" hidden="false" customHeight="false" outlineLevel="0" collapsed="false">
      <c r="A118" s="53" t="s">
        <v>2606</v>
      </c>
      <c r="B118" s="52" t="s">
        <v>2297</v>
      </c>
      <c r="C118" s="53" t="s">
        <v>2460</v>
      </c>
      <c r="D118" s="53" t="s">
        <v>2607</v>
      </c>
      <c r="E118" s="6" t="s">
        <v>186</v>
      </c>
      <c r="F118" s="53" t="s">
        <v>70</v>
      </c>
      <c r="G118" s="52" t="s">
        <v>55</v>
      </c>
      <c r="H118" s="53" t="s">
        <v>554</v>
      </c>
      <c r="I118" s="6" t="s">
        <v>554</v>
      </c>
      <c r="J118" s="53" t="s">
        <v>554</v>
      </c>
      <c r="K118" s="83" t="n">
        <f aca="false">Spec_Rack!G25*0.7</f>
        <v>716.8</v>
      </c>
      <c r="L118" s="83" t="n">
        <f aca="false">Spec_Rack!G25*1.3</f>
        <v>1331.2</v>
      </c>
      <c r="M118" s="53" t="s">
        <v>2575</v>
      </c>
      <c r="N118" s="6" t="s">
        <v>2576</v>
      </c>
      <c r="O118" s="6" t="s">
        <v>554</v>
      </c>
      <c r="P118" s="52" t="s">
        <v>2364</v>
      </c>
      <c r="Q118" s="54" t="n">
        <f aca="false">Spec_Rack!G25</f>
        <v>1024</v>
      </c>
      <c r="R118" s="53" t="s">
        <v>554</v>
      </c>
      <c r="S118" s="83" t="str">
        <f aca="false">IF(OR($H118="—",$H118=""),"—",IF(ISNUMBER(MATCH($H118,SRC_HW!$A$5:$A$400,0)),INDEX(SRC_HW!$O$5:$O$400,MATCH($H118,SRC_HW!$A$5:$A$400,0)),IF(ISNUMBER(MATCH($H118,SRC_DC!$A$5:$A$400,0)),INDEX(SRC_DC!$O$5:$O$400,MATCH($H118,SRC_DC!$A$5:$A$400,0)),IF(ISNUMBER(MATCH($H118,SRC_Model!$A$5:$A$400,0)),INDEX(SRC_Model!$O$5:$O$400,MATCH($H118,SRC_Model!$A$5:$A$400,0)),IF(ISNUMBER(MATCH($H118,SRC_Perf!$A$5:$A$400,0)),INDEX(SRC_Perf!$O$5:$O$400,MATCH($H118,SRC_Perf!$A$5:$A$400,0)),"不存在")))))</f>
        <v>—</v>
      </c>
      <c r="T118" s="83" t="str">
        <f aca="false">IF(OR($H118="—",$H118=""),"—",IF(ISNUMBER(MATCH($H118,SRC_HW!$A$5:$A$400,0)),INDEX(SRC_HW!$K$5:$K$400,MATCH($H118,SRC_HW!$A$5:$A$400,0)),IF(ISNUMBER(MATCH($H118,SRC_DC!$A$5:$A$400,0)),INDEX(SRC_DC!$K$5:$K$400,MATCH($H118,SRC_DC!$A$5:$A$400,0)),IF(ISNUMBER(MATCH($H118,SRC_Model!$A$5:$A$400,0)),INDEX(SRC_Model!$K$5:$K$400,MATCH($H118,SRC_Model!$A$5:$A$400,0)),IF(ISNUMBER(MATCH($H118,SRC_Perf!$A$5:$A$400,0)),INDEX(SRC_Perf!$K$5:$K$400,MATCH($H118,SRC_Perf!$A$5:$A$400,0)),"不存在")))))</f>
        <v>—</v>
      </c>
      <c r="U118" s="52" t="s">
        <v>2302</v>
      </c>
      <c r="V118" s="103" t="n">
        <f aca="false">IF(AND($F118="原始數據",$U118&lt;&gt;"連結 SRC"),1,0)</f>
        <v>0</v>
      </c>
      <c r="W118" s="103" t="n">
        <f aca="false">IF(AND($F118="Analogy",OR($H118="—",$H118="")),1,0)</f>
        <v>0</v>
      </c>
      <c r="X118" s="103" t="n">
        <f aca="false">IF(AND(OR($F118="Analogy",$F118="Assumed"),$G118&lt;&gt;"低",$G118&lt;&gt;"高",NOT(ISNUMBER($K118)),NOT(ISNUMBER($L118)),OR($M118="—",$M118="")),1,0)</f>
        <v>0</v>
      </c>
      <c r="Y118" s="103" t="n">
        <f aca="false">IF(AND(OR($F118="Analogy",$F118="Assumed",$F118="Derived（待改公式）",$F118="Derived（公式）"),OR($N118="—",$N118="",$N118=0)),1,0)</f>
        <v>0</v>
      </c>
      <c r="Z118" s="103" t="n">
        <f aca="false">IF(AND($F118="Decision",OR($J118="—",$J118="")),1,0)</f>
        <v>0</v>
      </c>
      <c r="AA118" s="84" t="n">
        <f aca="false">IF(OR($J118="—",$J118=""),0,IF(COUNTIF(Decisions!$A$5:$A$300,$J118)=0,1,0))</f>
        <v>0</v>
      </c>
      <c r="AB118" s="103" t="n">
        <f aca="false">IF(AND($F118="原始數據",$S118&lt;&gt;"Active"),1,0)</f>
        <v>0</v>
      </c>
      <c r="AC118" s="103" t="n">
        <f aca="false">IF(AND(ISNUMBER($K118),ISNUMBER($L118),ISNUMBER($Q118)),IF(OR($Q118&lt;MIN($K118,$L118),$Q118&gt;MAX($K118,$L118)),1,0),0)</f>
        <v>0</v>
      </c>
      <c r="AD118" s="103" t="n">
        <f aca="false">IF(AND(ISNUMBER($T118),$P118="高"),IF($T118=3,1,0),0)</f>
        <v>0</v>
      </c>
      <c r="AE118" s="103" t="n">
        <f aca="false">IF(AND($S118="不存在",$B118="切片一"),1,0)</f>
        <v>0</v>
      </c>
    </row>
    <row r="119" customFormat="false" ht="15" hidden="false" customHeight="false" outlineLevel="0" collapsed="false">
      <c r="A119" s="53" t="s">
        <v>2608</v>
      </c>
      <c r="B119" s="52" t="s">
        <v>2297</v>
      </c>
      <c r="C119" s="53" t="s">
        <v>2460</v>
      </c>
      <c r="D119" s="53" t="s">
        <v>2609</v>
      </c>
      <c r="E119" s="6" t="s">
        <v>188</v>
      </c>
      <c r="F119" s="52" t="s">
        <v>2337</v>
      </c>
      <c r="G119" s="52" t="s">
        <v>2299</v>
      </c>
      <c r="H119" s="53" t="s">
        <v>2610</v>
      </c>
      <c r="I119" s="5" t="s">
        <v>2339</v>
      </c>
      <c r="J119" s="53" t="s">
        <v>554</v>
      </c>
      <c r="K119" s="52"/>
      <c r="L119" s="52"/>
      <c r="M119" s="53" t="s">
        <v>554</v>
      </c>
      <c r="N119" s="5" t="s">
        <v>2340</v>
      </c>
      <c r="O119" s="6" t="s">
        <v>554</v>
      </c>
      <c r="P119" s="52" t="s">
        <v>2364</v>
      </c>
      <c r="Q119" s="87" t="n">
        <f aca="false">Spec_Rack!C26</f>
        <v>3.35</v>
      </c>
      <c r="R119" s="83" t="n">
        <f aca="false">SRC_HW_021</f>
        <v>3.35</v>
      </c>
      <c r="S119" s="83" t="str">
        <f aca="false">IF(OR($H119="—",$H119=""),"—",IF(ISNUMBER(MATCH($H119,SRC_HW!$A$5:$A$400,0)),INDEX(SRC_HW!$O$5:$O$400,MATCH($H119,SRC_HW!$A$5:$A$400,0)),IF(ISNUMBER(MATCH($H119,SRC_DC!$A$5:$A$400,0)),INDEX(SRC_DC!$O$5:$O$400,MATCH($H119,SRC_DC!$A$5:$A$400,0)),IF(ISNUMBER(MATCH($H119,SRC_Model!$A$5:$A$400,0)),INDEX(SRC_Model!$O$5:$O$400,MATCH($H119,SRC_Model!$A$5:$A$400,0)),IF(ISNUMBER(MATCH($H119,SRC_Perf!$A$5:$A$400,0)),INDEX(SRC_Perf!$O$5:$O$400,MATCH($H119,SRC_Perf!$A$5:$A$400,0)),"不存在")))))</f>
        <v>Active</v>
      </c>
      <c r="T119" s="83" t="n">
        <f aca="false">IF(OR($H119="—",$H119=""),"—",IF(ISNUMBER(MATCH($H119,SRC_HW!$A$5:$A$400,0)),INDEX(SRC_HW!$K$5:$K$400,MATCH($H119,SRC_HW!$A$5:$A$400,0)),IF(ISNUMBER(MATCH($H119,SRC_DC!$A$5:$A$400,0)),INDEX(SRC_DC!$K$5:$K$400,MATCH($H119,SRC_DC!$A$5:$A$400,0)),IF(ISNUMBER(MATCH($H119,SRC_Model!$A$5:$A$400,0)),INDEX(SRC_Model!$K$5:$K$400,MATCH($H119,SRC_Model!$A$5:$A$400,0)),IF(ISNUMBER(MATCH($H119,SRC_Perf!$A$5:$A$400,0)),INDEX(SRC_Perf!$K$5:$K$400,MATCH($H119,SRC_Perf!$A$5:$A$400,0)),"不存在")))))</f>
        <v>3</v>
      </c>
      <c r="U119" s="52" t="s">
        <v>2341</v>
      </c>
      <c r="V119" s="103" t="n">
        <f aca="false">IF(AND($F119="原始數據",$U119&lt;&gt;"連結 SRC"),1,0)</f>
        <v>0</v>
      </c>
      <c r="W119" s="103" t="n">
        <f aca="false">IF(AND($F119="Analogy",OR($H119="—",$H119="")),1,0)</f>
        <v>0</v>
      </c>
      <c r="X119" s="103" t="n">
        <f aca="false">IF(AND(OR($F119="Analogy",$F119="Assumed"),$G119&lt;&gt;"低",$G119&lt;&gt;"高",NOT(ISNUMBER($K119)),NOT(ISNUMBER($L119)),OR($M119="—",$M119="")),1,0)</f>
        <v>0</v>
      </c>
      <c r="Y119" s="103" t="n">
        <f aca="false">IF(AND(OR($F119="Analogy",$F119="Assumed",$F119="Derived（待改公式）",$F119="Derived（公式）"),OR($N119="—",$N119="",$N119=0)),1,0)</f>
        <v>0</v>
      </c>
      <c r="Z119" s="103" t="n">
        <f aca="false">IF(AND($F119="Decision",OR($J119="—",$J119="")),1,0)</f>
        <v>0</v>
      </c>
      <c r="AA119" s="84" t="n">
        <f aca="false">IF(OR($J119="—",$J119=""),0,IF(COUNTIF(Decisions!$A$5:$A$300,$J119)=0,1,0))</f>
        <v>0</v>
      </c>
      <c r="AB119" s="103" t="n">
        <f aca="false">IF(AND($F119="原始數據",$S119&lt;&gt;"Active"),1,0)</f>
        <v>0</v>
      </c>
      <c r="AC119" s="103" t="n">
        <f aca="false">IF(AND(ISNUMBER($K119),ISNUMBER($L119),ISNUMBER($Q119)),IF(OR($Q119&lt;MIN($K119,$L119),$Q119&gt;MAX($K119,$L119)),1,0),0)</f>
        <v>0</v>
      </c>
      <c r="AD119" s="103" t="n">
        <f aca="false">IF(AND(ISNUMBER($T119),$P119="高"),IF($T119=3,1,0),0)</f>
        <v>0</v>
      </c>
      <c r="AE119" s="103" t="n">
        <f aca="false">IF(AND($S119="不存在",$B119="切片一"),1,0)</f>
        <v>0</v>
      </c>
    </row>
    <row r="120" customFormat="false" ht="15" hidden="false" customHeight="false" outlineLevel="0" collapsed="false">
      <c r="A120" s="53" t="s">
        <v>2611</v>
      </c>
      <c r="B120" s="52" t="s">
        <v>2297</v>
      </c>
      <c r="C120" s="53" t="s">
        <v>2460</v>
      </c>
      <c r="D120" s="53" t="s">
        <v>2612</v>
      </c>
      <c r="E120" s="6" t="s">
        <v>188</v>
      </c>
      <c r="F120" s="52" t="s">
        <v>2337</v>
      </c>
      <c r="G120" s="52" t="s">
        <v>2299</v>
      </c>
      <c r="H120" s="53" t="s">
        <v>2613</v>
      </c>
      <c r="I120" s="5" t="s">
        <v>2339</v>
      </c>
      <c r="J120" s="53" t="s">
        <v>554</v>
      </c>
      <c r="K120" s="52"/>
      <c r="L120" s="52"/>
      <c r="M120" s="53" t="s">
        <v>554</v>
      </c>
      <c r="N120" s="5" t="s">
        <v>2340</v>
      </c>
      <c r="O120" s="6" t="s">
        <v>554</v>
      </c>
      <c r="P120" s="52" t="s">
        <v>2364</v>
      </c>
      <c r="Q120" s="87" t="n">
        <f aca="false">Spec_Rack!D26</f>
        <v>8</v>
      </c>
      <c r="R120" s="83" t="n">
        <f aca="false">SRC_HW_023</f>
        <v>8</v>
      </c>
      <c r="S120" s="83" t="str">
        <f aca="false">IF(OR($H120="—",$H120=""),"—",IF(ISNUMBER(MATCH($H120,SRC_HW!$A$5:$A$400,0)),INDEX(SRC_HW!$O$5:$O$400,MATCH($H120,SRC_HW!$A$5:$A$400,0)),IF(ISNUMBER(MATCH($H120,SRC_DC!$A$5:$A$400,0)),INDEX(SRC_DC!$O$5:$O$400,MATCH($H120,SRC_DC!$A$5:$A$400,0)),IF(ISNUMBER(MATCH($H120,SRC_Model!$A$5:$A$400,0)),INDEX(SRC_Model!$O$5:$O$400,MATCH($H120,SRC_Model!$A$5:$A$400,0)),IF(ISNUMBER(MATCH($H120,SRC_Perf!$A$5:$A$400,0)),INDEX(SRC_Perf!$O$5:$O$400,MATCH($H120,SRC_Perf!$A$5:$A$400,0)),"不存在")))))</f>
        <v>Active</v>
      </c>
      <c r="T120" s="83" t="n">
        <f aca="false">IF(OR($H120="—",$H120=""),"—",IF(ISNUMBER(MATCH($H120,SRC_HW!$A$5:$A$400,0)),INDEX(SRC_HW!$K$5:$K$400,MATCH($H120,SRC_HW!$A$5:$A$400,0)),IF(ISNUMBER(MATCH($H120,SRC_DC!$A$5:$A$400,0)),INDEX(SRC_DC!$K$5:$K$400,MATCH($H120,SRC_DC!$A$5:$A$400,0)),IF(ISNUMBER(MATCH($H120,SRC_Model!$A$5:$A$400,0)),INDEX(SRC_Model!$K$5:$K$400,MATCH($H120,SRC_Model!$A$5:$A$400,0)),IF(ISNUMBER(MATCH($H120,SRC_Perf!$A$5:$A$400,0)),INDEX(SRC_Perf!$K$5:$K$400,MATCH($H120,SRC_Perf!$A$5:$A$400,0)),"不存在")))))</f>
        <v>3</v>
      </c>
      <c r="U120" s="52" t="s">
        <v>2341</v>
      </c>
      <c r="V120" s="103" t="n">
        <f aca="false">IF(AND($F120="原始數據",$U120&lt;&gt;"連結 SRC"),1,0)</f>
        <v>0</v>
      </c>
      <c r="W120" s="103" t="n">
        <f aca="false">IF(AND($F120="Analogy",OR($H120="—",$H120="")),1,0)</f>
        <v>0</v>
      </c>
      <c r="X120" s="103" t="n">
        <f aca="false">IF(AND(OR($F120="Analogy",$F120="Assumed"),$G120&lt;&gt;"低",$G120&lt;&gt;"高",NOT(ISNUMBER($K120)),NOT(ISNUMBER($L120)),OR($M120="—",$M120="")),1,0)</f>
        <v>0</v>
      </c>
      <c r="Y120" s="103" t="n">
        <f aca="false">IF(AND(OR($F120="Analogy",$F120="Assumed",$F120="Derived（待改公式）",$F120="Derived（公式）"),OR($N120="—",$N120="",$N120=0)),1,0)</f>
        <v>0</v>
      </c>
      <c r="Z120" s="103" t="n">
        <f aca="false">IF(AND($F120="Decision",OR($J120="—",$J120="")),1,0)</f>
        <v>0</v>
      </c>
      <c r="AA120" s="84" t="n">
        <f aca="false">IF(OR($J120="—",$J120=""),0,IF(COUNTIF(Decisions!$A$5:$A$300,$J120)=0,1,0))</f>
        <v>0</v>
      </c>
      <c r="AB120" s="103" t="n">
        <f aca="false">IF(AND($F120="原始數據",$S120&lt;&gt;"Active"),1,0)</f>
        <v>0</v>
      </c>
      <c r="AC120" s="103" t="n">
        <f aca="false">IF(AND(ISNUMBER($K120),ISNUMBER($L120),ISNUMBER($Q120)),IF(OR($Q120&lt;MIN($K120,$L120),$Q120&gt;MAX($K120,$L120)),1,0),0)</f>
        <v>0</v>
      </c>
      <c r="AD120" s="103" t="n">
        <f aca="false">IF(AND(ISNUMBER($T120),$P120="高"),IF($T120=3,1,0),0)</f>
        <v>0</v>
      </c>
      <c r="AE120" s="103" t="n">
        <f aca="false">IF(AND($S120="不存在",$B120="切片一"),1,0)</f>
        <v>0</v>
      </c>
    </row>
    <row r="121" customFormat="false" ht="15" hidden="false" customHeight="false" outlineLevel="0" collapsed="false">
      <c r="A121" s="53" t="s">
        <v>2614</v>
      </c>
      <c r="B121" s="52" t="s">
        <v>2297</v>
      </c>
      <c r="C121" s="53" t="s">
        <v>2460</v>
      </c>
      <c r="D121" s="53" t="s">
        <v>2452</v>
      </c>
      <c r="E121" s="6" t="s">
        <v>188</v>
      </c>
      <c r="F121" s="52" t="s">
        <v>2337</v>
      </c>
      <c r="G121" s="52" t="s">
        <v>2299</v>
      </c>
      <c r="H121" s="53" t="s">
        <v>2615</v>
      </c>
      <c r="I121" s="5" t="s">
        <v>2339</v>
      </c>
      <c r="J121" s="53" t="s">
        <v>554</v>
      </c>
      <c r="K121" s="52"/>
      <c r="L121" s="52"/>
      <c r="M121" s="53" t="s">
        <v>554</v>
      </c>
      <c r="N121" s="5" t="s">
        <v>2340</v>
      </c>
      <c r="O121" s="6" t="s">
        <v>554</v>
      </c>
      <c r="P121" s="52" t="s">
        <v>2364</v>
      </c>
      <c r="Q121" s="87" t="n">
        <f aca="false">Spec_Rack!E26</f>
        <v>8</v>
      </c>
      <c r="R121" s="83" t="n">
        <f aca="false">SRC_HW_059</f>
        <v>8</v>
      </c>
      <c r="S121" s="83" t="str">
        <f aca="false">IF(OR($H121="—",$H121=""),"—",IF(ISNUMBER(MATCH($H121,SRC_HW!$A$5:$A$400,0)),INDEX(SRC_HW!$O$5:$O$400,MATCH($H121,SRC_HW!$A$5:$A$400,0)),IF(ISNUMBER(MATCH($H121,SRC_DC!$A$5:$A$400,0)),INDEX(SRC_DC!$O$5:$O$400,MATCH($H121,SRC_DC!$A$5:$A$400,0)),IF(ISNUMBER(MATCH($H121,SRC_Model!$A$5:$A$400,0)),INDEX(SRC_Model!$O$5:$O$400,MATCH($H121,SRC_Model!$A$5:$A$400,0)),IF(ISNUMBER(MATCH($H121,SRC_Perf!$A$5:$A$400,0)),INDEX(SRC_Perf!$O$5:$O$400,MATCH($H121,SRC_Perf!$A$5:$A$400,0)),"不存在")))))</f>
        <v>Active</v>
      </c>
      <c r="T121" s="83" t="n">
        <f aca="false">IF(OR($H121="—",$H121=""),"—",IF(ISNUMBER(MATCH($H121,SRC_HW!$A$5:$A$400,0)),INDEX(SRC_HW!$K$5:$K$400,MATCH($H121,SRC_HW!$A$5:$A$400,0)),IF(ISNUMBER(MATCH($H121,SRC_DC!$A$5:$A$400,0)),INDEX(SRC_DC!$K$5:$K$400,MATCH($H121,SRC_DC!$A$5:$A$400,0)),IF(ISNUMBER(MATCH($H121,SRC_Model!$A$5:$A$400,0)),INDEX(SRC_Model!$K$5:$K$400,MATCH($H121,SRC_Model!$A$5:$A$400,0)),IF(ISNUMBER(MATCH($H121,SRC_Perf!$A$5:$A$400,0)),INDEX(SRC_Perf!$K$5:$K$400,MATCH($H121,SRC_Perf!$A$5:$A$400,0)),"不存在")))))</f>
        <v>3</v>
      </c>
      <c r="U121" s="52" t="s">
        <v>2341</v>
      </c>
      <c r="V121" s="103" t="n">
        <f aca="false">IF(AND($F121="原始數據",$U121&lt;&gt;"連結 SRC"),1,0)</f>
        <v>0</v>
      </c>
      <c r="W121" s="103" t="n">
        <f aca="false">IF(AND($F121="Analogy",OR($H121="—",$H121="")),1,0)</f>
        <v>0</v>
      </c>
      <c r="X121" s="103" t="n">
        <f aca="false">IF(AND(OR($F121="Analogy",$F121="Assumed"),$G121&lt;&gt;"低",$G121&lt;&gt;"高",NOT(ISNUMBER($K121)),NOT(ISNUMBER($L121)),OR($M121="—",$M121="")),1,0)</f>
        <v>0</v>
      </c>
      <c r="Y121" s="103" t="n">
        <f aca="false">IF(AND(OR($F121="Analogy",$F121="Assumed",$F121="Derived（待改公式）",$F121="Derived（公式）"),OR($N121="—",$N121="",$N121=0)),1,0)</f>
        <v>0</v>
      </c>
      <c r="Z121" s="103" t="n">
        <f aca="false">IF(AND($F121="Decision",OR($J121="—",$J121="")),1,0)</f>
        <v>0</v>
      </c>
      <c r="AA121" s="84" t="n">
        <f aca="false">IF(OR($J121="—",$J121=""),0,IF(COUNTIF(Decisions!$A$5:$A$300,$J121)=0,1,0))</f>
        <v>0</v>
      </c>
      <c r="AB121" s="103" t="n">
        <f aca="false">IF(AND($F121="原始數據",$S121&lt;&gt;"Active"),1,0)</f>
        <v>0</v>
      </c>
      <c r="AC121" s="103" t="n">
        <f aca="false">IF(AND(ISNUMBER($K121),ISNUMBER($L121),ISNUMBER($Q121)),IF(OR($Q121&lt;MIN($K121,$L121),$Q121&gt;MAX($K121,$L121)),1,0),0)</f>
        <v>0</v>
      </c>
      <c r="AD121" s="103" t="n">
        <f aca="false">IF(AND(ISNUMBER($T121),$P121="高"),IF($T121=3,1,0),0)</f>
        <v>0</v>
      </c>
      <c r="AE121" s="103" t="n">
        <f aca="false">IF(AND($S121="不存在",$B121="切片一"),1,0)</f>
        <v>0</v>
      </c>
    </row>
    <row r="122" customFormat="false" ht="15" hidden="false" customHeight="false" outlineLevel="0" collapsed="false">
      <c r="A122" s="53" t="s">
        <v>2616</v>
      </c>
      <c r="B122" s="52" t="s">
        <v>2297</v>
      </c>
      <c r="C122" s="53" t="s">
        <v>2460</v>
      </c>
      <c r="D122" s="53" t="s">
        <v>2617</v>
      </c>
      <c r="E122" s="6" t="s">
        <v>188</v>
      </c>
      <c r="F122" s="52" t="s">
        <v>2337</v>
      </c>
      <c r="G122" s="52" t="s">
        <v>2299</v>
      </c>
      <c r="H122" s="53" t="s">
        <v>2618</v>
      </c>
      <c r="I122" s="5" t="s">
        <v>2339</v>
      </c>
      <c r="J122" s="53" t="s">
        <v>554</v>
      </c>
      <c r="K122" s="52"/>
      <c r="L122" s="52"/>
      <c r="M122" s="53" t="s">
        <v>554</v>
      </c>
      <c r="N122" s="5" t="s">
        <v>2340</v>
      </c>
      <c r="O122" s="6" t="s">
        <v>554</v>
      </c>
      <c r="P122" s="52" t="s">
        <v>2364</v>
      </c>
      <c r="Q122" s="87" t="n">
        <f aca="false">Spec_Rack!F26</f>
        <v>22</v>
      </c>
      <c r="R122" s="83" t="n">
        <f aca="false">SRC_HW_030</f>
        <v>22</v>
      </c>
      <c r="S122" s="83" t="str">
        <f aca="false">IF(OR($H122="—",$H122=""),"—",IF(ISNUMBER(MATCH($H122,SRC_HW!$A$5:$A$400,0)),INDEX(SRC_HW!$O$5:$O$400,MATCH($H122,SRC_HW!$A$5:$A$400,0)),IF(ISNUMBER(MATCH($H122,SRC_DC!$A$5:$A$400,0)),INDEX(SRC_DC!$O$5:$O$400,MATCH($H122,SRC_DC!$A$5:$A$400,0)),IF(ISNUMBER(MATCH($H122,SRC_Model!$A$5:$A$400,0)),INDEX(SRC_Model!$O$5:$O$400,MATCH($H122,SRC_Model!$A$5:$A$400,0)),IF(ISNUMBER(MATCH($H122,SRC_Perf!$A$5:$A$400,0)),INDEX(SRC_Perf!$O$5:$O$400,MATCH($H122,SRC_Perf!$A$5:$A$400,0)),"不存在")))))</f>
        <v>Active</v>
      </c>
      <c r="T122" s="83" t="n">
        <f aca="false">IF(OR($H122="—",$H122=""),"—",IF(ISNUMBER(MATCH($H122,SRC_HW!$A$5:$A$400,0)),INDEX(SRC_HW!$K$5:$K$400,MATCH($H122,SRC_HW!$A$5:$A$400,0)),IF(ISNUMBER(MATCH($H122,SRC_DC!$A$5:$A$400,0)),INDEX(SRC_DC!$K$5:$K$400,MATCH($H122,SRC_DC!$A$5:$A$400,0)),IF(ISNUMBER(MATCH($H122,SRC_Model!$A$5:$A$400,0)),INDEX(SRC_Model!$K$5:$K$400,MATCH($H122,SRC_Model!$A$5:$A$400,0)),IF(ISNUMBER(MATCH($H122,SRC_Perf!$A$5:$A$400,0)),INDEX(SRC_Perf!$K$5:$K$400,MATCH($H122,SRC_Perf!$A$5:$A$400,0)),"不存在")))))</f>
        <v>3</v>
      </c>
      <c r="U122" s="52" t="s">
        <v>2341</v>
      </c>
      <c r="V122" s="103" t="n">
        <f aca="false">IF(AND($F122="原始數據",$U122&lt;&gt;"連結 SRC"),1,0)</f>
        <v>0</v>
      </c>
      <c r="W122" s="103" t="n">
        <f aca="false">IF(AND($F122="Analogy",OR($H122="—",$H122="")),1,0)</f>
        <v>0</v>
      </c>
      <c r="X122" s="103" t="n">
        <f aca="false">IF(AND(OR($F122="Analogy",$F122="Assumed"),$G122&lt;&gt;"低",$G122&lt;&gt;"高",NOT(ISNUMBER($K122)),NOT(ISNUMBER($L122)),OR($M122="—",$M122="")),1,0)</f>
        <v>0</v>
      </c>
      <c r="Y122" s="103" t="n">
        <f aca="false">IF(AND(OR($F122="Analogy",$F122="Assumed",$F122="Derived（待改公式）",$F122="Derived（公式）"),OR($N122="—",$N122="",$N122=0)),1,0)</f>
        <v>0</v>
      </c>
      <c r="Z122" s="103" t="n">
        <f aca="false">IF(AND($F122="Decision",OR($J122="—",$J122="")),1,0)</f>
        <v>0</v>
      </c>
      <c r="AA122" s="84" t="n">
        <f aca="false">IF(OR($J122="—",$J122=""),0,IF(COUNTIF(Decisions!$A$5:$A$300,$J122)=0,1,0))</f>
        <v>0</v>
      </c>
      <c r="AB122" s="103" t="n">
        <f aca="false">IF(AND($F122="原始數據",$S122&lt;&gt;"Active"),1,0)</f>
        <v>0</v>
      </c>
      <c r="AC122" s="103" t="n">
        <f aca="false">IF(AND(ISNUMBER($K122),ISNUMBER($L122),ISNUMBER($Q122)),IF(OR($Q122&lt;MIN($K122,$L122),$Q122&gt;MAX($K122,$L122)),1,0),0)</f>
        <v>0</v>
      </c>
      <c r="AD122" s="103" t="n">
        <f aca="false">IF(AND(ISNUMBER($T122),$P122="高"),IF($T122=3,1,0),0)</f>
        <v>0</v>
      </c>
      <c r="AE122" s="103" t="n">
        <f aca="false">IF(AND($S122="不存在",$B122="切片一"),1,0)</f>
        <v>0</v>
      </c>
    </row>
    <row r="123" customFormat="false" ht="44" hidden="false" customHeight="false" outlineLevel="0" collapsed="false">
      <c r="A123" s="53" t="s">
        <v>2619</v>
      </c>
      <c r="B123" s="52" t="s">
        <v>2297</v>
      </c>
      <c r="C123" s="53" t="s">
        <v>2460</v>
      </c>
      <c r="D123" s="53" t="s">
        <v>2620</v>
      </c>
      <c r="E123" s="6" t="s">
        <v>188</v>
      </c>
      <c r="F123" s="52" t="s">
        <v>2491</v>
      </c>
      <c r="G123" s="52" t="s">
        <v>2299</v>
      </c>
      <c r="H123" s="53" t="s">
        <v>2621</v>
      </c>
      <c r="I123" s="5" t="s">
        <v>2622</v>
      </c>
      <c r="J123" s="53" t="s">
        <v>554</v>
      </c>
      <c r="K123" s="52"/>
      <c r="L123" s="52"/>
      <c r="M123" s="53" t="s">
        <v>554</v>
      </c>
      <c r="N123" s="5" t="s">
        <v>2623</v>
      </c>
      <c r="O123" s="6" t="s">
        <v>554</v>
      </c>
      <c r="P123" s="52" t="s">
        <v>2364</v>
      </c>
      <c r="Q123" s="87" t="n">
        <f aca="false">Spec_Rack!G26</f>
        <v>32</v>
      </c>
      <c r="R123" s="83" t="n">
        <f aca="false">SRC_HW_044</f>
        <v>4600</v>
      </c>
      <c r="S123" s="83" t="str">
        <f aca="false">IF(OR($H123="—",$H123=""),"—",IF(ISNUMBER(MATCH($H123,SRC_HW!$A$5:$A$400,0)),INDEX(SRC_HW!$O$5:$O$400,MATCH($H123,SRC_HW!$A$5:$A$400,0)),IF(ISNUMBER(MATCH($H123,SRC_DC!$A$5:$A$400,0)),INDEX(SRC_DC!$O$5:$O$400,MATCH($H123,SRC_DC!$A$5:$A$400,0)),IF(ISNUMBER(MATCH($H123,SRC_Model!$A$5:$A$400,0)),INDEX(SRC_Model!$O$5:$O$400,MATCH($H123,SRC_Model!$A$5:$A$400,0)),IF(ISNUMBER(MATCH($H123,SRC_Perf!$A$5:$A$400,0)),INDEX(SRC_Perf!$O$5:$O$400,MATCH($H123,SRC_Perf!$A$5:$A$400,0)),"不存在")))))</f>
        <v>Active</v>
      </c>
      <c r="T123" s="83" t="n">
        <f aca="false">IF(OR($H123="—",$H123=""),"—",IF(ISNUMBER(MATCH($H123,SRC_HW!$A$5:$A$400,0)),INDEX(SRC_HW!$K$5:$K$400,MATCH($H123,SRC_HW!$A$5:$A$400,0)),IF(ISNUMBER(MATCH($H123,SRC_DC!$A$5:$A$400,0)),INDEX(SRC_DC!$K$5:$K$400,MATCH($H123,SRC_DC!$A$5:$A$400,0)),IF(ISNUMBER(MATCH($H123,SRC_Model!$A$5:$A$400,0)),INDEX(SRC_Model!$K$5:$K$400,MATCH($H123,SRC_Model!$A$5:$A$400,0)),IF(ISNUMBER(MATCH($H123,SRC_Perf!$A$5:$A$400,0)),INDEX(SRC_Perf!$K$5:$K$400,MATCH($H123,SRC_Perf!$A$5:$A$400,0)),"不存在")))))</f>
        <v>3</v>
      </c>
      <c r="U123" s="52" t="s">
        <v>2302</v>
      </c>
      <c r="V123" s="103" t="n">
        <f aca="false">IF(AND($F123="原始數據",$U123&lt;&gt;"連結 SRC"),1,0)</f>
        <v>0</v>
      </c>
      <c r="W123" s="103" t="n">
        <f aca="false">IF(AND($F123="Analogy",OR($H123="—",$H123="")),1,0)</f>
        <v>0</v>
      </c>
      <c r="X123" s="103" t="n">
        <f aca="false">IF(AND(OR($F123="Analogy",$F123="Assumed"),$G123&lt;&gt;"低",$G123&lt;&gt;"高",NOT(ISNUMBER($K123)),NOT(ISNUMBER($L123)),OR($M123="—",$M123="")),1,0)</f>
        <v>0</v>
      </c>
      <c r="Y123" s="103" t="n">
        <f aca="false">IF(AND(OR($F123="Analogy",$F123="Assumed",$F123="Derived（待改公式）",$F123="Derived（公式）"),OR($N123="—",$N123="",$N123=0)),1,0)</f>
        <v>0</v>
      </c>
      <c r="Z123" s="103" t="n">
        <f aca="false">IF(AND($F123="Decision",OR($J123="—",$J123="")),1,0)</f>
        <v>0</v>
      </c>
      <c r="AA123" s="84" t="n">
        <f aca="false">IF(OR($J123="—",$J123=""),0,IF(COUNTIF(Decisions!$A$5:$A$300,$J123)=0,1,0))</f>
        <v>0</v>
      </c>
      <c r="AB123" s="103" t="n">
        <f aca="false">IF(AND($F123="原始數據",$S123&lt;&gt;"Active"),1,0)</f>
        <v>0</v>
      </c>
      <c r="AC123" s="103" t="n">
        <f aca="false">IF(AND(ISNUMBER($K123),ISNUMBER($L123),ISNUMBER($Q123)),IF(OR($Q123&lt;MIN($K123,$L123),$Q123&gt;MAX($K123,$L123)),1,0),0)</f>
        <v>0</v>
      </c>
      <c r="AD123" s="103" t="n">
        <f aca="false">IF(AND(ISNUMBER($T123),$P123="高"),IF($T123=3,1,0),0)</f>
        <v>0</v>
      </c>
      <c r="AE123" s="103" t="n">
        <f aca="false">IF(AND($S123="不存在",$B123="切片一"),1,0)</f>
        <v>0</v>
      </c>
    </row>
    <row r="124" customFormat="false" ht="29.85" hidden="false" customHeight="false" outlineLevel="0" collapsed="false">
      <c r="A124" s="53" t="s">
        <v>2624</v>
      </c>
      <c r="B124" s="52" t="s">
        <v>2297</v>
      </c>
      <c r="C124" s="53" t="s">
        <v>2460</v>
      </c>
      <c r="D124" s="53" t="s">
        <v>2625</v>
      </c>
      <c r="E124" s="6" t="s">
        <v>190</v>
      </c>
      <c r="F124" s="52" t="s">
        <v>2337</v>
      </c>
      <c r="G124" s="52" t="s">
        <v>2299</v>
      </c>
      <c r="H124" s="53" t="s">
        <v>2626</v>
      </c>
      <c r="I124" s="5" t="s">
        <v>2627</v>
      </c>
      <c r="J124" s="53" t="s">
        <v>554</v>
      </c>
      <c r="K124" s="52"/>
      <c r="L124" s="52"/>
      <c r="M124" s="53" t="s">
        <v>554</v>
      </c>
      <c r="N124" s="5" t="s">
        <v>2340</v>
      </c>
      <c r="O124" s="6" t="s">
        <v>554</v>
      </c>
      <c r="P124" s="52" t="s">
        <v>2307</v>
      </c>
      <c r="Q124" s="87" t="n">
        <f aca="false">Spec_Rack!C27</f>
        <v>0.05</v>
      </c>
      <c r="R124" s="83" t="n">
        <f aca="false">SRC_HW_060</f>
        <v>400</v>
      </c>
      <c r="S124" s="83" t="str">
        <f aca="false">IF(OR($H124="—",$H124=""),"—",IF(ISNUMBER(MATCH($H124,SRC_HW!$A$5:$A$400,0)),INDEX(SRC_HW!$O$5:$O$400,MATCH($H124,SRC_HW!$A$5:$A$400,0)),IF(ISNUMBER(MATCH($H124,SRC_DC!$A$5:$A$400,0)),INDEX(SRC_DC!$O$5:$O$400,MATCH($H124,SRC_DC!$A$5:$A$400,0)),IF(ISNUMBER(MATCH($H124,SRC_Model!$A$5:$A$400,0)),INDEX(SRC_Model!$O$5:$O$400,MATCH($H124,SRC_Model!$A$5:$A$400,0)),IF(ISNUMBER(MATCH($H124,SRC_Perf!$A$5:$A$400,0)),INDEX(SRC_Perf!$O$5:$O$400,MATCH($H124,SRC_Perf!$A$5:$A$400,0)),"不存在")))))</f>
        <v>Active</v>
      </c>
      <c r="T124" s="83" t="n">
        <f aca="false">IF(OR($H124="—",$H124=""),"—",IF(ISNUMBER(MATCH($H124,SRC_HW!$A$5:$A$400,0)),INDEX(SRC_HW!$K$5:$K$400,MATCH($H124,SRC_HW!$A$5:$A$400,0)),IF(ISNUMBER(MATCH($H124,SRC_DC!$A$5:$A$400,0)),INDEX(SRC_DC!$K$5:$K$400,MATCH($H124,SRC_DC!$A$5:$A$400,0)),IF(ISNUMBER(MATCH($H124,SRC_Model!$A$5:$A$400,0)),INDEX(SRC_Model!$K$5:$K$400,MATCH($H124,SRC_Model!$A$5:$A$400,0)),IF(ISNUMBER(MATCH($H124,SRC_Perf!$A$5:$A$400,0)),INDEX(SRC_Perf!$K$5:$K$400,MATCH($H124,SRC_Perf!$A$5:$A$400,0)),"不存在")))))</f>
        <v>3</v>
      </c>
      <c r="U124" s="52" t="s">
        <v>2341</v>
      </c>
      <c r="V124" s="103" t="n">
        <f aca="false">IF(AND($F124="原始數據",$U124&lt;&gt;"連結 SRC"),1,0)</f>
        <v>0</v>
      </c>
      <c r="W124" s="103" t="n">
        <f aca="false">IF(AND($F124="Analogy",OR($H124="—",$H124="")),1,0)</f>
        <v>0</v>
      </c>
      <c r="X124" s="103" t="n">
        <f aca="false">IF(AND(OR($F124="Analogy",$F124="Assumed"),$G124&lt;&gt;"低",$G124&lt;&gt;"高",NOT(ISNUMBER($K124)),NOT(ISNUMBER($L124)),OR($M124="—",$M124="")),1,0)</f>
        <v>0</v>
      </c>
      <c r="Y124" s="103" t="n">
        <f aca="false">IF(AND(OR($F124="Analogy",$F124="Assumed",$F124="Derived（待改公式）",$F124="Derived（公式）"),OR($N124="—",$N124="",$N124=0)),1,0)</f>
        <v>0</v>
      </c>
      <c r="Z124" s="103" t="n">
        <f aca="false">IF(AND($F124="Decision",OR($J124="—",$J124="")),1,0)</f>
        <v>0</v>
      </c>
      <c r="AA124" s="84" t="n">
        <f aca="false">IF(OR($J124="—",$J124=""),0,IF(COUNTIF(Decisions!$A$5:$A$300,$J124)=0,1,0))</f>
        <v>0</v>
      </c>
      <c r="AB124" s="103" t="n">
        <f aca="false">IF(AND($F124="原始數據",$S124&lt;&gt;"Active"),1,0)</f>
        <v>0</v>
      </c>
      <c r="AC124" s="103" t="n">
        <f aca="false">IF(AND(ISNUMBER($K124),ISNUMBER($L124),ISNUMBER($Q124)),IF(OR($Q124&lt;MIN($K124,$L124),$Q124&gt;MAX($K124,$L124)),1,0),0)</f>
        <v>0</v>
      </c>
      <c r="AD124" s="103" t="n">
        <f aca="false">IF(AND(ISNUMBER($T124),$P124="高"),IF($T124=3,1,0),0)</f>
        <v>0</v>
      </c>
      <c r="AE124" s="103" t="n">
        <f aca="false">IF(AND($S124="不存在",$B124="切片一"),1,0)</f>
        <v>0</v>
      </c>
    </row>
    <row r="125" customFormat="false" ht="29.85" hidden="false" customHeight="false" outlineLevel="0" collapsed="false">
      <c r="A125" s="53" t="s">
        <v>2628</v>
      </c>
      <c r="B125" s="52" t="s">
        <v>2297</v>
      </c>
      <c r="C125" s="53" t="s">
        <v>2460</v>
      </c>
      <c r="D125" s="53" t="s">
        <v>2629</v>
      </c>
      <c r="E125" s="6" t="s">
        <v>190</v>
      </c>
      <c r="F125" s="52" t="s">
        <v>2337</v>
      </c>
      <c r="G125" s="52" t="s">
        <v>2299</v>
      </c>
      <c r="H125" s="53" t="s">
        <v>2630</v>
      </c>
      <c r="I125" s="5" t="s">
        <v>2339</v>
      </c>
      <c r="J125" s="53" t="s">
        <v>554</v>
      </c>
      <c r="K125" s="52"/>
      <c r="L125" s="52"/>
      <c r="M125" s="53" t="s">
        <v>554</v>
      </c>
      <c r="N125" s="5" t="s">
        <v>2340</v>
      </c>
      <c r="O125" s="6" t="s">
        <v>554</v>
      </c>
      <c r="P125" s="52" t="s">
        <v>2307</v>
      </c>
      <c r="Q125" s="87" t="n">
        <f aca="false">Spec_Rack!D27</f>
        <v>0.9</v>
      </c>
      <c r="R125" s="83" t="n">
        <f aca="false">SRC_HW_048</f>
        <v>0.9</v>
      </c>
      <c r="S125" s="83" t="str">
        <f aca="false">IF(OR($H125="—",$H125=""),"—",IF(ISNUMBER(MATCH($H125,SRC_HW!$A$5:$A$400,0)),INDEX(SRC_HW!$O$5:$O$400,MATCH($H125,SRC_HW!$A$5:$A$400,0)),IF(ISNUMBER(MATCH($H125,SRC_DC!$A$5:$A$400,0)),INDEX(SRC_DC!$O$5:$O$400,MATCH($H125,SRC_DC!$A$5:$A$400,0)),IF(ISNUMBER(MATCH($H125,SRC_Model!$A$5:$A$400,0)),INDEX(SRC_Model!$O$5:$O$400,MATCH($H125,SRC_Model!$A$5:$A$400,0)),IF(ISNUMBER(MATCH($H125,SRC_Perf!$A$5:$A$400,0)),INDEX(SRC_Perf!$O$5:$O$400,MATCH($H125,SRC_Perf!$A$5:$A$400,0)),"不存在")))))</f>
        <v>Active</v>
      </c>
      <c r="T125" s="83" t="n">
        <f aca="false">IF(OR($H125="—",$H125=""),"—",IF(ISNUMBER(MATCH($H125,SRC_HW!$A$5:$A$400,0)),INDEX(SRC_HW!$K$5:$K$400,MATCH($H125,SRC_HW!$A$5:$A$400,0)),IF(ISNUMBER(MATCH($H125,SRC_DC!$A$5:$A$400,0)),INDEX(SRC_DC!$K$5:$K$400,MATCH($H125,SRC_DC!$A$5:$A$400,0)),IF(ISNUMBER(MATCH($H125,SRC_Model!$A$5:$A$400,0)),INDEX(SRC_Model!$K$5:$K$400,MATCH($H125,SRC_Model!$A$5:$A$400,0)),IF(ISNUMBER(MATCH($H125,SRC_Perf!$A$5:$A$400,0)),INDEX(SRC_Perf!$K$5:$K$400,MATCH($H125,SRC_Perf!$A$5:$A$400,0)),"不存在")))))</f>
        <v>3</v>
      </c>
      <c r="U125" s="52" t="s">
        <v>2341</v>
      </c>
      <c r="V125" s="103" t="n">
        <f aca="false">IF(AND($F125="原始數據",$U125&lt;&gt;"連結 SRC"),1,0)</f>
        <v>0</v>
      </c>
      <c r="W125" s="103" t="n">
        <f aca="false">IF(AND($F125="Analogy",OR($H125="—",$H125="")),1,0)</f>
        <v>0</v>
      </c>
      <c r="X125" s="103" t="n">
        <f aca="false">IF(AND(OR($F125="Analogy",$F125="Assumed"),$G125&lt;&gt;"低",$G125&lt;&gt;"高",NOT(ISNUMBER($K125)),NOT(ISNUMBER($L125)),OR($M125="—",$M125="")),1,0)</f>
        <v>0</v>
      </c>
      <c r="Y125" s="103" t="n">
        <f aca="false">IF(AND(OR($F125="Analogy",$F125="Assumed",$F125="Derived（待改公式）",$F125="Derived（公式）"),OR($N125="—",$N125="",$N125=0)),1,0)</f>
        <v>0</v>
      </c>
      <c r="Z125" s="103" t="n">
        <f aca="false">IF(AND($F125="Decision",OR($J125="—",$J125="")),1,0)</f>
        <v>0</v>
      </c>
      <c r="AA125" s="84" t="n">
        <f aca="false">IF(OR($J125="—",$J125=""),0,IF(COUNTIF(Decisions!$A$5:$A$300,$J125)=0,1,0))</f>
        <v>0</v>
      </c>
      <c r="AB125" s="103" t="n">
        <f aca="false">IF(AND($F125="原始數據",$S125&lt;&gt;"Active"),1,0)</f>
        <v>0</v>
      </c>
      <c r="AC125" s="103" t="n">
        <f aca="false">IF(AND(ISNUMBER($K125),ISNUMBER($L125),ISNUMBER($Q125)),IF(OR($Q125&lt;MIN($K125,$L125),$Q125&gt;MAX($K125,$L125)),1,0),0)</f>
        <v>0</v>
      </c>
      <c r="AD125" s="103" t="n">
        <f aca="false">IF(AND(ISNUMBER($T125),$P125="高"),IF($T125=3,1,0),0)</f>
        <v>0</v>
      </c>
      <c r="AE125" s="103" t="n">
        <f aca="false">IF(AND($S125="不存在",$B125="切片一"),1,0)</f>
        <v>0</v>
      </c>
    </row>
    <row r="126" customFormat="false" ht="29.85" hidden="false" customHeight="false" outlineLevel="0" collapsed="false">
      <c r="A126" s="53" t="s">
        <v>2631</v>
      </c>
      <c r="B126" s="52" t="s">
        <v>2297</v>
      </c>
      <c r="C126" s="53" t="s">
        <v>2460</v>
      </c>
      <c r="D126" s="53" t="s">
        <v>2456</v>
      </c>
      <c r="E126" s="6" t="s">
        <v>190</v>
      </c>
      <c r="F126" s="52" t="s">
        <v>2337</v>
      </c>
      <c r="G126" s="52" t="s">
        <v>2299</v>
      </c>
      <c r="H126" s="53" t="s">
        <v>2630</v>
      </c>
      <c r="I126" s="5" t="s">
        <v>2339</v>
      </c>
      <c r="J126" s="53" t="s">
        <v>554</v>
      </c>
      <c r="K126" s="52"/>
      <c r="L126" s="52"/>
      <c r="M126" s="53" t="s">
        <v>554</v>
      </c>
      <c r="N126" s="5" t="s">
        <v>2340</v>
      </c>
      <c r="O126" s="6" t="s">
        <v>554</v>
      </c>
      <c r="P126" s="52" t="s">
        <v>2307</v>
      </c>
      <c r="Q126" s="87" t="n">
        <f aca="false">Spec_Rack!E27</f>
        <v>0.9</v>
      </c>
      <c r="R126" s="83" t="n">
        <f aca="false">SRC_HW_048</f>
        <v>0.9</v>
      </c>
      <c r="S126" s="83" t="str">
        <f aca="false">IF(OR($H126="—",$H126=""),"—",IF(ISNUMBER(MATCH($H126,SRC_HW!$A$5:$A$400,0)),INDEX(SRC_HW!$O$5:$O$400,MATCH($H126,SRC_HW!$A$5:$A$400,0)),IF(ISNUMBER(MATCH($H126,SRC_DC!$A$5:$A$400,0)),INDEX(SRC_DC!$O$5:$O$400,MATCH($H126,SRC_DC!$A$5:$A$400,0)),IF(ISNUMBER(MATCH($H126,SRC_Model!$A$5:$A$400,0)),INDEX(SRC_Model!$O$5:$O$400,MATCH($H126,SRC_Model!$A$5:$A$400,0)),IF(ISNUMBER(MATCH($H126,SRC_Perf!$A$5:$A$400,0)),INDEX(SRC_Perf!$O$5:$O$400,MATCH($H126,SRC_Perf!$A$5:$A$400,0)),"不存在")))))</f>
        <v>Active</v>
      </c>
      <c r="T126" s="83" t="n">
        <f aca="false">IF(OR($H126="—",$H126=""),"—",IF(ISNUMBER(MATCH($H126,SRC_HW!$A$5:$A$400,0)),INDEX(SRC_HW!$K$5:$K$400,MATCH($H126,SRC_HW!$A$5:$A$400,0)),IF(ISNUMBER(MATCH($H126,SRC_DC!$A$5:$A$400,0)),INDEX(SRC_DC!$K$5:$K$400,MATCH($H126,SRC_DC!$A$5:$A$400,0)),IF(ISNUMBER(MATCH($H126,SRC_Model!$A$5:$A$400,0)),INDEX(SRC_Model!$K$5:$K$400,MATCH($H126,SRC_Model!$A$5:$A$400,0)),IF(ISNUMBER(MATCH($H126,SRC_Perf!$A$5:$A$400,0)),INDEX(SRC_Perf!$K$5:$K$400,MATCH($H126,SRC_Perf!$A$5:$A$400,0)),"不存在")))))</f>
        <v>3</v>
      </c>
      <c r="U126" s="52" t="s">
        <v>2341</v>
      </c>
      <c r="V126" s="103" t="n">
        <f aca="false">IF(AND($F126="原始數據",$U126&lt;&gt;"連結 SRC"),1,0)</f>
        <v>0</v>
      </c>
      <c r="W126" s="103" t="n">
        <f aca="false">IF(AND($F126="Analogy",OR($H126="—",$H126="")),1,0)</f>
        <v>0</v>
      </c>
      <c r="X126" s="103" t="n">
        <f aca="false">IF(AND(OR($F126="Analogy",$F126="Assumed"),$G126&lt;&gt;"低",$G126&lt;&gt;"高",NOT(ISNUMBER($K126)),NOT(ISNUMBER($L126)),OR($M126="—",$M126="")),1,0)</f>
        <v>0</v>
      </c>
      <c r="Y126" s="103" t="n">
        <f aca="false">IF(AND(OR($F126="Analogy",$F126="Assumed",$F126="Derived（待改公式）",$F126="Derived（公式）"),OR($N126="—",$N126="",$N126=0)),1,0)</f>
        <v>0</v>
      </c>
      <c r="Z126" s="103" t="n">
        <f aca="false">IF(AND($F126="Decision",OR($J126="—",$J126="")),1,0)</f>
        <v>0</v>
      </c>
      <c r="AA126" s="84" t="n">
        <f aca="false">IF(OR($J126="—",$J126=""),0,IF(COUNTIF(Decisions!$A$5:$A$300,$J126)=0,1,0))</f>
        <v>0</v>
      </c>
      <c r="AB126" s="103" t="n">
        <f aca="false">IF(AND($F126="原始數據",$S126&lt;&gt;"Active"),1,0)</f>
        <v>0</v>
      </c>
      <c r="AC126" s="103" t="n">
        <f aca="false">IF(AND(ISNUMBER($K126),ISNUMBER($L126),ISNUMBER($Q126)),IF(OR($Q126&lt;MIN($K126,$L126),$Q126&gt;MAX($K126,$L126)),1,0),0)</f>
        <v>0</v>
      </c>
      <c r="AD126" s="103" t="n">
        <f aca="false">IF(AND(ISNUMBER($T126),$P126="高"),IF($T126=3,1,0),0)</f>
        <v>0</v>
      </c>
      <c r="AE126" s="103" t="n">
        <f aca="false">IF(AND($S126="不存在",$B126="切片一"),1,0)</f>
        <v>0</v>
      </c>
    </row>
    <row r="127" customFormat="false" ht="29.85" hidden="false" customHeight="false" outlineLevel="0" collapsed="false">
      <c r="A127" s="53" t="s">
        <v>2632</v>
      </c>
      <c r="B127" s="52" t="s">
        <v>2297</v>
      </c>
      <c r="C127" s="53" t="s">
        <v>2460</v>
      </c>
      <c r="D127" s="53" t="s">
        <v>2633</v>
      </c>
      <c r="E127" s="6" t="s">
        <v>190</v>
      </c>
      <c r="F127" s="52" t="s">
        <v>2337</v>
      </c>
      <c r="G127" s="52" t="s">
        <v>2299</v>
      </c>
      <c r="H127" s="53" t="s">
        <v>2634</v>
      </c>
      <c r="I127" s="5" t="s">
        <v>2339</v>
      </c>
      <c r="J127" s="53" t="s">
        <v>554</v>
      </c>
      <c r="K127" s="52"/>
      <c r="L127" s="52"/>
      <c r="M127" s="53" t="s">
        <v>554</v>
      </c>
      <c r="N127" s="5" t="s">
        <v>2340</v>
      </c>
      <c r="O127" s="6" t="s">
        <v>554</v>
      </c>
      <c r="P127" s="52" t="s">
        <v>2307</v>
      </c>
      <c r="Q127" s="87" t="n">
        <f aca="false">Spec_Rack!F27</f>
        <v>1.8</v>
      </c>
      <c r="R127" s="83" t="n">
        <f aca="false">SRC_HW_049</f>
        <v>1.8</v>
      </c>
      <c r="S127" s="83" t="str">
        <f aca="false">IF(OR($H127="—",$H127=""),"—",IF(ISNUMBER(MATCH($H127,SRC_HW!$A$5:$A$400,0)),INDEX(SRC_HW!$O$5:$O$400,MATCH($H127,SRC_HW!$A$5:$A$400,0)),IF(ISNUMBER(MATCH($H127,SRC_DC!$A$5:$A$400,0)),INDEX(SRC_DC!$O$5:$O$400,MATCH($H127,SRC_DC!$A$5:$A$400,0)),IF(ISNUMBER(MATCH($H127,SRC_Model!$A$5:$A$400,0)),INDEX(SRC_Model!$O$5:$O$400,MATCH($H127,SRC_Model!$A$5:$A$400,0)),IF(ISNUMBER(MATCH($H127,SRC_Perf!$A$5:$A$400,0)),INDEX(SRC_Perf!$O$5:$O$400,MATCH($H127,SRC_Perf!$A$5:$A$400,0)),"不存在")))))</f>
        <v>Active</v>
      </c>
      <c r="T127" s="83" t="n">
        <f aca="false">IF(OR($H127="—",$H127=""),"—",IF(ISNUMBER(MATCH($H127,SRC_HW!$A$5:$A$400,0)),INDEX(SRC_HW!$K$5:$K$400,MATCH($H127,SRC_HW!$A$5:$A$400,0)),IF(ISNUMBER(MATCH($H127,SRC_DC!$A$5:$A$400,0)),INDEX(SRC_DC!$K$5:$K$400,MATCH($H127,SRC_DC!$A$5:$A$400,0)),IF(ISNUMBER(MATCH($H127,SRC_Model!$A$5:$A$400,0)),INDEX(SRC_Model!$K$5:$K$400,MATCH($H127,SRC_Model!$A$5:$A$400,0)),IF(ISNUMBER(MATCH($H127,SRC_Perf!$A$5:$A$400,0)),INDEX(SRC_Perf!$K$5:$K$400,MATCH($H127,SRC_Perf!$A$5:$A$400,0)),"不存在")))))</f>
        <v>3</v>
      </c>
      <c r="U127" s="52" t="s">
        <v>2341</v>
      </c>
      <c r="V127" s="103" t="n">
        <f aca="false">IF(AND($F127="原始數據",$U127&lt;&gt;"連結 SRC"),1,0)</f>
        <v>0</v>
      </c>
      <c r="W127" s="103" t="n">
        <f aca="false">IF(AND($F127="Analogy",OR($H127="—",$H127="")),1,0)</f>
        <v>0</v>
      </c>
      <c r="X127" s="103" t="n">
        <f aca="false">IF(AND(OR($F127="Analogy",$F127="Assumed"),$G127&lt;&gt;"低",$G127&lt;&gt;"高",NOT(ISNUMBER($K127)),NOT(ISNUMBER($L127)),OR($M127="—",$M127="")),1,0)</f>
        <v>0</v>
      </c>
      <c r="Y127" s="103" t="n">
        <f aca="false">IF(AND(OR($F127="Analogy",$F127="Assumed",$F127="Derived（待改公式）",$F127="Derived（公式）"),OR($N127="—",$N127="",$N127=0)),1,0)</f>
        <v>0</v>
      </c>
      <c r="Z127" s="103" t="n">
        <f aca="false">IF(AND($F127="Decision",OR($J127="—",$J127="")),1,0)</f>
        <v>0</v>
      </c>
      <c r="AA127" s="84" t="n">
        <f aca="false">IF(OR($J127="—",$J127=""),0,IF(COUNTIF(Decisions!$A$5:$A$300,$J127)=0,1,0))</f>
        <v>0</v>
      </c>
      <c r="AB127" s="103" t="n">
        <f aca="false">IF(AND($F127="原始數據",$S127&lt;&gt;"Active"),1,0)</f>
        <v>0</v>
      </c>
      <c r="AC127" s="103" t="n">
        <f aca="false">IF(AND(ISNUMBER($K127),ISNUMBER($L127),ISNUMBER($Q127)),IF(OR($Q127&lt;MIN($K127,$L127),$Q127&gt;MAX($K127,$L127)),1,0),0)</f>
        <v>0</v>
      </c>
      <c r="AD127" s="103" t="n">
        <f aca="false">IF(AND(ISNUMBER($T127),$P127="高"),IF($T127=3,1,0),0)</f>
        <v>0</v>
      </c>
      <c r="AE127" s="103" t="n">
        <f aca="false">IF(AND($S127="不存在",$B127="切片一"),1,0)</f>
        <v>0</v>
      </c>
    </row>
    <row r="128" customFormat="false" ht="29.85" hidden="false" customHeight="false" outlineLevel="0" collapsed="false">
      <c r="A128" s="53" t="s">
        <v>2635</v>
      </c>
      <c r="B128" s="52" t="s">
        <v>2297</v>
      </c>
      <c r="C128" s="53" t="s">
        <v>2460</v>
      </c>
      <c r="D128" s="53" t="s">
        <v>2636</v>
      </c>
      <c r="E128" s="6" t="s">
        <v>190</v>
      </c>
      <c r="F128" s="53" t="s">
        <v>70</v>
      </c>
      <c r="G128" s="52" t="s">
        <v>2299</v>
      </c>
      <c r="H128" s="53" t="s">
        <v>554</v>
      </c>
      <c r="I128" s="6" t="s">
        <v>554</v>
      </c>
      <c r="J128" s="53" t="s">
        <v>554</v>
      </c>
      <c r="K128" s="128" t="n">
        <v>1.8</v>
      </c>
      <c r="L128" s="128" t="n">
        <v>3.6</v>
      </c>
      <c r="M128" s="53" t="s">
        <v>2637</v>
      </c>
      <c r="N128" s="6" t="s">
        <v>2638</v>
      </c>
      <c r="O128" s="6" t="s">
        <v>554</v>
      </c>
      <c r="P128" s="52" t="s">
        <v>2307</v>
      </c>
      <c r="Q128" s="87" t="n">
        <f aca="false">Spec_Rack!G27</f>
        <v>1.8</v>
      </c>
      <c r="R128" s="53" t="s">
        <v>554</v>
      </c>
      <c r="S128" s="83" t="str">
        <f aca="false">IF(OR($H128="—",$H128=""),"—",IF(ISNUMBER(MATCH($H128,SRC_HW!$A$5:$A$400,0)),INDEX(SRC_HW!$O$5:$O$400,MATCH($H128,SRC_HW!$A$5:$A$400,0)),IF(ISNUMBER(MATCH($H128,SRC_DC!$A$5:$A$400,0)),INDEX(SRC_DC!$O$5:$O$400,MATCH($H128,SRC_DC!$A$5:$A$400,0)),IF(ISNUMBER(MATCH($H128,SRC_Model!$A$5:$A$400,0)),INDEX(SRC_Model!$O$5:$O$400,MATCH($H128,SRC_Model!$A$5:$A$400,0)),IF(ISNUMBER(MATCH($H128,SRC_Perf!$A$5:$A$400,0)),INDEX(SRC_Perf!$O$5:$O$400,MATCH($H128,SRC_Perf!$A$5:$A$400,0)),"不存在")))))</f>
        <v>—</v>
      </c>
      <c r="T128" s="83" t="str">
        <f aca="false">IF(OR($H128="—",$H128=""),"—",IF(ISNUMBER(MATCH($H128,SRC_HW!$A$5:$A$400,0)),INDEX(SRC_HW!$K$5:$K$400,MATCH($H128,SRC_HW!$A$5:$A$400,0)),IF(ISNUMBER(MATCH($H128,SRC_DC!$A$5:$A$400,0)),INDEX(SRC_DC!$K$5:$K$400,MATCH($H128,SRC_DC!$A$5:$A$400,0)),IF(ISNUMBER(MATCH($H128,SRC_Model!$A$5:$A$400,0)),INDEX(SRC_Model!$K$5:$K$400,MATCH($H128,SRC_Model!$A$5:$A$400,0)),IF(ISNUMBER(MATCH($H128,SRC_Perf!$A$5:$A$400,0)),INDEX(SRC_Perf!$K$5:$K$400,MATCH($H128,SRC_Perf!$A$5:$A$400,0)),"不存在")))))</f>
        <v>—</v>
      </c>
      <c r="U128" s="52" t="s">
        <v>2302</v>
      </c>
      <c r="V128" s="103" t="n">
        <f aca="false">IF(AND($F128="原始數據",$U128&lt;&gt;"連結 SRC"),1,0)</f>
        <v>0</v>
      </c>
      <c r="W128" s="103" t="n">
        <f aca="false">IF(AND($F128="Analogy",OR($H128="—",$H128="")),1,0)</f>
        <v>0</v>
      </c>
      <c r="X128" s="103" t="n">
        <f aca="false">IF(AND(OR($F128="Analogy",$F128="Assumed"),$G128&lt;&gt;"低",$G128&lt;&gt;"高",NOT(ISNUMBER($K128)),NOT(ISNUMBER($L128)),OR($M128="—",$M128="")),1,0)</f>
        <v>0</v>
      </c>
      <c r="Y128" s="103" t="n">
        <f aca="false">IF(AND(OR($F128="Analogy",$F128="Assumed",$F128="Derived（待改公式）",$F128="Derived（公式）"),OR($N128="—",$N128="",$N128=0)),1,0)</f>
        <v>0</v>
      </c>
      <c r="Z128" s="103" t="n">
        <f aca="false">IF(AND($F128="Decision",OR($J128="—",$J128="")),1,0)</f>
        <v>0</v>
      </c>
      <c r="AA128" s="84" t="n">
        <f aca="false">IF(OR($J128="—",$J128=""),0,IF(COUNTIF(Decisions!$A$5:$A$300,$J128)=0,1,0))</f>
        <v>0</v>
      </c>
      <c r="AB128" s="103" t="n">
        <f aca="false">IF(AND($F128="原始數據",$S128&lt;&gt;"Active"),1,0)</f>
        <v>0</v>
      </c>
      <c r="AC128" s="103" t="n">
        <f aca="false">IF(AND(ISNUMBER($K128),ISNUMBER($L128),ISNUMBER($Q128)),IF(OR($Q128&lt;MIN($K128,$L128),$Q128&gt;MAX($K128,$L128)),1,0),0)</f>
        <v>0</v>
      </c>
      <c r="AD128" s="103" t="n">
        <f aca="false">IF(AND(ISNUMBER($T128),$P128="高"),IF($T128=3,1,0),0)</f>
        <v>0</v>
      </c>
      <c r="AE128" s="103" t="n">
        <f aca="false">IF(AND($S128="不存在",$B128="切片一"),1,0)</f>
        <v>0</v>
      </c>
    </row>
    <row r="129" customFormat="false" ht="15" hidden="false" customHeight="false" outlineLevel="0" collapsed="false">
      <c r="A129" s="53" t="s">
        <v>2639</v>
      </c>
      <c r="B129" s="52" t="s">
        <v>2297</v>
      </c>
      <c r="C129" s="53" t="s">
        <v>2460</v>
      </c>
      <c r="D129" s="53" t="s">
        <v>2640</v>
      </c>
      <c r="E129" s="6" t="s">
        <v>192</v>
      </c>
      <c r="F129" s="52" t="s">
        <v>2337</v>
      </c>
      <c r="G129" s="52" t="s">
        <v>2299</v>
      </c>
      <c r="H129" s="53" t="s">
        <v>2641</v>
      </c>
      <c r="I129" s="5" t="s">
        <v>2339</v>
      </c>
      <c r="J129" s="53" t="s">
        <v>554</v>
      </c>
      <c r="K129" s="52"/>
      <c r="L129" s="52"/>
      <c r="M129" s="53" t="s">
        <v>554</v>
      </c>
      <c r="N129" s="5" t="s">
        <v>2340</v>
      </c>
      <c r="O129" s="6" t="s">
        <v>554</v>
      </c>
      <c r="P129" s="52" t="s">
        <v>2307</v>
      </c>
      <c r="Q129" s="54" t="n">
        <f aca="false">Spec_Rack!C28</f>
        <v>8</v>
      </c>
      <c r="R129" s="83" t="n">
        <f aca="false">SRC_HW_053</f>
        <v>8</v>
      </c>
      <c r="S129" s="83" t="str">
        <f aca="false">IF(OR($H129="—",$H129=""),"—",IF(ISNUMBER(MATCH($H129,SRC_HW!$A$5:$A$400,0)),INDEX(SRC_HW!$O$5:$O$400,MATCH($H129,SRC_HW!$A$5:$A$400,0)),IF(ISNUMBER(MATCH($H129,SRC_DC!$A$5:$A$400,0)),INDEX(SRC_DC!$O$5:$O$400,MATCH($H129,SRC_DC!$A$5:$A$400,0)),IF(ISNUMBER(MATCH($H129,SRC_Model!$A$5:$A$400,0)),INDEX(SRC_Model!$O$5:$O$400,MATCH($H129,SRC_Model!$A$5:$A$400,0)),IF(ISNUMBER(MATCH($H129,SRC_Perf!$A$5:$A$400,0)),INDEX(SRC_Perf!$O$5:$O$400,MATCH($H129,SRC_Perf!$A$5:$A$400,0)),"不存在")))))</f>
        <v>Active</v>
      </c>
      <c r="T129" s="83" t="n">
        <f aca="false">IF(OR($H129="—",$H129=""),"—",IF(ISNUMBER(MATCH($H129,SRC_HW!$A$5:$A$400,0)),INDEX(SRC_HW!$K$5:$K$400,MATCH($H129,SRC_HW!$A$5:$A$400,0)),IF(ISNUMBER(MATCH($H129,SRC_DC!$A$5:$A$400,0)),INDEX(SRC_DC!$K$5:$K$400,MATCH($H129,SRC_DC!$A$5:$A$400,0)),IF(ISNUMBER(MATCH($H129,SRC_Model!$A$5:$A$400,0)),INDEX(SRC_Model!$K$5:$K$400,MATCH($H129,SRC_Model!$A$5:$A$400,0)),IF(ISNUMBER(MATCH($H129,SRC_Perf!$A$5:$A$400,0)),INDEX(SRC_Perf!$K$5:$K$400,MATCH($H129,SRC_Perf!$A$5:$A$400,0)),"不存在")))))</f>
        <v>3</v>
      </c>
      <c r="U129" s="52" t="s">
        <v>2341</v>
      </c>
      <c r="V129" s="103" t="n">
        <f aca="false">IF(AND($F129="原始數據",$U129&lt;&gt;"連結 SRC"),1,0)</f>
        <v>0</v>
      </c>
      <c r="W129" s="103" t="n">
        <f aca="false">IF(AND($F129="Analogy",OR($H129="—",$H129="")),1,0)</f>
        <v>0</v>
      </c>
      <c r="X129" s="103" t="n">
        <f aca="false">IF(AND(OR($F129="Analogy",$F129="Assumed"),$G129&lt;&gt;"低",$G129&lt;&gt;"高",NOT(ISNUMBER($K129)),NOT(ISNUMBER($L129)),OR($M129="—",$M129="")),1,0)</f>
        <v>0</v>
      </c>
      <c r="Y129" s="103" t="n">
        <f aca="false">IF(AND(OR($F129="Analogy",$F129="Assumed",$F129="Derived（待改公式）",$F129="Derived（公式）"),OR($N129="—",$N129="",$N129=0)),1,0)</f>
        <v>0</v>
      </c>
      <c r="Z129" s="103" t="n">
        <f aca="false">IF(AND($F129="Decision",OR($J129="—",$J129="")),1,0)</f>
        <v>0</v>
      </c>
      <c r="AA129" s="84" t="n">
        <f aca="false">IF(OR($J129="—",$J129=""),0,IF(COUNTIF(Decisions!$A$5:$A$300,$J129)=0,1,0))</f>
        <v>0</v>
      </c>
      <c r="AB129" s="103" t="n">
        <f aca="false">IF(AND($F129="原始數據",$S129&lt;&gt;"Active"),1,0)</f>
        <v>0</v>
      </c>
      <c r="AC129" s="103" t="n">
        <f aca="false">IF(AND(ISNUMBER($K129),ISNUMBER($L129),ISNUMBER($Q129)),IF(OR($Q129&lt;MIN($K129,$L129),$Q129&gt;MAX($K129,$L129)),1,0),0)</f>
        <v>0</v>
      </c>
      <c r="AD129" s="103" t="n">
        <f aca="false">IF(AND(ISNUMBER($T129),$P129="高"),IF($T129=3,1,0),0)</f>
        <v>0</v>
      </c>
      <c r="AE129" s="103" t="n">
        <f aca="false">IF(AND($S129="不存在",$B129="切片一"),1,0)</f>
        <v>0</v>
      </c>
    </row>
    <row r="130" customFormat="false" ht="15" hidden="false" customHeight="false" outlineLevel="0" collapsed="false">
      <c r="A130" s="53" t="s">
        <v>2642</v>
      </c>
      <c r="B130" s="52" t="s">
        <v>2297</v>
      </c>
      <c r="C130" s="53" t="s">
        <v>2460</v>
      </c>
      <c r="D130" s="53" t="s">
        <v>2393</v>
      </c>
      <c r="E130" s="6" t="s">
        <v>192</v>
      </c>
      <c r="F130" s="52" t="s">
        <v>2337</v>
      </c>
      <c r="G130" s="52" t="s">
        <v>2299</v>
      </c>
      <c r="H130" s="53" t="s">
        <v>2466</v>
      </c>
      <c r="I130" s="5" t="s">
        <v>2339</v>
      </c>
      <c r="J130" s="53" t="s">
        <v>554</v>
      </c>
      <c r="K130" s="52"/>
      <c r="L130" s="52"/>
      <c r="M130" s="53" t="s">
        <v>554</v>
      </c>
      <c r="N130" s="5" t="s">
        <v>2340</v>
      </c>
      <c r="O130" s="6" t="s">
        <v>554</v>
      </c>
      <c r="P130" s="52" t="s">
        <v>2307</v>
      </c>
      <c r="Q130" s="54" t="n">
        <f aca="false">Spec_Rack!D28</f>
        <v>72</v>
      </c>
      <c r="R130" s="83" t="n">
        <f aca="false">SRC_HW_047</f>
        <v>72</v>
      </c>
      <c r="S130" s="83" t="str">
        <f aca="false">IF(OR($H130="—",$H130=""),"—",IF(ISNUMBER(MATCH($H130,SRC_HW!$A$5:$A$400,0)),INDEX(SRC_HW!$O$5:$O$400,MATCH($H130,SRC_HW!$A$5:$A$400,0)),IF(ISNUMBER(MATCH($H130,SRC_DC!$A$5:$A$400,0)),INDEX(SRC_DC!$O$5:$O$400,MATCH($H130,SRC_DC!$A$5:$A$400,0)),IF(ISNUMBER(MATCH($H130,SRC_Model!$A$5:$A$400,0)),INDEX(SRC_Model!$O$5:$O$400,MATCH($H130,SRC_Model!$A$5:$A$400,0)),IF(ISNUMBER(MATCH($H130,SRC_Perf!$A$5:$A$400,0)),INDEX(SRC_Perf!$O$5:$O$400,MATCH($H130,SRC_Perf!$A$5:$A$400,0)),"不存在")))))</f>
        <v>Active</v>
      </c>
      <c r="T130" s="83" t="n">
        <f aca="false">IF(OR($H130="—",$H130=""),"—",IF(ISNUMBER(MATCH($H130,SRC_HW!$A$5:$A$400,0)),INDEX(SRC_HW!$K$5:$K$400,MATCH($H130,SRC_HW!$A$5:$A$400,0)),IF(ISNUMBER(MATCH($H130,SRC_DC!$A$5:$A$400,0)),INDEX(SRC_DC!$K$5:$K$400,MATCH($H130,SRC_DC!$A$5:$A$400,0)),IF(ISNUMBER(MATCH($H130,SRC_Model!$A$5:$A$400,0)),INDEX(SRC_Model!$K$5:$K$400,MATCH($H130,SRC_Model!$A$5:$A$400,0)),IF(ISNUMBER(MATCH($H130,SRC_Perf!$A$5:$A$400,0)),INDEX(SRC_Perf!$K$5:$K$400,MATCH($H130,SRC_Perf!$A$5:$A$400,0)),"不存在")))))</f>
        <v>3</v>
      </c>
      <c r="U130" s="52" t="s">
        <v>2341</v>
      </c>
      <c r="V130" s="103" t="n">
        <f aca="false">IF(AND($F130="原始數據",$U130&lt;&gt;"連結 SRC"),1,0)</f>
        <v>0</v>
      </c>
      <c r="W130" s="103" t="n">
        <f aca="false">IF(AND($F130="Analogy",OR($H130="—",$H130="")),1,0)</f>
        <v>0</v>
      </c>
      <c r="X130" s="103" t="n">
        <f aca="false">IF(AND(OR($F130="Analogy",$F130="Assumed"),$G130&lt;&gt;"低",$G130&lt;&gt;"高",NOT(ISNUMBER($K130)),NOT(ISNUMBER($L130)),OR($M130="—",$M130="")),1,0)</f>
        <v>0</v>
      </c>
      <c r="Y130" s="103" t="n">
        <f aca="false">IF(AND(OR($F130="Analogy",$F130="Assumed",$F130="Derived（待改公式）",$F130="Derived（公式）"),OR($N130="—",$N130="",$N130=0)),1,0)</f>
        <v>0</v>
      </c>
      <c r="Z130" s="103" t="n">
        <f aca="false">IF(AND($F130="Decision",OR($J130="—",$J130="")),1,0)</f>
        <v>0</v>
      </c>
      <c r="AA130" s="84" t="n">
        <f aca="false">IF(OR($J130="—",$J130=""),0,IF(COUNTIF(Decisions!$A$5:$A$300,$J130)=0,1,0))</f>
        <v>0</v>
      </c>
      <c r="AB130" s="103" t="n">
        <f aca="false">IF(AND($F130="原始數據",$S130&lt;&gt;"Active"),1,0)</f>
        <v>0</v>
      </c>
      <c r="AC130" s="103" t="n">
        <f aca="false">IF(AND(ISNUMBER($K130),ISNUMBER($L130),ISNUMBER($Q130)),IF(OR($Q130&lt;MIN($K130,$L130),$Q130&gt;MAX($K130,$L130)),1,0),0)</f>
        <v>0</v>
      </c>
      <c r="AD130" s="103" t="n">
        <f aca="false">IF(AND(ISNUMBER($T130),$P130="高"),IF($T130=3,1,0),0)</f>
        <v>0</v>
      </c>
      <c r="AE130" s="103" t="n">
        <f aca="false">IF(AND($S130="不存在",$B130="切片一"),1,0)</f>
        <v>0</v>
      </c>
    </row>
    <row r="131" customFormat="false" ht="15" hidden="false" customHeight="false" outlineLevel="0" collapsed="false">
      <c r="A131" s="53" t="s">
        <v>2643</v>
      </c>
      <c r="B131" s="52" t="s">
        <v>2297</v>
      </c>
      <c r="C131" s="53" t="s">
        <v>2460</v>
      </c>
      <c r="D131" s="53" t="s">
        <v>2391</v>
      </c>
      <c r="E131" s="6" t="s">
        <v>192</v>
      </c>
      <c r="F131" s="52" t="s">
        <v>2337</v>
      </c>
      <c r="G131" s="52" t="s">
        <v>2299</v>
      </c>
      <c r="H131" s="53" t="s">
        <v>2466</v>
      </c>
      <c r="I131" s="5" t="s">
        <v>2339</v>
      </c>
      <c r="J131" s="53" t="s">
        <v>554</v>
      </c>
      <c r="K131" s="52"/>
      <c r="L131" s="52"/>
      <c r="M131" s="53" t="s">
        <v>554</v>
      </c>
      <c r="N131" s="5" t="s">
        <v>2340</v>
      </c>
      <c r="O131" s="6" t="s">
        <v>554</v>
      </c>
      <c r="P131" s="52" t="s">
        <v>2307</v>
      </c>
      <c r="Q131" s="54" t="n">
        <f aca="false">Spec_Rack!E28</f>
        <v>72</v>
      </c>
      <c r="R131" s="83" t="n">
        <f aca="false">SRC_HW_047</f>
        <v>72</v>
      </c>
      <c r="S131" s="83" t="str">
        <f aca="false">IF(OR($H131="—",$H131=""),"—",IF(ISNUMBER(MATCH($H131,SRC_HW!$A$5:$A$400,0)),INDEX(SRC_HW!$O$5:$O$400,MATCH($H131,SRC_HW!$A$5:$A$400,0)),IF(ISNUMBER(MATCH($H131,SRC_DC!$A$5:$A$400,0)),INDEX(SRC_DC!$O$5:$O$400,MATCH($H131,SRC_DC!$A$5:$A$400,0)),IF(ISNUMBER(MATCH($H131,SRC_Model!$A$5:$A$400,0)),INDEX(SRC_Model!$O$5:$O$400,MATCH($H131,SRC_Model!$A$5:$A$400,0)),IF(ISNUMBER(MATCH($H131,SRC_Perf!$A$5:$A$400,0)),INDEX(SRC_Perf!$O$5:$O$400,MATCH($H131,SRC_Perf!$A$5:$A$400,0)),"不存在")))))</f>
        <v>Active</v>
      </c>
      <c r="T131" s="83" t="n">
        <f aca="false">IF(OR($H131="—",$H131=""),"—",IF(ISNUMBER(MATCH($H131,SRC_HW!$A$5:$A$400,0)),INDEX(SRC_HW!$K$5:$K$400,MATCH($H131,SRC_HW!$A$5:$A$400,0)),IF(ISNUMBER(MATCH($H131,SRC_DC!$A$5:$A$400,0)),INDEX(SRC_DC!$K$5:$K$400,MATCH($H131,SRC_DC!$A$5:$A$400,0)),IF(ISNUMBER(MATCH($H131,SRC_Model!$A$5:$A$400,0)),INDEX(SRC_Model!$K$5:$K$400,MATCH($H131,SRC_Model!$A$5:$A$400,0)),IF(ISNUMBER(MATCH($H131,SRC_Perf!$A$5:$A$400,0)),INDEX(SRC_Perf!$K$5:$K$400,MATCH($H131,SRC_Perf!$A$5:$A$400,0)),"不存在")))))</f>
        <v>3</v>
      </c>
      <c r="U131" s="52" t="s">
        <v>2341</v>
      </c>
      <c r="V131" s="103" t="n">
        <f aca="false">IF(AND($F131="原始數據",$U131&lt;&gt;"連結 SRC"),1,0)</f>
        <v>0</v>
      </c>
      <c r="W131" s="103" t="n">
        <f aca="false">IF(AND($F131="Analogy",OR($H131="—",$H131="")),1,0)</f>
        <v>0</v>
      </c>
      <c r="X131" s="103" t="n">
        <f aca="false">IF(AND(OR($F131="Analogy",$F131="Assumed"),$G131&lt;&gt;"低",$G131&lt;&gt;"高",NOT(ISNUMBER($K131)),NOT(ISNUMBER($L131)),OR($M131="—",$M131="")),1,0)</f>
        <v>0</v>
      </c>
      <c r="Y131" s="103" t="n">
        <f aca="false">IF(AND(OR($F131="Analogy",$F131="Assumed",$F131="Derived（待改公式）",$F131="Derived（公式）"),OR($N131="—",$N131="",$N131=0)),1,0)</f>
        <v>0</v>
      </c>
      <c r="Z131" s="103" t="n">
        <f aca="false">IF(AND($F131="Decision",OR($J131="—",$J131="")),1,0)</f>
        <v>0</v>
      </c>
      <c r="AA131" s="84" t="n">
        <f aca="false">IF(OR($J131="—",$J131=""),0,IF(COUNTIF(Decisions!$A$5:$A$300,$J131)=0,1,0))</f>
        <v>0</v>
      </c>
      <c r="AB131" s="103" t="n">
        <f aca="false">IF(AND($F131="原始數據",$S131&lt;&gt;"Active"),1,0)</f>
        <v>0</v>
      </c>
      <c r="AC131" s="103" t="n">
        <f aca="false">IF(AND(ISNUMBER($K131),ISNUMBER($L131),ISNUMBER($Q131)),IF(OR($Q131&lt;MIN($K131,$L131),$Q131&gt;MAX($K131,$L131)),1,0),0)</f>
        <v>0</v>
      </c>
      <c r="AD131" s="103" t="n">
        <f aca="false">IF(AND(ISNUMBER($T131),$P131="高"),IF($T131=3,1,0),0)</f>
        <v>0</v>
      </c>
      <c r="AE131" s="103" t="n">
        <f aca="false">IF(AND($S131="不存在",$B131="切片一"),1,0)</f>
        <v>0</v>
      </c>
    </row>
    <row r="132" customFormat="false" ht="15" hidden="false" customHeight="false" outlineLevel="0" collapsed="false">
      <c r="A132" s="53" t="s">
        <v>2644</v>
      </c>
      <c r="B132" s="52" t="s">
        <v>2297</v>
      </c>
      <c r="C132" s="53" t="s">
        <v>2460</v>
      </c>
      <c r="D132" s="53" t="s">
        <v>2395</v>
      </c>
      <c r="E132" s="6" t="s">
        <v>192</v>
      </c>
      <c r="F132" s="52" t="s">
        <v>2337</v>
      </c>
      <c r="G132" s="52" t="s">
        <v>2299</v>
      </c>
      <c r="H132" s="53" t="s">
        <v>2466</v>
      </c>
      <c r="I132" s="5" t="s">
        <v>2339</v>
      </c>
      <c r="J132" s="53" t="s">
        <v>554</v>
      </c>
      <c r="K132" s="52"/>
      <c r="L132" s="52"/>
      <c r="M132" s="53" t="s">
        <v>554</v>
      </c>
      <c r="N132" s="5" t="s">
        <v>2340</v>
      </c>
      <c r="O132" s="6" t="s">
        <v>554</v>
      </c>
      <c r="P132" s="52" t="s">
        <v>2307</v>
      </c>
      <c r="Q132" s="54" t="n">
        <f aca="false">Spec_Rack!F28</f>
        <v>72</v>
      </c>
      <c r="R132" s="83" t="n">
        <f aca="false">SRC_HW_047</f>
        <v>72</v>
      </c>
      <c r="S132" s="83" t="str">
        <f aca="false">IF(OR($H132="—",$H132=""),"—",IF(ISNUMBER(MATCH($H132,SRC_HW!$A$5:$A$400,0)),INDEX(SRC_HW!$O$5:$O$400,MATCH($H132,SRC_HW!$A$5:$A$400,0)),IF(ISNUMBER(MATCH($H132,SRC_DC!$A$5:$A$400,0)),INDEX(SRC_DC!$O$5:$O$400,MATCH($H132,SRC_DC!$A$5:$A$400,0)),IF(ISNUMBER(MATCH($H132,SRC_Model!$A$5:$A$400,0)),INDEX(SRC_Model!$O$5:$O$400,MATCH($H132,SRC_Model!$A$5:$A$400,0)),IF(ISNUMBER(MATCH($H132,SRC_Perf!$A$5:$A$400,0)),INDEX(SRC_Perf!$O$5:$O$400,MATCH($H132,SRC_Perf!$A$5:$A$400,0)),"不存在")))))</f>
        <v>Active</v>
      </c>
      <c r="T132" s="83" t="n">
        <f aca="false">IF(OR($H132="—",$H132=""),"—",IF(ISNUMBER(MATCH($H132,SRC_HW!$A$5:$A$400,0)),INDEX(SRC_HW!$K$5:$K$400,MATCH($H132,SRC_HW!$A$5:$A$400,0)),IF(ISNUMBER(MATCH($H132,SRC_DC!$A$5:$A$400,0)),INDEX(SRC_DC!$K$5:$K$400,MATCH($H132,SRC_DC!$A$5:$A$400,0)),IF(ISNUMBER(MATCH($H132,SRC_Model!$A$5:$A$400,0)),INDEX(SRC_Model!$K$5:$K$400,MATCH($H132,SRC_Model!$A$5:$A$400,0)),IF(ISNUMBER(MATCH($H132,SRC_Perf!$A$5:$A$400,0)),INDEX(SRC_Perf!$K$5:$K$400,MATCH($H132,SRC_Perf!$A$5:$A$400,0)),"不存在")))))</f>
        <v>3</v>
      </c>
      <c r="U132" s="52" t="s">
        <v>2341</v>
      </c>
      <c r="V132" s="103" t="n">
        <f aca="false">IF(AND($F132="原始數據",$U132&lt;&gt;"連結 SRC"),1,0)</f>
        <v>0</v>
      </c>
      <c r="W132" s="103" t="n">
        <f aca="false">IF(AND($F132="Analogy",OR($H132="—",$H132="")),1,0)</f>
        <v>0</v>
      </c>
      <c r="X132" s="103" t="n">
        <f aca="false">IF(AND(OR($F132="Analogy",$F132="Assumed"),$G132&lt;&gt;"低",$G132&lt;&gt;"高",NOT(ISNUMBER($K132)),NOT(ISNUMBER($L132)),OR($M132="—",$M132="")),1,0)</f>
        <v>0</v>
      </c>
      <c r="Y132" s="103" t="n">
        <f aca="false">IF(AND(OR($F132="Analogy",$F132="Assumed",$F132="Derived（待改公式）",$F132="Derived（公式）"),OR($N132="—",$N132="",$N132=0)),1,0)</f>
        <v>0</v>
      </c>
      <c r="Z132" s="103" t="n">
        <f aca="false">IF(AND($F132="Decision",OR($J132="—",$J132="")),1,0)</f>
        <v>0</v>
      </c>
      <c r="AA132" s="84" t="n">
        <f aca="false">IF(OR($J132="—",$J132=""),0,IF(COUNTIF(Decisions!$A$5:$A$300,$J132)=0,1,0))</f>
        <v>0</v>
      </c>
      <c r="AB132" s="103" t="n">
        <f aca="false">IF(AND($F132="原始數據",$S132&lt;&gt;"Active"),1,0)</f>
        <v>0</v>
      </c>
      <c r="AC132" s="103" t="n">
        <f aca="false">IF(AND(ISNUMBER($K132),ISNUMBER($L132),ISNUMBER($Q132)),IF(OR($Q132&lt;MIN($K132,$L132),$Q132&gt;MAX($K132,$L132)),1,0),0)</f>
        <v>0</v>
      </c>
      <c r="AD132" s="103" t="n">
        <f aca="false">IF(AND(ISNUMBER($T132),$P132="高"),IF($T132=3,1,0),0)</f>
        <v>0</v>
      </c>
      <c r="AE132" s="103" t="n">
        <f aca="false">IF(AND($S132="不存在",$B132="切片一"),1,0)</f>
        <v>0</v>
      </c>
    </row>
    <row r="133" customFormat="false" ht="15" hidden="false" customHeight="false" outlineLevel="0" collapsed="false">
      <c r="A133" s="53" t="s">
        <v>2645</v>
      </c>
      <c r="B133" s="52" t="s">
        <v>2297</v>
      </c>
      <c r="C133" s="53" t="s">
        <v>2460</v>
      </c>
      <c r="D133" s="53" t="s">
        <v>2646</v>
      </c>
      <c r="E133" s="6" t="s">
        <v>192</v>
      </c>
      <c r="F133" s="52" t="s">
        <v>2337</v>
      </c>
      <c r="G133" s="52" t="s">
        <v>2299</v>
      </c>
      <c r="H133" s="53" t="s">
        <v>2472</v>
      </c>
      <c r="I133" s="5" t="s">
        <v>2339</v>
      </c>
      <c r="J133" s="53" t="s">
        <v>554</v>
      </c>
      <c r="K133" s="52"/>
      <c r="L133" s="52"/>
      <c r="M133" s="53" t="s">
        <v>554</v>
      </c>
      <c r="N133" s="5" t="s">
        <v>2340</v>
      </c>
      <c r="O133" s="6" t="s">
        <v>554</v>
      </c>
      <c r="P133" s="52" t="s">
        <v>2307</v>
      </c>
      <c r="Q133" s="54" t="n">
        <f aca="false">Spec_Rack!G28</f>
        <v>144</v>
      </c>
      <c r="R133" s="83" t="n">
        <f aca="false">SRC_HW_054</f>
        <v>144</v>
      </c>
      <c r="S133" s="83" t="str">
        <f aca="false">IF(OR($H133="—",$H133=""),"—",IF(ISNUMBER(MATCH($H133,SRC_HW!$A$5:$A$400,0)),INDEX(SRC_HW!$O$5:$O$400,MATCH($H133,SRC_HW!$A$5:$A$400,0)),IF(ISNUMBER(MATCH($H133,SRC_DC!$A$5:$A$400,0)),INDEX(SRC_DC!$O$5:$O$400,MATCH($H133,SRC_DC!$A$5:$A$400,0)),IF(ISNUMBER(MATCH($H133,SRC_Model!$A$5:$A$400,0)),INDEX(SRC_Model!$O$5:$O$400,MATCH($H133,SRC_Model!$A$5:$A$400,0)),IF(ISNUMBER(MATCH($H133,SRC_Perf!$A$5:$A$400,0)),INDEX(SRC_Perf!$O$5:$O$400,MATCH($H133,SRC_Perf!$A$5:$A$400,0)),"不存在")))))</f>
        <v>Active</v>
      </c>
      <c r="T133" s="83" t="n">
        <f aca="false">IF(OR($H133="—",$H133=""),"—",IF(ISNUMBER(MATCH($H133,SRC_HW!$A$5:$A$400,0)),INDEX(SRC_HW!$K$5:$K$400,MATCH($H133,SRC_HW!$A$5:$A$400,0)),IF(ISNUMBER(MATCH($H133,SRC_DC!$A$5:$A$400,0)),INDEX(SRC_DC!$K$5:$K$400,MATCH($H133,SRC_DC!$A$5:$A$400,0)),IF(ISNUMBER(MATCH($H133,SRC_Model!$A$5:$A$400,0)),INDEX(SRC_Model!$K$5:$K$400,MATCH($H133,SRC_Model!$A$5:$A$400,0)),IF(ISNUMBER(MATCH($H133,SRC_Perf!$A$5:$A$400,0)),INDEX(SRC_Perf!$K$5:$K$400,MATCH($H133,SRC_Perf!$A$5:$A$400,0)),"不存在")))))</f>
        <v>3</v>
      </c>
      <c r="U133" s="52" t="s">
        <v>2341</v>
      </c>
      <c r="V133" s="103" t="n">
        <f aca="false">IF(AND($F133="原始數據",$U133&lt;&gt;"連結 SRC"),1,0)</f>
        <v>0</v>
      </c>
      <c r="W133" s="103" t="n">
        <f aca="false">IF(AND($F133="Analogy",OR($H133="—",$H133="")),1,0)</f>
        <v>0</v>
      </c>
      <c r="X133" s="103" t="n">
        <f aca="false">IF(AND(OR($F133="Analogy",$F133="Assumed"),$G133&lt;&gt;"低",$G133&lt;&gt;"高",NOT(ISNUMBER($K133)),NOT(ISNUMBER($L133)),OR($M133="—",$M133="")),1,0)</f>
        <v>0</v>
      </c>
      <c r="Y133" s="103" t="n">
        <f aca="false">IF(AND(OR($F133="Analogy",$F133="Assumed",$F133="Derived（待改公式）",$F133="Derived（公式）"),OR($N133="—",$N133="",$N133=0)),1,0)</f>
        <v>0</v>
      </c>
      <c r="Z133" s="103" t="n">
        <f aca="false">IF(AND($F133="Decision",OR($J133="—",$J133="")),1,0)</f>
        <v>0</v>
      </c>
      <c r="AA133" s="84" t="n">
        <f aca="false">IF(OR($J133="—",$J133=""),0,IF(COUNTIF(Decisions!$A$5:$A$300,$J133)=0,1,0))</f>
        <v>0</v>
      </c>
      <c r="AB133" s="103" t="n">
        <f aca="false">IF(AND($F133="原始數據",$S133&lt;&gt;"Active"),1,0)</f>
        <v>0</v>
      </c>
      <c r="AC133" s="103" t="n">
        <f aca="false">IF(AND(ISNUMBER($K133),ISNUMBER($L133),ISNUMBER($Q133)),IF(OR($Q133&lt;MIN($K133,$L133),$Q133&gt;MAX($K133,$L133)),1,0),0)</f>
        <v>0</v>
      </c>
      <c r="AD133" s="103" t="n">
        <f aca="false">IF(AND(ISNUMBER($T133),$P133="高"),IF($T133=3,1,0),0)</f>
        <v>0</v>
      </c>
      <c r="AE133" s="103" t="n">
        <f aca="false">IF(AND($S133="不存在",$B133="切片一"),1,0)</f>
        <v>0</v>
      </c>
    </row>
    <row r="134" customFormat="false" ht="29.85" hidden="false" customHeight="false" outlineLevel="0" collapsed="false">
      <c r="A134" s="53" t="s">
        <v>2647</v>
      </c>
      <c r="B134" s="52" t="s">
        <v>2297</v>
      </c>
      <c r="C134" s="53" t="s">
        <v>2460</v>
      </c>
      <c r="D134" s="53" t="s">
        <v>2648</v>
      </c>
      <c r="E134" s="6" t="s">
        <v>193</v>
      </c>
      <c r="F134" s="53" t="s">
        <v>70</v>
      </c>
      <c r="G134" s="52" t="s">
        <v>2299</v>
      </c>
      <c r="H134" s="53" t="s">
        <v>554</v>
      </c>
      <c r="I134" s="6" t="s">
        <v>554</v>
      </c>
      <c r="J134" s="53" t="s">
        <v>554</v>
      </c>
      <c r="K134" s="128" t="n">
        <v>32</v>
      </c>
      <c r="L134" s="128" t="n">
        <v>144</v>
      </c>
      <c r="M134" s="53" t="s">
        <v>2649</v>
      </c>
      <c r="N134" s="6" t="s">
        <v>2650</v>
      </c>
      <c r="O134" s="6" t="s">
        <v>2651</v>
      </c>
      <c r="P134" s="52" t="s">
        <v>2364</v>
      </c>
      <c r="Q134" s="54" t="n">
        <f aca="false">Spec_Rack!C29</f>
        <v>64</v>
      </c>
      <c r="R134" s="53" t="s">
        <v>554</v>
      </c>
      <c r="S134" s="83" t="str">
        <f aca="false">IF(OR($H134="—",$H134=""),"—",IF(ISNUMBER(MATCH($H134,SRC_HW!$A$5:$A$400,0)),INDEX(SRC_HW!$O$5:$O$400,MATCH($H134,SRC_HW!$A$5:$A$400,0)),IF(ISNUMBER(MATCH($H134,SRC_DC!$A$5:$A$400,0)),INDEX(SRC_DC!$O$5:$O$400,MATCH($H134,SRC_DC!$A$5:$A$400,0)),IF(ISNUMBER(MATCH($H134,SRC_Model!$A$5:$A$400,0)),INDEX(SRC_Model!$O$5:$O$400,MATCH($H134,SRC_Model!$A$5:$A$400,0)),IF(ISNUMBER(MATCH($H134,SRC_Perf!$A$5:$A$400,0)),INDEX(SRC_Perf!$O$5:$O$400,MATCH($H134,SRC_Perf!$A$5:$A$400,0)),"不存在")))))</f>
        <v>—</v>
      </c>
      <c r="T134" s="83" t="str">
        <f aca="false">IF(OR($H134="—",$H134=""),"—",IF(ISNUMBER(MATCH($H134,SRC_HW!$A$5:$A$400,0)),INDEX(SRC_HW!$K$5:$K$400,MATCH($H134,SRC_HW!$A$5:$A$400,0)),IF(ISNUMBER(MATCH($H134,SRC_DC!$A$5:$A$400,0)),INDEX(SRC_DC!$K$5:$K$400,MATCH($H134,SRC_DC!$A$5:$A$400,0)),IF(ISNUMBER(MATCH($H134,SRC_Model!$A$5:$A$400,0)),INDEX(SRC_Model!$K$5:$K$400,MATCH($H134,SRC_Model!$A$5:$A$400,0)),IF(ISNUMBER(MATCH($H134,SRC_Perf!$A$5:$A$400,0)),INDEX(SRC_Perf!$K$5:$K$400,MATCH($H134,SRC_Perf!$A$5:$A$400,0)),"不存在")))))</f>
        <v>—</v>
      </c>
      <c r="U134" s="52" t="s">
        <v>2302</v>
      </c>
      <c r="V134" s="103" t="n">
        <f aca="false">IF(AND($F134="原始數據",$U134&lt;&gt;"連結 SRC"),1,0)</f>
        <v>0</v>
      </c>
      <c r="W134" s="103" t="n">
        <f aca="false">IF(AND($F134="Analogy",OR($H134="—",$H134="")),1,0)</f>
        <v>0</v>
      </c>
      <c r="X134" s="103" t="n">
        <f aca="false">IF(AND(OR($F134="Analogy",$F134="Assumed"),$G134&lt;&gt;"低",$G134&lt;&gt;"高",NOT(ISNUMBER($K134)),NOT(ISNUMBER($L134)),OR($M134="—",$M134="")),1,0)</f>
        <v>0</v>
      </c>
      <c r="Y134" s="103" t="n">
        <f aca="false">IF(AND(OR($F134="Analogy",$F134="Assumed",$F134="Derived（待改公式）",$F134="Derived（公式）"),OR($N134="—",$N134="",$N134=0)),1,0)</f>
        <v>0</v>
      </c>
      <c r="Z134" s="103" t="n">
        <f aca="false">IF(AND($F134="Decision",OR($J134="—",$J134="")),1,0)</f>
        <v>0</v>
      </c>
      <c r="AA134" s="84" t="n">
        <f aca="false">IF(OR($J134="—",$J134=""),0,IF(COUNTIF(Decisions!$A$5:$A$300,$J134)=0,1,0))</f>
        <v>0</v>
      </c>
      <c r="AB134" s="103" t="n">
        <f aca="false">IF(AND($F134="原始數據",$S134&lt;&gt;"Active"),1,0)</f>
        <v>0</v>
      </c>
      <c r="AC134" s="103" t="n">
        <f aca="false">IF(AND(ISNUMBER($K134),ISNUMBER($L134),ISNUMBER($Q134)),IF(OR($Q134&lt;MIN($K134,$L134),$Q134&gt;MAX($K134,$L134)),1,0),0)</f>
        <v>0</v>
      </c>
      <c r="AD134" s="103" t="n">
        <f aca="false">IF(AND(ISNUMBER($T134),$P134="高"),IF($T134=3,1,0),0)</f>
        <v>0</v>
      </c>
      <c r="AE134" s="103" t="n">
        <f aca="false">IF(AND($S134="不存在",$B134="切片一"),1,0)</f>
        <v>0</v>
      </c>
    </row>
    <row r="135" customFormat="false" ht="29.85" hidden="false" customHeight="false" outlineLevel="0" collapsed="false">
      <c r="A135" s="53" t="s">
        <v>2652</v>
      </c>
      <c r="B135" s="52" t="s">
        <v>2297</v>
      </c>
      <c r="C135" s="53" t="s">
        <v>2460</v>
      </c>
      <c r="D135" s="53" t="s">
        <v>2653</v>
      </c>
      <c r="E135" s="6" t="s">
        <v>193</v>
      </c>
      <c r="F135" s="53" t="s">
        <v>74</v>
      </c>
      <c r="G135" s="52" t="s">
        <v>2299</v>
      </c>
      <c r="H135" s="53" t="s">
        <v>2654</v>
      </c>
      <c r="I135" s="5" t="s">
        <v>2655</v>
      </c>
      <c r="J135" s="53" t="s">
        <v>554</v>
      </c>
      <c r="K135" s="128" t="n">
        <v>16</v>
      </c>
      <c r="L135" s="128" t="n">
        <v>72</v>
      </c>
      <c r="M135" s="53" t="s">
        <v>2656</v>
      </c>
      <c r="N135" s="6" t="s">
        <v>2657</v>
      </c>
      <c r="O135" s="6" t="s">
        <v>554</v>
      </c>
      <c r="P135" s="52" t="s">
        <v>2364</v>
      </c>
      <c r="Q135" s="54" t="n">
        <f aca="false">Spec_Rack!D29</f>
        <v>32</v>
      </c>
      <c r="R135" s="83" t="n">
        <f aca="false">SRC_PERF_008</f>
        <v>32</v>
      </c>
      <c r="S135" s="83" t="str">
        <f aca="false">IF(OR($H135="—",$H135=""),"—",IF(ISNUMBER(MATCH($H135,SRC_HW!$A$5:$A$400,0)),INDEX(SRC_HW!$O$5:$O$400,MATCH($H135,SRC_HW!$A$5:$A$400,0)),IF(ISNUMBER(MATCH($H135,SRC_DC!$A$5:$A$400,0)),INDEX(SRC_DC!$O$5:$O$400,MATCH($H135,SRC_DC!$A$5:$A$400,0)),IF(ISNUMBER(MATCH($H135,SRC_Model!$A$5:$A$400,0)),INDEX(SRC_Model!$O$5:$O$400,MATCH($H135,SRC_Model!$A$5:$A$400,0)),IF(ISNUMBER(MATCH($H135,SRC_Perf!$A$5:$A$400,0)),INDEX(SRC_Perf!$O$5:$O$400,MATCH($H135,SRC_Perf!$A$5:$A$400,0)),"不存在")))))</f>
        <v>Active</v>
      </c>
      <c r="T135" s="83" t="n">
        <f aca="false">IF(OR($H135="—",$H135=""),"—",IF(ISNUMBER(MATCH($H135,SRC_HW!$A$5:$A$400,0)),INDEX(SRC_HW!$K$5:$K$400,MATCH($H135,SRC_HW!$A$5:$A$400,0)),IF(ISNUMBER(MATCH($H135,SRC_DC!$A$5:$A$400,0)),INDEX(SRC_DC!$K$5:$K$400,MATCH($H135,SRC_DC!$A$5:$A$400,0)),IF(ISNUMBER(MATCH($H135,SRC_Model!$A$5:$A$400,0)),INDEX(SRC_Model!$K$5:$K$400,MATCH($H135,SRC_Model!$A$5:$A$400,0)),IF(ISNUMBER(MATCH($H135,SRC_Perf!$A$5:$A$400,0)),INDEX(SRC_Perf!$K$5:$K$400,MATCH($H135,SRC_Perf!$A$5:$A$400,0)),"不存在")))))</f>
        <v>1</v>
      </c>
      <c r="U135" s="52" t="s">
        <v>2302</v>
      </c>
      <c r="V135" s="103" t="n">
        <f aca="false">IF(AND($F135="原始數據",$U135&lt;&gt;"連結 SRC"),1,0)</f>
        <v>0</v>
      </c>
      <c r="W135" s="103" t="n">
        <f aca="false">IF(AND($F135="Analogy",OR($H135="—",$H135="")),1,0)</f>
        <v>0</v>
      </c>
      <c r="X135" s="103" t="n">
        <f aca="false">IF(AND(OR($F135="Analogy",$F135="Assumed"),$G135&lt;&gt;"低",$G135&lt;&gt;"高",NOT(ISNUMBER($K135)),NOT(ISNUMBER($L135)),OR($M135="—",$M135="")),1,0)</f>
        <v>0</v>
      </c>
      <c r="Y135" s="103" t="n">
        <f aca="false">IF(AND(OR($F135="Analogy",$F135="Assumed",$F135="Derived（待改公式）",$F135="Derived（公式）"),OR($N135="—",$N135="",$N135=0)),1,0)</f>
        <v>0</v>
      </c>
      <c r="Z135" s="103" t="n">
        <f aca="false">IF(AND($F135="Decision",OR($J135="—",$J135="")),1,0)</f>
        <v>0</v>
      </c>
      <c r="AA135" s="84" t="n">
        <f aca="false">IF(OR($J135="—",$J135=""),0,IF(COUNTIF(Decisions!$A$5:$A$300,$J135)=0,1,0))</f>
        <v>0</v>
      </c>
      <c r="AB135" s="103" t="n">
        <f aca="false">IF(AND($F135="原始數據",$S135&lt;&gt;"Active"),1,0)</f>
        <v>0</v>
      </c>
      <c r="AC135" s="103" t="n">
        <f aca="false">IF(AND(ISNUMBER($K135),ISNUMBER($L135),ISNUMBER($Q135)),IF(OR($Q135&lt;MIN($K135,$L135),$Q135&gt;MAX($K135,$L135)),1,0),0)</f>
        <v>0</v>
      </c>
      <c r="AD135" s="103" t="n">
        <f aca="false">IF(AND(ISNUMBER($T135),$P135="高"),IF($T135=3,1,0),0)</f>
        <v>0</v>
      </c>
      <c r="AE135" s="103" t="n">
        <f aca="false">IF(AND($S135="不存在",$B135="切片一"),1,0)</f>
        <v>0</v>
      </c>
    </row>
    <row r="136" customFormat="false" ht="15" hidden="false" customHeight="false" outlineLevel="0" collapsed="false">
      <c r="A136" s="53" t="s">
        <v>2658</v>
      </c>
      <c r="B136" s="52" t="s">
        <v>2297</v>
      </c>
      <c r="C136" s="53" t="s">
        <v>2460</v>
      </c>
      <c r="D136" s="53" t="s">
        <v>2659</v>
      </c>
      <c r="E136" s="6" t="s">
        <v>193</v>
      </c>
      <c r="F136" s="52" t="s">
        <v>2337</v>
      </c>
      <c r="G136" s="52" t="s">
        <v>2299</v>
      </c>
      <c r="H136" s="53" t="s">
        <v>2654</v>
      </c>
      <c r="I136" s="5" t="s">
        <v>2339</v>
      </c>
      <c r="J136" s="53" t="s">
        <v>554</v>
      </c>
      <c r="K136" s="52"/>
      <c r="L136" s="52"/>
      <c r="M136" s="53" t="s">
        <v>554</v>
      </c>
      <c r="N136" s="5" t="s">
        <v>2340</v>
      </c>
      <c r="O136" s="6" t="s">
        <v>554</v>
      </c>
      <c r="P136" s="52" t="s">
        <v>2364</v>
      </c>
      <c r="Q136" s="54" t="n">
        <f aca="false">Spec_Rack!E29</f>
        <v>32</v>
      </c>
      <c r="R136" s="83" t="n">
        <f aca="false">SRC_PERF_008</f>
        <v>32</v>
      </c>
      <c r="S136" s="83" t="str">
        <f aca="false">IF(OR($H136="—",$H136=""),"—",IF(ISNUMBER(MATCH($H136,SRC_HW!$A$5:$A$400,0)),INDEX(SRC_HW!$O$5:$O$400,MATCH($H136,SRC_HW!$A$5:$A$400,0)),IF(ISNUMBER(MATCH($H136,SRC_DC!$A$5:$A$400,0)),INDEX(SRC_DC!$O$5:$O$400,MATCH($H136,SRC_DC!$A$5:$A$400,0)),IF(ISNUMBER(MATCH($H136,SRC_Model!$A$5:$A$400,0)),INDEX(SRC_Model!$O$5:$O$400,MATCH($H136,SRC_Model!$A$5:$A$400,0)),IF(ISNUMBER(MATCH($H136,SRC_Perf!$A$5:$A$400,0)),INDEX(SRC_Perf!$O$5:$O$400,MATCH($H136,SRC_Perf!$A$5:$A$400,0)),"不存在")))))</f>
        <v>Active</v>
      </c>
      <c r="T136" s="83" t="n">
        <f aca="false">IF(OR($H136="—",$H136=""),"—",IF(ISNUMBER(MATCH($H136,SRC_HW!$A$5:$A$400,0)),INDEX(SRC_HW!$K$5:$K$400,MATCH($H136,SRC_HW!$A$5:$A$400,0)),IF(ISNUMBER(MATCH($H136,SRC_DC!$A$5:$A$400,0)),INDEX(SRC_DC!$K$5:$K$400,MATCH($H136,SRC_DC!$A$5:$A$400,0)),IF(ISNUMBER(MATCH($H136,SRC_Model!$A$5:$A$400,0)),INDEX(SRC_Model!$K$5:$K$400,MATCH($H136,SRC_Model!$A$5:$A$400,0)),IF(ISNUMBER(MATCH($H136,SRC_Perf!$A$5:$A$400,0)),INDEX(SRC_Perf!$K$5:$K$400,MATCH($H136,SRC_Perf!$A$5:$A$400,0)),"不存在")))))</f>
        <v>1</v>
      </c>
      <c r="U136" s="52" t="s">
        <v>2341</v>
      </c>
      <c r="V136" s="103" t="n">
        <f aca="false">IF(AND($F136="原始數據",$U136&lt;&gt;"連結 SRC"),1,0)</f>
        <v>0</v>
      </c>
      <c r="W136" s="103" t="n">
        <f aca="false">IF(AND($F136="Analogy",OR($H136="—",$H136="")),1,0)</f>
        <v>0</v>
      </c>
      <c r="X136" s="103" t="n">
        <f aca="false">IF(AND(OR($F136="Analogy",$F136="Assumed"),$G136&lt;&gt;"低",$G136&lt;&gt;"高",NOT(ISNUMBER($K136)),NOT(ISNUMBER($L136)),OR($M136="—",$M136="")),1,0)</f>
        <v>0</v>
      </c>
      <c r="Y136" s="103" t="n">
        <f aca="false">IF(AND(OR($F136="Analogy",$F136="Assumed",$F136="Derived（待改公式）",$F136="Derived（公式）"),OR($N136="—",$N136="",$N136=0)),1,0)</f>
        <v>0</v>
      </c>
      <c r="Z136" s="103" t="n">
        <f aca="false">IF(AND($F136="Decision",OR($J136="—",$J136="")),1,0)</f>
        <v>0</v>
      </c>
      <c r="AA136" s="84" t="n">
        <f aca="false">IF(OR($J136="—",$J136=""),0,IF(COUNTIF(Decisions!$A$5:$A$300,$J136)=0,1,0))</f>
        <v>0</v>
      </c>
      <c r="AB136" s="103" t="n">
        <f aca="false">IF(AND($F136="原始數據",$S136&lt;&gt;"Active"),1,0)</f>
        <v>0</v>
      </c>
      <c r="AC136" s="103" t="n">
        <f aca="false">IF(AND(ISNUMBER($K136),ISNUMBER($L136),ISNUMBER($Q136)),IF(OR($Q136&lt;MIN($K136,$L136),$Q136&gt;MAX($K136,$L136)),1,0),0)</f>
        <v>0</v>
      </c>
      <c r="AD136" s="103" t="n">
        <f aca="false">IF(AND(ISNUMBER($T136),$P136="高"),IF($T136=3,1,0),0)</f>
        <v>0</v>
      </c>
      <c r="AE136" s="103" t="n">
        <f aca="false">IF(AND($S136="不存在",$B136="切片一"),1,0)</f>
        <v>0</v>
      </c>
    </row>
    <row r="137" customFormat="false" ht="29.85" hidden="false" customHeight="false" outlineLevel="0" collapsed="false">
      <c r="A137" s="53" t="s">
        <v>2660</v>
      </c>
      <c r="B137" s="52" t="s">
        <v>2297</v>
      </c>
      <c r="C137" s="53" t="s">
        <v>2460</v>
      </c>
      <c r="D137" s="53" t="s">
        <v>2661</v>
      </c>
      <c r="E137" s="6" t="s">
        <v>193</v>
      </c>
      <c r="F137" s="53" t="s">
        <v>74</v>
      </c>
      <c r="G137" s="52" t="s">
        <v>2299</v>
      </c>
      <c r="H137" s="53" t="s">
        <v>2654</v>
      </c>
      <c r="I137" s="5" t="s">
        <v>2655</v>
      </c>
      <c r="J137" s="53" t="s">
        <v>554</v>
      </c>
      <c r="K137" s="128" t="n">
        <v>16</v>
      </c>
      <c r="L137" s="128" t="n">
        <v>72</v>
      </c>
      <c r="M137" s="53" t="s">
        <v>2656</v>
      </c>
      <c r="N137" s="6" t="s">
        <v>2657</v>
      </c>
      <c r="O137" s="6" t="s">
        <v>554</v>
      </c>
      <c r="P137" s="52" t="s">
        <v>2364</v>
      </c>
      <c r="Q137" s="54" t="n">
        <f aca="false">Spec_Rack!F29</f>
        <v>32</v>
      </c>
      <c r="R137" s="83" t="n">
        <f aca="false">SRC_PERF_008</f>
        <v>32</v>
      </c>
      <c r="S137" s="83" t="str">
        <f aca="false">IF(OR($H137="—",$H137=""),"—",IF(ISNUMBER(MATCH($H137,SRC_HW!$A$5:$A$400,0)),INDEX(SRC_HW!$O$5:$O$400,MATCH($H137,SRC_HW!$A$5:$A$400,0)),IF(ISNUMBER(MATCH($H137,SRC_DC!$A$5:$A$400,0)),INDEX(SRC_DC!$O$5:$O$400,MATCH($H137,SRC_DC!$A$5:$A$400,0)),IF(ISNUMBER(MATCH($H137,SRC_Model!$A$5:$A$400,0)),INDEX(SRC_Model!$O$5:$O$400,MATCH($H137,SRC_Model!$A$5:$A$400,0)),IF(ISNUMBER(MATCH($H137,SRC_Perf!$A$5:$A$400,0)),INDEX(SRC_Perf!$O$5:$O$400,MATCH($H137,SRC_Perf!$A$5:$A$400,0)),"不存在")))))</f>
        <v>Active</v>
      </c>
      <c r="T137" s="83" t="n">
        <f aca="false">IF(OR($H137="—",$H137=""),"—",IF(ISNUMBER(MATCH($H137,SRC_HW!$A$5:$A$400,0)),INDEX(SRC_HW!$K$5:$K$400,MATCH($H137,SRC_HW!$A$5:$A$400,0)),IF(ISNUMBER(MATCH($H137,SRC_DC!$A$5:$A$400,0)),INDEX(SRC_DC!$K$5:$K$400,MATCH($H137,SRC_DC!$A$5:$A$400,0)),IF(ISNUMBER(MATCH($H137,SRC_Model!$A$5:$A$400,0)),INDEX(SRC_Model!$K$5:$K$400,MATCH($H137,SRC_Model!$A$5:$A$400,0)),IF(ISNUMBER(MATCH($H137,SRC_Perf!$A$5:$A$400,0)),INDEX(SRC_Perf!$K$5:$K$400,MATCH($H137,SRC_Perf!$A$5:$A$400,0)),"不存在")))))</f>
        <v>1</v>
      </c>
      <c r="U137" s="52" t="s">
        <v>2302</v>
      </c>
      <c r="V137" s="103" t="n">
        <f aca="false">IF(AND($F137="原始數據",$U137&lt;&gt;"連結 SRC"),1,0)</f>
        <v>0</v>
      </c>
      <c r="W137" s="103" t="n">
        <f aca="false">IF(AND($F137="Analogy",OR($H137="—",$H137="")),1,0)</f>
        <v>0</v>
      </c>
      <c r="X137" s="103" t="n">
        <f aca="false">IF(AND(OR($F137="Analogy",$F137="Assumed"),$G137&lt;&gt;"低",$G137&lt;&gt;"高",NOT(ISNUMBER($K137)),NOT(ISNUMBER($L137)),OR($M137="—",$M137="")),1,0)</f>
        <v>0</v>
      </c>
      <c r="Y137" s="103" t="n">
        <f aca="false">IF(AND(OR($F137="Analogy",$F137="Assumed",$F137="Derived（待改公式）",$F137="Derived（公式）"),OR($N137="—",$N137="",$N137=0)),1,0)</f>
        <v>0</v>
      </c>
      <c r="Z137" s="103" t="n">
        <f aca="false">IF(AND($F137="Decision",OR($J137="—",$J137="")),1,0)</f>
        <v>0</v>
      </c>
      <c r="AA137" s="84" t="n">
        <f aca="false">IF(OR($J137="—",$J137=""),0,IF(COUNTIF(Decisions!$A$5:$A$300,$J137)=0,1,0))</f>
        <v>0</v>
      </c>
      <c r="AB137" s="103" t="n">
        <f aca="false">IF(AND($F137="原始數據",$S137&lt;&gt;"Active"),1,0)</f>
        <v>0</v>
      </c>
      <c r="AC137" s="103" t="n">
        <f aca="false">IF(AND(ISNUMBER($K137),ISNUMBER($L137),ISNUMBER($Q137)),IF(OR($Q137&lt;MIN($K137,$L137),$Q137&gt;MAX($K137,$L137)),1,0),0)</f>
        <v>0</v>
      </c>
      <c r="AD137" s="103" t="n">
        <f aca="false">IF(AND(ISNUMBER($T137),$P137="高"),IF($T137=3,1,0),0)</f>
        <v>0</v>
      </c>
      <c r="AE137" s="103" t="n">
        <f aca="false">IF(AND($S137="不存在",$B137="切片一"),1,0)</f>
        <v>0</v>
      </c>
    </row>
    <row r="138" customFormat="false" ht="15" hidden="false" customHeight="false" outlineLevel="0" collapsed="false">
      <c r="A138" s="53" t="s">
        <v>2662</v>
      </c>
      <c r="B138" s="52" t="s">
        <v>2297</v>
      </c>
      <c r="C138" s="53" t="s">
        <v>2460</v>
      </c>
      <c r="D138" s="53" t="s">
        <v>2663</v>
      </c>
      <c r="E138" s="6" t="s">
        <v>193</v>
      </c>
      <c r="F138" s="53" t="s">
        <v>70</v>
      </c>
      <c r="G138" s="52" t="s">
        <v>2299</v>
      </c>
      <c r="H138" s="53" t="s">
        <v>554</v>
      </c>
      <c r="I138" s="6" t="s">
        <v>554</v>
      </c>
      <c r="J138" s="53" t="s">
        <v>554</v>
      </c>
      <c r="K138" s="128" t="n">
        <v>32</v>
      </c>
      <c r="L138" s="128" t="n">
        <v>144</v>
      </c>
      <c r="M138" s="53" t="s">
        <v>2649</v>
      </c>
      <c r="N138" s="6" t="s">
        <v>2576</v>
      </c>
      <c r="O138" s="6" t="s">
        <v>554</v>
      </c>
      <c r="P138" s="52" t="s">
        <v>2364</v>
      </c>
      <c r="Q138" s="54" t="n">
        <f aca="false">Spec_Rack!G29</f>
        <v>64</v>
      </c>
      <c r="R138" s="53" t="s">
        <v>554</v>
      </c>
      <c r="S138" s="83" t="str">
        <f aca="false">IF(OR($H138="—",$H138=""),"—",IF(ISNUMBER(MATCH($H138,SRC_HW!$A$5:$A$400,0)),INDEX(SRC_HW!$O$5:$O$400,MATCH($H138,SRC_HW!$A$5:$A$400,0)),IF(ISNUMBER(MATCH($H138,SRC_DC!$A$5:$A$400,0)),INDEX(SRC_DC!$O$5:$O$400,MATCH($H138,SRC_DC!$A$5:$A$400,0)),IF(ISNUMBER(MATCH($H138,SRC_Model!$A$5:$A$400,0)),INDEX(SRC_Model!$O$5:$O$400,MATCH($H138,SRC_Model!$A$5:$A$400,0)),IF(ISNUMBER(MATCH($H138,SRC_Perf!$A$5:$A$400,0)),INDEX(SRC_Perf!$O$5:$O$400,MATCH($H138,SRC_Perf!$A$5:$A$400,0)),"不存在")))))</f>
        <v>—</v>
      </c>
      <c r="T138" s="83" t="str">
        <f aca="false">IF(OR($H138="—",$H138=""),"—",IF(ISNUMBER(MATCH($H138,SRC_HW!$A$5:$A$400,0)),INDEX(SRC_HW!$K$5:$K$400,MATCH($H138,SRC_HW!$A$5:$A$400,0)),IF(ISNUMBER(MATCH($H138,SRC_DC!$A$5:$A$400,0)),INDEX(SRC_DC!$K$5:$K$400,MATCH($H138,SRC_DC!$A$5:$A$400,0)),IF(ISNUMBER(MATCH($H138,SRC_Model!$A$5:$A$400,0)),INDEX(SRC_Model!$K$5:$K$400,MATCH($H138,SRC_Model!$A$5:$A$400,0)),IF(ISNUMBER(MATCH($H138,SRC_Perf!$A$5:$A$400,0)),INDEX(SRC_Perf!$K$5:$K$400,MATCH($H138,SRC_Perf!$A$5:$A$400,0)),"不存在")))))</f>
        <v>—</v>
      </c>
      <c r="U138" s="52" t="s">
        <v>2302</v>
      </c>
      <c r="V138" s="103" t="n">
        <f aca="false">IF(AND($F138="原始數據",$U138&lt;&gt;"連結 SRC"),1,0)</f>
        <v>0</v>
      </c>
      <c r="W138" s="103" t="n">
        <f aca="false">IF(AND($F138="Analogy",OR($H138="—",$H138="")),1,0)</f>
        <v>0</v>
      </c>
      <c r="X138" s="103" t="n">
        <f aca="false">IF(AND(OR($F138="Analogy",$F138="Assumed"),$G138&lt;&gt;"低",$G138&lt;&gt;"高",NOT(ISNUMBER($K138)),NOT(ISNUMBER($L138)),OR($M138="—",$M138="")),1,0)</f>
        <v>0</v>
      </c>
      <c r="Y138" s="103" t="n">
        <f aca="false">IF(AND(OR($F138="Analogy",$F138="Assumed",$F138="Derived（待改公式）",$F138="Derived（公式）"),OR($N138="—",$N138="",$N138=0)),1,0)</f>
        <v>0</v>
      </c>
      <c r="Z138" s="103" t="n">
        <f aca="false">IF(AND($F138="Decision",OR($J138="—",$J138="")),1,0)</f>
        <v>0</v>
      </c>
      <c r="AA138" s="84" t="n">
        <f aca="false">IF(OR($J138="—",$J138=""),0,IF(COUNTIF(Decisions!$A$5:$A$300,$J138)=0,1,0))</f>
        <v>0</v>
      </c>
      <c r="AB138" s="103" t="n">
        <f aca="false">IF(AND($F138="原始數據",$S138&lt;&gt;"Active"),1,0)</f>
        <v>0</v>
      </c>
      <c r="AC138" s="103" t="n">
        <f aca="false">IF(AND(ISNUMBER($K138),ISNUMBER($L138),ISNUMBER($Q138)),IF(OR($Q138&lt;MIN($K138,$L138),$Q138&gt;MAX($K138,$L138)),1,0),0)</f>
        <v>0</v>
      </c>
      <c r="AD138" s="103" t="n">
        <f aca="false">IF(AND(ISNUMBER($T138),$P138="高"),IF($T138=3,1,0),0)</f>
        <v>0</v>
      </c>
      <c r="AE138" s="103" t="n">
        <f aca="false">IF(AND($S138="不存在",$B138="切片一"),1,0)</f>
        <v>0</v>
      </c>
    </row>
    <row r="139" customFormat="false" ht="15" hidden="false" customHeight="false" outlineLevel="0" collapsed="false">
      <c r="A139" s="53" t="s">
        <v>2664</v>
      </c>
      <c r="B139" s="52" t="s">
        <v>2297</v>
      </c>
      <c r="C139" s="53" t="s">
        <v>2460</v>
      </c>
      <c r="D139" s="53" t="s">
        <v>2665</v>
      </c>
      <c r="E139" s="5" t="s">
        <v>195</v>
      </c>
      <c r="F139" s="52" t="s">
        <v>2337</v>
      </c>
      <c r="G139" s="52" t="s">
        <v>2299</v>
      </c>
      <c r="H139" s="53" t="s">
        <v>2666</v>
      </c>
      <c r="I139" s="5" t="s">
        <v>2339</v>
      </c>
      <c r="J139" s="53" t="s">
        <v>554</v>
      </c>
      <c r="K139" s="52"/>
      <c r="L139" s="52"/>
      <c r="M139" s="53" t="s">
        <v>554</v>
      </c>
      <c r="N139" s="5" t="s">
        <v>2340</v>
      </c>
      <c r="O139" s="6" t="s">
        <v>554</v>
      </c>
      <c r="P139" s="52" t="s">
        <v>2364</v>
      </c>
      <c r="Q139" s="88" t="n">
        <f aca="false">Spec_Rack!C30</f>
        <v>1</v>
      </c>
      <c r="R139" s="83" t="n">
        <f aca="false">SRC_HW_055</f>
        <v>1</v>
      </c>
      <c r="S139" s="83" t="str">
        <f aca="false">IF(OR($H139="—",$H139=""),"—",IF(ISNUMBER(MATCH($H139,SRC_HW!$A$5:$A$400,0)),INDEX(SRC_HW!$O$5:$O$400,MATCH($H139,SRC_HW!$A$5:$A$400,0)),IF(ISNUMBER(MATCH($H139,SRC_DC!$A$5:$A$400,0)),INDEX(SRC_DC!$O$5:$O$400,MATCH($H139,SRC_DC!$A$5:$A$400,0)),IF(ISNUMBER(MATCH($H139,SRC_Model!$A$5:$A$400,0)),INDEX(SRC_Model!$O$5:$O$400,MATCH($H139,SRC_Model!$A$5:$A$400,0)),IF(ISNUMBER(MATCH($H139,SRC_Perf!$A$5:$A$400,0)),INDEX(SRC_Perf!$O$5:$O$400,MATCH($H139,SRC_Perf!$A$5:$A$400,0)),"不存在")))))</f>
        <v>Active</v>
      </c>
      <c r="T139" s="83" t="n">
        <f aca="false">IF(OR($H139="—",$H139=""),"—",IF(ISNUMBER(MATCH($H139,SRC_HW!$A$5:$A$400,0)),INDEX(SRC_HW!$K$5:$K$400,MATCH($H139,SRC_HW!$A$5:$A$400,0)),IF(ISNUMBER(MATCH($H139,SRC_DC!$A$5:$A$400,0)),INDEX(SRC_DC!$K$5:$K$400,MATCH($H139,SRC_DC!$A$5:$A$400,0)),IF(ISNUMBER(MATCH($H139,SRC_Model!$A$5:$A$400,0)),INDEX(SRC_Model!$K$5:$K$400,MATCH($H139,SRC_Model!$A$5:$A$400,0)),IF(ISNUMBER(MATCH($H139,SRC_Perf!$A$5:$A$400,0)),INDEX(SRC_Perf!$K$5:$K$400,MATCH($H139,SRC_Perf!$A$5:$A$400,0)),"不存在")))))</f>
        <v>3</v>
      </c>
      <c r="U139" s="52" t="s">
        <v>2341</v>
      </c>
      <c r="V139" s="103" t="n">
        <f aca="false">IF(AND($F139="原始數據",$U139&lt;&gt;"連結 SRC"),1,0)</f>
        <v>0</v>
      </c>
      <c r="W139" s="103" t="n">
        <f aca="false">IF(AND($F139="Analogy",OR($H139="—",$H139="")),1,0)</f>
        <v>0</v>
      </c>
      <c r="X139" s="103" t="n">
        <f aca="false">IF(AND(OR($F139="Analogy",$F139="Assumed"),$G139&lt;&gt;"低",$G139&lt;&gt;"高",NOT(ISNUMBER($K139)),NOT(ISNUMBER($L139)),OR($M139="—",$M139="")),1,0)</f>
        <v>0</v>
      </c>
      <c r="Y139" s="103" t="n">
        <f aca="false">IF(AND(OR($F139="Analogy",$F139="Assumed",$F139="Derived（待改公式）",$F139="Derived（公式）"),OR($N139="—",$N139="",$N139=0)),1,0)</f>
        <v>0</v>
      </c>
      <c r="Z139" s="103" t="n">
        <f aca="false">IF(AND($F139="Decision",OR($J139="—",$J139="")),1,0)</f>
        <v>0</v>
      </c>
      <c r="AA139" s="84" t="n">
        <f aca="false">IF(OR($J139="—",$J139=""),0,IF(COUNTIF(Decisions!$A$5:$A$300,$J139)=0,1,0))</f>
        <v>0</v>
      </c>
      <c r="AB139" s="103" t="n">
        <f aca="false">IF(AND($F139="原始數據",$S139&lt;&gt;"Active"),1,0)</f>
        <v>0</v>
      </c>
      <c r="AC139" s="103" t="n">
        <f aca="false">IF(AND(ISNUMBER($K139),ISNUMBER($L139),ISNUMBER($Q139)),IF(OR($Q139&lt;MIN($K139,$L139),$Q139&gt;MAX($K139,$L139)),1,0),0)</f>
        <v>0</v>
      </c>
      <c r="AD139" s="103" t="n">
        <f aca="false">IF(AND(ISNUMBER($T139),$P139="高"),IF($T139=3,1,0),0)</f>
        <v>0</v>
      </c>
      <c r="AE139" s="103" t="n">
        <f aca="false">IF(AND($S139="不存在",$B139="切片一"),1,0)</f>
        <v>0</v>
      </c>
    </row>
    <row r="140" customFormat="false" ht="15" hidden="false" customHeight="false" outlineLevel="0" collapsed="false">
      <c r="A140" s="53" t="s">
        <v>2667</v>
      </c>
      <c r="B140" s="52" t="s">
        <v>2297</v>
      </c>
      <c r="C140" s="53" t="s">
        <v>2460</v>
      </c>
      <c r="D140" s="53" t="s">
        <v>2400</v>
      </c>
      <c r="E140" s="5" t="s">
        <v>195</v>
      </c>
      <c r="F140" s="52" t="s">
        <v>2337</v>
      </c>
      <c r="G140" s="52" t="s">
        <v>2299</v>
      </c>
      <c r="H140" s="53" t="s">
        <v>2668</v>
      </c>
      <c r="I140" s="5" t="s">
        <v>2339</v>
      </c>
      <c r="J140" s="53" t="s">
        <v>554</v>
      </c>
      <c r="K140" s="52"/>
      <c r="L140" s="52"/>
      <c r="M140" s="53" t="s">
        <v>554</v>
      </c>
      <c r="N140" s="5" t="s">
        <v>2340</v>
      </c>
      <c r="O140" s="6" t="s">
        <v>554</v>
      </c>
      <c r="P140" s="52" t="s">
        <v>2364</v>
      </c>
      <c r="Q140" s="88" t="n">
        <f aca="false">Spec_Rack!D30</f>
        <v>0.5625</v>
      </c>
      <c r="R140" s="83" t="n">
        <f aca="false">SRC_HW_050</f>
        <v>0.5625</v>
      </c>
      <c r="S140" s="83" t="str">
        <f aca="false">IF(OR($H140="—",$H140=""),"—",IF(ISNUMBER(MATCH($H140,SRC_HW!$A$5:$A$400,0)),INDEX(SRC_HW!$O$5:$O$400,MATCH($H140,SRC_HW!$A$5:$A$400,0)),IF(ISNUMBER(MATCH($H140,SRC_DC!$A$5:$A$400,0)),INDEX(SRC_DC!$O$5:$O$400,MATCH($H140,SRC_DC!$A$5:$A$400,0)),IF(ISNUMBER(MATCH($H140,SRC_Model!$A$5:$A$400,0)),INDEX(SRC_Model!$O$5:$O$400,MATCH($H140,SRC_Model!$A$5:$A$400,0)),IF(ISNUMBER(MATCH($H140,SRC_Perf!$A$5:$A$400,0)),INDEX(SRC_Perf!$O$5:$O$400,MATCH($H140,SRC_Perf!$A$5:$A$400,0)),"不存在")))))</f>
        <v>Active</v>
      </c>
      <c r="T140" s="83" t="n">
        <f aca="false">IF(OR($H140="—",$H140=""),"—",IF(ISNUMBER(MATCH($H140,SRC_HW!$A$5:$A$400,0)),INDEX(SRC_HW!$K$5:$K$400,MATCH($H140,SRC_HW!$A$5:$A$400,0)),IF(ISNUMBER(MATCH($H140,SRC_DC!$A$5:$A$400,0)),INDEX(SRC_DC!$K$5:$K$400,MATCH($H140,SRC_DC!$A$5:$A$400,0)),IF(ISNUMBER(MATCH($H140,SRC_Model!$A$5:$A$400,0)),INDEX(SRC_Model!$K$5:$K$400,MATCH($H140,SRC_Model!$A$5:$A$400,0)),IF(ISNUMBER(MATCH($H140,SRC_Perf!$A$5:$A$400,0)),INDEX(SRC_Perf!$K$5:$K$400,MATCH($H140,SRC_Perf!$A$5:$A$400,0)),"不存在")))))</f>
        <v>3</v>
      </c>
      <c r="U140" s="52" t="s">
        <v>2341</v>
      </c>
      <c r="V140" s="103" t="n">
        <f aca="false">IF(AND($F140="原始數據",$U140&lt;&gt;"連結 SRC"),1,0)</f>
        <v>0</v>
      </c>
      <c r="W140" s="103" t="n">
        <f aca="false">IF(AND($F140="Analogy",OR($H140="—",$H140="")),1,0)</f>
        <v>0</v>
      </c>
      <c r="X140" s="103" t="n">
        <f aca="false">IF(AND(OR($F140="Analogy",$F140="Assumed"),$G140&lt;&gt;"低",$G140&lt;&gt;"高",NOT(ISNUMBER($K140)),NOT(ISNUMBER($L140)),OR($M140="—",$M140="")),1,0)</f>
        <v>0</v>
      </c>
      <c r="Y140" s="103" t="n">
        <f aca="false">IF(AND(OR($F140="Analogy",$F140="Assumed",$F140="Derived（待改公式）",$F140="Derived（公式）"),OR($N140="—",$N140="",$N140=0)),1,0)</f>
        <v>0</v>
      </c>
      <c r="Z140" s="103" t="n">
        <f aca="false">IF(AND($F140="Decision",OR($J140="—",$J140="")),1,0)</f>
        <v>0</v>
      </c>
      <c r="AA140" s="84" t="n">
        <f aca="false">IF(OR($J140="—",$J140=""),0,IF(COUNTIF(Decisions!$A$5:$A$300,$J140)=0,1,0))</f>
        <v>0</v>
      </c>
      <c r="AB140" s="103" t="n">
        <f aca="false">IF(AND($F140="原始數據",$S140&lt;&gt;"Active"),1,0)</f>
        <v>0</v>
      </c>
      <c r="AC140" s="103" t="n">
        <f aca="false">IF(AND(ISNUMBER($K140),ISNUMBER($L140),ISNUMBER($Q140)),IF(OR($Q140&lt;MIN($K140,$L140),$Q140&gt;MAX($K140,$L140)),1,0),0)</f>
        <v>0</v>
      </c>
      <c r="AD140" s="103" t="n">
        <f aca="false">IF(AND(ISNUMBER($T140),$P140="高"),IF($T140=3,1,0),0)</f>
        <v>0</v>
      </c>
      <c r="AE140" s="103" t="n">
        <f aca="false">IF(AND($S140="不存在",$B140="切片一"),1,0)</f>
        <v>0</v>
      </c>
    </row>
    <row r="141" customFormat="false" ht="15" hidden="false" customHeight="false" outlineLevel="0" collapsed="false">
      <c r="A141" s="53" t="s">
        <v>2669</v>
      </c>
      <c r="B141" s="52" t="s">
        <v>2297</v>
      </c>
      <c r="C141" s="53" t="s">
        <v>2460</v>
      </c>
      <c r="D141" s="53" t="s">
        <v>2397</v>
      </c>
      <c r="E141" s="5" t="s">
        <v>195</v>
      </c>
      <c r="F141" s="52" t="s">
        <v>2337</v>
      </c>
      <c r="G141" s="52" t="s">
        <v>2299</v>
      </c>
      <c r="H141" s="53" t="s">
        <v>2668</v>
      </c>
      <c r="I141" s="5" t="s">
        <v>2339</v>
      </c>
      <c r="J141" s="53" t="s">
        <v>554</v>
      </c>
      <c r="K141" s="52"/>
      <c r="L141" s="52"/>
      <c r="M141" s="53" t="s">
        <v>554</v>
      </c>
      <c r="N141" s="5" t="s">
        <v>2340</v>
      </c>
      <c r="O141" s="6" t="s">
        <v>554</v>
      </c>
      <c r="P141" s="52" t="s">
        <v>2364</v>
      </c>
      <c r="Q141" s="88" t="n">
        <f aca="false">Spec_Rack!E30</f>
        <v>0.5625</v>
      </c>
      <c r="R141" s="83" t="n">
        <f aca="false">SRC_HW_050</f>
        <v>0.5625</v>
      </c>
      <c r="S141" s="83" t="str">
        <f aca="false">IF(OR($H141="—",$H141=""),"—",IF(ISNUMBER(MATCH($H141,SRC_HW!$A$5:$A$400,0)),INDEX(SRC_HW!$O$5:$O$400,MATCH($H141,SRC_HW!$A$5:$A$400,0)),IF(ISNUMBER(MATCH($H141,SRC_DC!$A$5:$A$400,0)),INDEX(SRC_DC!$O$5:$O$400,MATCH($H141,SRC_DC!$A$5:$A$400,0)),IF(ISNUMBER(MATCH($H141,SRC_Model!$A$5:$A$400,0)),INDEX(SRC_Model!$O$5:$O$400,MATCH($H141,SRC_Model!$A$5:$A$400,0)),IF(ISNUMBER(MATCH($H141,SRC_Perf!$A$5:$A$400,0)),INDEX(SRC_Perf!$O$5:$O$400,MATCH($H141,SRC_Perf!$A$5:$A$400,0)),"不存在")))))</f>
        <v>Active</v>
      </c>
      <c r="T141" s="83" t="n">
        <f aca="false">IF(OR($H141="—",$H141=""),"—",IF(ISNUMBER(MATCH($H141,SRC_HW!$A$5:$A$400,0)),INDEX(SRC_HW!$K$5:$K$400,MATCH($H141,SRC_HW!$A$5:$A$400,0)),IF(ISNUMBER(MATCH($H141,SRC_DC!$A$5:$A$400,0)),INDEX(SRC_DC!$K$5:$K$400,MATCH($H141,SRC_DC!$A$5:$A$400,0)),IF(ISNUMBER(MATCH($H141,SRC_Model!$A$5:$A$400,0)),INDEX(SRC_Model!$K$5:$K$400,MATCH($H141,SRC_Model!$A$5:$A$400,0)),IF(ISNUMBER(MATCH($H141,SRC_Perf!$A$5:$A$400,0)),INDEX(SRC_Perf!$K$5:$K$400,MATCH($H141,SRC_Perf!$A$5:$A$400,0)),"不存在")))))</f>
        <v>3</v>
      </c>
      <c r="U141" s="52" t="s">
        <v>2341</v>
      </c>
      <c r="V141" s="103" t="n">
        <f aca="false">IF(AND($F141="原始數據",$U141&lt;&gt;"連結 SRC"),1,0)</f>
        <v>0</v>
      </c>
      <c r="W141" s="103" t="n">
        <f aca="false">IF(AND($F141="Analogy",OR($H141="—",$H141="")),1,0)</f>
        <v>0</v>
      </c>
      <c r="X141" s="103" t="n">
        <f aca="false">IF(AND(OR($F141="Analogy",$F141="Assumed"),$G141&lt;&gt;"低",$G141&lt;&gt;"高",NOT(ISNUMBER($K141)),NOT(ISNUMBER($L141)),OR($M141="—",$M141="")),1,0)</f>
        <v>0</v>
      </c>
      <c r="Y141" s="103" t="n">
        <f aca="false">IF(AND(OR($F141="Analogy",$F141="Assumed",$F141="Derived（待改公式）",$F141="Derived（公式）"),OR($N141="—",$N141="",$N141=0)),1,0)</f>
        <v>0</v>
      </c>
      <c r="Z141" s="103" t="n">
        <f aca="false">IF(AND($F141="Decision",OR($J141="—",$J141="")),1,0)</f>
        <v>0</v>
      </c>
      <c r="AA141" s="84" t="n">
        <f aca="false">IF(OR($J141="—",$J141=""),0,IF(COUNTIF(Decisions!$A$5:$A$300,$J141)=0,1,0))</f>
        <v>0</v>
      </c>
      <c r="AB141" s="103" t="n">
        <f aca="false">IF(AND($F141="原始數據",$S141&lt;&gt;"Active"),1,0)</f>
        <v>0</v>
      </c>
      <c r="AC141" s="103" t="n">
        <f aca="false">IF(AND(ISNUMBER($K141),ISNUMBER($L141),ISNUMBER($Q141)),IF(OR($Q141&lt;MIN($K141,$L141),$Q141&gt;MAX($K141,$L141)),1,0),0)</f>
        <v>0</v>
      </c>
      <c r="AD141" s="103" t="n">
        <f aca="false">IF(AND(ISNUMBER($T141),$P141="高"),IF($T141=3,1,0),0)</f>
        <v>0</v>
      </c>
      <c r="AE141" s="103" t="n">
        <f aca="false">IF(AND($S141="不存在",$B141="切片一"),1,0)</f>
        <v>0</v>
      </c>
    </row>
    <row r="142" customFormat="false" ht="15" hidden="false" customHeight="false" outlineLevel="0" collapsed="false">
      <c r="A142" s="53" t="s">
        <v>2670</v>
      </c>
      <c r="B142" s="52" t="s">
        <v>2297</v>
      </c>
      <c r="C142" s="53" t="s">
        <v>2460</v>
      </c>
      <c r="D142" s="53" t="s">
        <v>2402</v>
      </c>
      <c r="E142" s="5" t="s">
        <v>195</v>
      </c>
      <c r="F142" s="52" t="s">
        <v>2337</v>
      </c>
      <c r="G142" s="52" t="s">
        <v>2299</v>
      </c>
      <c r="H142" s="53" t="s">
        <v>2668</v>
      </c>
      <c r="I142" s="5" t="s">
        <v>2339</v>
      </c>
      <c r="J142" s="53" t="s">
        <v>554</v>
      </c>
      <c r="K142" s="52"/>
      <c r="L142" s="52"/>
      <c r="M142" s="53" t="s">
        <v>554</v>
      </c>
      <c r="N142" s="5" t="s">
        <v>2340</v>
      </c>
      <c r="O142" s="6" t="s">
        <v>554</v>
      </c>
      <c r="P142" s="52" t="s">
        <v>2364</v>
      </c>
      <c r="Q142" s="88" t="n">
        <f aca="false">Spec_Rack!F30</f>
        <v>0.5625</v>
      </c>
      <c r="R142" s="83" t="n">
        <f aca="false">SRC_HW_050</f>
        <v>0.5625</v>
      </c>
      <c r="S142" s="83" t="str">
        <f aca="false">IF(OR($H142="—",$H142=""),"—",IF(ISNUMBER(MATCH($H142,SRC_HW!$A$5:$A$400,0)),INDEX(SRC_HW!$O$5:$O$400,MATCH($H142,SRC_HW!$A$5:$A$400,0)),IF(ISNUMBER(MATCH($H142,SRC_DC!$A$5:$A$400,0)),INDEX(SRC_DC!$O$5:$O$400,MATCH($H142,SRC_DC!$A$5:$A$400,0)),IF(ISNUMBER(MATCH($H142,SRC_Model!$A$5:$A$400,0)),INDEX(SRC_Model!$O$5:$O$400,MATCH($H142,SRC_Model!$A$5:$A$400,0)),IF(ISNUMBER(MATCH($H142,SRC_Perf!$A$5:$A$400,0)),INDEX(SRC_Perf!$O$5:$O$400,MATCH($H142,SRC_Perf!$A$5:$A$400,0)),"不存在")))))</f>
        <v>Active</v>
      </c>
      <c r="T142" s="83" t="n">
        <f aca="false">IF(OR($H142="—",$H142=""),"—",IF(ISNUMBER(MATCH($H142,SRC_HW!$A$5:$A$400,0)),INDEX(SRC_HW!$K$5:$K$400,MATCH($H142,SRC_HW!$A$5:$A$400,0)),IF(ISNUMBER(MATCH($H142,SRC_DC!$A$5:$A$400,0)),INDEX(SRC_DC!$K$5:$K$400,MATCH($H142,SRC_DC!$A$5:$A$400,0)),IF(ISNUMBER(MATCH($H142,SRC_Model!$A$5:$A$400,0)),INDEX(SRC_Model!$K$5:$K$400,MATCH($H142,SRC_Model!$A$5:$A$400,0)),IF(ISNUMBER(MATCH($H142,SRC_Perf!$A$5:$A$400,0)),INDEX(SRC_Perf!$K$5:$K$400,MATCH($H142,SRC_Perf!$A$5:$A$400,0)),"不存在")))))</f>
        <v>3</v>
      </c>
      <c r="U142" s="52" t="s">
        <v>2341</v>
      </c>
      <c r="V142" s="103" t="n">
        <f aca="false">IF(AND($F142="原始數據",$U142&lt;&gt;"連結 SRC"),1,0)</f>
        <v>0</v>
      </c>
      <c r="W142" s="103" t="n">
        <f aca="false">IF(AND($F142="Analogy",OR($H142="—",$H142="")),1,0)</f>
        <v>0</v>
      </c>
      <c r="X142" s="103" t="n">
        <f aca="false">IF(AND(OR($F142="Analogy",$F142="Assumed"),$G142&lt;&gt;"低",$G142&lt;&gt;"高",NOT(ISNUMBER($K142)),NOT(ISNUMBER($L142)),OR($M142="—",$M142="")),1,0)</f>
        <v>0</v>
      </c>
      <c r="Y142" s="103" t="n">
        <f aca="false">IF(AND(OR($F142="Analogy",$F142="Assumed",$F142="Derived（待改公式）",$F142="Derived（公式）"),OR($N142="—",$N142="",$N142=0)),1,0)</f>
        <v>0</v>
      </c>
      <c r="Z142" s="103" t="n">
        <f aca="false">IF(AND($F142="Decision",OR($J142="—",$J142="")),1,0)</f>
        <v>0</v>
      </c>
      <c r="AA142" s="84" t="n">
        <f aca="false">IF(OR($J142="—",$J142=""),0,IF(COUNTIF(Decisions!$A$5:$A$300,$J142)=0,1,0))</f>
        <v>0</v>
      </c>
      <c r="AB142" s="103" t="n">
        <f aca="false">IF(AND($F142="原始數據",$S142&lt;&gt;"Active"),1,0)</f>
        <v>0</v>
      </c>
      <c r="AC142" s="103" t="n">
        <f aca="false">IF(AND(ISNUMBER($K142),ISNUMBER($L142),ISNUMBER($Q142)),IF(OR($Q142&lt;MIN($K142,$L142),$Q142&gt;MAX($K142,$L142)),1,0),0)</f>
        <v>0</v>
      </c>
      <c r="AD142" s="103" t="n">
        <f aca="false">IF(AND(ISNUMBER($T142),$P142="高"),IF($T142=3,1,0),0)</f>
        <v>0</v>
      </c>
      <c r="AE142" s="103" t="n">
        <f aca="false">IF(AND($S142="不存在",$B142="切片一"),1,0)</f>
        <v>0</v>
      </c>
    </row>
    <row r="143" customFormat="false" ht="15" hidden="false" customHeight="false" outlineLevel="0" collapsed="false">
      <c r="A143" s="53" t="s">
        <v>2671</v>
      </c>
      <c r="B143" s="52" t="s">
        <v>2297</v>
      </c>
      <c r="C143" s="53" t="s">
        <v>2460</v>
      </c>
      <c r="D143" s="53" t="s">
        <v>2672</v>
      </c>
      <c r="E143" s="5" t="s">
        <v>195</v>
      </c>
      <c r="F143" s="52" t="s">
        <v>2337</v>
      </c>
      <c r="G143" s="52" t="s">
        <v>2299</v>
      </c>
      <c r="H143" s="53" t="s">
        <v>2668</v>
      </c>
      <c r="I143" s="5" t="s">
        <v>2339</v>
      </c>
      <c r="J143" s="53" t="s">
        <v>554</v>
      </c>
      <c r="K143" s="52"/>
      <c r="L143" s="52"/>
      <c r="M143" s="53" t="s">
        <v>554</v>
      </c>
      <c r="N143" s="5" t="s">
        <v>2340</v>
      </c>
      <c r="O143" s="6" t="s">
        <v>554</v>
      </c>
      <c r="P143" s="52" t="s">
        <v>2364</v>
      </c>
      <c r="Q143" s="88" t="n">
        <f aca="false">Spec_Rack!G30</f>
        <v>0.5625</v>
      </c>
      <c r="R143" s="83" t="n">
        <f aca="false">SRC_HW_050</f>
        <v>0.5625</v>
      </c>
      <c r="S143" s="83" t="str">
        <f aca="false">IF(OR($H143="—",$H143=""),"—",IF(ISNUMBER(MATCH($H143,SRC_HW!$A$5:$A$400,0)),INDEX(SRC_HW!$O$5:$O$400,MATCH($H143,SRC_HW!$A$5:$A$400,0)),IF(ISNUMBER(MATCH($H143,SRC_DC!$A$5:$A$400,0)),INDEX(SRC_DC!$O$5:$O$400,MATCH($H143,SRC_DC!$A$5:$A$400,0)),IF(ISNUMBER(MATCH($H143,SRC_Model!$A$5:$A$400,0)),INDEX(SRC_Model!$O$5:$O$400,MATCH($H143,SRC_Model!$A$5:$A$400,0)),IF(ISNUMBER(MATCH($H143,SRC_Perf!$A$5:$A$400,0)),INDEX(SRC_Perf!$O$5:$O$400,MATCH($H143,SRC_Perf!$A$5:$A$400,0)),"不存在")))))</f>
        <v>Active</v>
      </c>
      <c r="T143" s="83" t="n">
        <f aca="false">IF(OR($H143="—",$H143=""),"—",IF(ISNUMBER(MATCH($H143,SRC_HW!$A$5:$A$400,0)),INDEX(SRC_HW!$K$5:$K$400,MATCH($H143,SRC_HW!$A$5:$A$400,0)),IF(ISNUMBER(MATCH($H143,SRC_DC!$A$5:$A$400,0)),INDEX(SRC_DC!$K$5:$K$400,MATCH($H143,SRC_DC!$A$5:$A$400,0)),IF(ISNUMBER(MATCH($H143,SRC_Model!$A$5:$A$400,0)),INDEX(SRC_Model!$K$5:$K$400,MATCH($H143,SRC_Model!$A$5:$A$400,0)),IF(ISNUMBER(MATCH($H143,SRC_Perf!$A$5:$A$400,0)),INDEX(SRC_Perf!$K$5:$K$400,MATCH($H143,SRC_Perf!$A$5:$A$400,0)),"不存在")))))</f>
        <v>3</v>
      </c>
      <c r="U143" s="52" t="s">
        <v>2341</v>
      </c>
      <c r="V143" s="103" t="n">
        <f aca="false">IF(AND($F143="原始數據",$U143&lt;&gt;"連結 SRC"),1,0)</f>
        <v>0</v>
      </c>
      <c r="W143" s="103" t="n">
        <f aca="false">IF(AND($F143="Analogy",OR($H143="—",$H143="")),1,0)</f>
        <v>0</v>
      </c>
      <c r="X143" s="103" t="n">
        <f aca="false">IF(AND(OR($F143="Analogy",$F143="Assumed"),$G143&lt;&gt;"低",$G143&lt;&gt;"高",NOT(ISNUMBER($K143)),NOT(ISNUMBER($L143)),OR($M143="—",$M143="")),1,0)</f>
        <v>0</v>
      </c>
      <c r="Y143" s="103" t="n">
        <f aca="false">IF(AND(OR($F143="Analogy",$F143="Assumed",$F143="Derived（待改公式）",$F143="Derived（公式）"),OR($N143="—",$N143="",$N143=0)),1,0)</f>
        <v>0</v>
      </c>
      <c r="Z143" s="103" t="n">
        <f aca="false">IF(AND($F143="Decision",OR($J143="—",$J143="")),1,0)</f>
        <v>0</v>
      </c>
      <c r="AA143" s="84" t="n">
        <f aca="false">IF(OR($J143="—",$J143=""),0,IF(COUNTIF(Decisions!$A$5:$A$300,$J143)=0,1,0))</f>
        <v>0</v>
      </c>
      <c r="AB143" s="103" t="n">
        <f aca="false">IF(AND($F143="原始數據",$S143&lt;&gt;"Active"),1,0)</f>
        <v>0</v>
      </c>
      <c r="AC143" s="103" t="n">
        <f aca="false">IF(AND(ISNUMBER($K143),ISNUMBER($L143),ISNUMBER($Q143)),IF(OR($Q143&lt;MIN($K143,$L143),$Q143&gt;MAX($K143,$L143)),1,0),0)</f>
        <v>0</v>
      </c>
      <c r="AD143" s="103" t="n">
        <f aca="false">IF(AND(ISNUMBER($T143),$P143="高"),IF($T143=3,1,0),0)</f>
        <v>0</v>
      </c>
      <c r="AE143" s="103" t="n">
        <f aca="false">IF(AND($S143="不存在",$B143="切片一"),1,0)</f>
        <v>0</v>
      </c>
    </row>
    <row r="144" customFormat="false" ht="29.85" hidden="false" customHeight="false" outlineLevel="0" collapsed="false">
      <c r="A144" s="53" t="s">
        <v>2673</v>
      </c>
      <c r="B144" s="52" t="s">
        <v>2297</v>
      </c>
      <c r="C144" s="53" t="s">
        <v>2460</v>
      </c>
      <c r="D144" s="53" t="s">
        <v>2674</v>
      </c>
      <c r="E144" s="5" t="s">
        <v>197</v>
      </c>
      <c r="F144" s="53" t="s">
        <v>70</v>
      </c>
      <c r="G144" s="52" t="s">
        <v>2299</v>
      </c>
      <c r="H144" s="53" t="s">
        <v>554</v>
      </c>
      <c r="I144" s="6" t="s">
        <v>554</v>
      </c>
      <c r="J144" s="53" t="s">
        <v>554</v>
      </c>
      <c r="K144" s="128" t="n">
        <v>1</v>
      </c>
      <c r="L144" s="128" t="n">
        <v>2</v>
      </c>
      <c r="M144" s="53" t="s">
        <v>2675</v>
      </c>
      <c r="N144" s="5" t="s">
        <v>2676</v>
      </c>
      <c r="O144" s="6" t="s">
        <v>2651</v>
      </c>
      <c r="P144" s="52" t="s">
        <v>2364</v>
      </c>
      <c r="Q144" s="89" t="n">
        <f aca="false">Spec_Rack!C31</f>
        <v>1</v>
      </c>
      <c r="R144" s="53" t="s">
        <v>554</v>
      </c>
      <c r="S144" s="83" t="str">
        <f aca="false">IF(OR($H144="—",$H144=""),"—",IF(ISNUMBER(MATCH($H144,SRC_HW!$A$5:$A$400,0)),INDEX(SRC_HW!$O$5:$O$400,MATCH($H144,SRC_HW!$A$5:$A$400,0)),IF(ISNUMBER(MATCH($H144,SRC_DC!$A$5:$A$400,0)),INDEX(SRC_DC!$O$5:$O$400,MATCH($H144,SRC_DC!$A$5:$A$400,0)),IF(ISNUMBER(MATCH($H144,SRC_Model!$A$5:$A$400,0)),INDEX(SRC_Model!$O$5:$O$400,MATCH($H144,SRC_Model!$A$5:$A$400,0)),IF(ISNUMBER(MATCH($H144,SRC_Perf!$A$5:$A$400,0)),INDEX(SRC_Perf!$O$5:$O$400,MATCH($H144,SRC_Perf!$A$5:$A$400,0)),"不存在")))))</f>
        <v>—</v>
      </c>
      <c r="T144" s="83" t="str">
        <f aca="false">IF(OR($H144="—",$H144=""),"—",IF(ISNUMBER(MATCH($H144,SRC_HW!$A$5:$A$400,0)),INDEX(SRC_HW!$K$5:$K$400,MATCH($H144,SRC_HW!$A$5:$A$400,0)),IF(ISNUMBER(MATCH($H144,SRC_DC!$A$5:$A$400,0)),INDEX(SRC_DC!$K$5:$K$400,MATCH($H144,SRC_DC!$A$5:$A$400,0)),IF(ISNUMBER(MATCH($H144,SRC_Model!$A$5:$A$400,0)),INDEX(SRC_Model!$K$5:$K$400,MATCH($H144,SRC_Model!$A$5:$A$400,0)),IF(ISNUMBER(MATCH($H144,SRC_Perf!$A$5:$A$400,0)),INDEX(SRC_Perf!$K$5:$K$400,MATCH($H144,SRC_Perf!$A$5:$A$400,0)),"不存在")))))</f>
        <v>—</v>
      </c>
      <c r="U144" s="52" t="s">
        <v>2302</v>
      </c>
      <c r="V144" s="103" t="n">
        <f aca="false">IF(AND($F144="原始數據",$U144&lt;&gt;"連結 SRC"),1,0)</f>
        <v>0</v>
      </c>
      <c r="W144" s="103" t="n">
        <f aca="false">IF(AND($F144="Analogy",OR($H144="—",$H144="")),1,0)</f>
        <v>0</v>
      </c>
      <c r="X144" s="103" t="n">
        <f aca="false">IF(AND(OR($F144="Analogy",$F144="Assumed"),$G144&lt;&gt;"低",$G144&lt;&gt;"高",NOT(ISNUMBER($K144)),NOT(ISNUMBER($L144)),OR($M144="—",$M144="")),1,0)</f>
        <v>0</v>
      </c>
      <c r="Y144" s="103" t="n">
        <f aca="false">IF(AND(OR($F144="Analogy",$F144="Assumed",$F144="Derived（待改公式）",$F144="Derived（公式）"),OR($N144="—",$N144="",$N144=0)),1,0)</f>
        <v>0</v>
      </c>
      <c r="Z144" s="103" t="n">
        <f aca="false">IF(AND($F144="Decision",OR($J144="—",$J144="")),1,0)</f>
        <v>0</v>
      </c>
      <c r="AA144" s="84" t="n">
        <f aca="false">IF(OR($J144="—",$J144=""),0,IF(COUNTIF(Decisions!$A$5:$A$300,$J144)=0,1,0))</f>
        <v>0</v>
      </c>
      <c r="AB144" s="103" t="n">
        <f aca="false">IF(AND($F144="原始數據",$S144&lt;&gt;"Active"),1,0)</f>
        <v>0</v>
      </c>
      <c r="AC144" s="103" t="n">
        <f aca="false">IF(AND(ISNUMBER($K144),ISNUMBER($L144),ISNUMBER($Q144)),IF(OR($Q144&lt;MIN($K144,$L144),$Q144&gt;MAX($K144,$L144)),1,0),0)</f>
        <v>0</v>
      </c>
      <c r="AD144" s="103" t="n">
        <f aca="false">IF(AND(ISNUMBER($T144),$P144="高"),IF($T144=3,1,0),0)</f>
        <v>0</v>
      </c>
      <c r="AE144" s="103" t="n">
        <f aca="false">IF(AND($S144="不存在",$B144="切片一"),1,0)</f>
        <v>0</v>
      </c>
    </row>
    <row r="145" customFormat="false" ht="29.85" hidden="false" customHeight="false" outlineLevel="0" collapsed="false">
      <c r="A145" s="53" t="s">
        <v>2677</v>
      </c>
      <c r="B145" s="52" t="s">
        <v>2297</v>
      </c>
      <c r="C145" s="53" t="s">
        <v>2460</v>
      </c>
      <c r="D145" s="53" t="s">
        <v>2407</v>
      </c>
      <c r="E145" s="5" t="s">
        <v>197</v>
      </c>
      <c r="F145" s="53" t="s">
        <v>70</v>
      </c>
      <c r="G145" s="52" t="s">
        <v>2299</v>
      </c>
      <c r="H145" s="53" t="s">
        <v>554</v>
      </c>
      <c r="I145" s="6" t="s">
        <v>554</v>
      </c>
      <c r="J145" s="53" t="s">
        <v>554</v>
      </c>
      <c r="K145" s="128" t="n">
        <v>1</v>
      </c>
      <c r="L145" s="128" t="n">
        <v>2</v>
      </c>
      <c r="M145" s="53" t="s">
        <v>2675</v>
      </c>
      <c r="N145" s="5" t="s">
        <v>2676</v>
      </c>
      <c r="O145" s="6" t="s">
        <v>2651</v>
      </c>
      <c r="P145" s="52" t="s">
        <v>2364</v>
      </c>
      <c r="Q145" s="89" t="n">
        <f aca="false">Spec_Rack!D31</f>
        <v>1</v>
      </c>
      <c r="R145" s="53" t="s">
        <v>554</v>
      </c>
      <c r="S145" s="83" t="str">
        <f aca="false">IF(OR($H145="—",$H145=""),"—",IF(ISNUMBER(MATCH($H145,SRC_HW!$A$5:$A$400,0)),INDEX(SRC_HW!$O$5:$O$400,MATCH($H145,SRC_HW!$A$5:$A$400,0)),IF(ISNUMBER(MATCH($H145,SRC_DC!$A$5:$A$400,0)),INDEX(SRC_DC!$O$5:$O$400,MATCH($H145,SRC_DC!$A$5:$A$400,0)),IF(ISNUMBER(MATCH($H145,SRC_Model!$A$5:$A$400,0)),INDEX(SRC_Model!$O$5:$O$400,MATCH($H145,SRC_Model!$A$5:$A$400,0)),IF(ISNUMBER(MATCH($H145,SRC_Perf!$A$5:$A$400,0)),INDEX(SRC_Perf!$O$5:$O$400,MATCH($H145,SRC_Perf!$A$5:$A$400,0)),"不存在")))))</f>
        <v>—</v>
      </c>
      <c r="T145" s="83" t="str">
        <f aca="false">IF(OR($H145="—",$H145=""),"—",IF(ISNUMBER(MATCH($H145,SRC_HW!$A$5:$A$400,0)),INDEX(SRC_HW!$K$5:$K$400,MATCH($H145,SRC_HW!$A$5:$A$400,0)),IF(ISNUMBER(MATCH($H145,SRC_DC!$A$5:$A$400,0)),INDEX(SRC_DC!$K$5:$K$400,MATCH($H145,SRC_DC!$A$5:$A$400,0)),IF(ISNUMBER(MATCH($H145,SRC_Model!$A$5:$A$400,0)),INDEX(SRC_Model!$K$5:$K$400,MATCH($H145,SRC_Model!$A$5:$A$400,0)),IF(ISNUMBER(MATCH($H145,SRC_Perf!$A$5:$A$400,0)),INDEX(SRC_Perf!$K$5:$K$400,MATCH($H145,SRC_Perf!$A$5:$A$400,0)),"不存在")))))</f>
        <v>—</v>
      </c>
      <c r="U145" s="52" t="s">
        <v>2302</v>
      </c>
      <c r="V145" s="103" t="n">
        <f aca="false">IF(AND($F145="原始數據",$U145&lt;&gt;"連結 SRC"),1,0)</f>
        <v>0</v>
      </c>
      <c r="W145" s="103" t="n">
        <f aca="false">IF(AND($F145="Analogy",OR($H145="—",$H145="")),1,0)</f>
        <v>0</v>
      </c>
      <c r="X145" s="103" t="n">
        <f aca="false">IF(AND(OR($F145="Analogy",$F145="Assumed"),$G145&lt;&gt;"低",$G145&lt;&gt;"高",NOT(ISNUMBER($K145)),NOT(ISNUMBER($L145)),OR($M145="—",$M145="")),1,0)</f>
        <v>0</v>
      </c>
      <c r="Y145" s="103" t="n">
        <f aca="false">IF(AND(OR($F145="Analogy",$F145="Assumed",$F145="Derived（待改公式）",$F145="Derived（公式）"),OR($N145="—",$N145="",$N145=0)),1,0)</f>
        <v>0</v>
      </c>
      <c r="Z145" s="103" t="n">
        <f aca="false">IF(AND($F145="Decision",OR($J145="—",$J145="")),1,0)</f>
        <v>0</v>
      </c>
      <c r="AA145" s="84" t="n">
        <f aca="false">IF(OR($J145="—",$J145=""),0,IF(COUNTIF(Decisions!$A$5:$A$300,$J145)=0,1,0))</f>
        <v>0</v>
      </c>
      <c r="AB145" s="103" t="n">
        <f aca="false">IF(AND($F145="原始數據",$S145&lt;&gt;"Active"),1,0)</f>
        <v>0</v>
      </c>
      <c r="AC145" s="103" t="n">
        <f aca="false">IF(AND(ISNUMBER($K145),ISNUMBER($L145),ISNUMBER($Q145)),IF(OR($Q145&lt;MIN($K145,$L145),$Q145&gt;MAX($K145,$L145)),1,0),0)</f>
        <v>0</v>
      </c>
      <c r="AD145" s="103" t="n">
        <f aca="false">IF(AND(ISNUMBER($T145),$P145="高"),IF($T145=3,1,0),0)</f>
        <v>0</v>
      </c>
      <c r="AE145" s="103" t="n">
        <f aca="false">IF(AND($S145="不存在",$B145="切片一"),1,0)</f>
        <v>0</v>
      </c>
    </row>
    <row r="146" customFormat="false" ht="29.85" hidden="false" customHeight="false" outlineLevel="0" collapsed="false">
      <c r="A146" s="53" t="s">
        <v>2678</v>
      </c>
      <c r="B146" s="52" t="s">
        <v>2297</v>
      </c>
      <c r="C146" s="53" t="s">
        <v>2460</v>
      </c>
      <c r="D146" s="53" t="s">
        <v>2404</v>
      </c>
      <c r="E146" s="5" t="s">
        <v>197</v>
      </c>
      <c r="F146" s="53" t="s">
        <v>70</v>
      </c>
      <c r="G146" s="52" t="s">
        <v>2299</v>
      </c>
      <c r="H146" s="53" t="s">
        <v>554</v>
      </c>
      <c r="I146" s="6" t="s">
        <v>554</v>
      </c>
      <c r="J146" s="53" t="s">
        <v>554</v>
      </c>
      <c r="K146" s="128" t="n">
        <v>1</v>
      </c>
      <c r="L146" s="128" t="n">
        <v>2</v>
      </c>
      <c r="M146" s="53" t="s">
        <v>2675</v>
      </c>
      <c r="N146" s="5" t="s">
        <v>2676</v>
      </c>
      <c r="O146" s="6" t="s">
        <v>2651</v>
      </c>
      <c r="P146" s="52" t="s">
        <v>2364</v>
      </c>
      <c r="Q146" s="89" t="n">
        <f aca="false">Spec_Rack!E31</f>
        <v>1</v>
      </c>
      <c r="R146" s="53" t="s">
        <v>554</v>
      </c>
      <c r="S146" s="83" t="str">
        <f aca="false">IF(OR($H146="—",$H146=""),"—",IF(ISNUMBER(MATCH($H146,SRC_HW!$A$5:$A$400,0)),INDEX(SRC_HW!$O$5:$O$400,MATCH($H146,SRC_HW!$A$5:$A$400,0)),IF(ISNUMBER(MATCH($H146,SRC_DC!$A$5:$A$400,0)),INDEX(SRC_DC!$O$5:$O$400,MATCH($H146,SRC_DC!$A$5:$A$400,0)),IF(ISNUMBER(MATCH($H146,SRC_Model!$A$5:$A$400,0)),INDEX(SRC_Model!$O$5:$O$400,MATCH($H146,SRC_Model!$A$5:$A$400,0)),IF(ISNUMBER(MATCH($H146,SRC_Perf!$A$5:$A$400,0)),INDEX(SRC_Perf!$O$5:$O$400,MATCH($H146,SRC_Perf!$A$5:$A$400,0)),"不存在")))))</f>
        <v>—</v>
      </c>
      <c r="T146" s="83" t="str">
        <f aca="false">IF(OR($H146="—",$H146=""),"—",IF(ISNUMBER(MATCH($H146,SRC_HW!$A$5:$A$400,0)),INDEX(SRC_HW!$K$5:$K$400,MATCH($H146,SRC_HW!$A$5:$A$400,0)),IF(ISNUMBER(MATCH($H146,SRC_DC!$A$5:$A$400,0)),INDEX(SRC_DC!$K$5:$K$400,MATCH($H146,SRC_DC!$A$5:$A$400,0)),IF(ISNUMBER(MATCH($H146,SRC_Model!$A$5:$A$400,0)),INDEX(SRC_Model!$K$5:$K$400,MATCH($H146,SRC_Model!$A$5:$A$400,0)),IF(ISNUMBER(MATCH($H146,SRC_Perf!$A$5:$A$400,0)),INDEX(SRC_Perf!$K$5:$K$400,MATCH($H146,SRC_Perf!$A$5:$A$400,0)),"不存在")))))</f>
        <v>—</v>
      </c>
      <c r="U146" s="52" t="s">
        <v>2302</v>
      </c>
      <c r="V146" s="103" t="n">
        <f aca="false">IF(AND($F146="原始數據",$U146&lt;&gt;"連結 SRC"),1,0)</f>
        <v>0</v>
      </c>
      <c r="W146" s="103" t="n">
        <f aca="false">IF(AND($F146="Analogy",OR($H146="—",$H146="")),1,0)</f>
        <v>0</v>
      </c>
      <c r="X146" s="103" t="n">
        <f aca="false">IF(AND(OR($F146="Analogy",$F146="Assumed"),$G146&lt;&gt;"低",$G146&lt;&gt;"高",NOT(ISNUMBER($K146)),NOT(ISNUMBER($L146)),OR($M146="—",$M146="")),1,0)</f>
        <v>0</v>
      </c>
      <c r="Y146" s="103" t="n">
        <f aca="false">IF(AND(OR($F146="Analogy",$F146="Assumed",$F146="Derived（待改公式）",$F146="Derived（公式）"),OR($N146="—",$N146="",$N146=0)),1,0)</f>
        <v>0</v>
      </c>
      <c r="Z146" s="103" t="n">
        <f aca="false">IF(AND($F146="Decision",OR($J146="—",$J146="")),1,0)</f>
        <v>0</v>
      </c>
      <c r="AA146" s="84" t="n">
        <f aca="false">IF(OR($J146="—",$J146=""),0,IF(COUNTIF(Decisions!$A$5:$A$300,$J146)=0,1,0))</f>
        <v>0</v>
      </c>
      <c r="AB146" s="103" t="n">
        <f aca="false">IF(AND($F146="原始數據",$S146&lt;&gt;"Active"),1,0)</f>
        <v>0</v>
      </c>
      <c r="AC146" s="103" t="n">
        <f aca="false">IF(AND(ISNUMBER($K146),ISNUMBER($L146),ISNUMBER($Q146)),IF(OR($Q146&lt;MIN($K146,$L146),$Q146&gt;MAX($K146,$L146)),1,0),0)</f>
        <v>0</v>
      </c>
      <c r="AD146" s="103" t="n">
        <f aca="false">IF(AND(ISNUMBER($T146),$P146="高"),IF($T146=3,1,0),0)</f>
        <v>0</v>
      </c>
      <c r="AE146" s="103" t="n">
        <f aca="false">IF(AND($S146="不存在",$B146="切片一"),1,0)</f>
        <v>0</v>
      </c>
    </row>
    <row r="147" customFormat="false" ht="29.85" hidden="false" customHeight="false" outlineLevel="0" collapsed="false">
      <c r="A147" s="53" t="s">
        <v>2679</v>
      </c>
      <c r="B147" s="52" t="s">
        <v>2297</v>
      </c>
      <c r="C147" s="53" t="s">
        <v>2460</v>
      </c>
      <c r="D147" s="53" t="s">
        <v>2409</v>
      </c>
      <c r="E147" s="5" t="s">
        <v>197</v>
      </c>
      <c r="F147" s="53" t="s">
        <v>70</v>
      </c>
      <c r="G147" s="52" t="s">
        <v>2299</v>
      </c>
      <c r="H147" s="53" t="s">
        <v>554</v>
      </c>
      <c r="I147" s="6" t="s">
        <v>554</v>
      </c>
      <c r="J147" s="53" t="s">
        <v>554</v>
      </c>
      <c r="K147" s="128" t="n">
        <v>1</v>
      </c>
      <c r="L147" s="128" t="n">
        <v>2</v>
      </c>
      <c r="M147" s="53" t="s">
        <v>2675</v>
      </c>
      <c r="N147" s="5" t="s">
        <v>2676</v>
      </c>
      <c r="O147" s="6" t="s">
        <v>2651</v>
      </c>
      <c r="P147" s="52" t="s">
        <v>2364</v>
      </c>
      <c r="Q147" s="89" t="n">
        <f aca="false">Spec_Rack!F31</f>
        <v>1</v>
      </c>
      <c r="R147" s="53" t="s">
        <v>554</v>
      </c>
      <c r="S147" s="83" t="str">
        <f aca="false">IF(OR($H147="—",$H147=""),"—",IF(ISNUMBER(MATCH($H147,SRC_HW!$A$5:$A$400,0)),INDEX(SRC_HW!$O$5:$O$400,MATCH($H147,SRC_HW!$A$5:$A$400,0)),IF(ISNUMBER(MATCH($H147,SRC_DC!$A$5:$A$400,0)),INDEX(SRC_DC!$O$5:$O$400,MATCH($H147,SRC_DC!$A$5:$A$400,0)),IF(ISNUMBER(MATCH($H147,SRC_Model!$A$5:$A$400,0)),INDEX(SRC_Model!$O$5:$O$400,MATCH($H147,SRC_Model!$A$5:$A$400,0)),IF(ISNUMBER(MATCH($H147,SRC_Perf!$A$5:$A$400,0)),INDEX(SRC_Perf!$O$5:$O$400,MATCH($H147,SRC_Perf!$A$5:$A$400,0)),"不存在")))))</f>
        <v>—</v>
      </c>
      <c r="T147" s="83" t="str">
        <f aca="false">IF(OR($H147="—",$H147=""),"—",IF(ISNUMBER(MATCH($H147,SRC_HW!$A$5:$A$400,0)),INDEX(SRC_HW!$K$5:$K$400,MATCH($H147,SRC_HW!$A$5:$A$400,0)),IF(ISNUMBER(MATCH($H147,SRC_DC!$A$5:$A$400,0)),INDEX(SRC_DC!$K$5:$K$400,MATCH($H147,SRC_DC!$A$5:$A$400,0)),IF(ISNUMBER(MATCH($H147,SRC_Model!$A$5:$A$400,0)),INDEX(SRC_Model!$K$5:$K$400,MATCH($H147,SRC_Model!$A$5:$A$400,0)),IF(ISNUMBER(MATCH($H147,SRC_Perf!$A$5:$A$400,0)),INDEX(SRC_Perf!$K$5:$K$400,MATCH($H147,SRC_Perf!$A$5:$A$400,0)),"不存在")))))</f>
        <v>—</v>
      </c>
      <c r="U147" s="52" t="s">
        <v>2302</v>
      </c>
      <c r="V147" s="103" t="n">
        <f aca="false">IF(AND($F147="原始數據",$U147&lt;&gt;"連結 SRC"),1,0)</f>
        <v>0</v>
      </c>
      <c r="W147" s="103" t="n">
        <f aca="false">IF(AND($F147="Analogy",OR($H147="—",$H147="")),1,0)</f>
        <v>0</v>
      </c>
      <c r="X147" s="103" t="n">
        <f aca="false">IF(AND(OR($F147="Analogy",$F147="Assumed"),$G147&lt;&gt;"低",$G147&lt;&gt;"高",NOT(ISNUMBER($K147)),NOT(ISNUMBER($L147)),OR($M147="—",$M147="")),1,0)</f>
        <v>0</v>
      </c>
      <c r="Y147" s="103" t="n">
        <f aca="false">IF(AND(OR($F147="Analogy",$F147="Assumed",$F147="Derived（待改公式）",$F147="Derived（公式）"),OR($N147="—",$N147="",$N147=0)),1,0)</f>
        <v>0</v>
      </c>
      <c r="Z147" s="103" t="n">
        <f aca="false">IF(AND($F147="Decision",OR($J147="—",$J147="")),1,0)</f>
        <v>0</v>
      </c>
      <c r="AA147" s="84" t="n">
        <f aca="false">IF(OR($J147="—",$J147=""),0,IF(COUNTIF(Decisions!$A$5:$A$300,$J147)=0,1,0))</f>
        <v>0</v>
      </c>
      <c r="AB147" s="103" t="n">
        <f aca="false">IF(AND($F147="原始數據",$S147&lt;&gt;"Active"),1,0)</f>
        <v>0</v>
      </c>
      <c r="AC147" s="103" t="n">
        <f aca="false">IF(AND(ISNUMBER($K147),ISNUMBER($L147),ISNUMBER($Q147)),IF(OR($Q147&lt;MIN($K147,$L147),$Q147&gt;MAX($K147,$L147)),1,0),0)</f>
        <v>0</v>
      </c>
      <c r="AD147" s="103" t="n">
        <f aca="false">IF(AND(ISNUMBER($T147),$P147="高"),IF($T147=3,1,0),0)</f>
        <v>0</v>
      </c>
      <c r="AE147" s="103" t="n">
        <f aca="false">IF(AND($S147="不存在",$B147="切片一"),1,0)</f>
        <v>0</v>
      </c>
    </row>
    <row r="148" customFormat="false" ht="29.85" hidden="false" customHeight="false" outlineLevel="0" collapsed="false">
      <c r="A148" s="53" t="s">
        <v>2680</v>
      </c>
      <c r="B148" s="52" t="s">
        <v>2297</v>
      </c>
      <c r="C148" s="53" t="s">
        <v>2460</v>
      </c>
      <c r="D148" s="53" t="s">
        <v>2681</v>
      </c>
      <c r="E148" s="5" t="s">
        <v>197</v>
      </c>
      <c r="F148" s="53" t="s">
        <v>70</v>
      </c>
      <c r="G148" s="52" t="s">
        <v>2299</v>
      </c>
      <c r="H148" s="53" t="s">
        <v>554</v>
      </c>
      <c r="I148" s="6" t="s">
        <v>554</v>
      </c>
      <c r="J148" s="53" t="s">
        <v>554</v>
      </c>
      <c r="K148" s="128" t="n">
        <v>1</v>
      </c>
      <c r="L148" s="128" t="n">
        <v>2</v>
      </c>
      <c r="M148" s="53" t="s">
        <v>2675</v>
      </c>
      <c r="N148" s="5" t="s">
        <v>2676</v>
      </c>
      <c r="O148" s="6" t="s">
        <v>2651</v>
      </c>
      <c r="P148" s="52" t="s">
        <v>2364</v>
      </c>
      <c r="Q148" s="89" t="n">
        <f aca="false">Spec_Rack!G31</f>
        <v>1</v>
      </c>
      <c r="R148" s="53" t="s">
        <v>554</v>
      </c>
      <c r="S148" s="83" t="str">
        <f aca="false">IF(OR($H148="—",$H148=""),"—",IF(ISNUMBER(MATCH($H148,SRC_HW!$A$5:$A$400,0)),INDEX(SRC_HW!$O$5:$O$400,MATCH($H148,SRC_HW!$A$5:$A$400,0)),IF(ISNUMBER(MATCH($H148,SRC_DC!$A$5:$A$400,0)),INDEX(SRC_DC!$O$5:$O$400,MATCH($H148,SRC_DC!$A$5:$A$400,0)),IF(ISNUMBER(MATCH($H148,SRC_Model!$A$5:$A$400,0)),INDEX(SRC_Model!$O$5:$O$400,MATCH($H148,SRC_Model!$A$5:$A$400,0)),IF(ISNUMBER(MATCH($H148,SRC_Perf!$A$5:$A$400,0)),INDEX(SRC_Perf!$O$5:$O$400,MATCH($H148,SRC_Perf!$A$5:$A$400,0)),"不存在")))))</f>
        <v>—</v>
      </c>
      <c r="T148" s="83" t="str">
        <f aca="false">IF(OR($H148="—",$H148=""),"—",IF(ISNUMBER(MATCH($H148,SRC_HW!$A$5:$A$400,0)),INDEX(SRC_HW!$K$5:$K$400,MATCH($H148,SRC_HW!$A$5:$A$400,0)),IF(ISNUMBER(MATCH($H148,SRC_DC!$A$5:$A$400,0)),INDEX(SRC_DC!$K$5:$K$400,MATCH($H148,SRC_DC!$A$5:$A$400,0)),IF(ISNUMBER(MATCH($H148,SRC_Model!$A$5:$A$400,0)),INDEX(SRC_Model!$K$5:$K$400,MATCH($H148,SRC_Model!$A$5:$A$400,0)),IF(ISNUMBER(MATCH($H148,SRC_Perf!$A$5:$A$400,0)),INDEX(SRC_Perf!$K$5:$K$400,MATCH($H148,SRC_Perf!$A$5:$A$400,0)),"不存在")))))</f>
        <v>—</v>
      </c>
      <c r="U148" s="52" t="s">
        <v>2302</v>
      </c>
      <c r="V148" s="103" t="n">
        <f aca="false">IF(AND($F148="原始數據",$U148&lt;&gt;"連結 SRC"),1,0)</f>
        <v>0</v>
      </c>
      <c r="W148" s="103" t="n">
        <f aca="false">IF(AND($F148="Analogy",OR($H148="—",$H148="")),1,0)</f>
        <v>0</v>
      </c>
      <c r="X148" s="103" t="n">
        <f aca="false">IF(AND(OR($F148="Analogy",$F148="Assumed"),$G148&lt;&gt;"低",$G148&lt;&gt;"高",NOT(ISNUMBER($K148)),NOT(ISNUMBER($L148)),OR($M148="—",$M148="")),1,0)</f>
        <v>0</v>
      </c>
      <c r="Y148" s="103" t="n">
        <f aca="false">IF(AND(OR($F148="Analogy",$F148="Assumed",$F148="Derived（待改公式）",$F148="Derived（公式）"),OR($N148="—",$N148="",$N148=0)),1,0)</f>
        <v>0</v>
      </c>
      <c r="Z148" s="103" t="n">
        <f aca="false">IF(AND($F148="Decision",OR($J148="—",$J148="")),1,0)</f>
        <v>0</v>
      </c>
      <c r="AA148" s="84" t="n">
        <f aca="false">IF(OR($J148="—",$J148=""),0,IF(COUNTIF(Decisions!$A$5:$A$300,$J148)=0,1,0))</f>
        <v>0</v>
      </c>
      <c r="AB148" s="103" t="n">
        <f aca="false">IF(AND($F148="原始數據",$S148&lt;&gt;"Active"),1,0)</f>
        <v>0</v>
      </c>
      <c r="AC148" s="103" t="n">
        <f aca="false">IF(AND(ISNUMBER($K148),ISNUMBER($L148),ISNUMBER($Q148)),IF(OR($Q148&lt;MIN($K148,$L148),$Q148&gt;MAX($K148,$L148)),1,0),0)</f>
        <v>0</v>
      </c>
      <c r="AD148" s="103" t="n">
        <f aca="false">IF(AND(ISNUMBER($T148),$P148="高"),IF($T148=3,1,0),0)</f>
        <v>0</v>
      </c>
      <c r="AE148" s="103" t="n">
        <f aca="false">IF(AND($S148="不存在",$B148="切片一"),1,0)</f>
        <v>0</v>
      </c>
    </row>
    <row r="149" customFormat="false" ht="29.85" hidden="false" customHeight="false" outlineLevel="0" collapsed="false">
      <c r="A149" s="53" t="s">
        <v>2682</v>
      </c>
      <c r="B149" s="52" t="s">
        <v>2297</v>
      </c>
      <c r="C149" s="53" t="s">
        <v>2460</v>
      </c>
      <c r="D149" s="53" t="s">
        <v>2683</v>
      </c>
      <c r="E149" s="5" t="s">
        <v>199</v>
      </c>
      <c r="F149" s="53" t="s">
        <v>70</v>
      </c>
      <c r="G149" s="52" t="s">
        <v>2299</v>
      </c>
      <c r="H149" s="53" t="s">
        <v>554</v>
      </c>
      <c r="I149" s="6" t="s">
        <v>554</v>
      </c>
      <c r="J149" s="53" t="s">
        <v>554</v>
      </c>
      <c r="K149" s="128" t="n">
        <v>4</v>
      </c>
      <c r="L149" s="128" t="n">
        <v>16</v>
      </c>
      <c r="M149" s="53" t="s">
        <v>2684</v>
      </c>
      <c r="N149" s="6" t="s">
        <v>2685</v>
      </c>
      <c r="O149" s="6" t="s">
        <v>554</v>
      </c>
      <c r="P149" s="52" t="s">
        <v>2307</v>
      </c>
      <c r="Q149" s="54" t="n">
        <f aca="false">Spec_Rack!C32</f>
        <v>8</v>
      </c>
      <c r="R149" s="53" t="s">
        <v>554</v>
      </c>
      <c r="S149" s="83" t="str">
        <f aca="false">IF(OR($H149="—",$H149=""),"—",IF(ISNUMBER(MATCH($H149,SRC_HW!$A$5:$A$400,0)),INDEX(SRC_HW!$O$5:$O$400,MATCH($H149,SRC_HW!$A$5:$A$400,0)),IF(ISNUMBER(MATCH($H149,SRC_DC!$A$5:$A$400,0)),INDEX(SRC_DC!$O$5:$O$400,MATCH($H149,SRC_DC!$A$5:$A$400,0)),IF(ISNUMBER(MATCH($H149,SRC_Model!$A$5:$A$400,0)),INDEX(SRC_Model!$O$5:$O$400,MATCH($H149,SRC_Model!$A$5:$A$400,0)),IF(ISNUMBER(MATCH($H149,SRC_Perf!$A$5:$A$400,0)),INDEX(SRC_Perf!$O$5:$O$400,MATCH($H149,SRC_Perf!$A$5:$A$400,0)),"不存在")))))</f>
        <v>—</v>
      </c>
      <c r="T149" s="83" t="str">
        <f aca="false">IF(OR($H149="—",$H149=""),"—",IF(ISNUMBER(MATCH($H149,SRC_HW!$A$5:$A$400,0)),INDEX(SRC_HW!$K$5:$K$400,MATCH($H149,SRC_HW!$A$5:$A$400,0)),IF(ISNUMBER(MATCH($H149,SRC_DC!$A$5:$A$400,0)),INDEX(SRC_DC!$K$5:$K$400,MATCH($H149,SRC_DC!$A$5:$A$400,0)),IF(ISNUMBER(MATCH($H149,SRC_Model!$A$5:$A$400,0)),INDEX(SRC_Model!$K$5:$K$400,MATCH($H149,SRC_Model!$A$5:$A$400,0)),IF(ISNUMBER(MATCH($H149,SRC_Perf!$A$5:$A$400,0)),INDEX(SRC_Perf!$K$5:$K$400,MATCH($H149,SRC_Perf!$A$5:$A$400,0)),"不存在")))))</f>
        <v>—</v>
      </c>
      <c r="U149" s="52" t="s">
        <v>2302</v>
      </c>
      <c r="V149" s="103" t="n">
        <f aca="false">IF(AND($F149="原始數據",$U149&lt;&gt;"連結 SRC"),1,0)</f>
        <v>0</v>
      </c>
      <c r="W149" s="103" t="n">
        <f aca="false">IF(AND($F149="Analogy",OR($H149="—",$H149="")),1,0)</f>
        <v>0</v>
      </c>
      <c r="X149" s="103" t="n">
        <f aca="false">IF(AND(OR($F149="Analogy",$F149="Assumed"),$G149&lt;&gt;"低",$G149&lt;&gt;"高",NOT(ISNUMBER($K149)),NOT(ISNUMBER($L149)),OR($M149="—",$M149="")),1,0)</f>
        <v>0</v>
      </c>
      <c r="Y149" s="103" t="n">
        <f aca="false">IF(AND(OR($F149="Analogy",$F149="Assumed",$F149="Derived（待改公式）",$F149="Derived（公式）"),OR($N149="—",$N149="",$N149=0)),1,0)</f>
        <v>0</v>
      </c>
      <c r="Z149" s="103" t="n">
        <f aca="false">IF(AND($F149="Decision",OR($J149="—",$J149="")),1,0)</f>
        <v>0</v>
      </c>
      <c r="AA149" s="84" t="n">
        <f aca="false">IF(OR($J149="—",$J149=""),0,IF(COUNTIF(Decisions!$A$5:$A$300,$J149)=0,1,0))</f>
        <v>0</v>
      </c>
      <c r="AB149" s="103" t="n">
        <f aca="false">IF(AND($F149="原始數據",$S149&lt;&gt;"Active"),1,0)</f>
        <v>0</v>
      </c>
      <c r="AC149" s="103" t="n">
        <f aca="false">IF(AND(ISNUMBER($K149),ISNUMBER($L149),ISNUMBER($Q149)),IF(OR($Q149&lt;MIN($K149,$L149),$Q149&gt;MAX($K149,$L149)),1,0),0)</f>
        <v>0</v>
      </c>
      <c r="AD149" s="103" t="n">
        <f aca="false">IF(AND(ISNUMBER($T149),$P149="高"),IF($T149=3,1,0),0)</f>
        <v>0</v>
      </c>
      <c r="AE149" s="103" t="n">
        <f aca="false">IF(AND($S149="不存在",$B149="切片一"),1,0)</f>
        <v>0</v>
      </c>
    </row>
    <row r="150" customFormat="false" ht="29.85" hidden="false" customHeight="false" outlineLevel="0" collapsed="false">
      <c r="A150" s="53" t="s">
        <v>2686</v>
      </c>
      <c r="B150" s="52" t="s">
        <v>2297</v>
      </c>
      <c r="C150" s="53" t="s">
        <v>2460</v>
      </c>
      <c r="D150" s="53" t="s">
        <v>2413</v>
      </c>
      <c r="E150" s="5" t="s">
        <v>199</v>
      </c>
      <c r="F150" s="53" t="s">
        <v>74</v>
      </c>
      <c r="G150" s="52" t="s">
        <v>2299</v>
      </c>
      <c r="H150" s="53" t="s">
        <v>2687</v>
      </c>
      <c r="I150" s="5" t="s">
        <v>2688</v>
      </c>
      <c r="J150" s="53" t="s">
        <v>554</v>
      </c>
      <c r="K150" s="128" t="n">
        <v>2</v>
      </c>
      <c r="L150" s="128" t="n">
        <v>8</v>
      </c>
      <c r="M150" s="53" t="s">
        <v>2689</v>
      </c>
      <c r="N150" s="6" t="s">
        <v>2690</v>
      </c>
      <c r="O150" s="6" t="s">
        <v>554</v>
      </c>
      <c r="P150" s="52" t="s">
        <v>2307</v>
      </c>
      <c r="Q150" s="54" t="n">
        <f aca="false">Spec_Rack!D32</f>
        <v>4</v>
      </c>
      <c r="R150" s="83" t="n">
        <f aca="false">SRC_PERF_007</f>
        <v>4</v>
      </c>
      <c r="S150" s="83" t="str">
        <f aca="false">IF(OR($H150="—",$H150=""),"—",IF(ISNUMBER(MATCH($H150,SRC_HW!$A$5:$A$400,0)),INDEX(SRC_HW!$O$5:$O$400,MATCH($H150,SRC_HW!$A$5:$A$400,0)),IF(ISNUMBER(MATCH($H150,SRC_DC!$A$5:$A$400,0)),INDEX(SRC_DC!$O$5:$O$400,MATCH($H150,SRC_DC!$A$5:$A$400,0)),IF(ISNUMBER(MATCH($H150,SRC_Model!$A$5:$A$400,0)),INDEX(SRC_Model!$O$5:$O$400,MATCH($H150,SRC_Model!$A$5:$A$400,0)),IF(ISNUMBER(MATCH($H150,SRC_Perf!$A$5:$A$400,0)),INDEX(SRC_Perf!$O$5:$O$400,MATCH($H150,SRC_Perf!$A$5:$A$400,0)),"不存在")))))</f>
        <v>Active</v>
      </c>
      <c r="T150" s="83" t="n">
        <f aca="false">IF(OR($H150="—",$H150=""),"—",IF(ISNUMBER(MATCH($H150,SRC_HW!$A$5:$A$400,0)),INDEX(SRC_HW!$K$5:$K$400,MATCH($H150,SRC_HW!$A$5:$A$400,0)),IF(ISNUMBER(MATCH($H150,SRC_DC!$A$5:$A$400,0)),INDEX(SRC_DC!$K$5:$K$400,MATCH($H150,SRC_DC!$A$5:$A$400,0)),IF(ISNUMBER(MATCH($H150,SRC_Model!$A$5:$A$400,0)),INDEX(SRC_Model!$K$5:$K$400,MATCH($H150,SRC_Model!$A$5:$A$400,0)),IF(ISNUMBER(MATCH($H150,SRC_Perf!$A$5:$A$400,0)),INDEX(SRC_Perf!$K$5:$K$400,MATCH($H150,SRC_Perf!$A$5:$A$400,0)),"不存在")))))</f>
        <v>1</v>
      </c>
      <c r="U150" s="52" t="s">
        <v>2302</v>
      </c>
      <c r="V150" s="103" t="n">
        <f aca="false">IF(AND($F150="原始數據",$U150&lt;&gt;"連結 SRC"),1,0)</f>
        <v>0</v>
      </c>
      <c r="W150" s="103" t="n">
        <f aca="false">IF(AND($F150="Analogy",OR($H150="—",$H150="")),1,0)</f>
        <v>0</v>
      </c>
      <c r="X150" s="103" t="n">
        <f aca="false">IF(AND(OR($F150="Analogy",$F150="Assumed"),$G150&lt;&gt;"低",$G150&lt;&gt;"高",NOT(ISNUMBER($K150)),NOT(ISNUMBER($L150)),OR($M150="—",$M150="")),1,0)</f>
        <v>0</v>
      </c>
      <c r="Y150" s="103" t="n">
        <f aca="false">IF(AND(OR($F150="Analogy",$F150="Assumed",$F150="Derived（待改公式）",$F150="Derived（公式）"),OR($N150="—",$N150="",$N150=0)),1,0)</f>
        <v>0</v>
      </c>
      <c r="Z150" s="103" t="n">
        <f aca="false">IF(AND($F150="Decision",OR($J150="—",$J150="")),1,0)</f>
        <v>0</v>
      </c>
      <c r="AA150" s="84" t="n">
        <f aca="false">IF(OR($J150="—",$J150=""),0,IF(COUNTIF(Decisions!$A$5:$A$300,$J150)=0,1,0))</f>
        <v>0</v>
      </c>
      <c r="AB150" s="103" t="n">
        <f aca="false">IF(AND($F150="原始數據",$S150&lt;&gt;"Active"),1,0)</f>
        <v>0</v>
      </c>
      <c r="AC150" s="103" t="n">
        <f aca="false">IF(AND(ISNUMBER($K150),ISNUMBER($L150),ISNUMBER($Q150)),IF(OR($Q150&lt;MIN($K150,$L150),$Q150&gt;MAX($K150,$L150)),1,0),0)</f>
        <v>0</v>
      </c>
      <c r="AD150" s="103" t="n">
        <f aca="false">IF(AND(ISNUMBER($T150),$P150="高"),IF($T150=3,1,0),0)</f>
        <v>0</v>
      </c>
      <c r="AE150" s="103" t="n">
        <f aca="false">IF(AND($S150="不存在",$B150="切片一"),1,0)</f>
        <v>0</v>
      </c>
    </row>
    <row r="151" customFormat="false" ht="29.85" hidden="false" customHeight="false" outlineLevel="0" collapsed="false">
      <c r="A151" s="53" t="s">
        <v>2691</v>
      </c>
      <c r="B151" s="52" t="s">
        <v>2297</v>
      </c>
      <c r="C151" s="53" t="s">
        <v>2460</v>
      </c>
      <c r="D151" s="53" t="s">
        <v>2411</v>
      </c>
      <c r="E151" s="5" t="s">
        <v>199</v>
      </c>
      <c r="F151" s="52" t="s">
        <v>2337</v>
      </c>
      <c r="G151" s="52" t="s">
        <v>2299</v>
      </c>
      <c r="H151" s="53" t="s">
        <v>2687</v>
      </c>
      <c r="I151" s="5" t="s">
        <v>2339</v>
      </c>
      <c r="J151" s="53" t="s">
        <v>554</v>
      </c>
      <c r="K151" s="52"/>
      <c r="L151" s="52"/>
      <c r="M151" s="53" t="s">
        <v>554</v>
      </c>
      <c r="N151" s="5" t="s">
        <v>2340</v>
      </c>
      <c r="O151" s="6" t="s">
        <v>554</v>
      </c>
      <c r="P151" s="52" t="s">
        <v>2307</v>
      </c>
      <c r="Q151" s="54" t="n">
        <f aca="false">Spec_Rack!E32</f>
        <v>4</v>
      </c>
      <c r="R151" s="83" t="n">
        <f aca="false">SRC_PERF_007</f>
        <v>4</v>
      </c>
      <c r="S151" s="83" t="str">
        <f aca="false">IF(OR($H151="—",$H151=""),"—",IF(ISNUMBER(MATCH($H151,SRC_HW!$A$5:$A$400,0)),INDEX(SRC_HW!$O$5:$O$400,MATCH($H151,SRC_HW!$A$5:$A$400,0)),IF(ISNUMBER(MATCH($H151,SRC_DC!$A$5:$A$400,0)),INDEX(SRC_DC!$O$5:$O$400,MATCH($H151,SRC_DC!$A$5:$A$400,0)),IF(ISNUMBER(MATCH($H151,SRC_Model!$A$5:$A$400,0)),INDEX(SRC_Model!$O$5:$O$400,MATCH($H151,SRC_Model!$A$5:$A$400,0)),IF(ISNUMBER(MATCH($H151,SRC_Perf!$A$5:$A$400,0)),INDEX(SRC_Perf!$O$5:$O$400,MATCH($H151,SRC_Perf!$A$5:$A$400,0)),"不存在")))))</f>
        <v>Active</v>
      </c>
      <c r="T151" s="83" t="n">
        <f aca="false">IF(OR($H151="—",$H151=""),"—",IF(ISNUMBER(MATCH($H151,SRC_HW!$A$5:$A$400,0)),INDEX(SRC_HW!$K$5:$K$400,MATCH($H151,SRC_HW!$A$5:$A$400,0)),IF(ISNUMBER(MATCH($H151,SRC_DC!$A$5:$A$400,0)),INDEX(SRC_DC!$K$5:$K$400,MATCH($H151,SRC_DC!$A$5:$A$400,0)),IF(ISNUMBER(MATCH($H151,SRC_Model!$A$5:$A$400,0)),INDEX(SRC_Model!$K$5:$K$400,MATCH($H151,SRC_Model!$A$5:$A$400,0)),IF(ISNUMBER(MATCH($H151,SRC_Perf!$A$5:$A$400,0)),INDEX(SRC_Perf!$K$5:$K$400,MATCH($H151,SRC_Perf!$A$5:$A$400,0)),"不存在")))))</f>
        <v>1</v>
      </c>
      <c r="U151" s="52" t="s">
        <v>2341</v>
      </c>
      <c r="V151" s="103" t="n">
        <f aca="false">IF(AND($F151="原始數據",$U151&lt;&gt;"連結 SRC"),1,0)</f>
        <v>0</v>
      </c>
      <c r="W151" s="103" t="n">
        <f aca="false">IF(AND($F151="Analogy",OR($H151="—",$H151="")),1,0)</f>
        <v>0</v>
      </c>
      <c r="X151" s="103" t="n">
        <f aca="false">IF(AND(OR($F151="Analogy",$F151="Assumed"),$G151&lt;&gt;"低",$G151&lt;&gt;"高",NOT(ISNUMBER($K151)),NOT(ISNUMBER($L151)),OR($M151="—",$M151="")),1,0)</f>
        <v>0</v>
      </c>
      <c r="Y151" s="103" t="n">
        <f aca="false">IF(AND(OR($F151="Analogy",$F151="Assumed",$F151="Derived（待改公式）",$F151="Derived（公式）"),OR($N151="—",$N151="",$N151=0)),1,0)</f>
        <v>0</v>
      </c>
      <c r="Z151" s="103" t="n">
        <f aca="false">IF(AND($F151="Decision",OR($J151="—",$J151="")),1,0)</f>
        <v>0</v>
      </c>
      <c r="AA151" s="84" t="n">
        <f aca="false">IF(OR($J151="—",$J151=""),0,IF(COUNTIF(Decisions!$A$5:$A$300,$J151)=0,1,0))</f>
        <v>0</v>
      </c>
      <c r="AB151" s="103" t="n">
        <f aca="false">IF(AND($F151="原始數據",$S151&lt;&gt;"Active"),1,0)</f>
        <v>0</v>
      </c>
      <c r="AC151" s="103" t="n">
        <f aca="false">IF(AND(ISNUMBER($K151),ISNUMBER($L151),ISNUMBER($Q151)),IF(OR($Q151&lt;MIN($K151,$L151),$Q151&gt;MAX($K151,$L151)),1,0),0)</f>
        <v>0</v>
      </c>
      <c r="AD151" s="103" t="n">
        <f aca="false">IF(AND(ISNUMBER($T151),$P151="高"),IF($T151=3,1,0),0)</f>
        <v>0</v>
      </c>
      <c r="AE151" s="103" t="n">
        <f aca="false">IF(AND($S151="不存在",$B151="切片一"),1,0)</f>
        <v>0</v>
      </c>
    </row>
    <row r="152" customFormat="false" ht="29.85" hidden="false" customHeight="false" outlineLevel="0" collapsed="false">
      <c r="A152" s="53" t="s">
        <v>2692</v>
      </c>
      <c r="B152" s="52" t="s">
        <v>2297</v>
      </c>
      <c r="C152" s="53" t="s">
        <v>2460</v>
      </c>
      <c r="D152" s="53" t="s">
        <v>2415</v>
      </c>
      <c r="E152" s="5" t="s">
        <v>199</v>
      </c>
      <c r="F152" s="53" t="s">
        <v>74</v>
      </c>
      <c r="G152" s="52" t="s">
        <v>2299</v>
      </c>
      <c r="H152" s="53" t="s">
        <v>2687</v>
      </c>
      <c r="I152" s="5" t="s">
        <v>2688</v>
      </c>
      <c r="J152" s="53" t="s">
        <v>554</v>
      </c>
      <c r="K152" s="128" t="n">
        <v>2</v>
      </c>
      <c r="L152" s="128" t="n">
        <v>8</v>
      </c>
      <c r="M152" s="53" t="s">
        <v>2689</v>
      </c>
      <c r="N152" s="6" t="s">
        <v>2690</v>
      </c>
      <c r="O152" s="6" t="s">
        <v>554</v>
      </c>
      <c r="P152" s="52" t="s">
        <v>2307</v>
      </c>
      <c r="Q152" s="54" t="n">
        <f aca="false">Spec_Rack!F32</f>
        <v>4</v>
      </c>
      <c r="R152" s="83" t="n">
        <f aca="false">SRC_PERF_007</f>
        <v>4</v>
      </c>
      <c r="S152" s="83" t="str">
        <f aca="false">IF(OR($H152="—",$H152=""),"—",IF(ISNUMBER(MATCH($H152,SRC_HW!$A$5:$A$400,0)),INDEX(SRC_HW!$O$5:$O$400,MATCH($H152,SRC_HW!$A$5:$A$400,0)),IF(ISNUMBER(MATCH($H152,SRC_DC!$A$5:$A$400,0)),INDEX(SRC_DC!$O$5:$O$400,MATCH($H152,SRC_DC!$A$5:$A$400,0)),IF(ISNUMBER(MATCH($H152,SRC_Model!$A$5:$A$400,0)),INDEX(SRC_Model!$O$5:$O$400,MATCH($H152,SRC_Model!$A$5:$A$400,0)),IF(ISNUMBER(MATCH($H152,SRC_Perf!$A$5:$A$400,0)),INDEX(SRC_Perf!$O$5:$O$400,MATCH($H152,SRC_Perf!$A$5:$A$400,0)),"不存在")))))</f>
        <v>Active</v>
      </c>
      <c r="T152" s="83" t="n">
        <f aca="false">IF(OR($H152="—",$H152=""),"—",IF(ISNUMBER(MATCH($H152,SRC_HW!$A$5:$A$400,0)),INDEX(SRC_HW!$K$5:$K$400,MATCH($H152,SRC_HW!$A$5:$A$400,0)),IF(ISNUMBER(MATCH($H152,SRC_DC!$A$5:$A$400,0)),INDEX(SRC_DC!$K$5:$K$400,MATCH($H152,SRC_DC!$A$5:$A$400,0)),IF(ISNUMBER(MATCH($H152,SRC_Model!$A$5:$A$400,0)),INDEX(SRC_Model!$K$5:$K$400,MATCH($H152,SRC_Model!$A$5:$A$400,0)),IF(ISNUMBER(MATCH($H152,SRC_Perf!$A$5:$A$400,0)),INDEX(SRC_Perf!$K$5:$K$400,MATCH($H152,SRC_Perf!$A$5:$A$400,0)),"不存在")))))</f>
        <v>1</v>
      </c>
      <c r="U152" s="52" t="s">
        <v>2302</v>
      </c>
      <c r="V152" s="103" t="n">
        <f aca="false">IF(AND($F152="原始數據",$U152&lt;&gt;"連結 SRC"),1,0)</f>
        <v>0</v>
      </c>
      <c r="W152" s="103" t="n">
        <f aca="false">IF(AND($F152="Analogy",OR($H152="—",$H152="")),1,0)</f>
        <v>0</v>
      </c>
      <c r="X152" s="103" t="n">
        <f aca="false">IF(AND(OR($F152="Analogy",$F152="Assumed"),$G152&lt;&gt;"低",$G152&lt;&gt;"高",NOT(ISNUMBER($K152)),NOT(ISNUMBER($L152)),OR($M152="—",$M152="")),1,0)</f>
        <v>0</v>
      </c>
      <c r="Y152" s="103" t="n">
        <f aca="false">IF(AND(OR($F152="Analogy",$F152="Assumed",$F152="Derived（待改公式）",$F152="Derived（公式）"),OR($N152="—",$N152="",$N152=0)),1,0)</f>
        <v>0</v>
      </c>
      <c r="Z152" s="103" t="n">
        <f aca="false">IF(AND($F152="Decision",OR($J152="—",$J152="")),1,0)</f>
        <v>0</v>
      </c>
      <c r="AA152" s="84" t="n">
        <f aca="false">IF(OR($J152="—",$J152=""),0,IF(COUNTIF(Decisions!$A$5:$A$300,$J152)=0,1,0))</f>
        <v>0</v>
      </c>
      <c r="AB152" s="103" t="n">
        <f aca="false">IF(AND($F152="原始數據",$S152&lt;&gt;"Active"),1,0)</f>
        <v>0</v>
      </c>
      <c r="AC152" s="103" t="n">
        <f aca="false">IF(AND(ISNUMBER($K152),ISNUMBER($L152),ISNUMBER($Q152)),IF(OR($Q152&lt;MIN($K152,$L152),$Q152&gt;MAX($K152,$L152)),1,0),0)</f>
        <v>0</v>
      </c>
      <c r="AD152" s="103" t="n">
        <f aca="false">IF(AND(ISNUMBER($T152),$P152="高"),IF($T152=3,1,0),0)</f>
        <v>0</v>
      </c>
      <c r="AE152" s="103" t="n">
        <f aca="false">IF(AND($S152="不存在",$B152="切片一"),1,0)</f>
        <v>0</v>
      </c>
    </row>
    <row r="153" customFormat="false" ht="29.85" hidden="false" customHeight="false" outlineLevel="0" collapsed="false">
      <c r="A153" s="53" t="s">
        <v>2693</v>
      </c>
      <c r="B153" s="52" t="s">
        <v>2297</v>
      </c>
      <c r="C153" s="53" t="s">
        <v>2460</v>
      </c>
      <c r="D153" s="53" t="s">
        <v>2694</v>
      </c>
      <c r="E153" s="5" t="s">
        <v>199</v>
      </c>
      <c r="F153" s="53" t="s">
        <v>70</v>
      </c>
      <c r="G153" s="52" t="s">
        <v>2299</v>
      </c>
      <c r="H153" s="53" t="s">
        <v>554</v>
      </c>
      <c r="I153" s="6" t="s">
        <v>554</v>
      </c>
      <c r="J153" s="53" t="s">
        <v>554</v>
      </c>
      <c r="K153" s="128" t="n">
        <v>4</v>
      </c>
      <c r="L153" s="128" t="n">
        <v>16</v>
      </c>
      <c r="M153" s="53" t="s">
        <v>2684</v>
      </c>
      <c r="N153" s="6" t="s">
        <v>2576</v>
      </c>
      <c r="O153" s="6" t="s">
        <v>554</v>
      </c>
      <c r="P153" s="52" t="s">
        <v>2307</v>
      </c>
      <c r="Q153" s="54" t="n">
        <f aca="false">Spec_Rack!G32</f>
        <v>8</v>
      </c>
      <c r="R153" s="53" t="s">
        <v>554</v>
      </c>
      <c r="S153" s="83" t="str">
        <f aca="false">IF(OR($H153="—",$H153=""),"—",IF(ISNUMBER(MATCH($H153,SRC_HW!$A$5:$A$400,0)),INDEX(SRC_HW!$O$5:$O$400,MATCH($H153,SRC_HW!$A$5:$A$400,0)),IF(ISNUMBER(MATCH($H153,SRC_DC!$A$5:$A$400,0)),INDEX(SRC_DC!$O$5:$O$400,MATCH($H153,SRC_DC!$A$5:$A$400,0)),IF(ISNUMBER(MATCH($H153,SRC_Model!$A$5:$A$400,0)),INDEX(SRC_Model!$O$5:$O$400,MATCH($H153,SRC_Model!$A$5:$A$400,0)),IF(ISNUMBER(MATCH($H153,SRC_Perf!$A$5:$A$400,0)),INDEX(SRC_Perf!$O$5:$O$400,MATCH($H153,SRC_Perf!$A$5:$A$400,0)),"不存在")))))</f>
        <v>—</v>
      </c>
      <c r="T153" s="83" t="str">
        <f aca="false">IF(OR($H153="—",$H153=""),"—",IF(ISNUMBER(MATCH($H153,SRC_HW!$A$5:$A$400,0)),INDEX(SRC_HW!$K$5:$K$400,MATCH($H153,SRC_HW!$A$5:$A$400,0)),IF(ISNUMBER(MATCH($H153,SRC_DC!$A$5:$A$400,0)),INDEX(SRC_DC!$K$5:$K$400,MATCH($H153,SRC_DC!$A$5:$A$400,0)),IF(ISNUMBER(MATCH($H153,SRC_Model!$A$5:$A$400,0)),INDEX(SRC_Model!$K$5:$K$400,MATCH($H153,SRC_Model!$A$5:$A$400,0)),IF(ISNUMBER(MATCH($H153,SRC_Perf!$A$5:$A$400,0)),INDEX(SRC_Perf!$K$5:$K$400,MATCH($H153,SRC_Perf!$A$5:$A$400,0)),"不存在")))))</f>
        <v>—</v>
      </c>
      <c r="U153" s="52" t="s">
        <v>2302</v>
      </c>
      <c r="V153" s="103" t="n">
        <f aca="false">IF(AND($F153="原始數據",$U153&lt;&gt;"連結 SRC"),1,0)</f>
        <v>0</v>
      </c>
      <c r="W153" s="103" t="n">
        <f aca="false">IF(AND($F153="Analogy",OR($H153="—",$H153="")),1,0)</f>
        <v>0</v>
      </c>
      <c r="X153" s="103" t="n">
        <f aca="false">IF(AND(OR($F153="Analogy",$F153="Assumed"),$G153&lt;&gt;"低",$G153&lt;&gt;"高",NOT(ISNUMBER($K153)),NOT(ISNUMBER($L153)),OR($M153="—",$M153="")),1,0)</f>
        <v>0</v>
      </c>
      <c r="Y153" s="103" t="n">
        <f aca="false">IF(AND(OR($F153="Analogy",$F153="Assumed",$F153="Derived（待改公式）",$F153="Derived（公式）"),OR($N153="—",$N153="",$N153=0)),1,0)</f>
        <v>0</v>
      </c>
      <c r="Z153" s="103" t="n">
        <f aca="false">IF(AND($F153="Decision",OR($J153="—",$J153="")),1,0)</f>
        <v>0</v>
      </c>
      <c r="AA153" s="84" t="n">
        <f aca="false">IF(OR($J153="—",$J153=""),0,IF(COUNTIF(Decisions!$A$5:$A$300,$J153)=0,1,0))</f>
        <v>0</v>
      </c>
      <c r="AB153" s="103" t="n">
        <f aca="false">IF(AND($F153="原始數據",$S153&lt;&gt;"Active"),1,0)</f>
        <v>0</v>
      </c>
      <c r="AC153" s="103" t="n">
        <f aca="false">IF(AND(ISNUMBER($K153),ISNUMBER($L153),ISNUMBER($Q153)),IF(OR($Q153&lt;MIN($K153,$L153),$Q153&gt;MAX($K153,$L153)),1,0),0)</f>
        <v>0</v>
      </c>
      <c r="AD153" s="103" t="n">
        <f aca="false">IF(AND(ISNUMBER($T153),$P153="高"),IF($T153=3,1,0),0)</f>
        <v>0</v>
      </c>
      <c r="AE153" s="103" t="n">
        <f aca="false">IF(AND($S153="不存在",$B153="切片一"),1,0)</f>
        <v>0</v>
      </c>
    </row>
    <row r="154" customFormat="false" ht="15" hidden="false" customHeight="false" outlineLevel="0" collapsed="false">
      <c r="A154" s="53" t="s">
        <v>2695</v>
      </c>
      <c r="B154" s="52" t="s">
        <v>2297</v>
      </c>
      <c r="C154" s="53" t="s">
        <v>2460</v>
      </c>
      <c r="D154" s="53" t="s">
        <v>2696</v>
      </c>
      <c r="E154" s="6" t="s">
        <v>201</v>
      </c>
      <c r="F154" s="52" t="s">
        <v>2337</v>
      </c>
      <c r="G154" s="52" t="s">
        <v>2299</v>
      </c>
      <c r="H154" s="53" t="s">
        <v>2697</v>
      </c>
      <c r="I154" s="5" t="s">
        <v>2339</v>
      </c>
      <c r="J154" s="53" t="s">
        <v>554</v>
      </c>
      <c r="K154" s="52"/>
      <c r="L154" s="52"/>
      <c r="M154" s="53" t="s">
        <v>554</v>
      </c>
      <c r="N154" s="5" t="s">
        <v>2340</v>
      </c>
      <c r="O154" s="6" t="s">
        <v>554</v>
      </c>
      <c r="P154" s="52" t="s">
        <v>2307</v>
      </c>
      <c r="Q154" s="54" t="n">
        <f aca="false">Spec_Rack!C33</f>
        <v>700</v>
      </c>
      <c r="R154" s="83" t="n">
        <f aca="false">SRC_HW_056</f>
        <v>700</v>
      </c>
      <c r="S154" s="83" t="str">
        <f aca="false">IF(OR($H154="—",$H154=""),"—",IF(ISNUMBER(MATCH($H154,SRC_HW!$A$5:$A$400,0)),INDEX(SRC_HW!$O$5:$O$400,MATCH($H154,SRC_HW!$A$5:$A$400,0)),IF(ISNUMBER(MATCH($H154,SRC_DC!$A$5:$A$400,0)),INDEX(SRC_DC!$O$5:$O$400,MATCH($H154,SRC_DC!$A$5:$A$400,0)),IF(ISNUMBER(MATCH($H154,SRC_Model!$A$5:$A$400,0)),INDEX(SRC_Model!$O$5:$O$400,MATCH($H154,SRC_Model!$A$5:$A$400,0)),IF(ISNUMBER(MATCH($H154,SRC_Perf!$A$5:$A$400,0)),INDEX(SRC_Perf!$O$5:$O$400,MATCH($H154,SRC_Perf!$A$5:$A$400,0)),"不存在")))))</f>
        <v>Active</v>
      </c>
      <c r="T154" s="83" t="n">
        <f aca="false">IF(OR($H154="—",$H154=""),"—",IF(ISNUMBER(MATCH($H154,SRC_HW!$A$5:$A$400,0)),INDEX(SRC_HW!$K$5:$K$400,MATCH($H154,SRC_HW!$A$5:$A$400,0)),IF(ISNUMBER(MATCH($H154,SRC_DC!$A$5:$A$400,0)),INDEX(SRC_DC!$K$5:$K$400,MATCH($H154,SRC_DC!$A$5:$A$400,0)),IF(ISNUMBER(MATCH($H154,SRC_Model!$A$5:$A$400,0)),INDEX(SRC_Model!$K$5:$K$400,MATCH($H154,SRC_Model!$A$5:$A$400,0)),IF(ISNUMBER(MATCH($H154,SRC_Perf!$A$5:$A$400,0)),INDEX(SRC_Perf!$K$5:$K$400,MATCH($H154,SRC_Perf!$A$5:$A$400,0)),"不存在")))))</f>
        <v>3</v>
      </c>
      <c r="U154" s="52" t="s">
        <v>2341</v>
      </c>
      <c r="V154" s="103" t="n">
        <f aca="false">IF(AND($F154="原始數據",$U154&lt;&gt;"連結 SRC"),1,0)</f>
        <v>0</v>
      </c>
      <c r="W154" s="103" t="n">
        <f aca="false">IF(AND($F154="Analogy",OR($H154="—",$H154="")),1,0)</f>
        <v>0</v>
      </c>
      <c r="X154" s="103" t="n">
        <f aca="false">IF(AND(OR($F154="Analogy",$F154="Assumed"),$G154&lt;&gt;"低",$G154&lt;&gt;"高",NOT(ISNUMBER($K154)),NOT(ISNUMBER($L154)),OR($M154="—",$M154="")),1,0)</f>
        <v>0</v>
      </c>
      <c r="Y154" s="103" t="n">
        <f aca="false">IF(AND(OR($F154="Analogy",$F154="Assumed",$F154="Derived（待改公式）",$F154="Derived（公式）"),OR($N154="—",$N154="",$N154=0)),1,0)</f>
        <v>0</v>
      </c>
      <c r="Z154" s="103" t="n">
        <f aca="false">IF(AND($F154="Decision",OR($J154="—",$J154="")),1,0)</f>
        <v>0</v>
      </c>
      <c r="AA154" s="84" t="n">
        <f aca="false">IF(OR($J154="—",$J154=""),0,IF(COUNTIF(Decisions!$A$5:$A$300,$J154)=0,1,0))</f>
        <v>0</v>
      </c>
      <c r="AB154" s="103" t="n">
        <f aca="false">IF(AND($F154="原始數據",$S154&lt;&gt;"Active"),1,0)</f>
        <v>0</v>
      </c>
      <c r="AC154" s="103" t="n">
        <f aca="false">IF(AND(ISNUMBER($K154),ISNUMBER($L154),ISNUMBER($Q154)),IF(OR($Q154&lt;MIN($K154,$L154),$Q154&gt;MAX($K154,$L154)),1,0),0)</f>
        <v>0</v>
      </c>
      <c r="AD154" s="103" t="n">
        <f aca="false">IF(AND(ISNUMBER($T154),$P154="高"),IF($T154=3,1,0),0)</f>
        <v>0</v>
      </c>
      <c r="AE154" s="103" t="n">
        <f aca="false">IF(AND($S154="不存在",$B154="切片一"),1,0)</f>
        <v>0</v>
      </c>
    </row>
    <row r="155" customFormat="false" ht="15" hidden="false" customHeight="false" outlineLevel="0" collapsed="false">
      <c r="A155" s="53" t="s">
        <v>2698</v>
      </c>
      <c r="B155" s="52" t="s">
        <v>2297</v>
      </c>
      <c r="C155" s="53" t="s">
        <v>2460</v>
      </c>
      <c r="D155" s="53" t="s">
        <v>2419</v>
      </c>
      <c r="E155" s="6" t="s">
        <v>201</v>
      </c>
      <c r="F155" s="52" t="s">
        <v>2337</v>
      </c>
      <c r="G155" s="52" t="s">
        <v>2299</v>
      </c>
      <c r="H155" s="53" t="s">
        <v>2699</v>
      </c>
      <c r="I155" s="5" t="s">
        <v>2339</v>
      </c>
      <c r="J155" s="53" t="s">
        <v>554</v>
      </c>
      <c r="K155" s="52"/>
      <c r="L155" s="52"/>
      <c r="M155" s="53" t="s">
        <v>554</v>
      </c>
      <c r="N155" s="5" t="s">
        <v>2340</v>
      </c>
      <c r="O155" s="6" t="s">
        <v>554</v>
      </c>
      <c r="P155" s="52" t="s">
        <v>2307</v>
      </c>
      <c r="Q155" s="54" t="n">
        <f aca="false">Spec_Rack!D33</f>
        <v>1200</v>
      </c>
      <c r="R155" s="83" t="n">
        <f aca="false">SRC_HW_057</f>
        <v>1200</v>
      </c>
      <c r="S155" s="83" t="str">
        <f aca="false">IF(OR($H155="—",$H155=""),"—",IF(ISNUMBER(MATCH($H155,SRC_HW!$A$5:$A$400,0)),INDEX(SRC_HW!$O$5:$O$400,MATCH($H155,SRC_HW!$A$5:$A$400,0)),IF(ISNUMBER(MATCH($H155,SRC_DC!$A$5:$A$400,0)),INDEX(SRC_DC!$O$5:$O$400,MATCH($H155,SRC_DC!$A$5:$A$400,0)),IF(ISNUMBER(MATCH($H155,SRC_Model!$A$5:$A$400,0)),INDEX(SRC_Model!$O$5:$O$400,MATCH($H155,SRC_Model!$A$5:$A$400,0)),IF(ISNUMBER(MATCH($H155,SRC_Perf!$A$5:$A$400,0)),INDEX(SRC_Perf!$O$5:$O$400,MATCH($H155,SRC_Perf!$A$5:$A$400,0)),"不存在")))))</f>
        <v>Active</v>
      </c>
      <c r="T155" s="83" t="n">
        <f aca="false">IF(OR($H155="—",$H155=""),"—",IF(ISNUMBER(MATCH($H155,SRC_HW!$A$5:$A$400,0)),INDEX(SRC_HW!$K$5:$K$400,MATCH($H155,SRC_HW!$A$5:$A$400,0)),IF(ISNUMBER(MATCH($H155,SRC_DC!$A$5:$A$400,0)),INDEX(SRC_DC!$K$5:$K$400,MATCH($H155,SRC_DC!$A$5:$A$400,0)),IF(ISNUMBER(MATCH($H155,SRC_Model!$A$5:$A$400,0)),INDEX(SRC_Model!$K$5:$K$400,MATCH($H155,SRC_Model!$A$5:$A$400,0)),IF(ISNUMBER(MATCH($H155,SRC_Perf!$A$5:$A$400,0)),INDEX(SRC_Perf!$K$5:$K$400,MATCH($H155,SRC_Perf!$A$5:$A$400,0)),"不存在")))))</f>
        <v>3</v>
      </c>
      <c r="U155" s="52" t="s">
        <v>2341</v>
      </c>
      <c r="V155" s="103" t="n">
        <f aca="false">IF(AND($F155="原始數據",$U155&lt;&gt;"連結 SRC"),1,0)</f>
        <v>0</v>
      </c>
      <c r="W155" s="103" t="n">
        <f aca="false">IF(AND($F155="Analogy",OR($H155="—",$H155="")),1,0)</f>
        <v>0</v>
      </c>
      <c r="X155" s="103" t="n">
        <f aca="false">IF(AND(OR($F155="Analogy",$F155="Assumed"),$G155&lt;&gt;"低",$G155&lt;&gt;"高",NOT(ISNUMBER($K155)),NOT(ISNUMBER($L155)),OR($M155="—",$M155="")),1,0)</f>
        <v>0</v>
      </c>
      <c r="Y155" s="103" t="n">
        <f aca="false">IF(AND(OR($F155="Analogy",$F155="Assumed",$F155="Derived（待改公式）",$F155="Derived（公式）"),OR($N155="—",$N155="",$N155=0)),1,0)</f>
        <v>0</v>
      </c>
      <c r="Z155" s="103" t="n">
        <f aca="false">IF(AND($F155="Decision",OR($J155="—",$J155="")),1,0)</f>
        <v>0</v>
      </c>
      <c r="AA155" s="84" t="n">
        <f aca="false">IF(OR($J155="—",$J155=""),0,IF(COUNTIF(Decisions!$A$5:$A$300,$J155)=0,1,0))</f>
        <v>0</v>
      </c>
      <c r="AB155" s="103" t="n">
        <f aca="false">IF(AND($F155="原始數據",$S155&lt;&gt;"Active"),1,0)</f>
        <v>0</v>
      </c>
      <c r="AC155" s="103" t="n">
        <f aca="false">IF(AND(ISNUMBER($K155),ISNUMBER($L155),ISNUMBER($Q155)),IF(OR($Q155&lt;MIN($K155,$L155),$Q155&gt;MAX($K155,$L155)),1,0),0)</f>
        <v>0</v>
      </c>
      <c r="AD155" s="103" t="n">
        <f aca="false">IF(AND(ISNUMBER($T155),$P155="高"),IF($T155=3,1,0),0)</f>
        <v>0</v>
      </c>
      <c r="AE155" s="103" t="n">
        <f aca="false">IF(AND($S155="不存在",$B155="切片一"),1,0)</f>
        <v>0</v>
      </c>
    </row>
    <row r="156" customFormat="false" ht="15" hidden="false" customHeight="false" outlineLevel="0" collapsed="false">
      <c r="A156" s="53" t="s">
        <v>2700</v>
      </c>
      <c r="B156" s="52" t="s">
        <v>2297</v>
      </c>
      <c r="C156" s="53" t="s">
        <v>2460</v>
      </c>
      <c r="D156" s="53" t="s">
        <v>2417</v>
      </c>
      <c r="E156" s="6" t="s">
        <v>201</v>
      </c>
      <c r="F156" s="52" t="s">
        <v>2337</v>
      </c>
      <c r="G156" s="52" t="s">
        <v>2299</v>
      </c>
      <c r="H156" s="53" t="s">
        <v>2701</v>
      </c>
      <c r="I156" s="5" t="s">
        <v>2339</v>
      </c>
      <c r="J156" s="53" t="s">
        <v>554</v>
      </c>
      <c r="K156" s="52"/>
      <c r="L156" s="52"/>
      <c r="M156" s="53" t="s">
        <v>554</v>
      </c>
      <c r="N156" s="5" t="s">
        <v>2340</v>
      </c>
      <c r="O156" s="6" t="s">
        <v>554</v>
      </c>
      <c r="P156" s="52" t="s">
        <v>2307</v>
      </c>
      <c r="Q156" s="54" t="n">
        <f aca="false">Spec_Rack!E33</f>
        <v>1400</v>
      </c>
      <c r="R156" s="83" t="n">
        <f aca="false">SRC_HW_058</f>
        <v>1400</v>
      </c>
      <c r="S156" s="83" t="str">
        <f aca="false">IF(OR($H156="—",$H156=""),"—",IF(ISNUMBER(MATCH($H156,SRC_HW!$A$5:$A$400,0)),INDEX(SRC_HW!$O$5:$O$400,MATCH($H156,SRC_HW!$A$5:$A$400,0)),IF(ISNUMBER(MATCH($H156,SRC_DC!$A$5:$A$400,0)),INDEX(SRC_DC!$O$5:$O$400,MATCH($H156,SRC_DC!$A$5:$A$400,0)),IF(ISNUMBER(MATCH($H156,SRC_Model!$A$5:$A$400,0)),INDEX(SRC_Model!$O$5:$O$400,MATCH($H156,SRC_Model!$A$5:$A$400,0)),IF(ISNUMBER(MATCH($H156,SRC_Perf!$A$5:$A$400,0)),INDEX(SRC_Perf!$O$5:$O$400,MATCH($H156,SRC_Perf!$A$5:$A$400,0)),"不存在")))))</f>
        <v>Active</v>
      </c>
      <c r="T156" s="83" t="n">
        <f aca="false">IF(OR($H156="—",$H156=""),"—",IF(ISNUMBER(MATCH($H156,SRC_HW!$A$5:$A$400,0)),INDEX(SRC_HW!$K$5:$K$400,MATCH($H156,SRC_HW!$A$5:$A$400,0)),IF(ISNUMBER(MATCH($H156,SRC_DC!$A$5:$A$400,0)),INDEX(SRC_DC!$K$5:$K$400,MATCH($H156,SRC_DC!$A$5:$A$400,0)),IF(ISNUMBER(MATCH($H156,SRC_Model!$A$5:$A$400,0)),INDEX(SRC_Model!$K$5:$K$400,MATCH($H156,SRC_Model!$A$5:$A$400,0)),IF(ISNUMBER(MATCH($H156,SRC_Perf!$A$5:$A$400,0)),INDEX(SRC_Perf!$K$5:$K$400,MATCH($H156,SRC_Perf!$A$5:$A$400,0)),"不存在")))))</f>
        <v>3</v>
      </c>
      <c r="U156" s="52" t="s">
        <v>2341</v>
      </c>
      <c r="V156" s="103" t="n">
        <f aca="false">IF(AND($F156="原始數據",$U156&lt;&gt;"連結 SRC"),1,0)</f>
        <v>0</v>
      </c>
      <c r="W156" s="103" t="n">
        <f aca="false">IF(AND($F156="Analogy",OR($H156="—",$H156="")),1,0)</f>
        <v>0</v>
      </c>
      <c r="X156" s="103" t="n">
        <f aca="false">IF(AND(OR($F156="Analogy",$F156="Assumed"),$G156&lt;&gt;"低",$G156&lt;&gt;"高",NOT(ISNUMBER($K156)),NOT(ISNUMBER($L156)),OR($M156="—",$M156="")),1,0)</f>
        <v>0</v>
      </c>
      <c r="Y156" s="103" t="n">
        <f aca="false">IF(AND(OR($F156="Analogy",$F156="Assumed",$F156="Derived（待改公式）",$F156="Derived（公式）"),OR($N156="—",$N156="",$N156=0)),1,0)</f>
        <v>0</v>
      </c>
      <c r="Z156" s="103" t="n">
        <f aca="false">IF(AND($F156="Decision",OR($J156="—",$J156="")),1,0)</f>
        <v>0</v>
      </c>
      <c r="AA156" s="84" t="n">
        <f aca="false">IF(OR($J156="—",$J156=""),0,IF(COUNTIF(Decisions!$A$5:$A$300,$J156)=0,1,0))</f>
        <v>0</v>
      </c>
      <c r="AB156" s="103" t="n">
        <f aca="false">IF(AND($F156="原始數據",$S156&lt;&gt;"Active"),1,0)</f>
        <v>0</v>
      </c>
      <c r="AC156" s="103" t="n">
        <f aca="false">IF(AND(ISNUMBER($K156),ISNUMBER($L156),ISNUMBER($Q156)),IF(OR($Q156&lt;MIN($K156,$L156),$Q156&gt;MAX($K156,$L156)),1,0),0)</f>
        <v>0</v>
      </c>
      <c r="AD156" s="103" t="n">
        <f aca="false">IF(AND(ISNUMBER($T156),$P156="高"),IF($T156=3,1,0),0)</f>
        <v>0</v>
      </c>
      <c r="AE156" s="103" t="n">
        <f aca="false">IF(AND($S156="不存在",$B156="切片一"),1,0)</f>
        <v>0</v>
      </c>
    </row>
    <row r="157" customFormat="false" ht="15" hidden="false" customHeight="false" outlineLevel="0" collapsed="false">
      <c r="A157" s="53" t="s">
        <v>2702</v>
      </c>
      <c r="B157" s="52" t="s">
        <v>2297</v>
      </c>
      <c r="C157" s="53" t="s">
        <v>2460</v>
      </c>
      <c r="D157" s="53" t="s">
        <v>2421</v>
      </c>
      <c r="E157" s="6" t="s">
        <v>201</v>
      </c>
      <c r="F157" s="52" t="s">
        <v>2337</v>
      </c>
      <c r="G157" s="52" t="s">
        <v>2299</v>
      </c>
      <c r="H157" s="53" t="s">
        <v>2703</v>
      </c>
      <c r="I157" s="5" t="s">
        <v>2627</v>
      </c>
      <c r="J157" s="53" t="s">
        <v>554</v>
      </c>
      <c r="K157" s="52"/>
      <c r="L157" s="52"/>
      <c r="M157" s="53" t="s">
        <v>554</v>
      </c>
      <c r="N157" s="5" t="s">
        <v>2340</v>
      </c>
      <c r="O157" s="6" t="s">
        <v>554</v>
      </c>
      <c r="P157" s="52" t="s">
        <v>2307</v>
      </c>
      <c r="Q157" s="54" t="n">
        <f aca="false">Spec_Rack!F33</f>
        <v>1800</v>
      </c>
      <c r="R157" s="83" t="n">
        <f aca="false">SRC_HW_046</f>
        <v>1.8</v>
      </c>
      <c r="S157" s="83" t="str">
        <f aca="false">IF(OR($H157="—",$H157=""),"—",IF(ISNUMBER(MATCH($H157,SRC_HW!$A$5:$A$400,0)),INDEX(SRC_HW!$O$5:$O$400,MATCH($H157,SRC_HW!$A$5:$A$400,0)),IF(ISNUMBER(MATCH($H157,SRC_DC!$A$5:$A$400,0)),INDEX(SRC_DC!$O$5:$O$400,MATCH($H157,SRC_DC!$A$5:$A$400,0)),IF(ISNUMBER(MATCH($H157,SRC_Model!$A$5:$A$400,0)),INDEX(SRC_Model!$O$5:$O$400,MATCH($H157,SRC_Model!$A$5:$A$400,0)),IF(ISNUMBER(MATCH($H157,SRC_Perf!$A$5:$A$400,0)),INDEX(SRC_Perf!$O$5:$O$400,MATCH($H157,SRC_Perf!$A$5:$A$400,0)),"不存在")))))</f>
        <v>Active</v>
      </c>
      <c r="T157" s="83" t="n">
        <f aca="false">IF(OR($H157="—",$H157=""),"—",IF(ISNUMBER(MATCH($H157,SRC_HW!$A$5:$A$400,0)),INDEX(SRC_HW!$K$5:$K$400,MATCH($H157,SRC_HW!$A$5:$A$400,0)),IF(ISNUMBER(MATCH($H157,SRC_DC!$A$5:$A$400,0)),INDEX(SRC_DC!$K$5:$K$400,MATCH($H157,SRC_DC!$A$5:$A$400,0)),IF(ISNUMBER(MATCH($H157,SRC_Model!$A$5:$A$400,0)),INDEX(SRC_Model!$K$5:$K$400,MATCH($H157,SRC_Model!$A$5:$A$400,0)),IF(ISNUMBER(MATCH($H157,SRC_Perf!$A$5:$A$400,0)),INDEX(SRC_Perf!$K$5:$K$400,MATCH($H157,SRC_Perf!$A$5:$A$400,0)),"不存在")))))</f>
        <v>3</v>
      </c>
      <c r="U157" s="52" t="s">
        <v>2341</v>
      </c>
      <c r="V157" s="103" t="n">
        <f aca="false">IF(AND($F157="原始數據",$U157&lt;&gt;"連結 SRC"),1,0)</f>
        <v>0</v>
      </c>
      <c r="W157" s="103" t="n">
        <f aca="false">IF(AND($F157="Analogy",OR($H157="—",$H157="")),1,0)</f>
        <v>0</v>
      </c>
      <c r="X157" s="103" t="n">
        <f aca="false">IF(AND(OR($F157="Analogy",$F157="Assumed"),$G157&lt;&gt;"低",$G157&lt;&gt;"高",NOT(ISNUMBER($K157)),NOT(ISNUMBER($L157)),OR($M157="—",$M157="")),1,0)</f>
        <v>0</v>
      </c>
      <c r="Y157" s="103" t="n">
        <f aca="false">IF(AND(OR($F157="Analogy",$F157="Assumed",$F157="Derived（待改公式）",$F157="Derived（公式）"),OR($N157="—",$N157="",$N157=0)),1,0)</f>
        <v>0</v>
      </c>
      <c r="Z157" s="103" t="n">
        <f aca="false">IF(AND($F157="Decision",OR($J157="—",$J157="")),1,0)</f>
        <v>0</v>
      </c>
      <c r="AA157" s="84" t="n">
        <f aca="false">IF(OR($J157="—",$J157=""),0,IF(COUNTIF(Decisions!$A$5:$A$300,$J157)=0,1,0))</f>
        <v>0</v>
      </c>
      <c r="AB157" s="103" t="n">
        <f aca="false">IF(AND($F157="原始數據",$S157&lt;&gt;"Active"),1,0)</f>
        <v>0</v>
      </c>
      <c r="AC157" s="103" t="n">
        <f aca="false">IF(AND(ISNUMBER($K157),ISNUMBER($L157),ISNUMBER($Q157)),IF(OR($Q157&lt;MIN($K157,$L157),$Q157&gt;MAX($K157,$L157)),1,0),0)</f>
        <v>0</v>
      </c>
      <c r="AD157" s="103" t="n">
        <f aca="false">IF(AND(ISNUMBER($T157),$P157="高"),IF($T157=3,1,0),0)</f>
        <v>0</v>
      </c>
      <c r="AE157" s="103" t="n">
        <f aca="false">IF(AND($S157="不存在",$B157="切片一"),1,0)</f>
        <v>0</v>
      </c>
    </row>
    <row r="158" customFormat="false" ht="15" hidden="false" customHeight="false" outlineLevel="0" collapsed="false">
      <c r="A158" s="53" t="s">
        <v>2704</v>
      </c>
      <c r="B158" s="52" t="s">
        <v>2297</v>
      </c>
      <c r="C158" s="53" t="s">
        <v>2460</v>
      </c>
      <c r="D158" s="53" t="s">
        <v>2705</v>
      </c>
      <c r="E158" s="6" t="s">
        <v>201</v>
      </c>
      <c r="F158" s="53" t="s">
        <v>70</v>
      </c>
      <c r="G158" s="52" t="s">
        <v>55</v>
      </c>
      <c r="H158" s="53" t="s">
        <v>554</v>
      </c>
      <c r="I158" s="6" t="s">
        <v>554</v>
      </c>
      <c r="J158" s="53" t="s">
        <v>554</v>
      </c>
      <c r="K158" s="83" t="n">
        <f aca="false">Spec_Rack!G33*0.7</f>
        <v>2520</v>
      </c>
      <c r="L158" s="83" t="n">
        <f aca="false">Spec_Rack!G33*1.3</f>
        <v>4680</v>
      </c>
      <c r="M158" s="53" t="s">
        <v>2575</v>
      </c>
      <c r="N158" s="6" t="s">
        <v>2576</v>
      </c>
      <c r="O158" s="6" t="s">
        <v>554</v>
      </c>
      <c r="P158" s="52" t="s">
        <v>2307</v>
      </c>
      <c r="Q158" s="54" t="n">
        <f aca="false">Spec_Rack!G33</f>
        <v>3600</v>
      </c>
      <c r="R158" s="53" t="s">
        <v>554</v>
      </c>
      <c r="S158" s="83" t="str">
        <f aca="false">IF(OR($H158="—",$H158=""),"—",IF(ISNUMBER(MATCH($H158,SRC_HW!$A$5:$A$400,0)),INDEX(SRC_HW!$O$5:$O$400,MATCH($H158,SRC_HW!$A$5:$A$400,0)),IF(ISNUMBER(MATCH($H158,SRC_DC!$A$5:$A$400,0)),INDEX(SRC_DC!$O$5:$O$400,MATCH($H158,SRC_DC!$A$5:$A$400,0)),IF(ISNUMBER(MATCH($H158,SRC_Model!$A$5:$A$400,0)),INDEX(SRC_Model!$O$5:$O$400,MATCH($H158,SRC_Model!$A$5:$A$400,0)),IF(ISNUMBER(MATCH($H158,SRC_Perf!$A$5:$A$400,0)),INDEX(SRC_Perf!$O$5:$O$400,MATCH($H158,SRC_Perf!$A$5:$A$400,0)),"不存在")))))</f>
        <v>—</v>
      </c>
      <c r="T158" s="83" t="str">
        <f aca="false">IF(OR($H158="—",$H158=""),"—",IF(ISNUMBER(MATCH($H158,SRC_HW!$A$5:$A$400,0)),INDEX(SRC_HW!$K$5:$K$400,MATCH($H158,SRC_HW!$A$5:$A$400,0)),IF(ISNUMBER(MATCH($H158,SRC_DC!$A$5:$A$400,0)),INDEX(SRC_DC!$K$5:$K$400,MATCH($H158,SRC_DC!$A$5:$A$400,0)),IF(ISNUMBER(MATCH($H158,SRC_Model!$A$5:$A$400,0)),INDEX(SRC_Model!$K$5:$K$400,MATCH($H158,SRC_Model!$A$5:$A$400,0)),IF(ISNUMBER(MATCH($H158,SRC_Perf!$A$5:$A$400,0)),INDEX(SRC_Perf!$K$5:$K$400,MATCH($H158,SRC_Perf!$A$5:$A$400,0)),"不存在")))))</f>
        <v>—</v>
      </c>
      <c r="U158" s="52" t="s">
        <v>2302</v>
      </c>
      <c r="V158" s="103" t="n">
        <f aca="false">IF(AND($F158="原始數據",$U158&lt;&gt;"連結 SRC"),1,0)</f>
        <v>0</v>
      </c>
      <c r="W158" s="103" t="n">
        <f aca="false">IF(AND($F158="Analogy",OR($H158="—",$H158="")),1,0)</f>
        <v>0</v>
      </c>
      <c r="X158" s="103" t="n">
        <f aca="false">IF(AND(OR($F158="Analogy",$F158="Assumed"),$G158&lt;&gt;"低",$G158&lt;&gt;"高",NOT(ISNUMBER($K158)),NOT(ISNUMBER($L158)),OR($M158="—",$M158="")),1,0)</f>
        <v>0</v>
      </c>
      <c r="Y158" s="103" t="n">
        <f aca="false">IF(AND(OR($F158="Analogy",$F158="Assumed",$F158="Derived（待改公式）",$F158="Derived（公式）"),OR($N158="—",$N158="",$N158=0)),1,0)</f>
        <v>0</v>
      </c>
      <c r="Z158" s="103" t="n">
        <f aca="false">IF(AND($F158="Decision",OR($J158="—",$J158="")),1,0)</f>
        <v>0</v>
      </c>
      <c r="AA158" s="84" t="n">
        <f aca="false">IF(OR($J158="—",$J158=""),0,IF(COUNTIF(Decisions!$A$5:$A$300,$J158)=0,1,0))</f>
        <v>0</v>
      </c>
      <c r="AB158" s="103" t="n">
        <f aca="false">IF(AND($F158="原始數據",$S158&lt;&gt;"Active"),1,0)</f>
        <v>0</v>
      </c>
      <c r="AC158" s="103" t="n">
        <f aca="false">IF(AND(ISNUMBER($K158),ISNUMBER($L158),ISNUMBER($Q158)),IF(OR($Q158&lt;MIN($K158,$L158),$Q158&gt;MAX($K158,$L158)),1,0),0)</f>
        <v>0</v>
      </c>
      <c r="AD158" s="103" t="n">
        <f aca="false">IF(AND(ISNUMBER($T158),$P158="高"),IF($T158=3,1,0),0)</f>
        <v>0</v>
      </c>
      <c r="AE158" s="103" t="n">
        <f aca="false">IF(AND($S158="不存在",$B158="切片一"),1,0)</f>
        <v>0</v>
      </c>
    </row>
    <row r="159" customFormat="false" ht="29.85" hidden="false" customHeight="false" outlineLevel="0" collapsed="false">
      <c r="A159" s="53" t="s">
        <v>2706</v>
      </c>
      <c r="B159" s="52" t="s">
        <v>2297</v>
      </c>
      <c r="C159" s="53" t="s">
        <v>2460</v>
      </c>
      <c r="D159" s="53" t="s">
        <v>2707</v>
      </c>
      <c r="E159" s="6" t="s">
        <v>203</v>
      </c>
      <c r="F159" s="53" t="s">
        <v>74</v>
      </c>
      <c r="G159" s="52" t="s">
        <v>2299</v>
      </c>
      <c r="H159" s="53" t="s">
        <v>2708</v>
      </c>
      <c r="I159" s="5" t="s">
        <v>2709</v>
      </c>
      <c r="J159" s="53" t="s">
        <v>554</v>
      </c>
      <c r="K159" s="83" t="n">
        <f aca="false">Spec_Rack!C34*0.7</f>
        <v>21.7</v>
      </c>
      <c r="L159" s="83" t="n">
        <f aca="false">Spec_Rack!C34*1.3</f>
        <v>40.3</v>
      </c>
      <c r="M159" s="53" t="s">
        <v>2710</v>
      </c>
      <c r="N159" s="204" t="str">
        <f aca="false">Spec_Rack!$H$34</f>
        <v>Analogy：HBM3 約 3.9 pJ/bit、HBM3e 約 3、HBM4 約 2.5；區間 ±30%（S29）</v>
      </c>
      <c r="O159" s="6" t="s">
        <v>554</v>
      </c>
      <c r="P159" s="52" t="s">
        <v>2307</v>
      </c>
      <c r="Q159" s="54" t="n">
        <f aca="false">Spec_Rack!C34</f>
        <v>31</v>
      </c>
      <c r="R159" s="83" t="n">
        <f aca="false">SRC_HW_032</f>
        <v>3.9</v>
      </c>
      <c r="S159" s="83" t="str">
        <f aca="false">IF(OR($H159="—",$H159=""),"—",IF(ISNUMBER(MATCH($H159,SRC_HW!$A$5:$A$400,0)),INDEX(SRC_HW!$O$5:$O$400,MATCH($H159,SRC_HW!$A$5:$A$400,0)),IF(ISNUMBER(MATCH($H159,SRC_DC!$A$5:$A$400,0)),INDEX(SRC_DC!$O$5:$O$400,MATCH($H159,SRC_DC!$A$5:$A$400,0)),IF(ISNUMBER(MATCH($H159,SRC_Model!$A$5:$A$400,0)),INDEX(SRC_Model!$O$5:$O$400,MATCH($H159,SRC_Model!$A$5:$A$400,0)),IF(ISNUMBER(MATCH($H159,SRC_Perf!$A$5:$A$400,0)),INDEX(SRC_Perf!$O$5:$O$400,MATCH($H159,SRC_Perf!$A$5:$A$400,0)),"不存在")))))</f>
        <v>Active</v>
      </c>
      <c r="T159" s="83" t="n">
        <f aca="false">IF(OR($H159="—",$H159=""),"—",IF(ISNUMBER(MATCH($H159,SRC_HW!$A$5:$A$400,0)),INDEX(SRC_HW!$K$5:$K$400,MATCH($H159,SRC_HW!$A$5:$A$400,0)),IF(ISNUMBER(MATCH($H159,SRC_DC!$A$5:$A$400,0)),INDEX(SRC_DC!$K$5:$K$400,MATCH($H159,SRC_DC!$A$5:$A$400,0)),IF(ISNUMBER(MATCH($H159,SRC_Model!$A$5:$A$400,0)),INDEX(SRC_Model!$K$5:$K$400,MATCH($H159,SRC_Model!$A$5:$A$400,0)),IF(ISNUMBER(MATCH($H159,SRC_Perf!$A$5:$A$400,0)),INDEX(SRC_Perf!$K$5:$K$400,MATCH($H159,SRC_Perf!$A$5:$A$400,0)),"不存在")))))</f>
        <v>3</v>
      </c>
      <c r="U159" s="52" t="s">
        <v>2302</v>
      </c>
      <c r="V159" s="103" t="n">
        <f aca="false">IF(AND($F159="原始數據",$U159&lt;&gt;"連結 SRC"),1,0)</f>
        <v>0</v>
      </c>
      <c r="W159" s="103" t="n">
        <f aca="false">IF(AND($F159="Analogy",OR($H159="—",$H159="")),1,0)</f>
        <v>0</v>
      </c>
      <c r="X159" s="103" t="n">
        <f aca="false">IF(AND(OR($F159="Analogy",$F159="Assumed"),$G159&lt;&gt;"低",$G159&lt;&gt;"高",NOT(ISNUMBER($K159)),NOT(ISNUMBER($L159)),OR($M159="—",$M159="")),1,0)</f>
        <v>0</v>
      </c>
      <c r="Y159" s="103" t="n">
        <f aca="false">IF(AND(OR($F159="Analogy",$F159="Assumed",$F159="Derived（待改公式）",$F159="Derived（公式）"),OR($N159="—",$N159="",$N159=0)),1,0)</f>
        <v>0</v>
      </c>
      <c r="Z159" s="103" t="n">
        <f aca="false">IF(AND($F159="Decision",OR($J159="—",$J159="")),1,0)</f>
        <v>0</v>
      </c>
      <c r="AA159" s="84" t="n">
        <f aca="false">IF(OR($J159="—",$J159=""),0,IF(COUNTIF(Decisions!$A$5:$A$300,$J159)=0,1,0))</f>
        <v>0</v>
      </c>
      <c r="AB159" s="103" t="n">
        <f aca="false">IF(AND($F159="原始數據",$S159&lt;&gt;"Active"),1,0)</f>
        <v>0</v>
      </c>
      <c r="AC159" s="103" t="n">
        <f aca="false">IF(AND(ISNUMBER($K159),ISNUMBER($L159),ISNUMBER($Q159)),IF(OR($Q159&lt;MIN($K159,$L159),$Q159&gt;MAX($K159,$L159)),1,0),0)</f>
        <v>0</v>
      </c>
      <c r="AD159" s="103" t="n">
        <f aca="false">IF(AND(ISNUMBER($T159),$P159="高"),IF($T159=3,1,0),0)</f>
        <v>0</v>
      </c>
      <c r="AE159" s="103" t="n">
        <f aca="false">IF(AND($S159="不存在",$B159="切片一"),1,0)</f>
        <v>0</v>
      </c>
    </row>
    <row r="160" customFormat="false" ht="29.85" hidden="false" customHeight="false" outlineLevel="0" collapsed="false">
      <c r="A160" s="53" t="s">
        <v>2711</v>
      </c>
      <c r="B160" s="52" t="s">
        <v>2297</v>
      </c>
      <c r="C160" s="53" t="s">
        <v>2460</v>
      </c>
      <c r="D160" s="53" t="s">
        <v>2425</v>
      </c>
      <c r="E160" s="6" t="s">
        <v>203</v>
      </c>
      <c r="F160" s="53" t="s">
        <v>74</v>
      </c>
      <c r="G160" s="52" t="s">
        <v>2299</v>
      </c>
      <c r="H160" s="53" t="s">
        <v>2712</v>
      </c>
      <c r="I160" s="5" t="s">
        <v>2709</v>
      </c>
      <c r="J160" s="53" t="s">
        <v>554</v>
      </c>
      <c r="K160" s="83" t="n">
        <f aca="false">Spec_Rack!D34*0.7</f>
        <v>17.5</v>
      </c>
      <c r="L160" s="83" t="n">
        <f aca="false">Spec_Rack!D34*1.3</f>
        <v>32.5</v>
      </c>
      <c r="M160" s="53" t="s">
        <v>2710</v>
      </c>
      <c r="N160" s="204" t="str">
        <f aca="false">Spec_Rack!$H$34</f>
        <v>Analogy：HBM3 約 3.9 pJ/bit、HBM3e 約 3、HBM4 約 2.5；區間 ±30%（S29）</v>
      </c>
      <c r="O160" s="6" t="s">
        <v>554</v>
      </c>
      <c r="P160" s="52" t="s">
        <v>2307</v>
      </c>
      <c r="Q160" s="54" t="n">
        <f aca="false">Spec_Rack!D34</f>
        <v>25</v>
      </c>
      <c r="R160" s="83" t="n">
        <f aca="false">SRC_HW_033</f>
        <v>3</v>
      </c>
      <c r="S160" s="83" t="str">
        <f aca="false">IF(OR($H160="—",$H160=""),"—",IF(ISNUMBER(MATCH($H160,SRC_HW!$A$5:$A$400,0)),INDEX(SRC_HW!$O$5:$O$400,MATCH($H160,SRC_HW!$A$5:$A$400,0)),IF(ISNUMBER(MATCH($H160,SRC_DC!$A$5:$A$400,0)),INDEX(SRC_DC!$O$5:$O$400,MATCH($H160,SRC_DC!$A$5:$A$400,0)),IF(ISNUMBER(MATCH($H160,SRC_Model!$A$5:$A$400,0)),INDEX(SRC_Model!$O$5:$O$400,MATCH($H160,SRC_Model!$A$5:$A$400,0)),IF(ISNUMBER(MATCH($H160,SRC_Perf!$A$5:$A$400,0)),INDEX(SRC_Perf!$O$5:$O$400,MATCH($H160,SRC_Perf!$A$5:$A$400,0)),"不存在")))))</f>
        <v>Active</v>
      </c>
      <c r="T160" s="83" t="n">
        <f aca="false">IF(OR($H160="—",$H160=""),"—",IF(ISNUMBER(MATCH($H160,SRC_HW!$A$5:$A$400,0)),INDEX(SRC_HW!$K$5:$K$400,MATCH($H160,SRC_HW!$A$5:$A$400,0)),IF(ISNUMBER(MATCH($H160,SRC_DC!$A$5:$A$400,0)),INDEX(SRC_DC!$K$5:$K$400,MATCH($H160,SRC_DC!$A$5:$A$400,0)),IF(ISNUMBER(MATCH($H160,SRC_Model!$A$5:$A$400,0)),INDEX(SRC_Model!$K$5:$K$400,MATCH($H160,SRC_Model!$A$5:$A$400,0)),IF(ISNUMBER(MATCH($H160,SRC_Perf!$A$5:$A$400,0)),INDEX(SRC_Perf!$K$5:$K$400,MATCH($H160,SRC_Perf!$A$5:$A$400,0)),"不存在")))))</f>
        <v>3</v>
      </c>
      <c r="U160" s="52" t="s">
        <v>2302</v>
      </c>
      <c r="V160" s="103" t="n">
        <f aca="false">IF(AND($F160="原始數據",$U160&lt;&gt;"連結 SRC"),1,0)</f>
        <v>0</v>
      </c>
      <c r="W160" s="103" t="n">
        <f aca="false">IF(AND($F160="Analogy",OR($H160="—",$H160="")),1,0)</f>
        <v>0</v>
      </c>
      <c r="X160" s="103" t="n">
        <f aca="false">IF(AND(OR($F160="Analogy",$F160="Assumed"),$G160&lt;&gt;"低",$G160&lt;&gt;"高",NOT(ISNUMBER($K160)),NOT(ISNUMBER($L160)),OR($M160="—",$M160="")),1,0)</f>
        <v>0</v>
      </c>
      <c r="Y160" s="103" t="n">
        <f aca="false">IF(AND(OR($F160="Analogy",$F160="Assumed",$F160="Derived（待改公式）",$F160="Derived（公式）"),OR($N160="—",$N160="",$N160=0)),1,0)</f>
        <v>0</v>
      </c>
      <c r="Z160" s="103" t="n">
        <f aca="false">IF(AND($F160="Decision",OR($J160="—",$J160="")),1,0)</f>
        <v>0</v>
      </c>
      <c r="AA160" s="84" t="n">
        <f aca="false">IF(OR($J160="—",$J160=""),0,IF(COUNTIF(Decisions!$A$5:$A$300,$J160)=0,1,0))</f>
        <v>0</v>
      </c>
      <c r="AB160" s="103" t="n">
        <f aca="false">IF(AND($F160="原始數據",$S160&lt;&gt;"Active"),1,0)</f>
        <v>0</v>
      </c>
      <c r="AC160" s="103" t="n">
        <f aca="false">IF(AND(ISNUMBER($K160),ISNUMBER($L160),ISNUMBER($Q160)),IF(OR($Q160&lt;MIN($K160,$L160),$Q160&gt;MAX($K160,$L160)),1,0),0)</f>
        <v>0</v>
      </c>
      <c r="AD160" s="103" t="n">
        <f aca="false">IF(AND(ISNUMBER($T160),$P160="高"),IF($T160=3,1,0),0)</f>
        <v>0</v>
      </c>
      <c r="AE160" s="103" t="n">
        <f aca="false">IF(AND($S160="不存在",$B160="切片一"),1,0)</f>
        <v>0</v>
      </c>
    </row>
    <row r="161" customFormat="false" ht="29.85" hidden="false" customHeight="false" outlineLevel="0" collapsed="false">
      <c r="A161" s="53" t="s">
        <v>2713</v>
      </c>
      <c r="B161" s="52" t="s">
        <v>2297</v>
      </c>
      <c r="C161" s="53" t="s">
        <v>2460</v>
      </c>
      <c r="D161" s="53" t="s">
        <v>2423</v>
      </c>
      <c r="E161" s="6" t="s">
        <v>203</v>
      </c>
      <c r="F161" s="53" t="s">
        <v>74</v>
      </c>
      <c r="G161" s="52" t="s">
        <v>2299</v>
      </c>
      <c r="H161" s="53" t="s">
        <v>2712</v>
      </c>
      <c r="I161" s="5" t="s">
        <v>2709</v>
      </c>
      <c r="J161" s="53" t="s">
        <v>554</v>
      </c>
      <c r="K161" s="83" t="n">
        <f aca="false">Spec_Rack!E34*0.7</f>
        <v>17.5</v>
      </c>
      <c r="L161" s="83" t="n">
        <f aca="false">Spec_Rack!E34*1.3</f>
        <v>32.5</v>
      </c>
      <c r="M161" s="53" t="s">
        <v>2710</v>
      </c>
      <c r="N161" s="204" t="str">
        <f aca="false">Spec_Rack!$H$34</f>
        <v>Analogy：HBM3 約 3.9 pJ/bit、HBM3e 約 3、HBM4 約 2.5；區間 ±30%（S29）</v>
      </c>
      <c r="O161" s="6" t="s">
        <v>554</v>
      </c>
      <c r="P161" s="52" t="s">
        <v>2307</v>
      </c>
      <c r="Q161" s="54" t="n">
        <f aca="false">Spec_Rack!E34</f>
        <v>25</v>
      </c>
      <c r="R161" s="83" t="n">
        <f aca="false">SRC_HW_033</f>
        <v>3</v>
      </c>
      <c r="S161" s="83" t="str">
        <f aca="false">IF(OR($H161="—",$H161=""),"—",IF(ISNUMBER(MATCH($H161,SRC_HW!$A$5:$A$400,0)),INDEX(SRC_HW!$O$5:$O$400,MATCH($H161,SRC_HW!$A$5:$A$400,0)),IF(ISNUMBER(MATCH($H161,SRC_DC!$A$5:$A$400,0)),INDEX(SRC_DC!$O$5:$O$400,MATCH($H161,SRC_DC!$A$5:$A$400,0)),IF(ISNUMBER(MATCH($H161,SRC_Model!$A$5:$A$400,0)),INDEX(SRC_Model!$O$5:$O$400,MATCH($H161,SRC_Model!$A$5:$A$400,0)),IF(ISNUMBER(MATCH($H161,SRC_Perf!$A$5:$A$400,0)),INDEX(SRC_Perf!$O$5:$O$400,MATCH($H161,SRC_Perf!$A$5:$A$400,0)),"不存在")))))</f>
        <v>Active</v>
      </c>
      <c r="T161" s="83" t="n">
        <f aca="false">IF(OR($H161="—",$H161=""),"—",IF(ISNUMBER(MATCH($H161,SRC_HW!$A$5:$A$400,0)),INDEX(SRC_HW!$K$5:$K$400,MATCH($H161,SRC_HW!$A$5:$A$400,0)),IF(ISNUMBER(MATCH($H161,SRC_DC!$A$5:$A$400,0)),INDEX(SRC_DC!$K$5:$K$400,MATCH($H161,SRC_DC!$A$5:$A$400,0)),IF(ISNUMBER(MATCH($H161,SRC_Model!$A$5:$A$400,0)),INDEX(SRC_Model!$K$5:$K$400,MATCH($H161,SRC_Model!$A$5:$A$400,0)),IF(ISNUMBER(MATCH($H161,SRC_Perf!$A$5:$A$400,0)),INDEX(SRC_Perf!$K$5:$K$400,MATCH($H161,SRC_Perf!$A$5:$A$400,0)),"不存在")))))</f>
        <v>3</v>
      </c>
      <c r="U161" s="52" t="s">
        <v>2302</v>
      </c>
      <c r="V161" s="103" t="n">
        <f aca="false">IF(AND($F161="原始數據",$U161&lt;&gt;"連結 SRC"),1,0)</f>
        <v>0</v>
      </c>
      <c r="W161" s="103" t="n">
        <f aca="false">IF(AND($F161="Analogy",OR($H161="—",$H161="")),1,0)</f>
        <v>0</v>
      </c>
      <c r="X161" s="103" t="n">
        <f aca="false">IF(AND(OR($F161="Analogy",$F161="Assumed"),$G161&lt;&gt;"低",$G161&lt;&gt;"高",NOT(ISNUMBER($K161)),NOT(ISNUMBER($L161)),OR($M161="—",$M161="")),1,0)</f>
        <v>0</v>
      </c>
      <c r="Y161" s="103" t="n">
        <f aca="false">IF(AND(OR($F161="Analogy",$F161="Assumed",$F161="Derived（待改公式）",$F161="Derived（公式）"),OR($N161="—",$N161="",$N161=0)),1,0)</f>
        <v>0</v>
      </c>
      <c r="Z161" s="103" t="n">
        <f aca="false">IF(AND($F161="Decision",OR($J161="—",$J161="")),1,0)</f>
        <v>0</v>
      </c>
      <c r="AA161" s="84" t="n">
        <f aca="false">IF(OR($J161="—",$J161=""),0,IF(COUNTIF(Decisions!$A$5:$A$300,$J161)=0,1,0))</f>
        <v>0</v>
      </c>
      <c r="AB161" s="103" t="n">
        <f aca="false">IF(AND($F161="原始數據",$S161&lt;&gt;"Active"),1,0)</f>
        <v>0</v>
      </c>
      <c r="AC161" s="103" t="n">
        <f aca="false">IF(AND(ISNUMBER($K161),ISNUMBER($L161),ISNUMBER($Q161)),IF(OR($Q161&lt;MIN($K161,$L161),$Q161&gt;MAX($K161,$L161)),1,0),0)</f>
        <v>0</v>
      </c>
      <c r="AD161" s="103" t="n">
        <f aca="false">IF(AND(ISNUMBER($T161),$P161="高"),IF($T161=3,1,0),0)</f>
        <v>0</v>
      </c>
      <c r="AE161" s="103" t="n">
        <f aca="false">IF(AND($S161="不存在",$B161="切片一"),1,0)</f>
        <v>0</v>
      </c>
    </row>
    <row r="162" customFormat="false" ht="15" hidden="false" customHeight="false" outlineLevel="0" collapsed="false">
      <c r="A162" s="53" t="s">
        <v>2714</v>
      </c>
      <c r="B162" s="52" t="s">
        <v>2297</v>
      </c>
      <c r="C162" s="53" t="s">
        <v>2460</v>
      </c>
      <c r="D162" s="53" t="s">
        <v>2427</v>
      </c>
      <c r="E162" s="6" t="s">
        <v>203</v>
      </c>
      <c r="F162" s="52" t="s">
        <v>2337</v>
      </c>
      <c r="G162" s="52" t="s">
        <v>2299</v>
      </c>
      <c r="H162" s="53" t="s">
        <v>2715</v>
      </c>
      <c r="I162" s="5" t="s">
        <v>2627</v>
      </c>
      <c r="J162" s="53" t="s">
        <v>554</v>
      </c>
      <c r="K162" s="52"/>
      <c r="L162" s="52"/>
      <c r="M162" s="53" t="s">
        <v>554</v>
      </c>
      <c r="N162" s="5" t="s">
        <v>2340</v>
      </c>
      <c r="O162" s="6" t="s">
        <v>554</v>
      </c>
      <c r="P162" s="52" t="s">
        <v>2307</v>
      </c>
      <c r="Q162" s="54" t="n">
        <f aca="false">Spec_Rack!F34</f>
        <v>20</v>
      </c>
      <c r="R162" s="83" t="n">
        <f aca="false">SRC_HW_034</f>
        <v>2.5</v>
      </c>
      <c r="S162" s="83" t="str">
        <f aca="false">IF(OR($H162="—",$H162=""),"—",IF(ISNUMBER(MATCH($H162,SRC_HW!$A$5:$A$400,0)),INDEX(SRC_HW!$O$5:$O$400,MATCH($H162,SRC_HW!$A$5:$A$400,0)),IF(ISNUMBER(MATCH($H162,SRC_DC!$A$5:$A$400,0)),INDEX(SRC_DC!$O$5:$O$400,MATCH($H162,SRC_DC!$A$5:$A$400,0)),IF(ISNUMBER(MATCH($H162,SRC_Model!$A$5:$A$400,0)),INDEX(SRC_Model!$O$5:$O$400,MATCH($H162,SRC_Model!$A$5:$A$400,0)),IF(ISNUMBER(MATCH($H162,SRC_Perf!$A$5:$A$400,0)),INDEX(SRC_Perf!$O$5:$O$400,MATCH($H162,SRC_Perf!$A$5:$A$400,0)),"不存在")))))</f>
        <v>Active</v>
      </c>
      <c r="T162" s="83" t="n">
        <f aca="false">IF(OR($H162="—",$H162=""),"—",IF(ISNUMBER(MATCH($H162,SRC_HW!$A$5:$A$400,0)),INDEX(SRC_HW!$K$5:$K$400,MATCH($H162,SRC_HW!$A$5:$A$400,0)),IF(ISNUMBER(MATCH($H162,SRC_DC!$A$5:$A$400,0)),INDEX(SRC_DC!$K$5:$K$400,MATCH($H162,SRC_DC!$A$5:$A$400,0)),IF(ISNUMBER(MATCH($H162,SRC_Model!$A$5:$A$400,0)),INDEX(SRC_Model!$K$5:$K$400,MATCH($H162,SRC_Model!$A$5:$A$400,0)),IF(ISNUMBER(MATCH($H162,SRC_Perf!$A$5:$A$400,0)),INDEX(SRC_Perf!$K$5:$K$400,MATCH($H162,SRC_Perf!$A$5:$A$400,0)),"不存在")))))</f>
        <v>3</v>
      </c>
      <c r="U162" s="52" t="s">
        <v>2341</v>
      </c>
      <c r="V162" s="103" t="n">
        <f aca="false">IF(AND($F162="原始數據",$U162&lt;&gt;"連結 SRC"),1,0)</f>
        <v>0</v>
      </c>
      <c r="W162" s="103" t="n">
        <f aca="false">IF(AND($F162="Analogy",OR($H162="—",$H162="")),1,0)</f>
        <v>0</v>
      </c>
      <c r="X162" s="103" t="n">
        <f aca="false">IF(AND(OR($F162="Analogy",$F162="Assumed"),$G162&lt;&gt;"低",$G162&lt;&gt;"高",NOT(ISNUMBER($K162)),NOT(ISNUMBER($L162)),OR($M162="—",$M162="")),1,0)</f>
        <v>0</v>
      </c>
      <c r="Y162" s="103" t="n">
        <f aca="false">IF(AND(OR($F162="Analogy",$F162="Assumed",$F162="Derived（待改公式）",$F162="Derived（公式）"),OR($N162="—",$N162="",$N162=0)),1,0)</f>
        <v>0</v>
      </c>
      <c r="Z162" s="103" t="n">
        <f aca="false">IF(AND($F162="Decision",OR($J162="—",$J162="")),1,0)</f>
        <v>0</v>
      </c>
      <c r="AA162" s="84" t="n">
        <f aca="false">IF(OR($J162="—",$J162=""),0,IF(COUNTIF(Decisions!$A$5:$A$300,$J162)=0,1,0))</f>
        <v>0</v>
      </c>
      <c r="AB162" s="103" t="n">
        <f aca="false">IF(AND($F162="原始數據",$S162&lt;&gt;"Active"),1,0)</f>
        <v>0</v>
      </c>
      <c r="AC162" s="103" t="n">
        <f aca="false">IF(AND(ISNUMBER($K162),ISNUMBER($L162),ISNUMBER($Q162)),IF(OR($Q162&lt;MIN($K162,$L162),$Q162&gt;MAX($K162,$L162)),1,0),0)</f>
        <v>0</v>
      </c>
      <c r="AD162" s="103" t="n">
        <f aca="false">IF(AND(ISNUMBER($T162),$P162="高"),IF($T162=3,1,0),0)</f>
        <v>0</v>
      </c>
      <c r="AE162" s="103" t="n">
        <f aca="false">IF(AND($S162="不存在",$B162="切片一"),1,0)</f>
        <v>0</v>
      </c>
    </row>
    <row r="163" customFormat="false" ht="15" hidden="false" customHeight="false" outlineLevel="0" collapsed="false">
      <c r="A163" s="53" t="s">
        <v>2716</v>
      </c>
      <c r="B163" s="52" t="s">
        <v>2297</v>
      </c>
      <c r="C163" s="53" t="s">
        <v>2460</v>
      </c>
      <c r="D163" s="53" t="s">
        <v>2717</v>
      </c>
      <c r="E163" s="6" t="s">
        <v>203</v>
      </c>
      <c r="F163" s="53" t="s">
        <v>70</v>
      </c>
      <c r="G163" s="52" t="s">
        <v>55</v>
      </c>
      <c r="H163" s="53" t="s">
        <v>554</v>
      </c>
      <c r="I163" s="6" t="s">
        <v>554</v>
      </c>
      <c r="J163" s="53" t="s">
        <v>554</v>
      </c>
      <c r="K163" s="83" t="n">
        <f aca="false">Spec_Rack!G34*0.7</f>
        <v>12.6</v>
      </c>
      <c r="L163" s="83" t="n">
        <f aca="false">Spec_Rack!G34*1.3</f>
        <v>23.4</v>
      </c>
      <c r="M163" s="53" t="s">
        <v>2575</v>
      </c>
      <c r="N163" s="6" t="s">
        <v>2576</v>
      </c>
      <c r="O163" s="6" t="s">
        <v>554</v>
      </c>
      <c r="P163" s="52" t="s">
        <v>2307</v>
      </c>
      <c r="Q163" s="54" t="n">
        <f aca="false">Spec_Rack!G34</f>
        <v>18</v>
      </c>
      <c r="R163" s="53" t="s">
        <v>554</v>
      </c>
      <c r="S163" s="83" t="str">
        <f aca="false">IF(OR($H163="—",$H163=""),"—",IF(ISNUMBER(MATCH($H163,SRC_HW!$A$5:$A$400,0)),INDEX(SRC_HW!$O$5:$O$400,MATCH($H163,SRC_HW!$A$5:$A$400,0)),IF(ISNUMBER(MATCH($H163,SRC_DC!$A$5:$A$400,0)),INDEX(SRC_DC!$O$5:$O$400,MATCH($H163,SRC_DC!$A$5:$A$400,0)),IF(ISNUMBER(MATCH($H163,SRC_Model!$A$5:$A$400,0)),INDEX(SRC_Model!$O$5:$O$400,MATCH($H163,SRC_Model!$A$5:$A$400,0)),IF(ISNUMBER(MATCH($H163,SRC_Perf!$A$5:$A$400,0)),INDEX(SRC_Perf!$O$5:$O$400,MATCH($H163,SRC_Perf!$A$5:$A$400,0)),"不存在")))))</f>
        <v>—</v>
      </c>
      <c r="T163" s="83" t="str">
        <f aca="false">IF(OR($H163="—",$H163=""),"—",IF(ISNUMBER(MATCH($H163,SRC_HW!$A$5:$A$400,0)),INDEX(SRC_HW!$K$5:$K$400,MATCH($H163,SRC_HW!$A$5:$A$400,0)),IF(ISNUMBER(MATCH($H163,SRC_DC!$A$5:$A$400,0)),INDEX(SRC_DC!$K$5:$K$400,MATCH($H163,SRC_DC!$A$5:$A$400,0)),IF(ISNUMBER(MATCH($H163,SRC_Model!$A$5:$A$400,0)),INDEX(SRC_Model!$K$5:$K$400,MATCH($H163,SRC_Model!$A$5:$A$400,0)),IF(ISNUMBER(MATCH($H163,SRC_Perf!$A$5:$A$400,0)),INDEX(SRC_Perf!$K$5:$K$400,MATCH($H163,SRC_Perf!$A$5:$A$400,0)),"不存在")))))</f>
        <v>—</v>
      </c>
      <c r="U163" s="52" t="s">
        <v>2302</v>
      </c>
      <c r="V163" s="103" t="n">
        <f aca="false">IF(AND($F163="原始數據",$U163&lt;&gt;"連結 SRC"),1,0)</f>
        <v>0</v>
      </c>
      <c r="W163" s="103" t="n">
        <f aca="false">IF(AND($F163="Analogy",OR($H163="—",$H163="")),1,0)</f>
        <v>0</v>
      </c>
      <c r="X163" s="103" t="n">
        <f aca="false">IF(AND(OR($F163="Analogy",$F163="Assumed"),$G163&lt;&gt;"低",$G163&lt;&gt;"高",NOT(ISNUMBER($K163)),NOT(ISNUMBER($L163)),OR($M163="—",$M163="")),1,0)</f>
        <v>0</v>
      </c>
      <c r="Y163" s="103" t="n">
        <f aca="false">IF(AND(OR($F163="Analogy",$F163="Assumed",$F163="Derived（待改公式）",$F163="Derived（公式）"),OR($N163="—",$N163="",$N163=0)),1,0)</f>
        <v>0</v>
      </c>
      <c r="Z163" s="103" t="n">
        <f aca="false">IF(AND($F163="Decision",OR($J163="—",$J163="")),1,0)</f>
        <v>0</v>
      </c>
      <c r="AA163" s="84" t="n">
        <f aca="false">IF(OR($J163="—",$J163=""),0,IF(COUNTIF(Decisions!$A$5:$A$300,$J163)=0,1,0))</f>
        <v>0</v>
      </c>
      <c r="AB163" s="103" t="n">
        <f aca="false">IF(AND($F163="原始數據",$S163&lt;&gt;"Active"),1,0)</f>
        <v>0</v>
      </c>
      <c r="AC163" s="103" t="n">
        <f aca="false">IF(AND(ISNUMBER($K163),ISNUMBER($L163),ISNUMBER($Q163)),IF(OR($Q163&lt;MIN($K163,$L163),$Q163&gt;MAX($K163,$L163)),1,0),0)</f>
        <v>0</v>
      </c>
      <c r="AD163" s="103" t="n">
        <f aca="false">IF(AND(ISNUMBER($T163),$P163="高"),IF($T163=3,1,0),0)</f>
        <v>0</v>
      </c>
      <c r="AE163" s="103" t="n">
        <f aca="false">IF(AND($S163="不存在",$B163="切片一"),1,0)</f>
        <v>0</v>
      </c>
    </row>
    <row r="164" customFormat="false" ht="15" hidden="false" customHeight="false" outlineLevel="0" collapsed="false">
      <c r="A164" s="53" t="s">
        <v>2718</v>
      </c>
      <c r="B164" s="52" t="s">
        <v>2297</v>
      </c>
      <c r="C164" s="53" t="s">
        <v>2460</v>
      </c>
      <c r="D164" s="53" t="s">
        <v>2719</v>
      </c>
      <c r="E164" s="6" t="s">
        <v>208</v>
      </c>
      <c r="F164" s="52" t="s">
        <v>2337</v>
      </c>
      <c r="G164" s="52" t="s">
        <v>2299</v>
      </c>
      <c r="H164" s="53" t="s">
        <v>2720</v>
      </c>
      <c r="I164" s="5" t="s">
        <v>2339</v>
      </c>
      <c r="J164" s="53" t="s">
        <v>554</v>
      </c>
      <c r="K164" s="52"/>
      <c r="L164" s="52"/>
      <c r="M164" s="53" t="s">
        <v>554</v>
      </c>
      <c r="N164" s="5" t="s">
        <v>2340</v>
      </c>
      <c r="O164" s="6" t="s">
        <v>554</v>
      </c>
      <c r="P164" s="52" t="s">
        <v>2307</v>
      </c>
      <c r="Q164" s="86" t="n">
        <f aca="false">Spec_Rack!C39</f>
        <v>0.989</v>
      </c>
      <c r="R164" s="83" t="n">
        <f aca="false">SRC_HW_019</f>
        <v>0.989</v>
      </c>
      <c r="S164" s="83" t="str">
        <f aca="false">IF(OR($H164="—",$H164=""),"—",IF(ISNUMBER(MATCH($H164,SRC_HW!$A$5:$A$400,0)),INDEX(SRC_HW!$O$5:$O$400,MATCH($H164,SRC_HW!$A$5:$A$400,0)),IF(ISNUMBER(MATCH($H164,SRC_DC!$A$5:$A$400,0)),INDEX(SRC_DC!$O$5:$O$400,MATCH($H164,SRC_DC!$A$5:$A$400,0)),IF(ISNUMBER(MATCH($H164,SRC_Model!$A$5:$A$400,0)),INDEX(SRC_Model!$O$5:$O$400,MATCH($H164,SRC_Model!$A$5:$A$400,0)),IF(ISNUMBER(MATCH($H164,SRC_Perf!$A$5:$A$400,0)),INDEX(SRC_Perf!$O$5:$O$400,MATCH($H164,SRC_Perf!$A$5:$A$400,0)),"不存在")))))</f>
        <v>Active</v>
      </c>
      <c r="T164" s="83" t="n">
        <f aca="false">IF(OR($H164="—",$H164=""),"—",IF(ISNUMBER(MATCH($H164,SRC_HW!$A$5:$A$400,0)),INDEX(SRC_HW!$K$5:$K$400,MATCH($H164,SRC_HW!$A$5:$A$400,0)),IF(ISNUMBER(MATCH($H164,SRC_DC!$A$5:$A$400,0)),INDEX(SRC_DC!$K$5:$K$400,MATCH($H164,SRC_DC!$A$5:$A$400,0)),IF(ISNUMBER(MATCH($H164,SRC_Model!$A$5:$A$400,0)),INDEX(SRC_Model!$K$5:$K$400,MATCH($H164,SRC_Model!$A$5:$A$400,0)),IF(ISNUMBER(MATCH($H164,SRC_Perf!$A$5:$A$400,0)),INDEX(SRC_Perf!$K$5:$K$400,MATCH($H164,SRC_Perf!$A$5:$A$400,0)),"不存在")))))</f>
        <v>3</v>
      </c>
      <c r="U164" s="52" t="s">
        <v>2341</v>
      </c>
      <c r="V164" s="103" t="n">
        <f aca="false">IF(AND($F164="原始數據",$U164&lt;&gt;"連結 SRC"),1,0)</f>
        <v>0</v>
      </c>
      <c r="W164" s="103" t="n">
        <f aca="false">IF(AND($F164="Analogy",OR($H164="—",$H164="")),1,0)</f>
        <v>0</v>
      </c>
      <c r="X164" s="103" t="n">
        <f aca="false">IF(AND(OR($F164="Analogy",$F164="Assumed"),$G164&lt;&gt;"低",$G164&lt;&gt;"高",NOT(ISNUMBER($K164)),NOT(ISNUMBER($L164)),OR($M164="—",$M164="")),1,0)</f>
        <v>0</v>
      </c>
      <c r="Y164" s="103" t="n">
        <f aca="false">IF(AND(OR($F164="Analogy",$F164="Assumed",$F164="Derived（待改公式）",$F164="Derived（公式）"),OR($N164="—",$N164="",$N164=0)),1,0)</f>
        <v>0</v>
      </c>
      <c r="Z164" s="103" t="n">
        <f aca="false">IF(AND($F164="Decision",OR($J164="—",$J164="")),1,0)</f>
        <v>0</v>
      </c>
      <c r="AA164" s="84" t="n">
        <f aca="false">IF(OR($J164="—",$J164=""),0,IF(COUNTIF(Decisions!$A$5:$A$300,$J164)=0,1,0))</f>
        <v>0</v>
      </c>
      <c r="AB164" s="103" t="n">
        <f aca="false">IF(AND($F164="原始數據",$S164&lt;&gt;"Active"),1,0)</f>
        <v>0</v>
      </c>
      <c r="AC164" s="103" t="n">
        <f aca="false">IF(AND(ISNUMBER($K164),ISNUMBER($L164),ISNUMBER($Q164)),IF(OR($Q164&lt;MIN($K164,$L164),$Q164&gt;MAX($K164,$L164)),1,0),0)</f>
        <v>0</v>
      </c>
      <c r="AD164" s="103" t="n">
        <f aca="false">IF(AND(ISNUMBER($T164),$P164="高"),IF($T164=3,1,0),0)</f>
        <v>0</v>
      </c>
      <c r="AE164" s="103" t="n">
        <f aca="false">IF(AND($S164="不存在",$B164="切片一"),1,0)</f>
        <v>0</v>
      </c>
    </row>
    <row r="165" customFormat="false" ht="15" hidden="false" customHeight="false" outlineLevel="0" collapsed="false">
      <c r="A165" s="53" t="s">
        <v>2721</v>
      </c>
      <c r="B165" s="52" t="s">
        <v>2297</v>
      </c>
      <c r="C165" s="53" t="s">
        <v>2460</v>
      </c>
      <c r="D165" s="53" t="s">
        <v>2722</v>
      </c>
      <c r="E165" s="6" t="s">
        <v>208</v>
      </c>
      <c r="F165" s="52" t="s">
        <v>2337</v>
      </c>
      <c r="G165" s="52" t="s">
        <v>2299</v>
      </c>
      <c r="H165" s="53" t="s">
        <v>2723</v>
      </c>
      <c r="I165" s="5" t="s">
        <v>2339</v>
      </c>
      <c r="J165" s="53" t="s">
        <v>554</v>
      </c>
      <c r="K165" s="52"/>
      <c r="L165" s="52"/>
      <c r="M165" s="53" t="s">
        <v>554</v>
      </c>
      <c r="N165" s="5" t="s">
        <v>2340</v>
      </c>
      <c r="O165" s="6" t="s">
        <v>554</v>
      </c>
      <c r="P165" s="52" t="s">
        <v>2307</v>
      </c>
      <c r="Q165" s="86" t="n">
        <f aca="false">Spec_Rack!D39</f>
        <v>2.5</v>
      </c>
      <c r="R165" s="83" t="n">
        <f aca="false">SRC_HW_042</f>
        <v>2.5</v>
      </c>
      <c r="S165" s="83" t="str">
        <f aca="false">IF(OR($H165="—",$H165=""),"—",IF(ISNUMBER(MATCH($H165,SRC_HW!$A$5:$A$400,0)),INDEX(SRC_HW!$O$5:$O$400,MATCH($H165,SRC_HW!$A$5:$A$400,0)),IF(ISNUMBER(MATCH($H165,SRC_DC!$A$5:$A$400,0)),INDEX(SRC_DC!$O$5:$O$400,MATCH($H165,SRC_DC!$A$5:$A$400,0)),IF(ISNUMBER(MATCH($H165,SRC_Model!$A$5:$A$400,0)),INDEX(SRC_Model!$O$5:$O$400,MATCH($H165,SRC_Model!$A$5:$A$400,0)),IF(ISNUMBER(MATCH($H165,SRC_Perf!$A$5:$A$400,0)),INDEX(SRC_Perf!$O$5:$O$400,MATCH($H165,SRC_Perf!$A$5:$A$400,0)),"不存在")))))</f>
        <v>Active</v>
      </c>
      <c r="T165" s="83" t="n">
        <f aca="false">IF(OR($H165="—",$H165=""),"—",IF(ISNUMBER(MATCH($H165,SRC_HW!$A$5:$A$400,0)),INDEX(SRC_HW!$K$5:$K$400,MATCH($H165,SRC_HW!$A$5:$A$400,0)),IF(ISNUMBER(MATCH($H165,SRC_DC!$A$5:$A$400,0)),INDEX(SRC_DC!$K$5:$K$400,MATCH($H165,SRC_DC!$A$5:$A$400,0)),IF(ISNUMBER(MATCH($H165,SRC_Model!$A$5:$A$400,0)),INDEX(SRC_Model!$K$5:$K$400,MATCH($H165,SRC_Model!$A$5:$A$400,0)),IF(ISNUMBER(MATCH($H165,SRC_Perf!$A$5:$A$400,0)),INDEX(SRC_Perf!$K$5:$K$400,MATCH($H165,SRC_Perf!$A$5:$A$400,0)),"不存在")))))</f>
        <v>3</v>
      </c>
      <c r="U165" s="52" t="s">
        <v>2341</v>
      </c>
      <c r="V165" s="103" t="n">
        <f aca="false">IF(AND($F165="原始數據",$U165&lt;&gt;"連結 SRC"),1,0)</f>
        <v>0</v>
      </c>
      <c r="W165" s="103" t="n">
        <f aca="false">IF(AND($F165="Analogy",OR($H165="—",$H165="")),1,0)</f>
        <v>0</v>
      </c>
      <c r="X165" s="103" t="n">
        <f aca="false">IF(AND(OR($F165="Analogy",$F165="Assumed"),$G165&lt;&gt;"低",$G165&lt;&gt;"高",NOT(ISNUMBER($K165)),NOT(ISNUMBER($L165)),OR($M165="—",$M165="")),1,0)</f>
        <v>0</v>
      </c>
      <c r="Y165" s="103" t="n">
        <f aca="false">IF(AND(OR($F165="Analogy",$F165="Assumed",$F165="Derived（待改公式）",$F165="Derived（公式）"),OR($N165="—",$N165="",$N165=0)),1,0)</f>
        <v>0</v>
      </c>
      <c r="Z165" s="103" t="n">
        <f aca="false">IF(AND($F165="Decision",OR($J165="—",$J165="")),1,0)</f>
        <v>0</v>
      </c>
      <c r="AA165" s="84" t="n">
        <f aca="false">IF(OR($J165="—",$J165=""),0,IF(COUNTIF(Decisions!$A$5:$A$300,$J165)=0,1,0))</f>
        <v>0</v>
      </c>
      <c r="AB165" s="103" t="n">
        <f aca="false">IF(AND($F165="原始數據",$S165&lt;&gt;"Active"),1,0)</f>
        <v>0</v>
      </c>
      <c r="AC165" s="103" t="n">
        <f aca="false">IF(AND(ISNUMBER($K165),ISNUMBER($L165),ISNUMBER($Q165)),IF(OR($Q165&lt;MIN($K165,$L165),$Q165&gt;MAX($K165,$L165)),1,0),0)</f>
        <v>0</v>
      </c>
      <c r="AD165" s="103" t="n">
        <f aca="false">IF(AND(ISNUMBER($T165),$P165="高"),IF($T165=3,1,0),0)</f>
        <v>0</v>
      </c>
      <c r="AE165" s="103" t="n">
        <f aca="false">IF(AND($S165="不存在",$B165="切片一"),1,0)</f>
        <v>0</v>
      </c>
    </row>
    <row r="166" customFormat="false" ht="15" hidden="false" customHeight="false" outlineLevel="0" collapsed="false">
      <c r="A166" s="53" t="s">
        <v>2724</v>
      </c>
      <c r="B166" s="52" t="s">
        <v>2297</v>
      </c>
      <c r="C166" s="53" t="s">
        <v>2460</v>
      </c>
      <c r="D166" s="53" t="s">
        <v>2725</v>
      </c>
      <c r="E166" s="6" t="s">
        <v>208</v>
      </c>
      <c r="F166" s="52" t="s">
        <v>2337</v>
      </c>
      <c r="G166" s="52" t="s">
        <v>2299</v>
      </c>
      <c r="H166" s="53" t="s">
        <v>2723</v>
      </c>
      <c r="I166" s="5" t="s">
        <v>2339</v>
      </c>
      <c r="J166" s="53" t="s">
        <v>554</v>
      </c>
      <c r="K166" s="52"/>
      <c r="L166" s="52"/>
      <c r="M166" s="53" t="s">
        <v>554</v>
      </c>
      <c r="N166" s="5" t="s">
        <v>2340</v>
      </c>
      <c r="O166" s="6" t="s">
        <v>554</v>
      </c>
      <c r="P166" s="52" t="s">
        <v>2307</v>
      </c>
      <c r="Q166" s="86" t="n">
        <f aca="false">Spec_Rack!E39</f>
        <v>2.5</v>
      </c>
      <c r="R166" s="83" t="n">
        <f aca="false">SRC_HW_042</f>
        <v>2.5</v>
      </c>
      <c r="S166" s="83" t="str">
        <f aca="false">IF(OR($H166="—",$H166=""),"—",IF(ISNUMBER(MATCH($H166,SRC_HW!$A$5:$A$400,0)),INDEX(SRC_HW!$O$5:$O$400,MATCH($H166,SRC_HW!$A$5:$A$400,0)),IF(ISNUMBER(MATCH($H166,SRC_DC!$A$5:$A$400,0)),INDEX(SRC_DC!$O$5:$O$400,MATCH($H166,SRC_DC!$A$5:$A$400,0)),IF(ISNUMBER(MATCH($H166,SRC_Model!$A$5:$A$400,0)),INDEX(SRC_Model!$O$5:$O$400,MATCH($H166,SRC_Model!$A$5:$A$400,0)),IF(ISNUMBER(MATCH($H166,SRC_Perf!$A$5:$A$400,0)),INDEX(SRC_Perf!$O$5:$O$400,MATCH($H166,SRC_Perf!$A$5:$A$400,0)),"不存在")))))</f>
        <v>Active</v>
      </c>
      <c r="T166" s="83" t="n">
        <f aca="false">IF(OR($H166="—",$H166=""),"—",IF(ISNUMBER(MATCH($H166,SRC_HW!$A$5:$A$400,0)),INDEX(SRC_HW!$K$5:$K$400,MATCH($H166,SRC_HW!$A$5:$A$400,0)),IF(ISNUMBER(MATCH($H166,SRC_DC!$A$5:$A$400,0)),INDEX(SRC_DC!$K$5:$K$400,MATCH($H166,SRC_DC!$A$5:$A$400,0)),IF(ISNUMBER(MATCH($H166,SRC_Model!$A$5:$A$400,0)),INDEX(SRC_Model!$K$5:$K$400,MATCH($H166,SRC_Model!$A$5:$A$400,0)),IF(ISNUMBER(MATCH($H166,SRC_Perf!$A$5:$A$400,0)),INDEX(SRC_Perf!$K$5:$K$400,MATCH($H166,SRC_Perf!$A$5:$A$400,0)),"不存在")))))</f>
        <v>3</v>
      </c>
      <c r="U166" s="52" t="s">
        <v>2341</v>
      </c>
      <c r="V166" s="103" t="n">
        <f aca="false">IF(AND($F166="原始數據",$U166&lt;&gt;"連結 SRC"),1,0)</f>
        <v>0</v>
      </c>
      <c r="W166" s="103" t="n">
        <f aca="false">IF(AND($F166="Analogy",OR($H166="—",$H166="")),1,0)</f>
        <v>0</v>
      </c>
      <c r="X166" s="103" t="n">
        <f aca="false">IF(AND(OR($F166="Analogy",$F166="Assumed"),$G166&lt;&gt;"低",$G166&lt;&gt;"高",NOT(ISNUMBER($K166)),NOT(ISNUMBER($L166)),OR($M166="—",$M166="")),1,0)</f>
        <v>0</v>
      </c>
      <c r="Y166" s="103" t="n">
        <f aca="false">IF(AND(OR($F166="Analogy",$F166="Assumed",$F166="Derived（待改公式）",$F166="Derived（公式）"),OR($N166="—",$N166="",$N166=0)),1,0)</f>
        <v>0</v>
      </c>
      <c r="Z166" s="103" t="n">
        <f aca="false">IF(AND($F166="Decision",OR($J166="—",$J166="")),1,0)</f>
        <v>0</v>
      </c>
      <c r="AA166" s="84" t="n">
        <f aca="false">IF(OR($J166="—",$J166=""),0,IF(COUNTIF(Decisions!$A$5:$A$300,$J166)=0,1,0))</f>
        <v>0</v>
      </c>
      <c r="AB166" s="103" t="n">
        <f aca="false">IF(AND($F166="原始數據",$S166&lt;&gt;"Active"),1,0)</f>
        <v>0</v>
      </c>
      <c r="AC166" s="103" t="n">
        <f aca="false">IF(AND(ISNUMBER($K166),ISNUMBER($L166),ISNUMBER($Q166)),IF(OR($Q166&lt;MIN($K166,$L166),$Q166&gt;MAX($K166,$L166)),1,0),0)</f>
        <v>0</v>
      </c>
      <c r="AD166" s="103" t="n">
        <f aca="false">IF(AND(ISNUMBER($T166),$P166="高"),IF($T166=3,1,0),0)</f>
        <v>0</v>
      </c>
      <c r="AE166" s="103" t="n">
        <f aca="false">IF(AND($S166="不存在",$B166="切片一"),1,0)</f>
        <v>0</v>
      </c>
    </row>
    <row r="167" customFormat="false" ht="15" hidden="false" customHeight="false" outlineLevel="0" collapsed="false">
      <c r="A167" s="53" t="s">
        <v>2726</v>
      </c>
      <c r="B167" s="52" t="s">
        <v>2297</v>
      </c>
      <c r="C167" s="53" t="s">
        <v>2460</v>
      </c>
      <c r="D167" s="53" t="s">
        <v>2727</v>
      </c>
      <c r="E167" s="6" t="s">
        <v>208</v>
      </c>
      <c r="F167" s="52" t="s">
        <v>2337</v>
      </c>
      <c r="G167" s="52" t="s">
        <v>2299</v>
      </c>
      <c r="H167" s="53" t="s">
        <v>2728</v>
      </c>
      <c r="I167" s="5" t="s">
        <v>2627</v>
      </c>
      <c r="J167" s="53" t="s">
        <v>554</v>
      </c>
      <c r="K167" s="52"/>
      <c r="L167" s="52"/>
      <c r="M167" s="53" t="s">
        <v>554</v>
      </c>
      <c r="N167" s="5" t="s">
        <v>2340</v>
      </c>
      <c r="O167" s="6" t="s">
        <v>554</v>
      </c>
      <c r="P167" s="52" t="s">
        <v>2307</v>
      </c>
      <c r="Q167" s="86" t="n">
        <f aca="false">Spec_Rack!F39</f>
        <v>4</v>
      </c>
      <c r="R167" s="83" t="n">
        <f aca="false">SRC_HW_039</f>
        <v>288</v>
      </c>
      <c r="S167" s="83" t="str">
        <f aca="false">IF(OR($H167="—",$H167=""),"—",IF(ISNUMBER(MATCH($H167,SRC_HW!$A$5:$A$400,0)),INDEX(SRC_HW!$O$5:$O$400,MATCH($H167,SRC_HW!$A$5:$A$400,0)),IF(ISNUMBER(MATCH($H167,SRC_DC!$A$5:$A$400,0)),INDEX(SRC_DC!$O$5:$O$400,MATCH($H167,SRC_DC!$A$5:$A$400,0)),IF(ISNUMBER(MATCH($H167,SRC_Model!$A$5:$A$400,0)),INDEX(SRC_Model!$O$5:$O$400,MATCH($H167,SRC_Model!$A$5:$A$400,0)),IF(ISNUMBER(MATCH($H167,SRC_Perf!$A$5:$A$400,0)),INDEX(SRC_Perf!$O$5:$O$400,MATCH($H167,SRC_Perf!$A$5:$A$400,0)),"不存在")))))</f>
        <v>Active</v>
      </c>
      <c r="T167" s="83" t="n">
        <f aca="false">IF(OR($H167="—",$H167=""),"—",IF(ISNUMBER(MATCH($H167,SRC_HW!$A$5:$A$400,0)),INDEX(SRC_HW!$K$5:$K$400,MATCH($H167,SRC_HW!$A$5:$A$400,0)),IF(ISNUMBER(MATCH($H167,SRC_DC!$A$5:$A$400,0)),INDEX(SRC_DC!$K$5:$K$400,MATCH($H167,SRC_DC!$A$5:$A$400,0)),IF(ISNUMBER(MATCH($H167,SRC_Model!$A$5:$A$400,0)),INDEX(SRC_Model!$K$5:$K$400,MATCH($H167,SRC_Model!$A$5:$A$400,0)),IF(ISNUMBER(MATCH($H167,SRC_Perf!$A$5:$A$400,0)),INDEX(SRC_Perf!$K$5:$K$400,MATCH($H167,SRC_Perf!$A$5:$A$400,0)),"不存在")))))</f>
        <v>2</v>
      </c>
      <c r="U167" s="52" t="s">
        <v>2341</v>
      </c>
      <c r="V167" s="103" t="n">
        <f aca="false">IF(AND($F167="原始數據",$U167&lt;&gt;"連結 SRC"),1,0)</f>
        <v>0</v>
      </c>
      <c r="W167" s="103" t="n">
        <f aca="false">IF(AND($F167="Analogy",OR($H167="—",$H167="")),1,0)</f>
        <v>0</v>
      </c>
      <c r="X167" s="103" t="n">
        <f aca="false">IF(AND(OR($F167="Analogy",$F167="Assumed"),$G167&lt;&gt;"低",$G167&lt;&gt;"高",NOT(ISNUMBER($K167)),NOT(ISNUMBER($L167)),OR($M167="—",$M167="")),1,0)</f>
        <v>0</v>
      </c>
      <c r="Y167" s="103" t="n">
        <f aca="false">IF(AND(OR($F167="Analogy",$F167="Assumed",$F167="Derived（待改公式）",$F167="Derived（公式）"),OR($N167="—",$N167="",$N167=0)),1,0)</f>
        <v>0</v>
      </c>
      <c r="Z167" s="103" t="n">
        <f aca="false">IF(AND($F167="Decision",OR($J167="—",$J167="")),1,0)</f>
        <v>0</v>
      </c>
      <c r="AA167" s="84" t="n">
        <f aca="false">IF(OR($J167="—",$J167=""),0,IF(COUNTIF(Decisions!$A$5:$A$300,$J167)=0,1,0))</f>
        <v>0</v>
      </c>
      <c r="AB167" s="103" t="n">
        <f aca="false">IF(AND($F167="原始數據",$S167&lt;&gt;"Active"),1,0)</f>
        <v>0</v>
      </c>
      <c r="AC167" s="103" t="n">
        <f aca="false">IF(AND(ISNUMBER($K167),ISNUMBER($L167),ISNUMBER($Q167)),IF(OR($Q167&lt;MIN($K167,$L167),$Q167&gt;MAX($K167,$L167)),1,0),0)</f>
        <v>0</v>
      </c>
      <c r="AD167" s="103" t="n">
        <f aca="false">IF(AND(ISNUMBER($T167),$P167="高"),IF($T167=3,1,0),0)</f>
        <v>0</v>
      </c>
      <c r="AE167" s="103" t="n">
        <f aca="false">IF(AND($S167="不存在",$B167="切片一"),1,0)</f>
        <v>0</v>
      </c>
    </row>
    <row r="168" customFormat="false" ht="15" hidden="false" customHeight="false" outlineLevel="0" collapsed="false">
      <c r="A168" s="53" t="s">
        <v>2729</v>
      </c>
      <c r="B168" s="52" t="s">
        <v>2297</v>
      </c>
      <c r="C168" s="53" t="s">
        <v>2460</v>
      </c>
      <c r="D168" s="53" t="s">
        <v>2730</v>
      </c>
      <c r="E168" s="6" t="s">
        <v>208</v>
      </c>
      <c r="F168" s="53" t="s">
        <v>70</v>
      </c>
      <c r="G168" s="52" t="s">
        <v>55</v>
      </c>
      <c r="H168" s="53" t="s">
        <v>554</v>
      </c>
      <c r="I168" s="6" t="s">
        <v>554</v>
      </c>
      <c r="J168" s="53" t="s">
        <v>554</v>
      </c>
      <c r="K168" s="83" t="n">
        <f aca="false">Spec_Rack!G39*0.7</f>
        <v>5.6</v>
      </c>
      <c r="L168" s="83" t="n">
        <f aca="false">Spec_Rack!G39*1.3</f>
        <v>10.4</v>
      </c>
      <c r="M168" s="53" t="s">
        <v>2575</v>
      </c>
      <c r="N168" s="6" t="s">
        <v>2576</v>
      </c>
      <c r="O168" s="6" t="s">
        <v>554</v>
      </c>
      <c r="P168" s="52" t="s">
        <v>2307</v>
      </c>
      <c r="Q168" s="86" t="n">
        <f aca="false">Spec_Rack!G39</f>
        <v>8</v>
      </c>
      <c r="R168" s="53" t="s">
        <v>554</v>
      </c>
      <c r="S168" s="83" t="str">
        <f aca="false">IF(OR($H168="—",$H168=""),"—",IF(ISNUMBER(MATCH($H168,SRC_HW!$A$5:$A$400,0)),INDEX(SRC_HW!$O$5:$O$400,MATCH($H168,SRC_HW!$A$5:$A$400,0)),IF(ISNUMBER(MATCH($H168,SRC_DC!$A$5:$A$400,0)),INDEX(SRC_DC!$O$5:$O$400,MATCH($H168,SRC_DC!$A$5:$A$400,0)),IF(ISNUMBER(MATCH($H168,SRC_Model!$A$5:$A$400,0)),INDEX(SRC_Model!$O$5:$O$400,MATCH($H168,SRC_Model!$A$5:$A$400,0)),IF(ISNUMBER(MATCH($H168,SRC_Perf!$A$5:$A$400,0)),INDEX(SRC_Perf!$O$5:$O$400,MATCH($H168,SRC_Perf!$A$5:$A$400,0)),"不存在")))))</f>
        <v>—</v>
      </c>
      <c r="T168" s="83" t="str">
        <f aca="false">IF(OR($H168="—",$H168=""),"—",IF(ISNUMBER(MATCH($H168,SRC_HW!$A$5:$A$400,0)),INDEX(SRC_HW!$K$5:$K$400,MATCH($H168,SRC_HW!$A$5:$A$400,0)),IF(ISNUMBER(MATCH($H168,SRC_DC!$A$5:$A$400,0)),INDEX(SRC_DC!$K$5:$K$400,MATCH($H168,SRC_DC!$A$5:$A$400,0)),IF(ISNUMBER(MATCH($H168,SRC_Model!$A$5:$A$400,0)),INDEX(SRC_Model!$K$5:$K$400,MATCH($H168,SRC_Model!$A$5:$A$400,0)),IF(ISNUMBER(MATCH($H168,SRC_Perf!$A$5:$A$400,0)),INDEX(SRC_Perf!$K$5:$K$400,MATCH($H168,SRC_Perf!$A$5:$A$400,0)),"不存在")))))</f>
        <v>—</v>
      </c>
      <c r="U168" s="52" t="s">
        <v>2302</v>
      </c>
      <c r="V168" s="103" t="n">
        <f aca="false">IF(AND($F168="原始數據",$U168&lt;&gt;"連結 SRC"),1,0)</f>
        <v>0</v>
      </c>
      <c r="W168" s="103" t="n">
        <f aca="false">IF(AND($F168="Analogy",OR($H168="—",$H168="")),1,0)</f>
        <v>0</v>
      </c>
      <c r="X168" s="103" t="n">
        <f aca="false">IF(AND(OR($F168="Analogy",$F168="Assumed"),$G168&lt;&gt;"低",$G168&lt;&gt;"高",NOT(ISNUMBER($K168)),NOT(ISNUMBER($L168)),OR($M168="—",$M168="")),1,0)</f>
        <v>0</v>
      </c>
      <c r="Y168" s="103" t="n">
        <f aca="false">IF(AND(OR($F168="Analogy",$F168="Assumed",$F168="Derived（待改公式）",$F168="Derived（公式）"),OR($N168="—",$N168="",$N168=0)),1,0)</f>
        <v>0</v>
      </c>
      <c r="Z168" s="103" t="n">
        <f aca="false">IF(AND($F168="Decision",OR($J168="—",$J168="")),1,0)</f>
        <v>0</v>
      </c>
      <c r="AA168" s="84" t="n">
        <f aca="false">IF(OR($J168="—",$J168=""),0,IF(COUNTIF(Decisions!$A$5:$A$300,$J168)=0,1,0))</f>
        <v>0</v>
      </c>
      <c r="AB168" s="103" t="n">
        <f aca="false">IF(AND($F168="原始數據",$S168&lt;&gt;"Active"),1,0)</f>
        <v>0</v>
      </c>
      <c r="AC168" s="103" t="n">
        <f aca="false">IF(AND(ISNUMBER($K168),ISNUMBER($L168),ISNUMBER($Q168)),IF(OR($Q168&lt;MIN($K168,$L168),$Q168&gt;MAX($K168,$L168)),1,0),0)</f>
        <v>0</v>
      </c>
      <c r="AD168" s="103" t="n">
        <f aca="false">IF(AND(ISNUMBER($T168),$P168="高"),IF($T168=3,1,0),0)</f>
        <v>0</v>
      </c>
      <c r="AE168" s="103" t="n">
        <f aca="false">IF(AND($S168="不存在",$B168="切片一"),1,0)</f>
        <v>0</v>
      </c>
    </row>
    <row r="169" customFormat="false" ht="29.85" hidden="false" customHeight="false" outlineLevel="0" collapsed="false">
      <c r="A169" s="53" t="s">
        <v>2731</v>
      </c>
      <c r="B169" s="52" t="s">
        <v>2297</v>
      </c>
      <c r="C169" s="53" t="s">
        <v>2460</v>
      </c>
      <c r="D169" s="53" t="s">
        <v>2732</v>
      </c>
      <c r="E169" s="6" t="s">
        <v>210</v>
      </c>
      <c r="F169" s="52" t="s">
        <v>2337</v>
      </c>
      <c r="G169" s="52" t="s">
        <v>2299</v>
      </c>
      <c r="H169" s="53" t="s">
        <v>2566</v>
      </c>
      <c r="I169" s="5" t="s">
        <v>2339</v>
      </c>
      <c r="J169" s="53" t="s">
        <v>554</v>
      </c>
      <c r="K169" s="52"/>
      <c r="L169" s="52"/>
      <c r="M169" s="53" t="s">
        <v>554</v>
      </c>
      <c r="N169" s="5" t="s">
        <v>2340</v>
      </c>
      <c r="O169" s="6" t="s">
        <v>554</v>
      </c>
      <c r="P169" s="52" t="s">
        <v>1079</v>
      </c>
      <c r="Q169" s="86" t="n">
        <f aca="false">Spec_Rack!C40</f>
        <v>1.979</v>
      </c>
      <c r="R169" s="83" t="n">
        <f aca="false">SRC_HW_040</f>
        <v>1.979</v>
      </c>
      <c r="S169" s="83" t="str">
        <f aca="false">IF(OR($H169="—",$H169=""),"—",IF(ISNUMBER(MATCH($H169,SRC_HW!$A$5:$A$400,0)),INDEX(SRC_HW!$O$5:$O$400,MATCH($H169,SRC_HW!$A$5:$A$400,0)),IF(ISNUMBER(MATCH($H169,SRC_DC!$A$5:$A$400,0)),INDEX(SRC_DC!$O$5:$O$400,MATCH($H169,SRC_DC!$A$5:$A$400,0)),IF(ISNUMBER(MATCH($H169,SRC_Model!$A$5:$A$400,0)),INDEX(SRC_Model!$O$5:$O$400,MATCH($H169,SRC_Model!$A$5:$A$400,0)),IF(ISNUMBER(MATCH($H169,SRC_Perf!$A$5:$A$400,0)),INDEX(SRC_Perf!$O$5:$O$400,MATCH($H169,SRC_Perf!$A$5:$A$400,0)),"不存在")))))</f>
        <v>Active</v>
      </c>
      <c r="T169" s="83" t="n">
        <f aca="false">IF(OR($H169="—",$H169=""),"—",IF(ISNUMBER(MATCH($H169,SRC_HW!$A$5:$A$400,0)),INDEX(SRC_HW!$K$5:$K$400,MATCH($H169,SRC_HW!$A$5:$A$400,0)),IF(ISNUMBER(MATCH($H169,SRC_DC!$A$5:$A$400,0)),INDEX(SRC_DC!$K$5:$K$400,MATCH($H169,SRC_DC!$A$5:$A$400,0)),IF(ISNUMBER(MATCH($H169,SRC_Model!$A$5:$A$400,0)),INDEX(SRC_Model!$K$5:$K$400,MATCH($H169,SRC_Model!$A$5:$A$400,0)),IF(ISNUMBER(MATCH($H169,SRC_Perf!$A$5:$A$400,0)),INDEX(SRC_Perf!$K$5:$K$400,MATCH($H169,SRC_Perf!$A$5:$A$400,0)),"不存在")))))</f>
        <v>3</v>
      </c>
      <c r="U169" s="52" t="s">
        <v>2341</v>
      </c>
      <c r="V169" s="103" t="n">
        <f aca="false">IF(AND($F169="原始數據",$U169&lt;&gt;"連結 SRC"),1,0)</f>
        <v>0</v>
      </c>
      <c r="W169" s="103" t="n">
        <f aca="false">IF(AND($F169="Analogy",OR($H169="—",$H169="")),1,0)</f>
        <v>0</v>
      </c>
      <c r="X169" s="103" t="n">
        <f aca="false">IF(AND(OR($F169="Analogy",$F169="Assumed"),$G169&lt;&gt;"低",$G169&lt;&gt;"高",NOT(ISNUMBER($K169)),NOT(ISNUMBER($L169)),OR($M169="—",$M169="")),1,0)</f>
        <v>0</v>
      </c>
      <c r="Y169" s="103" t="n">
        <f aca="false">IF(AND(OR($F169="Analogy",$F169="Assumed",$F169="Derived（待改公式）",$F169="Derived（公式）"),OR($N169="—",$N169="",$N169=0)),1,0)</f>
        <v>0</v>
      </c>
      <c r="Z169" s="103" t="n">
        <f aca="false">IF(AND($F169="Decision",OR($J169="—",$J169="")),1,0)</f>
        <v>0</v>
      </c>
      <c r="AA169" s="84" t="n">
        <f aca="false">IF(OR($J169="—",$J169=""),0,IF(COUNTIF(Decisions!$A$5:$A$300,$J169)=0,1,0))</f>
        <v>0</v>
      </c>
      <c r="AB169" s="103" t="n">
        <f aca="false">IF(AND($F169="原始數據",$S169&lt;&gt;"Active"),1,0)</f>
        <v>0</v>
      </c>
      <c r="AC169" s="103" t="n">
        <f aca="false">IF(AND(ISNUMBER($K169),ISNUMBER($L169),ISNUMBER($Q169)),IF(OR($Q169&lt;MIN($K169,$L169),$Q169&gt;MAX($K169,$L169)),1,0),0)</f>
        <v>0</v>
      </c>
      <c r="AD169" s="103" t="n">
        <f aca="false">IF(AND(ISNUMBER($T169),$P169="高"),IF($T169=3,1,0),0)</f>
        <v>1</v>
      </c>
      <c r="AE169" s="103" t="n">
        <f aca="false">IF(AND($S169="不存在",$B169="切片一"),1,0)</f>
        <v>0</v>
      </c>
    </row>
    <row r="170" customFormat="false" ht="29.85" hidden="false" customHeight="false" outlineLevel="0" collapsed="false">
      <c r="A170" s="53" t="s">
        <v>2733</v>
      </c>
      <c r="B170" s="52" t="s">
        <v>2297</v>
      </c>
      <c r="C170" s="53" t="s">
        <v>2460</v>
      </c>
      <c r="D170" s="53" t="s">
        <v>2734</v>
      </c>
      <c r="E170" s="6" t="s">
        <v>210</v>
      </c>
      <c r="F170" s="52" t="s">
        <v>2337</v>
      </c>
      <c r="G170" s="52" t="s">
        <v>2299</v>
      </c>
      <c r="H170" s="53" t="s">
        <v>2735</v>
      </c>
      <c r="I170" s="5" t="s">
        <v>2339</v>
      </c>
      <c r="J170" s="53" t="s">
        <v>554</v>
      </c>
      <c r="K170" s="52"/>
      <c r="L170" s="52"/>
      <c r="M170" s="53" t="s">
        <v>554</v>
      </c>
      <c r="N170" s="5" t="s">
        <v>2340</v>
      </c>
      <c r="O170" s="6" t="s">
        <v>554</v>
      </c>
      <c r="P170" s="52" t="s">
        <v>1079</v>
      </c>
      <c r="Q170" s="86" t="n">
        <f aca="false">Spec_Rack!D40</f>
        <v>5</v>
      </c>
      <c r="R170" s="83" t="n">
        <f aca="false">SRC_HW_043</f>
        <v>5</v>
      </c>
      <c r="S170" s="83" t="str">
        <f aca="false">IF(OR($H170="—",$H170=""),"—",IF(ISNUMBER(MATCH($H170,SRC_HW!$A$5:$A$400,0)),INDEX(SRC_HW!$O$5:$O$400,MATCH($H170,SRC_HW!$A$5:$A$400,0)),IF(ISNUMBER(MATCH($H170,SRC_DC!$A$5:$A$400,0)),INDEX(SRC_DC!$O$5:$O$400,MATCH($H170,SRC_DC!$A$5:$A$400,0)),IF(ISNUMBER(MATCH($H170,SRC_Model!$A$5:$A$400,0)),INDEX(SRC_Model!$O$5:$O$400,MATCH($H170,SRC_Model!$A$5:$A$400,0)),IF(ISNUMBER(MATCH($H170,SRC_Perf!$A$5:$A$400,0)),INDEX(SRC_Perf!$O$5:$O$400,MATCH($H170,SRC_Perf!$A$5:$A$400,0)),"不存在")))))</f>
        <v>Active</v>
      </c>
      <c r="T170" s="83" t="n">
        <f aca="false">IF(OR($H170="—",$H170=""),"—",IF(ISNUMBER(MATCH($H170,SRC_HW!$A$5:$A$400,0)),INDEX(SRC_HW!$K$5:$K$400,MATCH($H170,SRC_HW!$A$5:$A$400,0)),IF(ISNUMBER(MATCH($H170,SRC_DC!$A$5:$A$400,0)),INDEX(SRC_DC!$K$5:$K$400,MATCH($H170,SRC_DC!$A$5:$A$400,0)),IF(ISNUMBER(MATCH($H170,SRC_Model!$A$5:$A$400,0)),INDEX(SRC_Model!$K$5:$K$400,MATCH($H170,SRC_Model!$A$5:$A$400,0)),IF(ISNUMBER(MATCH($H170,SRC_Perf!$A$5:$A$400,0)),INDEX(SRC_Perf!$K$5:$K$400,MATCH($H170,SRC_Perf!$A$5:$A$400,0)),"不存在")))))</f>
        <v>3</v>
      </c>
      <c r="U170" s="52" t="s">
        <v>2341</v>
      </c>
      <c r="V170" s="103" t="n">
        <f aca="false">IF(AND($F170="原始數據",$U170&lt;&gt;"連結 SRC"),1,0)</f>
        <v>0</v>
      </c>
      <c r="W170" s="103" t="n">
        <f aca="false">IF(AND($F170="Analogy",OR($H170="—",$H170="")),1,0)</f>
        <v>0</v>
      </c>
      <c r="X170" s="103" t="n">
        <f aca="false">IF(AND(OR($F170="Analogy",$F170="Assumed"),$G170&lt;&gt;"低",$G170&lt;&gt;"高",NOT(ISNUMBER($K170)),NOT(ISNUMBER($L170)),OR($M170="—",$M170="")),1,0)</f>
        <v>0</v>
      </c>
      <c r="Y170" s="103" t="n">
        <f aca="false">IF(AND(OR($F170="Analogy",$F170="Assumed",$F170="Derived（待改公式）",$F170="Derived（公式）"),OR($N170="—",$N170="",$N170=0)),1,0)</f>
        <v>0</v>
      </c>
      <c r="Z170" s="103" t="n">
        <f aca="false">IF(AND($F170="Decision",OR($J170="—",$J170="")),1,0)</f>
        <v>0</v>
      </c>
      <c r="AA170" s="84" t="n">
        <f aca="false">IF(OR($J170="—",$J170=""),0,IF(COUNTIF(Decisions!$A$5:$A$300,$J170)=0,1,0))</f>
        <v>0</v>
      </c>
      <c r="AB170" s="103" t="n">
        <f aca="false">IF(AND($F170="原始數據",$S170&lt;&gt;"Active"),1,0)</f>
        <v>0</v>
      </c>
      <c r="AC170" s="103" t="n">
        <f aca="false">IF(AND(ISNUMBER($K170),ISNUMBER($L170),ISNUMBER($Q170)),IF(OR($Q170&lt;MIN($K170,$L170),$Q170&gt;MAX($K170,$L170)),1,0),0)</f>
        <v>0</v>
      </c>
      <c r="AD170" s="103" t="n">
        <f aca="false">IF(AND(ISNUMBER($T170),$P170="高"),IF($T170=3,1,0),0)</f>
        <v>1</v>
      </c>
      <c r="AE170" s="103" t="n">
        <f aca="false">IF(AND($S170="不存在",$B170="切片一"),1,0)</f>
        <v>0</v>
      </c>
    </row>
    <row r="171" customFormat="false" ht="29.85" hidden="false" customHeight="false" outlineLevel="0" collapsed="false">
      <c r="A171" s="53" t="s">
        <v>2736</v>
      </c>
      <c r="B171" s="52" t="s">
        <v>2297</v>
      </c>
      <c r="C171" s="53" t="s">
        <v>2460</v>
      </c>
      <c r="D171" s="53" t="s">
        <v>2737</v>
      </c>
      <c r="E171" s="6" t="s">
        <v>210</v>
      </c>
      <c r="F171" s="52" t="s">
        <v>2337</v>
      </c>
      <c r="G171" s="52" t="s">
        <v>2299</v>
      </c>
      <c r="H171" s="53" t="s">
        <v>2735</v>
      </c>
      <c r="I171" s="5" t="s">
        <v>2339</v>
      </c>
      <c r="J171" s="53" t="s">
        <v>554</v>
      </c>
      <c r="K171" s="52"/>
      <c r="L171" s="52"/>
      <c r="M171" s="53" t="s">
        <v>554</v>
      </c>
      <c r="N171" s="5" t="s">
        <v>2340</v>
      </c>
      <c r="O171" s="6" t="s">
        <v>554</v>
      </c>
      <c r="P171" s="52" t="s">
        <v>1079</v>
      </c>
      <c r="Q171" s="86" t="n">
        <f aca="false">Spec_Rack!E40</f>
        <v>5</v>
      </c>
      <c r="R171" s="83" t="n">
        <f aca="false">SRC_HW_043</f>
        <v>5</v>
      </c>
      <c r="S171" s="83" t="str">
        <f aca="false">IF(OR($H171="—",$H171=""),"—",IF(ISNUMBER(MATCH($H171,SRC_HW!$A$5:$A$400,0)),INDEX(SRC_HW!$O$5:$O$400,MATCH($H171,SRC_HW!$A$5:$A$400,0)),IF(ISNUMBER(MATCH($H171,SRC_DC!$A$5:$A$400,0)),INDEX(SRC_DC!$O$5:$O$400,MATCH($H171,SRC_DC!$A$5:$A$400,0)),IF(ISNUMBER(MATCH($H171,SRC_Model!$A$5:$A$400,0)),INDEX(SRC_Model!$O$5:$O$400,MATCH($H171,SRC_Model!$A$5:$A$400,0)),IF(ISNUMBER(MATCH($H171,SRC_Perf!$A$5:$A$400,0)),INDEX(SRC_Perf!$O$5:$O$400,MATCH($H171,SRC_Perf!$A$5:$A$400,0)),"不存在")))))</f>
        <v>Active</v>
      </c>
      <c r="T171" s="83" t="n">
        <f aca="false">IF(OR($H171="—",$H171=""),"—",IF(ISNUMBER(MATCH($H171,SRC_HW!$A$5:$A$400,0)),INDEX(SRC_HW!$K$5:$K$400,MATCH($H171,SRC_HW!$A$5:$A$400,0)),IF(ISNUMBER(MATCH($H171,SRC_DC!$A$5:$A$400,0)),INDEX(SRC_DC!$K$5:$K$400,MATCH($H171,SRC_DC!$A$5:$A$400,0)),IF(ISNUMBER(MATCH($H171,SRC_Model!$A$5:$A$400,0)),INDEX(SRC_Model!$K$5:$K$400,MATCH($H171,SRC_Model!$A$5:$A$400,0)),IF(ISNUMBER(MATCH($H171,SRC_Perf!$A$5:$A$400,0)),INDEX(SRC_Perf!$K$5:$K$400,MATCH($H171,SRC_Perf!$A$5:$A$400,0)),"不存在")))))</f>
        <v>3</v>
      </c>
      <c r="U171" s="52" t="s">
        <v>2341</v>
      </c>
      <c r="V171" s="103" t="n">
        <f aca="false">IF(AND($F171="原始數據",$U171&lt;&gt;"連結 SRC"),1,0)</f>
        <v>0</v>
      </c>
      <c r="W171" s="103" t="n">
        <f aca="false">IF(AND($F171="Analogy",OR($H171="—",$H171="")),1,0)</f>
        <v>0</v>
      </c>
      <c r="X171" s="103" t="n">
        <f aca="false">IF(AND(OR($F171="Analogy",$F171="Assumed"),$G171&lt;&gt;"低",$G171&lt;&gt;"高",NOT(ISNUMBER($K171)),NOT(ISNUMBER($L171)),OR($M171="—",$M171="")),1,0)</f>
        <v>0</v>
      </c>
      <c r="Y171" s="103" t="n">
        <f aca="false">IF(AND(OR($F171="Analogy",$F171="Assumed",$F171="Derived（待改公式）",$F171="Derived（公式）"),OR($N171="—",$N171="",$N171=0)),1,0)</f>
        <v>0</v>
      </c>
      <c r="Z171" s="103" t="n">
        <f aca="false">IF(AND($F171="Decision",OR($J171="—",$J171="")),1,0)</f>
        <v>0</v>
      </c>
      <c r="AA171" s="84" t="n">
        <f aca="false">IF(OR($J171="—",$J171=""),0,IF(COUNTIF(Decisions!$A$5:$A$300,$J171)=0,1,0))</f>
        <v>0</v>
      </c>
      <c r="AB171" s="103" t="n">
        <f aca="false">IF(AND($F171="原始數據",$S171&lt;&gt;"Active"),1,0)</f>
        <v>0</v>
      </c>
      <c r="AC171" s="103" t="n">
        <f aca="false">IF(AND(ISNUMBER($K171),ISNUMBER($L171),ISNUMBER($Q171)),IF(OR($Q171&lt;MIN($K171,$L171),$Q171&gt;MAX($K171,$L171)),1,0),0)</f>
        <v>0</v>
      </c>
      <c r="AD171" s="103" t="n">
        <f aca="false">IF(AND(ISNUMBER($T171),$P171="高"),IF($T171=3,1,0),0)</f>
        <v>1</v>
      </c>
      <c r="AE171" s="103" t="n">
        <f aca="false">IF(AND($S171="不存在",$B171="切片一"),1,0)</f>
        <v>0</v>
      </c>
    </row>
    <row r="172" customFormat="false" ht="29.85" hidden="false" customHeight="false" outlineLevel="0" collapsed="false">
      <c r="A172" s="53" t="s">
        <v>2738</v>
      </c>
      <c r="B172" s="52" t="s">
        <v>2297</v>
      </c>
      <c r="C172" s="53" t="s">
        <v>2460</v>
      </c>
      <c r="D172" s="53" t="s">
        <v>2739</v>
      </c>
      <c r="E172" s="6" t="s">
        <v>210</v>
      </c>
      <c r="F172" s="52" t="s">
        <v>2337</v>
      </c>
      <c r="G172" s="52" t="s">
        <v>2299</v>
      </c>
      <c r="H172" s="53" t="s">
        <v>2740</v>
      </c>
      <c r="I172" s="5" t="s">
        <v>2627</v>
      </c>
      <c r="J172" s="53" t="s">
        <v>554</v>
      </c>
      <c r="K172" s="52"/>
      <c r="L172" s="52"/>
      <c r="M172" s="53" t="s">
        <v>554</v>
      </c>
      <c r="N172" s="5" t="s">
        <v>2340</v>
      </c>
      <c r="O172" s="6" t="s">
        <v>554</v>
      </c>
      <c r="P172" s="52" t="s">
        <v>1079</v>
      </c>
      <c r="Q172" s="86" t="n">
        <f aca="false">Spec_Rack!F40</f>
        <v>17.5</v>
      </c>
      <c r="R172" s="83" t="n">
        <f aca="false">SRC_HW_038</f>
        <v>1260</v>
      </c>
      <c r="S172" s="83" t="str">
        <f aca="false">IF(OR($H172="—",$H172=""),"—",IF(ISNUMBER(MATCH($H172,SRC_HW!$A$5:$A$400,0)),INDEX(SRC_HW!$O$5:$O$400,MATCH($H172,SRC_HW!$A$5:$A$400,0)),IF(ISNUMBER(MATCH($H172,SRC_DC!$A$5:$A$400,0)),INDEX(SRC_DC!$O$5:$O$400,MATCH($H172,SRC_DC!$A$5:$A$400,0)),IF(ISNUMBER(MATCH($H172,SRC_Model!$A$5:$A$400,0)),INDEX(SRC_Model!$O$5:$O$400,MATCH($H172,SRC_Model!$A$5:$A$400,0)),IF(ISNUMBER(MATCH($H172,SRC_Perf!$A$5:$A$400,0)),INDEX(SRC_Perf!$O$5:$O$400,MATCH($H172,SRC_Perf!$A$5:$A$400,0)),"不存在")))))</f>
        <v>Active</v>
      </c>
      <c r="T172" s="83" t="n">
        <f aca="false">IF(OR($H172="—",$H172=""),"—",IF(ISNUMBER(MATCH($H172,SRC_HW!$A$5:$A$400,0)),INDEX(SRC_HW!$K$5:$K$400,MATCH($H172,SRC_HW!$A$5:$A$400,0)),IF(ISNUMBER(MATCH($H172,SRC_DC!$A$5:$A$400,0)),INDEX(SRC_DC!$K$5:$K$400,MATCH($H172,SRC_DC!$A$5:$A$400,0)),IF(ISNUMBER(MATCH($H172,SRC_Model!$A$5:$A$400,0)),INDEX(SRC_Model!$K$5:$K$400,MATCH($H172,SRC_Model!$A$5:$A$400,0)),IF(ISNUMBER(MATCH($H172,SRC_Perf!$A$5:$A$400,0)),INDEX(SRC_Perf!$K$5:$K$400,MATCH($H172,SRC_Perf!$A$5:$A$400,0)),"不存在")))))</f>
        <v>2</v>
      </c>
      <c r="U172" s="52" t="s">
        <v>2341</v>
      </c>
      <c r="V172" s="103" t="n">
        <f aca="false">IF(AND($F172="原始數據",$U172&lt;&gt;"連結 SRC"),1,0)</f>
        <v>0</v>
      </c>
      <c r="W172" s="103" t="n">
        <f aca="false">IF(AND($F172="Analogy",OR($H172="—",$H172="")),1,0)</f>
        <v>0</v>
      </c>
      <c r="X172" s="103" t="n">
        <f aca="false">IF(AND(OR($F172="Analogy",$F172="Assumed"),$G172&lt;&gt;"低",$G172&lt;&gt;"高",NOT(ISNUMBER($K172)),NOT(ISNUMBER($L172)),OR($M172="—",$M172="")),1,0)</f>
        <v>0</v>
      </c>
      <c r="Y172" s="103" t="n">
        <f aca="false">IF(AND(OR($F172="Analogy",$F172="Assumed",$F172="Derived（待改公式）",$F172="Derived（公式）"),OR($N172="—",$N172="",$N172=0)),1,0)</f>
        <v>0</v>
      </c>
      <c r="Z172" s="103" t="n">
        <f aca="false">IF(AND($F172="Decision",OR($J172="—",$J172="")),1,0)</f>
        <v>0</v>
      </c>
      <c r="AA172" s="84" t="n">
        <f aca="false">IF(OR($J172="—",$J172=""),0,IF(COUNTIF(Decisions!$A$5:$A$300,$J172)=0,1,0))</f>
        <v>0</v>
      </c>
      <c r="AB172" s="103" t="n">
        <f aca="false">IF(AND($F172="原始數據",$S172&lt;&gt;"Active"),1,0)</f>
        <v>0</v>
      </c>
      <c r="AC172" s="103" t="n">
        <f aca="false">IF(AND(ISNUMBER($K172),ISNUMBER($L172),ISNUMBER($Q172)),IF(OR($Q172&lt;MIN($K172,$L172),$Q172&gt;MAX($K172,$L172)),1,0),0)</f>
        <v>0</v>
      </c>
      <c r="AD172" s="103" t="n">
        <f aca="false">IF(AND(ISNUMBER($T172),$P172="高"),IF($T172=3,1,0),0)</f>
        <v>0</v>
      </c>
      <c r="AE172" s="103" t="n">
        <f aca="false">IF(AND($S172="不存在",$B172="切片一"),1,0)</f>
        <v>0</v>
      </c>
    </row>
    <row r="173" customFormat="false" ht="44" hidden="false" customHeight="false" outlineLevel="0" collapsed="false">
      <c r="A173" s="53" t="s">
        <v>2741</v>
      </c>
      <c r="B173" s="52" t="s">
        <v>2297</v>
      </c>
      <c r="C173" s="53" t="s">
        <v>2460</v>
      </c>
      <c r="D173" s="53" t="s">
        <v>2742</v>
      </c>
      <c r="E173" s="6" t="s">
        <v>210</v>
      </c>
      <c r="F173" s="52" t="s">
        <v>2491</v>
      </c>
      <c r="G173" s="52" t="s">
        <v>2299</v>
      </c>
      <c r="H173" s="53" t="s">
        <v>2743</v>
      </c>
      <c r="I173" s="5" t="s">
        <v>2744</v>
      </c>
      <c r="J173" s="53" t="s">
        <v>554</v>
      </c>
      <c r="K173" s="52"/>
      <c r="L173" s="52"/>
      <c r="M173" s="53" t="s">
        <v>554</v>
      </c>
      <c r="N173" s="5" t="s">
        <v>2745</v>
      </c>
      <c r="O173" s="6" t="s">
        <v>554</v>
      </c>
      <c r="P173" s="52" t="s">
        <v>1079</v>
      </c>
      <c r="Q173" s="86" t="n">
        <f aca="false">Spec_Rack!G40</f>
        <v>34.7</v>
      </c>
      <c r="R173" s="83" t="n">
        <f aca="false">SRC_HW_045</f>
        <v>5000</v>
      </c>
      <c r="S173" s="83" t="str">
        <f aca="false">IF(OR($H173="—",$H173=""),"—",IF(ISNUMBER(MATCH($H173,SRC_HW!$A$5:$A$400,0)),INDEX(SRC_HW!$O$5:$O$400,MATCH($H173,SRC_HW!$A$5:$A$400,0)),IF(ISNUMBER(MATCH($H173,SRC_DC!$A$5:$A$400,0)),INDEX(SRC_DC!$O$5:$O$400,MATCH($H173,SRC_DC!$A$5:$A$400,0)),IF(ISNUMBER(MATCH($H173,SRC_Model!$A$5:$A$400,0)),INDEX(SRC_Model!$O$5:$O$400,MATCH($H173,SRC_Model!$A$5:$A$400,0)),IF(ISNUMBER(MATCH($H173,SRC_Perf!$A$5:$A$400,0)),INDEX(SRC_Perf!$O$5:$O$400,MATCH($H173,SRC_Perf!$A$5:$A$400,0)),"不存在")))))</f>
        <v>Active</v>
      </c>
      <c r="T173" s="83" t="n">
        <f aca="false">IF(OR($H173="—",$H173=""),"—",IF(ISNUMBER(MATCH($H173,SRC_HW!$A$5:$A$400,0)),INDEX(SRC_HW!$K$5:$K$400,MATCH($H173,SRC_HW!$A$5:$A$400,0)),IF(ISNUMBER(MATCH($H173,SRC_DC!$A$5:$A$400,0)),INDEX(SRC_DC!$K$5:$K$400,MATCH($H173,SRC_DC!$A$5:$A$400,0)),IF(ISNUMBER(MATCH($H173,SRC_Model!$A$5:$A$400,0)),INDEX(SRC_Model!$K$5:$K$400,MATCH($H173,SRC_Model!$A$5:$A$400,0)),IF(ISNUMBER(MATCH($H173,SRC_Perf!$A$5:$A$400,0)),INDEX(SRC_Perf!$K$5:$K$400,MATCH($H173,SRC_Perf!$A$5:$A$400,0)),"不存在")))))</f>
        <v>3</v>
      </c>
      <c r="U173" s="52" t="s">
        <v>2302</v>
      </c>
      <c r="V173" s="103" t="n">
        <f aca="false">IF(AND($F173="原始數據",$U173&lt;&gt;"連結 SRC"),1,0)</f>
        <v>0</v>
      </c>
      <c r="W173" s="103" t="n">
        <f aca="false">IF(AND($F173="Analogy",OR($H173="—",$H173="")),1,0)</f>
        <v>0</v>
      </c>
      <c r="X173" s="103" t="n">
        <f aca="false">IF(AND(OR($F173="Analogy",$F173="Assumed"),$G173&lt;&gt;"低",$G173&lt;&gt;"高",NOT(ISNUMBER($K173)),NOT(ISNUMBER($L173)),OR($M173="—",$M173="")),1,0)</f>
        <v>0</v>
      </c>
      <c r="Y173" s="103" t="n">
        <f aca="false">IF(AND(OR($F173="Analogy",$F173="Assumed",$F173="Derived（待改公式）",$F173="Derived（公式）"),OR($N173="—",$N173="",$N173=0)),1,0)</f>
        <v>0</v>
      </c>
      <c r="Z173" s="103" t="n">
        <f aca="false">IF(AND($F173="Decision",OR($J173="—",$J173="")),1,0)</f>
        <v>0</v>
      </c>
      <c r="AA173" s="84" t="n">
        <f aca="false">IF(OR($J173="—",$J173=""),0,IF(COUNTIF(Decisions!$A$5:$A$300,$J173)=0,1,0))</f>
        <v>0</v>
      </c>
      <c r="AB173" s="103" t="n">
        <f aca="false">IF(AND($F173="原始數據",$S173&lt;&gt;"Active"),1,0)</f>
        <v>0</v>
      </c>
      <c r="AC173" s="103" t="n">
        <f aca="false">IF(AND(ISNUMBER($K173),ISNUMBER($L173),ISNUMBER($Q173)),IF(OR($Q173&lt;MIN($K173,$L173),$Q173&gt;MAX($K173,$L173)),1,0),0)</f>
        <v>0</v>
      </c>
      <c r="AD173" s="103" t="n">
        <f aca="false">IF(AND(ISNUMBER($T173),$P173="高"),IF($T173=3,1,0),0)</f>
        <v>1</v>
      </c>
      <c r="AE173" s="103" t="n">
        <f aca="false">IF(AND($S173="不存在",$B173="切片一"),1,0)</f>
        <v>0</v>
      </c>
    </row>
    <row r="174" customFormat="false" ht="44" hidden="false" customHeight="false" outlineLevel="0" collapsed="false">
      <c r="A174" s="53" t="s">
        <v>2746</v>
      </c>
      <c r="B174" s="52" t="s">
        <v>2297</v>
      </c>
      <c r="C174" s="53" t="s">
        <v>2460</v>
      </c>
      <c r="D174" s="53" t="s">
        <v>2747</v>
      </c>
      <c r="E174" s="6" t="s">
        <v>212</v>
      </c>
      <c r="F174" s="53" t="s">
        <v>2579</v>
      </c>
      <c r="G174" s="52" t="s">
        <v>2299</v>
      </c>
      <c r="H174" s="53" t="s">
        <v>554</v>
      </c>
      <c r="I174" s="6" t="s">
        <v>554</v>
      </c>
      <c r="J174" s="53" t="s">
        <v>554</v>
      </c>
      <c r="K174" s="52"/>
      <c r="L174" s="52"/>
      <c r="M174" s="53" t="s">
        <v>554</v>
      </c>
      <c r="N174" s="6" t="s">
        <v>2748</v>
      </c>
      <c r="O174" s="6" t="s">
        <v>554</v>
      </c>
      <c r="P174" s="52" t="s">
        <v>2307</v>
      </c>
      <c r="Q174" s="86" t="n">
        <f aca="false">Spec_Rack!C41</f>
        <v>1.979</v>
      </c>
      <c r="R174" s="53" t="s">
        <v>554</v>
      </c>
      <c r="S174" s="83" t="str">
        <f aca="false">IF(OR($H174="—",$H174=""),"—",IF(ISNUMBER(MATCH($H174,SRC_HW!$A$5:$A$400,0)),INDEX(SRC_HW!$O$5:$O$400,MATCH($H174,SRC_HW!$A$5:$A$400,0)),IF(ISNUMBER(MATCH($H174,SRC_DC!$A$5:$A$400,0)),INDEX(SRC_DC!$O$5:$O$400,MATCH($H174,SRC_DC!$A$5:$A$400,0)),IF(ISNUMBER(MATCH($H174,SRC_Model!$A$5:$A$400,0)),INDEX(SRC_Model!$O$5:$O$400,MATCH($H174,SRC_Model!$A$5:$A$400,0)),IF(ISNUMBER(MATCH($H174,SRC_Perf!$A$5:$A$400,0)),INDEX(SRC_Perf!$O$5:$O$400,MATCH($H174,SRC_Perf!$A$5:$A$400,0)),"不存在")))))</f>
        <v>—</v>
      </c>
      <c r="T174" s="83" t="str">
        <f aca="false">IF(OR($H174="—",$H174=""),"—",IF(ISNUMBER(MATCH($H174,SRC_HW!$A$5:$A$400,0)),INDEX(SRC_HW!$K$5:$K$400,MATCH($H174,SRC_HW!$A$5:$A$400,0)),IF(ISNUMBER(MATCH($H174,SRC_DC!$A$5:$A$400,0)),INDEX(SRC_DC!$K$5:$K$400,MATCH($H174,SRC_DC!$A$5:$A$400,0)),IF(ISNUMBER(MATCH($H174,SRC_Model!$A$5:$A$400,0)),INDEX(SRC_Model!$K$5:$K$400,MATCH($H174,SRC_Model!$A$5:$A$400,0)),IF(ISNUMBER(MATCH($H174,SRC_Perf!$A$5:$A$400,0)),INDEX(SRC_Perf!$K$5:$K$400,MATCH($H174,SRC_Perf!$A$5:$A$400,0)),"不存在")))))</f>
        <v>—</v>
      </c>
      <c r="U174" s="52" t="s">
        <v>2581</v>
      </c>
      <c r="V174" s="103" t="n">
        <f aca="false">IF(AND($F174="原始數據",$U174&lt;&gt;"連結 SRC"),1,0)</f>
        <v>0</v>
      </c>
      <c r="W174" s="103" t="n">
        <f aca="false">IF(AND($F174="Analogy",OR($H174="—",$H174="")),1,0)</f>
        <v>0</v>
      </c>
      <c r="X174" s="103" t="n">
        <f aca="false">IF(AND(OR($F174="Analogy",$F174="Assumed"),$G174&lt;&gt;"低",$G174&lt;&gt;"高",NOT(ISNUMBER($K174)),NOT(ISNUMBER($L174)),OR($M174="—",$M174="")),1,0)</f>
        <v>0</v>
      </c>
      <c r="Y174" s="103" t="n">
        <f aca="false">IF(AND(OR($F174="Analogy",$F174="Assumed",$F174="Derived（待改公式）",$F174="Derived（公式）"),OR($N174="—",$N174="",$N174=0)),1,0)</f>
        <v>0</v>
      </c>
      <c r="Z174" s="103" t="n">
        <f aca="false">IF(AND($F174="Decision",OR($J174="—",$J174="")),1,0)</f>
        <v>0</v>
      </c>
      <c r="AA174" s="84" t="n">
        <f aca="false">IF(OR($J174="—",$J174=""),0,IF(COUNTIF(Decisions!$A$5:$A$300,$J174)=0,1,0))</f>
        <v>0</v>
      </c>
      <c r="AB174" s="103" t="n">
        <f aca="false">IF(AND($F174="原始數據",$S174&lt;&gt;"Active"),1,0)</f>
        <v>0</v>
      </c>
      <c r="AC174" s="103" t="n">
        <f aca="false">IF(AND(ISNUMBER($K174),ISNUMBER($L174),ISNUMBER($Q174)),IF(OR($Q174&lt;MIN($K174,$L174),$Q174&gt;MAX($K174,$L174)),1,0),0)</f>
        <v>0</v>
      </c>
      <c r="AD174" s="103" t="n">
        <f aca="false">IF(AND(ISNUMBER($T174),$P174="高"),IF($T174=3,1,0),0)</f>
        <v>0</v>
      </c>
      <c r="AE174" s="103" t="n">
        <f aca="false">IF(AND($S174="不存在",$B174="切片一"),1,0)</f>
        <v>0</v>
      </c>
    </row>
    <row r="175" customFormat="false" ht="69.4" hidden="false" customHeight="false" outlineLevel="0" collapsed="false">
      <c r="A175" s="53" t="s">
        <v>2749</v>
      </c>
      <c r="B175" s="52" t="s">
        <v>2297</v>
      </c>
      <c r="C175" s="53" t="s">
        <v>2460</v>
      </c>
      <c r="D175" s="53" t="s">
        <v>2750</v>
      </c>
      <c r="E175" s="6" t="s">
        <v>212</v>
      </c>
      <c r="F175" s="53" t="s">
        <v>74</v>
      </c>
      <c r="G175" s="52" t="s">
        <v>2299</v>
      </c>
      <c r="H175" s="53" t="s">
        <v>2751</v>
      </c>
      <c r="I175" s="5" t="s">
        <v>2752</v>
      </c>
      <c r="J175" s="53" t="s">
        <v>554</v>
      </c>
      <c r="K175" s="128" t="n">
        <v>5</v>
      </c>
      <c r="L175" s="128" t="n">
        <v>10</v>
      </c>
      <c r="M175" s="53" t="s">
        <v>2753</v>
      </c>
      <c r="N175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554</v>
      </c>
      <c r="P175" s="52" t="s">
        <v>2307</v>
      </c>
      <c r="Q175" s="86" t="n">
        <f aca="false">Spec_Rack!D41</f>
        <v>10</v>
      </c>
      <c r="R175" s="83" t="n">
        <f aca="false">SRC_HW_037</f>
        <v>2520</v>
      </c>
      <c r="S175" s="83" t="str">
        <f aca="false">IF(OR($H175="—",$H175=""),"—",IF(ISNUMBER(MATCH($H175,SRC_HW!$A$5:$A$400,0)),INDEX(SRC_HW!$O$5:$O$400,MATCH($H175,SRC_HW!$A$5:$A$400,0)),IF(ISNUMBER(MATCH($H175,SRC_DC!$A$5:$A$400,0)),INDEX(SRC_DC!$O$5:$O$400,MATCH($H175,SRC_DC!$A$5:$A$400,0)),IF(ISNUMBER(MATCH($H175,SRC_Model!$A$5:$A$400,0)),INDEX(SRC_Model!$O$5:$O$400,MATCH($H175,SRC_Model!$A$5:$A$400,0)),IF(ISNUMBER(MATCH($H175,SRC_Perf!$A$5:$A$400,0)),INDEX(SRC_Perf!$O$5:$O$400,MATCH($H175,SRC_Perf!$A$5:$A$400,0)),"不存在")))))</f>
        <v>Active</v>
      </c>
      <c r="T175" s="83" t="n">
        <f aca="false">IF(OR($H175="—",$H175=""),"—",IF(ISNUMBER(MATCH($H175,SRC_HW!$A$5:$A$400,0)),INDEX(SRC_HW!$K$5:$K$400,MATCH($H175,SRC_HW!$A$5:$A$400,0)),IF(ISNUMBER(MATCH($H175,SRC_DC!$A$5:$A$400,0)),INDEX(SRC_DC!$K$5:$K$400,MATCH($H175,SRC_DC!$A$5:$A$400,0)),IF(ISNUMBER(MATCH($H175,SRC_Model!$A$5:$A$400,0)),INDEX(SRC_Model!$K$5:$K$400,MATCH($H175,SRC_Model!$A$5:$A$400,0)),IF(ISNUMBER(MATCH($H175,SRC_Perf!$A$5:$A$400,0)),INDEX(SRC_Perf!$K$5:$K$400,MATCH($H175,SRC_Perf!$A$5:$A$400,0)),"不存在")))))</f>
        <v>2</v>
      </c>
      <c r="U175" s="52" t="s">
        <v>2302</v>
      </c>
      <c r="V175" s="103" t="n">
        <f aca="false">IF(AND($F175="原始數據",$U175&lt;&gt;"連結 SRC"),1,0)</f>
        <v>0</v>
      </c>
      <c r="W175" s="103" t="n">
        <f aca="false">IF(AND($F175="Analogy",OR($H175="—",$H175="")),1,0)</f>
        <v>0</v>
      </c>
      <c r="X175" s="103" t="n">
        <f aca="false">IF(AND(OR($F175="Analogy",$F175="Assumed"),$G175&lt;&gt;"低",$G175&lt;&gt;"高",NOT(ISNUMBER($K175)),NOT(ISNUMBER($L175)),OR($M175="—",$M175="")),1,0)</f>
        <v>0</v>
      </c>
      <c r="Y175" s="103" t="n">
        <f aca="false">IF(AND(OR($F175="Analogy",$F175="Assumed",$F175="Derived（待改公式）",$F175="Derived（公式）"),OR($N175="—",$N175="",$N175=0)),1,0)</f>
        <v>0</v>
      </c>
      <c r="Z175" s="103" t="n">
        <f aca="false">IF(AND($F175="Decision",OR($J175="—",$J175="")),1,0)</f>
        <v>0</v>
      </c>
      <c r="AA175" s="84" t="n">
        <f aca="false">IF(OR($J175="—",$J175=""),0,IF(COUNTIF(Decisions!$A$5:$A$300,$J175)=0,1,0))</f>
        <v>0</v>
      </c>
      <c r="AB175" s="103" t="n">
        <f aca="false">IF(AND($F175="原始數據",$S175&lt;&gt;"Active"),1,0)</f>
        <v>0</v>
      </c>
      <c r="AC175" s="103" t="n">
        <f aca="false">IF(AND(ISNUMBER($K175),ISNUMBER($L175),ISNUMBER($Q175)),IF(OR($Q175&lt;MIN($K175,$L175),$Q175&gt;MAX($K175,$L175)),1,0),0)</f>
        <v>0</v>
      </c>
      <c r="AD175" s="103" t="n">
        <f aca="false">IF(AND(ISNUMBER($T175),$P175="高"),IF($T175=3,1,0),0)</f>
        <v>0</v>
      </c>
      <c r="AE175" s="103" t="n">
        <f aca="false">IF(AND($S175="不存在",$B175="切片一"),1,0)</f>
        <v>0</v>
      </c>
    </row>
    <row r="176" customFormat="false" ht="69.4" hidden="false" customHeight="false" outlineLevel="0" collapsed="false">
      <c r="A176" s="53" t="s">
        <v>2754</v>
      </c>
      <c r="B176" s="52" t="s">
        <v>2297</v>
      </c>
      <c r="C176" s="53" t="s">
        <v>2460</v>
      </c>
      <c r="D176" s="53" t="s">
        <v>2755</v>
      </c>
      <c r="E176" s="6" t="s">
        <v>212</v>
      </c>
      <c r="F176" s="53" t="s">
        <v>70</v>
      </c>
      <c r="G176" s="52" t="s">
        <v>2299</v>
      </c>
      <c r="H176" s="53" t="s">
        <v>554</v>
      </c>
      <c r="I176" s="6" t="s">
        <v>554</v>
      </c>
      <c r="J176" s="53" t="s">
        <v>554</v>
      </c>
      <c r="K176" s="128" t="n">
        <v>10</v>
      </c>
      <c r="L176" s="128" t="n">
        <v>15</v>
      </c>
      <c r="M176" s="53" t="s">
        <v>2756</v>
      </c>
      <c r="N176" s="204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554</v>
      </c>
      <c r="P176" s="52" t="s">
        <v>2307</v>
      </c>
      <c r="Q176" s="86" t="n">
        <f aca="false">Spec_Rack!E41</f>
        <v>15</v>
      </c>
      <c r="R176" s="53" t="s">
        <v>554</v>
      </c>
      <c r="S176" s="83" t="str">
        <f aca="false">IF(OR($H176="—",$H176=""),"—",IF(ISNUMBER(MATCH($H176,SRC_HW!$A$5:$A$400,0)),INDEX(SRC_HW!$O$5:$O$400,MATCH($H176,SRC_HW!$A$5:$A$400,0)),IF(ISNUMBER(MATCH($H176,SRC_DC!$A$5:$A$400,0)),INDEX(SRC_DC!$O$5:$O$400,MATCH($H176,SRC_DC!$A$5:$A$400,0)),IF(ISNUMBER(MATCH($H176,SRC_Model!$A$5:$A$400,0)),INDEX(SRC_Model!$O$5:$O$400,MATCH($H176,SRC_Model!$A$5:$A$400,0)),IF(ISNUMBER(MATCH($H176,SRC_Perf!$A$5:$A$400,0)),INDEX(SRC_Perf!$O$5:$O$400,MATCH($H176,SRC_Perf!$A$5:$A$400,0)),"不存在")))))</f>
        <v>—</v>
      </c>
      <c r="T176" s="83" t="str">
        <f aca="false">IF(OR($H176="—",$H176=""),"—",IF(ISNUMBER(MATCH($H176,SRC_HW!$A$5:$A$400,0)),INDEX(SRC_HW!$K$5:$K$400,MATCH($H176,SRC_HW!$A$5:$A$400,0)),IF(ISNUMBER(MATCH($H176,SRC_DC!$A$5:$A$400,0)),INDEX(SRC_DC!$K$5:$K$400,MATCH($H176,SRC_DC!$A$5:$A$400,0)),IF(ISNUMBER(MATCH($H176,SRC_Model!$A$5:$A$400,0)),INDEX(SRC_Model!$K$5:$K$400,MATCH($H176,SRC_Model!$A$5:$A$400,0)),IF(ISNUMBER(MATCH($H176,SRC_Perf!$A$5:$A$400,0)),INDEX(SRC_Perf!$K$5:$K$400,MATCH($H176,SRC_Perf!$A$5:$A$400,0)),"不存在")))))</f>
        <v>—</v>
      </c>
      <c r="U176" s="52" t="s">
        <v>2302</v>
      </c>
      <c r="V176" s="103" t="n">
        <f aca="false">IF(AND($F176="原始數據",$U176&lt;&gt;"連結 SRC"),1,0)</f>
        <v>0</v>
      </c>
      <c r="W176" s="103" t="n">
        <f aca="false">IF(AND($F176="Analogy",OR($H176="—",$H176="")),1,0)</f>
        <v>0</v>
      </c>
      <c r="X176" s="103" t="n">
        <f aca="false">IF(AND(OR($F176="Analogy",$F176="Assumed"),$G176&lt;&gt;"低",$G176&lt;&gt;"高",NOT(ISNUMBER($K176)),NOT(ISNUMBER($L176)),OR($M176="—",$M176="")),1,0)</f>
        <v>0</v>
      </c>
      <c r="Y176" s="103" t="n">
        <f aca="false">IF(AND(OR($F176="Analogy",$F176="Assumed",$F176="Derived（待改公式）",$F176="Derived（公式）"),OR($N176="—",$N176="",$N176=0)),1,0)</f>
        <v>0</v>
      </c>
      <c r="Z176" s="103" t="n">
        <f aca="false">IF(AND($F176="Decision",OR($J176="—",$J176="")),1,0)</f>
        <v>0</v>
      </c>
      <c r="AA176" s="84" t="n">
        <f aca="false">IF(OR($J176="—",$J176=""),0,IF(COUNTIF(Decisions!$A$5:$A$300,$J176)=0,1,0))</f>
        <v>0</v>
      </c>
      <c r="AB176" s="103" t="n">
        <f aca="false">IF(AND($F176="原始數據",$S176&lt;&gt;"Active"),1,0)</f>
        <v>0</v>
      </c>
      <c r="AC176" s="103" t="n">
        <f aca="false">IF(AND(ISNUMBER($K176),ISNUMBER($L176),ISNUMBER($Q176)),IF(OR($Q176&lt;MIN($K176,$L176),$Q176&gt;MAX($K176,$L176)),1,0),0)</f>
        <v>0</v>
      </c>
      <c r="AD176" s="103" t="n">
        <f aca="false">IF(AND(ISNUMBER($T176),$P176="高"),IF($T176=3,1,0),0)</f>
        <v>0</v>
      </c>
      <c r="AE176" s="103" t="n">
        <f aca="false">IF(AND($S176="不存在",$B176="切片一"),1,0)</f>
        <v>0</v>
      </c>
    </row>
    <row r="177" customFormat="false" ht="44" hidden="false" customHeight="false" outlineLevel="0" collapsed="false">
      <c r="A177" s="53" t="s">
        <v>2757</v>
      </c>
      <c r="B177" s="52" t="s">
        <v>2297</v>
      </c>
      <c r="C177" s="53" t="s">
        <v>2460</v>
      </c>
      <c r="D177" s="53" t="s">
        <v>2758</v>
      </c>
      <c r="E177" s="6" t="s">
        <v>212</v>
      </c>
      <c r="F177" s="52" t="s">
        <v>2337</v>
      </c>
      <c r="G177" s="52" t="s">
        <v>2299</v>
      </c>
      <c r="H177" s="53" t="s">
        <v>2751</v>
      </c>
      <c r="I177" s="5" t="s">
        <v>2627</v>
      </c>
      <c r="J177" s="53" t="s">
        <v>554</v>
      </c>
      <c r="K177" s="52"/>
      <c r="L177" s="52"/>
      <c r="M177" s="53" t="s">
        <v>554</v>
      </c>
      <c r="N177" s="5" t="s">
        <v>2340</v>
      </c>
      <c r="O177" s="6" t="s">
        <v>554</v>
      </c>
      <c r="P177" s="52" t="s">
        <v>2307</v>
      </c>
      <c r="Q177" s="86" t="n">
        <f aca="false">Spec_Rack!F41</f>
        <v>35</v>
      </c>
      <c r="R177" s="83" t="n">
        <f aca="false">SRC_HW_037</f>
        <v>2520</v>
      </c>
      <c r="S177" s="83" t="str">
        <f aca="false">IF(OR($H177="—",$H177=""),"—",IF(ISNUMBER(MATCH($H177,SRC_HW!$A$5:$A$400,0)),INDEX(SRC_HW!$O$5:$O$400,MATCH($H177,SRC_HW!$A$5:$A$400,0)),IF(ISNUMBER(MATCH($H177,SRC_DC!$A$5:$A$400,0)),INDEX(SRC_DC!$O$5:$O$400,MATCH($H177,SRC_DC!$A$5:$A$400,0)),IF(ISNUMBER(MATCH($H177,SRC_Model!$A$5:$A$400,0)),INDEX(SRC_Model!$O$5:$O$400,MATCH($H177,SRC_Model!$A$5:$A$400,0)),IF(ISNUMBER(MATCH($H177,SRC_Perf!$A$5:$A$400,0)),INDEX(SRC_Perf!$O$5:$O$400,MATCH($H177,SRC_Perf!$A$5:$A$400,0)),"不存在")))))</f>
        <v>Active</v>
      </c>
      <c r="T177" s="83" t="n">
        <f aca="false">IF(OR($H177="—",$H177=""),"—",IF(ISNUMBER(MATCH($H177,SRC_HW!$A$5:$A$400,0)),INDEX(SRC_HW!$K$5:$K$400,MATCH($H177,SRC_HW!$A$5:$A$400,0)),IF(ISNUMBER(MATCH($H177,SRC_DC!$A$5:$A$400,0)),INDEX(SRC_DC!$K$5:$K$400,MATCH($H177,SRC_DC!$A$5:$A$400,0)),IF(ISNUMBER(MATCH($H177,SRC_Model!$A$5:$A$400,0)),INDEX(SRC_Model!$K$5:$K$400,MATCH($H177,SRC_Model!$A$5:$A$400,0)),IF(ISNUMBER(MATCH($H177,SRC_Perf!$A$5:$A$400,0)),INDEX(SRC_Perf!$K$5:$K$400,MATCH($H177,SRC_Perf!$A$5:$A$400,0)),"不存在")))))</f>
        <v>2</v>
      </c>
      <c r="U177" s="52" t="s">
        <v>2341</v>
      </c>
      <c r="V177" s="103" t="n">
        <f aca="false">IF(AND($F177="原始數據",$U177&lt;&gt;"連結 SRC"),1,0)</f>
        <v>0</v>
      </c>
      <c r="W177" s="103" t="n">
        <f aca="false">IF(AND($F177="Analogy",OR($H177="—",$H177="")),1,0)</f>
        <v>0</v>
      </c>
      <c r="X177" s="103" t="n">
        <f aca="false">IF(AND(OR($F177="Analogy",$F177="Assumed"),$G177&lt;&gt;"低",$G177&lt;&gt;"高",NOT(ISNUMBER($K177)),NOT(ISNUMBER($L177)),OR($M177="—",$M177="")),1,0)</f>
        <v>0</v>
      </c>
      <c r="Y177" s="103" t="n">
        <f aca="false">IF(AND(OR($F177="Analogy",$F177="Assumed",$F177="Derived（待改公式）",$F177="Derived（公式）"),OR($N177="—",$N177="",$N177=0)),1,0)</f>
        <v>0</v>
      </c>
      <c r="Z177" s="103" t="n">
        <f aca="false">IF(AND($F177="Decision",OR($J177="—",$J177="")),1,0)</f>
        <v>0</v>
      </c>
      <c r="AA177" s="84" t="n">
        <f aca="false">IF(OR($J177="—",$J177=""),0,IF(COUNTIF(Decisions!$A$5:$A$300,$J177)=0,1,0))</f>
        <v>0</v>
      </c>
      <c r="AB177" s="103" t="n">
        <f aca="false">IF(AND($F177="原始數據",$S177&lt;&gt;"Active"),1,0)</f>
        <v>0</v>
      </c>
      <c r="AC177" s="103" t="n">
        <f aca="false">IF(AND(ISNUMBER($K177),ISNUMBER($L177),ISNUMBER($Q177)),IF(OR($Q177&lt;MIN($K177,$L177),$Q177&gt;MAX($K177,$L177)),1,0),0)</f>
        <v>0</v>
      </c>
      <c r="AD177" s="103" t="n">
        <f aca="false">IF(AND(ISNUMBER($T177),$P177="高"),IF($T177=3,1,0),0)</f>
        <v>0</v>
      </c>
      <c r="AE177" s="103" t="n">
        <f aca="false">IF(AND($S177="不存在",$B177="切片一"),1,0)</f>
        <v>0</v>
      </c>
    </row>
    <row r="178" customFormat="false" ht="44" hidden="false" customHeight="false" outlineLevel="0" collapsed="false">
      <c r="A178" s="53" t="s">
        <v>2759</v>
      </c>
      <c r="B178" s="52" t="s">
        <v>2297</v>
      </c>
      <c r="C178" s="53" t="s">
        <v>2460</v>
      </c>
      <c r="D178" s="53" t="s">
        <v>2760</v>
      </c>
      <c r="E178" s="6" t="s">
        <v>212</v>
      </c>
      <c r="F178" s="53" t="s">
        <v>70</v>
      </c>
      <c r="G178" s="52" t="s">
        <v>55</v>
      </c>
      <c r="H178" s="53" t="s">
        <v>554</v>
      </c>
      <c r="I178" s="6" t="s">
        <v>554</v>
      </c>
      <c r="J178" s="53" t="s">
        <v>554</v>
      </c>
      <c r="K178" s="83" t="n">
        <f aca="false">Spec_Rack!G41*0.7</f>
        <v>51.1</v>
      </c>
      <c r="L178" s="83" t="n">
        <f aca="false">Spec_Rack!G41*1.3</f>
        <v>94.9</v>
      </c>
      <c r="M178" s="53" t="s">
        <v>2575</v>
      </c>
      <c r="N178" s="6" t="s">
        <v>2576</v>
      </c>
      <c r="O178" s="6" t="s">
        <v>554</v>
      </c>
      <c r="P178" s="52" t="s">
        <v>2307</v>
      </c>
      <c r="Q178" s="86" t="n">
        <f aca="false">Spec_Rack!G41</f>
        <v>73</v>
      </c>
      <c r="R178" s="53" t="s">
        <v>554</v>
      </c>
      <c r="S178" s="83" t="str">
        <f aca="false">IF(OR($H178="—",$H178=""),"—",IF(ISNUMBER(MATCH($H178,SRC_HW!$A$5:$A$400,0)),INDEX(SRC_HW!$O$5:$O$400,MATCH($H178,SRC_HW!$A$5:$A$400,0)),IF(ISNUMBER(MATCH($H178,SRC_DC!$A$5:$A$400,0)),INDEX(SRC_DC!$O$5:$O$400,MATCH($H178,SRC_DC!$A$5:$A$400,0)),IF(ISNUMBER(MATCH($H178,SRC_Model!$A$5:$A$400,0)),INDEX(SRC_Model!$O$5:$O$400,MATCH($H178,SRC_Model!$A$5:$A$400,0)),IF(ISNUMBER(MATCH($H178,SRC_Perf!$A$5:$A$400,0)),INDEX(SRC_Perf!$O$5:$O$400,MATCH($H178,SRC_Perf!$A$5:$A$400,0)),"不存在")))))</f>
        <v>—</v>
      </c>
      <c r="T178" s="83" t="str">
        <f aca="false">IF(OR($H178="—",$H178=""),"—",IF(ISNUMBER(MATCH($H178,SRC_HW!$A$5:$A$400,0)),INDEX(SRC_HW!$K$5:$K$400,MATCH($H178,SRC_HW!$A$5:$A$400,0)),IF(ISNUMBER(MATCH($H178,SRC_DC!$A$5:$A$400,0)),INDEX(SRC_DC!$K$5:$K$400,MATCH($H178,SRC_DC!$A$5:$A$400,0)),IF(ISNUMBER(MATCH($H178,SRC_Model!$A$5:$A$400,0)),INDEX(SRC_Model!$K$5:$K$400,MATCH($H178,SRC_Model!$A$5:$A$400,0)),IF(ISNUMBER(MATCH($H178,SRC_Perf!$A$5:$A$400,0)),INDEX(SRC_Perf!$K$5:$K$400,MATCH($H178,SRC_Perf!$A$5:$A$400,0)),"不存在")))))</f>
        <v>—</v>
      </c>
      <c r="U178" s="52" t="s">
        <v>2302</v>
      </c>
      <c r="V178" s="103" t="n">
        <f aca="false">IF(AND($F178="原始數據",$U178&lt;&gt;"連結 SRC"),1,0)</f>
        <v>0</v>
      </c>
      <c r="W178" s="103" t="n">
        <f aca="false">IF(AND($F178="Analogy",OR($H178="—",$H178="")),1,0)</f>
        <v>0</v>
      </c>
      <c r="X178" s="103" t="n">
        <f aca="false">IF(AND(OR($F178="Analogy",$F178="Assumed"),$G178&lt;&gt;"低",$G178&lt;&gt;"高",NOT(ISNUMBER($K178)),NOT(ISNUMBER($L178)),OR($M178="—",$M178="")),1,0)</f>
        <v>0</v>
      </c>
      <c r="Y178" s="103" t="n">
        <f aca="false">IF(AND(OR($F178="Analogy",$F178="Assumed",$F178="Derived（待改公式）",$F178="Derived（公式）"),OR($N178="—",$N178="",$N178=0)),1,0)</f>
        <v>0</v>
      </c>
      <c r="Z178" s="103" t="n">
        <f aca="false">IF(AND($F178="Decision",OR($J178="—",$J178="")),1,0)</f>
        <v>0</v>
      </c>
      <c r="AA178" s="84" t="n">
        <f aca="false">IF(OR($J178="—",$J178=""),0,IF(COUNTIF(Decisions!$A$5:$A$300,$J178)=0,1,0))</f>
        <v>0</v>
      </c>
      <c r="AB178" s="103" t="n">
        <f aca="false">IF(AND($F178="原始數據",$S178&lt;&gt;"Active"),1,0)</f>
        <v>0</v>
      </c>
      <c r="AC178" s="103" t="n">
        <f aca="false">IF(AND(ISNUMBER($K178),ISNUMBER($L178),ISNUMBER($Q178)),IF(OR($Q178&lt;MIN($K178,$L178),$Q178&gt;MAX($K178,$L178)),1,0),0)</f>
        <v>0</v>
      </c>
      <c r="AD178" s="103" t="n">
        <f aca="false">IF(AND(ISNUMBER($T178),$P178="高"),IF($T178=3,1,0),0)</f>
        <v>0</v>
      </c>
      <c r="AE178" s="103" t="n">
        <f aca="false">IF(AND($S178="不存在",$B178="切片一"),1,0)</f>
        <v>0</v>
      </c>
    </row>
    <row r="179" customFormat="false" ht="15" hidden="false" customHeight="false" outlineLevel="0" collapsed="false">
      <c r="A179" s="53" t="s">
        <v>2761</v>
      </c>
      <c r="B179" s="52" t="s">
        <v>2297</v>
      </c>
      <c r="C179" s="53" t="s">
        <v>2762</v>
      </c>
      <c r="D179" s="53" t="s">
        <v>2461</v>
      </c>
      <c r="E179" s="5" t="s">
        <v>224</v>
      </c>
      <c r="F179" s="52" t="s">
        <v>2337</v>
      </c>
      <c r="G179" s="52" t="s">
        <v>2299</v>
      </c>
      <c r="H179" s="53" t="s">
        <v>2763</v>
      </c>
      <c r="I179" s="5" t="s">
        <v>2339</v>
      </c>
      <c r="J179" s="53" t="s">
        <v>554</v>
      </c>
      <c r="K179" s="52"/>
      <c r="L179" s="52"/>
      <c r="M179" s="53" t="s">
        <v>554</v>
      </c>
      <c r="N179" s="5" t="s">
        <v>2340</v>
      </c>
      <c r="O179" s="6" t="s">
        <v>554</v>
      </c>
      <c r="P179" s="52" t="s">
        <v>2364</v>
      </c>
      <c r="Q179" s="54" t="n">
        <f aca="false">Arch!C6</f>
        <v>284</v>
      </c>
      <c r="R179" s="83" t="n">
        <f aca="false">SRC_MOD_005</f>
        <v>284</v>
      </c>
      <c r="S179" s="83" t="str">
        <f aca="false">IF(OR($H179="—",$H179=""),"—",IF(ISNUMBER(MATCH($H179,SRC_HW!$A$5:$A$400,0)),INDEX(SRC_HW!$O$5:$O$400,MATCH($H179,SRC_HW!$A$5:$A$400,0)),IF(ISNUMBER(MATCH($H179,SRC_DC!$A$5:$A$400,0)),INDEX(SRC_DC!$O$5:$O$400,MATCH($H179,SRC_DC!$A$5:$A$400,0)),IF(ISNUMBER(MATCH($H179,SRC_Model!$A$5:$A$400,0)),INDEX(SRC_Model!$O$5:$O$400,MATCH($H179,SRC_Model!$A$5:$A$400,0)),IF(ISNUMBER(MATCH($H179,SRC_Perf!$A$5:$A$400,0)),INDEX(SRC_Perf!$O$5:$O$400,MATCH($H179,SRC_Perf!$A$5:$A$400,0)),"不存在")))))</f>
        <v>Active</v>
      </c>
      <c r="T179" s="83" t="n">
        <f aca="false">IF(OR($H179="—",$H179=""),"—",IF(ISNUMBER(MATCH($H179,SRC_HW!$A$5:$A$400,0)),INDEX(SRC_HW!$K$5:$K$400,MATCH($H179,SRC_HW!$A$5:$A$400,0)),IF(ISNUMBER(MATCH($H179,SRC_DC!$A$5:$A$400,0)),INDEX(SRC_DC!$K$5:$K$400,MATCH($H179,SRC_DC!$A$5:$A$400,0)),IF(ISNUMBER(MATCH($H179,SRC_Model!$A$5:$A$400,0)),INDEX(SRC_Model!$K$5:$K$400,MATCH($H179,SRC_Model!$A$5:$A$400,0)),IF(ISNUMBER(MATCH($H179,SRC_Perf!$A$5:$A$400,0)),INDEX(SRC_Perf!$K$5:$K$400,MATCH($H179,SRC_Perf!$A$5:$A$400,0)),"不存在")))))</f>
        <v>3</v>
      </c>
      <c r="U179" s="52" t="s">
        <v>2341</v>
      </c>
      <c r="V179" s="103" t="n">
        <f aca="false">IF(AND($F179="原始數據",$U179&lt;&gt;"連結 SRC"),1,0)</f>
        <v>0</v>
      </c>
      <c r="W179" s="103" t="n">
        <f aca="false">IF(AND($F179="Analogy",OR($H179="—",$H179="")),1,0)</f>
        <v>0</v>
      </c>
      <c r="X179" s="103" t="n">
        <f aca="false">IF(AND(OR($F179="Analogy",$F179="Assumed"),$G179&lt;&gt;"低",$G179&lt;&gt;"高",NOT(ISNUMBER($K179)),NOT(ISNUMBER($L179)),OR($M179="—",$M179="")),1,0)</f>
        <v>0</v>
      </c>
      <c r="Y179" s="103" t="n">
        <f aca="false">IF(AND(OR($F179="Analogy",$F179="Assumed",$F179="Derived（待改公式）",$F179="Derived（公式）"),OR($N179="—",$N179="",$N179=0)),1,0)</f>
        <v>0</v>
      </c>
      <c r="Z179" s="103" t="n">
        <f aca="false">IF(AND($F179="Decision",OR($J179="—",$J179="")),1,0)</f>
        <v>0</v>
      </c>
      <c r="AA179" s="84" t="n">
        <f aca="false">IF(OR($J179="—",$J179=""),0,IF(COUNTIF(Decisions!$A$5:$A$300,$J179)=0,1,0))</f>
        <v>0</v>
      </c>
      <c r="AB179" s="103" t="n">
        <f aca="false">IF(AND($F179="原始數據",$S179&lt;&gt;"Active"),1,0)</f>
        <v>0</v>
      </c>
      <c r="AC179" s="103" t="n">
        <f aca="false">IF(AND(ISNUMBER($K179),ISNUMBER($L179),ISNUMBER($Q179)),IF(OR($Q179&lt;MIN($K179,$L179),$Q179&gt;MAX($K179,$L179)),1,0),0)</f>
        <v>0</v>
      </c>
      <c r="AD179" s="103" t="n">
        <f aca="false">IF(AND(ISNUMBER($T179),$P179="高"),IF($T179=3,1,0),0)</f>
        <v>0</v>
      </c>
      <c r="AE179" s="103" t="n">
        <f aca="false">IF(AND($S179="不存在",$B179="切片一"),1,0)</f>
        <v>0</v>
      </c>
    </row>
    <row r="180" customFormat="false" ht="15" hidden="false" customHeight="false" outlineLevel="0" collapsed="false">
      <c r="A180" s="53" t="s">
        <v>2764</v>
      </c>
      <c r="B180" s="52" t="s">
        <v>2297</v>
      </c>
      <c r="C180" s="53" t="s">
        <v>2762</v>
      </c>
      <c r="D180" s="53" t="s">
        <v>2465</v>
      </c>
      <c r="E180" s="5" t="s">
        <v>224</v>
      </c>
      <c r="F180" s="52" t="s">
        <v>2337</v>
      </c>
      <c r="G180" s="52" t="s">
        <v>2299</v>
      </c>
      <c r="H180" s="53" t="s">
        <v>2765</v>
      </c>
      <c r="I180" s="5" t="s">
        <v>2339</v>
      </c>
      <c r="J180" s="53" t="s">
        <v>554</v>
      </c>
      <c r="K180" s="52"/>
      <c r="L180" s="52"/>
      <c r="M180" s="53" t="s">
        <v>554</v>
      </c>
      <c r="N180" s="5" t="s">
        <v>2340</v>
      </c>
      <c r="O180" s="6" t="s">
        <v>554</v>
      </c>
      <c r="P180" s="52" t="s">
        <v>2364</v>
      </c>
      <c r="Q180" s="54" t="n">
        <f aca="false">Arch!D6</f>
        <v>1600</v>
      </c>
      <c r="R180" s="83" t="n">
        <f aca="false">SRC_MOD_001</f>
        <v>1600</v>
      </c>
      <c r="S180" s="83" t="str">
        <f aca="false">IF(OR($H180="—",$H180=""),"—",IF(ISNUMBER(MATCH($H180,SRC_HW!$A$5:$A$400,0)),INDEX(SRC_HW!$O$5:$O$400,MATCH($H180,SRC_HW!$A$5:$A$400,0)),IF(ISNUMBER(MATCH($H180,SRC_DC!$A$5:$A$400,0)),INDEX(SRC_DC!$O$5:$O$400,MATCH($H180,SRC_DC!$A$5:$A$400,0)),IF(ISNUMBER(MATCH($H180,SRC_Model!$A$5:$A$400,0)),INDEX(SRC_Model!$O$5:$O$400,MATCH($H180,SRC_Model!$A$5:$A$400,0)),IF(ISNUMBER(MATCH($H180,SRC_Perf!$A$5:$A$400,0)),INDEX(SRC_Perf!$O$5:$O$400,MATCH($H180,SRC_Perf!$A$5:$A$400,0)),"不存在")))))</f>
        <v>Active</v>
      </c>
      <c r="T180" s="83" t="n">
        <f aca="false">IF(OR($H180="—",$H180=""),"—",IF(ISNUMBER(MATCH($H180,SRC_HW!$A$5:$A$400,0)),INDEX(SRC_HW!$K$5:$K$400,MATCH($H180,SRC_HW!$A$5:$A$400,0)),IF(ISNUMBER(MATCH($H180,SRC_DC!$A$5:$A$400,0)),INDEX(SRC_DC!$K$5:$K$400,MATCH($H180,SRC_DC!$A$5:$A$400,0)),IF(ISNUMBER(MATCH($H180,SRC_Model!$A$5:$A$400,0)),INDEX(SRC_Model!$K$5:$K$400,MATCH($H180,SRC_Model!$A$5:$A$400,0)),IF(ISNUMBER(MATCH($H180,SRC_Perf!$A$5:$A$400,0)),INDEX(SRC_Perf!$K$5:$K$400,MATCH($H180,SRC_Perf!$A$5:$A$400,0)),"不存在")))))</f>
        <v>3</v>
      </c>
      <c r="U180" s="52" t="s">
        <v>2341</v>
      </c>
      <c r="V180" s="103" t="n">
        <f aca="false">IF(AND($F180="原始數據",$U180&lt;&gt;"連結 SRC"),1,0)</f>
        <v>0</v>
      </c>
      <c r="W180" s="103" t="n">
        <f aca="false">IF(AND($F180="Analogy",OR($H180="—",$H180="")),1,0)</f>
        <v>0</v>
      </c>
      <c r="X180" s="103" t="n">
        <f aca="false">IF(AND(OR($F180="Analogy",$F180="Assumed"),$G180&lt;&gt;"低",$G180&lt;&gt;"高",NOT(ISNUMBER($K180)),NOT(ISNUMBER($L180)),OR($M180="—",$M180="")),1,0)</f>
        <v>0</v>
      </c>
      <c r="Y180" s="103" t="n">
        <f aca="false">IF(AND(OR($F180="Analogy",$F180="Assumed",$F180="Derived（待改公式）",$F180="Derived（公式）"),OR($N180="—",$N180="",$N180=0)),1,0)</f>
        <v>0</v>
      </c>
      <c r="Z180" s="103" t="n">
        <f aca="false">IF(AND($F180="Decision",OR($J180="—",$J180="")),1,0)</f>
        <v>0</v>
      </c>
      <c r="AA180" s="84" t="n">
        <f aca="false">IF(OR($J180="—",$J180=""),0,IF(COUNTIF(Decisions!$A$5:$A$300,$J180)=0,1,0))</f>
        <v>0</v>
      </c>
      <c r="AB180" s="103" t="n">
        <f aca="false">IF(AND($F180="原始數據",$S180&lt;&gt;"Active"),1,0)</f>
        <v>0</v>
      </c>
      <c r="AC180" s="103" t="n">
        <f aca="false">IF(AND(ISNUMBER($K180),ISNUMBER($L180),ISNUMBER($Q180)),IF(OR($Q180&lt;MIN($K180,$L180),$Q180&gt;MAX($K180,$L180)),1,0),0)</f>
        <v>0</v>
      </c>
      <c r="AD180" s="103" t="n">
        <f aca="false">IF(AND(ISNUMBER($T180),$P180="高"),IF($T180=3,1,0),0)</f>
        <v>0</v>
      </c>
      <c r="AE180" s="103" t="n">
        <f aca="false">IF(AND($S180="不存在",$B180="切片一"),1,0)</f>
        <v>0</v>
      </c>
    </row>
    <row r="181" customFormat="false" ht="15" hidden="false" customHeight="false" outlineLevel="0" collapsed="false">
      <c r="A181" s="53" t="s">
        <v>2766</v>
      </c>
      <c r="B181" s="52" t="s">
        <v>2297</v>
      </c>
      <c r="C181" s="53" t="s">
        <v>2762</v>
      </c>
      <c r="D181" s="53" t="s">
        <v>2767</v>
      </c>
      <c r="E181" s="5" t="s">
        <v>228</v>
      </c>
      <c r="F181" s="52" t="s">
        <v>2337</v>
      </c>
      <c r="G181" s="52" t="s">
        <v>2299</v>
      </c>
      <c r="H181" s="53" t="s">
        <v>2768</v>
      </c>
      <c r="I181" s="5" t="s">
        <v>2339</v>
      </c>
      <c r="J181" s="53" t="s">
        <v>554</v>
      </c>
      <c r="K181" s="52"/>
      <c r="L181" s="52"/>
      <c r="M181" s="53" t="s">
        <v>554</v>
      </c>
      <c r="N181" s="5" t="s">
        <v>2340</v>
      </c>
      <c r="O181" s="6" t="s">
        <v>554</v>
      </c>
      <c r="P181" s="52" t="s">
        <v>1079</v>
      </c>
      <c r="Q181" s="54" t="n">
        <f aca="false">Arch!C7</f>
        <v>13</v>
      </c>
      <c r="R181" s="83" t="n">
        <f aca="false">SRC_MOD_006</f>
        <v>13</v>
      </c>
      <c r="S181" s="83" t="str">
        <f aca="false">IF(OR($H181="—",$H181=""),"—",IF(ISNUMBER(MATCH($H181,SRC_HW!$A$5:$A$400,0)),INDEX(SRC_HW!$O$5:$O$400,MATCH($H181,SRC_HW!$A$5:$A$400,0)),IF(ISNUMBER(MATCH($H181,SRC_DC!$A$5:$A$400,0)),INDEX(SRC_DC!$O$5:$O$400,MATCH($H181,SRC_DC!$A$5:$A$400,0)),IF(ISNUMBER(MATCH($H181,SRC_Model!$A$5:$A$400,0)),INDEX(SRC_Model!$O$5:$O$400,MATCH($H181,SRC_Model!$A$5:$A$400,0)),IF(ISNUMBER(MATCH($H181,SRC_Perf!$A$5:$A$400,0)),INDEX(SRC_Perf!$O$5:$O$400,MATCH($H181,SRC_Perf!$A$5:$A$400,0)),"不存在")))))</f>
        <v>Active</v>
      </c>
      <c r="T181" s="83" t="n">
        <f aca="false">IF(OR($H181="—",$H181=""),"—",IF(ISNUMBER(MATCH($H181,SRC_HW!$A$5:$A$400,0)),INDEX(SRC_HW!$K$5:$K$400,MATCH($H181,SRC_HW!$A$5:$A$400,0)),IF(ISNUMBER(MATCH($H181,SRC_DC!$A$5:$A$400,0)),INDEX(SRC_DC!$K$5:$K$400,MATCH($H181,SRC_DC!$A$5:$A$400,0)),IF(ISNUMBER(MATCH($H181,SRC_Model!$A$5:$A$400,0)),INDEX(SRC_Model!$K$5:$K$400,MATCH($H181,SRC_Model!$A$5:$A$400,0)),IF(ISNUMBER(MATCH($H181,SRC_Perf!$A$5:$A$400,0)),INDEX(SRC_Perf!$K$5:$K$400,MATCH($H181,SRC_Perf!$A$5:$A$400,0)),"不存在")))))</f>
        <v>3</v>
      </c>
      <c r="U181" s="52" t="s">
        <v>2341</v>
      </c>
      <c r="V181" s="103" t="n">
        <f aca="false">IF(AND($F181="原始數據",$U181&lt;&gt;"連結 SRC"),1,0)</f>
        <v>0</v>
      </c>
      <c r="W181" s="103" t="n">
        <f aca="false">IF(AND($F181="Analogy",OR($H181="—",$H181="")),1,0)</f>
        <v>0</v>
      </c>
      <c r="X181" s="103" t="n">
        <f aca="false">IF(AND(OR($F181="Analogy",$F181="Assumed"),$G181&lt;&gt;"低",$G181&lt;&gt;"高",NOT(ISNUMBER($K181)),NOT(ISNUMBER($L181)),OR($M181="—",$M181="")),1,0)</f>
        <v>0</v>
      </c>
      <c r="Y181" s="103" t="n">
        <f aca="false">IF(AND(OR($F181="Analogy",$F181="Assumed",$F181="Derived（待改公式）",$F181="Derived（公式）"),OR($N181="—",$N181="",$N181=0)),1,0)</f>
        <v>0</v>
      </c>
      <c r="Z181" s="103" t="n">
        <f aca="false">IF(AND($F181="Decision",OR($J181="—",$J181="")),1,0)</f>
        <v>0</v>
      </c>
      <c r="AA181" s="84" t="n">
        <f aca="false">IF(OR($J181="—",$J181=""),0,IF(COUNTIF(Decisions!$A$5:$A$300,$J181)=0,1,0))</f>
        <v>0</v>
      </c>
      <c r="AB181" s="103" t="n">
        <f aca="false">IF(AND($F181="原始數據",$S181&lt;&gt;"Active"),1,0)</f>
        <v>0</v>
      </c>
      <c r="AC181" s="103" t="n">
        <f aca="false">IF(AND(ISNUMBER($K181),ISNUMBER($L181),ISNUMBER($Q181)),IF(OR($Q181&lt;MIN($K181,$L181),$Q181&gt;MAX($K181,$L181)),1,0),0)</f>
        <v>0</v>
      </c>
      <c r="AD181" s="103" t="n">
        <f aca="false">IF(AND(ISNUMBER($T181),$P181="高"),IF($T181=3,1,0),0)</f>
        <v>1</v>
      </c>
      <c r="AE181" s="103" t="n">
        <f aca="false">IF(AND($S181="不存在",$B181="切片一"),1,0)</f>
        <v>0</v>
      </c>
    </row>
    <row r="182" customFormat="false" ht="15" hidden="false" customHeight="false" outlineLevel="0" collapsed="false">
      <c r="A182" s="53" t="s">
        <v>2769</v>
      </c>
      <c r="B182" s="52" t="s">
        <v>2297</v>
      </c>
      <c r="C182" s="53" t="s">
        <v>2762</v>
      </c>
      <c r="D182" s="53" t="s">
        <v>2770</v>
      </c>
      <c r="E182" s="5" t="s">
        <v>228</v>
      </c>
      <c r="F182" s="52" t="s">
        <v>2337</v>
      </c>
      <c r="G182" s="52" t="s">
        <v>2299</v>
      </c>
      <c r="H182" s="53" t="s">
        <v>2771</v>
      </c>
      <c r="I182" s="5" t="s">
        <v>2339</v>
      </c>
      <c r="J182" s="53" t="s">
        <v>554</v>
      </c>
      <c r="K182" s="52"/>
      <c r="L182" s="52"/>
      <c r="M182" s="53" t="s">
        <v>554</v>
      </c>
      <c r="N182" s="5" t="s">
        <v>2340</v>
      </c>
      <c r="O182" s="6" t="s">
        <v>554</v>
      </c>
      <c r="P182" s="52" t="s">
        <v>1079</v>
      </c>
      <c r="Q182" s="54" t="n">
        <f aca="false">Arch!D7</f>
        <v>49</v>
      </c>
      <c r="R182" s="83" t="n">
        <f aca="false">SRC_MOD_002</f>
        <v>49</v>
      </c>
      <c r="S182" s="83" t="str">
        <f aca="false">IF(OR($H182="—",$H182=""),"—",IF(ISNUMBER(MATCH($H182,SRC_HW!$A$5:$A$400,0)),INDEX(SRC_HW!$O$5:$O$400,MATCH($H182,SRC_HW!$A$5:$A$400,0)),IF(ISNUMBER(MATCH($H182,SRC_DC!$A$5:$A$400,0)),INDEX(SRC_DC!$O$5:$O$400,MATCH($H182,SRC_DC!$A$5:$A$400,0)),IF(ISNUMBER(MATCH($H182,SRC_Model!$A$5:$A$400,0)),INDEX(SRC_Model!$O$5:$O$400,MATCH($H182,SRC_Model!$A$5:$A$400,0)),IF(ISNUMBER(MATCH($H182,SRC_Perf!$A$5:$A$400,0)),INDEX(SRC_Perf!$O$5:$O$400,MATCH($H182,SRC_Perf!$A$5:$A$400,0)),"不存在")))))</f>
        <v>Active</v>
      </c>
      <c r="T182" s="83" t="n">
        <f aca="false">IF(OR($H182="—",$H182=""),"—",IF(ISNUMBER(MATCH($H182,SRC_HW!$A$5:$A$400,0)),INDEX(SRC_HW!$K$5:$K$400,MATCH($H182,SRC_HW!$A$5:$A$400,0)),IF(ISNUMBER(MATCH($H182,SRC_DC!$A$5:$A$400,0)),INDEX(SRC_DC!$K$5:$K$400,MATCH($H182,SRC_DC!$A$5:$A$400,0)),IF(ISNUMBER(MATCH($H182,SRC_Model!$A$5:$A$400,0)),INDEX(SRC_Model!$K$5:$K$400,MATCH($H182,SRC_Model!$A$5:$A$400,0)),IF(ISNUMBER(MATCH($H182,SRC_Perf!$A$5:$A$400,0)),INDEX(SRC_Perf!$K$5:$K$400,MATCH($H182,SRC_Perf!$A$5:$A$400,0)),"不存在")))))</f>
        <v>3</v>
      </c>
      <c r="U182" s="52" t="s">
        <v>2341</v>
      </c>
      <c r="V182" s="103" t="n">
        <f aca="false">IF(AND($F182="原始數據",$U182&lt;&gt;"連結 SRC"),1,0)</f>
        <v>0</v>
      </c>
      <c r="W182" s="103" t="n">
        <f aca="false">IF(AND($F182="Analogy",OR($H182="—",$H182="")),1,0)</f>
        <v>0</v>
      </c>
      <c r="X182" s="103" t="n">
        <f aca="false">IF(AND(OR($F182="Analogy",$F182="Assumed"),$G182&lt;&gt;"低",$G182&lt;&gt;"高",NOT(ISNUMBER($K182)),NOT(ISNUMBER($L182)),OR($M182="—",$M182="")),1,0)</f>
        <v>0</v>
      </c>
      <c r="Y182" s="103" t="n">
        <f aca="false">IF(AND(OR($F182="Analogy",$F182="Assumed",$F182="Derived（待改公式）",$F182="Derived（公式）"),OR($N182="—",$N182="",$N182=0)),1,0)</f>
        <v>0</v>
      </c>
      <c r="Z182" s="103" t="n">
        <f aca="false">IF(AND($F182="Decision",OR($J182="—",$J182="")),1,0)</f>
        <v>0</v>
      </c>
      <c r="AA182" s="84" t="n">
        <f aca="false">IF(OR($J182="—",$J182=""),0,IF(COUNTIF(Decisions!$A$5:$A$300,$J182)=0,1,0))</f>
        <v>0</v>
      </c>
      <c r="AB182" s="103" t="n">
        <f aca="false">IF(AND($F182="原始數據",$S182&lt;&gt;"Active"),1,0)</f>
        <v>0</v>
      </c>
      <c r="AC182" s="103" t="n">
        <f aca="false">IF(AND(ISNUMBER($K182),ISNUMBER($L182),ISNUMBER($Q182)),IF(OR($Q182&lt;MIN($K182,$L182),$Q182&gt;MAX($K182,$L182)),1,0),0)</f>
        <v>0</v>
      </c>
      <c r="AD182" s="103" t="n">
        <f aca="false">IF(AND(ISNUMBER($T182),$P182="高"),IF($T182=3,1,0),0)</f>
        <v>1</v>
      </c>
      <c r="AE182" s="103" t="n">
        <f aca="false">IF(AND($S182="不存在",$B182="切片一"),1,0)</f>
        <v>0</v>
      </c>
    </row>
    <row r="183" customFormat="false" ht="15" hidden="false" customHeight="false" outlineLevel="0" collapsed="false">
      <c r="A183" s="53" t="s">
        <v>2772</v>
      </c>
      <c r="B183" s="52" t="s">
        <v>2297</v>
      </c>
      <c r="C183" s="53" t="s">
        <v>2762</v>
      </c>
      <c r="D183" s="53" t="s">
        <v>2474</v>
      </c>
      <c r="E183" s="5" t="s">
        <v>230</v>
      </c>
      <c r="F183" s="52" t="s">
        <v>2337</v>
      </c>
      <c r="G183" s="52" t="s">
        <v>2299</v>
      </c>
      <c r="H183" s="53" t="s">
        <v>2773</v>
      </c>
      <c r="I183" s="5" t="s">
        <v>2339</v>
      </c>
      <c r="J183" s="53" t="s">
        <v>554</v>
      </c>
      <c r="K183" s="52"/>
      <c r="L183" s="52"/>
      <c r="M183" s="53" t="s">
        <v>554</v>
      </c>
      <c r="N183" s="5" t="s">
        <v>2340</v>
      </c>
      <c r="O183" s="6" t="s">
        <v>554</v>
      </c>
      <c r="P183" s="52" t="s">
        <v>2364</v>
      </c>
      <c r="Q183" s="54" t="n">
        <f aca="false">Arch!C8</f>
        <v>43</v>
      </c>
      <c r="R183" s="83" t="n">
        <f aca="false">SRC_MOD_007</f>
        <v>43</v>
      </c>
      <c r="S183" s="83" t="str">
        <f aca="false">IF(OR($H183="—",$H183=""),"—",IF(ISNUMBER(MATCH($H183,SRC_HW!$A$5:$A$400,0)),INDEX(SRC_HW!$O$5:$O$400,MATCH($H183,SRC_HW!$A$5:$A$400,0)),IF(ISNUMBER(MATCH($H183,SRC_DC!$A$5:$A$400,0)),INDEX(SRC_DC!$O$5:$O$400,MATCH($H183,SRC_DC!$A$5:$A$400,0)),IF(ISNUMBER(MATCH($H183,SRC_Model!$A$5:$A$400,0)),INDEX(SRC_Model!$O$5:$O$400,MATCH($H183,SRC_Model!$A$5:$A$400,0)),IF(ISNUMBER(MATCH($H183,SRC_Perf!$A$5:$A$400,0)),INDEX(SRC_Perf!$O$5:$O$400,MATCH($H183,SRC_Perf!$A$5:$A$400,0)),"不存在")))))</f>
        <v>Active</v>
      </c>
      <c r="T183" s="83" t="n">
        <f aca="false">IF(OR($H183="—",$H183=""),"—",IF(ISNUMBER(MATCH($H183,SRC_HW!$A$5:$A$400,0)),INDEX(SRC_HW!$K$5:$K$400,MATCH($H183,SRC_HW!$A$5:$A$400,0)),IF(ISNUMBER(MATCH($H183,SRC_DC!$A$5:$A$400,0)),INDEX(SRC_DC!$K$5:$K$400,MATCH($H183,SRC_DC!$A$5:$A$400,0)),IF(ISNUMBER(MATCH($H183,SRC_Model!$A$5:$A$400,0)),INDEX(SRC_Model!$K$5:$K$400,MATCH($H183,SRC_Model!$A$5:$A$400,0)),IF(ISNUMBER(MATCH($H183,SRC_Perf!$A$5:$A$400,0)),INDEX(SRC_Perf!$K$5:$K$400,MATCH($H183,SRC_Perf!$A$5:$A$400,0)),"不存在")))))</f>
        <v>3</v>
      </c>
      <c r="U183" s="52" t="s">
        <v>2341</v>
      </c>
      <c r="V183" s="103" t="n">
        <f aca="false">IF(AND($F183="原始數據",$U183&lt;&gt;"連結 SRC"),1,0)</f>
        <v>0</v>
      </c>
      <c r="W183" s="103" t="n">
        <f aca="false">IF(AND($F183="Analogy",OR($H183="—",$H183="")),1,0)</f>
        <v>0</v>
      </c>
      <c r="X183" s="103" t="n">
        <f aca="false">IF(AND(OR($F183="Analogy",$F183="Assumed"),$G183&lt;&gt;"低",$G183&lt;&gt;"高",NOT(ISNUMBER($K183)),NOT(ISNUMBER($L183)),OR($M183="—",$M183="")),1,0)</f>
        <v>0</v>
      </c>
      <c r="Y183" s="103" t="n">
        <f aca="false">IF(AND(OR($F183="Analogy",$F183="Assumed",$F183="Derived（待改公式）",$F183="Derived（公式）"),OR($N183="—",$N183="",$N183=0)),1,0)</f>
        <v>0</v>
      </c>
      <c r="Z183" s="103" t="n">
        <f aca="false">IF(AND($F183="Decision",OR($J183="—",$J183="")),1,0)</f>
        <v>0</v>
      </c>
      <c r="AA183" s="84" t="n">
        <f aca="false">IF(OR($J183="—",$J183=""),0,IF(COUNTIF(Decisions!$A$5:$A$300,$J183)=0,1,0))</f>
        <v>0</v>
      </c>
      <c r="AB183" s="103" t="n">
        <f aca="false">IF(AND($F183="原始數據",$S183&lt;&gt;"Active"),1,0)</f>
        <v>0</v>
      </c>
      <c r="AC183" s="103" t="n">
        <f aca="false">IF(AND(ISNUMBER($K183),ISNUMBER($L183),ISNUMBER($Q183)),IF(OR($Q183&lt;MIN($K183,$L183),$Q183&gt;MAX($K183,$L183)),1,0),0)</f>
        <v>0</v>
      </c>
      <c r="AD183" s="103" t="n">
        <f aca="false">IF(AND(ISNUMBER($T183),$P183="高"),IF($T183=3,1,0),0)</f>
        <v>0</v>
      </c>
      <c r="AE183" s="103" t="n">
        <f aca="false">IF(AND($S183="不存在",$B183="切片一"),1,0)</f>
        <v>0</v>
      </c>
    </row>
    <row r="184" customFormat="false" ht="15" hidden="false" customHeight="false" outlineLevel="0" collapsed="false">
      <c r="A184" s="53" t="s">
        <v>2774</v>
      </c>
      <c r="B184" s="52" t="s">
        <v>2297</v>
      </c>
      <c r="C184" s="53" t="s">
        <v>2762</v>
      </c>
      <c r="D184" s="53" t="s">
        <v>2478</v>
      </c>
      <c r="E184" s="5" t="s">
        <v>230</v>
      </c>
      <c r="F184" s="52" t="s">
        <v>2337</v>
      </c>
      <c r="G184" s="52" t="s">
        <v>2299</v>
      </c>
      <c r="H184" s="53" t="s">
        <v>2775</v>
      </c>
      <c r="I184" s="5" t="s">
        <v>2339</v>
      </c>
      <c r="J184" s="53" t="s">
        <v>554</v>
      </c>
      <c r="K184" s="52"/>
      <c r="L184" s="52"/>
      <c r="M184" s="53" t="s">
        <v>554</v>
      </c>
      <c r="N184" s="5" t="s">
        <v>2340</v>
      </c>
      <c r="O184" s="6" t="s">
        <v>554</v>
      </c>
      <c r="P184" s="52" t="s">
        <v>2364</v>
      </c>
      <c r="Q184" s="54" t="n">
        <f aca="false">Arch!D8</f>
        <v>61</v>
      </c>
      <c r="R184" s="83" t="n">
        <f aca="false">SRC_MOD_003</f>
        <v>61</v>
      </c>
      <c r="S184" s="83" t="str">
        <f aca="false">IF(OR($H184="—",$H184=""),"—",IF(ISNUMBER(MATCH($H184,SRC_HW!$A$5:$A$400,0)),INDEX(SRC_HW!$O$5:$O$400,MATCH($H184,SRC_HW!$A$5:$A$400,0)),IF(ISNUMBER(MATCH($H184,SRC_DC!$A$5:$A$400,0)),INDEX(SRC_DC!$O$5:$O$400,MATCH($H184,SRC_DC!$A$5:$A$400,0)),IF(ISNUMBER(MATCH($H184,SRC_Model!$A$5:$A$400,0)),INDEX(SRC_Model!$O$5:$O$400,MATCH($H184,SRC_Model!$A$5:$A$400,0)),IF(ISNUMBER(MATCH($H184,SRC_Perf!$A$5:$A$400,0)),INDEX(SRC_Perf!$O$5:$O$400,MATCH($H184,SRC_Perf!$A$5:$A$400,0)),"不存在")))))</f>
        <v>Active</v>
      </c>
      <c r="T184" s="83" t="n">
        <f aca="false">IF(OR($H184="—",$H184=""),"—",IF(ISNUMBER(MATCH($H184,SRC_HW!$A$5:$A$400,0)),INDEX(SRC_HW!$K$5:$K$400,MATCH($H184,SRC_HW!$A$5:$A$400,0)),IF(ISNUMBER(MATCH($H184,SRC_DC!$A$5:$A$400,0)),INDEX(SRC_DC!$K$5:$K$400,MATCH($H184,SRC_DC!$A$5:$A$400,0)),IF(ISNUMBER(MATCH($H184,SRC_Model!$A$5:$A$400,0)),INDEX(SRC_Model!$K$5:$K$400,MATCH($H184,SRC_Model!$A$5:$A$400,0)),IF(ISNUMBER(MATCH($H184,SRC_Perf!$A$5:$A$400,0)),INDEX(SRC_Perf!$K$5:$K$400,MATCH($H184,SRC_Perf!$A$5:$A$400,0)),"不存在")))))</f>
        <v>3</v>
      </c>
      <c r="U184" s="52" t="s">
        <v>2341</v>
      </c>
      <c r="V184" s="103" t="n">
        <f aca="false">IF(AND($F184="原始數據",$U184&lt;&gt;"連結 SRC"),1,0)</f>
        <v>0</v>
      </c>
      <c r="W184" s="103" t="n">
        <f aca="false">IF(AND($F184="Analogy",OR($H184="—",$H184="")),1,0)</f>
        <v>0</v>
      </c>
      <c r="X184" s="103" t="n">
        <f aca="false">IF(AND(OR($F184="Analogy",$F184="Assumed"),$G184&lt;&gt;"低",$G184&lt;&gt;"高",NOT(ISNUMBER($K184)),NOT(ISNUMBER($L184)),OR($M184="—",$M184="")),1,0)</f>
        <v>0</v>
      </c>
      <c r="Y184" s="103" t="n">
        <f aca="false">IF(AND(OR($F184="Analogy",$F184="Assumed",$F184="Derived（待改公式）",$F184="Derived（公式）"),OR($N184="—",$N184="",$N184=0)),1,0)</f>
        <v>0</v>
      </c>
      <c r="Z184" s="103" t="n">
        <f aca="false">IF(AND($F184="Decision",OR($J184="—",$J184="")),1,0)</f>
        <v>0</v>
      </c>
      <c r="AA184" s="84" t="n">
        <f aca="false">IF(OR($J184="—",$J184=""),0,IF(COUNTIF(Decisions!$A$5:$A$300,$J184)=0,1,0))</f>
        <v>0</v>
      </c>
      <c r="AB184" s="103" t="n">
        <f aca="false">IF(AND($F184="原始數據",$S184&lt;&gt;"Active"),1,0)</f>
        <v>0</v>
      </c>
      <c r="AC184" s="103" t="n">
        <f aca="false">IF(AND(ISNUMBER($K184),ISNUMBER($L184),ISNUMBER($Q184)),IF(OR($Q184&lt;MIN($K184,$L184),$Q184&gt;MAX($K184,$L184)),1,0),0)</f>
        <v>0</v>
      </c>
      <c r="AD184" s="103" t="n">
        <f aca="false">IF(AND(ISNUMBER($T184),$P184="高"),IF($T184=3,1,0),0)</f>
        <v>0</v>
      </c>
      <c r="AE184" s="103" t="n">
        <f aca="false">IF(AND($S184="不存在",$B184="切片一"),1,0)</f>
        <v>0</v>
      </c>
    </row>
    <row r="185" customFormat="false" ht="15" hidden="false" customHeight="false" outlineLevel="0" collapsed="false">
      <c r="A185" s="53" t="s">
        <v>2776</v>
      </c>
      <c r="B185" s="52" t="s">
        <v>2297</v>
      </c>
      <c r="C185" s="53" t="s">
        <v>2762</v>
      </c>
      <c r="D185" s="53" t="s">
        <v>2518</v>
      </c>
      <c r="E185" s="6" t="s">
        <v>239</v>
      </c>
      <c r="F185" s="52" t="s">
        <v>2337</v>
      </c>
      <c r="G185" s="52" t="s">
        <v>2299</v>
      </c>
      <c r="H185" s="53" t="s">
        <v>2777</v>
      </c>
      <c r="I185" s="5" t="s">
        <v>2339</v>
      </c>
      <c r="J185" s="53" t="s">
        <v>554</v>
      </c>
      <c r="K185" s="52"/>
      <c r="L185" s="52"/>
      <c r="M185" s="53" t="s">
        <v>554</v>
      </c>
      <c r="N185" s="5" t="s">
        <v>2340</v>
      </c>
      <c r="O185" s="6" t="s">
        <v>554</v>
      </c>
      <c r="P185" s="52" t="s">
        <v>2364</v>
      </c>
      <c r="Q185" s="54" t="n">
        <f aca="false">Arch!C11</f>
        <v>512</v>
      </c>
      <c r="R185" s="83" t="n">
        <f aca="false">SRC_MOD_009</f>
        <v>512</v>
      </c>
      <c r="S185" s="83" t="str">
        <f aca="false">IF(OR($H185="—",$H185=""),"—",IF(ISNUMBER(MATCH($H185,SRC_HW!$A$5:$A$400,0)),INDEX(SRC_HW!$O$5:$O$400,MATCH($H185,SRC_HW!$A$5:$A$400,0)),IF(ISNUMBER(MATCH($H185,SRC_DC!$A$5:$A$400,0)),INDEX(SRC_DC!$O$5:$O$400,MATCH($H185,SRC_DC!$A$5:$A$400,0)),IF(ISNUMBER(MATCH($H185,SRC_Model!$A$5:$A$400,0)),INDEX(SRC_Model!$O$5:$O$400,MATCH($H185,SRC_Model!$A$5:$A$400,0)),IF(ISNUMBER(MATCH($H185,SRC_Perf!$A$5:$A$400,0)),INDEX(SRC_Perf!$O$5:$O$400,MATCH($H185,SRC_Perf!$A$5:$A$400,0)),"不存在")))))</f>
        <v>Active</v>
      </c>
      <c r="T185" s="83" t="n">
        <f aca="false">IF(OR($H185="—",$H185=""),"—",IF(ISNUMBER(MATCH($H185,SRC_HW!$A$5:$A$400,0)),INDEX(SRC_HW!$K$5:$K$400,MATCH($H185,SRC_HW!$A$5:$A$400,0)),IF(ISNUMBER(MATCH($H185,SRC_DC!$A$5:$A$400,0)),INDEX(SRC_DC!$K$5:$K$400,MATCH($H185,SRC_DC!$A$5:$A$400,0)),IF(ISNUMBER(MATCH($H185,SRC_Model!$A$5:$A$400,0)),INDEX(SRC_Model!$K$5:$K$400,MATCH($H185,SRC_Model!$A$5:$A$400,0)),IF(ISNUMBER(MATCH($H185,SRC_Perf!$A$5:$A$400,0)),INDEX(SRC_Perf!$K$5:$K$400,MATCH($H185,SRC_Perf!$A$5:$A$400,0)),"不存在")))))</f>
        <v>3</v>
      </c>
      <c r="U185" s="52" t="s">
        <v>2341</v>
      </c>
      <c r="V185" s="103" t="n">
        <f aca="false">IF(AND($F185="原始數據",$U185&lt;&gt;"連結 SRC"),1,0)</f>
        <v>0</v>
      </c>
      <c r="W185" s="103" t="n">
        <f aca="false">IF(AND($F185="Analogy",OR($H185="—",$H185="")),1,0)</f>
        <v>0</v>
      </c>
      <c r="X185" s="103" t="n">
        <f aca="false">IF(AND(OR($F185="Analogy",$F185="Assumed"),$G185&lt;&gt;"低",$G185&lt;&gt;"高",NOT(ISNUMBER($K185)),NOT(ISNUMBER($L185)),OR($M185="—",$M185="")),1,0)</f>
        <v>0</v>
      </c>
      <c r="Y185" s="103" t="n">
        <f aca="false">IF(AND(OR($F185="Analogy",$F185="Assumed",$F185="Derived（待改公式）",$F185="Derived（公式）"),OR($N185="—",$N185="",$N185=0)),1,0)</f>
        <v>0</v>
      </c>
      <c r="Z185" s="103" t="n">
        <f aca="false">IF(AND($F185="Decision",OR($J185="—",$J185="")),1,0)</f>
        <v>0</v>
      </c>
      <c r="AA185" s="84" t="n">
        <f aca="false">IF(OR($J185="—",$J185=""),0,IF(COUNTIF(Decisions!$A$5:$A$300,$J185)=0,1,0))</f>
        <v>0</v>
      </c>
      <c r="AB185" s="103" t="n">
        <f aca="false">IF(AND($F185="原始數據",$S185&lt;&gt;"Active"),1,0)</f>
        <v>0</v>
      </c>
      <c r="AC185" s="103" t="n">
        <f aca="false">IF(AND(ISNUMBER($K185),ISNUMBER($L185),ISNUMBER($Q185)),IF(OR($Q185&lt;MIN($K185,$L185),$Q185&gt;MAX($K185,$L185)),1,0),0)</f>
        <v>0</v>
      </c>
      <c r="AD185" s="103" t="n">
        <f aca="false">IF(AND(ISNUMBER($T185),$P185="高"),IF($T185=3,1,0),0)</f>
        <v>0</v>
      </c>
      <c r="AE185" s="103" t="n">
        <f aca="false">IF(AND($S185="不存在",$B185="切片一"),1,0)</f>
        <v>0</v>
      </c>
    </row>
    <row r="186" customFormat="false" ht="15" hidden="false" customHeight="false" outlineLevel="0" collapsed="false">
      <c r="A186" s="53" t="s">
        <v>2778</v>
      </c>
      <c r="B186" s="52" t="s">
        <v>2297</v>
      </c>
      <c r="C186" s="53" t="s">
        <v>2762</v>
      </c>
      <c r="D186" s="53" t="s">
        <v>2327</v>
      </c>
      <c r="E186" s="6" t="s">
        <v>239</v>
      </c>
      <c r="F186" s="52" t="s">
        <v>2337</v>
      </c>
      <c r="G186" s="52" t="s">
        <v>2299</v>
      </c>
      <c r="H186" s="53" t="s">
        <v>2777</v>
      </c>
      <c r="I186" s="5" t="s">
        <v>2339</v>
      </c>
      <c r="J186" s="53" t="s">
        <v>554</v>
      </c>
      <c r="K186" s="52"/>
      <c r="L186" s="52"/>
      <c r="M186" s="53" t="s">
        <v>554</v>
      </c>
      <c r="N186" s="5" t="s">
        <v>2340</v>
      </c>
      <c r="O186" s="6" t="s">
        <v>554</v>
      </c>
      <c r="P186" s="52" t="s">
        <v>2364</v>
      </c>
      <c r="Q186" s="54" t="n">
        <f aca="false">Arch!D11</f>
        <v>512</v>
      </c>
      <c r="R186" s="83" t="n">
        <f aca="false">SRC_MOD_009</f>
        <v>512</v>
      </c>
      <c r="S186" s="83" t="str">
        <f aca="false">IF(OR($H186="—",$H186=""),"—",IF(ISNUMBER(MATCH($H186,SRC_HW!$A$5:$A$400,0)),INDEX(SRC_HW!$O$5:$O$400,MATCH($H186,SRC_HW!$A$5:$A$400,0)),IF(ISNUMBER(MATCH($H186,SRC_DC!$A$5:$A$400,0)),INDEX(SRC_DC!$O$5:$O$400,MATCH($H186,SRC_DC!$A$5:$A$400,0)),IF(ISNUMBER(MATCH($H186,SRC_Model!$A$5:$A$400,0)),INDEX(SRC_Model!$O$5:$O$400,MATCH($H186,SRC_Model!$A$5:$A$400,0)),IF(ISNUMBER(MATCH($H186,SRC_Perf!$A$5:$A$400,0)),INDEX(SRC_Perf!$O$5:$O$400,MATCH($H186,SRC_Perf!$A$5:$A$400,0)),"不存在")))))</f>
        <v>Active</v>
      </c>
      <c r="T186" s="83" t="n">
        <f aca="false">IF(OR($H186="—",$H186=""),"—",IF(ISNUMBER(MATCH($H186,SRC_HW!$A$5:$A$400,0)),INDEX(SRC_HW!$K$5:$K$400,MATCH($H186,SRC_HW!$A$5:$A$400,0)),IF(ISNUMBER(MATCH($H186,SRC_DC!$A$5:$A$400,0)),INDEX(SRC_DC!$K$5:$K$400,MATCH($H186,SRC_DC!$A$5:$A$400,0)),IF(ISNUMBER(MATCH($H186,SRC_Model!$A$5:$A$400,0)),INDEX(SRC_Model!$K$5:$K$400,MATCH($H186,SRC_Model!$A$5:$A$400,0)),IF(ISNUMBER(MATCH($H186,SRC_Perf!$A$5:$A$400,0)),INDEX(SRC_Perf!$K$5:$K$400,MATCH($H186,SRC_Perf!$A$5:$A$400,0)),"不存在")))))</f>
        <v>3</v>
      </c>
      <c r="U186" s="52" t="s">
        <v>2341</v>
      </c>
      <c r="V186" s="103" t="n">
        <f aca="false">IF(AND($F186="原始數據",$U186&lt;&gt;"連結 SRC"),1,0)</f>
        <v>0</v>
      </c>
      <c r="W186" s="103" t="n">
        <f aca="false">IF(AND($F186="Analogy",OR($H186="—",$H186="")),1,0)</f>
        <v>0</v>
      </c>
      <c r="X186" s="103" t="n">
        <f aca="false">IF(AND(OR($F186="Analogy",$F186="Assumed"),$G186&lt;&gt;"低",$G186&lt;&gt;"高",NOT(ISNUMBER($K186)),NOT(ISNUMBER($L186)),OR($M186="—",$M186="")),1,0)</f>
        <v>0</v>
      </c>
      <c r="Y186" s="103" t="n">
        <f aca="false">IF(AND(OR($F186="Analogy",$F186="Assumed",$F186="Derived（待改公式）",$F186="Derived（公式）"),OR($N186="—",$N186="",$N186=0)),1,0)</f>
        <v>0</v>
      </c>
      <c r="Z186" s="103" t="n">
        <f aca="false">IF(AND($F186="Decision",OR($J186="—",$J186="")),1,0)</f>
        <v>0</v>
      </c>
      <c r="AA186" s="84" t="n">
        <f aca="false">IF(OR($J186="—",$J186=""),0,IF(COUNTIF(Decisions!$A$5:$A$300,$J186)=0,1,0))</f>
        <v>0</v>
      </c>
      <c r="AB186" s="103" t="n">
        <f aca="false">IF(AND($F186="原始數據",$S186&lt;&gt;"Active"),1,0)</f>
        <v>0</v>
      </c>
      <c r="AC186" s="103" t="n">
        <f aca="false">IF(AND(ISNUMBER($K186),ISNUMBER($L186),ISNUMBER($Q186)),IF(OR($Q186&lt;MIN($K186,$L186),$Q186&gt;MAX($K186,$L186)),1,0),0)</f>
        <v>0</v>
      </c>
      <c r="AD186" s="103" t="n">
        <f aca="false">IF(AND(ISNUMBER($T186),$P186="高"),IF($T186=3,1,0),0)</f>
        <v>0</v>
      </c>
      <c r="AE186" s="103" t="n">
        <f aca="false">IF(AND($S186="不存在",$B186="切片一"),1,0)</f>
        <v>0</v>
      </c>
    </row>
    <row r="187" customFormat="false" ht="15" hidden="false" customHeight="false" outlineLevel="0" collapsed="false">
      <c r="A187" s="53" t="s">
        <v>2779</v>
      </c>
      <c r="B187" s="52" t="s">
        <v>2297</v>
      </c>
      <c r="C187" s="53" t="s">
        <v>2762</v>
      </c>
      <c r="D187" s="53" t="s">
        <v>2535</v>
      </c>
      <c r="E187" s="6" t="s">
        <v>241</v>
      </c>
      <c r="F187" s="52" t="s">
        <v>2337</v>
      </c>
      <c r="G187" s="52" t="s">
        <v>2299</v>
      </c>
      <c r="H187" s="53" t="s">
        <v>2780</v>
      </c>
      <c r="I187" s="5" t="s">
        <v>2339</v>
      </c>
      <c r="J187" s="53" t="s">
        <v>554</v>
      </c>
      <c r="K187" s="52"/>
      <c r="L187" s="52"/>
      <c r="M187" s="53" t="s">
        <v>554</v>
      </c>
      <c r="N187" s="5" t="s">
        <v>2340</v>
      </c>
      <c r="O187" s="6" t="s">
        <v>554</v>
      </c>
      <c r="P187" s="52" t="s">
        <v>2364</v>
      </c>
      <c r="Q187" s="54" t="n">
        <f aca="false">Arch!C12</f>
        <v>256</v>
      </c>
      <c r="R187" s="83" t="n">
        <f aca="false">SRC_MOD_010</f>
        <v>256</v>
      </c>
      <c r="S187" s="83" t="str">
        <f aca="false">IF(OR($H187="—",$H187=""),"—",IF(ISNUMBER(MATCH($H187,SRC_HW!$A$5:$A$400,0)),INDEX(SRC_HW!$O$5:$O$400,MATCH($H187,SRC_HW!$A$5:$A$400,0)),IF(ISNUMBER(MATCH($H187,SRC_DC!$A$5:$A$400,0)),INDEX(SRC_DC!$O$5:$O$400,MATCH($H187,SRC_DC!$A$5:$A$400,0)),IF(ISNUMBER(MATCH($H187,SRC_Model!$A$5:$A$400,0)),INDEX(SRC_Model!$O$5:$O$400,MATCH($H187,SRC_Model!$A$5:$A$400,0)),IF(ISNUMBER(MATCH($H187,SRC_Perf!$A$5:$A$400,0)),INDEX(SRC_Perf!$O$5:$O$400,MATCH($H187,SRC_Perf!$A$5:$A$400,0)),"不存在")))))</f>
        <v>Active</v>
      </c>
      <c r="T187" s="83" t="n">
        <f aca="false">IF(OR($H187="—",$H187=""),"—",IF(ISNUMBER(MATCH($H187,SRC_HW!$A$5:$A$400,0)),INDEX(SRC_HW!$K$5:$K$400,MATCH($H187,SRC_HW!$A$5:$A$400,0)),IF(ISNUMBER(MATCH($H187,SRC_DC!$A$5:$A$400,0)),INDEX(SRC_DC!$K$5:$K$400,MATCH($H187,SRC_DC!$A$5:$A$400,0)),IF(ISNUMBER(MATCH($H187,SRC_Model!$A$5:$A$400,0)),INDEX(SRC_Model!$K$5:$K$400,MATCH($H187,SRC_Model!$A$5:$A$400,0)),IF(ISNUMBER(MATCH($H187,SRC_Perf!$A$5:$A$400,0)),INDEX(SRC_Perf!$K$5:$K$400,MATCH($H187,SRC_Perf!$A$5:$A$400,0)),"不存在")))))</f>
        <v>3</v>
      </c>
      <c r="U187" s="52" t="s">
        <v>2341</v>
      </c>
      <c r="V187" s="103" t="n">
        <f aca="false">IF(AND($F187="原始數據",$U187&lt;&gt;"連結 SRC"),1,0)</f>
        <v>0</v>
      </c>
      <c r="W187" s="103" t="n">
        <f aca="false">IF(AND($F187="Analogy",OR($H187="—",$H187="")),1,0)</f>
        <v>0</v>
      </c>
      <c r="X187" s="103" t="n">
        <f aca="false">IF(AND(OR($F187="Analogy",$F187="Assumed"),$G187&lt;&gt;"低",$G187&lt;&gt;"高",NOT(ISNUMBER($K187)),NOT(ISNUMBER($L187)),OR($M187="—",$M187="")),1,0)</f>
        <v>0</v>
      </c>
      <c r="Y187" s="103" t="n">
        <f aca="false">IF(AND(OR($F187="Analogy",$F187="Assumed",$F187="Derived（待改公式）",$F187="Derived（公式）"),OR($N187="—",$N187="",$N187=0)),1,0)</f>
        <v>0</v>
      </c>
      <c r="Z187" s="103" t="n">
        <f aca="false">IF(AND($F187="Decision",OR($J187="—",$J187="")),1,0)</f>
        <v>0</v>
      </c>
      <c r="AA187" s="84" t="n">
        <f aca="false">IF(OR($J187="—",$J187=""),0,IF(COUNTIF(Decisions!$A$5:$A$300,$J187)=0,1,0))</f>
        <v>0</v>
      </c>
      <c r="AB187" s="103" t="n">
        <f aca="false">IF(AND($F187="原始數據",$S187&lt;&gt;"Active"),1,0)</f>
        <v>0</v>
      </c>
      <c r="AC187" s="103" t="n">
        <f aca="false">IF(AND(ISNUMBER($K187),ISNUMBER($L187),ISNUMBER($Q187)),IF(OR($Q187&lt;MIN($K187,$L187),$Q187&gt;MAX($K187,$L187)),1,0),0)</f>
        <v>0</v>
      </c>
      <c r="AD187" s="103" t="n">
        <f aca="false">IF(AND(ISNUMBER($T187),$P187="高"),IF($T187=3,1,0),0)</f>
        <v>0</v>
      </c>
      <c r="AE187" s="103" t="n">
        <f aca="false">IF(AND($S187="不存在",$B187="切片一"),1,0)</f>
        <v>0</v>
      </c>
    </row>
    <row r="188" customFormat="false" ht="15" hidden="false" customHeight="false" outlineLevel="0" collapsed="false">
      <c r="A188" s="53" t="s">
        <v>2781</v>
      </c>
      <c r="B188" s="52" t="s">
        <v>2297</v>
      </c>
      <c r="C188" s="53" t="s">
        <v>2762</v>
      </c>
      <c r="D188" s="53" t="s">
        <v>2540</v>
      </c>
      <c r="E188" s="6" t="s">
        <v>241</v>
      </c>
      <c r="F188" s="52" t="s">
        <v>2337</v>
      </c>
      <c r="G188" s="52" t="s">
        <v>2299</v>
      </c>
      <c r="H188" s="53" t="s">
        <v>2782</v>
      </c>
      <c r="I188" s="5" t="s">
        <v>2339</v>
      </c>
      <c r="J188" s="53" t="s">
        <v>554</v>
      </c>
      <c r="K188" s="52"/>
      <c r="L188" s="52"/>
      <c r="M188" s="53" t="s">
        <v>554</v>
      </c>
      <c r="N188" s="5" t="s">
        <v>2340</v>
      </c>
      <c r="O188" s="6" t="s">
        <v>554</v>
      </c>
      <c r="P188" s="52" t="s">
        <v>2364</v>
      </c>
      <c r="Q188" s="54" t="n">
        <f aca="false">Arch!D12</f>
        <v>384</v>
      </c>
      <c r="R188" s="83" t="n">
        <f aca="false">SRC_MOD_011</f>
        <v>384</v>
      </c>
      <c r="S188" s="83" t="str">
        <f aca="false">IF(OR($H188="—",$H188=""),"—",IF(ISNUMBER(MATCH($H188,SRC_HW!$A$5:$A$400,0)),INDEX(SRC_HW!$O$5:$O$400,MATCH($H188,SRC_HW!$A$5:$A$400,0)),IF(ISNUMBER(MATCH($H188,SRC_DC!$A$5:$A$400,0)),INDEX(SRC_DC!$O$5:$O$400,MATCH($H188,SRC_DC!$A$5:$A$400,0)),IF(ISNUMBER(MATCH($H188,SRC_Model!$A$5:$A$400,0)),INDEX(SRC_Model!$O$5:$O$400,MATCH($H188,SRC_Model!$A$5:$A$400,0)),IF(ISNUMBER(MATCH($H188,SRC_Perf!$A$5:$A$400,0)),INDEX(SRC_Perf!$O$5:$O$400,MATCH($H188,SRC_Perf!$A$5:$A$400,0)),"不存在")))))</f>
        <v>Active</v>
      </c>
      <c r="T188" s="83" t="n">
        <f aca="false">IF(OR($H188="—",$H188=""),"—",IF(ISNUMBER(MATCH($H188,SRC_HW!$A$5:$A$400,0)),INDEX(SRC_HW!$K$5:$K$400,MATCH($H188,SRC_HW!$A$5:$A$400,0)),IF(ISNUMBER(MATCH($H188,SRC_DC!$A$5:$A$400,0)),INDEX(SRC_DC!$K$5:$K$400,MATCH($H188,SRC_DC!$A$5:$A$400,0)),IF(ISNUMBER(MATCH($H188,SRC_Model!$A$5:$A$400,0)),INDEX(SRC_Model!$K$5:$K$400,MATCH($H188,SRC_Model!$A$5:$A$400,0)),IF(ISNUMBER(MATCH($H188,SRC_Perf!$A$5:$A$400,0)),INDEX(SRC_Perf!$K$5:$K$400,MATCH($H188,SRC_Perf!$A$5:$A$400,0)),"不存在")))))</f>
        <v>3</v>
      </c>
      <c r="U188" s="52" t="s">
        <v>2341</v>
      </c>
      <c r="V188" s="103" t="n">
        <f aca="false">IF(AND($F188="原始數據",$U188&lt;&gt;"連結 SRC"),1,0)</f>
        <v>0</v>
      </c>
      <c r="W188" s="103" t="n">
        <f aca="false">IF(AND($F188="Analogy",OR($H188="—",$H188="")),1,0)</f>
        <v>0</v>
      </c>
      <c r="X188" s="103" t="n">
        <f aca="false">IF(AND(OR($F188="Analogy",$F188="Assumed"),$G188&lt;&gt;"低",$G188&lt;&gt;"高",NOT(ISNUMBER($K188)),NOT(ISNUMBER($L188)),OR($M188="—",$M188="")),1,0)</f>
        <v>0</v>
      </c>
      <c r="Y188" s="103" t="n">
        <f aca="false">IF(AND(OR($F188="Analogy",$F188="Assumed",$F188="Derived（待改公式）",$F188="Derived（公式）"),OR($N188="—",$N188="",$N188=0)),1,0)</f>
        <v>0</v>
      </c>
      <c r="Z188" s="103" t="n">
        <f aca="false">IF(AND($F188="Decision",OR($J188="—",$J188="")),1,0)</f>
        <v>0</v>
      </c>
      <c r="AA188" s="84" t="n">
        <f aca="false">IF(OR($J188="—",$J188=""),0,IF(COUNTIF(Decisions!$A$5:$A$300,$J188)=0,1,0))</f>
        <v>0</v>
      </c>
      <c r="AB188" s="103" t="n">
        <f aca="false">IF(AND($F188="原始數據",$S188&lt;&gt;"Active"),1,0)</f>
        <v>0</v>
      </c>
      <c r="AC188" s="103" t="n">
        <f aca="false">IF(AND(ISNUMBER($K188),ISNUMBER($L188),ISNUMBER($Q188)),IF(OR($Q188&lt;MIN($K188,$L188),$Q188&gt;MAX($K188,$L188)),1,0),0)</f>
        <v>0</v>
      </c>
      <c r="AD188" s="103" t="n">
        <f aca="false">IF(AND(ISNUMBER($T188),$P188="高"),IF($T188=3,1,0),0)</f>
        <v>0</v>
      </c>
      <c r="AE188" s="103" t="n">
        <f aca="false">IF(AND($S188="不存在",$B188="切片一"),1,0)</f>
        <v>0</v>
      </c>
    </row>
    <row r="189" customFormat="false" ht="15" hidden="false" customHeight="false" outlineLevel="0" collapsed="false">
      <c r="A189" s="53" t="s">
        <v>2783</v>
      </c>
      <c r="B189" s="52" t="s">
        <v>2297</v>
      </c>
      <c r="C189" s="53" t="s">
        <v>2762</v>
      </c>
      <c r="D189" s="53" t="s">
        <v>2550</v>
      </c>
      <c r="E189" s="5" t="s">
        <v>242</v>
      </c>
      <c r="F189" s="52" t="s">
        <v>2337</v>
      </c>
      <c r="G189" s="52" t="s">
        <v>2299</v>
      </c>
      <c r="H189" s="53" t="s">
        <v>2784</v>
      </c>
      <c r="I189" s="5" t="s">
        <v>2339</v>
      </c>
      <c r="J189" s="53" t="s">
        <v>554</v>
      </c>
      <c r="K189" s="52"/>
      <c r="L189" s="52"/>
      <c r="M189" s="53" t="s">
        <v>554</v>
      </c>
      <c r="N189" s="5" t="s">
        <v>2340</v>
      </c>
      <c r="O189" s="6" t="s">
        <v>554</v>
      </c>
      <c r="P189" s="52" t="s">
        <v>2364</v>
      </c>
      <c r="Q189" s="54" t="n">
        <f aca="false">Arch!C13</f>
        <v>6</v>
      </c>
      <c r="R189" s="83" t="n">
        <f aca="false">SRC_MOD_012</f>
        <v>6</v>
      </c>
      <c r="S189" s="83" t="str">
        <f aca="false">IF(OR($H189="—",$H189=""),"—",IF(ISNUMBER(MATCH($H189,SRC_HW!$A$5:$A$400,0)),INDEX(SRC_HW!$O$5:$O$400,MATCH($H189,SRC_HW!$A$5:$A$400,0)),IF(ISNUMBER(MATCH($H189,SRC_DC!$A$5:$A$400,0)),INDEX(SRC_DC!$O$5:$O$400,MATCH($H189,SRC_DC!$A$5:$A$400,0)),IF(ISNUMBER(MATCH($H189,SRC_Model!$A$5:$A$400,0)),INDEX(SRC_Model!$O$5:$O$400,MATCH($H189,SRC_Model!$A$5:$A$400,0)),IF(ISNUMBER(MATCH($H189,SRC_Perf!$A$5:$A$400,0)),INDEX(SRC_Perf!$O$5:$O$400,MATCH($H189,SRC_Perf!$A$5:$A$400,0)),"不存在")))))</f>
        <v>Active</v>
      </c>
      <c r="T189" s="83" t="n">
        <f aca="false">IF(OR($H189="—",$H189=""),"—",IF(ISNUMBER(MATCH($H189,SRC_HW!$A$5:$A$400,0)),INDEX(SRC_HW!$K$5:$K$400,MATCH($H189,SRC_HW!$A$5:$A$400,0)),IF(ISNUMBER(MATCH($H189,SRC_DC!$A$5:$A$400,0)),INDEX(SRC_DC!$K$5:$K$400,MATCH($H189,SRC_DC!$A$5:$A$400,0)),IF(ISNUMBER(MATCH($H189,SRC_Model!$A$5:$A$400,0)),INDEX(SRC_Model!$K$5:$K$400,MATCH($H189,SRC_Model!$A$5:$A$400,0)),IF(ISNUMBER(MATCH($H189,SRC_Perf!$A$5:$A$400,0)),INDEX(SRC_Perf!$K$5:$K$400,MATCH($H189,SRC_Perf!$A$5:$A$400,0)),"不存在")))))</f>
        <v>3</v>
      </c>
      <c r="U189" s="52" t="s">
        <v>2341</v>
      </c>
      <c r="V189" s="103" t="n">
        <f aca="false">IF(AND($F189="原始數據",$U189&lt;&gt;"連結 SRC"),1,0)</f>
        <v>0</v>
      </c>
      <c r="W189" s="103" t="n">
        <f aca="false">IF(AND($F189="Analogy",OR($H189="—",$H189="")),1,0)</f>
        <v>0</v>
      </c>
      <c r="X189" s="103" t="n">
        <f aca="false">IF(AND(OR($F189="Analogy",$F189="Assumed"),$G189&lt;&gt;"低",$G189&lt;&gt;"高",NOT(ISNUMBER($K189)),NOT(ISNUMBER($L189)),OR($M189="—",$M189="")),1,0)</f>
        <v>0</v>
      </c>
      <c r="Y189" s="103" t="n">
        <f aca="false">IF(AND(OR($F189="Analogy",$F189="Assumed",$F189="Derived（待改公式）",$F189="Derived（公式）"),OR($N189="—",$N189="",$N189=0)),1,0)</f>
        <v>0</v>
      </c>
      <c r="Z189" s="103" t="n">
        <f aca="false">IF(AND($F189="Decision",OR($J189="—",$J189="")),1,0)</f>
        <v>0</v>
      </c>
      <c r="AA189" s="84" t="n">
        <f aca="false">IF(OR($J189="—",$J189=""),0,IF(COUNTIF(Decisions!$A$5:$A$300,$J189)=0,1,0))</f>
        <v>0</v>
      </c>
      <c r="AB189" s="103" t="n">
        <f aca="false">IF(AND($F189="原始數據",$S189&lt;&gt;"Active"),1,0)</f>
        <v>0</v>
      </c>
      <c r="AC189" s="103" t="n">
        <f aca="false">IF(AND(ISNUMBER($K189),ISNUMBER($L189),ISNUMBER($Q189)),IF(OR($Q189&lt;MIN($K189,$L189),$Q189&gt;MAX($K189,$L189)),1,0),0)</f>
        <v>0</v>
      </c>
      <c r="AD189" s="103" t="n">
        <f aca="false">IF(AND(ISNUMBER($T189),$P189="高"),IF($T189=3,1,0),0)</f>
        <v>0</v>
      </c>
      <c r="AE189" s="103" t="n">
        <f aca="false">IF(AND($S189="不存在",$B189="切片一"),1,0)</f>
        <v>0</v>
      </c>
    </row>
    <row r="190" customFormat="false" ht="15" hidden="false" customHeight="false" outlineLevel="0" collapsed="false">
      <c r="A190" s="53" t="s">
        <v>2785</v>
      </c>
      <c r="B190" s="52" t="s">
        <v>2297</v>
      </c>
      <c r="C190" s="53" t="s">
        <v>2762</v>
      </c>
      <c r="D190" s="53" t="s">
        <v>2334</v>
      </c>
      <c r="E190" s="5" t="s">
        <v>242</v>
      </c>
      <c r="F190" s="52" t="s">
        <v>2337</v>
      </c>
      <c r="G190" s="52" t="s">
        <v>2299</v>
      </c>
      <c r="H190" s="53" t="s">
        <v>2784</v>
      </c>
      <c r="I190" s="5" t="s">
        <v>2339</v>
      </c>
      <c r="J190" s="53" t="s">
        <v>554</v>
      </c>
      <c r="K190" s="52"/>
      <c r="L190" s="52"/>
      <c r="M190" s="53" t="s">
        <v>554</v>
      </c>
      <c r="N190" s="5" t="s">
        <v>2340</v>
      </c>
      <c r="O190" s="6" t="s">
        <v>554</v>
      </c>
      <c r="P190" s="52" t="s">
        <v>2364</v>
      </c>
      <c r="Q190" s="54" t="n">
        <f aca="false">Arch!D13</f>
        <v>6</v>
      </c>
      <c r="R190" s="83" t="n">
        <f aca="false">SRC_MOD_012</f>
        <v>6</v>
      </c>
      <c r="S190" s="83" t="str">
        <f aca="false">IF(OR($H190="—",$H190=""),"—",IF(ISNUMBER(MATCH($H190,SRC_HW!$A$5:$A$400,0)),INDEX(SRC_HW!$O$5:$O$400,MATCH($H190,SRC_HW!$A$5:$A$400,0)),IF(ISNUMBER(MATCH($H190,SRC_DC!$A$5:$A$400,0)),INDEX(SRC_DC!$O$5:$O$400,MATCH($H190,SRC_DC!$A$5:$A$400,0)),IF(ISNUMBER(MATCH($H190,SRC_Model!$A$5:$A$400,0)),INDEX(SRC_Model!$O$5:$O$400,MATCH($H190,SRC_Model!$A$5:$A$400,0)),IF(ISNUMBER(MATCH($H190,SRC_Perf!$A$5:$A$400,0)),INDEX(SRC_Perf!$O$5:$O$400,MATCH($H190,SRC_Perf!$A$5:$A$400,0)),"不存在")))))</f>
        <v>Active</v>
      </c>
      <c r="T190" s="83" t="n">
        <f aca="false">IF(OR($H190="—",$H190=""),"—",IF(ISNUMBER(MATCH($H190,SRC_HW!$A$5:$A$400,0)),INDEX(SRC_HW!$K$5:$K$400,MATCH($H190,SRC_HW!$A$5:$A$400,0)),IF(ISNUMBER(MATCH($H190,SRC_DC!$A$5:$A$400,0)),INDEX(SRC_DC!$K$5:$K$400,MATCH($H190,SRC_DC!$A$5:$A$400,0)),IF(ISNUMBER(MATCH($H190,SRC_Model!$A$5:$A$400,0)),INDEX(SRC_Model!$K$5:$K$400,MATCH($H190,SRC_Model!$A$5:$A$400,0)),IF(ISNUMBER(MATCH($H190,SRC_Perf!$A$5:$A$400,0)),INDEX(SRC_Perf!$K$5:$K$400,MATCH($H190,SRC_Perf!$A$5:$A$400,0)),"不存在")))))</f>
        <v>3</v>
      </c>
      <c r="U190" s="52" t="s">
        <v>2341</v>
      </c>
      <c r="V190" s="103" t="n">
        <f aca="false">IF(AND($F190="原始數據",$U190&lt;&gt;"連結 SRC"),1,0)</f>
        <v>0</v>
      </c>
      <c r="W190" s="103" t="n">
        <f aca="false">IF(AND($F190="Analogy",OR($H190="—",$H190="")),1,0)</f>
        <v>0</v>
      </c>
      <c r="X190" s="103" t="n">
        <f aca="false">IF(AND(OR($F190="Analogy",$F190="Assumed"),$G190&lt;&gt;"低",$G190&lt;&gt;"高",NOT(ISNUMBER($K190)),NOT(ISNUMBER($L190)),OR($M190="—",$M190="")),1,0)</f>
        <v>0</v>
      </c>
      <c r="Y190" s="103" t="n">
        <f aca="false">IF(AND(OR($F190="Analogy",$F190="Assumed",$F190="Derived（待改公式）",$F190="Derived（公式）"),OR($N190="—",$N190="",$N190=0)),1,0)</f>
        <v>0</v>
      </c>
      <c r="Z190" s="103" t="n">
        <f aca="false">IF(AND($F190="Decision",OR($J190="—",$J190="")),1,0)</f>
        <v>0</v>
      </c>
      <c r="AA190" s="84" t="n">
        <f aca="false">IF(OR($J190="—",$J190=""),0,IF(COUNTIF(Decisions!$A$5:$A$300,$J190)=0,1,0))</f>
        <v>0</v>
      </c>
      <c r="AB190" s="103" t="n">
        <f aca="false">IF(AND($F190="原始數據",$S190&lt;&gt;"Active"),1,0)</f>
        <v>0</v>
      </c>
      <c r="AC190" s="103" t="n">
        <f aca="false">IF(AND(ISNUMBER($K190),ISNUMBER($L190),ISNUMBER($Q190)),IF(OR($Q190&lt;MIN($K190,$L190),$Q190&gt;MAX($K190,$L190)),1,0),0)</f>
        <v>0</v>
      </c>
      <c r="AD190" s="103" t="n">
        <f aca="false">IF(AND(ISNUMBER($T190),$P190="高"),IF($T190=3,1,0),0)</f>
        <v>0</v>
      </c>
      <c r="AE190" s="103" t="n">
        <f aca="false">IF(AND($S190="不存在",$B190="切片一"),1,0)</f>
        <v>0</v>
      </c>
    </row>
    <row r="191" customFormat="false" ht="15" hidden="false" customHeight="false" outlineLevel="0" collapsed="false">
      <c r="A191" s="53" t="s">
        <v>2786</v>
      </c>
      <c r="B191" s="52" t="s">
        <v>2297</v>
      </c>
      <c r="C191" s="53" t="s">
        <v>2762</v>
      </c>
      <c r="D191" s="53" t="s">
        <v>2787</v>
      </c>
      <c r="E191" s="6" t="s">
        <v>243</v>
      </c>
      <c r="F191" s="52" t="s">
        <v>2337</v>
      </c>
      <c r="G191" s="52" t="s">
        <v>2299</v>
      </c>
      <c r="H191" s="53" t="s">
        <v>2788</v>
      </c>
      <c r="I191" s="5" t="s">
        <v>2339</v>
      </c>
      <c r="J191" s="53" t="s">
        <v>554</v>
      </c>
      <c r="K191" s="52"/>
      <c r="L191" s="52"/>
      <c r="M191" s="53" t="s">
        <v>554</v>
      </c>
      <c r="N191" s="5" t="s">
        <v>2340</v>
      </c>
      <c r="O191" s="6" t="s">
        <v>554</v>
      </c>
      <c r="P191" s="52" t="s">
        <v>1078</v>
      </c>
      <c r="Q191" s="54" t="n">
        <f aca="false">Arch!C14</f>
        <v>1</v>
      </c>
      <c r="R191" s="83" t="n">
        <f aca="false">SRC_MOD_013</f>
        <v>1</v>
      </c>
      <c r="S191" s="83" t="str">
        <f aca="false">IF(OR($H191="—",$H191=""),"—",IF(ISNUMBER(MATCH($H191,SRC_HW!$A$5:$A$400,0)),INDEX(SRC_HW!$O$5:$O$400,MATCH($H191,SRC_HW!$A$5:$A$400,0)),IF(ISNUMBER(MATCH($H191,SRC_DC!$A$5:$A$400,0)),INDEX(SRC_DC!$O$5:$O$400,MATCH($H191,SRC_DC!$A$5:$A$400,0)),IF(ISNUMBER(MATCH($H191,SRC_Model!$A$5:$A$400,0)),INDEX(SRC_Model!$O$5:$O$400,MATCH($H191,SRC_Model!$A$5:$A$400,0)),IF(ISNUMBER(MATCH($H191,SRC_Perf!$A$5:$A$400,0)),INDEX(SRC_Perf!$O$5:$O$400,MATCH($H191,SRC_Perf!$A$5:$A$400,0)),"不存在")))))</f>
        <v>Active</v>
      </c>
      <c r="T191" s="83" t="n">
        <f aca="false">IF(OR($H191="—",$H191=""),"—",IF(ISNUMBER(MATCH($H191,SRC_HW!$A$5:$A$400,0)),INDEX(SRC_HW!$K$5:$K$400,MATCH($H191,SRC_HW!$A$5:$A$400,0)),IF(ISNUMBER(MATCH($H191,SRC_DC!$A$5:$A$400,0)),INDEX(SRC_DC!$K$5:$K$400,MATCH($H191,SRC_DC!$A$5:$A$400,0)),IF(ISNUMBER(MATCH($H191,SRC_Model!$A$5:$A$400,0)),INDEX(SRC_Model!$K$5:$K$400,MATCH($H191,SRC_Model!$A$5:$A$400,0)),IF(ISNUMBER(MATCH($H191,SRC_Perf!$A$5:$A$400,0)),INDEX(SRC_Perf!$K$5:$K$400,MATCH($H191,SRC_Perf!$A$5:$A$400,0)),"不存在")))))</f>
        <v>3</v>
      </c>
      <c r="U191" s="52" t="s">
        <v>2341</v>
      </c>
      <c r="V191" s="103" t="n">
        <f aca="false">IF(AND($F191="原始數據",$U191&lt;&gt;"連結 SRC"),1,0)</f>
        <v>0</v>
      </c>
      <c r="W191" s="103" t="n">
        <f aca="false">IF(AND($F191="Analogy",OR($H191="—",$H191="")),1,0)</f>
        <v>0</v>
      </c>
      <c r="X191" s="103" t="n">
        <f aca="false">IF(AND(OR($F191="Analogy",$F191="Assumed"),$G191&lt;&gt;"低",$G191&lt;&gt;"高",NOT(ISNUMBER($K191)),NOT(ISNUMBER($L191)),OR($M191="—",$M191="")),1,0)</f>
        <v>0</v>
      </c>
      <c r="Y191" s="103" t="n">
        <f aca="false">IF(AND(OR($F191="Analogy",$F191="Assumed",$F191="Derived（待改公式）",$F191="Derived（公式）"),OR($N191="—",$N191="",$N191=0)),1,0)</f>
        <v>0</v>
      </c>
      <c r="Z191" s="103" t="n">
        <f aca="false">IF(AND($F191="Decision",OR($J191="—",$J191="")),1,0)</f>
        <v>0</v>
      </c>
      <c r="AA191" s="84" t="n">
        <f aca="false">IF(OR($J191="—",$J191=""),0,IF(COUNTIF(Decisions!$A$5:$A$300,$J191)=0,1,0))</f>
        <v>0</v>
      </c>
      <c r="AB191" s="103" t="n">
        <f aca="false">IF(AND($F191="原始數據",$S191&lt;&gt;"Active"),1,0)</f>
        <v>0</v>
      </c>
      <c r="AC191" s="103" t="n">
        <f aca="false">IF(AND(ISNUMBER($K191),ISNUMBER($L191),ISNUMBER($Q191)),IF(OR($Q191&lt;MIN($K191,$L191),$Q191&gt;MAX($K191,$L191)),1,0),0)</f>
        <v>0</v>
      </c>
      <c r="AD191" s="103" t="n">
        <f aca="false">IF(AND(ISNUMBER($T191),$P191="高"),IF($T191=3,1,0),0)</f>
        <v>0</v>
      </c>
      <c r="AE191" s="103" t="n">
        <f aca="false">IF(AND($S191="不存在",$B191="切片一"),1,0)</f>
        <v>0</v>
      </c>
    </row>
    <row r="192" customFormat="false" ht="15" hidden="false" customHeight="false" outlineLevel="0" collapsed="false">
      <c r="A192" s="53" t="s">
        <v>2789</v>
      </c>
      <c r="B192" s="52" t="s">
        <v>2297</v>
      </c>
      <c r="C192" s="53" t="s">
        <v>2762</v>
      </c>
      <c r="D192" s="53" t="s">
        <v>2345</v>
      </c>
      <c r="E192" s="6" t="s">
        <v>243</v>
      </c>
      <c r="F192" s="52" t="s">
        <v>2337</v>
      </c>
      <c r="G192" s="52" t="s">
        <v>2299</v>
      </c>
      <c r="H192" s="53" t="s">
        <v>2788</v>
      </c>
      <c r="I192" s="5" t="s">
        <v>2339</v>
      </c>
      <c r="J192" s="53" t="s">
        <v>554</v>
      </c>
      <c r="K192" s="52"/>
      <c r="L192" s="52"/>
      <c r="M192" s="53" t="s">
        <v>554</v>
      </c>
      <c r="N192" s="5" t="s">
        <v>2340</v>
      </c>
      <c r="O192" s="6" t="s">
        <v>554</v>
      </c>
      <c r="P192" s="52" t="s">
        <v>1078</v>
      </c>
      <c r="Q192" s="54" t="n">
        <f aca="false">Arch!D14</f>
        <v>1</v>
      </c>
      <c r="R192" s="83" t="n">
        <f aca="false">SRC_MOD_013</f>
        <v>1</v>
      </c>
      <c r="S192" s="83" t="str">
        <f aca="false">IF(OR($H192="—",$H192=""),"—",IF(ISNUMBER(MATCH($H192,SRC_HW!$A$5:$A$400,0)),INDEX(SRC_HW!$O$5:$O$400,MATCH($H192,SRC_HW!$A$5:$A$400,0)),IF(ISNUMBER(MATCH($H192,SRC_DC!$A$5:$A$400,0)),INDEX(SRC_DC!$O$5:$O$400,MATCH($H192,SRC_DC!$A$5:$A$400,0)),IF(ISNUMBER(MATCH($H192,SRC_Model!$A$5:$A$400,0)),INDEX(SRC_Model!$O$5:$O$400,MATCH($H192,SRC_Model!$A$5:$A$400,0)),IF(ISNUMBER(MATCH($H192,SRC_Perf!$A$5:$A$400,0)),INDEX(SRC_Perf!$O$5:$O$400,MATCH($H192,SRC_Perf!$A$5:$A$400,0)),"不存在")))))</f>
        <v>Active</v>
      </c>
      <c r="T192" s="83" t="n">
        <f aca="false">IF(OR($H192="—",$H192=""),"—",IF(ISNUMBER(MATCH($H192,SRC_HW!$A$5:$A$400,0)),INDEX(SRC_HW!$K$5:$K$400,MATCH($H192,SRC_HW!$A$5:$A$400,0)),IF(ISNUMBER(MATCH($H192,SRC_DC!$A$5:$A$400,0)),INDEX(SRC_DC!$K$5:$K$400,MATCH($H192,SRC_DC!$A$5:$A$400,0)),IF(ISNUMBER(MATCH($H192,SRC_Model!$A$5:$A$400,0)),INDEX(SRC_Model!$K$5:$K$400,MATCH($H192,SRC_Model!$A$5:$A$400,0)),IF(ISNUMBER(MATCH($H192,SRC_Perf!$A$5:$A$400,0)),INDEX(SRC_Perf!$K$5:$K$400,MATCH($H192,SRC_Perf!$A$5:$A$400,0)),"不存在")))))</f>
        <v>3</v>
      </c>
      <c r="U192" s="52" t="s">
        <v>2341</v>
      </c>
      <c r="V192" s="103" t="n">
        <f aca="false">IF(AND($F192="原始數據",$U192&lt;&gt;"連結 SRC"),1,0)</f>
        <v>0</v>
      </c>
      <c r="W192" s="103" t="n">
        <f aca="false">IF(AND($F192="Analogy",OR($H192="—",$H192="")),1,0)</f>
        <v>0</v>
      </c>
      <c r="X192" s="103" t="n">
        <f aca="false">IF(AND(OR($F192="Analogy",$F192="Assumed"),$G192&lt;&gt;"低",$G192&lt;&gt;"高",NOT(ISNUMBER($K192)),NOT(ISNUMBER($L192)),OR($M192="—",$M192="")),1,0)</f>
        <v>0</v>
      </c>
      <c r="Y192" s="103" t="n">
        <f aca="false">IF(AND(OR($F192="Analogy",$F192="Assumed",$F192="Derived（待改公式）",$F192="Derived（公式）"),OR($N192="—",$N192="",$N192=0)),1,0)</f>
        <v>0</v>
      </c>
      <c r="Z192" s="103" t="n">
        <f aca="false">IF(AND($F192="Decision",OR($J192="—",$J192="")),1,0)</f>
        <v>0</v>
      </c>
      <c r="AA192" s="84" t="n">
        <f aca="false">IF(OR($J192="—",$J192=""),0,IF(COUNTIF(Decisions!$A$5:$A$300,$J192)=0,1,0))</f>
        <v>0</v>
      </c>
      <c r="AB192" s="103" t="n">
        <f aca="false">IF(AND($F192="原始數據",$S192&lt;&gt;"Active"),1,0)</f>
        <v>0</v>
      </c>
      <c r="AC192" s="103" t="n">
        <f aca="false">IF(AND(ISNUMBER($K192),ISNUMBER($L192),ISNUMBER($Q192)),IF(OR($Q192&lt;MIN($K192,$L192),$Q192&gt;MAX($K192,$L192)),1,0),0)</f>
        <v>0</v>
      </c>
      <c r="AD192" s="103" t="n">
        <f aca="false">IF(AND(ISNUMBER($T192),$P192="高"),IF($T192=3,1,0),0)</f>
        <v>0</v>
      </c>
      <c r="AE192" s="103" t="n">
        <f aca="false">IF(AND($S192="不存在",$B192="切片一"),1,0)</f>
        <v>0</v>
      </c>
    </row>
    <row r="193" customFormat="false" ht="15" hidden="false" customHeight="false" outlineLevel="0" collapsed="false">
      <c r="A193" s="53" t="s">
        <v>2790</v>
      </c>
      <c r="B193" s="52" t="s">
        <v>2297</v>
      </c>
      <c r="C193" s="53" t="s">
        <v>2762</v>
      </c>
      <c r="D193" s="53" t="s">
        <v>2791</v>
      </c>
      <c r="E193" s="6" t="s">
        <v>244</v>
      </c>
      <c r="F193" s="52" t="s">
        <v>2337</v>
      </c>
      <c r="G193" s="52" t="s">
        <v>2299</v>
      </c>
      <c r="H193" s="53" t="s">
        <v>2792</v>
      </c>
      <c r="I193" s="5" t="s">
        <v>2339</v>
      </c>
      <c r="J193" s="53" t="s">
        <v>554</v>
      </c>
      <c r="K193" s="52"/>
      <c r="L193" s="52"/>
      <c r="M193" s="53" t="s">
        <v>554</v>
      </c>
      <c r="N193" s="5" t="s">
        <v>2340</v>
      </c>
      <c r="O193" s="6" t="s">
        <v>554</v>
      </c>
      <c r="P193" s="52" t="s">
        <v>2307</v>
      </c>
      <c r="Q193" s="54" t="n">
        <f aca="false">Arch!C15</f>
        <v>129280</v>
      </c>
      <c r="R193" s="83" t="n">
        <f aca="false">SRC_MOD_014</f>
        <v>129280</v>
      </c>
      <c r="S193" s="83" t="str">
        <f aca="false">IF(OR($H193="—",$H193=""),"—",IF(ISNUMBER(MATCH($H193,SRC_HW!$A$5:$A$400,0)),INDEX(SRC_HW!$O$5:$O$400,MATCH($H193,SRC_HW!$A$5:$A$400,0)),IF(ISNUMBER(MATCH($H193,SRC_DC!$A$5:$A$400,0)),INDEX(SRC_DC!$O$5:$O$400,MATCH($H193,SRC_DC!$A$5:$A$400,0)),IF(ISNUMBER(MATCH($H193,SRC_Model!$A$5:$A$400,0)),INDEX(SRC_Model!$O$5:$O$400,MATCH($H193,SRC_Model!$A$5:$A$400,0)),IF(ISNUMBER(MATCH($H193,SRC_Perf!$A$5:$A$400,0)),INDEX(SRC_Perf!$O$5:$O$400,MATCH($H193,SRC_Perf!$A$5:$A$400,0)),"不存在")))))</f>
        <v>Active</v>
      </c>
      <c r="T193" s="83" t="n">
        <f aca="false">IF(OR($H193="—",$H193=""),"—",IF(ISNUMBER(MATCH($H193,SRC_HW!$A$5:$A$400,0)),INDEX(SRC_HW!$K$5:$K$400,MATCH($H193,SRC_HW!$A$5:$A$400,0)),IF(ISNUMBER(MATCH($H193,SRC_DC!$A$5:$A$400,0)),INDEX(SRC_DC!$K$5:$K$400,MATCH($H193,SRC_DC!$A$5:$A$400,0)),IF(ISNUMBER(MATCH($H193,SRC_Model!$A$5:$A$400,0)),INDEX(SRC_Model!$K$5:$K$400,MATCH($H193,SRC_Model!$A$5:$A$400,0)),IF(ISNUMBER(MATCH($H193,SRC_Perf!$A$5:$A$400,0)),INDEX(SRC_Perf!$K$5:$K$400,MATCH($H193,SRC_Perf!$A$5:$A$400,0)),"不存在")))))</f>
        <v>3</v>
      </c>
      <c r="U193" s="52" t="s">
        <v>2341</v>
      </c>
      <c r="V193" s="103" t="n">
        <f aca="false">IF(AND($F193="原始數據",$U193&lt;&gt;"連結 SRC"),1,0)</f>
        <v>0</v>
      </c>
      <c r="W193" s="103" t="n">
        <f aca="false">IF(AND($F193="Analogy",OR($H193="—",$H193="")),1,0)</f>
        <v>0</v>
      </c>
      <c r="X193" s="103" t="n">
        <f aca="false">IF(AND(OR($F193="Analogy",$F193="Assumed"),$G193&lt;&gt;"低",$G193&lt;&gt;"高",NOT(ISNUMBER($K193)),NOT(ISNUMBER($L193)),OR($M193="—",$M193="")),1,0)</f>
        <v>0</v>
      </c>
      <c r="Y193" s="103" t="n">
        <f aca="false">IF(AND(OR($F193="Analogy",$F193="Assumed",$F193="Derived（待改公式）",$F193="Derived（公式）"),OR($N193="—",$N193="",$N193=0)),1,0)</f>
        <v>0</v>
      </c>
      <c r="Z193" s="103" t="n">
        <f aca="false">IF(AND($F193="Decision",OR($J193="—",$J193="")),1,0)</f>
        <v>0</v>
      </c>
      <c r="AA193" s="84" t="n">
        <f aca="false">IF(OR($J193="—",$J193=""),0,IF(COUNTIF(Decisions!$A$5:$A$300,$J193)=0,1,0))</f>
        <v>0</v>
      </c>
      <c r="AB193" s="103" t="n">
        <f aca="false">IF(AND($F193="原始數據",$S193&lt;&gt;"Active"),1,0)</f>
        <v>0</v>
      </c>
      <c r="AC193" s="103" t="n">
        <f aca="false">IF(AND(ISNUMBER($K193),ISNUMBER($L193),ISNUMBER($Q193)),IF(OR($Q193&lt;MIN($K193,$L193),$Q193&gt;MAX($K193,$L193)),1,0),0)</f>
        <v>0</v>
      </c>
      <c r="AD193" s="103" t="n">
        <f aca="false">IF(AND(ISNUMBER($T193),$P193="高"),IF($T193=3,1,0),0)</f>
        <v>0</v>
      </c>
      <c r="AE193" s="103" t="n">
        <f aca="false">IF(AND($S193="不存在",$B193="切片一"),1,0)</f>
        <v>0</v>
      </c>
    </row>
    <row r="194" customFormat="false" ht="15" hidden="false" customHeight="false" outlineLevel="0" collapsed="false">
      <c r="A194" s="53" t="s">
        <v>2793</v>
      </c>
      <c r="B194" s="52" t="s">
        <v>2297</v>
      </c>
      <c r="C194" s="53" t="s">
        <v>2762</v>
      </c>
      <c r="D194" s="53" t="s">
        <v>2794</v>
      </c>
      <c r="E194" s="6" t="s">
        <v>244</v>
      </c>
      <c r="F194" s="52" t="s">
        <v>2337</v>
      </c>
      <c r="G194" s="52" t="s">
        <v>2299</v>
      </c>
      <c r="H194" s="53" t="s">
        <v>2792</v>
      </c>
      <c r="I194" s="5" t="s">
        <v>2339</v>
      </c>
      <c r="J194" s="53" t="s">
        <v>554</v>
      </c>
      <c r="K194" s="52"/>
      <c r="L194" s="52"/>
      <c r="M194" s="53" t="s">
        <v>554</v>
      </c>
      <c r="N194" s="5" t="s">
        <v>2340</v>
      </c>
      <c r="O194" s="6" t="s">
        <v>554</v>
      </c>
      <c r="P194" s="52" t="s">
        <v>2307</v>
      </c>
      <c r="Q194" s="54" t="n">
        <f aca="false">Arch!D15</f>
        <v>129280</v>
      </c>
      <c r="R194" s="83" t="n">
        <f aca="false">SRC_MOD_014</f>
        <v>129280</v>
      </c>
      <c r="S194" s="83" t="str">
        <f aca="false">IF(OR($H194="—",$H194=""),"—",IF(ISNUMBER(MATCH($H194,SRC_HW!$A$5:$A$400,0)),INDEX(SRC_HW!$O$5:$O$400,MATCH($H194,SRC_HW!$A$5:$A$400,0)),IF(ISNUMBER(MATCH($H194,SRC_DC!$A$5:$A$400,0)),INDEX(SRC_DC!$O$5:$O$400,MATCH($H194,SRC_DC!$A$5:$A$400,0)),IF(ISNUMBER(MATCH($H194,SRC_Model!$A$5:$A$400,0)),INDEX(SRC_Model!$O$5:$O$400,MATCH($H194,SRC_Model!$A$5:$A$400,0)),IF(ISNUMBER(MATCH($H194,SRC_Perf!$A$5:$A$400,0)),INDEX(SRC_Perf!$O$5:$O$400,MATCH($H194,SRC_Perf!$A$5:$A$400,0)),"不存在")))))</f>
        <v>Active</v>
      </c>
      <c r="T194" s="83" t="n">
        <f aca="false">IF(OR($H194="—",$H194=""),"—",IF(ISNUMBER(MATCH($H194,SRC_HW!$A$5:$A$400,0)),INDEX(SRC_HW!$K$5:$K$400,MATCH($H194,SRC_HW!$A$5:$A$400,0)),IF(ISNUMBER(MATCH($H194,SRC_DC!$A$5:$A$400,0)),INDEX(SRC_DC!$K$5:$K$400,MATCH($H194,SRC_DC!$A$5:$A$400,0)),IF(ISNUMBER(MATCH($H194,SRC_Model!$A$5:$A$400,0)),INDEX(SRC_Model!$K$5:$K$400,MATCH($H194,SRC_Model!$A$5:$A$400,0)),IF(ISNUMBER(MATCH($H194,SRC_Perf!$A$5:$A$400,0)),INDEX(SRC_Perf!$K$5:$K$400,MATCH($H194,SRC_Perf!$A$5:$A$400,0)),"不存在")))))</f>
        <v>3</v>
      </c>
      <c r="U194" s="52" t="s">
        <v>2341</v>
      </c>
      <c r="V194" s="103" t="n">
        <f aca="false">IF(AND($F194="原始數據",$U194&lt;&gt;"連結 SRC"),1,0)</f>
        <v>0</v>
      </c>
      <c r="W194" s="103" t="n">
        <f aca="false">IF(AND($F194="Analogy",OR($H194="—",$H194="")),1,0)</f>
        <v>0</v>
      </c>
      <c r="X194" s="103" t="n">
        <f aca="false">IF(AND(OR($F194="Analogy",$F194="Assumed"),$G194&lt;&gt;"低",$G194&lt;&gt;"高",NOT(ISNUMBER($K194)),NOT(ISNUMBER($L194)),OR($M194="—",$M194="")),1,0)</f>
        <v>0</v>
      </c>
      <c r="Y194" s="103" t="n">
        <f aca="false">IF(AND(OR($F194="Analogy",$F194="Assumed",$F194="Derived（待改公式）",$F194="Derived（公式）"),OR($N194="—",$N194="",$N194=0)),1,0)</f>
        <v>0</v>
      </c>
      <c r="Z194" s="103" t="n">
        <f aca="false">IF(AND($F194="Decision",OR($J194="—",$J194="")),1,0)</f>
        <v>0</v>
      </c>
      <c r="AA194" s="84" t="n">
        <f aca="false">IF(OR($J194="—",$J194=""),0,IF(COUNTIF(Decisions!$A$5:$A$300,$J194)=0,1,0))</f>
        <v>0</v>
      </c>
      <c r="AB194" s="103" t="n">
        <f aca="false">IF(AND($F194="原始數據",$S194&lt;&gt;"Active"),1,0)</f>
        <v>0</v>
      </c>
      <c r="AC194" s="103" t="n">
        <f aca="false">IF(AND(ISNUMBER($K194),ISNUMBER($L194),ISNUMBER($Q194)),IF(OR($Q194&lt;MIN($K194,$L194),$Q194&gt;MAX($K194,$L194)),1,0),0)</f>
        <v>0</v>
      </c>
      <c r="AD194" s="103" t="n">
        <f aca="false">IF(AND(ISNUMBER($T194),$P194="高"),IF($T194=3,1,0),0)</f>
        <v>0</v>
      </c>
      <c r="AE194" s="103" t="n">
        <f aca="false">IF(AND($S194="不存在",$B194="切片一"),1,0)</f>
        <v>0</v>
      </c>
    </row>
    <row r="195" customFormat="false" ht="15" hidden="false" customHeight="false" outlineLevel="0" collapsed="false">
      <c r="A195" s="53" t="s">
        <v>2795</v>
      </c>
      <c r="B195" s="52" t="s">
        <v>2297</v>
      </c>
      <c r="C195" s="53" t="s">
        <v>2762</v>
      </c>
      <c r="D195" s="53" t="s">
        <v>2796</v>
      </c>
      <c r="E195" s="5" t="s">
        <v>245</v>
      </c>
      <c r="F195" s="52" t="s">
        <v>2337</v>
      </c>
      <c r="G195" s="52" t="s">
        <v>2299</v>
      </c>
      <c r="H195" s="53" t="s">
        <v>2797</v>
      </c>
      <c r="I195" s="5" t="s">
        <v>2339</v>
      </c>
      <c r="J195" s="53" t="s">
        <v>554</v>
      </c>
      <c r="K195" s="52"/>
      <c r="L195" s="52"/>
      <c r="M195" s="53" t="s">
        <v>554</v>
      </c>
      <c r="N195" s="5" t="s">
        <v>2340</v>
      </c>
      <c r="O195" s="6" t="s">
        <v>554</v>
      </c>
      <c r="P195" s="52" t="s">
        <v>2364</v>
      </c>
      <c r="Q195" s="56" t="n">
        <f aca="false">Arch!C16</f>
        <v>0.5</v>
      </c>
      <c r="R195" s="83" t="n">
        <f aca="false">SRC_MOD_015</f>
        <v>0.5</v>
      </c>
      <c r="S195" s="83" t="str">
        <f aca="false">IF(OR($H195="—",$H195=""),"—",IF(ISNUMBER(MATCH($H195,SRC_HW!$A$5:$A$400,0)),INDEX(SRC_HW!$O$5:$O$400,MATCH($H195,SRC_HW!$A$5:$A$400,0)),IF(ISNUMBER(MATCH($H195,SRC_DC!$A$5:$A$400,0)),INDEX(SRC_DC!$O$5:$O$400,MATCH($H195,SRC_DC!$A$5:$A$400,0)),IF(ISNUMBER(MATCH($H195,SRC_Model!$A$5:$A$400,0)),INDEX(SRC_Model!$O$5:$O$400,MATCH($H195,SRC_Model!$A$5:$A$400,0)),IF(ISNUMBER(MATCH($H195,SRC_Perf!$A$5:$A$400,0)),INDEX(SRC_Perf!$O$5:$O$400,MATCH($H195,SRC_Perf!$A$5:$A$400,0)),"不存在")))))</f>
        <v>Active</v>
      </c>
      <c r="T195" s="83" t="n">
        <f aca="false">IF(OR($H195="—",$H195=""),"—",IF(ISNUMBER(MATCH($H195,SRC_HW!$A$5:$A$400,0)),INDEX(SRC_HW!$K$5:$K$400,MATCH($H195,SRC_HW!$A$5:$A$400,0)),IF(ISNUMBER(MATCH($H195,SRC_DC!$A$5:$A$400,0)),INDEX(SRC_DC!$K$5:$K$400,MATCH($H195,SRC_DC!$A$5:$A$400,0)),IF(ISNUMBER(MATCH($H195,SRC_Model!$A$5:$A$400,0)),INDEX(SRC_Model!$K$5:$K$400,MATCH($H195,SRC_Model!$A$5:$A$400,0)),IF(ISNUMBER(MATCH($H195,SRC_Perf!$A$5:$A$400,0)),INDEX(SRC_Perf!$K$5:$K$400,MATCH($H195,SRC_Perf!$A$5:$A$400,0)),"不存在")))))</f>
        <v>3</v>
      </c>
      <c r="U195" s="52" t="s">
        <v>2341</v>
      </c>
      <c r="V195" s="103" t="n">
        <f aca="false">IF(AND($F195="原始數據",$U195&lt;&gt;"連結 SRC"),1,0)</f>
        <v>0</v>
      </c>
      <c r="W195" s="103" t="n">
        <f aca="false">IF(AND($F195="Analogy",OR($H195="—",$H195="")),1,0)</f>
        <v>0</v>
      </c>
      <c r="X195" s="103" t="n">
        <f aca="false">IF(AND(OR($F195="Analogy",$F195="Assumed"),$G195&lt;&gt;"低",$G195&lt;&gt;"高",NOT(ISNUMBER($K195)),NOT(ISNUMBER($L195)),OR($M195="—",$M195="")),1,0)</f>
        <v>0</v>
      </c>
      <c r="Y195" s="103" t="n">
        <f aca="false">IF(AND(OR($F195="Analogy",$F195="Assumed",$F195="Derived（待改公式）",$F195="Derived（公式）"),OR($N195="—",$N195="",$N195=0)),1,0)</f>
        <v>0</v>
      </c>
      <c r="Z195" s="103" t="n">
        <f aca="false">IF(AND($F195="Decision",OR($J195="—",$J195="")),1,0)</f>
        <v>0</v>
      </c>
      <c r="AA195" s="84" t="n">
        <f aca="false">IF(OR($J195="—",$J195=""),0,IF(COUNTIF(Decisions!$A$5:$A$300,$J195)=0,1,0))</f>
        <v>0</v>
      </c>
      <c r="AB195" s="103" t="n">
        <f aca="false">IF(AND($F195="原始數據",$S195&lt;&gt;"Active"),1,0)</f>
        <v>0</v>
      </c>
      <c r="AC195" s="103" t="n">
        <f aca="false">IF(AND(ISNUMBER($K195),ISNUMBER($L195),ISNUMBER($Q195)),IF(OR($Q195&lt;MIN($K195,$L195),$Q195&gt;MAX($K195,$L195)),1,0),0)</f>
        <v>0</v>
      </c>
      <c r="AD195" s="103" t="n">
        <f aca="false">IF(AND(ISNUMBER($T195),$P195="高"),IF($T195=3,1,0),0)</f>
        <v>0</v>
      </c>
      <c r="AE195" s="103" t="n">
        <f aca="false">IF(AND($S195="不存在",$B195="切片一"),1,0)</f>
        <v>0</v>
      </c>
    </row>
    <row r="196" customFormat="false" ht="15" hidden="false" customHeight="false" outlineLevel="0" collapsed="false">
      <c r="A196" s="53" t="s">
        <v>2798</v>
      </c>
      <c r="B196" s="52" t="s">
        <v>2297</v>
      </c>
      <c r="C196" s="53" t="s">
        <v>2762</v>
      </c>
      <c r="D196" s="53" t="s">
        <v>2351</v>
      </c>
      <c r="E196" s="5" t="s">
        <v>245</v>
      </c>
      <c r="F196" s="52" t="s">
        <v>2337</v>
      </c>
      <c r="G196" s="52" t="s">
        <v>2299</v>
      </c>
      <c r="H196" s="53" t="s">
        <v>2797</v>
      </c>
      <c r="I196" s="5" t="s">
        <v>2339</v>
      </c>
      <c r="J196" s="53" t="s">
        <v>554</v>
      </c>
      <c r="K196" s="52"/>
      <c r="L196" s="52"/>
      <c r="M196" s="53" t="s">
        <v>554</v>
      </c>
      <c r="N196" s="5" t="s">
        <v>2340</v>
      </c>
      <c r="O196" s="6" t="s">
        <v>554</v>
      </c>
      <c r="P196" s="52" t="s">
        <v>2364</v>
      </c>
      <c r="Q196" s="56" t="n">
        <f aca="false">Arch!D16</f>
        <v>0.5</v>
      </c>
      <c r="R196" s="83" t="n">
        <f aca="false">SRC_MOD_015</f>
        <v>0.5</v>
      </c>
      <c r="S196" s="83" t="str">
        <f aca="false">IF(OR($H196="—",$H196=""),"—",IF(ISNUMBER(MATCH($H196,SRC_HW!$A$5:$A$400,0)),INDEX(SRC_HW!$O$5:$O$400,MATCH($H196,SRC_HW!$A$5:$A$400,0)),IF(ISNUMBER(MATCH($H196,SRC_DC!$A$5:$A$400,0)),INDEX(SRC_DC!$O$5:$O$400,MATCH($H196,SRC_DC!$A$5:$A$400,0)),IF(ISNUMBER(MATCH($H196,SRC_Model!$A$5:$A$400,0)),INDEX(SRC_Model!$O$5:$O$400,MATCH($H196,SRC_Model!$A$5:$A$400,0)),IF(ISNUMBER(MATCH($H196,SRC_Perf!$A$5:$A$400,0)),INDEX(SRC_Perf!$O$5:$O$400,MATCH($H196,SRC_Perf!$A$5:$A$400,0)),"不存在")))))</f>
        <v>Active</v>
      </c>
      <c r="T196" s="83" t="n">
        <f aca="false">IF(OR($H196="—",$H196=""),"—",IF(ISNUMBER(MATCH($H196,SRC_HW!$A$5:$A$400,0)),INDEX(SRC_HW!$K$5:$K$400,MATCH($H196,SRC_HW!$A$5:$A$400,0)),IF(ISNUMBER(MATCH($H196,SRC_DC!$A$5:$A$400,0)),INDEX(SRC_DC!$K$5:$K$400,MATCH($H196,SRC_DC!$A$5:$A$400,0)),IF(ISNUMBER(MATCH($H196,SRC_Model!$A$5:$A$400,0)),INDEX(SRC_Model!$K$5:$K$400,MATCH($H196,SRC_Model!$A$5:$A$400,0)),IF(ISNUMBER(MATCH($H196,SRC_Perf!$A$5:$A$400,0)),INDEX(SRC_Perf!$K$5:$K$400,MATCH($H196,SRC_Perf!$A$5:$A$400,0)),"不存在")))))</f>
        <v>3</v>
      </c>
      <c r="U196" s="52" t="s">
        <v>2341</v>
      </c>
      <c r="V196" s="103" t="n">
        <f aca="false">IF(AND($F196="原始數據",$U196&lt;&gt;"連結 SRC"),1,0)</f>
        <v>0</v>
      </c>
      <c r="W196" s="103" t="n">
        <f aca="false">IF(AND($F196="Analogy",OR($H196="—",$H196="")),1,0)</f>
        <v>0</v>
      </c>
      <c r="X196" s="103" t="n">
        <f aca="false">IF(AND(OR($F196="Analogy",$F196="Assumed"),$G196&lt;&gt;"低",$G196&lt;&gt;"高",NOT(ISNUMBER($K196)),NOT(ISNUMBER($L196)),OR($M196="—",$M196="")),1,0)</f>
        <v>0</v>
      </c>
      <c r="Y196" s="103" t="n">
        <f aca="false">IF(AND(OR($F196="Analogy",$F196="Assumed",$F196="Derived（待改公式）",$F196="Derived（公式）"),OR($N196="—",$N196="",$N196=0)),1,0)</f>
        <v>0</v>
      </c>
      <c r="Z196" s="103" t="n">
        <f aca="false">IF(AND($F196="Decision",OR($J196="—",$J196="")),1,0)</f>
        <v>0</v>
      </c>
      <c r="AA196" s="84" t="n">
        <f aca="false">IF(OR($J196="—",$J196=""),0,IF(COUNTIF(Decisions!$A$5:$A$300,$J196)=0,1,0))</f>
        <v>0</v>
      </c>
      <c r="AB196" s="103" t="n">
        <f aca="false">IF(AND($F196="原始數據",$S196&lt;&gt;"Active"),1,0)</f>
        <v>0</v>
      </c>
      <c r="AC196" s="103" t="n">
        <f aca="false">IF(AND(ISNUMBER($K196),ISNUMBER($L196),ISNUMBER($Q196)),IF(OR($Q196&lt;MIN($K196,$L196),$Q196&gt;MAX($K196,$L196)),1,0),0)</f>
        <v>0</v>
      </c>
      <c r="AD196" s="103" t="n">
        <f aca="false">IF(AND(ISNUMBER($T196),$P196="高"),IF($T196=3,1,0),0)</f>
        <v>0</v>
      </c>
      <c r="AE196" s="103" t="n">
        <f aca="false">IF(AND($S196="不存在",$B196="切片一"),1,0)</f>
        <v>0</v>
      </c>
    </row>
    <row r="197" customFormat="false" ht="15" hidden="false" customHeight="false" outlineLevel="0" collapsed="false">
      <c r="A197" s="53" t="s">
        <v>2799</v>
      </c>
      <c r="B197" s="52" t="s">
        <v>2297</v>
      </c>
      <c r="C197" s="53" t="s">
        <v>2762</v>
      </c>
      <c r="D197" s="53" t="s">
        <v>2800</v>
      </c>
      <c r="E197" s="5" t="s">
        <v>251</v>
      </c>
      <c r="F197" s="52" t="s">
        <v>2337</v>
      </c>
      <c r="G197" s="52" t="s">
        <v>2299</v>
      </c>
      <c r="H197" s="53" t="s">
        <v>2801</v>
      </c>
      <c r="I197" s="5" t="s">
        <v>2339</v>
      </c>
      <c r="J197" s="53" t="s">
        <v>554</v>
      </c>
      <c r="K197" s="52"/>
      <c r="L197" s="52"/>
      <c r="M197" s="53" t="s">
        <v>554</v>
      </c>
      <c r="N197" s="5" t="s">
        <v>2340</v>
      </c>
      <c r="O197" s="6" t="s">
        <v>554</v>
      </c>
      <c r="P197" s="52" t="s">
        <v>1078</v>
      </c>
      <c r="Q197" s="54" t="n">
        <f aca="false">Arch!C18</f>
        <v>128</v>
      </c>
      <c r="R197" s="83" t="n">
        <f aca="false">SRC_MOD_016</f>
        <v>128</v>
      </c>
      <c r="S197" s="83" t="str">
        <f aca="false">IF(OR($H197="—",$H197=""),"—",IF(ISNUMBER(MATCH($H197,SRC_HW!$A$5:$A$400,0)),INDEX(SRC_HW!$O$5:$O$400,MATCH($H197,SRC_HW!$A$5:$A$400,0)),IF(ISNUMBER(MATCH($H197,SRC_DC!$A$5:$A$400,0)),INDEX(SRC_DC!$O$5:$O$400,MATCH($H197,SRC_DC!$A$5:$A$400,0)),IF(ISNUMBER(MATCH($H197,SRC_Model!$A$5:$A$400,0)),INDEX(SRC_Model!$O$5:$O$400,MATCH($H197,SRC_Model!$A$5:$A$400,0)),IF(ISNUMBER(MATCH($H197,SRC_Perf!$A$5:$A$400,0)),INDEX(SRC_Perf!$O$5:$O$400,MATCH($H197,SRC_Perf!$A$5:$A$400,0)),"不存在")))))</f>
        <v>Active</v>
      </c>
      <c r="T197" s="83" t="n">
        <f aca="false">IF(OR($H197="—",$H197=""),"—",IF(ISNUMBER(MATCH($H197,SRC_HW!$A$5:$A$400,0)),INDEX(SRC_HW!$K$5:$K$400,MATCH($H197,SRC_HW!$A$5:$A$400,0)),IF(ISNUMBER(MATCH($H197,SRC_DC!$A$5:$A$400,0)),INDEX(SRC_DC!$K$5:$K$400,MATCH($H197,SRC_DC!$A$5:$A$400,0)),IF(ISNUMBER(MATCH($H197,SRC_Model!$A$5:$A$400,0)),INDEX(SRC_Model!$K$5:$K$400,MATCH($H197,SRC_Model!$A$5:$A$400,0)),IF(ISNUMBER(MATCH($H197,SRC_Perf!$A$5:$A$400,0)),INDEX(SRC_Perf!$K$5:$K$400,MATCH($H197,SRC_Perf!$A$5:$A$400,0)),"不存在")))))</f>
        <v>3</v>
      </c>
      <c r="U197" s="52" t="s">
        <v>2341</v>
      </c>
      <c r="V197" s="103" t="n">
        <f aca="false">IF(AND($F197="原始數據",$U197&lt;&gt;"連結 SRC"),1,0)</f>
        <v>0</v>
      </c>
      <c r="W197" s="103" t="n">
        <f aca="false">IF(AND($F197="Analogy",OR($H197="—",$H197="")),1,0)</f>
        <v>0</v>
      </c>
      <c r="X197" s="103" t="n">
        <f aca="false">IF(AND(OR($F197="Analogy",$F197="Assumed"),$G197&lt;&gt;"低",$G197&lt;&gt;"高",NOT(ISNUMBER($K197)),NOT(ISNUMBER($L197)),OR($M197="—",$M197="")),1,0)</f>
        <v>0</v>
      </c>
      <c r="Y197" s="103" t="n">
        <f aca="false">IF(AND(OR($F197="Analogy",$F197="Assumed",$F197="Derived（待改公式）",$F197="Derived（公式）"),OR($N197="—",$N197="",$N197=0)),1,0)</f>
        <v>0</v>
      </c>
      <c r="Z197" s="103" t="n">
        <f aca="false">IF(AND($F197="Decision",OR($J197="—",$J197="")),1,0)</f>
        <v>0</v>
      </c>
      <c r="AA197" s="84" t="n">
        <f aca="false">IF(OR($J197="—",$J197=""),0,IF(COUNTIF(Decisions!$A$5:$A$300,$J197)=0,1,0))</f>
        <v>0</v>
      </c>
      <c r="AB197" s="103" t="n">
        <f aca="false">IF(AND($F197="原始數據",$S197&lt;&gt;"Active"),1,0)</f>
        <v>0</v>
      </c>
      <c r="AC197" s="103" t="n">
        <f aca="false">IF(AND(ISNUMBER($K197),ISNUMBER($L197),ISNUMBER($Q197)),IF(OR($Q197&lt;MIN($K197,$L197),$Q197&gt;MAX($K197,$L197)),1,0),0)</f>
        <v>0</v>
      </c>
      <c r="AD197" s="103" t="n">
        <f aca="false">IF(AND(ISNUMBER($T197),$P197="高"),IF($T197=3,1,0),0)</f>
        <v>0</v>
      </c>
      <c r="AE197" s="103" t="n">
        <f aca="false">IF(AND($S197="不存在",$B197="切片一"),1,0)</f>
        <v>0</v>
      </c>
    </row>
    <row r="198" customFormat="false" ht="15" hidden="false" customHeight="false" outlineLevel="0" collapsed="false">
      <c r="A198" s="53" t="s">
        <v>2802</v>
      </c>
      <c r="B198" s="52" t="s">
        <v>2297</v>
      </c>
      <c r="C198" s="53" t="s">
        <v>2762</v>
      </c>
      <c r="D198" s="53" t="s">
        <v>2366</v>
      </c>
      <c r="E198" s="5" t="s">
        <v>251</v>
      </c>
      <c r="F198" s="52" t="s">
        <v>2337</v>
      </c>
      <c r="G198" s="52" t="s">
        <v>2299</v>
      </c>
      <c r="H198" s="53" t="s">
        <v>2801</v>
      </c>
      <c r="I198" s="5" t="s">
        <v>2339</v>
      </c>
      <c r="J198" s="53" t="s">
        <v>554</v>
      </c>
      <c r="K198" s="52"/>
      <c r="L198" s="52"/>
      <c r="M198" s="53" t="s">
        <v>554</v>
      </c>
      <c r="N198" s="5" t="s">
        <v>2340</v>
      </c>
      <c r="O198" s="6" t="s">
        <v>554</v>
      </c>
      <c r="P198" s="52" t="s">
        <v>1078</v>
      </c>
      <c r="Q198" s="54" t="n">
        <f aca="false">Arch!D18</f>
        <v>128</v>
      </c>
      <c r="R198" s="83" t="n">
        <f aca="false">SRC_MOD_016</f>
        <v>128</v>
      </c>
      <c r="S198" s="83" t="str">
        <f aca="false">IF(OR($H198="—",$H198=""),"—",IF(ISNUMBER(MATCH($H198,SRC_HW!$A$5:$A$400,0)),INDEX(SRC_HW!$O$5:$O$400,MATCH($H198,SRC_HW!$A$5:$A$400,0)),IF(ISNUMBER(MATCH($H198,SRC_DC!$A$5:$A$400,0)),INDEX(SRC_DC!$O$5:$O$400,MATCH($H198,SRC_DC!$A$5:$A$400,0)),IF(ISNUMBER(MATCH($H198,SRC_Model!$A$5:$A$400,0)),INDEX(SRC_Model!$O$5:$O$400,MATCH($H198,SRC_Model!$A$5:$A$400,0)),IF(ISNUMBER(MATCH($H198,SRC_Perf!$A$5:$A$400,0)),INDEX(SRC_Perf!$O$5:$O$400,MATCH($H198,SRC_Perf!$A$5:$A$400,0)),"不存在")))))</f>
        <v>Active</v>
      </c>
      <c r="T198" s="83" t="n">
        <f aca="false">IF(OR($H198="—",$H198=""),"—",IF(ISNUMBER(MATCH($H198,SRC_HW!$A$5:$A$400,0)),INDEX(SRC_HW!$K$5:$K$400,MATCH($H198,SRC_HW!$A$5:$A$400,0)),IF(ISNUMBER(MATCH($H198,SRC_DC!$A$5:$A$400,0)),INDEX(SRC_DC!$K$5:$K$400,MATCH($H198,SRC_DC!$A$5:$A$400,0)),IF(ISNUMBER(MATCH($H198,SRC_Model!$A$5:$A$400,0)),INDEX(SRC_Model!$K$5:$K$400,MATCH($H198,SRC_Model!$A$5:$A$400,0)),IF(ISNUMBER(MATCH($H198,SRC_Perf!$A$5:$A$400,0)),INDEX(SRC_Perf!$K$5:$K$400,MATCH($H198,SRC_Perf!$A$5:$A$400,0)),"不存在")))))</f>
        <v>3</v>
      </c>
      <c r="U198" s="52" t="s">
        <v>2341</v>
      </c>
      <c r="V198" s="103" t="n">
        <f aca="false">IF(AND($F198="原始數據",$U198&lt;&gt;"連結 SRC"),1,0)</f>
        <v>0</v>
      </c>
      <c r="W198" s="103" t="n">
        <f aca="false">IF(AND($F198="Analogy",OR($H198="—",$H198="")),1,0)</f>
        <v>0</v>
      </c>
      <c r="X198" s="103" t="n">
        <f aca="false">IF(AND(OR($F198="Analogy",$F198="Assumed"),$G198&lt;&gt;"低",$G198&lt;&gt;"高",NOT(ISNUMBER($K198)),NOT(ISNUMBER($L198)),OR($M198="—",$M198="")),1,0)</f>
        <v>0</v>
      </c>
      <c r="Y198" s="103" t="n">
        <f aca="false">IF(AND(OR($F198="Analogy",$F198="Assumed",$F198="Derived（待改公式）",$F198="Derived（公式）"),OR($N198="—",$N198="",$N198=0)),1,0)</f>
        <v>0</v>
      </c>
      <c r="Z198" s="103" t="n">
        <f aca="false">IF(AND($F198="Decision",OR($J198="—",$J198="")),1,0)</f>
        <v>0</v>
      </c>
      <c r="AA198" s="84" t="n">
        <f aca="false">IF(OR($J198="—",$J198=""),0,IF(COUNTIF(Decisions!$A$5:$A$300,$J198)=0,1,0))</f>
        <v>0</v>
      </c>
      <c r="AB198" s="103" t="n">
        <f aca="false">IF(AND($F198="原始數據",$S198&lt;&gt;"Active"),1,0)</f>
        <v>0</v>
      </c>
      <c r="AC198" s="103" t="n">
        <f aca="false">IF(AND(ISNUMBER($K198),ISNUMBER($L198),ISNUMBER($Q198)),IF(OR($Q198&lt;MIN($K198,$L198),$Q198&gt;MAX($K198,$L198)),1,0),0)</f>
        <v>0</v>
      </c>
      <c r="AD198" s="103" t="n">
        <f aca="false">IF(AND(ISNUMBER($T198),$P198="高"),IF($T198=3,1,0),0)</f>
        <v>0</v>
      </c>
      <c r="AE198" s="103" t="n">
        <f aca="false">IF(AND($S198="不存在",$B198="切片一"),1,0)</f>
        <v>0</v>
      </c>
    </row>
    <row r="199" customFormat="false" ht="15" hidden="false" customHeight="false" outlineLevel="0" collapsed="false">
      <c r="A199" s="53" t="s">
        <v>2803</v>
      </c>
      <c r="B199" s="52" t="s">
        <v>2297</v>
      </c>
      <c r="C199" s="53" t="s">
        <v>2762</v>
      </c>
      <c r="D199" s="53" t="s">
        <v>2804</v>
      </c>
      <c r="E199" s="5" t="s">
        <v>253</v>
      </c>
      <c r="F199" s="52" t="s">
        <v>2337</v>
      </c>
      <c r="G199" s="52" t="s">
        <v>2299</v>
      </c>
      <c r="H199" s="53" t="s">
        <v>2805</v>
      </c>
      <c r="I199" s="5" t="s">
        <v>2339</v>
      </c>
      <c r="J199" s="53" t="s">
        <v>554</v>
      </c>
      <c r="K199" s="52"/>
      <c r="L199" s="52"/>
      <c r="M199" s="53" t="s">
        <v>554</v>
      </c>
      <c r="N199" s="5" t="s">
        <v>2340</v>
      </c>
      <c r="O199" s="6" t="s">
        <v>554</v>
      </c>
      <c r="P199" s="52" t="s">
        <v>1078</v>
      </c>
      <c r="Q199" s="54" t="n">
        <f aca="false">Arch!C19</f>
        <v>128</v>
      </c>
      <c r="R199" s="83" t="n">
        <f aca="false">SRC_MOD_017</f>
        <v>128</v>
      </c>
      <c r="S199" s="83" t="str">
        <f aca="false">IF(OR($H199="—",$H199=""),"—",IF(ISNUMBER(MATCH($H199,SRC_HW!$A$5:$A$400,0)),INDEX(SRC_HW!$O$5:$O$400,MATCH($H199,SRC_HW!$A$5:$A$400,0)),IF(ISNUMBER(MATCH($H199,SRC_DC!$A$5:$A$400,0)),INDEX(SRC_DC!$O$5:$O$400,MATCH($H199,SRC_DC!$A$5:$A$400,0)),IF(ISNUMBER(MATCH($H199,SRC_Model!$A$5:$A$400,0)),INDEX(SRC_Model!$O$5:$O$400,MATCH($H199,SRC_Model!$A$5:$A$400,0)),IF(ISNUMBER(MATCH($H199,SRC_Perf!$A$5:$A$400,0)),INDEX(SRC_Perf!$O$5:$O$400,MATCH($H199,SRC_Perf!$A$5:$A$400,0)),"不存在")))))</f>
        <v>Active</v>
      </c>
      <c r="T199" s="83" t="n">
        <f aca="false">IF(OR($H199="—",$H199=""),"—",IF(ISNUMBER(MATCH($H199,SRC_HW!$A$5:$A$400,0)),INDEX(SRC_HW!$K$5:$K$400,MATCH($H199,SRC_HW!$A$5:$A$400,0)),IF(ISNUMBER(MATCH($H199,SRC_DC!$A$5:$A$400,0)),INDEX(SRC_DC!$K$5:$K$400,MATCH($H199,SRC_DC!$A$5:$A$400,0)),IF(ISNUMBER(MATCH($H199,SRC_Model!$A$5:$A$400,0)),INDEX(SRC_Model!$K$5:$K$400,MATCH($H199,SRC_Model!$A$5:$A$400,0)),IF(ISNUMBER(MATCH($H199,SRC_Perf!$A$5:$A$400,0)),INDEX(SRC_Perf!$K$5:$K$400,MATCH($H199,SRC_Perf!$A$5:$A$400,0)),"不存在")))))</f>
        <v>3</v>
      </c>
      <c r="U199" s="52" t="s">
        <v>2341</v>
      </c>
      <c r="V199" s="103" t="n">
        <f aca="false">IF(AND($F199="原始數據",$U199&lt;&gt;"連結 SRC"),1,0)</f>
        <v>0</v>
      </c>
      <c r="W199" s="103" t="n">
        <f aca="false">IF(AND($F199="Analogy",OR($H199="—",$H199="")),1,0)</f>
        <v>0</v>
      </c>
      <c r="X199" s="103" t="n">
        <f aca="false">IF(AND(OR($F199="Analogy",$F199="Assumed"),$G199&lt;&gt;"低",$G199&lt;&gt;"高",NOT(ISNUMBER($K199)),NOT(ISNUMBER($L199)),OR($M199="—",$M199="")),1,0)</f>
        <v>0</v>
      </c>
      <c r="Y199" s="103" t="n">
        <f aca="false">IF(AND(OR($F199="Analogy",$F199="Assumed",$F199="Derived（待改公式）",$F199="Derived（公式）"),OR($N199="—",$N199="",$N199=0)),1,0)</f>
        <v>0</v>
      </c>
      <c r="Z199" s="103" t="n">
        <f aca="false">IF(AND($F199="Decision",OR($J199="—",$J199="")),1,0)</f>
        <v>0</v>
      </c>
      <c r="AA199" s="84" t="n">
        <f aca="false">IF(OR($J199="—",$J199=""),0,IF(COUNTIF(Decisions!$A$5:$A$300,$J199)=0,1,0))</f>
        <v>0</v>
      </c>
      <c r="AB199" s="103" t="n">
        <f aca="false">IF(AND($F199="原始數據",$S199&lt;&gt;"Active"),1,0)</f>
        <v>0</v>
      </c>
      <c r="AC199" s="103" t="n">
        <f aca="false">IF(AND(ISNUMBER($K199),ISNUMBER($L199),ISNUMBER($Q199)),IF(OR($Q199&lt;MIN($K199,$L199),$Q199&gt;MAX($K199,$L199)),1,0),0)</f>
        <v>0</v>
      </c>
      <c r="AD199" s="103" t="n">
        <f aca="false">IF(AND(ISNUMBER($T199),$P199="高"),IF($T199=3,1,0),0)</f>
        <v>0</v>
      </c>
      <c r="AE199" s="103" t="n">
        <f aca="false">IF(AND($S199="不存在",$B199="切片一"),1,0)</f>
        <v>0</v>
      </c>
    </row>
    <row r="200" customFormat="false" ht="15" hidden="false" customHeight="false" outlineLevel="0" collapsed="false">
      <c r="A200" s="53" t="s">
        <v>2806</v>
      </c>
      <c r="B200" s="52" t="s">
        <v>2297</v>
      </c>
      <c r="C200" s="53" t="s">
        <v>2762</v>
      </c>
      <c r="D200" s="53" t="s">
        <v>2372</v>
      </c>
      <c r="E200" s="5" t="s">
        <v>253</v>
      </c>
      <c r="F200" s="52" t="s">
        <v>2337</v>
      </c>
      <c r="G200" s="52" t="s">
        <v>2299</v>
      </c>
      <c r="H200" s="53" t="s">
        <v>2805</v>
      </c>
      <c r="I200" s="5" t="s">
        <v>2339</v>
      </c>
      <c r="J200" s="53" t="s">
        <v>554</v>
      </c>
      <c r="K200" s="52"/>
      <c r="L200" s="52"/>
      <c r="M200" s="53" t="s">
        <v>554</v>
      </c>
      <c r="N200" s="5" t="s">
        <v>2340</v>
      </c>
      <c r="O200" s="6" t="s">
        <v>554</v>
      </c>
      <c r="P200" s="52" t="s">
        <v>1078</v>
      </c>
      <c r="Q200" s="54" t="n">
        <f aca="false">Arch!D19</f>
        <v>128</v>
      </c>
      <c r="R200" s="83" t="n">
        <f aca="false">SRC_MOD_017</f>
        <v>128</v>
      </c>
      <c r="S200" s="83" t="str">
        <f aca="false">IF(OR($H200="—",$H200=""),"—",IF(ISNUMBER(MATCH($H200,SRC_HW!$A$5:$A$400,0)),INDEX(SRC_HW!$O$5:$O$400,MATCH($H200,SRC_HW!$A$5:$A$400,0)),IF(ISNUMBER(MATCH($H200,SRC_DC!$A$5:$A$400,0)),INDEX(SRC_DC!$O$5:$O$400,MATCH($H200,SRC_DC!$A$5:$A$400,0)),IF(ISNUMBER(MATCH($H200,SRC_Model!$A$5:$A$400,0)),INDEX(SRC_Model!$O$5:$O$400,MATCH($H200,SRC_Model!$A$5:$A$400,0)),IF(ISNUMBER(MATCH($H200,SRC_Perf!$A$5:$A$400,0)),INDEX(SRC_Perf!$O$5:$O$400,MATCH($H200,SRC_Perf!$A$5:$A$400,0)),"不存在")))))</f>
        <v>Active</v>
      </c>
      <c r="T200" s="83" t="n">
        <f aca="false">IF(OR($H200="—",$H200=""),"—",IF(ISNUMBER(MATCH($H200,SRC_HW!$A$5:$A$400,0)),INDEX(SRC_HW!$K$5:$K$400,MATCH($H200,SRC_HW!$A$5:$A$400,0)),IF(ISNUMBER(MATCH($H200,SRC_DC!$A$5:$A$400,0)),INDEX(SRC_DC!$K$5:$K$400,MATCH($H200,SRC_DC!$A$5:$A$400,0)),IF(ISNUMBER(MATCH($H200,SRC_Model!$A$5:$A$400,0)),INDEX(SRC_Model!$K$5:$K$400,MATCH($H200,SRC_Model!$A$5:$A$400,0)),IF(ISNUMBER(MATCH($H200,SRC_Perf!$A$5:$A$400,0)),INDEX(SRC_Perf!$K$5:$K$400,MATCH($H200,SRC_Perf!$A$5:$A$400,0)),"不存在")))))</f>
        <v>3</v>
      </c>
      <c r="U200" s="52" t="s">
        <v>2341</v>
      </c>
      <c r="V200" s="103" t="n">
        <f aca="false">IF(AND($F200="原始數據",$U200&lt;&gt;"連結 SRC"),1,0)</f>
        <v>0</v>
      </c>
      <c r="W200" s="103" t="n">
        <f aca="false">IF(AND($F200="Analogy",OR($H200="—",$H200="")),1,0)</f>
        <v>0</v>
      </c>
      <c r="X200" s="103" t="n">
        <f aca="false">IF(AND(OR($F200="Analogy",$F200="Assumed"),$G200&lt;&gt;"低",$G200&lt;&gt;"高",NOT(ISNUMBER($K200)),NOT(ISNUMBER($L200)),OR($M200="—",$M200="")),1,0)</f>
        <v>0</v>
      </c>
      <c r="Y200" s="103" t="n">
        <f aca="false">IF(AND(OR($F200="Analogy",$F200="Assumed",$F200="Derived（待改公式）",$F200="Derived（公式）"),OR($N200="—",$N200="",$N200=0)),1,0)</f>
        <v>0</v>
      </c>
      <c r="Z200" s="103" t="n">
        <f aca="false">IF(AND($F200="Decision",OR($J200="—",$J200="")),1,0)</f>
        <v>0</v>
      </c>
      <c r="AA200" s="84" t="n">
        <f aca="false">IF(OR($J200="—",$J200=""),0,IF(COUNTIF(Decisions!$A$5:$A$300,$J200)=0,1,0))</f>
        <v>0</v>
      </c>
      <c r="AB200" s="103" t="n">
        <f aca="false">IF(AND($F200="原始數據",$S200&lt;&gt;"Active"),1,0)</f>
        <v>0</v>
      </c>
      <c r="AC200" s="103" t="n">
        <f aca="false">IF(AND(ISNUMBER($K200),ISNUMBER($L200),ISNUMBER($Q200)),IF(OR($Q200&lt;MIN($K200,$L200),$Q200&gt;MAX($K200,$L200)),1,0),0)</f>
        <v>0</v>
      </c>
      <c r="AD200" s="103" t="n">
        <f aca="false">IF(AND(ISNUMBER($T200),$P200="高"),IF($T200=3,1,0),0)</f>
        <v>0</v>
      </c>
      <c r="AE200" s="103" t="n">
        <f aca="false">IF(AND($S200="不存在",$B200="切片一"),1,0)</f>
        <v>0</v>
      </c>
    </row>
    <row r="201" customFormat="false" ht="15" hidden="false" customHeight="false" outlineLevel="0" collapsed="false">
      <c r="A201" s="53" t="s">
        <v>2807</v>
      </c>
      <c r="B201" s="52" t="s">
        <v>2297</v>
      </c>
      <c r="C201" s="53" t="s">
        <v>2762</v>
      </c>
      <c r="D201" s="53" t="s">
        <v>2314</v>
      </c>
      <c r="E201" s="6" t="s">
        <v>233</v>
      </c>
      <c r="F201" s="52" t="s">
        <v>2337</v>
      </c>
      <c r="G201" s="52" t="s">
        <v>2299</v>
      </c>
      <c r="H201" s="53" t="s">
        <v>2808</v>
      </c>
      <c r="I201" s="5" t="s">
        <v>2339</v>
      </c>
      <c r="J201" s="53" t="s">
        <v>554</v>
      </c>
      <c r="K201" s="52"/>
      <c r="L201" s="52"/>
      <c r="M201" s="53" t="s">
        <v>554</v>
      </c>
      <c r="N201" s="5" t="s">
        <v>2340</v>
      </c>
      <c r="O201" s="6" t="s">
        <v>554</v>
      </c>
      <c r="P201" s="52" t="s">
        <v>2307</v>
      </c>
      <c r="Q201" s="54" t="n">
        <f aca="false">Arch!D9</f>
        <v>7168</v>
      </c>
      <c r="R201" s="83" t="n">
        <f aca="false">SRC_MOD_004</f>
        <v>7168</v>
      </c>
      <c r="S201" s="83" t="str">
        <f aca="false">IF(OR($H201="—",$H201=""),"—",IF(ISNUMBER(MATCH($H201,SRC_HW!$A$5:$A$400,0)),INDEX(SRC_HW!$O$5:$O$400,MATCH($H201,SRC_HW!$A$5:$A$400,0)),IF(ISNUMBER(MATCH($H201,SRC_DC!$A$5:$A$400,0)),INDEX(SRC_DC!$O$5:$O$400,MATCH($H201,SRC_DC!$A$5:$A$400,0)),IF(ISNUMBER(MATCH($H201,SRC_Model!$A$5:$A$400,0)),INDEX(SRC_Model!$O$5:$O$400,MATCH($H201,SRC_Model!$A$5:$A$400,0)),IF(ISNUMBER(MATCH($H201,SRC_Perf!$A$5:$A$400,0)),INDEX(SRC_Perf!$O$5:$O$400,MATCH($H201,SRC_Perf!$A$5:$A$400,0)),"不存在")))))</f>
        <v>Active</v>
      </c>
      <c r="T201" s="83" t="n">
        <f aca="false">IF(OR($H201="—",$H201=""),"—",IF(ISNUMBER(MATCH($H201,SRC_HW!$A$5:$A$400,0)),INDEX(SRC_HW!$K$5:$K$400,MATCH($H201,SRC_HW!$A$5:$A$400,0)),IF(ISNUMBER(MATCH($H201,SRC_DC!$A$5:$A$400,0)),INDEX(SRC_DC!$K$5:$K$400,MATCH($H201,SRC_DC!$A$5:$A$400,0)),IF(ISNUMBER(MATCH($H201,SRC_Model!$A$5:$A$400,0)),INDEX(SRC_Model!$K$5:$K$400,MATCH($H201,SRC_Model!$A$5:$A$400,0)),IF(ISNUMBER(MATCH($H201,SRC_Perf!$A$5:$A$400,0)),INDEX(SRC_Perf!$K$5:$K$400,MATCH($H201,SRC_Perf!$A$5:$A$400,0)),"不存在")))))</f>
        <v>3</v>
      </c>
      <c r="U201" s="52" t="s">
        <v>2341</v>
      </c>
      <c r="V201" s="103" t="n">
        <f aca="false">IF(AND($F201="原始數據",$U201&lt;&gt;"連結 SRC"),1,0)</f>
        <v>0</v>
      </c>
      <c r="W201" s="103" t="n">
        <f aca="false">IF(AND($F201="Analogy",OR($H201="—",$H201="")),1,0)</f>
        <v>0</v>
      </c>
      <c r="X201" s="103" t="n">
        <f aca="false">IF(AND(OR($F201="Analogy",$F201="Assumed"),$G201&lt;&gt;"低",$G201&lt;&gt;"高",NOT(ISNUMBER($K201)),NOT(ISNUMBER($L201)),OR($M201="—",$M201="")),1,0)</f>
        <v>0</v>
      </c>
      <c r="Y201" s="103" t="n">
        <f aca="false">IF(AND(OR($F201="Analogy",$F201="Assumed",$F201="Derived（待改公式）",$F201="Derived（公式）"),OR($N201="—",$N201="",$N201=0)),1,0)</f>
        <v>0</v>
      </c>
      <c r="Z201" s="103" t="n">
        <f aca="false">IF(AND($F201="Decision",OR($J201="—",$J201="")),1,0)</f>
        <v>0</v>
      </c>
      <c r="AA201" s="84" t="n">
        <f aca="false">IF(OR($J201="—",$J201=""),0,IF(COUNTIF(Decisions!$A$5:$A$300,$J201)=0,1,0))</f>
        <v>0</v>
      </c>
      <c r="AB201" s="103" t="n">
        <f aca="false">IF(AND($F201="原始數據",$S201&lt;&gt;"Active"),1,0)</f>
        <v>0</v>
      </c>
      <c r="AC201" s="103" t="n">
        <f aca="false">IF(AND(ISNUMBER($K201),ISNUMBER($L201),ISNUMBER($Q201)),IF(OR($Q201&lt;MIN($K201,$L201),$Q201&gt;MAX($K201,$L201)),1,0),0)</f>
        <v>0</v>
      </c>
      <c r="AD201" s="103" t="n">
        <f aca="false">IF(AND(ISNUMBER($T201),$P201="高"),IF($T201=3,1,0),0)</f>
        <v>0</v>
      </c>
      <c r="AE201" s="103" t="n">
        <f aca="false">IF(AND($S201="不存在",$B201="切片一"),1,0)</f>
        <v>0</v>
      </c>
    </row>
    <row r="202" customFormat="false" ht="15" hidden="false" customHeight="false" outlineLevel="0" collapsed="false">
      <c r="A202" s="53" t="s">
        <v>2809</v>
      </c>
      <c r="B202" s="52" t="s">
        <v>2297</v>
      </c>
      <c r="C202" s="53" t="s">
        <v>2762</v>
      </c>
      <c r="D202" s="53" t="s">
        <v>2320</v>
      </c>
      <c r="E202" s="6" t="s">
        <v>236</v>
      </c>
      <c r="F202" s="52" t="s">
        <v>2337</v>
      </c>
      <c r="G202" s="52" t="s">
        <v>2299</v>
      </c>
      <c r="H202" s="53" t="s">
        <v>2810</v>
      </c>
      <c r="I202" s="5" t="s">
        <v>2339</v>
      </c>
      <c r="J202" s="53" t="s">
        <v>554</v>
      </c>
      <c r="K202" s="52"/>
      <c r="L202" s="52"/>
      <c r="M202" s="53" t="s">
        <v>554</v>
      </c>
      <c r="N202" s="5" t="s">
        <v>2340</v>
      </c>
      <c r="O202" s="6" t="s">
        <v>554</v>
      </c>
      <c r="P202" s="52" t="s">
        <v>2364</v>
      </c>
      <c r="Q202" s="54" t="n">
        <f aca="false">Arch!D10</f>
        <v>128</v>
      </c>
      <c r="R202" s="83" t="n">
        <f aca="false">SRC_MOD_008</f>
        <v>128</v>
      </c>
      <c r="S202" s="83" t="str">
        <f aca="false">IF(OR($H202="—",$H202=""),"—",IF(ISNUMBER(MATCH($H202,SRC_HW!$A$5:$A$400,0)),INDEX(SRC_HW!$O$5:$O$400,MATCH($H202,SRC_HW!$A$5:$A$400,0)),IF(ISNUMBER(MATCH($H202,SRC_DC!$A$5:$A$400,0)),INDEX(SRC_DC!$O$5:$O$400,MATCH($H202,SRC_DC!$A$5:$A$400,0)),IF(ISNUMBER(MATCH($H202,SRC_Model!$A$5:$A$400,0)),INDEX(SRC_Model!$O$5:$O$400,MATCH($H202,SRC_Model!$A$5:$A$400,0)),IF(ISNUMBER(MATCH($H202,SRC_Perf!$A$5:$A$400,0)),INDEX(SRC_Perf!$O$5:$O$400,MATCH($H202,SRC_Perf!$A$5:$A$400,0)),"不存在")))))</f>
        <v>Active</v>
      </c>
      <c r="T202" s="83" t="n">
        <f aca="false">IF(OR($H202="—",$H202=""),"—",IF(ISNUMBER(MATCH($H202,SRC_HW!$A$5:$A$400,0)),INDEX(SRC_HW!$K$5:$K$400,MATCH($H202,SRC_HW!$A$5:$A$400,0)),IF(ISNUMBER(MATCH($H202,SRC_DC!$A$5:$A$400,0)),INDEX(SRC_DC!$K$5:$K$400,MATCH($H202,SRC_DC!$A$5:$A$400,0)),IF(ISNUMBER(MATCH($H202,SRC_Model!$A$5:$A$400,0)),INDEX(SRC_Model!$K$5:$K$400,MATCH($H202,SRC_Model!$A$5:$A$400,0)),IF(ISNUMBER(MATCH($H202,SRC_Perf!$A$5:$A$400,0)),INDEX(SRC_Perf!$K$5:$K$400,MATCH($H202,SRC_Perf!$A$5:$A$400,0)),"不存在")))))</f>
        <v>3</v>
      </c>
      <c r="U202" s="52" t="s">
        <v>2341</v>
      </c>
      <c r="V202" s="103" t="n">
        <f aca="false">IF(AND($F202="原始數據",$U202&lt;&gt;"連結 SRC"),1,0)</f>
        <v>0</v>
      </c>
      <c r="W202" s="103" t="n">
        <f aca="false">IF(AND($F202="Analogy",OR($H202="—",$H202="")),1,0)</f>
        <v>0</v>
      </c>
      <c r="X202" s="103" t="n">
        <f aca="false">IF(AND(OR($F202="Analogy",$F202="Assumed"),$G202&lt;&gt;"低",$G202&lt;&gt;"高",NOT(ISNUMBER($K202)),NOT(ISNUMBER($L202)),OR($M202="—",$M202="")),1,0)</f>
        <v>0</v>
      </c>
      <c r="Y202" s="103" t="n">
        <f aca="false">IF(AND(OR($F202="Analogy",$F202="Assumed",$F202="Derived（待改公式）",$F202="Derived（公式）"),OR($N202="—",$N202="",$N202=0)),1,0)</f>
        <v>0</v>
      </c>
      <c r="Z202" s="103" t="n">
        <f aca="false">IF(AND($F202="Decision",OR($J202="—",$J202="")),1,0)</f>
        <v>0</v>
      </c>
      <c r="AA202" s="84" t="n">
        <f aca="false">IF(OR($J202="—",$J202=""),0,IF(COUNTIF(Decisions!$A$5:$A$300,$J202)=0,1,0))</f>
        <v>0</v>
      </c>
      <c r="AB202" s="103" t="n">
        <f aca="false">IF(AND($F202="原始數據",$S202&lt;&gt;"Active"),1,0)</f>
        <v>0</v>
      </c>
      <c r="AC202" s="103" t="n">
        <f aca="false">IF(AND(ISNUMBER($K202),ISNUMBER($L202),ISNUMBER($Q202)),IF(OR($Q202&lt;MIN($K202,$L202),$Q202&gt;MAX($K202,$L202)),1,0),0)</f>
        <v>0</v>
      </c>
      <c r="AD202" s="103" t="n">
        <f aca="false">IF(AND(ISNUMBER($T202),$P202="高"),IF($T202=3,1,0),0)</f>
        <v>0</v>
      </c>
      <c r="AE202" s="103" t="n">
        <f aca="false">IF(AND($S202="不存在",$B202="切片一"),1,0)</f>
        <v>0</v>
      </c>
    </row>
    <row r="203" customFormat="false" ht="29.85" hidden="false" customHeight="false" outlineLevel="0" collapsed="false">
      <c r="A203" s="53" t="s">
        <v>2811</v>
      </c>
      <c r="B203" s="52" t="s">
        <v>2297</v>
      </c>
      <c r="C203" s="53" t="s">
        <v>2762</v>
      </c>
      <c r="D203" s="53" t="s">
        <v>2489</v>
      </c>
      <c r="E203" s="6" t="s">
        <v>233</v>
      </c>
      <c r="F203" s="53" t="s">
        <v>2812</v>
      </c>
      <c r="G203" s="52" t="s">
        <v>2299</v>
      </c>
      <c r="H203" s="53" t="s">
        <v>554</v>
      </c>
      <c r="I203" s="6" t="s">
        <v>554</v>
      </c>
      <c r="J203" s="53" t="s">
        <v>554</v>
      </c>
      <c r="K203" s="52"/>
      <c r="L203" s="52"/>
      <c r="M203" s="53" t="s">
        <v>554</v>
      </c>
      <c r="N203" s="6" t="s">
        <v>2813</v>
      </c>
      <c r="O203" s="6" t="s">
        <v>554</v>
      </c>
      <c r="P203" s="52" t="s">
        <v>2307</v>
      </c>
      <c r="Q203" s="54" t="n">
        <f aca="false">Arch!C9</f>
        <v>4096</v>
      </c>
      <c r="R203" s="53" t="s">
        <v>554</v>
      </c>
      <c r="S203" s="83" t="str">
        <f aca="false">IF(OR($H203="—",$H203=""),"—",IF(ISNUMBER(MATCH($H203,SRC_HW!$A$5:$A$400,0)),INDEX(SRC_HW!$O$5:$O$400,MATCH($H203,SRC_HW!$A$5:$A$400,0)),IF(ISNUMBER(MATCH($H203,SRC_DC!$A$5:$A$400,0)),INDEX(SRC_DC!$O$5:$O$400,MATCH($H203,SRC_DC!$A$5:$A$400,0)),IF(ISNUMBER(MATCH($H203,SRC_Model!$A$5:$A$400,0)),INDEX(SRC_Model!$O$5:$O$400,MATCH($H203,SRC_Model!$A$5:$A$400,0)),IF(ISNUMBER(MATCH($H203,SRC_Perf!$A$5:$A$400,0)),INDEX(SRC_Perf!$O$5:$O$400,MATCH($H203,SRC_Perf!$A$5:$A$400,0)),"不存在")))))</f>
        <v>—</v>
      </c>
      <c r="T203" s="83" t="str">
        <f aca="false">IF(OR($H203="—",$H203=""),"—",IF(ISNUMBER(MATCH($H203,SRC_HW!$A$5:$A$400,0)),INDEX(SRC_HW!$K$5:$K$400,MATCH($H203,SRC_HW!$A$5:$A$400,0)),IF(ISNUMBER(MATCH($H203,SRC_DC!$A$5:$A$400,0)),INDEX(SRC_DC!$K$5:$K$400,MATCH($H203,SRC_DC!$A$5:$A$400,0)),IF(ISNUMBER(MATCH($H203,SRC_Model!$A$5:$A$400,0)),INDEX(SRC_Model!$K$5:$K$400,MATCH($H203,SRC_Model!$A$5:$A$400,0)),IF(ISNUMBER(MATCH($H203,SRC_Perf!$A$5:$A$400,0)),INDEX(SRC_Perf!$K$5:$K$400,MATCH($H203,SRC_Perf!$A$5:$A$400,0)),"不存在")))))</f>
        <v>—</v>
      </c>
      <c r="U203" s="52" t="s">
        <v>2302</v>
      </c>
      <c r="V203" s="103" t="n">
        <f aca="false">IF(AND($F203="原始數據",$U203&lt;&gt;"連結 SRC"),1,0)</f>
        <v>0</v>
      </c>
      <c r="W203" s="103" t="n">
        <f aca="false">IF(AND($F203="Analogy",OR($H203="—",$H203="")),1,0)</f>
        <v>0</v>
      </c>
      <c r="X203" s="103" t="n">
        <f aca="false">IF(AND(OR($F203="Analogy",$F203="Assumed"),$G203&lt;&gt;"低",$G203&lt;&gt;"高",NOT(ISNUMBER($K203)),NOT(ISNUMBER($L203)),OR($M203="—",$M203="")),1,0)</f>
        <v>0</v>
      </c>
      <c r="Y203" s="103" t="n">
        <f aca="false">IF(AND(OR($F203="Analogy",$F203="Assumed",$F203="Derived（待改公式）",$F203="Derived（公式）"),OR($N203="—",$N203="",$N203=0)),1,0)</f>
        <v>0</v>
      </c>
      <c r="Z203" s="103" t="n">
        <f aca="false">IF(AND($F203="Decision",OR($J203="—",$J203="")),1,0)</f>
        <v>0</v>
      </c>
      <c r="AA203" s="84" t="n">
        <f aca="false">IF(OR($J203="—",$J203=""),0,IF(COUNTIF(Decisions!$A$5:$A$300,$J203)=0,1,0))</f>
        <v>0</v>
      </c>
      <c r="AB203" s="103" t="n">
        <f aca="false">IF(AND($F203="原始數據",$S203&lt;&gt;"Active"),1,0)</f>
        <v>0</v>
      </c>
      <c r="AC203" s="103" t="n">
        <f aca="false">IF(AND(ISNUMBER($K203),ISNUMBER($L203),ISNUMBER($Q203)),IF(OR($Q203&lt;MIN($K203,$L203),$Q203&gt;MAX($K203,$L203)),1,0),0)</f>
        <v>0</v>
      </c>
      <c r="AD203" s="103" t="n">
        <f aca="false">IF(AND(ISNUMBER($T203),$P203="高"),IF($T203=3,1,0),0)</f>
        <v>0</v>
      </c>
      <c r="AE203" s="103" t="n">
        <f aca="false">IF(AND($S203="不存在",$B203="切片一"),1,0)</f>
        <v>0</v>
      </c>
    </row>
    <row r="204" customFormat="false" ht="15" hidden="false" customHeight="false" outlineLevel="0" collapsed="false">
      <c r="A204" s="53" t="s">
        <v>2814</v>
      </c>
      <c r="B204" s="52" t="s">
        <v>2297</v>
      </c>
      <c r="C204" s="53" t="s">
        <v>2762</v>
      </c>
      <c r="D204" s="53" t="s">
        <v>2507</v>
      </c>
      <c r="E204" s="6" t="s">
        <v>236</v>
      </c>
      <c r="F204" s="53" t="s">
        <v>74</v>
      </c>
      <c r="G204" s="52" t="s">
        <v>2299</v>
      </c>
      <c r="H204" s="53" t="s">
        <v>2810</v>
      </c>
      <c r="I204" s="5" t="s">
        <v>2815</v>
      </c>
      <c r="J204" s="53" t="s">
        <v>554</v>
      </c>
      <c r="K204" s="128" t="n">
        <v>32</v>
      </c>
      <c r="L204" s="128" t="n">
        <v>128</v>
      </c>
      <c r="M204" s="53" t="s">
        <v>2816</v>
      </c>
      <c r="N204" s="204" t="str">
        <f aca="false">Arch!$G$10</f>
        <v>V4-Pro 128；V4-Flash 取 Pro 一半 [Analogy]</v>
      </c>
      <c r="O204" s="6" t="s">
        <v>554</v>
      </c>
      <c r="P204" s="52" t="s">
        <v>2364</v>
      </c>
      <c r="Q204" s="54" t="n">
        <f aca="false">Arch!C10</f>
        <v>64</v>
      </c>
      <c r="R204" s="83" t="n">
        <f aca="false">SRC_MOD_008</f>
        <v>128</v>
      </c>
      <c r="S204" s="83" t="str">
        <f aca="false">IF(OR($H204="—",$H204=""),"—",IF(ISNUMBER(MATCH($H204,SRC_HW!$A$5:$A$400,0)),INDEX(SRC_HW!$O$5:$O$400,MATCH($H204,SRC_HW!$A$5:$A$400,0)),IF(ISNUMBER(MATCH($H204,SRC_DC!$A$5:$A$400,0)),INDEX(SRC_DC!$O$5:$O$400,MATCH($H204,SRC_DC!$A$5:$A$400,0)),IF(ISNUMBER(MATCH($H204,SRC_Model!$A$5:$A$400,0)),INDEX(SRC_Model!$O$5:$O$400,MATCH($H204,SRC_Model!$A$5:$A$400,0)),IF(ISNUMBER(MATCH($H204,SRC_Perf!$A$5:$A$400,0)),INDEX(SRC_Perf!$O$5:$O$400,MATCH($H204,SRC_Perf!$A$5:$A$400,0)),"不存在")))))</f>
        <v>Active</v>
      </c>
      <c r="T204" s="83" t="n">
        <f aca="false">IF(OR($H204="—",$H204=""),"—",IF(ISNUMBER(MATCH($H204,SRC_HW!$A$5:$A$400,0)),INDEX(SRC_HW!$K$5:$K$400,MATCH($H204,SRC_HW!$A$5:$A$400,0)),IF(ISNUMBER(MATCH($H204,SRC_DC!$A$5:$A$400,0)),INDEX(SRC_DC!$K$5:$K$400,MATCH($H204,SRC_DC!$A$5:$A$400,0)),IF(ISNUMBER(MATCH($H204,SRC_Model!$A$5:$A$400,0)),INDEX(SRC_Model!$K$5:$K$400,MATCH($H204,SRC_Model!$A$5:$A$400,0)),IF(ISNUMBER(MATCH($H204,SRC_Perf!$A$5:$A$400,0)),INDEX(SRC_Perf!$K$5:$K$400,MATCH($H204,SRC_Perf!$A$5:$A$400,0)),"不存在")))))</f>
        <v>3</v>
      </c>
      <c r="U204" s="52" t="s">
        <v>2302</v>
      </c>
      <c r="V204" s="103" t="n">
        <f aca="false">IF(AND($F204="原始數據",$U204&lt;&gt;"連結 SRC"),1,0)</f>
        <v>0</v>
      </c>
      <c r="W204" s="103" t="n">
        <f aca="false">IF(AND($F204="Analogy",OR($H204="—",$H204="")),1,0)</f>
        <v>0</v>
      </c>
      <c r="X204" s="103" t="n">
        <f aca="false">IF(AND(OR($F204="Analogy",$F204="Assumed"),$G204&lt;&gt;"低",$G204&lt;&gt;"高",NOT(ISNUMBER($K204)),NOT(ISNUMBER($L204)),OR($M204="—",$M204="")),1,0)</f>
        <v>0</v>
      </c>
      <c r="Y204" s="103" t="n">
        <f aca="false">IF(AND(OR($F204="Analogy",$F204="Assumed",$F204="Derived（待改公式）",$F204="Derived（公式）"),OR($N204="—",$N204="",$N204=0)),1,0)</f>
        <v>0</v>
      </c>
      <c r="Z204" s="103" t="n">
        <f aca="false">IF(AND($F204="Decision",OR($J204="—",$J204="")),1,0)</f>
        <v>0</v>
      </c>
      <c r="AA204" s="84" t="n">
        <f aca="false">IF(OR($J204="—",$J204=""),0,IF(COUNTIF(Decisions!$A$5:$A$300,$J204)=0,1,0))</f>
        <v>0</v>
      </c>
      <c r="AB204" s="103" t="n">
        <f aca="false">IF(AND($F204="原始數據",$S204&lt;&gt;"Active"),1,0)</f>
        <v>0</v>
      </c>
      <c r="AC204" s="103" t="n">
        <f aca="false">IF(AND(ISNUMBER($K204),ISNUMBER($L204),ISNUMBER($Q204)),IF(OR($Q204&lt;MIN($K204,$L204),$Q204&gt;MAX($K204,$L204)),1,0),0)</f>
        <v>0</v>
      </c>
      <c r="AD204" s="103" t="n">
        <f aca="false">IF(AND(ISNUMBER($T204),$P204="高"),IF($T204=3,1,0),0)</f>
        <v>0</v>
      </c>
      <c r="AE204" s="103" t="n">
        <f aca="false">IF(AND($S204="不存在",$B204="切片一"),1,0)</f>
        <v>0</v>
      </c>
    </row>
    <row r="205" customFormat="false" ht="29.85" hidden="false" customHeight="false" outlineLevel="0" collapsed="false">
      <c r="A205" s="53" t="s">
        <v>2817</v>
      </c>
      <c r="B205" s="52" t="s">
        <v>2297</v>
      </c>
      <c r="C205" s="53" t="s">
        <v>2762</v>
      </c>
      <c r="D205" s="53" t="s">
        <v>2818</v>
      </c>
      <c r="E205" s="5" t="s">
        <v>247</v>
      </c>
      <c r="F205" s="52" t="s">
        <v>2337</v>
      </c>
      <c r="G205" s="52" t="s">
        <v>2299</v>
      </c>
      <c r="H205" s="53" t="s">
        <v>2819</v>
      </c>
      <c r="I205" s="5" t="s">
        <v>2627</v>
      </c>
      <c r="J205" s="53" t="s">
        <v>554</v>
      </c>
      <c r="K205" s="52"/>
      <c r="L205" s="52"/>
      <c r="M205" s="53" t="s">
        <v>554</v>
      </c>
      <c r="N205" s="5" t="s">
        <v>2340</v>
      </c>
      <c r="O205" s="6" t="s">
        <v>554</v>
      </c>
      <c r="P205" s="52" t="s">
        <v>2364</v>
      </c>
      <c r="Q205" s="54" t="n">
        <f aca="false">Arch!C17</f>
        <v>4224</v>
      </c>
      <c r="R205" s="83" t="n">
        <f aca="false">SRC_MOD_018</f>
        <v>1024</v>
      </c>
      <c r="S205" s="83" t="str">
        <f aca="false">IF(OR($H205="—",$H205=""),"—",IF(ISNUMBER(MATCH($H205,SRC_HW!$A$5:$A$400,0)),INDEX(SRC_HW!$O$5:$O$400,MATCH($H205,SRC_HW!$A$5:$A$400,0)),IF(ISNUMBER(MATCH($H205,SRC_DC!$A$5:$A$400,0)),INDEX(SRC_DC!$O$5:$O$400,MATCH($H205,SRC_DC!$A$5:$A$400,0)),IF(ISNUMBER(MATCH($H205,SRC_Model!$A$5:$A$400,0)),INDEX(SRC_Model!$O$5:$O$400,MATCH($H205,SRC_Model!$A$5:$A$400,0)),IF(ISNUMBER(MATCH($H205,SRC_Perf!$A$5:$A$400,0)),INDEX(SRC_Perf!$O$5:$O$400,MATCH($H205,SRC_Perf!$A$5:$A$400,0)),"不存在")))))</f>
        <v>Active</v>
      </c>
      <c r="T205" s="83" t="n">
        <f aca="false">IF(OR($H205="—",$H205=""),"—",IF(ISNUMBER(MATCH($H205,SRC_HW!$A$5:$A$400,0)),INDEX(SRC_HW!$K$5:$K$400,MATCH($H205,SRC_HW!$A$5:$A$400,0)),IF(ISNUMBER(MATCH($H205,SRC_DC!$A$5:$A$400,0)),INDEX(SRC_DC!$K$5:$K$400,MATCH($H205,SRC_DC!$A$5:$A$400,0)),IF(ISNUMBER(MATCH($H205,SRC_Model!$A$5:$A$400,0)),INDEX(SRC_Model!$K$5:$K$400,MATCH($H205,SRC_Model!$A$5:$A$400,0)),IF(ISNUMBER(MATCH($H205,SRC_Perf!$A$5:$A$400,0)),INDEX(SRC_Perf!$K$5:$K$400,MATCH($H205,SRC_Perf!$A$5:$A$400,0)),"不存在")))))</f>
        <v>3</v>
      </c>
      <c r="U205" s="52" t="s">
        <v>2341</v>
      </c>
      <c r="V205" s="103" t="n">
        <f aca="false">IF(AND($F205="原始數據",$U205&lt;&gt;"連結 SRC"),1,0)</f>
        <v>0</v>
      </c>
      <c r="W205" s="103" t="n">
        <f aca="false">IF(AND($F205="Analogy",OR($H205="—",$H205="")),1,0)</f>
        <v>0</v>
      </c>
      <c r="X205" s="103" t="n">
        <f aca="false">IF(AND(OR($F205="Analogy",$F205="Assumed"),$G205&lt;&gt;"低",$G205&lt;&gt;"高",NOT(ISNUMBER($K205)),NOT(ISNUMBER($L205)),OR($M205="—",$M205="")),1,0)</f>
        <v>0</v>
      </c>
      <c r="Y205" s="103" t="n">
        <f aca="false">IF(AND(OR($F205="Analogy",$F205="Assumed",$F205="Derived（待改公式）",$F205="Derived（公式）"),OR($N205="—",$N205="",$N205=0)),1,0)</f>
        <v>0</v>
      </c>
      <c r="Z205" s="103" t="n">
        <f aca="false">IF(AND($F205="Decision",OR($J205="—",$J205="")),1,0)</f>
        <v>0</v>
      </c>
      <c r="AA205" s="84" t="n">
        <f aca="false">IF(OR($J205="—",$J205=""),0,IF(COUNTIF(Decisions!$A$5:$A$300,$J205)=0,1,0))</f>
        <v>0</v>
      </c>
      <c r="AB205" s="103" t="n">
        <f aca="false">IF(AND($F205="原始數據",$S205&lt;&gt;"Active"),1,0)</f>
        <v>0</v>
      </c>
      <c r="AC205" s="103" t="n">
        <f aca="false">IF(AND(ISNUMBER($K205),ISNUMBER($L205),ISNUMBER($Q205)),IF(OR($Q205&lt;MIN($K205,$L205),$Q205&gt;MAX($K205,$L205)),1,0),0)</f>
        <v>0</v>
      </c>
      <c r="AD205" s="103" t="n">
        <f aca="false">IF(AND(ISNUMBER($T205),$P205="高"),IF($T205=3,1,0),0)</f>
        <v>0</v>
      </c>
      <c r="AE205" s="103" t="n">
        <f aca="false">IF(AND($S205="不存在",$B205="切片一"),1,0)</f>
        <v>0</v>
      </c>
    </row>
    <row r="206" customFormat="false" ht="29.85" hidden="false" customHeight="false" outlineLevel="0" collapsed="false">
      <c r="A206" s="53" t="s">
        <v>2820</v>
      </c>
      <c r="B206" s="52" t="s">
        <v>2297</v>
      </c>
      <c r="C206" s="53" t="s">
        <v>2762</v>
      </c>
      <c r="D206" s="53" t="s">
        <v>2357</v>
      </c>
      <c r="E206" s="5" t="s">
        <v>247</v>
      </c>
      <c r="F206" s="52" t="s">
        <v>2337</v>
      </c>
      <c r="G206" s="52" t="s">
        <v>2299</v>
      </c>
      <c r="H206" s="53" t="s">
        <v>2819</v>
      </c>
      <c r="I206" s="5" t="s">
        <v>2627</v>
      </c>
      <c r="J206" s="53" t="s">
        <v>554</v>
      </c>
      <c r="K206" s="52"/>
      <c r="L206" s="52"/>
      <c r="M206" s="53" t="s">
        <v>554</v>
      </c>
      <c r="N206" s="5" t="s">
        <v>2340</v>
      </c>
      <c r="O206" s="6" t="s">
        <v>554</v>
      </c>
      <c r="P206" s="52" t="s">
        <v>2364</v>
      </c>
      <c r="Q206" s="54" t="n">
        <f aca="false">Arch!D17</f>
        <v>4224</v>
      </c>
      <c r="R206" s="83" t="n">
        <f aca="false">SRC_MOD_018</f>
        <v>1024</v>
      </c>
      <c r="S206" s="83" t="str">
        <f aca="false">IF(OR($H206="—",$H206=""),"—",IF(ISNUMBER(MATCH($H206,SRC_HW!$A$5:$A$400,0)),INDEX(SRC_HW!$O$5:$O$400,MATCH($H206,SRC_HW!$A$5:$A$400,0)),IF(ISNUMBER(MATCH($H206,SRC_DC!$A$5:$A$400,0)),INDEX(SRC_DC!$O$5:$O$400,MATCH($H206,SRC_DC!$A$5:$A$400,0)),IF(ISNUMBER(MATCH($H206,SRC_Model!$A$5:$A$400,0)),INDEX(SRC_Model!$O$5:$O$400,MATCH($H206,SRC_Model!$A$5:$A$400,0)),IF(ISNUMBER(MATCH($H206,SRC_Perf!$A$5:$A$400,0)),INDEX(SRC_Perf!$O$5:$O$400,MATCH($H206,SRC_Perf!$A$5:$A$400,0)),"不存在")))))</f>
        <v>Active</v>
      </c>
      <c r="T206" s="83" t="n">
        <f aca="false">IF(OR($H206="—",$H206=""),"—",IF(ISNUMBER(MATCH($H206,SRC_HW!$A$5:$A$400,0)),INDEX(SRC_HW!$K$5:$K$400,MATCH($H206,SRC_HW!$A$5:$A$400,0)),IF(ISNUMBER(MATCH($H206,SRC_DC!$A$5:$A$400,0)),INDEX(SRC_DC!$K$5:$K$400,MATCH($H206,SRC_DC!$A$5:$A$400,0)),IF(ISNUMBER(MATCH($H206,SRC_Model!$A$5:$A$400,0)),INDEX(SRC_Model!$K$5:$K$400,MATCH($H206,SRC_Model!$A$5:$A$400,0)),IF(ISNUMBER(MATCH($H206,SRC_Perf!$A$5:$A$400,0)),INDEX(SRC_Perf!$K$5:$K$400,MATCH($H206,SRC_Perf!$A$5:$A$400,0)),"不存在")))))</f>
        <v>3</v>
      </c>
      <c r="U206" s="52" t="s">
        <v>2341</v>
      </c>
      <c r="V206" s="103" t="n">
        <f aca="false">IF(AND($F206="原始數據",$U206&lt;&gt;"連結 SRC"),1,0)</f>
        <v>0</v>
      </c>
      <c r="W206" s="103" t="n">
        <f aca="false">IF(AND($F206="Analogy",OR($H206="—",$H206="")),1,0)</f>
        <v>0</v>
      </c>
      <c r="X206" s="103" t="n">
        <f aca="false">IF(AND(OR($F206="Analogy",$F206="Assumed"),$G206&lt;&gt;"低",$G206&lt;&gt;"高",NOT(ISNUMBER($K206)),NOT(ISNUMBER($L206)),OR($M206="—",$M206="")),1,0)</f>
        <v>0</v>
      </c>
      <c r="Y206" s="103" t="n">
        <f aca="false">IF(AND(OR($F206="Analogy",$F206="Assumed",$F206="Derived（待改公式）",$F206="Derived（公式）"),OR($N206="—",$N206="",$N206=0)),1,0)</f>
        <v>0</v>
      </c>
      <c r="Z206" s="103" t="n">
        <f aca="false">IF(AND($F206="Decision",OR($J206="—",$J206="")),1,0)</f>
        <v>0</v>
      </c>
      <c r="AA206" s="84" t="n">
        <f aca="false">IF(OR($J206="—",$J206=""),0,IF(COUNTIF(Decisions!$A$5:$A$300,$J206)=0,1,0))</f>
        <v>0</v>
      </c>
      <c r="AB206" s="103" t="n">
        <f aca="false">IF(AND($F206="原始數據",$S206&lt;&gt;"Active"),1,0)</f>
        <v>0</v>
      </c>
      <c r="AC206" s="103" t="n">
        <f aca="false">IF(AND(ISNUMBER($K206),ISNUMBER($L206),ISNUMBER($Q206)),IF(OR($Q206&lt;MIN($K206,$L206),$Q206&gt;MAX($K206,$L206)),1,0),0)</f>
        <v>0</v>
      </c>
      <c r="AD206" s="103" t="n">
        <f aca="false">IF(AND(ISNUMBER($T206),$P206="高"),IF($T206=3,1,0),0)</f>
        <v>0</v>
      </c>
      <c r="AE206" s="103" t="n">
        <f aca="false">IF(AND($S206="不存在",$B206="切片一"),1,0)</f>
        <v>0</v>
      </c>
    </row>
    <row r="207" customFormat="false" ht="41" hidden="false" customHeight="false" outlineLevel="0" collapsed="false">
      <c r="A207" s="53" t="s">
        <v>2821</v>
      </c>
      <c r="B207" s="52" t="s">
        <v>2297</v>
      </c>
      <c r="C207" s="53" t="s">
        <v>2762</v>
      </c>
      <c r="D207" s="53" t="s">
        <v>2213</v>
      </c>
      <c r="E207" s="5" t="s">
        <v>224</v>
      </c>
      <c r="F207" s="53" t="s">
        <v>70</v>
      </c>
      <c r="G207" s="52" t="s">
        <v>2299</v>
      </c>
      <c r="H207" s="53" t="s">
        <v>554</v>
      </c>
      <c r="I207" s="6" t="s">
        <v>554</v>
      </c>
      <c r="J207" s="53" t="s">
        <v>554</v>
      </c>
      <c r="K207" s="128" t="n">
        <v>2000</v>
      </c>
      <c r="L207" s="128" t="n">
        <v>10000</v>
      </c>
      <c r="M207" s="53" t="s">
        <v>2822</v>
      </c>
      <c r="N207" s="204" t="str">
        <f aca="false">Arch!$G$6</f>
        <v>V4-Flash 284B、V4-Pro 1.6T（模型卡，S27）；Astra 4T [Assumed，區間 2–10T]</v>
      </c>
      <c r="O207" s="6" t="s">
        <v>554</v>
      </c>
      <c r="P207" s="52" t="s">
        <v>2364</v>
      </c>
      <c r="Q207" s="54" t="n">
        <f aca="false">Arch!E6</f>
        <v>4000</v>
      </c>
      <c r="R207" s="53" t="s">
        <v>554</v>
      </c>
      <c r="S207" s="83" t="str">
        <f aca="false">IF(OR($H207="—",$H207=""),"—",IF(ISNUMBER(MATCH($H207,SRC_HW!$A$5:$A$400,0)),INDEX(SRC_HW!$O$5:$O$400,MATCH($H207,SRC_HW!$A$5:$A$400,0)),IF(ISNUMBER(MATCH($H207,SRC_DC!$A$5:$A$400,0)),INDEX(SRC_DC!$O$5:$O$400,MATCH($H207,SRC_DC!$A$5:$A$400,0)),IF(ISNUMBER(MATCH($H207,SRC_Model!$A$5:$A$400,0)),INDEX(SRC_Model!$O$5:$O$400,MATCH($H207,SRC_Model!$A$5:$A$400,0)),IF(ISNUMBER(MATCH($H207,SRC_Perf!$A$5:$A$400,0)),INDEX(SRC_Perf!$O$5:$O$400,MATCH($H207,SRC_Perf!$A$5:$A$400,0)),"不存在")))))</f>
        <v>—</v>
      </c>
      <c r="T207" s="83" t="str">
        <f aca="false">IF(OR($H207="—",$H207=""),"—",IF(ISNUMBER(MATCH($H207,SRC_HW!$A$5:$A$400,0)),INDEX(SRC_HW!$K$5:$K$400,MATCH($H207,SRC_HW!$A$5:$A$400,0)),IF(ISNUMBER(MATCH($H207,SRC_DC!$A$5:$A$400,0)),INDEX(SRC_DC!$K$5:$K$400,MATCH($H207,SRC_DC!$A$5:$A$400,0)),IF(ISNUMBER(MATCH($H207,SRC_Model!$A$5:$A$400,0)),INDEX(SRC_Model!$K$5:$K$400,MATCH($H207,SRC_Model!$A$5:$A$400,0)),IF(ISNUMBER(MATCH($H207,SRC_Perf!$A$5:$A$400,0)),INDEX(SRC_Perf!$K$5:$K$400,MATCH($H207,SRC_Perf!$A$5:$A$400,0)),"不存在")))))</f>
        <v>—</v>
      </c>
      <c r="U207" s="52" t="s">
        <v>2302</v>
      </c>
      <c r="V207" s="103" t="n">
        <f aca="false">IF(AND($F207="原始數據",$U207&lt;&gt;"連結 SRC"),1,0)</f>
        <v>0</v>
      </c>
      <c r="W207" s="103" t="n">
        <f aca="false">IF(AND($F207="Analogy",OR($H207="—",$H207="")),1,0)</f>
        <v>0</v>
      </c>
      <c r="X207" s="103" t="n">
        <f aca="false">IF(AND(OR($F207="Analogy",$F207="Assumed"),$G207&lt;&gt;"低",$G207&lt;&gt;"高",NOT(ISNUMBER($K207)),NOT(ISNUMBER($L207)),OR($M207="—",$M207="")),1,0)</f>
        <v>0</v>
      </c>
      <c r="Y207" s="103" t="n">
        <f aca="false">IF(AND(OR($F207="Analogy",$F207="Assumed",$F207="Derived（待改公式）",$F207="Derived（公式）"),OR($N207="—",$N207="",$N207=0)),1,0)</f>
        <v>0</v>
      </c>
      <c r="Z207" s="103" t="n">
        <f aca="false">IF(AND($F207="Decision",OR($J207="—",$J207="")),1,0)</f>
        <v>0</v>
      </c>
      <c r="AA207" s="84" t="n">
        <f aca="false">IF(OR($J207="—",$J207=""),0,IF(COUNTIF(Decisions!$A$5:$A$300,$J207)=0,1,0))</f>
        <v>0</v>
      </c>
      <c r="AB207" s="103" t="n">
        <f aca="false">IF(AND($F207="原始數據",$S207&lt;&gt;"Active"),1,0)</f>
        <v>0</v>
      </c>
      <c r="AC207" s="103" t="n">
        <f aca="false">IF(AND(ISNUMBER($K207),ISNUMBER($L207),ISNUMBER($Q207)),IF(OR($Q207&lt;MIN($K207,$L207),$Q207&gt;MAX($K207,$L207)),1,0),0)</f>
        <v>0</v>
      </c>
      <c r="AD207" s="103" t="n">
        <f aca="false">IF(AND(ISNUMBER($T207),$P207="高"),IF($T207=3,1,0),0)</f>
        <v>0</v>
      </c>
      <c r="AE207" s="103" t="n">
        <f aca="false">IF(AND($S207="不存在",$B207="切片一"),1,0)</f>
        <v>0</v>
      </c>
    </row>
    <row r="208" customFormat="false" ht="29.85" hidden="false" customHeight="false" outlineLevel="0" collapsed="false">
      <c r="A208" s="53" t="s">
        <v>2823</v>
      </c>
      <c r="B208" s="52" t="s">
        <v>2297</v>
      </c>
      <c r="C208" s="53" t="s">
        <v>2762</v>
      </c>
      <c r="D208" s="53" t="s">
        <v>2216</v>
      </c>
      <c r="E208" s="5" t="s">
        <v>228</v>
      </c>
      <c r="F208" s="53" t="s">
        <v>70</v>
      </c>
      <c r="G208" s="52" t="s">
        <v>2299</v>
      </c>
      <c r="H208" s="53" t="s">
        <v>554</v>
      </c>
      <c r="I208" s="6" t="s">
        <v>554</v>
      </c>
      <c r="J208" s="53" t="s">
        <v>554</v>
      </c>
      <c r="K208" s="128" t="n">
        <v>60</v>
      </c>
      <c r="L208" s="128" t="n">
        <v>250</v>
      </c>
      <c r="M208" s="53" t="s">
        <v>2824</v>
      </c>
      <c r="N208" s="204" t="str">
        <f aca="false">Arch!$G$7</f>
        <v>V4-Flash 13B、V4-Pro 49B；Astra 180B [Assumed，區間 60–250B]</v>
      </c>
      <c r="O208" s="6" t="s">
        <v>554</v>
      </c>
      <c r="P208" s="52" t="s">
        <v>1079</v>
      </c>
      <c r="Q208" s="54" t="n">
        <f aca="false">Arch!E7</f>
        <v>180</v>
      </c>
      <c r="R208" s="53" t="s">
        <v>554</v>
      </c>
      <c r="S208" s="83" t="str">
        <f aca="false">IF(OR($H208="—",$H208=""),"—",IF(ISNUMBER(MATCH($H208,SRC_HW!$A$5:$A$400,0)),INDEX(SRC_HW!$O$5:$O$400,MATCH($H208,SRC_HW!$A$5:$A$400,0)),IF(ISNUMBER(MATCH($H208,SRC_DC!$A$5:$A$400,0)),INDEX(SRC_DC!$O$5:$O$400,MATCH($H208,SRC_DC!$A$5:$A$400,0)),IF(ISNUMBER(MATCH($H208,SRC_Model!$A$5:$A$400,0)),INDEX(SRC_Model!$O$5:$O$400,MATCH($H208,SRC_Model!$A$5:$A$400,0)),IF(ISNUMBER(MATCH($H208,SRC_Perf!$A$5:$A$400,0)),INDEX(SRC_Perf!$O$5:$O$400,MATCH($H208,SRC_Perf!$A$5:$A$400,0)),"不存在")))))</f>
        <v>—</v>
      </c>
      <c r="T208" s="83" t="str">
        <f aca="false">IF(OR($H208="—",$H208=""),"—",IF(ISNUMBER(MATCH($H208,SRC_HW!$A$5:$A$400,0)),INDEX(SRC_HW!$K$5:$K$400,MATCH($H208,SRC_HW!$A$5:$A$400,0)),IF(ISNUMBER(MATCH($H208,SRC_DC!$A$5:$A$400,0)),INDEX(SRC_DC!$K$5:$K$400,MATCH($H208,SRC_DC!$A$5:$A$400,0)),IF(ISNUMBER(MATCH($H208,SRC_Model!$A$5:$A$400,0)),INDEX(SRC_Model!$K$5:$K$400,MATCH($H208,SRC_Model!$A$5:$A$400,0)),IF(ISNUMBER(MATCH($H208,SRC_Perf!$A$5:$A$400,0)),INDEX(SRC_Perf!$K$5:$K$400,MATCH($H208,SRC_Perf!$A$5:$A$400,0)),"不存在")))))</f>
        <v>—</v>
      </c>
      <c r="U208" s="52" t="s">
        <v>2302</v>
      </c>
      <c r="V208" s="103" t="n">
        <f aca="false">IF(AND($F208="原始數據",$U208&lt;&gt;"連結 SRC"),1,0)</f>
        <v>0</v>
      </c>
      <c r="W208" s="103" t="n">
        <f aca="false">IF(AND($F208="Analogy",OR($H208="—",$H208="")),1,0)</f>
        <v>0</v>
      </c>
      <c r="X208" s="103" t="n">
        <f aca="false">IF(AND(OR($F208="Analogy",$F208="Assumed"),$G208&lt;&gt;"低",$G208&lt;&gt;"高",NOT(ISNUMBER($K208)),NOT(ISNUMBER($L208)),OR($M208="—",$M208="")),1,0)</f>
        <v>0</v>
      </c>
      <c r="Y208" s="103" t="n">
        <f aca="false">IF(AND(OR($F208="Analogy",$F208="Assumed",$F208="Derived（待改公式）",$F208="Derived（公式）"),OR($N208="—",$N208="",$N208=0)),1,0)</f>
        <v>0</v>
      </c>
      <c r="Z208" s="103" t="n">
        <f aca="false">IF(AND($F208="Decision",OR($J208="—",$J208="")),1,0)</f>
        <v>0</v>
      </c>
      <c r="AA208" s="84" t="n">
        <f aca="false">IF(OR($J208="—",$J208=""),0,IF(COUNTIF(Decisions!$A$5:$A$300,$J208)=0,1,0))</f>
        <v>0</v>
      </c>
      <c r="AB208" s="103" t="n">
        <f aca="false">IF(AND($F208="原始數據",$S208&lt;&gt;"Active"),1,0)</f>
        <v>0</v>
      </c>
      <c r="AC208" s="103" t="n">
        <f aca="false">IF(AND(ISNUMBER($K208),ISNUMBER($L208),ISNUMBER($Q208)),IF(OR($Q208&lt;MIN($K208,$L208),$Q208&gt;MAX($K208,$L208)),1,0),0)</f>
        <v>0</v>
      </c>
      <c r="AD208" s="103" t="n">
        <f aca="false">IF(AND(ISNUMBER($T208),$P208="高"),IF($T208=3,1,0),0)</f>
        <v>0</v>
      </c>
      <c r="AE208" s="103" t="n">
        <f aca="false">IF(AND($S208="不存在",$B208="切片一"),1,0)</f>
        <v>0</v>
      </c>
    </row>
    <row r="209" customFormat="false" ht="15" hidden="false" customHeight="false" outlineLevel="0" collapsed="false">
      <c r="A209" s="53" t="s">
        <v>2825</v>
      </c>
      <c r="B209" s="52" t="s">
        <v>2297</v>
      </c>
      <c r="C209" s="53" t="s">
        <v>2762</v>
      </c>
      <c r="D209" s="53" t="s">
        <v>2219</v>
      </c>
      <c r="E209" s="5" t="s">
        <v>230</v>
      </c>
      <c r="F209" s="53" t="s">
        <v>70</v>
      </c>
      <c r="G209" s="52" t="s">
        <v>2299</v>
      </c>
      <c r="H209" s="53" t="s">
        <v>554</v>
      </c>
      <c r="I209" s="6" t="s">
        <v>554</v>
      </c>
      <c r="J209" s="53" t="s">
        <v>554</v>
      </c>
      <c r="K209" s="128" t="n">
        <v>80</v>
      </c>
      <c r="L209" s="128" t="n">
        <v>160</v>
      </c>
      <c r="M209" s="53" t="s">
        <v>2826</v>
      </c>
      <c r="N209" s="6" t="s">
        <v>2827</v>
      </c>
      <c r="O209" s="6" t="s">
        <v>554</v>
      </c>
      <c r="P209" s="52" t="s">
        <v>2364</v>
      </c>
      <c r="Q209" s="54" t="n">
        <f aca="false">Arch!E8</f>
        <v>100</v>
      </c>
      <c r="R209" s="53" t="s">
        <v>554</v>
      </c>
      <c r="S209" s="83" t="str">
        <f aca="false">IF(OR($H209="—",$H209=""),"—",IF(ISNUMBER(MATCH($H209,SRC_HW!$A$5:$A$400,0)),INDEX(SRC_HW!$O$5:$O$400,MATCH($H209,SRC_HW!$A$5:$A$400,0)),IF(ISNUMBER(MATCH($H209,SRC_DC!$A$5:$A$400,0)),INDEX(SRC_DC!$O$5:$O$400,MATCH($H209,SRC_DC!$A$5:$A$400,0)),IF(ISNUMBER(MATCH($H209,SRC_Model!$A$5:$A$400,0)),INDEX(SRC_Model!$O$5:$O$400,MATCH($H209,SRC_Model!$A$5:$A$400,0)),IF(ISNUMBER(MATCH($H209,SRC_Perf!$A$5:$A$400,0)),INDEX(SRC_Perf!$O$5:$O$400,MATCH($H209,SRC_Perf!$A$5:$A$400,0)),"不存在")))))</f>
        <v>—</v>
      </c>
      <c r="T209" s="83" t="str">
        <f aca="false">IF(OR($H209="—",$H209=""),"—",IF(ISNUMBER(MATCH($H209,SRC_HW!$A$5:$A$400,0)),INDEX(SRC_HW!$K$5:$K$400,MATCH($H209,SRC_HW!$A$5:$A$400,0)),IF(ISNUMBER(MATCH($H209,SRC_DC!$A$5:$A$400,0)),INDEX(SRC_DC!$K$5:$K$400,MATCH($H209,SRC_DC!$A$5:$A$400,0)),IF(ISNUMBER(MATCH($H209,SRC_Model!$A$5:$A$400,0)),INDEX(SRC_Model!$K$5:$K$400,MATCH($H209,SRC_Model!$A$5:$A$400,0)),IF(ISNUMBER(MATCH($H209,SRC_Perf!$A$5:$A$400,0)),INDEX(SRC_Perf!$K$5:$K$400,MATCH($H209,SRC_Perf!$A$5:$A$400,0)),"不存在")))))</f>
        <v>—</v>
      </c>
      <c r="U209" s="52" t="s">
        <v>2302</v>
      </c>
      <c r="V209" s="103" t="n">
        <f aca="false">IF(AND($F209="原始數據",$U209&lt;&gt;"連結 SRC"),1,0)</f>
        <v>0</v>
      </c>
      <c r="W209" s="103" t="n">
        <f aca="false">IF(AND($F209="Analogy",OR($H209="—",$H209="")),1,0)</f>
        <v>0</v>
      </c>
      <c r="X209" s="103" t="n">
        <f aca="false">IF(AND(OR($F209="Analogy",$F209="Assumed"),$G209&lt;&gt;"低",$G209&lt;&gt;"高",NOT(ISNUMBER($K209)),NOT(ISNUMBER($L209)),OR($M209="—",$M209="")),1,0)</f>
        <v>0</v>
      </c>
      <c r="Y209" s="103" t="n">
        <f aca="false">IF(AND(OR($F209="Analogy",$F209="Assumed",$F209="Derived（待改公式）",$F209="Derived（公式）"),OR($N209="—",$N209="",$N209=0)),1,0)</f>
        <v>0</v>
      </c>
      <c r="Z209" s="103" t="n">
        <f aca="false">IF(AND($F209="Decision",OR($J209="—",$J209="")),1,0)</f>
        <v>0</v>
      </c>
      <c r="AA209" s="84" t="n">
        <f aca="false">IF(OR($J209="—",$J209=""),0,IF(COUNTIF(Decisions!$A$5:$A$300,$J209)=0,1,0))</f>
        <v>0</v>
      </c>
      <c r="AB209" s="103" t="n">
        <f aca="false">IF(AND($F209="原始數據",$S209&lt;&gt;"Active"),1,0)</f>
        <v>0</v>
      </c>
      <c r="AC209" s="103" t="n">
        <f aca="false">IF(AND(ISNUMBER($K209),ISNUMBER($L209),ISNUMBER($Q209)),IF(OR($Q209&lt;MIN($K209,$L209),$Q209&gt;MAX($K209,$L209)),1,0),0)</f>
        <v>0</v>
      </c>
      <c r="AD209" s="103" t="n">
        <f aca="false">IF(AND(ISNUMBER($T209),$P209="高"),IF($T209=3,1,0),0)</f>
        <v>0</v>
      </c>
      <c r="AE209" s="103" t="n">
        <f aca="false">IF(AND($S209="不存在",$B209="切片一"),1,0)</f>
        <v>0</v>
      </c>
    </row>
    <row r="210" customFormat="false" ht="15" hidden="false" customHeight="false" outlineLevel="0" collapsed="false">
      <c r="A210" s="53" t="s">
        <v>2828</v>
      </c>
      <c r="B210" s="52" t="s">
        <v>2297</v>
      </c>
      <c r="C210" s="53" t="s">
        <v>2762</v>
      </c>
      <c r="D210" s="53" t="s">
        <v>2222</v>
      </c>
      <c r="E210" s="6" t="s">
        <v>233</v>
      </c>
      <c r="F210" s="53" t="s">
        <v>70</v>
      </c>
      <c r="G210" s="52" t="s">
        <v>2299</v>
      </c>
      <c r="H210" s="53" t="s">
        <v>554</v>
      </c>
      <c r="I210" s="6" t="s">
        <v>554</v>
      </c>
      <c r="J210" s="53" t="s">
        <v>554</v>
      </c>
      <c r="K210" s="128" t="n">
        <v>8192</v>
      </c>
      <c r="L210" s="128" t="n">
        <v>16384</v>
      </c>
      <c r="M210" s="53" t="s">
        <v>2829</v>
      </c>
      <c r="N210" s="6" t="s">
        <v>2827</v>
      </c>
      <c r="O210" s="6" t="s">
        <v>554</v>
      </c>
      <c r="P210" s="52" t="s">
        <v>2307</v>
      </c>
      <c r="Q210" s="54" t="n">
        <f aca="false">Arch!E9</f>
        <v>12288</v>
      </c>
      <c r="R210" s="53" t="s">
        <v>554</v>
      </c>
      <c r="S210" s="83" t="str">
        <f aca="false">IF(OR($H210="—",$H210=""),"—",IF(ISNUMBER(MATCH($H210,SRC_HW!$A$5:$A$400,0)),INDEX(SRC_HW!$O$5:$O$400,MATCH($H210,SRC_HW!$A$5:$A$400,0)),IF(ISNUMBER(MATCH($H210,SRC_DC!$A$5:$A$400,0)),INDEX(SRC_DC!$O$5:$O$400,MATCH($H210,SRC_DC!$A$5:$A$400,0)),IF(ISNUMBER(MATCH($H210,SRC_Model!$A$5:$A$400,0)),INDEX(SRC_Model!$O$5:$O$400,MATCH($H210,SRC_Model!$A$5:$A$400,0)),IF(ISNUMBER(MATCH($H210,SRC_Perf!$A$5:$A$400,0)),INDEX(SRC_Perf!$O$5:$O$400,MATCH($H210,SRC_Perf!$A$5:$A$400,0)),"不存在")))))</f>
        <v>—</v>
      </c>
      <c r="T210" s="83" t="str">
        <f aca="false">IF(OR($H210="—",$H210=""),"—",IF(ISNUMBER(MATCH($H210,SRC_HW!$A$5:$A$400,0)),INDEX(SRC_HW!$K$5:$K$400,MATCH($H210,SRC_HW!$A$5:$A$400,0)),IF(ISNUMBER(MATCH($H210,SRC_DC!$A$5:$A$400,0)),INDEX(SRC_DC!$K$5:$K$400,MATCH($H210,SRC_DC!$A$5:$A$400,0)),IF(ISNUMBER(MATCH($H210,SRC_Model!$A$5:$A$400,0)),INDEX(SRC_Model!$K$5:$K$400,MATCH($H210,SRC_Model!$A$5:$A$400,0)),IF(ISNUMBER(MATCH($H210,SRC_Perf!$A$5:$A$400,0)),INDEX(SRC_Perf!$K$5:$K$400,MATCH($H210,SRC_Perf!$A$5:$A$400,0)),"不存在")))))</f>
        <v>—</v>
      </c>
      <c r="U210" s="52" t="s">
        <v>2302</v>
      </c>
      <c r="V210" s="103" t="n">
        <f aca="false">IF(AND($F210="原始數據",$U210&lt;&gt;"連結 SRC"),1,0)</f>
        <v>0</v>
      </c>
      <c r="W210" s="103" t="n">
        <f aca="false">IF(AND($F210="Analogy",OR($H210="—",$H210="")),1,0)</f>
        <v>0</v>
      </c>
      <c r="X210" s="103" t="n">
        <f aca="false">IF(AND(OR($F210="Analogy",$F210="Assumed"),$G210&lt;&gt;"低",$G210&lt;&gt;"高",NOT(ISNUMBER($K210)),NOT(ISNUMBER($L210)),OR($M210="—",$M210="")),1,0)</f>
        <v>0</v>
      </c>
      <c r="Y210" s="103" t="n">
        <f aca="false">IF(AND(OR($F210="Analogy",$F210="Assumed",$F210="Derived（待改公式）",$F210="Derived（公式）"),OR($N210="—",$N210="",$N210=0)),1,0)</f>
        <v>0</v>
      </c>
      <c r="Z210" s="103" t="n">
        <f aca="false">IF(AND($F210="Decision",OR($J210="—",$J210="")),1,0)</f>
        <v>0</v>
      </c>
      <c r="AA210" s="84" t="n">
        <f aca="false">IF(OR($J210="—",$J210=""),0,IF(COUNTIF(Decisions!$A$5:$A$300,$J210)=0,1,0))</f>
        <v>0</v>
      </c>
      <c r="AB210" s="103" t="n">
        <f aca="false">IF(AND($F210="原始數據",$S210&lt;&gt;"Active"),1,0)</f>
        <v>0</v>
      </c>
      <c r="AC210" s="103" t="n">
        <f aca="false">IF(AND(ISNUMBER($K210),ISNUMBER($L210),ISNUMBER($Q210)),IF(OR($Q210&lt;MIN($K210,$L210),$Q210&gt;MAX($K210,$L210)),1,0),0)</f>
        <v>0</v>
      </c>
      <c r="AD210" s="103" t="n">
        <f aca="false">IF(AND(ISNUMBER($T210),$P210="高"),IF($T210=3,1,0),0)</f>
        <v>0</v>
      </c>
      <c r="AE210" s="103" t="n">
        <f aca="false">IF(AND($S210="不存在",$B210="切片一"),1,0)</f>
        <v>0</v>
      </c>
    </row>
    <row r="211" customFormat="false" ht="15" hidden="false" customHeight="false" outlineLevel="0" collapsed="false">
      <c r="A211" s="53" t="s">
        <v>2830</v>
      </c>
      <c r="B211" s="52" t="s">
        <v>2297</v>
      </c>
      <c r="C211" s="53" t="s">
        <v>2762</v>
      </c>
      <c r="D211" s="53" t="s">
        <v>2225</v>
      </c>
      <c r="E211" s="6" t="s">
        <v>236</v>
      </c>
      <c r="F211" s="53" t="s">
        <v>70</v>
      </c>
      <c r="G211" s="52" t="s">
        <v>2299</v>
      </c>
      <c r="H211" s="53" t="s">
        <v>554</v>
      </c>
      <c r="I211" s="6" t="s">
        <v>554</v>
      </c>
      <c r="J211" s="53" t="s">
        <v>554</v>
      </c>
      <c r="K211" s="128" t="n">
        <v>64</v>
      </c>
      <c r="L211" s="128" t="n">
        <v>128</v>
      </c>
      <c r="M211" s="53" t="s">
        <v>2831</v>
      </c>
      <c r="N211" s="6" t="s">
        <v>2827</v>
      </c>
      <c r="O211" s="6" t="s">
        <v>554</v>
      </c>
      <c r="P211" s="52" t="s">
        <v>2364</v>
      </c>
      <c r="Q211" s="54" t="n">
        <f aca="false">Arch!E10</f>
        <v>96</v>
      </c>
      <c r="R211" s="53" t="s">
        <v>554</v>
      </c>
      <c r="S211" s="83" t="str">
        <f aca="false">IF(OR($H211="—",$H211=""),"—",IF(ISNUMBER(MATCH($H211,SRC_HW!$A$5:$A$400,0)),INDEX(SRC_HW!$O$5:$O$400,MATCH($H211,SRC_HW!$A$5:$A$400,0)),IF(ISNUMBER(MATCH($H211,SRC_DC!$A$5:$A$400,0)),INDEX(SRC_DC!$O$5:$O$400,MATCH($H211,SRC_DC!$A$5:$A$400,0)),IF(ISNUMBER(MATCH($H211,SRC_Model!$A$5:$A$400,0)),INDEX(SRC_Model!$O$5:$O$400,MATCH($H211,SRC_Model!$A$5:$A$400,0)),IF(ISNUMBER(MATCH($H211,SRC_Perf!$A$5:$A$400,0)),INDEX(SRC_Perf!$O$5:$O$400,MATCH($H211,SRC_Perf!$A$5:$A$400,0)),"不存在")))))</f>
        <v>—</v>
      </c>
      <c r="T211" s="83" t="str">
        <f aca="false">IF(OR($H211="—",$H211=""),"—",IF(ISNUMBER(MATCH($H211,SRC_HW!$A$5:$A$400,0)),INDEX(SRC_HW!$K$5:$K$400,MATCH($H211,SRC_HW!$A$5:$A$400,0)),IF(ISNUMBER(MATCH($H211,SRC_DC!$A$5:$A$400,0)),INDEX(SRC_DC!$K$5:$K$400,MATCH($H211,SRC_DC!$A$5:$A$400,0)),IF(ISNUMBER(MATCH($H211,SRC_Model!$A$5:$A$400,0)),INDEX(SRC_Model!$K$5:$K$400,MATCH($H211,SRC_Model!$A$5:$A$400,0)),IF(ISNUMBER(MATCH($H211,SRC_Perf!$A$5:$A$400,0)),INDEX(SRC_Perf!$K$5:$K$400,MATCH($H211,SRC_Perf!$A$5:$A$400,0)),"不存在")))))</f>
        <v>—</v>
      </c>
      <c r="U211" s="52" t="s">
        <v>2302</v>
      </c>
      <c r="V211" s="103" t="n">
        <f aca="false">IF(AND($F211="原始數據",$U211&lt;&gt;"連結 SRC"),1,0)</f>
        <v>0</v>
      </c>
      <c r="W211" s="103" t="n">
        <f aca="false">IF(AND($F211="Analogy",OR($H211="—",$H211="")),1,0)</f>
        <v>0</v>
      </c>
      <c r="X211" s="103" t="n">
        <f aca="false">IF(AND(OR($F211="Analogy",$F211="Assumed"),$G211&lt;&gt;"低",$G211&lt;&gt;"高",NOT(ISNUMBER($K211)),NOT(ISNUMBER($L211)),OR($M211="—",$M211="")),1,0)</f>
        <v>0</v>
      </c>
      <c r="Y211" s="103" t="n">
        <f aca="false">IF(AND(OR($F211="Analogy",$F211="Assumed",$F211="Derived（待改公式）",$F211="Derived（公式）"),OR($N211="—",$N211="",$N211=0)),1,0)</f>
        <v>0</v>
      </c>
      <c r="Z211" s="103" t="n">
        <f aca="false">IF(AND($F211="Decision",OR($J211="—",$J211="")),1,0)</f>
        <v>0</v>
      </c>
      <c r="AA211" s="84" t="n">
        <f aca="false">IF(OR($J211="—",$J211=""),0,IF(COUNTIF(Decisions!$A$5:$A$300,$J211)=0,1,0))</f>
        <v>0</v>
      </c>
      <c r="AB211" s="103" t="n">
        <f aca="false">IF(AND($F211="原始數據",$S211&lt;&gt;"Active"),1,0)</f>
        <v>0</v>
      </c>
      <c r="AC211" s="103" t="n">
        <f aca="false">IF(AND(ISNUMBER($K211),ISNUMBER($L211),ISNUMBER($Q211)),IF(OR($Q211&lt;MIN($K211,$L211),$Q211&gt;MAX($K211,$L211)),1,0),0)</f>
        <v>0</v>
      </c>
      <c r="AD211" s="103" t="n">
        <f aca="false">IF(AND(ISNUMBER($T211),$P211="高"),IF($T211=3,1,0),0)</f>
        <v>0</v>
      </c>
      <c r="AE211" s="103" t="n">
        <f aca="false">IF(AND($S211="不存在",$B211="切片一"),1,0)</f>
        <v>0</v>
      </c>
    </row>
    <row r="212" customFormat="false" ht="15" hidden="false" customHeight="false" outlineLevel="0" collapsed="false">
      <c r="A212" s="53" t="s">
        <v>2832</v>
      </c>
      <c r="B212" s="52" t="s">
        <v>2297</v>
      </c>
      <c r="C212" s="53" t="s">
        <v>2762</v>
      </c>
      <c r="D212" s="53" t="s">
        <v>2228</v>
      </c>
      <c r="E212" s="6" t="s">
        <v>239</v>
      </c>
      <c r="F212" s="53" t="s">
        <v>70</v>
      </c>
      <c r="G212" s="52" t="s">
        <v>2299</v>
      </c>
      <c r="H212" s="53" t="s">
        <v>554</v>
      </c>
      <c r="I212" s="6" t="s">
        <v>554</v>
      </c>
      <c r="J212" s="53" t="s">
        <v>554</v>
      </c>
      <c r="K212" s="128" t="n">
        <v>128</v>
      </c>
      <c r="L212" s="128" t="n">
        <v>192</v>
      </c>
      <c r="M212" s="53" t="s">
        <v>2833</v>
      </c>
      <c r="N212" s="6" t="s">
        <v>2827</v>
      </c>
      <c r="O212" s="6" t="s">
        <v>554</v>
      </c>
      <c r="P212" s="52" t="s">
        <v>2364</v>
      </c>
      <c r="Q212" s="54" t="n">
        <f aca="false">Arch!E11</f>
        <v>128</v>
      </c>
      <c r="R212" s="53" t="s">
        <v>554</v>
      </c>
      <c r="S212" s="83" t="str">
        <f aca="false">IF(OR($H212="—",$H212=""),"—",IF(ISNUMBER(MATCH($H212,SRC_HW!$A$5:$A$400,0)),INDEX(SRC_HW!$O$5:$O$400,MATCH($H212,SRC_HW!$A$5:$A$400,0)),IF(ISNUMBER(MATCH($H212,SRC_DC!$A$5:$A$400,0)),INDEX(SRC_DC!$O$5:$O$400,MATCH($H212,SRC_DC!$A$5:$A$400,0)),IF(ISNUMBER(MATCH($H212,SRC_Model!$A$5:$A$400,0)),INDEX(SRC_Model!$O$5:$O$400,MATCH($H212,SRC_Model!$A$5:$A$400,0)),IF(ISNUMBER(MATCH($H212,SRC_Perf!$A$5:$A$400,0)),INDEX(SRC_Perf!$O$5:$O$400,MATCH($H212,SRC_Perf!$A$5:$A$400,0)),"不存在")))))</f>
        <v>—</v>
      </c>
      <c r="T212" s="83" t="str">
        <f aca="false">IF(OR($H212="—",$H212=""),"—",IF(ISNUMBER(MATCH($H212,SRC_HW!$A$5:$A$400,0)),INDEX(SRC_HW!$K$5:$K$400,MATCH($H212,SRC_HW!$A$5:$A$400,0)),IF(ISNUMBER(MATCH($H212,SRC_DC!$A$5:$A$400,0)),INDEX(SRC_DC!$K$5:$K$400,MATCH($H212,SRC_DC!$A$5:$A$400,0)),IF(ISNUMBER(MATCH($H212,SRC_Model!$A$5:$A$400,0)),INDEX(SRC_Model!$K$5:$K$400,MATCH($H212,SRC_Model!$A$5:$A$400,0)),IF(ISNUMBER(MATCH($H212,SRC_Perf!$A$5:$A$400,0)),INDEX(SRC_Perf!$K$5:$K$400,MATCH($H212,SRC_Perf!$A$5:$A$400,0)),"不存在")))))</f>
        <v>—</v>
      </c>
      <c r="U212" s="52" t="s">
        <v>2302</v>
      </c>
      <c r="V212" s="103" t="n">
        <f aca="false">IF(AND($F212="原始數據",$U212&lt;&gt;"連結 SRC"),1,0)</f>
        <v>0</v>
      </c>
      <c r="W212" s="103" t="n">
        <f aca="false">IF(AND($F212="Analogy",OR($H212="—",$H212="")),1,0)</f>
        <v>0</v>
      </c>
      <c r="X212" s="103" t="n">
        <f aca="false">IF(AND(OR($F212="Analogy",$F212="Assumed"),$G212&lt;&gt;"低",$G212&lt;&gt;"高",NOT(ISNUMBER($K212)),NOT(ISNUMBER($L212)),OR($M212="—",$M212="")),1,0)</f>
        <v>0</v>
      </c>
      <c r="Y212" s="103" t="n">
        <f aca="false">IF(AND(OR($F212="Analogy",$F212="Assumed",$F212="Derived（待改公式）",$F212="Derived（公式）"),OR($N212="—",$N212="",$N212=0)),1,0)</f>
        <v>0</v>
      </c>
      <c r="Z212" s="103" t="n">
        <f aca="false">IF(AND($F212="Decision",OR($J212="—",$J212="")),1,0)</f>
        <v>0</v>
      </c>
      <c r="AA212" s="84" t="n">
        <f aca="false">IF(OR($J212="—",$J212=""),0,IF(COUNTIF(Decisions!$A$5:$A$300,$J212)=0,1,0))</f>
        <v>0</v>
      </c>
      <c r="AB212" s="103" t="n">
        <f aca="false">IF(AND($F212="原始數據",$S212&lt;&gt;"Active"),1,0)</f>
        <v>0</v>
      </c>
      <c r="AC212" s="103" t="n">
        <f aca="false">IF(AND(ISNUMBER($K212),ISNUMBER($L212),ISNUMBER($Q212)),IF(OR($Q212&lt;MIN($K212,$L212),$Q212&gt;MAX($K212,$L212)),1,0),0)</f>
        <v>0</v>
      </c>
      <c r="AD212" s="103" t="n">
        <f aca="false">IF(AND(ISNUMBER($T212),$P212="高"),IF($T212=3,1,0),0)</f>
        <v>0</v>
      </c>
      <c r="AE212" s="103" t="n">
        <f aca="false">IF(AND($S212="不存在",$B212="切片一"),1,0)</f>
        <v>0</v>
      </c>
    </row>
    <row r="213" customFormat="false" ht="15" hidden="false" customHeight="false" outlineLevel="0" collapsed="false">
      <c r="A213" s="53" t="s">
        <v>2834</v>
      </c>
      <c r="B213" s="52" t="s">
        <v>2297</v>
      </c>
      <c r="C213" s="53" t="s">
        <v>2762</v>
      </c>
      <c r="D213" s="53" t="s">
        <v>2231</v>
      </c>
      <c r="E213" s="6" t="s">
        <v>241</v>
      </c>
      <c r="F213" s="53" t="s">
        <v>70</v>
      </c>
      <c r="G213" s="52" t="s">
        <v>2299</v>
      </c>
      <c r="H213" s="53" t="s">
        <v>554</v>
      </c>
      <c r="I213" s="6" t="s">
        <v>554</v>
      </c>
      <c r="J213" s="53" t="s">
        <v>554</v>
      </c>
      <c r="K213" s="128" t="n">
        <v>256</v>
      </c>
      <c r="L213" s="128" t="n">
        <v>1024</v>
      </c>
      <c r="M213" s="53" t="s">
        <v>2835</v>
      </c>
      <c r="N213" s="6" t="s">
        <v>2827</v>
      </c>
      <c r="O213" s="6" t="s">
        <v>554</v>
      </c>
      <c r="P213" s="52" t="s">
        <v>2364</v>
      </c>
      <c r="Q213" s="54" t="n">
        <f aca="false">Arch!E12</f>
        <v>512</v>
      </c>
      <c r="R213" s="53" t="s">
        <v>554</v>
      </c>
      <c r="S213" s="83" t="str">
        <f aca="false">IF(OR($H213="—",$H213=""),"—",IF(ISNUMBER(MATCH($H213,SRC_HW!$A$5:$A$400,0)),INDEX(SRC_HW!$O$5:$O$400,MATCH($H213,SRC_HW!$A$5:$A$400,0)),IF(ISNUMBER(MATCH($H213,SRC_DC!$A$5:$A$400,0)),INDEX(SRC_DC!$O$5:$O$400,MATCH($H213,SRC_DC!$A$5:$A$400,0)),IF(ISNUMBER(MATCH($H213,SRC_Model!$A$5:$A$400,0)),INDEX(SRC_Model!$O$5:$O$400,MATCH($H213,SRC_Model!$A$5:$A$400,0)),IF(ISNUMBER(MATCH($H213,SRC_Perf!$A$5:$A$400,0)),INDEX(SRC_Perf!$O$5:$O$400,MATCH($H213,SRC_Perf!$A$5:$A$400,0)),"不存在")))))</f>
        <v>—</v>
      </c>
      <c r="T213" s="83" t="str">
        <f aca="false">IF(OR($H213="—",$H213=""),"—",IF(ISNUMBER(MATCH($H213,SRC_HW!$A$5:$A$400,0)),INDEX(SRC_HW!$K$5:$K$400,MATCH($H213,SRC_HW!$A$5:$A$400,0)),IF(ISNUMBER(MATCH($H213,SRC_DC!$A$5:$A$400,0)),INDEX(SRC_DC!$K$5:$K$400,MATCH($H213,SRC_DC!$A$5:$A$400,0)),IF(ISNUMBER(MATCH($H213,SRC_Model!$A$5:$A$400,0)),INDEX(SRC_Model!$K$5:$K$400,MATCH($H213,SRC_Model!$A$5:$A$400,0)),IF(ISNUMBER(MATCH($H213,SRC_Perf!$A$5:$A$400,0)),INDEX(SRC_Perf!$K$5:$K$400,MATCH($H213,SRC_Perf!$A$5:$A$400,0)),"不存在")))))</f>
        <v>—</v>
      </c>
      <c r="U213" s="52" t="s">
        <v>2302</v>
      </c>
      <c r="V213" s="103" t="n">
        <f aca="false">IF(AND($F213="原始數據",$U213&lt;&gt;"連結 SRC"),1,0)</f>
        <v>0</v>
      </c>
      <c r="W213" s="103" t="n">
        <f aca="false">IF(AND($F213="Analogy",OR($H213="—",$H213="")),1,0)</f>
        <v>0</v>
      </c>
      <c r="X213" s="103" t="n">
        <f aca="false">IF(AND(OR($F213="Analogy",$F213="Assumed"),$G213&lt;&gt;"低",$G213&lt;&gt;"高",NOT(ISNUMBER($K213)),NOT(ISNUMBER($L213)),OR($M213="—",$M213="")),1,0)</f>
        <v>0</v>
      </c>
      <c r="Y213" s="103" t="n">
        <f aca="false">IF(AND(OR($F213="Analogy",$F213="Assumed",$F213="Derived（待改公式）",$F213="Derived（公式）"),OR($N213="—",$N213="",$N213=0)),1,0)</f>
        <v>0</v>
      </c>
      <c r="Z213" s="103" t="n">
        <f aca="false">IF(AND($F213="Decision",OR($J213="—",$J213="")),1,0)</f>
        <v>0</v>
      </c>
      <c r="AA213" s="84" t="n">
        <f aca="false">IF(OR($J213="—",$J213=""),0,IF(COUNTIF(Decisions!$A$5:$A$300,$J213)=0,1,0))</f>
        <v>0</v>
      </c>
      <c r="AB213" s="103" t="n">
        <f aca="false">IF(AND($F213="原始數據",$S213&lt;&gt;"Active"),1,0)</f>
        <v>0</v>
      </c>
      <c r="AC213" s="103" t="n">
        <f aca="false">IF(AND(ISNUMBER($K213),ISNUMBER($L213),ISNUMBER($Q213)),IF(OR($Q213&lt;MIN($K213,$L213),$Q213&gt;MAX($K213,$L213)),1,0),0)</f>
        <v>0</v>
      </c>
      <c r="AD213" s="103" t="n">
        <f aca="false">IF(AND(ISNUMBER($T213),$P213="高"),IF($T213=3,1,0),0)</f>
        <v>0</v>
      </c>
      <c r="AE213" s="103" t="n">
        <f aca="false">IF(AND($S213="不存在",$B213="切片一"),1,0)</f>
        <v>0</v>
      </c>
    </row>
    <row r="214" customFormat="false" ht="15" hidden="false" customHeight="false" outlineLevel="0" collapsed="false">
      <c r="A214" s="53" t="s">
        <v>2836</v>
      </c>
      <c r="B214" s="52" t="s">
        <v>2297</v>
      </c>
      <c r="C214" s="53" t="s">
        <v>2762</v>
      </c>
      <c r="D214" s="53" t="s">
        <v>2331</v>
      </c>
      <c r="E214" s="5" t="s">
        <v>242</v>
      </c>
      <c r="F214" s="53" t="s">
        <v>70</v>
      </c>
      <c r="G214" s="52" t="s">
        <v>2299</v>
      </c>
      <c r="H214" s="53" t="s">
        <v>554</v>
      </c>
      <c r="I214" s="6" t="s">
        <v>554</v>
      </c>
      <c r="J214" s="53" t="s">
        <v>554</v>
      </c>
      <c r="K214" s="128" t="n">
        <v>8</v>
      </c>
      <c r="L214" s="128" t="n">
        <v>32</v>
      </c>
      <c r="M214" s="53" t="s">
        <v>2837</v>
      </c>
      <c r="N214" s="6" t="s">
        <v>2827</v>
      </c>
      <c r="O214" s="6" t="s">
        <v>554</v>
      </c>
      <c r="P214" s="52" t="s">
        <v>2364</v>
      </c>
      <c r="Q214" s="54" t="n">
        <f aca="false">Arch!E13</f>
        <v>16</v>
      </c>
      <c r="R214" s="53" t="s">
        <v>554</v>
      </c>
      <c r="S214" s="83" t="str">
        <f aca="false">IF(OR($H214="—",$H214=""),"—",IF(ISNUMBER(MATCH($H214,SRC_HW!$A$5:$A$400,0)),INDEX(SRC_HW!$O$5:$O$400,MATCH($H214,SRC_HW!$A$5:$A$400,0)),IF(ISNUMBER(MATCH($H214,SRC_DC!$A$5:$A$400,0)),INDEX(SRC_DC!$O$5:$O$400,MATCH($H214,SRC_DC!$A$5:$A$400,0)),IF(ISNUMBER(MATCH($H214,SRC_Model!$A$5:$A$400,0)),INDEX(SRC_Model!$O$5:$O$400,MATCH($H214,SRC_Model!$A$5:$A$400,0)),IF(ISNUMBER(MATCH($H214,SRC_Perf!$A$5:$A$400,0)),INDEX(SRC_Perf!$O$5:$O$400,MATCH($H214,SRC_Perf!$A$5:$A$400,0)),"不存在")))))</f>
        <v>—</v>
      </c>
      <c r="T214" s="83" t="str">
        <f aca="false">IF(OR($H214="—",$H214=""),"—",IF(ISNUMBER(MATCH($H214,SRC_HW!$A$5:$A$400,0)),INDEX(SRC_HW!$K$5:$K$400,MATCH($H214,SRC_HW!$A$5:$A$400,0)),IF(ISNUMBER(MATCH($H214,SRC_DC!$A$5:$A$400,0)),INDEX(SRC_DC!$K$5:$K$400,MATCH($H214,SRC_DC!$A$5:$A$400,0)),IF(ISNUMBER(MATCH($H214,SRC_Model!$A$5:$A$400,0)),INDEX(SRC_Model!$K$5:$K$400,MATCH($H214,SRC_Model!$A$5:$A$400,0)),IF(ISNUMBER(MATCH($H214,SRC_Perf!$A$5:$A$400,0)),INDEX(SRC_Perf!$K$5:$K$400,MATCH($H214,SRC_Perf!$A$5:$A$400,0)),"不存在")))))</f>
        <v>—</v>
      </c>
      <c r="U214" s="52" t="s">
        <v>2302</v>
      </c>
      <c r="V214" s="103" t="n">
        <f aca="false">IF(AND($F214="原始數據",$U214&lt;&gt;"連結 SRC"),1,0)</f>
        <v>0</v>
      </c>
      <c r="W214" s="103" t="n">
        <f aca="false">IF(AND($F214="Analogy",OR($H214="—",$H214="")),1,0)</f>
        <v>0</v>
      </c>
      <c r="X214" s="103" t="n">
        <f aca="false">IF(AND(OR($F214="Analogy",$F214="Assumed"),$G214&lt;&gt;"低",$G214&lt;&gt;"高",NOT(ISNUMBER($K214)),NOT(ISNUMBER($L214)),OR($M214="—",$M214="")),1,0)</f>
        <v>0</v>
      </c>
      <c r="Y214" s="103" t="n">
        <f aca="false">IF(AND(OR($F214="Analogy",$F214="Assumed",$F214="Derived（待改公式）",$F214="Derived（公式）"),OR($N214="—",$N214="",$N214=0)),1,0)</f>
        <v>0</v>
      </c>
      <c r="Z214" s="103" t="n">
        <f aca="false">IF(AND($F214="Decision",OR($J214="—",$J214="")),1,0)</f>
        <v>0</v>
      </c>
      <c r="AA214" s="84" t="n">
        <f aca="false">IF(OR($J214="—",$J214=""),0,IF(COUNTIF(Decisions!$A$5:$A$300,$J214)=0,1,0))</f>
        <v>0</v>
      </c>
      <c r="AB214" s="103" t="n">
        <f aca="false">IF(AND($F214="原始數據",$S214&lt;&gt;"Active"),1,0)</f>
        <v>0</v>
      </c>
      <c r="AC214" s="103" t="n">
        <f aca="false">IF(AND(ISNUMBER($K214),ISNUMBER($L214),ISNUMBER($Q214)),IF(OR($Q214&lt;MIN($K214,$L214),$Q214&gt;MAX($K214,$L214)),1,0),0)</f>
        <v>0</v>
      </c>
      <c r="AD214" s="103" t="n">
        <f aca="false">IF(AND(ISNUMBER($T214),$P214="高"),IF($T214=3,1,0),0)</f>
        <v>0</v>
      </c>
      <c r="AE214" s="103" t="n">
        <f aca="false">IF(AND($S214="不存在",$B214="切片一"),1,0)</f>
        <v>0</v>
      </c>
    </row>
    <row r="215" customFormat="false" ht="15" hidden="false" customHeight="false" outlineLevel="0" collapsed="false">
      <c r="A215" s="53" t="s">
        <v>2838</v>
      </c>
      <c r="B215" s="52" t="s">
        <v>2297</v>
      </c>
      <c r="C215" s="53" t="s">
        <v>2762</v>
      </c>
      <c r="D215" s="53" t="s">
        <v>2839</v>
      </c>
      <c r="E215" s="6" t="s">
        <v>244</v>
      </c>
      <c r="F215" s="53" t="s">
        <v>70</v>
      </c>
      <c r="G215" s="52" t="s">
        <v>2299</v>
      </c>
      <c r="H215" s="53" t="s">
        <v>554</v>
      </c>
      <c r="I215" s="6" t="s">
        <v>554</v>
      </c>
      <c r="J215" s="53" t="s">
        <v>554</v>
      </c>
      <c r="K215" s="128" t="n">
        <v>128000</v>
      </c>
      <c r="L215" s="128" t="n">
        <v>262144</v>
      </c>
      <c r="M215" s="53" t="s">
        <v>2840</v>
      </c>
      <c r="N215" s="6" t="s">
        <v>2827</v>
      </c>
      <c r="O215" s="6" t="s">
        <v>554</v>
      </c>
      <c r="P215" s="52" t="s">
        <v>2307</v>
      </c>
      <c r="Q215" s="54" t="n">
        <f aca="false">Arch!E15</f>
        <v>200000</v>
      </c>
      <c r="R215" s="53" t="s">
        <v>554</v>
      </c>
      <c r="S215" s="83" t="str">
        <f aca="false">IF(OR($H215="—",$H215=""),"—",IF(ISNUMBER(MATCH($H215,SRC_HW!$A$5:$A$400,0)),INDEX(SRC_HW!$O$5:$O$400,MATCH($H215,SRC_HW!$A$5:$A$400,0)),IF(ISNUMBER(MATCH($H215,SRC_DC!$A$5:$A$400,0)),INDEX(SRC_DC!$O$5:$O$400,MATCH($H215,SRC_DC!$A$5:$A$400,0)),IF(ISNUMBER(MATCH($H215,SRC_Model!$A$5:$A$400,0)),INDEX(SRC_Model!$O$5:$O$400,MATCH($H215,SRC_Model!$A$5:$A$400,0)),IF(ISNUMBER(MATCH($H215,SRC_Perf!$A$5:$A$400,0)),INDEX(SRC_Perf!$O$5:$O$400,MATCH($H215,SRC_Perf!$A$5:$A$400,0)),"不存在")))))</f>
        <v>—</v>
      </c>
      <c r="T215" s="83" t="str">
        <f aca="false">IF(OR($H215="—",$H215=""),"—",IF(ISNUMBER(MATCH($H215,SRC_HW!$A$5:$A$400,0)),INDEX(SRC_HW!$K$5:$K$400,MATCH($H215,SRC_HW!$A$5:$A$400,0)),IF(ISNUMBER(MATCH($H215,SRC_DC!$A$5:$A$400,0)),INDEX(SRC_DC!$K$5:$K$400,MATCH($H215,SRC_DC!$A$5:$A$400,0)),IF(ISNUMBER(MATCH($H215,SRC_Model!$A$5:$A$400,0)),INDEX(SRC_Model!$K$5:$K$400,MATCH($H215,SRC_Model!$A$5:$A$400,0)),IF(ISNUMBER(MATCH($H215,SRC_Perf!$A$5:$A$400,0)),INDEX(SRC_Perf!$K$5:$K$400,MATCH($H215,SRC_Perf!$A$5:$A$400,0)),"不存在")))))</f>
        <v>—</v>
      </c>
      <c r="U215" s="52" t="s">
        <v>2302</v>
      </c>
      <c r="V215" s="103" t="n">
        <f aca="false">IF(AND($F215="原始數據",$U215&lt;&gt;"連結 SRC"),1,0)</f>
        <v>0</v>
      </c>
      <c r="W215" s="103" t="n">
        <f aca="false">IF(AND($F215="Analogy",OR($H215="—",$H215="")),1,0)</f>
        <v>0</v>
      </c>
      <c r="X215" s="103" t="n">
        <f aca="false">IF(AND(OR($F215="Analogy",$F215="Assumed"),$G215&lt;&gt;"低",$G215&lt;&gt;"高",NOT(ISNUMBER($K215)),NOT(ISNUMBER($L215)),OR($M215="—",$M215="")),1,0)</f>
        <v>0</v>
      </c>
      <c r="Y215" s="103" t="n">
        <f aca="false">IF(AND(OR($F215="Analogy",$F215="Assumed",$F215="Derived（待改公式）",$F215="Derived（公式）"),OR($N215="—",$N215="",$N215=0)),1,0)</f>
        <v>0</v>
      </c>
      <c r="Z215" s="103" t="n">
        <f aca="false">IF(AND($F215="Decision",OR($J215="—",$J215="")),1,0)</f>
        <v>0</v>
      </c>
      <c r="AA215" s="84" t="n">
        <f aca="false">IF(OR($J215="—",$J215=""),0,IF(COUNTIF(Decisions!$A$5:$A$300,$J215)=0,1,0))</f>
        <v>0</v>
      </c>
      <c r="AB215" s="103" t="n">
        <f aca="false">IF(AND($F215="原始數據",$S215&lt;&gt;"Active"),1,0)</f>
        <v>0</v>
      </c>
      <c r="AC215" s="103" t="n">
        <f aca="false">IF(AND(ISNUMBER($K215),ISNUMBER($L215),ISNUMBER($Q215)),IF(OR($Q215&lt;MIN($K215,$L215),$Q215&gt;MAX($K215,$L215)),1,0),0)</f>
        <v>0</v>
      </c>
      <c r="AD215" s="103" t="n">
        <f aca="false">IF(AND(ISNUMBER($T215),$P215="高"),IF($T215=3,1,0),0)</f>
        <v>0</v>
      </c>
      <c r="AE215" s="103" t="n">
        <f aca="false">IF(AND($S215="不存在",$B215="切片一"),1,0)</f>
        <v>0</v>
      </c>
    </row>
    <row r="216" customFormat="false" ht="15" hidden="false" customHeight="false" outlineLevel="0" collapsed="false">
      <c r="A216" s="53" t="s">
        <v>2841</v>
      </c>
      <c r="B216" s="52" t="s">
        <v>2297</v>
      </c>
      <c r="C216" s="53" t="s">
        <v>2762</v>
      </c>
      <c r="D216" s="53" t="s">
        <v>2343</v>
      </c>
      <c r="E216" s="6" t="s">
        <v>243</v>
      </c>
      <c r="F216" s="53" t="s">
        <v>70</v>
      </c>
      <c r="G216" s="52" t="s">
        <v>2299</v>
      </c>
      <c r="H216" s="53" t="s">
        <v>554</v>
      </c>
      <c r="I216" s="6" t="s">
        <v>554</v>
      </c>
      <c r="J216" s="53" t="s">
        <v>554</v>
      </c>
      <c r="K216" s="52"/>
      <c r="L216" s="52"/>
      <c r="M216" s="52" t="s">
        <v>2255</v>
      </c>
      <c r="N216" s="6" t="s">
        <v>2842</v>
      </c>
      <c r="O216" s="6" t="s">
        <v>554</v>
      </c>
      <c r="P216" s="52" t="s">
        <v>1078</v>
      </c>
      <c r="Q216" s="54" t="n">
        <f aca="false">Arch!E14</f>
        <v>1</v>
      </c>
      <c r="R216" s="53" t="s">
        <v>554</v>
      </c>
      <c r="S216" s="83" t="str">
        <f aca="false">IF(OR($H216="—",$H216=""),"—",IF(ISNUMBER(MATCH($H216,SRC_HW!$A$5:$A$400,0)),INDEX(SRC_HW!$O$5:$O$400,MATCH($H216,SRC_HW!$A$5:$A$400,0)),IF(ISNUMBER(MATCH($H216,SRC_DC!$A$5:$A$400,0)),INDEX(SRC_DC!$O$5:$O$400,MATCH($H216,SRC_DC!$A$5:$A$400,0)),IF(ISNUMBER(MATCH($H216,SRC_Model!$A$5:$A$400,0)),INDEX(SRC_Model!$O$5:$O$400,MATCH($H216,SRC_Model!$A$5:$A$400,0)),IF(ISNUMBER(MATCH($H216,SRC_Perf!$A$5:$A$400,0)),INDEX(SRC_Perf!$O$5:$O$400,MATCH($H216,SRC_Perf!$A$5:$A$400,0)),"不存在")))))</f>
        <v>—</v>
      </c>
      <c r="T216" s="83" t="str">
        <f aca="false">IF(OR($H216="—",$H216=""),"—",IF(ISNUMBER(MATCH($H216,SRC_HW!$A$5:$A$400,0)),INDEX(SRC_HW!$K$5:$K$400,MATCH($H216,SRC_HW!$A$5:$A$400,0)),IF(ISNUMBER(MATCH($H216,SRC_DC!$A$5:$A$400,0)),INDEX(SRC_DC!$K$5:$K$400,MATCH($H216,SRC_DC!$A$5:$A$400,0)),IF(ISNUMBER(MATCH($H216,SRC_Model!$A$5:$A$400,0)),INDEX(SRC_Model!$K$5:$K$400,MATCH($H216,SRC_Model!$A$5:$A$400,0)),IF(ISNUMBER(MATCH($H216,SRC_Perf!$A$5:$A$400,0)),INDEX(SRC_Perf!$K$5:$K$400,MATCH($H216,SRC_Perf!$A$5:$A$400,0)),"不存在")))))</f>
        <v>—</v>
      </c>
      <c r="U216" s="52" t="s">
        <v>2302</v>
      </c>
      <c r="V216" s="103" t="n">
        <f aca="false">IF(AND($F216="原始數據",$U216&lt;&gt;"連結 SRC"),1,0)</f>
        <v>0</v>
      </c>
      <c r="W216" s="103" t="n">
        <f aca="false">IF(AND($F216="Analogy",OR($H216="—",$H216="")),1,0)</f>
        <v>0</v>
      </c>
      <c r="X216" s="103" t="n">
        <f aca="false">IF(AND(OR($F216="Analogy",$F216="Assumed"),$G216&lt;&gt;"低",$G216&lt;&gt;"高",NOT(ISNUMBER($K216)),NOT(ISNUMBER($L216)),OR($M216="—",$M216="")),1,0)</f>
        <v>0</v>
      </c>
      <c r="Y216" s="103" t="n">
        <f aca="false">IF(AND(OR($F216="Analogy",$F216="Assumed",$F216="Derived（待改公式）",$F216="Derived（公式）"),OR($N216="—",$N216="",$N216=0)),1,0)</f>
        <v>0</v>
      </c>
      <c r="Z216" s="103" t="n">
        <f aca="false">IF(AND($F216="Decision",OR($J216="—",$J216="")),1,0)</f>
        <v>0</v>
      </c>
      <c r="AA216" s="84" t="n">
        <f aca="false">IF(OR($J216="—",$J216=""),0,IF(COUNTIF(Decisions!$A$5:$A$300,$J216)=0,1,0))</f>
        <v>0</v>
      </c>
      <c r="AB216" s="103" t="n">
        <f aca="false">IF(AND($F216="原始數據",$S216&lt;&gt;"Active"),1,0)</f>
        <v>0</v>
      </c>
      <c r="AC216" s="103" t="n">
        <f aca="false">IF(AND(ISNUMBER($K216),ISNUMBER($L216),ISNUMBER($Q216)),IF(OR($Q216&lt;MIN($K216,$L216),$Q216&gt;MAX($K216,$L216)),1,0),0)</f>
        <v>0</v>
      </c>
      <c r="AD216" s="103" t="n">
        <f aca="false">IF(AND(ISNUMBER($T216),$P216="高"),IF($T216=3,1,0),0)</f>
        <v>0</v>
      </c>
      <c r="AE216" s="103" t="n">
        <f aca="false">IF(AND($S216="不存在",$B216="切片一"),1,0)</f>
        <v>0</v>
      </c>
    </row>
    <row r="217" customFormat="false" ht="29.85" hidden="false" customHeight="false" outlineLevel="0" collapsed="false">
      <c r="A217" s="53" t="s">
        <v>2843</v>
      </c>
      <c r="B217" s="52" t="s">
        <v>2297</v>
      </c>
      <c r="C217" s="53" t="s">
        <v>2762</v>
      </c>
      <c r="D217" s="53" t="s">
        <v>2349</v>
      </c>
      <c r="E217" s="5" t="s">
        <v>245</v>
      </c>
      <c r="F217" s="53" t="s">
        <v>70</v>
      </c>
      <c r="G217" s="52" t="s">
        <v>2299</v>
      </c>
      <c r="H217" s="53" t="s">
        <v>554</v>
      </c>
      <c r="I217" s="6" t="s">
        <v>554</v>
      </c>
      <c r="J217" s="53" t="s">
        <v>554</v>
      </c>
      <c r="K217" s="52"/>
      <c r="L217" s="52"/>
      <c r="M217" s="52" t="s">
        <v>2255</v>
      </c>
      <c r="N217" s="6" t="s">
        <v>2844</v>
      </c>
      <c r="O217" s="6" t="s">
        <v>554</v>
      </c>
      <c r="P217" s="52" t="s">
        <v>2364</v>
      </c>
      <c r="Q217" s="56" t="n">
        <f aca="false">Arch!E16</f>
        <v>1</v>
      </c>
      <c r="R217" s="53" t="s">
        <v>554</v>
      </c>
      <c r="S217" s="83" t="str">
        <f aca="false">IF(OR($H217="—",$H217=""),"—",IF(ISNUMBER(MATCH($H217,SRC_HW!$A$5:$A$400,0)),INDEX(SRC_HW!$O$5:$O$400,MATCH($H217,SRC_HW!$A$5:$A$400,0)),IF(ISNUMBER(MATCH($H217,SRC_DC!$A$5:$A$400,0)),INDEX(SRC_DC!$O$5:$O$400,MATCH($H217,SRC_DC!$A$5:$A$400,0)),IF(ISNUMBER(MATCH($H217,SRC_Model!$A$5:$A$400,0)),INDEX(SRC_Model!$O$5:$O$400,MATCH($H217,SRC_Model!$A$5:$A$400,0)),IF(ISNUMBER(MATCH($H217,SRC_Perf!$A$5:$A$400,0)),INDEX(SRC_Perf!$O$5:$O$400,MATCH($H217,SRC_Perf!$A$5:$A$400,0)),"不存在")))))</f>
        <v>—</v>
      </c>
      <c r="T217" s="83" t="str">
        <f aca="false">IF(OR($H217="—",$H217=""),"—",IF(ISNUMBER(MATCH($H217,SRC_HW!$A$5:$A$400,0)),INDEX(SRC_HW!$K$5:$K$400,MATCH($H217,SRC_HW!$A$5:$A$400,0)),IF(ISNUMBER(MATCH($H217,SRC_DC!$A$5:$A$400,0)),INDEX(SRC_DC!$K$5:$K$400,MATCH($H217,SRC_DC!$A$5:$A$400,0)),IF(ISNUMBER(MATCH($H217,SRC_Model!$A$5:$A$400,0)),INDEX(SRC_Model!$K$5:$K$400,MATCH($H217,SRC_Model!$A$5:$A$400,0)),IF(ISNUMBER(MATCH($H217,SRC_Perf!$A$5:$A$400,0)),INDEX(SRC_Perf!$K$5:$K$400,MATCH($H217,SRC_Perf!$A$5:$A$400,0)),"不存在")))))</f>
        <v>—</v>
      </c>
      <c r="U217" s="52" t="s">
        <v>2302</v>
      </c>
      <c r="V217" s="103" t="n">
        <f aca="false">IF(AND($F217="原始數據",$U217&lt;&gt;"連結 SRC"),1,0)</f>
        <v>0</v>
      </c>
      <c r="W217" s="103" t="n">
        <f aca="false">IF(AND($F217="Analogy",OR($H217="—",$H217="")),1,0)</f>
        <v>0</v>
      </c>
      <c r="X217" s="103" t="n">
        <f aca="false">IF(AND(OR($F217="Analogy",$F217="Assumed"),$G217&lt;&gt;"低",$G217&lt;&gt;"高",NOT(ISNUMBER($K217)),NOT(ISNUMBER($L217)),OR($M217="—",$M217="")),1,0)</f>
        <v>0</v>
      </c>
      <c r="Y217" s="103" t="n">
        <f aca="false">IF(AND(OR($F217="Analogy",$F217="Assumed",$F217="Derived（待改公式）",$F217="Derived（公式）"),OR($N217="—",$N217="",$N217=0)),1,0)</f>
        <v>0</v>
      </c>
      <c r="Z217" s="103" t="n">
        <f aca="false">IF(AND($F217="Decision",OR($J217="—",$J217="")),1,0)</f>
        <v>0</v>
      </c>
      <c r="AA217" s="84" t="n">
        <f aca="false">IF(OR($J217="—",$J217=""),0,IF(COUNTIF(Decisions!$A$5:$A$300,$J217)=0,1,0))</f>
        <v>0</v>
      </c>
      <c r="AB217" s="103" t="n">
        <f aca="false">IF(AND($F217="原始數據",$S217&lt;&gt;"Active"),1,0)</f>
        <v>0</v>
      </c>
      <c r="AC217" s="103" t="n">
        <f aca="false">IF(AND(ISNUMBER($K217),ISNUMBER($L217),ISNUMBER($Q217)),IF(OR($Q217&lt;MIN($K217,$L217),$Q217&gt;MAX($K217,$L217)),1,0),0)</f>
        <v>0</v>
      </c>
      <c r="AD217" s="103" t="n">
        <f aca="false">IF(AND(ISNUMBER($T217),$P217="高"),IF($T217=3,1,0),0)</f>
        <v>0</v>
      </c>
      <c r="AE217" s="103" t="n">
        <f aca="false">IF(AND($S217="不存在",$B217="切片一"),1,0)</f>
        <v>0</v>
      </c>
    </row>
    <row r="218" customFormat="false" ht="29.85" hidden="false" customHeight="false" outlineLevel="0" collapsed="false">
      <c r="A218" s="53" t="s">
        <v>2845</v>
      </c>
      <c r="B218" s="52" t="s">
        <v>2297</v>
      </c>
      <c r="C218" s="53" t="s">
        <v>2762</v>
      </c>
      <c r="D218" s="53" t="s">
        <v>2355</v>
      </c>
      <c r="E218" s="5" t="s">
        <v>247</v>
      </c>
      <c r="F218" s="53" t="s">
        <v>70</v>
      </c>
      <c r="G218" s="52" t="s">
        <v>2299</v>
      </c>
      <c r="H218" s="53" t="s">
        <v>554</v>
      </c>
      <c r="I218" s="6" t="s">
        <v>554</v>
      </c>
      <c r="J218" s="53" t="s">
        <v>554</v>
      </c>
      <c r="K218" s="52"/>
      <c r="L218" s="52"/>
      <c r="M218" s="52" t="s">
        <v>2255</v>
      </c>
      <c r="N218" s="6" t="s">
        <v>2846</v>
      </c>
      <c r="O218" s="6" t="s">
        <v>554</v>
      </c>
      <c r="P218" s="52" t="s">
        <v>2364</v>
      </c>
      <c r="Q218" s="54" t="n">
        <f aca="false">Arch!E17</f>
        <v>0</v>
      </c>
      <c r="R218" s="53" t="s">
        <v>554</v>
      </c>
      <c r="S218" s="83" t="str">
        <f aca="false">IF(OR($H218="—",$H218=""),"—",IF(ISNUMBER(MATCH($H218,SRC_HW!$A$5:$A$400,0)),INDEX(SRC_HW!$O$5:$O$400,MATCH($H218,SRC_HW!$A$5:$A$400,0)),IF(ISNUMBER(MATCH($H218,SRC_DC!$A$5:$A$400,0)),INDEX(SRC_DC!$O$5:$O$400,MATCH($H218,SRC_DC!$A$5:$A$400,0)),IF(ISNUMBER(MATCH($H218,SRC_Model!$A$5:$A$400,0)),INDEX(SRC_Model!$O$5:$O$400,MATCH($H218,SRC_Model!$A$5:$A$400,0)),IF(ISNUMBER(MATCH($H218,SRC_Perf!$A$5:$A$400,0)),INDEX(SRC_Perf!$O$5:$O$400,MATCH($H218,SRC_Perf!$A$5:$A$400,0)),"不存在")))))</f>
        <v>—</v>
      </c>
      <c r="T218" s="83" t="str">
        <f aca="false">IF(OR($H218="—",$H218=""),"—",IF(ISNUMBER(MATCH($H218,SRC_HW!$A$5:$A$400,0)),INDEX(SRC_HW!$K$5:$K$400,MATCH($H218,SRC_HW!$A$5:$A$400,0)),IF(ISNUMBER(MATCH($H218,SRC_DC!$A$5:$A$400,0)),INDEX(SRC_DC!$K$5:$K$400,MATCH($H218,SRC_DC!$A$5:$A$400,0)),IF(ISNUMBER(MATCH($H218,SRC_Model!$A$5:$A$400,0)),INDEX(SRC_Model!$K$5:$K$400,MATCH($H218,SRC_Model!$A$5:$A$400,0)),IF(ISNUMBER(MATCH($H218,SRC_Perf!$A$5:$A$400,0)),INDEX(SRC_Perf!$K$5:$K$400,MATCH($H218,SRC_Perf!$A$5:$A$400,0)),"不存在")))))</f>
        <v>—</v>
      </c>
      <c r="U218" s="52" t="s">
        <v>2302</v>
      </c>
      <c r="V218" s="103" t="n">
        <f aca="false">IF(AND($F218="原始數據",$U218&lt;&gt;"連結 SRC"),1,0)</f>
        <v>0</v>
      </c>
      <c r="W218" s="103" t="n">
        <f aca="false">IF(AND($F218="Analogy",OR($H218="—",$H218="")),1,0)</f>
        <v>0</v>
      </c>
      <c r="X218" s="103" t="n">
        <f aca="false">IF(AND(OR($F218="Analogy",$F218="Assumed"),$G218&lt;&gt;"低",$G218&lt;&gt;"高",NOT(ISNUMBER($K218)),NOT(ISNUMBER($L218)),OR($M218="—",$M218="")),1,0)</f>
        <v>0</v>
      </c>
      <c r="Y218" s="103" t="n">
        <f aca="false">IF(AND(OR($F218="Analogy",$F218="Assumed",$F218="Derived（待改公式）",$F218="Derived（公式）"),OR($N218="—",$N218="",$N218=0)),1,0)</f>
        <v>0</v>
      </c>
      <c r="Z218" s="103" t="n">
        <f aca="false">IF(AND($F218="Decision",OR($J218="—",$J218="")),1,0)</f>
        <v>0</v>
      </c>
      <c r="AA218" s="84" t="n">
        <f aca="false">IF(OR($J218="—",$J218=""),0,IF(COUNTIF(Decisions!$A$5:$A$300,$J218)=0,1,0))</f>
        <v>0</v>
      </c>
      <c r="AB218" s="103" t="n">
        <f aca="false">IF(AND($F218="原始數據",$S218&lt;&gt;"Active"),1,0)</f>
        <v>0</v>
      </c>
      <c r="AC218" s="103" t="n">
        <f aca="false">IF(AND(ISNUMBER($K218),ISNUMBER($L218),ISNUMBER($Q218)),IF(OR($Q218&lt;MIN($K218,$L218),$Q218&gt;MAX($K218,$L218)),1,0),0)</f>
        <v>0</v>
      </c>
      <c r="AD218" s="103" t="n">
        <f aca="false">IF(AND(ISNUMBER($T218),$P218="高"),IF($T218=3,1,0),0)</f>
        <v>0</v>
      </c>
      <c r="AE218" s="103" t="n">
        <f aca="false">IF(AND($S218="不存在",$B218="切片一"),1,0)</f>
        <v>0</v>
      </c>
    </row>
    <row r="219" customFormat="false" ht="15" hidden="false" customHeight="false" outlineLevel="0" collapsed="false">
      <c r="A219" s="53" t="s">
        <v>2847</v>
      </c>
      <c r="B219" s="52" t="s">
        <v>2297</v>
      </c>
      <c r="C219" s="53" t="s">
        <v>2762</v>
      </c>
      <c r="D219" s="53" t="s">
        <v>2361</v>
      </c>
      <c r="E219" s="5" t="s">
        <v>251</v>
      </c>
      <c r="F219" s="53" t="s">
        <v>70</v>
      </c>
      <c r="G219" s="52" t="s">
        <v>2299</v>
      </c>
      <c r="H219" s="53" t="s">
        <v>554</v>
      </c>
      <c r="I219" s="6" t="s">
        <v>554</v>
      </c>
      <c r="J219" s="53" t="s">
        <v>554</v>
      </c>
      <c r="K219" s="52"/>
      <c r="L219" s="52"/>
      <c r="M219" s="52" t="s">
        <v>2255</v>
      </c>
      <c r="N219" s="6" t="s">
        <v>2848</v>
      </c>
      <c r="O219" s="6" t="s">
        <v>554</v>
      </c>
      <c r="P219" s="52" t="s">
        <v>1078</v>
      </c>
      <c r="Q219" s="54" t="n">
        <f aca="false">Arch!E18</f>
        <v>1</v>
      </c>
      <c r="R219" s="53" t="s">
        <v>554</v>
      </c>
      <c r="S219" s="83" t="str">
        <f aca="false">IF(OR($H219="—",$H219=""),"—",IF(ISNUMBER(MATCH($H219,SRC_HW!$A$5:$A$400,0)),INDEX(SRC_HW!$O$5:$O$400,MATCH($H219,SRC_HW!$A$5:$A$400,0)),IF(ISNUMBER(MATCH($H219,SRC_DC!$A$5:$A$400,0)),INDEX(SRC_DC!$O$5:$O$400,MATCH($H219,SRC_DC!$A$5:$A$400,0)),IF(ISNUMBER(MATCH($H219,SRC_Model!$A$5:$A$400,0)),INDEX(SRC_Model!$O$5:$O$400,MATCH($H219,SRC_Model!$A$5:$A$400,0)),IF(ISNUMBER(MATCH($H219,SRC_Perf!$A$5:$A$400,0)),INDEX(SRC_Perf!$O$5:$O$400,MATCH($H219,SRC_Perf!$A$5:$A$400,0)),"不存在")))))</f>
        <v>—</v>
      </c>
      <c r="T219" s="83" t="str">
        <f aca="false">IF(OR($H219="—",$H219=""),"—",IF(ISNUMBER(MATCH($H219,SRC_HW!$A$5:$A$400,0)),INDEX(SRC_HW!$K$5:$K$400,MATCH($H219,SRC_HW!$A$5:$A$400,0)),IF(ISNUMBER(MATCH($H219,SRC_DC!$A$5:$A$400,0)),INDEX(SRC_DC!$K$5:$K$400,MATCH($H219,SRC_DC!$A$5:$A$400,0)),IF(ISNUMBER(MATCH($H219,SRC_Model!$A$5:$A$400,0)),INDEX(SRC_Model!$K$5:$K$400,MATCH($H219,SRC_Model!$A$5:$A$400,0)),IF(ISNUMBER(MATCH($H219,SRC_Perf!$A$5:$A$400,0)),INDEX(SRC_Perf!$K$5:$K$400,MATCH($H219,SRC_Perf!$A$5:$A$400,0)),"不存在")))))</f>
        <v>—</v>
      </c>
      <c r="U219" s="52" t="s">
        <v>2302</v>
      </c>
      <c r="V219" s="103" t="n">
        <f aca="false">IF(AND($F219="原始數據",$U219&lt;&gt;"連結 SRC"),1,0)</f>
        <v>0</v>
      </c>
      <c r="W219" s="103" t="n">
        <f aca="false">IF(AND($F219="Analogy",OR($H219="—",$H219="")),1,0)</f>
        <v>0</v>
      </c>
      <c r="X219" s="103" t="n">
        <f aca="false">IF(AND(OR($F219="Analogy",$F219="Assumed"),$G219&lt;&gt;"低",$G219&lt;&gt;"高",NOT(ISNUMBER($K219)),NOT(ISNUMBER($L219)),OR($M219="—",$M219="")),1,0)</f>
        <v>0</v>
      </c>
      <c r="Y219" s="103" t="n">
        <f aca="false">IF(AND(OR($F219="Analogy",$F219="Assumed",$F219="Derived（待改公式）",$F219="Derived（公式）"),OR($N219="—",$N219="",$N219=0)),1,0)</f>
        <v>0</v>
      </c>
      <c r="Z219" s="103" t="n">
        <f aca="false">IF(AND($F219="Decision",OR($J219="—",$J219="")),1,0)</f>
        <v>0</v>
      </c>
      <c r="AA219" s="84" t="n">
        <f aca="false">IF(OR($J219="—",$J219=""),0,IF(COUNTIF(Decisions!$A$5:$A$300,$J219)=0,1,0))</f>
        <v>0</v>
      </c>
      <c r="AB219" s="103" t="n">
        <f aca="false">IF(AND($F219="原始數據",$S219&lt;&gt;"Active"),1,0)</f>
        <v>0</v>
      </c>
      <c r="AC219" s="103" t="n">
        <f aca="false">IF(AND(ISNUMBER($K219),ISNUMBER($L219),ISNUMBER($Q219)),IF(OR($Q219&lt;MIN($K219,$L219),$Q219&gt;MAX($K219,$L219)),1,0),0)</f>
        <v>0</v>
      </c>
      <c r="AD219" s="103" t="n">
        <f aca="false">IF(AND(ISNUMBER($T219),$P219="高"),IF($T219=3,1,0),0)</f>
        <v>0</v>
      </c>
      <c r="AE219" s="103" t="n">
        <f aca="false">IF(AND($S219="不存在",$B219="切片一"),1,0)</f>
        <v>0</v>
      </c>
    </row>
    <row r="220" customFormat="false" ht="15" hidden="false" customHeight="false" outlineLevel="0" collapsed="false">
      <c r="A220" s="53" t="s">
        <v>2849</v>
      </c>
      <c r="B220" s="52" t="s">
        <v>2297</v>
      </c>
      <c r="C220" s="53" t="s">
        <v>2762</v>
      </c>
      <c r="D220" s="53" t="s">
        <v>2370</v>
      </c>
      <c r="E220" s="5" t="s">
        <v>253</v>
      </c>
      <c r="F220" s="53" t="s">
        <v>70</v>
      </c>
      <c r="G220" s="52" t="s">
        <v>2299</v>
      </c>
      <c r="H220" s="53" t="s">
        <v>554</v>
      </c>
      <c r="I220" s="6" t="s">
        <v>554</v>
      </c>
      <c r="J220" s="53" t="s">
        <v>554</v>
      </c>
      <c r="K220" s="52"/>
      <c r="L220" s="52"/>
      <c r="M220" s="52" t="s">
        <v>2255</v>
      </c>
      <c r="N220" s="6" t="s">
        <v>2850</v>
      </c>
      <c r="O220" s="6" t="s">
        <v>554</v>
      </c>
      <c r="P220" s="52" t="s">
        <v>1078</v>
      </c>
      <c r="Q220" s="54" t="n">
        <f aca="false">Arch!E19</f>
        <v>0</v>
      </c>
      <c r="R220" s="53" t="s">
        <v>554</v>
      </c>
      <c r="S220" s="83" t="str">
        <f aca="false">IF(OR($H220="—",$H220=""),"—",IF(ISNUMBER(MATCH($H220,SRC_HW!$A$5:$A$400,0)),INDEX(SRC_HW!$O$5:$O$400,MATCH($H220,SRC_HW!$A$5:$A$400,0)),IF(ISNUMBER(MATCH($H220,SRC_DC!$A$5:$A$400,0)),INDEX(SRC_DC!$O$5:$O$400,MATCH($H220,SRC_DC!$A$5:$A$400,0)),IF(ISNUMBER(MATCH($H220,SRC_Model!$A$5:$A$400,0)),INDEX(SRC_Model!$O$5:$O$400,MATCH($H220,SRC_Model!$A$5:$A$400,0)),IF(ISNUMBER(MATCH($H220,SRC_Perf!$A$5:$A$400,0)),INDEX(SRC_Perf!$O$5:$O$400,MATCH($H220,SRC_Perf!$A$5:$A$400,0)),"不存在")))))</f>
        <v>—</v>
      </c>
      <c r="T220" s="83" t="str">
        <f aca="false">IF(OR($H220="—",$H220=""),"—",IF(ISNUMBER(MATCH($H220,SRC_HW!$A$5:$A$400,0)),INDEX(SRC_HW!$K$5:$K$400,MATCH($H220,SRC_HW!$A$5:$A$400,0)),IF(ISNUMBER(MATCH($H220,SRC_DC!$A$5:$A$400,0)),INDEX(SRC_DC!$K$5:$K$400,MATCH($H220,SRC_DC!$A$5:$A$400,0)),IF(ISNUMBER(MATCH($H220,SRC_Model!$A$5:$A$400,0)),INDEX(SRC_Model!$K$5:$K$400,MATCH($H220,SRC_Model!$A$5:$A$400,0)),IF(ISNUMBER(MATCH($H220,SRC_Perf!$A$5:$A$400,0)),INDEX(SRC_Perf!$K$5:$K$400,MATCH($H220,SRC_Perf!$A$5:$A$400,0)),"不存在")))))</f>
        <v>—</v>
      </c>
      <c r="U220" s="52" t="s">
        <v>2302</v>
      </c>
      <c r="V220" s="103" t="n">
        <f aca="false">IF(AND($F220="原始數據",$U220&lt;&gt;"連結 SRC"),1,0)</f>
        <v>0</v>
      </c>
      <c r="W220" s="103" t="n">
        <f aca="false">IF(AND($F220="Analogy",OR($H220="—",$H220="")),1,0)</f>
        <v>0</v>
      </c>
      <c r="X220" s="103" t="n">
        <f aca="false">IF(AND(OR($F220="Analogy",$F220="Assumed"),$G220&lt;&gt;"低",$G220&lt;&gt;"高",NOT(ISNUMBER($K220)),NOT(ISNUMBER($L220)),OR($M220="—",$M220="")),1,0)</f>
        <v>0</v>
      </c>
      <c r="Y220" s="103" t="n">
        <f aca="false">IF(AND(OR($F220="Analogy",$F220="Assumed",$F220="Derived（待改公式）",$F220="Derived（公式）"),OR($N220="—",$N220="",$N220=0)),1,0)</f>
        <v>0</v>
      </c>
      <c r="Z220" s="103" t="n">
        <f aca="false">IF(AND($F220="Decision",OR($J220="—",$J220="")),1,0)</f>
        <v>0</v>
      </c>
      <c r="AA220" s="84" t="n">
        <f aca="false">IF(OR($J220="—",$J220=""),0,IF(COUNTIF(Decisions!$A$5:$A$300,$J220)=0,1,0))</f>
        <v>0</v>
      </c>
      <c r="AB220" s="103" t="n">
        <f aca="false">IF(AND($F220="原始數據",$S220&lt;&gt;"Active"),1,0)</f>
        <v>0</v>
      </c>
      <c r="AC220" s="103" t="n">
        <f aca="false">IF(AND(ISNUMBER($K220),ISNUMBER($L220),ISNUMBER($Q220)),IF(OR($Q220&lt;MIN($K220,$L220),$Q220&gt;MAX($K220,$L220)),1,0),0)</f>
        <v>0</v>
      </c>
      <c r="AD220" s="103" t="n">
        <f aca="false">IF(AND(ISNUMBER($T220),$P220="高"),IF($T220=3,1,0),0)</f>
        <v>0</v>
      </c>
      <c r="AE220" s="103" t="n">
        <f aca="false">IF(AND($S220="不存在",$B220="切片一"),1,0)</f>
        <v>0</v>
      </c>
    </row>
    <row r="221" customFormat="false" ht="29.85" hidden="false" customHeight="false" outlineLevel="0" collapsed="false">
      <c r="A221" s="53" t="s">
        <v>2851</v>
      </c>
      <c r="B221" s="52" t="s">
        <v>2297</v>
      </c>
      <c r="C221" s="53" t="s">
        <v>2762</v>
      </c>
      <c r="D221" s="53" t="s">
        <v>2376</v>
      </c>
      <c r="E221" s="6" t="s">
        <v>254</v>
      </c>
      <c r="F221" s="53" t="s">
        <v>62</v>
      </c>
      <c r="G221" s="52" t="s">
        <v>2299</v>
      </c>
      <c r="H221" s="53" t="s">
        <v>554</v>
      </c>
      <c r="I221" s="6" t="s">
        <v>554</v>
      </c>
      <c r="J221" s="53" t="s">
        <v>2852</v>
      </c>
      <c r="K221" s="52"/>
      <c r="L221" s="52"/>
      <c r="M221" s="53" t="s">
        <v>554</v>
      </c>
      <c r="N221" s="6" t="s">
        <v>2853</v>
      </c>
      <c r="O221" s="6" t="s">
        <v>554</v>
      </c>
      <c r="P221" s="52" t="s">
        <v>2307</v>
      </c>
      <c r="Q221" s="84" t="n">
        <f aca="false">Arch!E20</f>
        <v>2</v>
      </c>
      <c r="R221" s="53" t="s">
        <v>554</v>
      </c>
      <c r="S221" s="83" t="str">
        <f aca="false">IF(OR($H221="—",$H221=""),"—",IF(ISNUMBER(MATCH($H221,SRC_HW!$A$5:$A$400,0)),INDEX(SRC_HW!$O$5:$O$400,MATCH($H221,SRC_HW!$A$5:$A$400,0)),IF(ISNUMBER(MATCH($H221,SRC_DC!$A$5:$A$400,0)),INDEX(SRC_DC!$O$5:$O$400,MATCH($H221,SRC_DC!$A$5:$A$400,0)),IF(ISNUMBER(MATCH($H221,SRC_Model!$A$5:$A$400,0)),INDEX(SRC_Model!$O$5:$O$400,MATCH($H221,SRC_Model!$A$5:$A$400,0)),IF(ISNUMBER(MATCH($H221,SRC_Perf!$A$5:$A$400,0)),INDEX(SRC_Perf!$O$5:$O$400,MATCH($H221,SRC_Perf!$A$5:$A$400,0)),"不存在")))))</f>
        <v>—</v>
      </c>
      <c r="T221" s="83" t="str">
        <f aca="false">IF(OR($H221="—",$H221=""),"—",IF(ISNUMBER(MATCH($H221,SRC_HW!$A$5:$A$400,0)),INDEX(SRC_HW!$K$5:$K$400,MATCH($H221,SRC_HW!$A$5:$A$400,0)),IF(ISNUMBER(MATCH($H221,SRC_DC!$A$5:$A$400,0)),INDEX(SRC_DC!$K$5:$K$400,MATCH($H221,SRC_DC!$A$5:$A$400,0)),IF(ISNUMBER(MATCH($H221,SRC_Model!$A$5:$A$400,0)),INDEX(SRC_Model!$K$5:$K$400,MATCH($H221,SRC_Model!$A$5:$A$400,0)),IF(ISNUMBER(MATCH($H221,SRC_Perf!$A$5:$A$400,0)),INDEX(SRC_Perf!$K$5:$K$400,MATCH($H221,SRC_Perf!$A$5:$A$400,0)),"不存在")))))</f>
        <v>—</v>
      </c>
      <c r="U221" s="52" t="s">
        <v>2302</v>
      </c>
      <c r="V221" s="103" t="n">
        <f aca="false">IF(AND($F221="原始數據",$U221&lt;&gt;"連結 SRC"),1,0)</f>
        <v>0</v>
      </c>
      <c r="W221" s="103" t="n">
        <f aca="false">IF(AND($F221="Analogy",OR($H221="—",$H221="")),1,0)</f>
        <v>0</v>
      </c>
      <c r="X221" s="103" t="n">
        <f aca="false">IF(AND(OR($F221="Analogy",$F221="Assumed"),$G221&lt;&gt;"低",$G221&lt;&gt;"高",NOT(ISNUMBER($K221)),NOT(ISNUMBER($L221)),OR($M221="—",$M221="")),1,0)</f>
        <v>0</v>
      </c>
      <c r="Y221" s="103" t="n">
        <f aca="false">IF(AND(OR($F221="Analogy",$F221="Assumed",$F221="Derived（待改公式）",$F221="Derived（公式）"),OR($N221="—",$N221="",$N221=0)),1,0)</f>
        <v>0</v>
      </c>
      <c r="Z221" s="103" t="n">
        <f aca="false">IF(AND($F221="Decision",OR($J221="—",$J221="")),1,0)</f>
        <v>0</v>
      </c>
      <c r="AA221" s="84" t="n">
        <f aca="false">IF(OR($J221="—",$J221=""),0,IF(COUNTIF(Decisions!$A$5:$A$300,$J221)=0,1,0))</f>
        <v>0</v>
      </c>
      <c r="AB221" s="103" t="n">
        <f aca="false">IF(AND($F221="原始數據",$S221&lt;&gt;"Active"),1,0)</f>
        <v>0</v>
      </c>
      <c r="AC221" s="103" t="n">
        <f aca="false">IF(AND(ISNUMBER($K221),ISNUMBER($L221),ISNUMBER($Q221)),IF(OR($Q221&lt;MIN($K221,$L221),$Q221&gt;MAX($K221,$L221)),1,0),0)</f>
        <v>0</v>
      </c>
      <c r="AD221" s="103" t="n">
        <f aca="false">IF(AND(ISNUMBER($T221),$P221="高"),IF($T221=3,1,0),0)</f>
        <v>0</v>
      </c>
      <c r="AE221" s="103" t="n">
        <f aca="false">IF(AND($S221="不存在",$B221="切片一"),1,0)</f>
        <v>0</v>
      </c>
    </row>
    <row r="222" customFormat="false" ht="44" hidden="false" customHeight="false" outlineLevel="0" collapsed="false">
      <c r="A222" s="53" t="s">
        <v>2854</v>
      </c>
      <c r="B222" s="52" t="s">
        <v>2297</v>
      </c>
      <c r="C222" s="53" t="s">
        <v>2762</v>
      </c>
      <c r="D222" s="53" t="s">
        <v>2855</v>
      </c>
      <c r="E222" s="6" t="s">
        <v>256</v>
      </c>
      <c r="F222" s="53" t="s">
        <v>2812</v>
      </c>
      <c r="G222" s="52" t="s">
        <v>2299</v>
      </c>
      <c r="H222" s="53" t="s">
        <v>554</v>
      </c>
      <c r="I222" s="6" t="s">
        <v>554</v>
      </c>
      <c r="J222" s="53" t="s">
        <v>554</v>
      </c>
      <c r="K222" s="52"/>
      <c r="L222" s="52"/>
      <c r="M222" s="53" t="s">
        <v>554</v>
      </c>
      <c r="N222" s="5" t="s">
        <v>2856</v>
      </c>
      <c r="O222" s="6" t="s">
        <v>554</v>
      </c>
      <c r="P222" s="52" t="s">
        <v>1078</v>
      </c>
      <c r="Q222" s="54" t="n">
        <f aca="false">Arch!C21</f>
        <v>2795</v>
      </c>
      <c r="R222" s="53" t="s">
        <v>554</v>
      </c>
      <c r="S222" s="83" t="str">
        <f aca="false">IF(OR($H222="—",$H222=""),"—",IF(ISNUMBER(MATCH($H222,SRC_HW!$A$5:$A$400,0)),INDEX(SRC_HW!$O$5:$O$400,MATCH($H222,SRC_HW!$A$5:$A$400,0)),IF(ISNUMBER(MATCH($H222,SRC_DC!$A$5:$A$400,0)),INDEX(SRC_DC!$O$5:$O$400,MATCH($H222,SRC_DC!$A$5:$A$400,0)),IF(ISNUMBER(MATCH($H222,SRC_Model!$A$5:$A$400,0)),INDEX(SRC_Model!$O$5:$O$400,MATCH($H222,SRC_Model!$A$5:$A$400,0)),IF(ISNUMBER(MATCH($H222,SRC_Perf!$A$5:$A$400,0)),INDEX(SRC_Perf!$O$5:$O$400,MATCH($H222,SRC_Perf!$A$5:$A$400,0)),"不存在")))))</f>
        <v>—</v>
      </c>
      <c r="T222" s="83" t="str">
        <f aca="false">IF(OR($H222="—",$H222=""),"—",IF(ISNUMBER(MATCH($H222,SRC_HW!$A$5:$A$400,0)),INDEX(SRC_HW!$K$5:$K$400,MATCH($H222,SRC_HW!$A$5:$A$400,0)),IF(ISNUMBER(MATCH($H222,SRC_DC!$A$5:$A$400,0)),INDEX(SRC_DC!$K$5:$K$400,MATCH($H222,SRC_DC!$A$5:$A$400,0)),IF(ISNUMBER(MATCH($H222,SRC_Model!$A$5:$A$400,0)),INDEX(SRC_Model!$K$5:$K$400,MATCH($H222,SRC_Model!$A$5:$A$400,0)),IF(ISNUMBER(MATCH($H222,SRC_Perf!$A$5:$A$400,0)),INDEX(SRC_Perf!$K$5:$K$400,MATCH($H222,SRC_Perf!$A$5:$A$400,0)),"不存在")))))</f>
        <v>—</v>
      </c>
      <c r="U222" s="52" t="s">
        <v>2302</v>
      </c>
      <c r="V222" s="103" t="n">
        <f aca="false">IF(AND($F222="原始數據",$U222&lt;&gt;"連結 SRC"),1,0)</f>
        <v>0</v>
      </c>
      <c r="W222" s="103" t="n">
        <f aca="false">IF(AND($F222="Analogy",OR($H222="—",$H222="")),1,0)</f>
        <v>0</v>
      </c>
      <c r="X222" s="103" t="n">
        <f aca="false">IF(AND(OR($F222="Analogy",$F222="Assumed"),$G222&lt;&gt;"低",$G222&lt;&gt;"高",NOT(ISNUMBER($K222)),NOT(ISNUMBER($L222)),OR($M222="—",$M222="")),1,0)</f>
        <v>0</v>
      </c>
      <c r="Y222" s="103" t="n">
        <f aca="false">IF(AND(OR($F222="Analogy",$F222="Assumed",$F222="Derived（待改公式）",$F222="Derived（公式）"),OR($N222="—",$N222="",$N222=0)),1,0)</f>
        <v>0</v>
      </c>
      <c r="Z222" s="103" t="n">
        <f aca="false">IF(AND($F222="Decision",OR($J222="—",$J222="")),1,0)</f>
        <v>0</v>
      </c>
      <c r="AA222" s="84" t="n">
        <f aca="false">IF(OR($J222="—",$J222=""),0,IF(COUNTIF(Decisions!$A$5:$A$300,$J222)=0,1,0))</f>
        <v>0</v>
      </c>
      <c r="AB222" s="103" t="n">
        <f aca="false">IF(AND($F222="原始數據",$S222&lt;&gt;"Active"),1,0)</f>
        <v>0</v>
      </c>
      <c r="AC222" s="103" t="n">
        <f aca="false">IF(AND(ISNUMBER($K222),ISNUMBER($L222),ISNUMBER($Q222)),IF(OR($Q222&lt;MIN($K222,$L222),$Q222&gt;MAX($K222,$L222)),1,0),0)</f>
        <v>0</v>
      </c>
      <c r="AD222" s="103" t="n">
        <f aca="false">IF(AND(ISNUMBER($T222),$P222="高"),IF($T222=3,1,0),0)</f>
        <v>0</v>
      </c>
      <c r="AE222" s="103" t="n">
        <f aca="false">IF(AND($S222="不存在",$B222="切片一"),1,0)</f>
        <v>0</v>
      </c>
    </row>
    <row r="223" customFormat="false" ht="44" hidden="false" customHeight="false" outlineLevel="0" collapsed="false">
      <c r="A223" s="53" t="s">
        <v>2857</v>
      </c>
      <c r="B223" s="52" t="s">
        <v>2297</v>
      </c>
      <c r="C223" s="53" t="s">
        <v>2762</v>
      </c>
      <c r="D223" s="53" t="s">
        <v>2387</v>
      </c>
      <c r="E223" s="6" t="s">
        <v>256</v>
      </c>
      <c r="F223" s="53" t="s">
        <v>2812</v>
      </c>
      <c r="G223" s="52" t="s">
        <v>2299</v>
      </c>
      <c r="H223" s="53" t="s">
        <v>554</v>
      </c>
      <c r="I223" s="6" t="s">
        <v>554</v>
      </c>
      <c r="J223" s="53" t="s">
        <v>554</v>
      </c>
      <c r="K223" s="52"/>
      <c r="L223" s="52"/>
      <c r="M223" s="53" t="s">
        <v>554</v>
      </c>
      <c r="N223" s="5" t="s">
        <v>2856</v>
      </c>
      <c r="O223" s="6" t="s">
        <v>554</v>
      </c>
      <c r="P223" s="52" t="s">
        <v>1078</v>
      </c>
      <c r="Q223" s="54" t="n">
        <f aca="false">Arch!D21</f>
        <v>3965</v>
      </c>
      <c r="R223" s="53" t="s">
        <v>554</v>
      </c>
      <c r="S223" s="83" t="str">
        <f aca="false">IF(OR($H223="—",$H223=""),"—",IF(ISNUMBER(MATCH($H223,SRC_HW!$A$5:$A$400,0)),INDEX(SRC_HW!$O$5:$O$400,MATCH($H223,SRC_HW!$A$5:$A$400,0)),IF(ISNUMBER(MATCH($H223,SRC_DC!$A$5:$A$400,0)),INDEX(SRC_DC!$O$5:$O$400,MATCH($H223,SRC_DC!$A$5:$A$400,0)),IF(ISNUMBER(MATCH($H223,SRC_Model!$A$5:$A$400,0)),INDEX(SRC_Model!$O$5:$O$400,MATCH($H223,SRC_Model!$A$5:$A$400,0)),IF(ISNUMBER(MATCH($H223,SRC_Perf!$A$5:$A$400,0)),INDEX(SRC_Perf!$O$5:$O$400,MATCH($H223,SRC_Perf!$A$5:$A$400,0)),"不存在")))))</f>
        <v>—</v>
      </c>
      <c r="T223" s="83" t="str">
        <f aca="false">IF(OR($H223="—",$H223=""),"—",IF(ISNUMBER(MATCH($H223,SRC_HW!$A$5:$A$400,0)),INDEX(SRC_HW!$K$5:$K$400,MATCH($H223,SRC_HW!$A$5:$A$400,0)),IF(ISNUMBER(MATCH($H223,SRC_DC!$A$5:$A$400,0)),INDEX(SRC_DC!$K$5:$K$400,MATCH($H223,SRC_DC!$A$5:$A$400,0)),IF(ISNUMBER(MATCH($H223,SRC_Model!$A$5:$A$400,0)),INDEX(SRC_Model!$K$5:$K$400,MATCH($H223,SRC_Model!$A$5:$A$400,0)),IF(ISNUMBER(MATCH($H223,SRC_Perf!$A$5:$A$400,0)),INDEX(SRC_Perf!$K$5:$K$400,MATCH($H223,SRC_Perf!$A$5:$A$400,0)),"不存在")))))</f>
        <v>—</v>
      </c>
      <c r="U223" s="52" t="s">
        <v>2302</v>
      </c>
      <c r="V223" s="103" t="n">
        <f aca="false">IF(AND($F223="原始數據",$U223&lt;&gt;"連結 SRC"),1,0)</f>
        <v>0</v>
      </c>
      <c r="W223" s="103" t="n">
        <f aca="false">IF(AND($F223="Analogy",OR($H223="—",$H223="")),1,0)</f>
        <v>0</v>
      </c>
      <c r="X223" s="103" t="n">
        <f aca="false">IF(AND(OR($F223="Analogy",$F223="Assumed"),$G223&lt;&gt;"低",$G223&lt;&gt;"高",NOT(ISNUMBER($K223)),NOT(ISNUMBER($L223)),OR($M223="—",$M223="")),1,0)</f>
        <v>0</v>
      </c>
      <c r="Y223" s="103" t="n">
        <f aca="false">IF(AND(OR($F223="Analogy",$F223="Assumed",$F223="Derived（待改公式）",$F223="Derived（公式）"),OR($N223="—",$N223="",$N223=0)),1,0)</f>
        <v>0</v>
      </c>
      <c r="Z223" s="103" t="n">
        <f aca="false">IF(AND($F223="Decision",OR($J223="—",$J223="")),1,0)</f>
        <v>0</v>
      </c>
      <c r="AA223" s="84" t="n">
        <f aca="false">IF(OR($J223="—",$J223=""),0,IF(COUNTIF(Decisions!$A$5:$A$300,$J223)=0,1,0))</f>
        <v>0</v>
      </c>
      <c r="AB223" s="103" t="n">
        <f aca="false">IF(AND($F223="原始數據",$S223&lt;&gt;"Active"),1,0)</f>
        <v>0</v>
      </c>
      <c r="AC223" s="103" t="n">
        <f aca="false">IF(AND(ISNUMBER($K223),ISNUMBER($L223),ISNUMBER($Q223)),IF(OR($Q223&lt;MIN($K223,$L223),$Q223&gt;MAX($K223,$L223)),1,0),0)</f>
        <v>0</v>
      </c>
      <c r="AD223" s="103" t="n">
        <f aca="false">IF(AND(ISNUMBER($T223),$P223="高"),IF($T223=3,1,0),0)</f>
        <v>0</v>
      </c>
      <c r="AE223" s="103" t="n">
        <f aca="false">IF(AND($S223="不存在",$B223="切片一"),1,0)</f>
        <v>0</v>
      </c>
    </row>
    <row r="224" customFormat="false" ht="44" hidden="false" customHeight="false" outlineLevel="0" collapsed="false">
      <c r="A224" s="53" t="s">
        <v>2858</v>
      </c>
      <c r="B224" s="52" t="s">
        <v>2297</v>
      </c>
      <c r="C224" s="53" t="s">
        <v>2762</v>
      </c>
      <c r="D224" s="53" t="s">
        <v>2384</v>
      </c>
      <c r="E224" s="6" t="s">
        <v>256</v>
      </c>
      <c r="F224" s="53" t="s">
        <v>2812</v>
      </c>
      <c r="G224" s="52" t="s">
        <v>2299</v>
      </c>
      <c r="H224" s="53" t="s">
        <v>554</v>
      </c>
      <c r="I224" s="6" t="s">
        <v>554</v>
      </c>
      <c r="J224" s="53" t="s">
        <v>554</v>
      </c>
      <c r="K224" s="52"/>
      <c r="L224" s="52"/>
      <c r="M224" s="53" t="s">
        <v>554</v>
      </c>
      <c r="N224" s="5" t="s">
        <v>2856</v>
      </c>
      <c r="O224" s="6" t="s">
        <v>554</v>
      </c>
      <c r="P224" s="52" t="s">
        <v>1078</v>
      </c>
      <c r="Q224" s="54" t="n">
        <f aca="false">Arch!E21</f>
        <v>14976</v>
      </c>
      <c r="R224" s="53" t="s">
        <v>554</v>
      </c>
      <c r="S224" s="83" t="str">
        <f aca="false">IF(OR($H224="—",$H224=""),"—",IF(ISNUMBER(MATCH($H224,SRC_HW!$A$5:$A$400,0)),INDEX(SRC_HW!$O$5:$O$400,MATCH($H224,SRC_HW!$A$5:$A$400,0)),IF(ISNUMBER(MATCH($H224,SRC_DC!$A$5:$A$400,0)),INDEX(SRC_DC!$O$5:$O$400,MATCH($H224,SRC_DC!$A$5:$A$400,0)),IF(ISNUMBER(MATCH($H224,SRC_Model!$A$5:$A$400,0)),INDEX(SRC_Model!$O$5:$O$400,MATCH($H224,SRC_Model!$A$5:$A$400,0)),IF(ISNUMBER(MATCH($H224,SRC_Perf!$A$5:$A$400,0)),INDEX(SRC_Perf!$O$5:$O$400,MATCH($H224,SRC_Perf!$A$5:$A$400,0)),"不存在")))))</f>
        <v>—</v>
      </c>
      <c r="T224" s="83" t="str">
        <f aca="false">IF(OR($H224="—",$H224=""),"—",IF(ISNUMBER(MATCH($H224,SRC_HW!$A$5:$A$400,0)),INDEX(SRC_HW!$K$5:$K$400,MATCH($H224,SRC_HW!$A$5:$A$400,0)),IF(ISNUMBER(MATCH($H224,SRC_DC!$A$5:$A$400,0)),INDEX(SRC_DC!$K$5:$K$400,MATCH($H224,SRC_DC!$A$5:$A$400,0)),IF(ISNUMBER(MATCH($H224,SRC_Model!$A$5:$A$400,0)),INDEX(SRC_Model!$K$5:$K$400,MATCH($H224,SRC_Model!$A$5:$A$400,0)),IF(ISNUMBER(MATCH($H224,SRC_Perf!$A$5:$A$400,0)),INDEX(SRC_Perf!$K$5:$K$400,MATCH($H224,SRC_Perf!$A$5:$A$400,0)),"不存在")))))</f>
        <v>—</v>
      </c>
      <c r="U224" s="52" t="s">
        <v>2302</v>
      </c>
      <c r="V224" s="103" t="n">
        <f aca="false">IF(AND($F224="原始數據",$U224&lt;&gt;"連結 SRC"),1,0)</f>
        <v>0</v>
      </c>
      <c r="W224" s="103" t="n">
        <f aca="false">IF(AND($F224="Analogy",OR($H224="—",$H224="")),1,0)</f>
        <v>0</v>
      </c>
      <c r="X224" s="103" t="n">
        <f aca="false">IF(AND(OR($F224="Analogy",$F224="Assumed"),$G224&lt;&gt;"低",$G224&lt;&gt;"高",NOT(ISNUMBER($K224)),NOT(ISNUMBER($L224)),OR($M224="—",$M224="")),1,0)</f>
        <v>0</v>
      </c>
      <c r="Y224" s="103" t="n">
        <f aca="false">IF(AND(OR($F224="Analogy",$F224="Assumed",$F224="Derived（待改公式）",$F224="Derived（公式）"),OR($N224="—",$N224="",$N224=0)),1,0)</f>
        <v>0</v>
      </c>
      <c r="Z224" s="103" t="n">
        <f aca="false">IF(AND($F224="Decision",OR($J224="—",$J224="")),1,0)</f>
        <v>0</v>
      </c>
      <c r="AA224" s="84" t="n">
        <f aca="false">IF(OR($J224="—",$J224=""),0,IF(COUNTIF(Decisions!$A$5:$A$300,$J224)=0,1,0))</f>
        <v>0</v>
      </c>
      <c r="AB224" s="103" t="n">
        <f aca="false">IF(AND($F224="原始數據",$S224&lt;&gt;"Active"),1,0)</f>
        <v>0</v>
      </c>
      <c r="AC224" s="103" t="n">
        <f aca="false">IF(AND(ISNUMBER($K224),ISNUMBER($L224),ISNUMBER($Q224)),IF(OR($Q224&lt;MIN($K224,$L224),$Q224&gt;MAX($K224,$L224)),1,0),0)</f>
        <v>0</v>
      </c>
      <c r="AD224" s="103" t="n">
        <f aca="false">IF(AND(ISNUMBER($T224),$P224="高"),IF($T224=3,1,0),0)</f>
        <v>0</v>
      </c>
      <c r="AE224" s="103" t="n">
        <f aca="false">IF(AND($S224="不存在",$B224="切片一"),1,0)</f>
        <v>0</v>
      </c>
    </row>
    <row r="225" customFormat="false" ht="44" hidden="false" customHeight="false" outlineLevel="0" collapsed="false">
      <c r="A225" s="53" t="s">
        <v>2859</v>
      </c>
      <c r="B225" s="52" t="s">
        <v>2297</v>
      </c>
      <c r="C225" s="53" t="s">
        <v>2762</v>
      </c>
      <c r="D225" s="53" t="s">
        <v>2860</v>
      </c>
      <c r="E225" s="6" t="s">
        <v>259</v>
      </c>
      <c r="F225" s="53" t="s">
        <v>2812</v>
      </c>
      <c r="G225" s="52" t="s">
        <v>2299</v>
      </c>
      <c r="H225" s="53" t="s">
        <v>554</v>
      </c>
      <c r="I225" s="6" t="s">
        <v>554</v>
      </c>
      <c r="J225" s="53" t="s">
        <v>554</v>
      </c>
      <c r="K225" s="52"/>
      <c r="L225" s="52"/>
      <c r="M225" s="53" t="s">
        <v>554</v>
      </c>
      <c r="N225" s="5" t="s">
        <v>2856</v>
      </c>
      <c r="O225" s="6" t="s">
        <v>554</v>
      </c>
      <c r="P225" s="52" t="s">
        <v>1078</v>
      </c>
      <c r="Q225" s="54" t="n">
        <f aca="false">Arch!C22</f>
        <v>2795</v>
      </c>
      <c r="R225" s="53" t="s">
        <v>554</v>
      </c>
      <c r="S225" s="83" t="str">
        <f aca="false">IF(OR($H225="—",$H225=""),"—",IF(ISNUMBER(MATCH($H225,SRC_HW!$A$5:$A$400,0)),INDEX(SRC_HW!$O$5:$O$400,MATCH($H225,SRC_HW!$A$5:$A$400,0)),IF(ISNUMBER(MATCH($H225,SRC_DC!$A$5:$A$400,0)),INDEX(SRC_DC!$O$5:$O$400,MATCH($H225,SRC_DC!$A$5:$A$400,0)),IF(ISNUMBER(MATCH($H225,SRC_Model!$A$5:$A$400,0)),INDEX(SRC_Model!$O$5:$O$400,MATCH($H225,SRC_Model!$A$5:$A$400,0)),IF(ISNUMBER(MATCH($H225,SRC_Perf!$A$5:$A$400,0)),INDEX(SRC_Perf!$O$5:$O$400,MATCH($H225,SRC_Perf!$A$5:$A$400,0)),"不存在")))))</f>
        <v>—</v>
      </c>
      <c r="T225" s="83" t="str">
        <f aca="false">IF(OR($H225="—",$H225=""),"—",IF(ISNUMBER(MATCH($H225,SRC_HW!$A$5:$A$400,0)),INDEX(SRC_HW!$K$5:$K$400,MATCH($H225,SRC_HW!$A$5:$A$400,0)),IF(ISNUMBER(MATCH($H225,SRC_DC!$A$5:$A$400,0)),INDEX(SRC_DC!$K$5:$K$400,MATCH($H225,SRC_DC!$A$5:$A$400,0)),IF(ISNUMBER(MATCH($H225,SRC_Model!$A$5:$A$400,0)),INDEX(SRC_Model!$K$5:$K$400,MATCH($H225,SRC_Model!$A$5:$A$400,0)),IF(ISNUMBER(MATCH($H225,SRC_Perf!$A$5:$A$400,0)),INDEX(SRC_Perf!$K$5:$K$400,MATCH($H225,SRC_Perf!$A$5:$A$400,0)),"不存在")))))</f>
        <v>—</v>
      </c>
      <c r="U225" s="52" t="s">
        <v>2302</v>
      </c>
      <c r="V225" s="103" t="n">
        <f aca="false">IF(AND($F225="原始數據",$U225&lt;&gt;"連結 SRC"),1,0)</f>
        <v>0</v>
      </c>
      <c r="W225" s="103" t="n">
        <f aca="false">IF(AND($F225="Analogy",OR($H225="—",$H225="")),1,0)</f>
        <v>0</v>
      </c>
      <c r="X225" s="103" t="n">
        <f aca="false">IF(AND(OR($F225="Analogy",$F225="Assumed"),$G225&lt;&gt;"低",$G225&lt;&gt;"高",NOT(ISNUMBER($K225)),NOT(ISNUMBER($L225)),OR($M225="—",$M225="")),1,0)</f>
        <v>0</v>
      </c>
      <c r="Y225" s="103" t="n">
        <f aca="false">IF(AND(OR($F225="Analogy",$F225="Assumed",$F225="Derived（待改公式）",$F225="Derived（公式）"),OR($N225="—",$N225="",$N225=0)),1,0)</f>
        <v>0</v>
      </c>
      <c r="Z225" s="103" t="n">
        <f aca="false">IF(AND($F225="Decision",OR($J225="—",$J225="")),1,0)</f>
        <v>0</v>
      </c>
      <c r="AA225" s="84" t="n">
        <f aca="false">IF(OR($J225="—",$J225=""),0,IF(COUNTIF(Decisions!$A$5:$A$300,$J225)=0,1,0))</f>
        <v>0</v>
      </c>
      <c r="AB225" s="103" t="n">
        <f aca="false">IF(AND($F225="原始數據",$S225&lt;&gt;"Active"),1,0)</f>
        <v>0</v>
      </c>
      <c r="AC225" s="103" t="n">
        <f aca="false">IF(AND(ISNUMBER($K225),ISNUMBER($L225),ISNUMBER($Q225)),IF(OR($Q225&lt;MIN($K225,$L225),$Q225&gt;MAX($K225,$L225)),1,0),0)</f>
        <v>0</v>
      </c>
      <c r="AD225" s="103" t="n">
        <f aca="false">IF(AND(ISNUMBER($T225),$P225="高"),IF($T225=3,1,0),0)</f>
        <v>0</v>
      </c>
      <c r="AE225" s="103" t="n">
        <f aca="false">IF(AND($S225="不存在",$B225="切片一"),1,0)</f>
        <v>0</v>
      </c>
    </row>
    <row r="226" customFormat="false" ht="44" hidden="false" customHeight="false" outlineLevel="0" collapsed="false">
      <c r="A226" s="53" t="s">
        <v>2861</v>
      </c>
      <c r="B226" s="52" t="s">
        <v>2297</v>
      </c>
      <c r="C226" s="53" t="s">
        <v>2762</v>
      </c>
      <c r="D226" s="53" t="s">
        <v>2862</v>
      </c>
      <c r="E226" s="6" t="s">
        <v>259</v>
      </c>
      <c r="F226" s="53" t="s">
        <v>2812</v>
      </c>
      <c r="G226" s="52" t="s">
        <v>2299</v>
      </c>
      <c r="H226" s="53" t="s">
        <v>554</v>
      </c>
      <c r="I226" s="6" t="s">
        <v>554</v>
      </c>
      <c r="J226" s="53" t="s">
        <v>554</v>
      </c>
      <c r="K226" s="52"/>
      <c r="L226" s="52"/>
      <c r="M226" s="53" t="s">
        <v>554</v>
      </c>
      <c r="N226" s="5" t="s">
        <v>2856</v>
      </c>
      <c r="O226" s="6" t="s">
        <v>554</v>
      </c>
      <c r="P226" s="52" t="s">
        <v>1078</v>
      </c>
      <c r="Q226" s="54" t="n">
        <f aca="false">Arch!D22</f>
        <v>3965</v>
      </c>
      <c r="R226" s="53" t="s">
        <v>554</v>
      </c>
      <c r="S226" s="83" t="str">
        <f aca="false">IF(OR($H226="—",$H226=""),"—",IF(ISNUMBER(MATCH($H226,SRC_HW!$A$5:$A$400,0)),INDEX(SRC_HW!$O$5:$O$400,MATCH($H226,SRC_HW!$A$5:$A$400,0)),IF(ISNUMBER(MATCH($H226,SRC_DC!$A$5:$A$400,0)),INDEX(SRC_DC!$O$5:$O$400,MATCH($H226,SRC_DC!$A$5:$A$400,0)),IF(ISNUMBER(MATCH($H226,SRC_Model!$A$5:$A$400,0)),INDEX(SRC_Model!$O$5:$O$400,MATCH($H226,SRC_Model!$A$5:$A$400,0)),IF(ISNUMBER(MATCH($H226,SRC_Perf!$A$5:$A$400,0)),INDEX(SRC_Perf!$O$5:$O$400,MATCH($H226,SRC_Perf!$A$5:$A$400,0)),"不存在")))))</f>
        <v>—</v>
      </c>
      <c r="T226" s="83" t="str">
        <f aca="false">IF(OR($H226="—",$H226=""),"—",IF(ISNUMBER(MATCH($H226,SRC_HW!$A$5:$A$400,0)),INDEX(SRC_HW!$K$5:$K$400,MATCH($H226,SRC_HW!$A$5:$A$400,0)),IF(ISNUMBER(MATCH($H226,SRC_DC!$A$5:$A$400,0)),INDEX(SRC_DC!$K$5:$K$400,MATCH($H226,SRC_DC!$A$5:$A$400,0)),IF(ISNUMBER(MATCH($H226,SRC_Model!$A$5:$A$400,0)),INDEX(SRC_Model!$K$5:$K$400,MATCH($H226,SRC_Model!$A$5:$A$400,0)),IF(ISNUMBER(MATCH($H226,SRC_Perf!$A$5:$A$400,0)),INDEX(SRC_Perf!$K$5:$K$400,MATCH($H226,SRC_Perf!$A$5:$A$400,0)),"不存在")))))</f>
        <v>—</v>
      </c>
      <c r="U226" s="52" t="s">
        <v>2302</v>
      </c>
      <c r="V226" s="103" t="n">
        <f aca="false">IF(AND($F226="原始數據",$U226&lt;&gt;"連結 SRC"),1,0)</f>
        <v>0</v>
      </c>
      <c r="W226" s="103" t="n">
        <f aca="false">IF(AND($F226="Analogy",OR($H226="—",$H226="")),1,0)</f>
        <v>0</v>
      </c>
      <c r="X226" s="103" t="n">
        <f aca="false">IF(AND(OR($F226="Analogy",$F226="Assumed"),$G226&lt;&gt;"低",$G226&lt;&gt;"高",NOT(ISNUMBER($K226)),NOT(ISNUMBER($L226)),OR($M226="—",$M226="")),1,0)</f>
        <v>0</v>
      </c>
      <c r="Y226" s="103" t="n">
        <f aca="false">IF(AND(OR($F226="Analogy",$F226="Assumed",$F226="Derived（待改公式）",$F226="Derived（公式）"),OR($N226="—",$N226="",$N226=0)),1,0)</f>
        <v>0</v>
      </c>
      <c r="Z226" s="103" t="n">
        <f aca="false">IF(AND($F226="Decision",OR($J226="—",$J226="")),1,0)</f>
        <v>0</v>
      </c>
      <c r="AA226" s="84" t="n">
        <f aca="false">IF(OR($J226="—",$J226=""),0,IF(COUNTIF(Decisions!$A$5:$A$300,$J226)=0,1,0))</f>
        <v>0</v>
      </c>
      <c r="AB226" s="103" t="n">
        <f aca="false">IF(AND($F226="原始數據",$S226&lt;&gt;"Active"),1,0)</f>
        <v>0</v>
      </c>
      <c r="AC226" s="103" t="n">
        <f aca="false">IF(AND(ISNUMBER($K226),ISNUMBER($L226),ISNUMBER($Q226)),IF(OR($Q226&lt;MIN($K226,$L226),$Q226&gt;MAX($K226,$L226)),1,0),0)</f>
        <v>0</v>
      </c>
      <c r="AD226" s="103" t="n">
        <f aca="false">IF(AND(ISNUMBER($T226),$P226="高"),IF($T226=3,1,0),0)</f>
        <v>0</v>
      </c>
      <c r="AE226" s="103" t="n">
        <f aca="false">IF(AND($S226="不存在",$B226="切片一"),1,0)</f>
        <v>0</v>
      </c>
    </row>
    <row r="227" customFormat="false" ht="44" hidden="false" customHeight="false" outlineLevel="0" collapsed="false">
      <c r="A227" s="53" t="s">
        <v>2863</v>
      </c>
      <c r="B227" s="52" t="s">
        <v>2297</v>
      </c>
      <c r="C227" s="53" t="s">
        <v>2762</v>
      </c>
      <c r="D227" s="53" t="s">
        <v>2864</v>
      </c>
      <c r="E227" s="6" t="s">
        <v>259</v>
      </c>
      <c r="F227" s="53" t="s">
        <v>2812</v>
      </c>
      <c r="G227" s="52" t="s">
        <v>2299</v>
      </c>
      <c r="H227" s="53" t="s">
        <v>554</v>
      </c>
      <c r="I227" s="6" t="s">
        <v>554</v>
      </c>
      <c r="J227" s="53" t="s">
        <v>554</v>
      </c>
      <c r="K227" s="52"/>
      <c r="L227" s="52"/>
      <c r="M227" s="53" t="s">
        <v>554</v>
      </c>
      <c r="N227" s="5" t="s">
        <v>2856</v>
      </c>
      <c r="O227" s="6" t="s">
        <v>554</v>
      </c>
      <c r="P227" s="52" t="s">
        <v>1078</v>
      </c>
      <c r="Q227" s="54" t="n">
        <f aca="false">Arch!E22</f>
        <v>57600</v>
      </c>
      <c r="R227" s="53" t="s">
        <v>554</v>
      </c>
      <c r="S227" s="83" t="str">
        <f aca="false">IF(OR($H227="—",$H227=""),"—",IF(ISNUMBER(MATCH($H227,SRC_HW!$A$5:$A$400,0)),INDEX(SRC_HW!$O$5:$O$400,MATCH($H227,SRC_HW!$A$5:$A$400,0)),IF(ISNUMBER(MATCH($H227,SRC_DC!$A$5:$A$400,0)),INDEX(SRC_DC!$O$5:$O$400,MATCH($H227,SRC_DC!$A$5:$A$400,0)),IF(ISNUMBER(MATCH($H227,SRC_Model!$A$5:$A$400,0)),INDEX(SRC_Model!$O$5:$O$400,MATCH($H227,SRC_Model!$A$5:$A$400,0)),IF(ISNUMBER(MATCH($H227,SRC_Perf!$A$5:$A$400,0)),INDEX(SRC_Perf!$O$5:$O$400,MATCH($H227,SRC_Perf!$A$5:$A$400,0)),"不存在")))))</f>
        <v>—</v>
      </c>
      <c r="T227" s="83" t="str">
        <f aca="false">IF(OR($H227="—",$H227=""),"—",IF(ISNUMBER(MATCH($H227,SRC_HW!$A$5:$A$400,0)),INDEX(SRC_HW!$K$5:$K$400,MATCH($H227,SRC_HW!$A$5:$A$400,0)),IF(ISNUMBER(MATCH($H227,SRC_DC!$A$5:$A$400,0)),INDEX(SRC_DC!$K$5:$K$400,MATCH($H227,SRC_DC!$A$5:$A$400,0)),IF(ISNUMBER(MATCH($H227,SRC_Model!$A$5:$A$400,0)),INDEX(SRC_Model!$K$5:$K$400,MATCH($H227,SRC_Model!$A$5:$A$400,0)),IF(ISNUMBER(MATCH($H227,SRC_Perf!$A$5:$A$400,0)),INDEX(SRC_Perf!$K$5:$K$400,MATCH($H227,SRC_Perf!$A$5:$A$400,0)),"不存在")))))</f>
        <v>—</v>
      </c>
      <c r="U227" s="52" t="s">
        <v>2302</v>
      </c>
      <c r="V227" s="103" t="n">
        <f aca="false">IF(AND($F227="原始數據",$U227&lt;&gt;"連結 SRC"),1,0)</f>
        <v>0</v>
      </c>
      <c r="W227" s="103" t="n">
        <f aca="false">IF(AND($F227="Analogy",OR($H227="—",$H227="")),1,0)</f>
        <v>0</v>
      </c>
      <c r="X227" s="103" t="n">
        <f aca="false">IF(AND(OR($F227="Analogy",$F227="Assumed"),$G227&lt;&gt;"低",$G227&lt;&gt;"高",NOT(ISNUMBER($K227)),NOT(ISNUMBER($L227)),OR($M227="—",$M227="")),1,0)</f>
        <v>0</v>
      </c>
      <c r="Y227" s="103" t="n">
        <f aca="false">IF(AND(OR($F227="Analogy",$F227="Assumed",$F227="Derived（待改公式）",$F227="Derived（公式）"),OR($N227="—",$N227="",$N227=0)),1,0)</f>
        <v>0</v>
      </c>
      <c r="Z227" s="103" t="n">
        <f aca="false">IF(AND($F227="Decision",OR($J227="—",$J227="")),1,0)</f>
        <v>0</v>
      </c>
      <c r="AA227" s="84" t="n">
        <f aca="false">IF(OR($J227="—",$J227=""),0,IF(COUNTIF(Decisions!$A$5:$A$300,$J227)=0,1,0))</f>
        <v>0</v>
      </c>
      <c r="AB227" s="103" t="n">
        <f aca="false">IF(AND($F227="原始數據",$S227&lt;&gt;"Active"),1,0)</f>
        <v>0</v>
      </c>
      <c r="AC227" s="103" t="n">
        <f aca="false">IF(AND(ISNUMBER($K227),ISNUMBER($L227),ISNUMBER($Q227)),IF(OR($Q227&lt;MIN($K227,$L227),$Q227&gt;MAX($K227,$L227)),1,0),0)</f>
        <v>0</v>
      </c>
      <c r="AD227" s="103" t="n">
        <f aca="false">IF(AND(ISNUMBER($T227),$P227="高"),IF($T227=3,1,0),0)</f>
        <v>0</v>
      </c>
      <c r="AE227" s="103" t="n">
        <f aca="false">IF(AND($S227="不存在",$B227="切片一"),1,0)</f>
        <v>0</v>
      </c>
    </row>
    <row r="228" customFormat="false" ht="44" hidden="false" customHeight="false" outlineLevel="0" collapsed="false">
      <c r="A228" s="53" t="s">
        <v>2865</v>
      </c>
      <c r="B228" s="52" t="s">
        <v>2297</v>
      </c>
      <c r="C228" s="53" t="s">
        <v>2762</v>
      </c>
      <c r="D228" s="53" t="s">
        <v>2565</v>
      </c>
      <c r="E228" s="6" t="s">
        <v>261</v>
      </c>
      <c r="F228" s="53" t="s">
        <v>2812</v>
      </c>
      <c r="G228" s="52" t="s">
        <v>2299</v>
      </c>
      <c r="H228" s="53" t="s">
        <v>554</v>
      </c>
      <c r="I228" s="6" t="s">
        <v>554</v>
      </c>
      <c r="J228" s="53" t="s">
        <v>554</v>
      </c>
      <c r="K228" s="52"/>
      <c r="L228" s="52"/>
      <c r="M228" s="53" t="s">
        <v>554</v>
      </c>
      <c r="N228" s="5" t="s">
        <v>2856</v>
      </c>
      <c r="O228" s="6" t="s">
        <v>554</v>
      </c>
      <c r="P228" s="52" t="s">
        <v>2307</v>
      </c>
      <c r="Q228" s="54" t="n">
        <f aca="false">Arch!C23</f>
        <v>2795</v>
      </c>
      <c r="R228" s="53" t="s">
        <v>554</v>
      </c>
      <c r="S228" s="83" t="str">
        <f aca="false">IF(OR($H228="—",$H228=""),"—",IF(ISNUMBER(MATCH($H228,SRC_HW!$A$5:$A$400,0)),INDEX(SRC_HW!$O$5:$O$400,MATCH($H228,SRC_HW!$A$5:$A$400,0)),IF(ISNUMBER(MATCH($H228,SRC_DC!$A$5:$A$400,0)),INDEX(SRC_DC!$O$5:$O$400,MATCH($H228,SRC_DC!$A$5:$A$400,0)),IF(ISNUMBER(MATCH($H228,SRC_Model!$A$5:$A$400,0)),INDEX(SRC_Model!$O$5:$O$400,MATCH($H228,SRC_Model!$A$5:$A$400,0)),IF(ISNUMBER(MATCH($H228,SRC_Perf!$A$5:$A$400,0)),INDEX(SRC_Perf!$O$5:$O$400,MATCH($H228,SRC_Perf!$A$5:$A$400,0)),"不存在")))))</f>
        <v>—</v>
      </c>
      <c r="T228" s="83" t="str">
        <f aca="false">IF(OR($H228="—",$H228=""),"—",IF(ISNUMBER(MATCH($H228,SRC_HW!$A$5:$A$400,0)),INDEX(SRC_HW!$K$5:$K$400,MATCH($H228,SRC_HW!$A$5:$A$400,0)),IF(ISNUMBER(MATCH($H228,SRC_DC!$A$5:$A$400,0)),INDEX(SRC_DC!$K$5:$K$400,MATCH($H228,SRC_DC!$A$5:$A$400,0)),IF(ISNUMBER(MATCH($H228,SRC_Model!$A$5:$A$400,0)),INDEX(SRC_Model!$K$5:$K$400,MATCH($H228,SRC_Model!$A$5:$A$400,0)),IF(ISNUMBER(MATCH($H228,SRC_Perf!$A$5:$A$400,0)),INDEX(SRC_Perf!$K$5:$K$400,MATCH($H228,SRC_Perf!$A$5:$A$400,0)),"不存在")))))</f>
        <v>—</v>
      </c>
      <c r="U228" s="52" t="s">
        <v>2302</v>
      </c>
      <c r="V228" s="103" t="n">
        <f aca="false">IF(AND($F228="原始數據",$U228&lt;&gt;"連結 SRC"),1,0)</f>
        <v>0</v>
      </c>
      <c r="W228" s="103" t="n">
        <f aca="false">IF(AND($F228="Analogy",OR($H228="—",$H228="")),1,0)</f>
        <v>0</v>
      </c>
      <c r="X228" s="103" t="n">
        <f aca="false">IF(AND(OR($F228="Analogy",$F228="Assumed"),$G228&lt;&gt;"低",$G228&lt;&gt;"高",NOT(ISNUMBER($K228)),NOT(ISNUMBER($L228)),OR($M228="—",$M228="")),1,0)</f>
        <v>0</v>
      </c>
      <c r="Y228" s="103" t="n">
        <f aca="false">IF(AND(OR($F228="Analogy",$F228="Assumed",$F228="Derived（待改公式）",$F228="Derived（公式）"),OR($N228="—",$N228="",$N228=0)),1,0)</f>
        <v>0</v>
      </c>
      <c r="Z228" s="103" t="n">
        <f aca="false">IF(AND($F228="Decision",OR($J228="—",$J228="")),1,0)</f>
        <v>0</v>
      </c>
      <c r="AA228" s="84" t="n">
        <f aca="false">IF(OR($J228="—",$J228=""),0,IF(COUNTIF(Decisions!$A$5:$A$300,$J228)=0,1,0))</f>
        <v>0</v>
      </c>
      <c r="AB228" s="103" t="n">
        <f aca="false">IF(AND($F228="原始數據",$S228&lt;&gt;"Active"),1,0)</f>
        <v>0</v>
      </c>
      <c r="AC228" s="103" t="n">
        <f aca="false">IF(AND(ISNUMBER($K228),ISNUMBER($L228),ISNUMBER($Q228)),IF(OR($Q228&lt;MIN($K228,$L228),$Q228&gt;MAX($K228,$L228)),1,0),0)</f>
        <v>0</v>
      </c>
      <c r="AD228" s="103" t="n">
        <f aca="false">IF(AND(ISNUMBER($T228),$P228="高"),IF($T228=3,1,0),0)</f>
        <v>0</v>
      </c>
      <c r="AE228" s="103" t="n">
        <f aca="false">IF(AND($S228="不存在",$B228="切片一"),1,0)</f>
        <v>0</v>
      </c>
    </row>
    <row r="229" customFormat="false" ht="44" hidden="false" customHeight="false" outlineLevel="0" collapsed="false">
      <c r="A229" s="53" t="s">
        <v>2866</v>
      </c>
      <c r="B229" s="52" t="s">
        <v>2297</v>
      </c>
      <c r="C229" s="53" t="s">
        <v>2762</v>
      </c>
      <c r="D229" s="53" t="s">
        <v>2435</v>
      </c>
      <c r="E229" s="6" t="s">
        <v>261</v>
      </c>
      <c r="F229" s="53" t="s">
        <v>2812</v>
      </c>
      <c r="G229" s="52" t="s">
        <v>2299</v>
      </c>
      <c r="H229" s="53" t="s">
        <v>554</v>
      </c>
      <c r="I229" s="6" t="s">
        <v>554</v>
      </c>
      <c r="J229" s="53" t="s">
        <v>554</v>
      </c>
      <c r="K229" s="52"/>
      <c r="L229" s="52"/>
      <c r="M229" s="53" t="s">
        <v>554</v>
      </c>
      <c r="N229" s="5" t="s">
        <v>2856</v>
      </c>
      <c r="O229" s="6" t="s">
        <v>554</v>
      </c>
      <c r="P229" s="52" t="s">
        <v>2307</v>
      </c>
      <c r="Q229" s="54" t="n">
        <f aca="false">Arch!D23</f>
        <v>3965</v>
      </c>
      <c r="R229" s="53" t="s">
        <v>554</v>
      </c>
      <c r="S229" s="83" t="str">
        <f aca="false">IF(OR($H229="—",$H229=""),"—",IF(ISNUMBER(MATCH($H229,SRC_HW!$A$5:$A$400,0)),INDEX(SRC_HW!$O$5:$O$400,MATCH($H229,SRC_HW!$A$5:$A$400,0)),IF(ISNUMBER(MATCH($H229,SRC_DC!$A$5:$A$400,0)),INDEX(SRC_DC!$O$5:$O$400,MATCH($H229,SRC_DC!$A$5:$A$400,0)),IF(ISNUMBER(MATCH($H229,SRC_Model!$A$5:$A$400,0)),INDEX(SRC_Model!$O$5:$O$400,MATCH($H229,SRC_Model!$A$5:$A$400,0)),IF(ISNUMBER(MATCH($H229,SRC_Perf!$A$5:$A$400,0)),INDEX(SRC_Perf!$O$5:$O$400,MATCH($H229,SRC_Perf!$A$5:$A$400,0)),"不存在")))))</f>
        <v>—</v>
      </c>
      <c r="T229" s="83" t="str">
        <f aca="false">IF(OR($H229="—",$H229=""),"—",IF(ISNUMBER(MATCH($H229,SRC_HW!$A$5:$A$400,0)),INDEX(SRC_HW!$K$5:$K$400,MATCH($H229,SRC_HW!$A$5:$A$400,0)),IF(ISNUMBER(MATCH($H229,SRC_DC!$A$5:$A$400,0)),INDEX(SRC_DC!$K$5:$K$400,MATCH($H229,SRC_DC!$A$5:$A$400,0)),IF(ISNUMBER(MATCH($H229,SRC_Model!$A$5:$A$400,0)),INDEX(SRC_Model!$K$5:$K$400,MATCH($H229,SRC_Model!$A$5:$A$400,0)),IF(ISNUMBER(MATCH($H229,SRC_Perf!$A$5:$A$400,0)),INDEX(SRC_Perf!$K$5:$K$400,MATCH($H229,SRC_Perf!$A$5:$A$400,0)),"不存在")))))</f>
        <v>—</v>
      </c>
      <c r="U229" s="52" t="s">
        <v>2302</v>
      </c>
      <c r="V229" s="103" t="n">
        <f aca="false">IF(AND($F229="原始數據",$U229&lt;&gt;"連結 SRC"),1,0)</f>
        <v>0</v>
      </c>
      <c r="W229" s="103" t="n">
        <f aca="false">IF(AND($F229="Analogy",OR($H229="—",$H229="")),1,0)</f>
        <v>0</v>
      </c>
      <c r="X229" s="103" t="n">
        <f aca="false">IF(AND(OR($F229="Analogy",$F229="Assumed"),$G229&lt;&gt;"低",$G229&lt;&gt;"高",NOT(ISNUMBER($K229)),NOT(ISNUMBER($L229)),OR($M229="—",$M229="")),1,0)</f>
        <v>0</v>
      </c>
      <c r="Y229" s="103" t="n">
        <f aca="false">IF(AND(OR($F229="Analogy",$F229="Assumed",$F229="Derived（待改公式）",$F229="Derived（公式）"),OR($N229="—",$N229="",$N229=0)),1,0)</f>
        <v>0</v>
      </c>
      <c r="Z229" s="103" t="n">
        <f aca="false">IF(AND($F229="Decision",OR($J229="—",$J229="")),1,0)</f>
        <v>0</v>
      </c>
      <c r="AA229" s="84" t="n">
        <f aca="false">IF(OR($J229="—",$J229=""),0,IF(COUNTIF(Decisions!$A$5:$A$300,$J229)=0,1,0))</f>
        <v>0</v>
      </c>
      <c r="AB229" s="103" t="n">
        <f aca="false">IF(AND($F229="原始數據",$S229&lt;&gt;"Active"),1,0)</f>
        <v>0</v>
      </c>
      <c r="AC229" s="103" t="n">
        <f aca="false">IF(AND(ISNUMBER($K229),ISNUMBER($L229),ISNUMBER($Q229)),IF(OR($Q229&lt;MIN($K229,$L229),$Q229&gt;MAX($K229,$L229)),1,0),0)</f>
        <v>0</v>
      </c>
      <c r="AD229" s="103" t="n">
        <f aca="false">IF(AND(ISNUMBER($T229),$P229="高"),IF($T229=3,1,0),0)</f>
        <v>0</v>
      </c>
      <c r="AE229" s="103" t="n">
        <f aca="false">IF(AND($S229="不存在",$B229="切片一"),1,0)</f>
        <v>0</v>
      </c>
    </row>
    <row r="230" customFormat="false" ht="44" hidden="false" customHeight="false" outlineLevel="0" collapsed="false">
      <c r="A230" s="53" t="s">
        <v>2867</v>
      </c>
      <c r="B230" s="52" t="s">
        <v>2297</v>
      </c>
      <c r="C230" s="53" t="s">
        <v>2762</v>
      </c>
      <c r="D230" s="53" t="s">
        <v>2439</v>
      </c>
      <c r="E230" s="6" t="s">
        <v>261</v>
      </c>
      <c r="F230" s="53" t="s">
        <v>2812</v>
      </c>
      <c r="G230" s="52" t="s">
        <v>2299</v>
      </c>
      <c r="H230" s="53" t="s">
        <v>554</v>
      </c>
      <c r="I230" s="6" t="s">
        <v>554</v>
      </c>
      <c r="J230" s="53" t="s">
        <v>554</v>
      </c>
      <c r="K230" s="52"/>
      <c r="L230" s="52"/>
      <c r="M230" s="53" t="s">
        <v>554</v>
      </c>
      <c r="N230" s="5" t="s">
        <v>2856</v>
      </c>
      <c r="O230" s="6" t="s">
        <v>554</v>
      </c>
      <c r="P230" s="52" t="s">
        <v>2307</v>
      </c>
      <c r="Q230" s="54" t="n">
        <f aca="false">Arch!E23</f>
        <v>204800</v>
      </c>
      <c r="R230" s="53" t="s">
        <v>554</v>
      </c>
      <c r="S230" s="83" t="str">
        <f aca="false">IF(OR($H230="—",$H230=""),"—",IF(ISNUMBER(MATCH($H230,SRC_HW!$A$5:$A$400,0)),INDEX(SRC_HW!$O$5:$O$400,MATCH($H230,SRC_HW!$A$5:$A$400,0)),IF(ISNUMBER(MATCH($H230,SRC_DC!$A$5:$A$400,0)),INDEX(SRC_DC!$O$5:$O$400,MATCH($H230,SRC_DC!$A$5:$A$400,0)),IF(ISNUMBER(MATCH($H230,SRC_Model!$A$5:$A$400,0)),INDEX(SRC_Model!$O$5:$O$400,MATCH($H230,SRC_Model!$A$5:$A$400,0)),IF(ISNUMBER(MATCH($H230,SRC_Perf!$A$5:$A$400,0)),INDEX(SRC_Perf!$O$5:$O$400,MATCH($H230,SRC_Perf!$A$5:$A$400,0)),"不存在")))))</f>
        <v>—</v>
      </c>
      <c r="T230" s="83" t="str">
        <f aca="false">IF(OR($H230="—",$H230=""),"—",IF(ISNUMBER(MATCH($H230,SRC_HW!$A$5:$A$400,0)),INDEX(SRC_HW!$K$5:$K$400,MATCH($H230,SRC_HW!$A$5:$A$400,0)),IF(ISNUMBER(MATCH($H230,SRC_DC!$A$5:$A$400,0)),INDEX(SRC_DC!$K$5:$K$400,MATCH($H230,SRC_DC!$A$5:$A$400,0)),IF(ISNUMBER(MATCH($H230,SRC_Model!$A$5:$A$400,0)),INDEX(SRC_Model!$K$5:$K$400,MATCH($H230,SRC_Model!$A$5:$A$400,0)),IF(ISNUMBER(MATCH($H230,SRC_Perf!$A$5:$A$400,0)),INDEX(SRC_Perf!$K$5:$K$400,MATCH($H230,SRC_Perf!$A$5:$A$400,0)),"不存在")))))</f>
        <v>—</v>
      </c>
      <c r="U230" s="52" t="s">
        <v>2302</v>
      </c>
      <c r="V230" s="103" t="n">
        <f aca="false">IF(AND($F230="原始數據",$U230&lt;&gt;"連結 SRC"),1,0)</f>
        <v>0</v>
      </c>
      <c r="W230" s="103" t="n">
        <f aca="false">IF(AND($F230="Analogy",OR($H230="—",$H230="")),1,0)</f>
        <v>0</v>
      </c>
      <c r="X230" s="103" t="n">
        <f aca="false">IF(AND(OR($F230="Analogy",$F230="Assumed"),$G230&lt;&gt;"低",$G230&lt;&gt;"高",NOT(ISNUMBER($K230)),NOT(ISNUMBER($L230)),OR($M230="—",$M230="")),1,0)</f>
        <v>0</v>
      </c>
      <c r="Y230" s="103" t="n">
        <f aca="false">IF(AND(OR($F230="Analogy",$F230="Assumed",$F230="Derived（待改公式）",$F230="Derived（公式）"),OR($N230="—",$N230="",$N230=0)),1,0)</f>
        <v>0</v>
      </c>
      <c r="Z230" s="103" t="n">
        <f aca="false">IF(AND($F230="Decision",OR($J230="—",$J230="")),1,0)</f>
        <v>0</v>
      </c>
      <c r="AA230" s="84" t="n">
        <f aca="false">IF(OR($J230="—",$J230=""),0,IF(COUNTIF(Decisions!$A$5:$A$300,$J230)=0,1,0))</f>
        <v>0</v>
      </c>
      <c r="AB230" s="103" t="n">
        <f aca="false">IF(AND($F230="原始數據",$S230&lt;&gt;"Active"),1,0)</f>
        <v>0</v>
      </c>
      <c r="AC230" s="103" t="n">
        <f aca="false">IF(AND(ISNUMBER($K230),ISNUMBER($L230),ISNUMBER($Q230)),IF(OR($Q230&lt;MIN($K230,$L230),$Q230&gt;MAX($K230,$L230)),1,0),0)</f>
        <v>0</v>
      </c>
      <c r="AD230" s="103" t="n">
        <f aca="false">IF(AND(ISNUMBER($T230),$P230="高"),IF($T230=3,1,0),0)</f>
        <v>0</v>
      </c>
      <c r="AE230" s="103" t="n">
        <f aca="false">IF(AND($S230="不存在",$B230="切片一"),1,0)</f>
        <v>0</v>
      </c>
    </row>
    <row r="231" customFormat="false" ht="29.85" hidden="false" customHeight="false" outlineLevel="0" collapsed="false">
      <c r="A231" s="53" t="s">
        <v>2868</v>
      </c>
      <c r="B231" s="52" t="s">
        <v>2297</v>
      </c>
      <c r="C231" s="53" t="s">
        <v>2869</v>
      </c>
      <c r="D231" s="53" t="s">
        <v>2461</v>
      </c>
      <c r="E231" s="6" t="s">
        <v>282</v>
      </c>
      <c r="F231" s="53" t="s">
        <v>74</v>
      </c>
      <c r="G231" s="52" t="s">
        <v>2299</v>
      </c>
      <c r="H231" s="53" t="s">
        <v>2870</v>
      </c>
      <c r="I231" s="5" t="s">
        <v>2871</v>
      </c>
      <c r="J231" s="53" t="s">
        <v>554</v>
      </c>
      <c r="K231" s="128" t="n">
        <v>1</v>
      </c>
      <c r="L231" s="128" t="n">
        <v>5</v>
      </c>
      <c r="M231" s="53" t="s">
        <v>2872</v>
      </c>
      <c r="N231" s="204" t="str">
        <f aca="false">Serving!$F$6</f>
        <v>DeepSeek MTP；區間 1–5</v>
      </c>
      <c r="O231" s="6" t="s">
        <v>554</v>
      </c>
      <c r="P231" s="52" t="s">
        <v>1078</v>
      </c>
      <c r="Q231" s="84" t="n">
        <f aca="false">Serving!C6</f>
        <v>3</v>
      </c>
      <c r="R231" s="83" t="n">
        <f aca="false">SRC_PERF_035</f>
        <v>3</v>
      </c>
      <c r="S231" s="83" t="str">
        <f aca="false">IF(OR($H231="—",$H231=""),"—",IF(ISNUMBER(MATCH($H231,SRC_HW!$A$5:$A$400,0)),INDEX(SRC_HW!$O$5:$O$400,MATCH($H231,SRC_HW!$A$5:$A$400,0)),IF(ISNUMBER(MATCH($H231,SRC_DC!$A$5:$A$400,0)),INDEX(SRC_DC!$O$5:$O$400,MATCH($H231,SRC_DC!$A$5:$A$400,0)),IF(ISNUMBER(MATCH($H231,SRC_Model!$A$5:$A$400,0)),INDEX(SRC_Model!$O$5:$O$400,MATCH($H231,SRC_Model!$A$5:$A$400,0)),IF(ISNUMBER(MATCH($H231,SRC_Perf!$A$5:$A$400,0)),INDEX(SRC_Perf!$O$5:$O$400,MATCH($H231,SRC_Perf!$A$5:$A$400,0)),"不存在")))))</f>
        <v>Active</v>
      </c>
      <c r="T231" s="83" t="n">
        <f aca="false">IF(OR($H231="—",$H231=""),"—",IF(ISNUMBER(MATCH($H231,SRC_HW!$A$5:$A$400,0)),INDEX(SRC_HW!$K$5:$K$400,MATCH($H231,SRC_HW!$A$5:$A$400,0)),IF(ISNUMBER(MATCH($H231,SRC_DC!$A$5:$A$400,0)),INDEX(SRC_DC!$K$5:$K$400,MATCH($H231,SRC_DC!$A$5:$A$400,0)),IF(ISNUMBER(MATCH($H231,SRC_Model!$A$5:$A$400,0)),INDEX(SRC_Model!$K$5:$K$400,MATCH($H231,SRC_Model!$A$5:$A$400,0)),IF(ISNUMBER(MATCH($H231,SRC_Perf!$A$5:$A$400,0)),INDEX(SRC_Perf!$K$5:$K$400,MATCH($H231,SRC_Perf!$A$5:$A$400,0)),"不存在")))))</f>
        <v>1</v>
      </c>
      <c r="U231" s="52" t="s">
        <v>2302</v>
      </c>
      <c r="V231" s="103" t="n">
        <f aca="false">IF(AND($F231="原始數據",$U231&lt;&gt;"連結 SRC"),1,0)</f>
        <v>0</v>
      </c>
      <c r="W231" s="103" t="n">
        <f aca="false">IF(AND($F231="Analogy",OR($H231="—",$H231="")),1,0)</f>
        <v>0</v>
      </c>
      <c r="X231" s="103" t="n">
        <f aca="false">IF(AND(OR($F231="Analogy",$F231="Assumed"),$G231&lt;&gt;"低",$G231&lt;&gt;"高",NOT(ISNUMBER($K231)),NOT(ISNUMBER($L231)),OR($M231="—",$M231="")),1,0)</f>
        <v>0</v>
      </c>
      <c r="Y231" s="103" t="n">
        <f aca="false">IF(AND(OR($F231="Analogy",$F231="Assumed",$F231="Derived（待改公式）",$F231="Derived（公式）"),OR($N231="—",$N231="",$N231=0)),1,0)</f>
        <v>0</v>
      </c>
      <c r="Z231" s="103" t="n">
        <f aca="false">IF(AND($F231="Decision",OR($J231="—",$J231="")),1,0)</f>
        <v>0</v>
      </c>
      <c r="AA231" s="84" t="n">
        <f aca="false">IF(OR($J231="—",$J231=""),0,IF(COUNTIF(Decisions!$A$5:$A$300,$J231)=0,1,0))</f>
        <v>0</v>
      </c>
      <c r="AB231" s="103" t="n">
        <f aca="false">IF(AND($F231="原始數據",$S231&lt;&gt;"Active"),1,0)</f>
        <v>0</v>
      </c>
      <c r="AC231" s="103" t="n">
        <f aca="false">IF(AND(ISNUMBER($K231),ISNUMBER($L231),ISNUMBER($Q231)),IF(OR($Q231&lt;MIN($K231,$L231),$Q231&gt;MAX($K231,$L231)),1,0),0)</f>
        <v>0</v>
      </c>
      <c r="AD231" s="103" t="n">
        <f aca="false">IF(AND(ISNUMBER($T231),$P231="高"),IF($T231=3,1,0),0)</f>
        <v>0</v>
      </c>
      <c r="AE231" s="103" t="n">
        <f aca="false">IF(AND($S231="不存在",$B231="切片一"),1,0)</f>
        <v>0</v>
      </c>
    </row>
    <row r="232" customFormat="false" ht="15" hidden="false" customHeight="false" outlineLevel="0" collapsed="false">
      <c r="A232" s="53" t="s">
        <v>2873</v>
      </c>
      <c r="B232" s="52" t="s">
        <v>2297</v>
      </c>
      <c r="C232" s="53" t="s">
        <v>2869</v>
      </c>
      <c r="D232" s="53" t="s">
        <v>2767</v>
      </c>
      <c r="E232" s="5" t="s">
        <v>284</v>
      </c>
      <c r="F232" s="52" t="s">
        <v>2337</v>
      </c>
      <c r="G232" s="52" t="s">
        <v>2299</v>
      </c>
      <c r="H232" s="53" t="s">
        <v>2874</v>
      </c>
      <c r="I232" s="5" t="s">
        <v>2339</v>
      </c>
      <c r="J232" s="53" t="s">
        <v>554</v>
      </c>
      <c r="K232" s="52"/>
      <c r="L232" s="52"/>
      <c r="M232" s="53" t="s">
        <v>554</v>
      </c>
      <c r="N232" s="5" t="s">
        <v>2340</v>
      </c>
      <c r="O232" s="6" t="s">
        <v>554</v>
      </c>
      <c r="P232" s="52" t="s">
        <v>2364</v>
      </c>
      <c r="Q232" s="56" t="n">
        <f aca="false">Serving!C7</f>
        <v>0.7</v>
      </c>
      <c r="R232" s="83" t="n">
        <f aca="false">SRC_PERF_005</f>
        <v>0.7</v>
      </c>
      <c r="S232" s="83" t="str">
        <f aca="false">IF(OR($H232="—",$H232=""),"—",IF(ISNUMBER(MATCH($H232,SRC_HW!$A$5:$A$400,0)),INDEX(SRC_HW!$O$5:$O$400,MATCH($H232,SRC_HW!$A$5:$A$400,0)),IF(ISNUMBER(MATCH($H232,SRC_DC!$A$5:$A$400,0)),INDEX(SRC_DC!$O$5:$O$400,MATCH($H232,SRC_DC!$A$5:$A$400,0)),IF(ISNUMBER(MATCH($H232,SRC_Model!$A$5:$A$400,0)),INDEX(SRC_Model!$O$5:$O$400,MATCH($H232,SRC_Model!$A$5:$A$400,0)),IF(ISNUMBER(MATCH($H232,SRC_Perf!$A$5:$A$400,0)),INDEX(SRC_Perf!$O$5:$O$400,MATCH($H232,SRC_Perf!$A$5:$A$400,0)),"不存在")))))</f>
        <v>Active</v>
      </c>
      <c r="T232" s="83" t="n">
        <f aca="false">IF(OR($H232="—",$H232=""),"—",IF(ISNUMBER(MATCH($H232,SRC_HW!$A$5:$A$400,0)),INDEX(SRC_HW!$K$5:$K$400,MATCH($H232,SRC_HW!$A$5:$A$400,0)),IF(ISNUMBER(MATCH($H232,SRC_DC!$A$5:$A$400,0)),INDEX(SRC_DC!$K$5:$K$400,MATCH($H232,SRC_DC!$A$5:$A$400,0)),IF(ISNUMBER(MATCH($H232,SRC_Model!$A$5:$A$400,0)),INDEX(SRC_Model!$K$5:$K$400,MATCH($H232,SRC_Model!$A$5:$A$400,0)),IF(ISNUMBER(MATCH($H232,SRC_Perf!$A$5:$A$400,0)),INDEX(SRC_Perf!$K$5:$K$400,MATCH($H232,SRC_Perf!$A$5:$A$400,0)),"不存在")))))</f>
        <v>1</v>
      </c>
      <c r="U232" s="52" t="s">
        <v>2341</v>
      </c>
      <c r="V232" s="103" t="n">
        <f aca="false">IF(AND($F232="原始數據",$U232&lt;&gt;"連結 SRC"),1,0)</f>
        <v>0</v>
      </c>
      <c r="W232" s="103" t="n">
        <f aca="false">IF(AND($F232="Analogy",OR($H232="—",$H232="")),1,0)</f>
        <v>0</v>
      </c>
      <c r="X232" s="103" t="n">
        <f aca="false">IF(AND(OR($F232="Analogy",$F232="Assumed"),$G232&lt;&gt;"低",$G232&lt;&gt;"高",NOT(ISNUMBER($K232)),NOT(ISNUMBER($L232)),OR($M232="—",$M232="")),1,0)</f>
        <v>0</v>
      </c>
      <c r="Y232" s="103" t="n">
        <f aca="false">IF(AND(OR($F232="Analogy",$F232="Assumed",$F232="Derived（待改公式）",$F232="Derived（公式）"),OR($N232="—",$N232="",$N232=0)),1,0)</f>
        <v>0</v>
      </c>
      <c r="Z232" s="103" t="n">
        <f aca="false">IF(AND($F232="Decision",OR($J232="—",$J232="")),1,0)</f>
        <v>0</v>
      </c>
      <c r="AA232" s="84" t="n">
        <f aca="false">IF(OR($J232="—",$J232=""),0,IF(COUNTIF(Decisions!$A$5:$A$300,$J232)=0,1,0))</f>
        <v>0</v>
      </c>
      <c r="AB232" s="103" t="n">
        <f aca="false">IF(AND($F232="原始數據",$S232&lt;&gt;"Active"),1,0)</f>
        <v>0</v>
      </c>
      <c r="AC232" s="103" t="n">
        <f aca="false">IF(AND(ISNUMBER($K232),ISNUMBER($L232),ISNUMBER($Q232)),IF(OR($Q232&lt;MIN($K232,$L232),$Q232&gt;MAX($K232,$L232)),1,0),0)</f>
        <v>0</v>
      </c>
      <c r="AD232" s="103" t="n">
        <f aca="false">IF(AND(ISNUMBER($T232),$P232="高"),IF($T232=3,1,0),0)</f>
        <v>0</v>
      </c>
      <c r="AE232" s="103" t="n">
        <f aca="false">IF(AND($S232="不存在",$B232="切片一"),1,0)</f>
        <v>0</v>
      </c>
    </row>
    <row r="233" customFormat="false" ht="29.85" hidden="false" customHeight="false" outlineLevel="0" collapsed="false">
      <c r="A233" s="53" t="s">
        <v>2875</v>
      </c>
      <c r="B233" s="52" t="s">
        <v>2297</v>
      </c>
      <c r="C233" s="53" t="s">
        <v>2869</v>
      </c>
      <c r="D233" s="53" t="s">
        <v>2489</v>
      </c>
      <c r="E233" s="6" t="s">
        <v>289</v>
      </c>
      <c r="F233" s="53" t="s">
        <v>70</v>
      </c>
      <c r="G233" s="52" t="s">
        <v>2299</v>
      </c>
      <c r="H233" s="53" t="s">
        <v>554</v>
      </c>
      <c r="I233" s="6" t="s">
        <v>554</v>
      </c>
      <c r="J233" s="53" t="s">
        <v>554</v>
      </c>
      <c r="K233" s="128" t="n">
        <v>0.05</v>
      </c>
      <c r="L233" s="128" t="n">
        <v>0.2</v>
      </c>
      <c r="M233" s="53" t="s">
        <v>2876</v>
      </c>
      <c r="N233" s="204" t="str">
        <f aca="false">Serving!$F$9</f>
        <v>區間 5–20%</v>
      </c>
      <c r="O233" s="6" t="s">
        <v>554</v>
      </c>
      <c r="P233" s="52" t="s">
        <v>2307</v>
      </c>
      <c r="Q233" s="56" t="n">
        <f aca="false">Serving!C9</f>
        <v>0.1</v>
      </c>
      <c r="R233" s="53" t="s">
        <v>554</v>
      </c>
      <c r="S233" s="83" t="str">
        <f aca="false">IF(OR($H233="—",$H233=""),"—",IF(ISNUMBER(MATCH($H233,SRC_HW!$A$5:$A$400,0)),INDEX(SRC_HW!$O$5:$O$400,MATCH($H233,SRC_HW!$A$5:$A$400,0)),IF(ISNUMBER(MATCH($H233,SRC_DC!$A$5:$A$400,0)),INDEX(SRC_DC!$O$5:$O$400,MATCH($H233,SRC_DC!$A$5:$A$400,0)),IF(ISNUMBER(MATCH($H233,SRC_Model!$A$5:$A$400,0)),INDEX(SRC_Model!$O$5:$O$400,MATCH($H233,SRC_Model!$A$5:$A$400,0)),IF(ISNUMBER(MATCH($H233,SRC_Perf!$A$5:$A$400,0)),INDEX(SRC_Perf!$O$5:$O$400,MATCH($H233,SRC_Perf!$A$5:$A$400,0)),"不存在")))))</f>
        <v>—</v>
      </c>
      <c r="T233" s="83" t="str">
        <f aca="false">IF(OR($H233="—",$H233=""),"—",IF(ISNUMBER(MATCH($H233,SRC_HW!$A$5:$A$400,0)),INDEX(SRC_HW!$K$5:$K$400,MATCH($H233,SRC_HW!$A$5:$A$400,0)),IF(ISNUMBER(MATCH($H233,SRC_DC!$A$5:$A$400,0)),INDEX(SRC_DC!$K$5:$K$400,MATCH($H233,SRC_DC!$A$5:$A$400,0)),IF(ISNUMBER(MATCH($H233,SRC_Model!$A$5:$A$400,0)),INDEX(SRC_Model!$K$5:$K$400,MATCH($H233,SRC_Model!$A$5:$A$400,0)),IF(ISNUMBER(MATCH($H233,SRC_Perf!$A$5:$A$400,0)),INDEX(SRC_Perf!$K$5:$K$400,MATCH($H233,SRC_Perf!$A$5:$A$400,0)),"不存在")))))</f>
        <v>—</v>
      </c>
      <c r="U233" s="52" t="s">
        <v>2302</v>
      </c>
      <c r="V233" s="103" t="n">
        <f aca="false">IF(AND($F233="原始數據",$U233&lt;&gt;"連結 SRC"),1,0)</f>
        <v>0</v>
      </c>
      <c r="W233" s="103" t="n">
        <f aca="false">IF(AND($F233="Analogy",OR($H233="—",$H233="")),1,0)</f>
        <v>0</v>
      </c>
      <c r="X233" s="103" t="n">
        <f aca="false">IF(AND(OR($F233="Analogy",$F233="Assumed"),$G233&lt;&gt;"低",$G233&lt;&gt;"高",NOT(ISNUMBER($K233)),NOT(ISNUMBER($L233)),OR($M233="—",$M233="")),1,0)</f>
        <v>0</v>
      </c>
      <c r="Y233" s="103" t="n">
        <f aca="false">IF(AND(OR($F233="Analogy",$F233="Assumed",$F233="Derived（待改公式）",$F233="Derived（公式）"),OR($N233="—",$N233="",$N233=0)),1,0)</f>
        <v>0</v>
      </c>
      <c r="Z233" s="103" t="n">
        <f aca="false">IF(AND($F233="Decision",OR($J233="—",$J233="")),1,0)</f>
        <v>0</v>
      </c>
      <c r="AA233" s="84" t="n">
        <f aca="false">IF(OR($J233="—",$J233=""),0,IF(COUNTIF(Decisions!$A$5:$A$300,$J233)=0,1,0))</f>
        <v>0</v>
      </c>
      <c r="AB233" s="103" t="n">
        <f aca="false">IF(AND($F233="原始數據",$S233&lt;&gt;"Active"),1,0)</f>
        <v>0</v>
      </c>
      <c r="AC233" s="103" t="n">
        <f aca="false">IF(AND(ISNUMBER($K233),ISNUMBER($L233),ISNUMBER($Q233)),IF(OR($Q233&lt;MIN($K233,$L233),$Q233&gt;MAX($K233,$L233)),1,0),0)</f>
        <v>0</v>
      </c>
      <c r="AD233" s="103" t="n">
        <f aca="false">IF(AND(ISNUMBER($T233),$P233="高"),IF($T233=3,1,0),0)</f>
        <v>0</v>
      </c>
      <c r="AE233" s="103" t="n">
        <f aca="false">IF(AND($S233="不存在",$B233="切片一"),1,0)</f>
        <v>0</v>
      </c>
    </row>
    <row r="234" customFormat="false" ht="15" hidden="false" customHeight="false" outlineLevel="0" collapsed="false">
      <c r="A234" s="53" t="s">
        <v>2877</v>
      </c>
      <c r="B234" s="52" t="s">
        <v>2297</v>
      </c>
      <c r="C234" s="53" t="s">
        <v>2869</v>
      </c>
      <c r="D234" s="53" t="s">
        <v>2507</v>
      </c>
      <c r="E234" s="5" t="s">
        <v>291</v>
      </c>
      <c r="F234" s="53" t="s">
        <v>70</v>
      </c>
      <c r="G234" s="52" t="s">
        <v>2299</v>
      </c>
      <c r="H234" s="53" t="s">
        <v>554</v>
      </c>
      <c r="I234" s="6" t="s">
        <v>554</v>
      </c>
      <c r="J234" s="53" t="s">
        <v>554</v>
      </c>
      <c r="K234" s="128" t="n">
        <v>0.1</v>
      </c>
      <c r="L234" s="128" t="n">
        <v>0.3</v>
      </c>
      <c r="M234" s="53" t="s">
        <v>2878</v>
      </c>
      <c r="N234" s="204" t="str">
        <f aca="false">Serving!$F$10</f>
        <v>超過時自動以注意力 TP 切分</v>
      </c>
      <c r="O234" s="6" t="s">
        <v>554</v>
      </c>
      <c r="P234" s="52" t="s">
        <v>2364</v>
      </c>
      <c r="Q234" s="56" t="n">
        <f aca="false">Serving!C10</f>
        <v>0.2</v>
      </c>
      <c r="R234" s="53" t="s">
        <v>554</v>
      </c>
      <c r="S234" s="83" t="str">
        <f aca="false">IF(OR($H234="—",$H234=""),"—",IF(ISNUMBER(MATCH($H234,SRC_HW!$A$5:$A$400,0)),INDEX(SRC_HW!$O$5:$O$400,MATCH($H234,SRC_HW!$A$5:$A$400,0)),IF(ISNUMBER(MATCH($H234,SRC_DC!$A$5:$A$400,0)),INDEX(SRC_DC!$O$5:$O$400,MATCH($H234,SRC_DC!$A$5:$A$400,0)),IF(ISNUMBER(MATCH($H234,SRC_Model!$A$5:$A$400,0)),INDEX(SRC_Model!$O$5:$O$400,MATCH($H234,SRC_Model!$A$5:$A$400,0)),IF(ISNUMBER(MATCH($H234,SRC_Perf!$A$5:$A$400,0)),INDEX(SRC_Perf!$O$5:$O$400,MATCH($H234,SRC_Perf!$A$5:$A$400,0)),"不存在")))))</f>
        <v>—</v>
      </c>
      <c r="T234" s="83" t="str">
        <f aca="false">IF(OR($H234="—",$H234=""),"—",IF(ISNUMBER(MATCH($H234,SRC_HW!$A$5:$A$400,0)),INDEX(SRC_HW!$K$5:$K$400,MATCH($H234,SRC_HW!$A$5:$A$400,0)),IF(ISNUMBER(MATCH($H234,SRC_DC!$A$5:$A$400,0)),INDEX(SRC_DC!$K$5:$K$400,MATCH($H234,SRC_DC!$A$5:$A$400,0)),IF(ISNUMBER(MATCH($H234,SRC_Model!$A$5:$A$400,0)),INDEX(SRC_Model!$K$5:$K$400,MATCH($H234,SRC_Model!$A$5:$A$400,0)),IF(ISNUMBER(MATCH($H234,SRC_Perf!$A$5:$A$400,0)),INDEX(SRC_Perf!$K$5:$K$400,MATCH($H234,SRC_Perf!$A$5:$A$400,0)),"不存在")))))</f>
        <v>—</v>
      </c>
      <c r="U234" s="52" t="s">
        <v>2302</v>
      </c>
      <c r="V234" s="103" t="n">
        <f aca="false">IF(AND($F234="原始數據",$U234&lt;&gt;"連結 SRC"),1,0)</f>
        <v>0</v>
      </c>
      <c r="W234" s="103" t="n">
        <f aca="false">IF(AND($F234="Analogy",OR($H234="—",$H234="")),1,0)</f>
        <v>0</v>
      </c>
      <c r="X234" s="103" t="n">
        <f aca="false">IF(AND(OR($F234="Analogy",$F234="Assumed"),$G234&lt;&gt;"低",$G234&lt;&gt;"高",NOT(ISNUMBER($K234)),NOT(ISNUMBER($L234)),OR($M234="—",$M234="")),1,0)</f>
        <v>0</v>
      </c>
      <c r="Y234" s="103" t="n">
        <f aca="false">IF(AND(OR($F234="Analogy",$F234="Assumed",$F234="Derived（待改公式）",$F234="Derived（公式）"),OR($N234="—",$N234="",$N234=0)),1,0)</f>
        <v>0</v>
      </c>
      <c r="Z234" s="103" t="n">
        <f aca="false">IF(AND($F234="Decision",OR($J234="—",$J234="")),1,0)</f>
        <v>0</v>
      </c>
      <c r="AA234" s="84" t="n">
        <f aca="false">IF(OR($J234="—",$J234=""),0,IF(COUNTIF(Decisions!$A$5:$A$300,$J234)=0,1,0))</f>
        <v>0</v>
      </c>
      <c r="AB234" s="103" t="n">
        <f aca="false">IF(AND($F234="原始數據",$S234&lt;&gt;"Active"),1,0)</f>
        <v>0</v>
      </c>
      <c r="AC234" s="103" t="n">
        <f aca="false">IF(AND(ISNUMBER($K234),ISNUMBER($L234),ISNUMBER($Q234)),IF(OR($Q234&lt;MIN($K234,$L234),$Q234&gt;MAX($K234,$L234)),1,0),0)</f>
        <v>0</v>
      </c>
      <c r="AD234" s="103" t="n">
        <f aca="false">IF(AND(ISNUMBER($T234),$P234="高"),IF($T234=3,1,0),0)</f>
        <v>0</v>
      </c>
      <c r="AE234" s="103" t="n">
        <f aca="false">IF(AND($S234="不存在",$B234="切片一"),1,0)</f>
        <v>0</v>
      </c>
    </row>
    <row r="235" customFormat="false" ht="15" hidden="false" customHeight="false" outlineLevel="0" collapsed="false">
      <c r="A235" s="53" t="s">
        <v>2879</v>
      </c>
      <c r="B235" s="52" t="s">
        <v>2297</v>
      </c>
      <c r="C235" s="53" t="s">
        <v>2869</v>
      </c>
      <c r="D235" s="53" t="s">
        <v>2518</v>
      </c>
      <c r="E235" s="5" t="s">
        <v>293</v>
      </c>
      <c r="F235" s="53" t="s">
        <v>70</v>
      </c>
      <c r="G235" s="52" t="s">
        <v>2299</v>
      </c>
      <c r="H235" s="53" t="s">
        <v>554</v>
      </c>
      <c r="I235" s="6" t="s">
        <v>554</v>
      </c>
      <c r="J235" s="53" t="s">
        <v>554</v>
      </c>
      <c r="K235" s="128" t="n">
        <v>0.3</v>
      </c>
      <c r="L235" s="128" t="n">
        <v>0.5</v>
      </c>
      <c r="M235" s="53" t="s">
        <v>2880</v>
      </c>
      <c r="N235" s="204" t="str">
        <f aca="false">Serving!$F$11</f>
        <v>超過時自動加寬 EP</v>
      </c>
      <c r="O235" s="6" t="s">
        <v>554</v>
      </c>
      <c r="P235" s="52" t="s">
        <v>2307</v>
      </c>
      <c r="Q235" s="56" t="n">
        <f aca="false">Serving!C11</f>
        <v>0.4</v>
      </c>
      <c r="R235" s="53" t="s">
        <v>554</v>
      </c>
      <c r="S235" s="83" t="str">
        <f aca="false">IF(OR($H235="—",$H235=""),"—",IF(ISNUMBER(MATCH($H235,SRC_HW!$A$5:$A$400,0)),INDEX(SRC_HW!$O$5:$O$400,MATCH($H235,SRC_HW!$A$5:$A$400,0)),IF(ISNUMBER(MATCH($H235,SRC_DC!$A$5:$A$400,0)),INDEX(SRC_DC!$O$5:$O$400,MATCH($H235,SRC_DC!$A$5:$A$400,0)),IF(ISNUMBER(MATCH($H235,SRC_Model!$A$5:$A$400,0)),INDEX(SRC_Model!$O$5:$O$400,MATCH($H235,SRC_Model!$A$5:$A$400,0)),IF(ISNUMBER(MATCH($H235,SRC_Perf!$A$5:$A$400,0)),INDEX(SRC_Perf!$O$5:$O$400,MATCH($H235,SRC_Perf!$A$5:$A$400,0)),"不存在")))))</f>
        <v>—</v>
      </c>
      <c r="T235" s="83" t="str">
        <f aca="false">IF(OR($H235="—",$H235=""),"—",IF(ISNUMBER(MATCH($H235,SRC_HW!$A$5:$A$400,0)),INDEX(SRC_HW!$K$5:$K$400,MATCH($H235,SRC_HW!$A$5:$A$400,0)),IF(ISNUMBER(MATCH($H235,SRC_DC!$A$5:$A$400,0)),INDEX(SRC_DC!$K$5:$K$400,MATCH($H235,SRC_DC!$A$5:$A$400,0)),IF(ISNUMBER(MATCH($H235,SRC_Model!$A$5:$A$400,0)),INDEX(SRC_Model!$K$5:$K$400,MATCH($H235,SRC_Model!$A$5:$A$400,0)),IF(ISNUMBER(MATCH($H235,SRC_Perf!$A$5:$A$400,0)),INDEX(SRC_Perf!$K$5:$K$400,MATCH($H235,SRC_Perf!$A$5:$A$400,0)),"不存在")))))</f>
        <v>—</v>
      </c>
      <c r="U235" s="52" t="s">
        <v>2302</v>
      </c>
      <c r="V235" s="103" t="n">
        <f aca="false">IF(AND($F235="原始數據",$U235&lt;&gt;"連結 SRC"),1,0)</f>
        <v>0</v>
      </c>
      <c r="W235" s="103" t="n">
        <f aca="false">IF(AND($F235="Analogy",OR($H235="—",$H235="")),1,0)</f>
        <v>0</v>
      </c>
      <c r="X235" s="103" t="n">
        <f aca="false">IF(AND(OR($F235="Analogy",$F235="Assumed"),$G235&lt;&gt;"低",$G235&lt;&gt;"高",NOT(ISNUMBER($K235)),NOT(ISNUMBER($L235)),OR($M235="—",$M235="")),1,0)</f>
        <v>0</v>
      </c>
      <c r="Y235" s="103" t="n">
        <f aca="false">IF(AND(OR($F235="Analogy",$F235="Assumed",$F235="Derived（待改公式）",$F235="Derived（公式）"),OR($N235="—",$N235="",$N235=0)),1,0)</f>
        <v>0</v>
      </c>
      <c r="Z235" s="103" t="n">
        <f aca="false">IF(AND($F235="Decision",OR($J235="—",$J235="")),1,0)</f>
        <v>0</v>
      </c>
      <c r="AA235" s="84" t="n">
        <f aca="false">IF(OR($J235="—",$J235=""),0,IF(COUNTIF(Decisions!$A$5:$A$300,$J235)=0,1,0))</f>
        <v>0</v>
      </c>
      <c r="AB235" s="103" t="n">
        <f aca="false">IF(AND($F235="原始數據",$S235&lt;&gt;"Active"),1,0)</f>
        <v>0</v>
      </c>
      <c r="AC235" s="103" t="n">
        <f aca="false">IF(AND(ISNUMBER($K235),ISNUMBER($L235),ISNUMBER($Q235)),IF(OR($Q235&lt;MIN($K235,$L235),$Q235&gt;MAX($K235,$L235)),1,0),0)</f>
        <v>0</v>
      </c>
      <c r="AD235" s="103" t="n">
        <f aca="false">IF(AND(ISNUMBER($T235),$P235="高"),IF($T235=3,1,0),0)</f>
        <v>0</v>
      </c>
      <c r="AE235" s="103" t="n">
        <f aca="false">IF(AND($S235="不存在",$B235="切片一"),1,0)</f>
        <v>0</v>
      </c>
    </row>
    <row r="236" customFormat="false" ht="29.85" hidden="false" customHeight="false" outlineLevel="0" collapsed="false">
      <c r="A236" s="53" t="s">
        <v>2881</v>
      </c>
      <c r="B236" s="52" t="s">
        <v>2297</v>
      </c>
      <c r="C236" s="53" t="s">
        <v>2869</v>
      </c>
      <c r="D236" s="53" t="s">
        <v>2535</v>
      </c>
      <c r="E236" s="6" t="s">
        <v>295</v>
      </c>
      <c r="F236" s="53" t="s">
        <v>70</v>
      </c>
      <c r="G236" s="52" t="s">
        <v>2299</v>
      </c>
      <c r="H236" s="53" t="s">
        <v>554</v>
      </c>
      <c r="I236" s="6" t="s">
        <v>554</v>
      </c>
      <c r="J236" s="53" t="s">
        <v>554</v>
      </c>
      <c r="K236" s="128" t="n">
        <v>2</v>
      </c>
      <c r="L236" s="128" t="n">
        <v>4</v>
      </c>
      <c r="M236" s="53" t="s">
        <v>2882</v>
      </c>
      <c r="N236" s="204" t="str">
        <f aca="false">Serving!$F$12</f>
        <v>FP8 dispatch 1 B＋BF16 combine 2 B</v>
      </c>
      <c r="O236" s="6" t="s">
        <v>2651</v>
      </c>
      <c r="P236" s="52" t="s">
        <v>2307</v>
      </c>
      <c r="Q236" s="100" t="n">
        <f aca="false">Serving!C12</f>
        <v>3</v>
      </c>
      <c r="R236" s="53" t="s">
        <v>554</v>
      </c>
      <c r="S236" s="83" t="str">
        <f aca="false">IF(OR($H236="—",$H236=""),"—",IF(ISNUMBER(MATCH($H236,SRC_HW!$A$5:$A$400,0)),INDEX(SRC_HW!$O$5:$O$400,MATCH($H236,SRC_HW!$A$5:$A$400,0)),IF(ISNUMBER(MATCH($H236,SRC_DC!$A$5:$A$400,0)),INDEX(SRC_DC!$O$5:$O$400,MATCH($H236,SRC_DC!$A$5:$A$400,0)),IF(ISNUMBER(MATCH($H236,SRC_Model!$A$5:$A$400,0)),INDEX(SRC_Model!$O$5:$O$400,MATCH($H236,SRC_Model!$A$5:$A$400,0)),IF(ISNUMBER(MATCH($H236,SRC_Perf!$A$5:$A$400,0)),INDEX(SRC_Perf!$O$5:$O$400,MATCH($H236,SRC_Perf!$A$5:$A$400,0)),"不存在")))))</f>
        <v>—</v>
      </c>
      <c r="T236" s="83" t="str">
        <f aca="false">IF(OR($H236="—",$H236=""),"—",IF(ISNUMBER(MATCH($H236,SRC_HW!$A$5:$A$400,0)),INDEX(SRC_HW!$K$5:$K$400,MATCH($H236,SRC_HW!$A$5:$A$400,0)),IF(ISNUMBER(MATCH($H236,SRC_DC!$A$5:$A$400,0)),INDEX(SRC_DC!$K$5:$K$400,MATCH($H236,SRC_DC!$A$5:$A$400,0)),IF(ISNUMBER(MATCH($H236,SRC_Model!$A$5:$A$400,0)),INDEX(SRC_Model!$K$5:$K$400,MATCH($H236,SRC_Model!$A$5:$A$400,0)),IF(ISNUMBER(MATCH($H236,SRC_Perf!$A$5:$A$400,0)),INDEX(SRC_Perf!$K$5:$K$400,MATCH($H236,SRC_Perf!$A$5:$A$400,0)),"不存在")))))</f>
        <v>—</v>
      </c>
      <c r="U236" s="52" t="s">
        <v>2302</v>
      </c>
      <c r="V236" s="103" t="n">
        <f aca="false">IF(AND($F236="原始數據",$U236&lt;&gt;"連結 SRC"),1,0)</f>
        <v>0</v>
      </c>
      <c r="W236" s="103" t="n">
        <f aca="false">IF(AND($F236="Analogy",OR($H236="—",$H236="")),1,0)</f>
        <v>0</v>
      </c>
      <c r="X236" s="103" t="n">
        <f aca="false">IF(AND(OR($F236="Analogy",$F236="Assumed"),$G236&lt;&gt;"低",$G236&lt;&gt;"高",NOT(ISNUMBER($K236)),NOT(ISNUMBER($L236)),OR($M236="—",$M236="")),1,0)</f>
        <v>0</v>
      </c>
      <c r="Y236" s="103" t="n">
        <f aca="false">IF(AND(OR($F236="Analogy",$F236="Assumed",$F236="Derived（待改公式）",$F236="Derived（公式）"),OR($N236="—",$N236="",$N236=0)),1,0)</f>
        <v>0</v>
      </c>
      <c r="Z236" s="103" t="n">
        <f aca="false">IF(AND($F236="Decision",OR($J236="—",$J236="")),1,0)</f>
        <v>0</v>
      </c>
      <c r="AA236" s="84" t="n">
        <f aca="false">IF(OR($J236="—",$J236=""),0,IF(COUNTIF(Decisions!$A$5:$A$300,$J236)=0,1,0))</f>
        <v>0</v>
      </c>
      <c r="AB236" s="103" t="n">
        <f aca="false">IF(AND($F236="原始數據",$S236&lt;&gt;"Active"),1,0)</f>
        <v>0</v>
      </c>
      <c r="AC236" s="103" t="n">
        <f aca="false">IF(AND(ISNUMBER($K236),ISNUMBER($L236),ISNUMBER($Q236)),IF(OR($Q236&lt;MIN($K236,$L236),$Q236&gt;MAX($K236,$L236)),1,0),0)</f>
        <v>0</v>
      </c>
      <c r="AD236" s="103" t="n">
        <f aca="false">IF(AND(ISNUMBER($T236),$P236="高"),IF($T236=3,1,0),0)</f>
        <v>0</v>
      </c>
      <c r="AE236" s="103" t="n">
        <f aca="false">IF(AND($S236="不存在",$B236="切片一"),1,0)</f>
        <v>0</v>
      </c>
    </row>
    <row r="237" customFormat="false" ht="29.85" hidden="false" customHeight="false" outlineLevel="0" collapsed="false">
      <c r="A237" s="53" t="s">
        <v>2883</v>
      </c>
      <c r="B237" s="52" t="s">
        <v>2297</v>
      </c>
      <c r="C237" s="53" t="s">
        <v>2869</v>
      </c>
      <c r="D237" s="53" t="s">
        <v>2550</v>
      </c>
      <c r="E237" s="6" t="s">
        <v>297</v>
      </c>
      <c r="F237" s="53" t="s">
        <v>70</v>
      </c>
      <c r="G237" s="52" t="s">
        <v>2299</v>
      </c>
      <c r="H237" s="53" t="s">
        <v>554</v>
      </c>
      <c r="I237" s="6" t="s">
        <v>554</v>
      </c>
      <c r="J237" s="53" t="s">
        <v>554</v>
      </c>
      <c r="K237" s="128" t="n">
        <v>0.5</v>
      </c>
      <c r="L237" s="128" t="n">
        <v>0.85</v>
      </c>
      <c r="M237" s="53" t="s">
        <v>2884</v>
      </c>
      <c r="N237" s="204" t="str">
        <f aca="false">Serving!$F$13</f>
        <v>區間 0.5–0.85</v>
      </c>
      <c r="O237" s="6" t="s">
        <v>2651</v>
      </c>
      <c r="P237" s="52" t="s">
        <v>2307</v>
      </c>
      <c r="Q237" s="56" t="n">
        <f aca="false">Serving!C13</f>
        <v>0.7</v>
      </c>
      <c r="R237" s="53" t="s">
        <v>554</v>
      </c>
      <c r="S237" s="83" t="str">
        <f aca="false">IF(OR($H237="—",$H237=""),"—",IF(ISNUMBER(MATCH($H237,SRC_HW!$A$5:$A$400,0)),INDEX(SRC_HW!$O$5:$O$400,MATCH($H237,SRC_HW!$A$5:$A$400,0)),IF(ISNUMBER(MATCH($H237,SRC_DC!$A$5:$A$400,0)),INDEX(SRC_DC!$O$5:$O$400,MATCH($H237,SRC_DC!$A$5:$A$400,0)),IF(ISNUMBER(MATCH($H237,SRC_Model!$A$5:$A$400,0)),INDEX(SRC_Model!$O$5:$O$400,MATCH($H237,SRC_Model!$A$5:$A$400,0)),IF(ISNUMBER(MATCH($H237,SRC_Perf!$A$5:$A$400,0)),INDEX(SRC_Perf!$O$5:$O$400,MATCH($H237,SRC_Perf!$A$5:$A$400,0)),"不存在")))))</f>
        <v>—</v>
      </c>
      <c r="T237" s="83" t="str">
        <f aca="false">IF(OR($H237="—",$H237=""),"—",IF(ISNUMBER(MATCH($H237,SRC_HW!$A$5:$A$400,0)),INDEX(SRC_HW!$K$5:$K$400,MATCH($H237,SRC_HW!$A$5:$A$400,0)),IF(ISNUMBER(MATCH($H237,SRC_DC!$A$5:$A$400,0)),INDEX(SRC_DC!$K$5:$K$400,MATCH($H237,SRC_DC!$A$5:$A$400,0)),IF(ISNUMBER(MATCH($H237,SRC_Model!$A$5:$A$400,0)),INDEX(SRC_Model!$K$5:$K$400,MATCH($H237,SRC_Model!$A$5:$A$400,0)),IF(ISNUMBER(MATCH($H237,SRC_Perf!$A$5:$A$400,0)),INDEX(SRC_Perf!$K$5:$K$400,MATCH($H237,SRC_Perf!$A$5:$A$400,0)),"不存在")))))</f>
        <v>—</v>
      </c>
      <c r="U237" s="52" t="s">
        <v>2302</v>
      </c>
      <c r="V237" s="103" t="n">
        <f aca="false">IF(AND($F237="原始數據",$U237&lt;&gt;"連結 SRC"),1,0)</f>
        <v>0</v>
      </c>
      <c r="W237" s="103" t="n">
        <f aca="false">IF(AND($F237="Analogy",OR($H237="—",$H237="")),1,0)</f>
        <v>0</v>
      </c>
      <c r="X237" s="103" t="n">
        <f aca="false">IF(AND(OR($F237="Analogy",$F237="Assumed"),$G237&lt;&gt;"低",$G237&lt;&gt;"高",NOT(ISNUMBER($K237)),NOT(ISNUMBER($L237)),OR($M237="—",$M237="")),1,0)</f>
        <v>0</v>
      </c>
      <c r="Y237" s="103" t="n">
        <f aca="false">IF(AND(OR($F237="Analogy",$F237="Assumed",$F237="Derived（待改公式）",$F237="Derived（公式）"),OR($N237="—",$N237="",$N237=0)),1,0)</f>
        <v>0</v>
      </c>
      <c r="Z237" s="103" t="n">
        <f aca="false">IF(AND($F237="Decision",OR($J237="—",$J237="")),1,0)</f>
        <v>0</v>
      </c>
      <c r="AA237" s="84" t="n">
        <f aca="false">IF(OR($J237="—",$J237=""),0,IF(COUNTIF(Decisions!$A$5:$A$300,$J237)=0,1,0))</f>
        <v>0</v>
      </c>
      <c r="AB237" s="103" t="n">
        <f aca="false">IF(AND($F237="原始數據",$S237&lt;&gt;"Active"),1,0)</f>
        <v>0</v>
      </c>
      <c r="AC237" s="103" t="n">
        <f aca="false">IF(AND(ISNUMBER($K237),ISNUMBER($L237),ISNUMBER($Q237)),IF(OR($Q237&lt;MIN($K237,$L237),$Q237&gt;MAX($K237,$L237)),1,0),0)</f>
        <v>0</v>
      </c>
      <c r="AD237" s="103" t="n">
        <f aca="false">IF(AND(ISNUMBER($T237),$P237="高"),IF($T237=3,1,0),0)</f>
        <v>0</v>
      </c>
      <c r="AE237" s="103" t="n">
        <f aca="false">IF(AND($S237="不存在",$B237="切片一"),1,0)</f>
        <v>0</v>
      </c>
    </row>
    <row r="238" customFormat="false" ht="29.85" hidden="false" customHeight="false" outlineLevel="0" collapsed="false">
      <c r="A238" s="53" t="s">
        <v>2885</v>
      </c>
      <c r="B238" s="52" t="s">
        <v>2297</v>
      </c>
      <c r="C238" s="53" t="s">
        <v>2869</v>
      </c>
      <c r="D238" s="53" t="s">
        <v>2787</v>
      </c>
      <c r="E238" s="6" t="s">
        <v>299</v>
      </c>
      <c r="F238" s="53" t="s">
        <v>70</v>
      </c>
      <c r="G238" s="52" t="s">
        <v>2299</v>
      </c>
      <c r="H238" s="53" t="s">
        <v>554</v>
      </c>
      <c r="I238" s="6" t="s">
        <v>554</v>
      </c>
      <c r="J238" s="53" t="s">
        <v>554</v>
      </c>
      <c r="K238" s="128" t="n">
        <v>0.5</v>
      </c>
      <c r="L238" s="128" t="n">
        <v>0.85</v>
      </c>
      <c r="M238" s="53" t="s">
        <v>2884</v>
      </c>
      <c r="N238" s="204" t="str">
        <f aca="false">Serving!$F$14</f>
        <v>區間 0.5–0.85</v>
      </c>
      <c r="O238" s="6" t="s">
        <v>2651</v>
      </c>
      <c r="P238" s="52" t="s">
        <v>2307</v>
      </c>
      <c r="Q238" s="56" t="n">
        <f aca="false">Serving!C14</f>
        <v>0.7</v>
      </c>
      <c r="R238" s="53" t="s">
        <v>554</v>
      </c>
      <c r="S238" s="83" t="str">
        <f aca="false">IF(OR($H238="—",$H238=""),"—",IF(ISNUMBER(MATCH($H238,SRC_HW!$A$5:$A$400,0)),INDEX(SRC_HW!$O$5:$O$400,MATCH($H238,SRC_HW!$A$5:$A$400,0)),IF(ISNUMBER(MATCH($H238,SRC_DC!$A$5:$A$400,0)),INDEX(SRC_DC!$O$5:$O$400,MATCH($H238,SRC_DC!$A$5:$A$400,0)),IF(ISNUMBER(MATCH($H238,SRC_Model!$A$5:$A$400,0)),INDEX(SRC_Model!$O$5:$O$400,MATCH($H238,SRC_Model!$A$5:$A$400,0)),IF(ISNUMBER(MATCH($H238,SRC_Perf!$A$5:$A$400,0)),INDEX(SRC_Perf!$O$5:$O$400,MATCH($H238,SRC_Perf!$A$5:$A$400,0)),"不存在")))))</f>
        <v>—</v>
      </c>
      <c r="T238" s="83" t="str">
        <f aca="false">IF(OR($H238="—",$H238=""),"—",IF(ISNUMBER(MATCH($H238,SRC_HW!$A$5:$A$400,0)),INDEX(SRC_HW!$K$5:$K$400,MATCH($H238,SRC_HW!$A$5:$A$400,0)),IF(ISNUMBER(MATCH($H238,SRC_DC!$A$5:$A$400,0)),INDEX(SRC_DC!$K$5:$K$400,MATCH($H238,SRC_DC!$A$5:$A$400,0)),IF(ISNUMBER(MATCH($H238,SRC_Model!$A$5:$A$400,0)),INDEX(SRC_Model!$K$5:$K$400,MATCH($H238,SRC_Model!$A$5:$A$400,0)),IF(ISNUMBER(MATCH($H238,SRC_Perf!$A$5:$A$400,0)),INDEX(SRC_Perf!$K$5:$K$400,MATCH($H238,SRC_Perf!$A$5:$A$400,0)),"不存在")))))</f>
        <v>—</v>
      </c>
      <c r="U238" s="52" t="s">
        <v>2302</v>
      </c>
      <c r="V238" s="103" t="n">
        <f aca="false">IF(AND($F238="原始數據",$U238&lt;&gt;"連結 SRC"),1,0)</f>
        <v>0</v>
      </c>
      <c r="W238" s="103" t="n">
        <f aca="false">IF(AND($F238="Analogy",OR($H238="—",$H238="")),1,0)</f>
        <v>0</v>
      </c>
      <c r="X238" s="103" t="n">
        <f aca="false">IF(AND(OR($F238="Analogy",$F238="Assumed"),$G238&lt;&gt;"低",$G238&lt;&gt;"高",NOT(ISNUMBER($K238)),NOT(ISNUMBER($L238)),OR($M238="—",$M238="")),1,0)</f>
        <v>0</v>
      </c>
      <c r="Y238" s="103" t="n">
        <f aca="false">IF(AND(OR($F238="Analogy",$F238="Assumed",$F238="Derived（待改公式）",$F238="Derived（公式）"),OR($N238="—",$N238="",$N238=0)),1,0)</f>
        <v>0</v>
      </c>
      <c r="Z238" s="103" t="n">
        <f aca="false">IF(AND($F238="Decision",OR($J238="—",$J238="")),1,0)</f>
        <v>0</v>
      </c>
      <c r="AA238" s="84" t="n">
        <f aca="false">IF(OR($J238="—",$J238=""),0,IF(COUNTIF(Decisions!$A$5:$A$300,$J238)=0,1,0))</f>
        <v>0</v>
      </c>
      <c r="AB238" s="103" t="n">
        <f aca="false">IF(AND($F238="原始數據",$S238&lt;&gt;"Active"),1,0)</f>
        <v>0</v>
      </c>
      <c r="AC238" s="103" t="n">
        <f aca="false">IF(AND(ISNUMBER($K238),ISNUMBER($L238),ISNUMBER($Q238)),IF(OR($Q238&lt;MIN($K238,$L238),$Q238&gt;MAX($K238,$L238)),1,0),0)</f>
        <v>0</v>
      </c>
      <c r="AD238" s="103" t="n">
        <f aca="false">IF(AND(ISNUMBER($T238),$P238="高"),IF($T238=3,1,0),0)</f>
        <v>0</v>
      </c>
      <c r="AE238" s="103" t="n">
        <f aca="false">IF(AND($S238="不存在",$B238="切片一"),1,0)</f>
        <v>0</v>
      </c>
    </row>
    <row r="239" customFormat="false" ht="29.85" hidden="false" customHeight="false" outlineLevel="0" collapsed="false">
      <c r="A239" s="53" t="s">
        <v>2886</v>
      </c>
      <c r="B239" s="52" t="s">
        <v>2297</v>
      </c>
      <c r="C239" s="53" t="s">
        <v>2869</v>
      </c>
      <c r="D239" s="53" t="s">
        <v>2791</v>
      </c>
      <c r="E239" s="5" t="s">
        <v>300</v>
      </c>
      <c r="F239" s="53" t="s">
        <v>70</v>
      </c>
      <c r="G239" s="52" t="s">
        <v>2299</v>
      </c>
      <c r="H239" s="53" t="s">
        <v>554</v>
      </c>
      <c r="I239" s="6" t="s">
        <v>554</v>
      </c>
      <c r="J239" s="53" t="s">
        <v>554</v>
      </c>
      <c r="K239" s="128" t="n">
        <v>0.05</v>
      </c>
      <c r="L239" s="128" t="n">
        <v>0.4</v>
      </c>
      <c r="M239" s="53" t="s">
        <v>2887</v>
      </c>
      <c r="N239" s="204" t="str">
        <f aca="false">Serving!$F$15</f>
        <v>主機記憶體／SSD 經 NIC 載入；區間 0.05–0.4。未計快取儲存成本</v>
      </c>
      <c r="O239" s="6" t="s">
        <v>554</v>
      </c>
      <c r="P239" s="52" t="s">
        <v>1078</v>
      </c>
      <c r="Q239" s="89" t="n">
        <f aca="false">Serving!C15</f>
        <v>0.1</v>
      </c>
      <c r="R239" s="53" t="s">
        <v>554</v>
      </c>
      <c r="S239" s="83" t="str">
        <f aca="false">IF(OR($H239="—",$H239=""),"—",IF(ISNUMBER(MATCH($H239,SRC_HW!$A$5:$A$400,0)),INDEX(SRC_HW!$O$5:$O$400,MATCH($H239,SRC_HW!$A$5:$A$400,0)),IF(ISNUMBER(MATCH($H239,SRC_DC!$A$5:$A$400,0)),INDEX(SRC_DC!$O$5:$O$400,MATCH($H239,SRC_DC!$A$5:$A$400,0)),IF(ISNUMBER(MATCH($H239,SRC_Model!$A$5:$A$400,0)),INDEX(SRC_Model!$O$5:$O$400,MATCH($H239,SRC_Model!$A$5:$A$400,0)),IF(ISNUMBER(MATCH($H239,SRC_Perf!$A$5:$A$400,0)),INDEX(SRC_Perf!$O$5:$O$400,MATCH($H239,SRC_Perf!$A$5:$A$400,0)),"不存在")))))</f>
        <v>—</v>
      </c>
      <c r="T239" s="83" t="str">
        <f aca="false">IF(OR($H239="—",$H239=""),"—",IF(ISNUMBER(MATCH($H239,SRC_HW!$A$5:$A$400,0)),INDEX(SRC_HW!$K$5:$K$400,MATCH($H239,SRC_HW!$A$5:$A$400,0)),IF(ISNUMBER(MATCH($H239,SRC_DC!$A$5:$A$400,0)),INDEX(SRC_DC!$K$5:$K$400,MATCH($H239,SRC_DC!$A$5:$A$400,0)),IF(ISNUMBER(MATCH($H239,SRC_Model!$A$5:$A$400,0)),INDEX(SRC_Model!$K$5:$K$400,MATCH($H239,SRC_Model!$A$5:$A$400,0)),IF(ISNUMBER(MATCH($H239,SRC_Perf!$A$5:$A$400,0)),INDEX(SRC_Perf!$K$5:$K$400,MATCH($H239,SRC_Perf!$A$5:$A$400,0)),"不存在")))))</f>
        <v>—</v>
      </c>
      <c r="U239" s="52" t="s">
        <v>2302</v>
      </c>
      <c r="V239" s="103" t="n">
        <f aca="false">IF(AND($F239="原始數據",$U239&lt;&gt;"連結 SRC"),1,0)</f>
        <v>0</v>
      </c>
      <c r="W239" s="103" t="n">
        <f aca="false">IF(AND($F239="Analogy",OR($H239="—",$H239="")),1,0)</f>
        <v>0</v>
      </c>
      <c r="X239" s="103" t="n">
        <f aca="false">IF(AND(OR($F239="Analogy",$F239="Assumed"),$G239&lt;&gt;"低",$G239&lt;&gt;"高",NOT(ISNUMBER($K239)),NOT(ISNUMBER($L239)),OR($M239="—",$M239="")),1,0)</f>
        <v>0</v>
      </c>
      <c r="Y239" s="103" t="n">
        <f aca="false">IF(AND(OR($F239="Analogy",$F239="Assumed",$F239="Derived（待改公式）",$F239="Derived（公式）"),OR($N239="—",$N239="",$N239=0)),1,0)</f>
        <v>0</v>
      </c>
      <c r="Z239" s="103" t="n">
        <f aca="false">IF(AND($F239="Decision",OR($J239="—",$J239="")),1,0)</f>
        <v>0</v>
      </c>
      <c r="AA239" s="84" t="n">
        <f aca="false">IF(OR($J239="—",$J239=""),0,IF(COUNTIF(Decisions!$A$5:$A$300,$J239)=0,1,0))</f>
        <v>0</v>
      </c>
      <c r="AB239" s="103" t="n">
        <f aca="false">IF(AND($F239="原始數據",$S239&lt;&gt;"Active"),1,0)</f>
        <v>0</v>
      </c>
      <c r="AC239" s="103" t="n">
        <f aca="false">IF(AND(ISNUMBER($K239),ISNUMBER($L239),ISNUMBER($Q239)),IF(OR($Q239&lt;MIN($K239,$L239),$Q239&gt;MAX($K239,$L239)),1,0),0)</f>
        <v>0</v>
      </c>
      <c r="AD239" s="103" t="n">
        <f aca="false">IF(AND(ISNUMBER($T239),$P239="高"),IF($T239=3,1,0),0)</f>
        <v>0</v>
      </c>
      <c r="AE239" s="103" t="n">
        <f aca="false">IF(AND($S239="不存在",$B239="切片一"),1,0)</f>
        <v>0</v>
      </c>
    </row>
    <row r="240" customFormat="false" ht="44" hidden="false" customHeight="false" outlineLevel="0" collapsed="false">
      <c r="A240" s="53" t="s">
        <v>2888</v>
      </c>
      <c r="B240" s="52" t="s">
        <v>2297</v>
      </c>
      <c r="C240" s="53" t="s">
        <v>2869</v>
      </c>
      <c r="D240" s="53" t="s">
        <v>2818</v>
      </c>
      <c r="E240" s="5" t="s">
        <v>305</v>
      </c>
      <c r="F240" s="53" t="s">
        <v>70</v>
      </c>
      <c r="G240" s="52" t="s">
        <v>2299</v>
      </c>
      <c r="H240" s="53" t="s">
        <v>554</v>
      </c>
      <c r="I240" s="6" t="s">
        <v>554</v>
      </c>
      <c r="J240" s="53" t="s">
        <v>2889</v>
      </c>
      <c r="K240" s="128" t="n">
        <v>0.4</v>
      </c>
      <c r="L240" s="128" t="n">
        <v>0.8</v>
      </c>
      <c r="M240" s="53" t="s">
        <v>2890</v>
      </c>
      <c r="N240" s="204" t="str">
        <f aca="false">Serving!$F$17</f>
        <v>J6：Andy 尚未給值，暫沿用 OpenAI v0.5 的 60%（區間 40–80%）。Unit_Cost 同時輸出 100% 版</v>
      </c>
      <c r="O240" s="6" t="s">
        <v>554</v>
      </c>
      <c r="P240" s="52" t="s">
        <v>1079</v>
      </c>
      <c r="Q240" s="56" t="n">
        <f aca="false">Serving!C17</f>
        <v>0.6</v>
      </c>
      <c r="R240" s="53" t="s">
        <v>554</v>
      </c>
      <c r="S240" s="83" t="str">
        <f aca="false">IF(OR($H240="—",$H240=""),"—",IF(ISNUMBER(MATCH($H240,SRC_HW!$A$5:$A$400,0)),INDEX(SRC_HW!$O$5:$O$400,MATCH($H240,SRC_HW!$A$5:$A$400,0)),IF(ISNUMBER(MATCH($H240,SRC_DC!$A$5:$A$400,0)),INDEX(SRC_DC!$O$5:$O$400,MATCH($H240,SRC_DC!$A$5:$A$400,0)),IF(ISNUMBER(MATCH($H240,SRC_Model!$A$5:$A$400,0)),INDEX(SRC_Model!$O$5:$O$400,MATCH($H240,SRC_Model!$A$5:$A$400,0)),IF(ISNUMBER(MATCH($H240,SRC_Perf!$A$5:$A$400,0)),INDEX(SRC_Perf!$O$5:$O$400,MATCH($H240,SRC_Perf!$A$5:$A$400,0)),"不存在")))))</f>
        <v>—</v>
      </c>
      <c r="T240" s="83" t="str">
        <f aca="false">IF(OR($H240="—",$H240=""),"—",IF(ISNUMBER(MATCH($H240,SRC_HW!$A$5:$A$400,0)),INDEX(SRC_HW!$K$5:$K$400,MATCH($H240,SRC_HW!$A$5:$A$400,0)),IF(ISNUMBER(MATCH($H240,SRC_DC!$A$5:$A$400,0)),INDEX(SRC_DC!$K$5:$K$400,MATCH($H240,SRC_DC!$A$5:$A$400,0)),IF(ISNUMBER(MATCH($H240,SRC_Model!$A$5:$A$400,0)),INDEX(SRC_Model!$K$5:$K$400,MATCH($H240,SRC_Model!$A$5:$A$400,0)),IF(ISNUMBER(MATCH($H240,SRC_Perf!$A$5:$A$400,0)),INDEX(SRC_Perf!$K$5:$K$400,MATCH($H240,SRC_Perf!$A$5:$A$400,0)),"不存在")))))</f>
        <v>—</v>
      </c>
      <c r="U240" s="52" t="s">
        <v>2302</v>
      </c>
      <c r="V240" s="103" t="n">
        <f aca="false">IF(AND($F240="原始數據",$U240&lt;&gt;"連結 SRC"),1,0)</f>
        <v>0</v>
      </c>
      <c r="W240" s="103" t="n">
        <f aca="false">IF(AND($F240="Analogy",OR($H240="—",$H240="")),1,0)</f>
        <v>0</v>
      </c>
      <c r="X240" s="103" t="n">
        <f aca="false">IF(AND(OR($F240="Analogy",$F240="Assumed"),$G240&lt;&gt;"低",$G240&lt;&gt;"高",NOT(ISNUMBER($K240)),NOT(ISNUMBER($L240)),OR($M240="—",$M240="")),1,0)</f>
        <v>0</v>
      </c>
      <c r="Y240" s="103" t="n">
        <f aca="false">IF(AND(OR($F240="Analogy",$F240="Assumed",$F240="Derived（待改公式）",$F240="Derived（公式）"),OR($N240="—",$N240="",$N240=0)),1,0)</f>
        <v>0</v>
      </c>
      <c r="Z240" s="103" t="n">
        <f aca="false">IF(AND($F240="Decision",OR($J240="—",$J240="")),1,0)</f>
        <v>0</v>
      </c>
      <c r="AA240" s="84" t="n">
        <f aca="false">IF(OR($J240="—",$J240=""),0,IF(COUNTIF(Decisions!$A$5:$A$300,$J240)=0,1,0))</f>
        <v>0</v>
      </c>
      <c r="AB240" s="103" t="n">
        <f aca="false">IF(AND($F240="原始數據",$S240&lt;&gt;"Active"),1,0)</f>
        <v>0</v>
      </c>
      <c r="AC240" s="103" t="n">
        <f aca="false">IF(AND(ISNUMBER($K240),ISNUMBER($L240),ISNUMBER($Q240)),IF(OR($Q240&lt;MIN($K240,$L240),$Q240&gt;MAX($K240,$L240)),1,0),0)</f>
        <v>0</v>
      </c>
      <c r="AD240" s="103" t="n">
        <f aca="false">IF(AND(ISNUMBER($T240),$P240="高"),IF($T240=3,1,0),0)</f>
        <v>0</v>
      </c>
      <c r="AE240" s="103" t="n">
        <f aca="false">IF(AND($S240="不存在",$B240="切片一"),1,0)</f>
        <v>0</v>
      </c>
    </row>
    <row r="241" customFormat="false" ht="86.55" hidden="false" customHeight="false" outlineLevel="0" collapsed="false">
      <c r="A241" s="53" t="s">
        <v>2891</v>
      </c>
      <c r="B241" s="52" t="s">
        <v>2297</v>
      </c>
      <c r="C241" s="53" t="s">
        <v>2869</v>
      </c>
      <c r="D241" s="53" t="s">
        <v>2800</v>
      </c>
      <c r="E241" s="5" t="s">
        <v>307</v>
      </c>
      <c r="F241" s="53" t="s">
        <v>70</v>
      </c>
      <c r="G241" s="52" t="s">
        <v>2299</v>
      </c>
      <c r="H241" s="53" t="s">
        <v>554</v>
      </c>
      <c r="I241" s="6" t="s">
        <v>554</v>
      </c>
      <c r="J241" s="53" t="s">
        <v>2889</v>
      </c>
      <c r="K241" s="128" t="n">
        <v>0.7</v>
      </c>
      <c r="L241" s="128" t="n">
        <v>1</v>
      </c>
      <c r="M241" s="53" t="s">
        <v>2892</v>
      </c>
      <c r="N241" s="204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554</v>
      </c>
      <c r="P241" s="52" t="s">
        <v>1079</v>
      </c>
      <c r="Q241" s="89" t="n">
        <f aca="false">Serving!C18</f>
        <v>1</v>
      </c>
      <c r="R241" s="53" t="s">
        <v>554</v>
      </c>
      <c r="S241" s="83" t="str">
        <f aca="false">IF(OR($H241="—",$H241=""),"—",IF(ISNUMBER(MATCH($H241,SRC_HW!$A$5:$A$400,0)),INDEX(SRC_HW!$O$5:$O$400,MATCH($H241,SRC_HW!$A$5:$A$400,0)),IF(ISNUMBER(MATCH($H241,SRC_DC!$A$5:$A$400,0)),INDEX(SRC_DC!$O$5:$O$400,MATCH($H241,SRC_DC!$A$5:$A$400,0)),IF(ISNUMBER(MATCH($H241,SRC_Model!$A$5:$A$400,0)),INDEX(SRC_Model!$O$5:$O$400,MATCH($H241,SRC_Model!$A$5:$A$400,0)),IF(ISNUMBER(MATCH($H241,SRC_Perf!$A$5:$A$400,0)),INDEX(SRC_Perf!$O$5:$O$400,MATCH($H241,SRC_Perf!$A$5:$A$400,0)),"不存在")))))</f>
        <v>—</v>
      </c>
      <c r="T241" s="83" t="str">
        <f aca="false">IF(OR($H241="—",$H241=""),"—",IF(ISNUMBER(MATCH($H241,SRC_HW!$A$5:$A$400,0)),INDEX(SRC_HW!$K$5:$K$400,MATCH($H241,SRC_HW!$A$5:$A$400,0)),IF(ISNUMBER(MATCH($H241,SRC_DC!$A$5:$A$400,0)),INDEX(SRC_DC!$K$5:$K$400,MATCH($H241,SRC_DC!$A$5:$A$400,0)),IF(ISNUMBER(MATCH($H241,SRC_Model!$A$5:$A$400,0)),INDEX(SRC_Model!$K$5:$K$400,MATCH($H241,SRC_Model!$A$5:$A$400,0)),IF(ISNUMBER(MATCH($H241,SRC_Perf!$A$5:$A$400,0)),INDEX(SRC_Perf!$K$5:$K$400,MATCH($H241,SRC_Perf!$A$5:$A$400,0)),"不存在")))))</f>
        <v>—</v>
      </c>
      <c r="U241" s="52" t="s">
        <v>2302</v>
      </c>
      <c r="V241" s="103" t="n">
        <f aca="false">IF(AND($F241="原始數據",$U241&lt;&gt;"連結 SRC"),1,0)</f>
        <v>0</v>
      </c>
      <c r="W241" s="103" t="n">
        <f aca="false">IF(AND($F241="Analogy",OR($H241="—",$H241="")),1,0)</f>
        <v>0</v>
      </c>
      <c r="X241" s="103" t="n">
        <f aca="false">IF(AND(OR($F241="Analogy",$F241="Assumed"),$G241&lt;&gt;"低",$G241&lt;&gt;"高",NOT(ISNUMBER($K241)),NOT(ISNUMBER($L241)),OR($M241="—",$M241="")),1,0)</f>
        <v>0</v>
      </c>
      <c r="Y241" s="103" t="n">
        <f aca="false">IF(AND(OR($F241="Analogy",$F241="Assumed",$F241="Derived（待改公式）",$F241="Derived（公式）"),OR($N241="—",$N241="",$N241=0)),1,0)</f>
        <v>0</v>
      </c>
      <c r="Z241" s="103" t="n">
        <f aca="false">IF(AND($F241="Decision",OR($J241="—",$J241="")),1,0)</f>
        <v>0</v>
      </c>
      <c r="AA241" s="84" t="n">
        <f aca="false">IF(OR($J241="—",$J241=""),0,IF(COUNTIF(Decisions!$A$5:$A$300,$J241)=0,1,0))</f>
        <v>0</v>
      </c>
      <c r="AB241" s="103" t="n">
        <f aca="false">IF(AND($F241="原始數據",$S241&lt;&gt;"Active"),1,0)</f>
        <v>0</v>
      </c>
      <c r="AC241" s="103" t="n">
        <f aca="false">IF(AND(ISNUMBER($K241),ISNUMBER($L241),ISNUMBER($Q241)),IF(OR($Q241&lt;MIN($K241,$L241),$Q241&gt;MAX($K241,$L241)),1,0),0)</f>
        <v>0</v>
      </c>
      <c r="AD241" s="103" t="n">
        <f aca="false">IF(AND(ISNUMBER($T241),$P241="高"),IF($T241=3,1,0),0)</f>
        <v>0</v>
      </c>
      <c r="AE241" s="103" t="n">
        <f aca="false">IF(AND($S241="不存在",$B241="切片一"),1,0)</f>
        <v>0</v>
      </c>
    </row>
    <row r="242" customFormat="false" ht="29.85" hidden="false" customHeight="false" outlineLevel="0" collapsed="false">
      <c r="A242" s="53" t="s">
        <v>2893</v>
      </c>
      <c r="B242" s="52" t="s">
        <v>2297</v>
      </c>
      <c r="C242" s="53" t="s">
        <v>2869</v>
      </c>
      <c r="D242" s="53" t="s">
        <v>2796</v>
      </c>
      <c r="E242" s="5" t="s">
        <v>303</v>
      </c>
      <c r="F242" s="53" t="s">
        <v>62</v>
      </c>
      <c r="G242" s="52" t="s">
        <v>2299</v>
      </c>
      <c r="H242" s="53" t="s">
        <v>554</v>
      </c>
      <c r="I242" s="6" t="s">
        <v>554</v>
      </c>
      <c r="J242" s="53" t="s">
        <v>2894</v>
      </c>
      <c r="K242" s="52"/>
      <c r="L242" s="52"/>
      <c r="M242" s="53" t="s">
        <v>554</v>
      </c>
      <c r="N242" s="6" t="s">
        <v>2895</v>
      </c>
      <c r="O242" s="6" t="s">
        <v>554</v>
      </c>
      <c r="P242" s="52" t="s">
        <v>2307</v>
      </c>
      <c r="Q242" s="84" t="n">
        <f aca="false">Serving!C16</f>
        <v>1</v>
      </c>
      <c r="R242" s="53" t="s">
        <v>554</v>
      </c>
      <c r="S242" s="83" t="str">
        <f aca="false">IF(OR($H242="—",$H242=""),"—",IF(ISNUMBER(MATCH($H242,SRC_HW!$A$5:$A$400,0)),INDEX(SRC_HW!$O$5:$O$400,MATCH($H242,SRC_HW!$A$5:$A$400,0)),IF(ISNUMBER(MATCH($H242,SRC_DC!$A$5:$A$400,0)),INDEX(SRC_DC!$O$5:$O$400,MATCH($H242,SRC_DC!$A$5:$A$400,0)),IF(ISNUMBER(MATCH($H242,SRC_Model!$A$5:$A$400,0)),INDEX(SRC_Model!$O$5:$O$400,MATCH($H242,SRC_Model!$A$5:$A$400,0)),IF(ISNUMBER(MATCH($H242,SRC_Perf!$A$5:$A$400,0)),INDEX(SRC_Perf!$O$5:$O$400,MATCH($H242,SRC_Perf!$A$5:$A$400,0)),"不存在")))))</f>
        <v>—</v>
      </c>
      <c r="T242" s="83" t="str">
        <f aca="false">IF(OR($H242="—",$H242=""),"—",IF(ISNUMBER(MATCH($H242,SRC_HW!$A$5:$A$400,0)),INDEX(SRC_HW!$K$5:$K$400,MATCH($H242,SRC_HW!$A$5:$A$400,0)),IF(ISNUMBER(MATCH($H242,SRC_DC!$A$5:$A$400,0)),INDEX(SRC_DC!$K$5:$K$400,MATCH($H242,SRC_DC!$A$5:$A$400,0)),IF(ISNUMBER(MATCH($H242,SRC_Model!$A$5:$A$400,0)),INDEX(SRC_Model!$K$5:$K$400,MATCH($H242,SRC_Model!$A$5:$A$400,0)),IF(ISNUMBER(MATCH($H242,SRC_Perf!$A$5:$A$400,0)),INDEX(SRC_Perf!$K$5:$K$400,MATCH($H242,SRC_Perf!$A$5:$A$400,0)),"不存在")))))</f>
        <v>—</v>
      </c>
      <c r="U242" s="52" t="s">
        <v>2302</v>
      </c>
      <c r="V242" s="103" t="n">
        <f aca="false">IF(AND($F242="原始數據",$U242&lt;&gt;"連結 SRC"),1,0)</f>
        <v>0</v>
      </c>
      <c r="W242" s="103" t="n">
        <f aca="false">IF(AND($F242="Analogy",OR($H242="—",$H242="")),1,0)</f>
        <v>0</v>
      </c>
      <c r="X242" s="103" t="n">
        <f aca="false">IF(AND(OR($F242="Analogy",$F242="Assumed"),$G242&lt;&gt;"低",$G242&lt;&gt;"高",NOT(ISNUMBER($K242)),NOT(ISNUMBER($L242)),OR($M242="—",$M242="")),1,0)</f>
        <v>0</v>
      </c>
      <c r="Y242" s="103" t="n">
        <f aca="false">IF(AND(OR($F242="Analogy",$F242="Assumed",$F242="Derived（待改公式）",$F242="Derived（公式）"),OR($N242="—",$N242="",$N242=0)),1,0)</f>
        <v>0</v>
      </c>
      <c r="Z242" s="103" t="n">
        <f aca="false">IF(AND($F242="Decision",OR($J242="—",$J242="")),1,0)</f>
        <v>0</v>
      </c>
      <c r="AA242" s="84" t="n">
        <f aca="false">IF(OR($J242="—",$J242=""),0,IF(COUNTIF(Decisions!$A$5:$A$300,$J242)=0,1,0))</f>
        <v>0</v>
      </c>
      <c r="AB242" s="103" t="n">
        <f aca="false">IF(AND($F242="原始數據",$S242&lt;&gt;"Active"),1,0)</f>
        <v>0</v>
      </c>
      <c r="AC242" s="103" t="n">
        <f aca="false">IF(AND(ISNUMBER($K242),ISNUMBER($L242),ISNUMBER($Q242)),IF(OR($Q242&lt;MIN($K242,$L242),$Q242&gt;MAX($K242,$L242)),1,0),0)</f>
        <v>0</v>
      </c>
      <c r="AD242" s="103" t="n">
        <f aca="false">IF(AND(ISNUMBER($T242),$P242="高"),IF($T242=3,1,0),0)</f>
        <v>0</v>
      </c>
      <c r="AE242" s="103" t="n">
        <f aca="false">IF(AND($S242="不存在",$B242="切片一"),1,0)</f>
        <v>0</v>
      </c>
    </row>
    <row r="243" customFormat="false" ht="15" hidden="false" customHeight="false" outlineLevel="0" collapsed="false">
      <c r="A243" s="53" t="s">
        <v>2896</v>
      </c>
      <c r="B243" s="52" t="s">
        <v>2297</v>
      </c>
      <c r="C243" s="53" t="s">
        <v>2869</v>
      </c>
      <c r="D243" s="53" t="s">
        <v>2855</v>
      </c>
      <c r="E243" s="6" t="s">
        <v>311</v>
      </c>
      <c r="F243" s="52" t="s">
        <v>2337</v>
      </c>
      <c r="G243" s="52" t="s">
        <v>2299</v>
      </c>
      <c r="H243" s="53" t="s">
        <v>2897</v>
      </c>
      <c r="I243" s="5" t="s">
        <v>2339</v>
      </c>
      <c r="J243" s="53" t="s">
        <v>2898</v>
      </c>
      <c r="K243" s="52"/>
      <c r="L243" s="52"/>
      <c r="M243" s="53" t="s">
        <v>554</v>
      </c>
      <c r="N243" s="5" t="s">
        <v>2340</v>
      </c>
      <c r="O243" s="6" t="s">
        <v>554</v>
      </c>
      <c r="P243" s="52" t="s">
        <v>1079</v>
      </c>
      <c r="Q243" s="54" t="n">
        <f aca="false">Serving!C21</f>
        <v>120</v>
      </c>
      <c r="R243" s="83" t="n">
        <f aca="false">SRC_PERF_018</f>
        <v>120</v>
      </c>
      <c r="S243" s="83" t="str">
        <f aca="false">IF(OR($H243="—",$H243=""),"—",IF(ISNUMBER(MATCH($H243,SRC_HW!$A$5:$A$400,0)),INDEX(SRC_HW!$O$5:$O$400,MATCH($H243,SRC_HW!$A$5:$A$400,0)),IF(ISNUMBER(MATCH($H243,SRC_DC!$A$5:$A$400,0)),INDEX(SRC_DC!$O$5:$O$400,MATCH($H243,SRC_DC!$A$5:$A$400,0)),IF(ISNUMBER(MATCH($H243,SRC_Model!$A$5:$A$400,0)),INDEX(SRC_Model!$O$5:$O$400,MATCH($H243,SRC_Model!$A$5:$A$400,0)),IF(ISNUMBER(MATCH($H243,SRC_Perf!$A$5:$A$400,0)),INDEX(SRC_Perf!$O$5:$O$400,MATCH($H243,SRC_Perf!$A$5:$A$400,0)),"不存在")))))</f>
        <v>Active</v>
      </c>
      <c r="T243" s="83" t="n">
        <f aca="false">IF(OR($H243="—",$H243=""),"—",IF(ISNUMBER(MATCH($H243,SRC_HW!$A$5:$A$400,0)),INDEX(SRC_HW!$K$5:$K$400,MATCH($H243,SRC_HW!$A$5:$A$400,0)),IF(ISNUMBER(MATCH($H243,SRC_DC!$A$5:$A$400,0)),INDEX(SRC_DC!$K$5:$K$400,MATCH($H243,SRC_DC!$A$5:$A$400,0)),IF(ISNUMBER(MATCH($H243,SRC_Model!$A$5:$A$400,0)),INDEX(SRC_Model!$K$5:$K$400,MATCH($H243,SRC_Model!$A$5:$A$400,0)),IF(ISNUMBER(MATCH($H243,SRC_Perf!$A$5:$A$400,0)),INDEX(SRC_Perf!$K$5:$K$400,MATCH($H243,SRC_Perf!$A$5:$A$400,0)),"不存在")))))</f>
        <v>1</v>
      </c>
      <c r="U243" s="52" t="s">
        <v>2341</v>
      </c>
      <c r="V243" s="103" t="n">
        <f aca="false">IF(AND($F243="原始數據",$U243&lt;&gt;"連結 SRC"),1,0)</f>
        <v>0</v>
      </c>
      <c r="W243" s="103" t="n">
        <f aca="false">IF(AND($F243="Analogy",OR($H243="—",$H243="")),1,0)</f>
        <v>0</v>
      </c>
      <c r="X243" s="103" t="n">
        <f aca="false">IF(AND(OR($F243="Analogy",$F243="Assumed"),$G243&lt;&gt;"低",$G243&lt;&gt;"高",NOT(ISNUMBER($K243)),NOT(ISNUMBER($L243)),OR($M243="—",$M243="")),1,0)</f>
        <v>0</v>
      </c>
      <c r="Y243" s="103" t="n">
        <f aca="false">IF(AND(OR($F243="Analogy",$F243="Assumed",$F243="Derived（待改公式）",$F243="Derived（公式）"),OR($N243="—",$N243="",$N243=0)),1,0)</f>
        <v>0</v>
      </c>
      <c r="Z243" s="103" t="n">
        <f aca="false">IF(AND($F243="Decision",OR($J243="—",$J243="")),1,0)</f>
        <v>0</v>
      </c>
      <c r="AA243" s="84" t="n">
        <f aca="false">IF(OR($J243="—",$J243=""),0,IF(COUNTIF(Decisions!$A$5:$A$300,$J243)=0,1,0))</f>
        <v>0</v>
      </c>
      <c r="AB243" s="103" t="n">
        <f aca="false">IF(AND($F243="原始數據",$S243&lt;&gt;"Active"),1,0)</f>
        <v>0</v>
      </c>
      <c r="AC243" s="103" t="n">
        <f aca="false">IF(AND(ISNUMBER($K243),ISNUMBER($L243),ISNUMBER($Q243)),IF(OR($Q243&lt;MIN($K243,$L243),$Q243&gt;MAX($K243,$L243)),1,0),0)</f>
        <v>0</v>
      </c>
      <c r="AD243" s="103" t="n">
        <f aca="false">IF(AND(ISNUMBER($T243),$P243="高"),IF($T243=3,1,0),0)</f>
        <v>0</v>
      </c>
      <c r="AE243" s="103" t="n">
        <f aca="false">IF(AND($S243="不存在",$B243="切片一"),1,0)</f>
        <v>0</v>
      </c>
    </row>
    <row r="244" customFormat="false" ht="29.85" hidden="false" customHeight="false" outlineLevel="0" collapsed="false">
      <c r="A244" s="53" t="s">
        <v>2899</v>
      </c>
      <c r="B244" s="52" t="s">
        <v>2297</v>
      </c>
      <c r="C244" s="53" t="s">
        <v>2869</v>
      </c>
      <c r="D244" s="53" t="s">
        <v>2387</v>
      </c>
      <c r="E244" s="6" t="s">
        <v>311</v>
      </c>
      <c r="F244" s="53" t="s">
        <v>62</v>
      </c>
      <c r="G244" s="52" t="s">
        <v>2299</v>
      </c>
      <c r="H244" s="53" t="s">
        <v>2900</v>
      </c>
      <c r="I244" s="5" t="s">
        <v>2901</v>
      </c>
      <c r="J244" s="53" t="s">
        <v>2898</v>
      </c>
      <c r="K244" s="52"/>
      <c r="L244" s="52"/>
      <c r="M244" s="53" t="s">
        <v>554</v>
      </c>
      <c r="N244" s="6" t="s">
        <v>2902</v>
      </c>
      <c r="O244" s="6" t="s">
        <v>554</v>
      </c>
      <c r="P244" s="52" t="s">
        <v>1079</v>
      </c>
      <c r="Q244" s="54" t="n">
        <f aca="false">Serving!D21</f>
        <v>65</v>
      </c>
      <c r="R244" s="83" t="n">
        <f aca="false">SRC_PERF_019</f>
        <v>68</v>
      </c>
      <c r="S244" s="83" t="str">
        <f aca="false">IF(OR($H244="—",$H244=""),"—",IF(ISNUMBER(MATCH($H244,SRC_HW!$A$5:$A$400,0)),INDEX(SRC_HW!$O$5:$O$400,MATCH($H244,SRC_HW!$A$5:$A$400,0)),IF(ISNUMBER(MATCH($H244,SRC_DC!$A$5:$A$400,0)),INDEX(SRC_DC!$O$5:$O$400,MATCH($H244,SRC_DC!$A$5:$A$400,0)),IF(ISNUMBER(MATCH($H244,SRC_Model!$A$5:$A$400,0)),INDEX(SRC_Model!$O$5:$O$400,MATCH($H244,SRC_Model!$A$5:$A$400,0)),IF(ISNUMBER(MATCH($H244,SRC_Perf!$A$5:$A$400,0)),INDEX(SRC_Perf!$O$5:$O$400,MATCH($H244,SRC_Perf!$A$5:$A$400,0)),"不存在")))))</f>
        <v>Active</v>
      </c>
      <c r="T244" s="83" t="n">
        <f aca="false">IF(OR($H244="—",$H244=""),"—",IF(ISNUMBER(MATCH($H244,SRC_HW!$A$5:$A$400,0)),INDEX(SRC_HW!$K$5:$K$400,MATCH($H244,SRC_HW!$A$5:$A$400,0)),IF(ISNUMBER(MATCH($H244,SRC_DC!$A$5:$A$400,0)),INDEX(SRC_DC!$K$5:$K$400,MATCH($H244,SRC_DC!$A$5:$A$400,0)),IF(ISNUMBER(MATCH($H244,SRC_Model!$A$5:$A$400,0)),INDEX(SRC_Model!$K$5:$K$400,MATCH($H244,SRC_Model!$A$5:$A$400,0)),IF(ISNUMBER(MATCH($H244,SRC_Perf!$A$5:$A$400,0)),INDEX(SRC_Perf!$K$5:$K$400,MATCH($H244,SRC_Perf!$A$5:$A$400,0)),"不存在")))))</f>
        <v>1</v>
      </c>
      <c r="U244" s="52" t="s">
        <v>2302</v>
      </c>
      <c r="V244" s="103" t="n">
        <f aca="false">IF(AND($F244="原始數據",$U244&lt;&gt;"連結 SRC"),1,0)</f>
        <v>0</v>
      </c>
      <c r="W244" s="103" t="n">
        <f aca="false">IF(AND($F244="Analogy",OR($H244="—",$H244="")),1,0)</f>
        <v>0</v>
      </c>
      <c r="X244" s="103" t="n">
        <f aca="false">IF(AND(OR($F244="Analogy",$F244="Assumed"),$G244&lt;&gt;"低",$G244&lt;&gt;"高",NOT(ISNUMBER($K244)),NOT(ISNUMBER($L244)),OR($M244="—",$M244="")),1,0)</f>
        <v>0</v>
      </c>
      <c r="Y244" s="103" t="n">
        <f aca="false">IF(AND(OR($F244="Analogy",$F244="Assumed",$F244="Derived（待改公式）",$F244="Derived（公式）"),OR($N244="—",$N244="",$N244=0)),1,0)</f>
        <v>0</v>
      </c>
      <c r="Z244" s="103" t="n">
        <f aca="false">IF(AND($F244="Decision",OR($J244="—",$J244="")),1,0)</f>
        <v>0</v>
      </c>
      <c r="AA244" s="84" t="n">
        <f aca="false">IF(OR($J244="—",$J244=""),0,IF(COUNTIF(Decisions!$A$5:$A$300,$J244)=0,1,0))</f>
        <v>0</v>
      </c>
      <c r="AB244" s="103" t="n">
        <f aca="false">IF(AND($F244="原始數據",$S244&lt;&gt;"Active"),1,0)</f>
        <v>0</v>
      </c>
      <c r="AC244" s="103" t="n">
        <f aca="false">IF(AND(ISNUMBER($K244),ISNUMBER($L244),ISNUMBER($Q244)),IF(OR($Q244&lt;MIN($K244,$L244),$Q244&gt;MAX($K244,$L244)),1,0),0)</f>
        <v>0</v>
      </c>
      <c r="AD244" s="103" t="n">
        <f aca="false">IF(AND(ISNUMBER($T244),$P244="高"),IF($T244=3,1,0),0)</f>
        <v>0</v>
      </c>
      <c r="AE244" s="103" t="n">
        <f aca="false">IF(AND($S244="不存在",$B244="切片一"),1,0)</f>
        <v>0</v>
      </c>
    </row>
    <row r="245" customFormat="false" ht="15" hidden="false" customHeight="false" outlineLevel="0" collapsed="false">
      <c r="A245" s="53" t="s">
        <v>2903</v>
      </c>
      <c r="B245" s="52" t="s">
        <v>2297</v>
      </c>
      <c r="C245" s="53" t="s">
        <v>2869</v>
      </c>
      <c r="D245" s="53" t="s">
        <v>2384</v>
      </c>
      <c r="E245" s="6" t="s">
        <v>311</v>
      </c>
      <c r="F245" s="53" t="s">
        <v>62</v>
      </c>
      <c r="G245" s="52" t="s">
        <v>2299</v>
      </c>
      <c r="H245" s="53" t="s">
        <v>2904</v>
      </c>
      <c r="I245" s="5" t="s">
        <v>2905</v>
      </c>
      <c r="J245" s="53" t="s">
        <v>2898</v>
      </c>
      <c r="K245" s="52"/>
      <c r="L245" s="52"/>
      <c r="M245" s="53" t="s">
        <v>554</v>
      </c>
      <c r="N245" s="6" t="s">
        <v>2906</v>
      </c>
      <c r="O245" s="6" t="s">
        <v>554</v>
      </c>
      <c r="P245" s="52" t="s">
        <v>1079</v>
      </c>
      <c r="Q245" s="54" t="n">
        <f aca="false">Serving!E21</f>
        <v>55</v>
      </c>
      <c r="R245" s="83" t="n">
        <f aca="false">SRC_PERF_020_Lo</f>
        <v>52</v>
      </c>
      <c r="S245" s="83" t="str">
        <f aca="false">IF(OR($H245="—",$H245=""),"—",IF(ISNUMBER(MATCH($H245,SRC_HW!$A$5:$A$400,0)),INDEX(SRC_HW!$O$5:$O$400,MATCH($H245,SRC_HW!$A$5:$A$400,0)),IF(ISNUMBER(MATCH($H245,SRC_DC!$A$5:$A$400,0)),INDEX(SRC_DC!$O$5:$O$400,MATCH($H245,SRC_DC!$A$5:$A$400,0)),IF(ISNUMBER(MATCH($H245,SRC_Model!$A$5:$A$400,0)),INDEX(SRC_Model!$O$5:$O$400,MATCH($H245,SRC_Model!$A$5:$A$400,0)),IF(ISNUMBER(MATCH($H245,SRC_Perf!$A$5:$A$400,0)),INDEX(SRC_Perf!$O$5:$O$400,MATCH($H245,SRC_Perf!$A$5:$A$400,0)),"不存在")))))</f>
        <v>Active</v>
      </c>
      <c r="T245" s="83" t="n">
        <f aca="false">IF(OR($H245="—",$H245=""),"—",IF(ISNUMBER(MATCH($H245,SRC_HW!$A$5:$A$400,0)),INDEX(SRC_HW!$K$5:$K$400,MATCH($H245,SRC_HW!$A$5:$A$400,0)),IF(ISNUMBER(MATCH($H245,SRC_DC!$A$5:$A$400,0)),INDEX(SRC_DC!$K$5:$K$400,MATCH($H245,SRC_DC!$A$5:$A$400,0)),IF(ISNUMBER(MATCH($H245,SRC_Model!$A$5:$A$400,0)),INDEX(SRC_Model!$K$5:$K$400,MATCH($H245,SRC_Model!$A$5:$A$400,0)),IF(ISNUMBER(MATCH($H245,SRC_Perf!$A$5:$A$400,0)),INDEX(SRC_Perf!$K$5:$K$400,MATCH($H245,SRC_Perf!$A$5:$A$400,0)),"不存在")))))</f>
        <v>1</v>
      </c>
      <c r="U245" s="52" t="s">
        <v>2302</v>
      </c>
      <c r="V245" s="103" t="n">
        <f aca="false">IF(AND($F245="原始數據",$U245&lt;&gt;"連結 SRC"),1,0)</f>
        <v>0</v>
      </c>
      <c r="W245" s="103" t="n">
        <f aca="false">IF(AND($F245="Analogy",OR($H245="—",$H245="")),1,0)</f>
        <v>0</v>
      </c>
      <c r="X245" s="103" t="n">
        <f aca="false">IF(AND(OR($F245="Analogy",$F245="Assumed"),$G245&lt;&gt;"低",$G245&lt;&gt;"高",NOT(ISNUMBER($K245)),NOT(ISNUMBER($L245)),OR($M245="—",$M245="")),1,0)</f>
        <v>0</v>
      </c>
      <c r="Y245" s="103" t="n">
        <f aca="false">IF(AND(OR($F245="Analogy",$F245="Assumed",$F245="Derived（待改公式）",$F245="Derived（公式）"),OR($N245="—",$N245="",$N245=0)),1,0)</f>
        <v>0</v>
      </c>
      <c r="Z245" s="103" t="n">
        <f aca="false">IF(AND($F245="Decision",OR($J245="—",$J245="")),1,0)</f>
        <v>0</v>
      </c>
      <c r="AA245" s="84" t="n">
        <f aca="false">IF(OR($J245="—",$J245=""),0,IF(COUNTIF(Decisions!$A$5:$A$300,$J245)=0,1,0))</f>
        <v>0</v>
      </c>
      <c r="AB245" s="103" t="n">
        <f aca="false">IF(AND($F245="原始數據",$S245&lt;&gt;"Active"),1,0)</f>
        <v>0</v>
      </c>
      <c r="AC245" s="103" t="n">
        <f aca="false">IF(AND(ISNUMBER($K245),ISNUMBER($L245),ISNUMBER($Q245)),IF(OR($Q245&lt;MIN($K245,$L245),$Q245&gt;MAX($K245,$L245)),1,0),0)</f>
        <v>0</v>
      </c>
      <c r="AD245" s="103" t="n">
        <f aca="false">IF(AND(ISNUMBER($T245),$P245="高"),IF($T245=3,1,0),0)</f>
        <v>0</v>
      </c>
      <c r="AE245" s="103" t="n">
        <f aca="false">IF(AND($S245="不存在",$B245="切片一"),1,0)</f>
        <v>0</v>
      </c>
    </row>
    <row r="246" customFormat="false" ht="15" hidden="false" customHeight="false" outlineLevel="0" collapsed="false">
      <c r="A246" s="53" t="s">
        <v>2907</v>
      </c>
      <c r="B246" s="52" t="s">
        <v>2297</v>
      </c>
      <c r="C246" s="53" t="s">
        <v>2869</v>
      </c>
      <c r="D246" s="53" t="s">
        <v>2860</v>
      </c>
      <c r="E246" s="6" t="s">
        <v>314</v>
      </c>
      <c r="F246" s="53" t="s">
        <v>70</v>
      </c>
      <c r="G246" s="52" t="s">
        <v>2299</v>
      </c>
      <c r="H246" s="53" t="s">
        <v>554</v>
      </c>
      <c r="I246" s="6" t="s">
        <v>554</v>
      </c>
      <c r="J246" s="53" t="s">
        <v>554</v>
      </c>
      <c r="K246" s="83" t="n">
        <f aca="false">Serving!C22*0.5</f>
        <v>1</v>
      </c>
      <c r="L246" s="83" t="n">
        <f aca="false">Serving!C22*2</f>
        <v>4</v>
      </c>
      <c r="M246" s="53" t="s">
        <v>2908</v>
      </c>
      <c r="N246" s="6" t="s">
        <v>2909</v>
      </c>
      <c r="O246" s="6" t="s">
        <v>554</v>
      </c>
      <c r="P246" s="52" t="s">
        <v>2307</v>
      </c>
      <c r="Q246" s="100" t="n">
        <f aca="false">Serving!C22</f>
        <v>2</v>
      </c>
      <c r="R246" s="53" t="s">
        <v>554</v>
      </c>
      <c r="S246" s="83" t="str">
        <f aca="false">IF(OR($H246="—",$H246=""),"—",IF(ISNUMBER(MATCH($H246,SRC_HW!$A$5:$A$400,0)),INDEX(SRC_HW!$O$5:$O$400,MATCH($H246,SRC_HW!$A$5:$A$400,0)),IF(ISNUMBER(MATCH($H246,SRC_DC!$A$5:$A$400,0)),INDEX(SRC_DC!$O$5:$O$400,MATCH($H246,SRC_DC!$A$5:$A$400,0)),IF(ISNUMBER(MATCH($H246,SRC_Model!$A$5:$A$400,0)),INDEX(SRC_Model!$O$5:$O$400,MATCH($H246,SRC_Model!$A$5:$A$400,0)),IF(ISNUMBER(MATCH($H246,SRC_Perf!$A$5:$A$400,0)),INDEX(SRC_Perf!$O$5:$O$400,MATCH($H246,SRC_Perf!$A$5:$A$400,0)),"不存在")))))</f>
        <v>—</v>
      </c>
      <c r="T246" s="83" t="str">
        <f aca="false">IF(OR($H246="—",$H246=""),"—",IF(ISNUMBER(MATCH($H246,SRC_HW!$A$5:$A$400,0)),INDEX(SRC_HW!$K$5:$K$400,MATCH($H246,SRC_HW!$A$5:$A$400,0)),IF(ISNUMBER(MATCH($H246,SRC_DC!$A$5:$A$400,0)),INDEX(SRC_DC!$K$5:$K$400,MATCH($H246,SRC_DC!$A$5:$A$400,0)),IF(ISNUMBER(MATCH($H246,SRC_Model!$A$5:$A$400,0)),INDEX(SRC_Model!$K$5:$K$400,MATCH($H246,SRC_Model!$A$5:$A$400,0)),IF(ISNUMBER(MATCH($H246,SRC_Perf!$A$5:$A$400,0)),INDEX(SRC_Perf!$K$5:$K$400,MATCH($H246,SRC_Perf!$A$5:$A$400,0)),"不存在")))))</f>
        <v>—</v>
      </c>
      <c r="U246" s="52" t="s">
        <v>2302</v>
      </c>
      <c r="V246" s="103" t="n">
        <f aca="false">IF(AND($F246="原始數據",$U246&lt;&gt;"連結 SRC"),1,0)</f>
        <v>0</v>
      </c>
      <c r="W246" s="103" t="n">
        <f aca="false">IF(AND($F246="Analogy",OR($H246="—",$H246="")),1,0)</f>
        <v>0</v>
      </c>
      <c r="X246" s="103" t="n">
        <f aca="false">IF(AND(OR($F246="Analogy",$F246="Assumed"),$G246&lt;&gt;"低",$G246&lt;&gt;"高",NOT(ISNUMBER($K246)),NOT(ISNUMBER($L246)),OR($M246="—",$M246="")),1,0)</f>
        <v>0</v>
      </c>
      <c r="Y246" s="103" t="n">
        <f aca="false">IF(AND(OR($F246="Analogy",$F246="Assumed",$F246="Derived（待改公式）",$F246="Derived（公式）"),OR($N246="—",$N246="",$N246=0)),1,0)</f>
        <v>0</v>
      </c>
      <c r="Z246" s="103" t="n">
        <f aca="false">IF(AND($F246="Decision",OR($J246="—",$J246="")),1,0)</f>
        <v>0</v>
      </c>
      <c r="AA246" s="84" t="n">
        <f aca="false">IF(OR($J246="—",$J246=""),0,IF(COUNTIF(Decisions!$A$5:$A$300,$J246)=0,1,0))</f>
        <v>0</v>
      </c>
      <c r="AB246" s="103" t="n">
        <f aca="false">IF(AND($F246="原始數據",$S246&lt;&gt;"Active"),1,0)</f>
        <v>0</v>
      </c>
      <c r="AC246" s="103" t="n">
        <f aca="false">IF(AND(ISNUMBER($K246),ISNUMBER($L246),ISNUMBER($Q246)),IF(OR($Q246&lt;MIN($K246,$L246),$Q246&gt;MAX($K246,$L246)),1,0),0)</f>
        <v>0</v>
      </c>
      <c r="AD246" s="103" t="n">
        <f aca="false">IF(AND(ISNUMBER($T246),$P246="高"),IF($T246=3,1,0),0)</f>
        <v>0</v>
      </c>
      <c r="AE246" s="103" t="n">
        <f aca="false">IF(AND($S246="不存在",$B246="切片一"),1,0)</f>
        <v>0</v>
      </c>
    </row>
    <row r="247" customFormat="false" ht="15" hidden="false" customHeight="false" outlineLevel="0" collapsed="false">
      <c r="A247" s="53" t="s">
        <v>2910</v>
      </c>
      <c r="B247" s="52" t="s">
        <v>2297</v>
      </c>
      <c r="C247" s="53" t="s">
        <v>2869</v>
      </c>
      <c r="D247" s="53" t="s">
        <v>2862</v>
      </c>
      <c r="E247" s="6" t="s">
        <v>314</v>
      </c>
      <c r="F247" s="53" t="s">
        <v>70</v>
      </c>
      <c r="G247" s="52" t="s">
        <v>2299</v>
      </c>
      <c r="H247" s="53" t="s">
        <v>554</v>
      </c>
      <c r="I247" s="6" t="s">
        <v>554</v>
      </c>
      <c r="J247" s="53" t="s">
        <v>554</v>
      </c>
      <c r="K247" s="83" t="n">
        <f aca="false">Serving!D22*0.5</f>
        <v>1.5</v>
      </c>
      <c r="L247" s="83" t="n">
        <f aca="false">Serving!D22*2</f>
        <v>6</v>
      </c>
      <c r="M247" s="53" t="s">
        <v>2908</v>
      </c>
      <c r="N247" s="6" t="s">
        <v>2909</v>
      </c>
      <c r="O247" s="6" t="s">
        <v>554</v>
      </c>
      <c r="P247" s="52" t="s">
        <v>2307</v>
      </c>
      <c r="Q247" s="100" t="n">
        <f aca="false">Serving!D22</f>
        <v>3</v>
      </c>
      <c r="R247" s="53" t="s">
        <v>554</v>
      </c>
      <c r="S247" s="83" t="str">
        <f aca="false">IF(OR($H247="—",$H247=""),"—",IF(ISNUMBER(MATCH($H247,SRC_HW!$A$5:$A$400,0)),INDEX(SRC_HW!$O$5:$O$400,MATCH($H247,SRC_HW!$A$5:$A$400,0)),IF(ISNUMBER(MATCH($H247,SRC_DC!$A$5:$A$400,0)),INDEX(SRC_DC!$O$5:$O$400,MATCH($H247,SRC_DC!$A$5:$A$400,0)),IF(ISNUMBER(MATCH($H247,SRC_Model!$A$5:$A$400,0)),INDEX(SRC_Model!$O$5:$O$400,MATCH($H247,SRC_Model!$A$5:$A$400,0)),IF(ISNUMBER(MATCH($H247,SRC_Perf!$A$5:$A$400,0)),INDEX(SRC_Perf!$O$5:$O$400,MATCH($H247,SRC_Perf!$A$5:$A$400,0)),"不存在")))))</f>
        <v>—</v>
      </c>
      <c r="T247" s="83" t="str">
        <f aca="false">IF(OR($H247="—",$H247=""),"—",IF(ISNUMBER(MATCH($H247,SRC_HW!$A$5:$A$400,0)),INDEX(SRC_HW!$K$5:$K$400,MATCH($H247,SRC_HW!$A$5:$A$400,0)),IF(ISNUMBER(MATCH($H247,SRC_DC!$A$5:$A$400,0)),INDEX(SRC_DC!$K$5:$K$400,MATCH($H247,SRC_DC!$A$5:$A$400,0)),IF(ISNUMBER(MATCH($H247,SRC_Model!$A$5:$A$400,0)),INDEX(SRC_Model!$K$5:$K$400,MATCH($H247,SRC_Model!$A$5:$A$400,0)),IF(ISNUMBER(MATCH($H247,SRC_Perf!$A$5:$A$400,0)),INDEX(SRC_Perf!$K$5:$K$400,MATCH($H247,SRC_Perf!$A$5:$A$400,0)),"不存在")))))</f>
        <v>—</v>
      </c>
      <c r="U247" s="52" t="s">
        <v>2302</v>
      </c>
      <c r="V247" s="103" t="n">
        <f aca="false">IF(AND($F247="原始數據",$U247&lt;&gt;"連結 SRC"),1,0)</f>
        <v>0</v>
      </c>
      <c r="W247" s="103" t="n">
        <f aca="false">IF(AND($F247="Analogy",OR($H247="—",$H247="")),1,0)</f>
        <v>0</v>
      </c>
      <c r="X247" s="103" t="n">
        <f aca="false">IF(AND(OR($F247="Analogy",$F247="Assumed"),$G247&lt;&gt;"低",$G247&lt;&gt;"高",NOT(ISNUMBER($K247)),NOT(ISNUMBER($L247)),OR($M247="—",$M247="")),1,0)</f>
        <v>0</v>
      </c>
      <c r="Y247" s="103" t="n">
        <f aca="false">IF(AND(OR($F247="Analogy",$F247="Assumed",$F247="Derived（待改公式）",$F247="Derived（公式）"),OR($N247="—",$N247="",$N247=0)),1,0)</f>
        <v>0</v>
      </c>
      <c r="Z247" s="103" t="n">
        <f aca="false">IF(AND($F247="Decision",OR($J247="—",$J247="")),1,0)</f>
        <v>0</v>
      </c>
      <c r="AA247" s="84" t="n">
        <f aca="false">IF(OR($J247="—",$J247=""),0,IF(COUNTIF(Decisions!$A$5:$A$300,$J247)=0,1,0))</f>
        <v>0</v>
      </c>
      <c r="AB247" s="103" t="n">
        <f aca="false">IF(AND($F247="原始數據",$S247&lt;&gt;"Active"),1,0)</f>
        <v>0</v>
      </c>
      <c r="AC247" s="103" t="n">
        <f aca="false">IF(AND(ISNUMBER($K247),ISNUMBER($L247),ISNUMBER($Q247)),IF(OR($Q247&lt;MIN($K247,$L247),$Q247&gt;MAX($K247,$L247)),1,0),0)</f>
        <v>0</v>
      </c>
      <c r="AD247" s="103" t="n">
        <f aca="false">IF(AND(ISNUMBER($T247),$P247="高"),IF($T247=3,1,0),0)</f>
        <v>0</v>
      </c>
      <c r="AE247" s="103" t="n">
        <f aca="false">IF(AND($S247="不存在",$B247="切片一"),1,0)</f>
        <v>0</v>
      </c>
    </row>
    <row r="248" customFormat="false" ht="15" hidden="false" customHeight="false" outlineLevel="0" collapsed="false">
      <c r="A248" s="53" t="s">
        <v>2911</v>
      </c>
      <c r="B248" s="52" t="s">
        <v>2297</v>
      </c>
      <c r="C248" s="53" t="s">
        <v>2869</v>
      </c>
      <c r="D248" s="53" t="s">
        <v>2864</v>
      </c>
      <c r="E248" s="6" t="s">
        <v>314</v>
      </c>
      <c r="F248" s="53" t="s">
        <v>70</v>
      </c>
      <c r="G248" s="52" t="s">
        <v>2299</v>
      </c>
      <c r="H248" s="53" t="s">
        <v>554</v>
      </c>
      <c r="I248" s="6" t="s">
        <v>554</v>
      </c>
      <c r="J248" s="53" t="s">
        <v>554</v>
      </c>
      <c r="K248" s="83" t="n">
        <f aca="false">Serving!E22*0.5</f>
        <v>2.5</v>
      </c>
      <c r="L248" s="83" t="n">
        <f aca="false">Serving!E22*2</f>
        <v>10</v>
      </c>
      <c r="M248" s="53" t="s">
        <v>2908</v>
      </c>
      <c r="N248" s="6" t="s">
        <v>2909</v>
      </c>
      <c r="O248" s="6" t="s">
        <v>554</v>
      </c>
      <c r="P248" s="52" t="s">
        <v>2307</v>
      </c>
      <c r="Q248" s="100" t="n">
        <f aca="false">Serving!E22</f>
        <v>5</v>
      </c>
      <c r="R248" s="53" t="s">
        <v>554</v>
      </c>
      <c r="S248" s="83" t="str">
        <f aca="false">IF(OR($H248="—",$H248=""),"—",IF(ISNUMBER(MATCH($H248,SRC_HW!$A$5:$A$400,0)),INDEX(SRC_HW!$O$5:$O$400,MATCH($H248,SRC_HW!$A$5:$A$400,0)),IF(ISNUMBER(MATCH($H248,SRC_DC!$A$5:$A$400,0)),INDEX(SRC_DC!$O$5:$O$400,MATCH($H248,SRC_DC!$A$5:$A$400,0)),IF(ISNUMBER(MATCH($H248,SRC_Model!$A$5:$A$400,0)),INDEX(SRC_Model!$O$5:$O$400,MATCH($H248,SRC_Model!$A$5:$A$400,0)),IF(ISNUMBER(MATCH($H248,SRC_Perf!$A$5:$A$400,0)),INDEX(SRC_Perf!$O$5:$O$400,MATCH($H248,SRC_Perf!$A$5:$A$400,0)),"不存在")))))</f>
        <v>—</v>
      </c>
      <c r="T248" s="83" t="str">
        <f aca="false">IF(OR($H248="—",$H248=""),"—",IF(ISNUMBER(MATCH($H248,SRC_HW!$A$5:$A$400,0)),INDEX(SRC_HW!$K$5:$K$400,MATCH($H248,SRC_HW!$A$5:$A$400,0)),IF(ISNUMBER(MATCH($H248,SRC_DC!$A$5:$A$400,0)),INDEX(SRC_DC!$K$5:$K$400,MATCH($H248,SRC_DC!$A$5:$A$400,0)),IF(ISNUMBER(MATCH($H248,SRC_Model!$A$5:$A$400,0)),INDEX(SRC_Model!$K$5:$K$400,MATCH($H248,SRC_Model!$A$5:$A$400,0)),IF(ISNUMBER(MATCH($H248,SRC_Perf!$A$5:$A$400,0)),INDEX(SRC_Perf!$K$5:$K$400,MATCH($H248,SRC_Perf!$A$5:$A$400,0)),"不存在")))))</f>
        <v>—</v>
      </c>
      <c r="U248" s="52" t="s">
        <v>2302</v>
      </c>
      <c r="V248" s="103" t="n">
        <f aca="false">IF(AND($F248="原始數據",$U248&lt;&gt;"連結 SRC"),1,0)</f>
        <v>0</v>
      </c>
      <c r="W248" s="103" t="n">
        <f aca="false">IF(AND($F248="Analogy",OR($H248="—",$H248="")),1,0)</f>
        <v>0</v>
      </c>
      <c r="X248" s="103" t="n">
        <f aca="false">IF(AND(OR($F248="Analogy",$F248="Assumed"),$G248&lt;&gt;"低",$G248&lt;&gt;"高",NOT(ISNUMBER($K248)),NOT(ISNUMBER($L248)),OR($M248="—",$M248="")),1,0)</f>
        <v>0</v>
      </c>
      <c r="Y248" s="103" t="n">
        <f aca="false">IF(AND(OR($F248="Analogy",$F248="Assumed",$F248="Derived（待改公式）",$F248="Derived（公式）"),OR($N248="—",$N248="",$N248=0)),1,0)</f>
        <v>0</v>
      </c>
      <c r="Z248" s="103" t="n">
        <f aca="false">IF(AND($F248="Decision",OR($J248="—",$J248="")),1,0)</f>
        <v>0</v>
      </c>
      <c r="AA248" s="84" t="n">
        <f aca="false">IF(OR($J248="—",$J248=""),0,IF(COUNTIF(Decisions!$A$5:$A$300,$J248)=0,1,0))</f>
        <v>0</v>
      </c>
      <c r="AB248" s="103" t="n">
        <f aca="false">IF(AND($F248="原始數據",$S248&lt;&gt;"Active"),1,0)</f>
        <v>0</v>
      </c>
      <c r="AC248" s="103" t="n">
        <f aca="false">IF(AND(ISNUMBER($K248),ISNUMBER($L248),ISNUMBER($Q248)),IF(OR($Q248&lt;MIN($K248,$L248),$Q248&gt;MAX($K248,$L248)),1,0),0)</f>
        <v>0</v>
      </c>
      <c r="AD248" s="103" t="n">
        <f aca="false">IF(AND(ISNUMBER($T248),$P248="高"),IF($T248=3,1,0),0)</f>
        <v>0</v>
      </c>
      <c r="AE248" s="103" t="n">
        <f aca="false">IF(AND($S248="不存在",$B248="切片一"),1,0)</f>
        <v>0</v>
      </c>
    </row>
    <row r="249" customFormat="false" ht="29.85" hidden="false" customHeight="false" outlineLevel="0" collapsed="false">
      <c r="A249" s="53" t="s">
        <v>2912</v>
      </c>
      <c r="B249" s="52" t="s">
        <v>2297</v>
      </c>
      <c r="C249" s="53" t="s">
        <v>2869</v>
      </c>
      <c r="D249" s="53" t="s">
        <v>2565</v>
      </c>
      <c r="E249" s="5" t="s">
        <v>316</v>
      </c>
      <c r="F249" s="53" t="s">
        <v>70</v>
      </c>
      <c r="G249" s="52" t="s">
        <v>2299</v>
      </c>
      <c r="H249" s="53" t="s">
        <v>554</v>
      </c>
      <c r="I249" s="6" t="s">
        <v>554</v>
      </c>
      <c r="J249" s="53" t="s">
        <v>554</v>
      </c>
      <c r="K249" s="83" t="n">
        <f aca="false">Serving!C23*0.5</f>
        <v>4096</v>
      </c>
      <c r="L249" s="83" t="n">
        <f aca="false">Serving!C23*2</f>
        <v>16384</v>
      </c>
      <c r="M249" s="53" t="s">
        <v>2908</v>
      </c>
      <c r="N249" s="5" t="s">
        <v>2913</v>
      </c>
      <c r="O249" s="6" t="s">
        <v>554</v>
      </c>
      <c r="P249" s="52" t="s">
        <v>1079</v>
      </c>
      <c r="Q249" s="54" t="n">
        <f aca="false">Serving!C23</f>
        <v>8192</v>
      </c>
      <c r="R249" s="53" t="s">
        <v>554</v>
      </c>
      <c r="S249" s="83" t="str">
        <f aca="false">IF(OR($H249="—",$H249=""),"—",IF(ISNUMBER(MATCH($H249,SRC_HW!$A$5:$A$400,0)),INDEX(SRC_HW!$O$5:$O$400,MATCH($H249,SRC_HW!$A$5:$A$400,0)),IF(ISNUMBER(MATCH($H249,SRC_DC!$A$5:$A$400,0)),INDEX(SRC_DC!$O$5:$O$400,MATCH($H249,SRC_DC!$A$5:$A$400,0)),IF(ISNUMBER(MATCH($H249,SRC_Model!$A$5:$A$400,0)),INDEX(SRC_Model!$O$5:$O$400,MATCH($H249,SRC_Model!$A$5:$A$400,0)),IF(ISNUMBER(MATCH($H249,SRC_Perf!$A$5:$A$400,0)),INDEX(SRC_Perf!$O$5:$O$400,MATCH($H249,SRC_Perf!$A$5:$A$400,0)),"不存在")))))</f>
        <v>—</v>
      </c>
      <c r="T249" s="83" t="str">
        <f aca="false">IF(OR($H249="—",$H249=""),"—",IF(ISNUMBER(MATCH($H249,SRC_HW!$A$5:$A$400,0)),INDEX(SRC_HW!$K$5:$K$400,MATCH($H249,SRC_HW!$A$5:$A$400,0)),IF(ISNUMBER(MATCH($H249,SRC_DC!$A$5:$A$400,0)),INDEX(SRC_DC!$K$5:$K$400,MATCH($H249,SRC_DC!$A$5:$A$400,0)),IF(ISNUMBER(MATCH($H249,SRC_Model!$A$5:$A$400,0)),INDEX(SRC_Model!$K$5:$K$400,MATCH($H249,SRC_Model!$A$5:$A$400,0)),IF(ISNUMBER(MATCH($H249,SRC_Perf!$A$5:$A$400,0)),INDEX(SRC_Perf!$K$5:$K$400,MATCH($H249,SRC_Perf!$A$5:$A$400,0)),"不存在")))))</f>
        <v>—</v>
      </c>
      <c r="U249" s="52" t="s">
        <v>2302</v>
      </c>
      <c r="V249" s="103" t="n">
        <f aca="false">IF(AND($F249="原始數據",$U249&lt;&gt;"連結 SRC"),1,0)</f>
        <v>0</v>
      </c>
      <c r="W249" s="103" t="n">
        <f aca="false">IF(AND($F249="Analogy",OR($H249="—",$H249="")),1,0)</f>
        <v>0</v>
      </c>
      <c r="X249" s="103" t="n">
        <f aca="false">IF(AND(OR($F249="Analogy",$F249="Assumed"),$G249&lt;&gt;"低",$G249&lt;&gt;"高",NOT(ISNUMBER($K249)),NOT(ISNUMBER($L249)),OR($M249="—",$M249="")),1,0)</f>
        <v>0</v>
      </c>
      <c r="Y249" s="103" t="n">
        <f aca="false">IF(AND(OR($F249="Analogy",$F249="Assumed",$F249="Derived（待改公式）",$F249="Derived（公式）"),OR($N249="—",$N249="",$N249=0)),1,0)</f>
        <v>0</v>
      </c>
      <c r="Z249" s="103" t="n">
        <f aca="false">IF(AND($F249="Decision",OR($J249="—",$J249="")),1,0)</f>
        <v>0</v>
      </c>
      <c r="AA249" s="84" t="n">
        <f aca="false">IF(OR($J249="—",$J249=""),0,IF(COUNTIF(Decisions!$A$5:$A$300,$J249)=0,1,0))</f>
        <v>0</v>
      </c>
      <c r="AB249" s="103" t="n">
        <f aca="false">IF(AND($F249="原始數據",$S249&lt;&gt;"Active"),1,0)</f>
        <v>0</v>
      </c>
      <c r="AC249" s="103" t="n">
        <f aca="false">IF(AND(ISNUMBER($K249),ISNUMBER($L249),ISNUMBER($Q249)),IF(OR($Q249&lt;MIN($K249,$L249),$Q249&gt;MAX($K249,$L249)),1,0),0)</f>
        <v>0</v>
      </c>
      <c r="AD249" s="103" t="n">
        <f aca="false">IF(AND(ISNUMBER($T249),$P249="高"),IF($T249=3,1,0),0)</f>
        <v>0</v>
      </c>
      <c r="AE249" s="103" t="n">
        <f aca="false">IF(AND($S249="不存在",$B249="切片一"),1,0)</f>
        <v>0</v>
      </c>
    </row>
    <row r="250" customFormat="false" ht="29.85" hidden="false" customHeight="false" outlineLevel="0" collapsed="false">
      <c r="A250" s="53" t="s">
        <v>2914</v>
      </c>
      <c r="B250" s="52" t="s">
        <v>2297</v>
      </c>
      <c r="C250" s="53" t="s">
        <v>2869</v>
      </c>
      <c r="D250" s="53" t="s">
        <v>2435</v>
      </c>
      <c r="E250" s="5" t="s">
        <v>316</v>
      </c>
      <c r="F250" s="53" t="s">
        <v>70</v>
      </c>
      <c r="G250" s="52" t="s">
        <v>2299</v>
      </c>
      <c r="H250" s="53" t="s">
        <v>554</v>
      </c>
      <c r="I250" s="6" t="s">
        <v>554</v>
      </c>
      <c r="J250" s="53" t="s">
        <v>554</v>
      </c>
      <c r="K250" s="83" t="n">
        <f aca="false">Serving!D23*0.5</f>
        <v>8192</v>
      </c>
      <c r="L250" s="83" t="n">
        <f aca="false">Serving!D23*2</f>
        <v>32768</v>
      </c>
      <c r="M250" s="53" t="s">
        <v>2908</v>
      </c>
      <c r="N250" s="5" t="s">
        <v>2913</v>
      </c>
      <c r="O250" s="6" t="s">
        <v>554</v>
      </c>
      <c r="P250" s="52" t="s">
        <v>1079</v>
      </c>
      <c r="Q250" s="54" t="n">
        <f aca="false">Serving!D23</f>
        <v>16384</v>
      </c>
      <c r="R250" s="53" t="s">
        <v>554</v>
      </c>
      <c r="S250" s="83" t="str">
        <f aca="false">IF(OR($H250="—",$H250=""),"—",IF(ISNUMBER(MATCH($H250,SRC_HW!$A$5:$A$400,0)),INDEX(SRC_HW!$O$5:$O$400,MATCH($H250,SRC_HW!$A$5:$A$400,0)),IF(ISNUMBER(MATCH($H250,SRC_DC!$A$5:$A$400,0)),INDEX(SRC_DC!$O$5:$O$400,MATCH($H250,SRC_DC!$A$5:$A$400,0)),IF(ISNUMBER(MATCH($H250,SRC_Model!$A$5:$A$400,0)),INDEX(SRC_Model!$O$5:$O$400,MATCH($H250,SRC_Model!$A$5:$A$400,0)),IF(ISNUMBER(MATCH($H250,SRC_Perf!$A$5:$A$400,0)),INDEX(SRC_Perf!$O$5:$O$400,MATCH($H250,SRC_Perf!$A$5:$A$400,0)),"不存在")))))</f>
        <v>—</v>
      </c>
      <c r="T250" s="83" t="str">
        <f aca="false">IF(OR($H250="—",$H250=""),"—",IF(ISNUMBER(MATCH($H250,SRC_HW!$A$5:$A$400,0)),INDEX(SRC_HW!$K$5:$K$400,MATCH($H250,SRC_HW!$A$5:$A$400,0)),IF(ISNUMBER(MATCH($H250,SRC_DC!$A$5:$A$400,0)),INDEX(SRC_DC!$K$5:$K$400,MATCH($H250,SRC_DC!$A$5:$A$400,0)),IF(ISNUMBER(MATCH($H250,SRC_Model!$A$5:$A$400,0)),INDEX(SRC_Model!$K$5:$K$400,MATCH($H250,SRC_Model!$A$5:$A$400,0)),IF(ISNUMBER(MATCH($H250,SRC_Perf!$A$5:$A$400,0)),INDEX(SRC_Perf!$K$5:$K$400,MATCH($H250,SRC_Perf!$A$5:$A$400,0)),"不存在")))))</f>
        <v>—</v>
      </c>
      <c r="U250" s="52" t="s">
        <v>2302</v>
      </c>
      <c r="V250" s="103" t="n">
        <f aca="false">IF(AND($F250="原始數據",$U250&lt;&gt;"連結 SRC"),1,0)</f>
        <v>0</v>
      </c>
      <c r="W250" s="103" t="n">
        <f aca="false">IF(AND($F250="Analogy",OR($H250="—",$H250="")),1,0)</f>
        <v>0</v>
      </c>
      <c r="X250" s="103" t="n">
        <f aca="false">IF(AND(OR($F250="Analogy",$F250="Assumed"),$G250&lt;&gt;"低",$G250&lt;&gt;"高",NOT(ISNUMBER($K250)),NOT(ISNUMBER($L250)),OR($M250="—",$M250="")),1,0)</f>
        <v>0</v>
      </c>
      <c r="Y250" s="103" t="n">
        <f aca="false">IF(AND(OR($F250="Analogy",$F250="Assumed",$F250="Derived（待改公式）",$F250="Derived（公式）"),OR($N250="—",$N250="",$N250=0)),1,0)</f>
        <v>0</v>
      </c>
      <c r="Z250" s="103" t="n">
        <f aca="false">IF(AND($F250="Decision",OR($J250="—",$J250="")),1,0)</f>
        <v>0</v>
      </c>
      <c r="AA250" s="84" t="n">
        <f aca="false">IF(OR($J250="—",$J250=""),0,IF(COUNTIF(Decisions!$A$5:$A$300,$J250)=0,1,0))</f>
        <v>0</v>
      </c>
      <c r="AB250" s="103" t="n">
        <f aca="false">IF(AND($F250="原始數據",$S250&lt;&gt;"Active"),1,0)</f>
        <v>0</v>
      </c>
      <c r="AC250" s="103" t="n">
        <f aca="false">IF(AND(ISNUMBER($K250),ISNUMBER($L250),ISNUMBER($Q250)),IF(OR($Q250&lt;MIN($K250,$L250),$Q250&gt;MAX($K250,$L250)),1,0),0)</f>
        <v>0</v>
      </c>
      <c r="AD250" s="103" t="n">
        <f aca="false">IF(AND(ISNUMBER($T250),$P250="高"),IF($T250=3,1,0),0)</f>
        <v>0</v>
      </c>
      <c r="AE250" s="103" t="n">
        <f aca="false">IF(AND($S250="不存在",$B250="切片一"),1,0)</f>
        <v>0</v>
      </c>
    </row>
    <row r="251" customFormat="false" ht="29.85" hidden="false" customHeight="false" outlineLevel="0" collapsed="false">
      <c r="A251" s="53" t="s">
        <v>2915</v>
      </c>
      <c r="B251" s="52" t="s">
        <v>2297</v>
      </c>
      <c r="C251" s="53" t="s">
        <v>2869</v>
      </c>
      <c r="D251" s="53" t="s">
        <v>2439</v>
      </c>
      <c r="E251" s="5" t="s">
        <v>316</v>
      </c>
      <c r="F251" s="53" t="s">
        <v>70</v>
      </c>
      <c r="G251" s="52" t="s">
        <v>2299</v>
      </c>
      <c r="H251" s="53" t="s">
        <v>554</v>
      </c>
      <c r="I251" s="6" t="s">
        <v>554</v>
      </c>
      <c r="J251" s="53" t="s">
        <v>554</v>
      </c>
      <c r="K251" s="83" t="n">
        <f aca="false">Serving!E23*0.5</f>
        <v>16384</v>
      </c>
      <c r="L251" s="83" t="n">
        <f aca="false">Serving!E23*2</f>
        <v>65536</v>
      </c>
      <c r="M251" s="53" t="s">
        <v>2908</v>
      </c>
      <c r="N251" s="5" t="s">
        <v>2913</v>
      </c>
      <c r="O251" s="6" t="s">
        <v>554</v>
      </c>
      <c r="P251" s="52" t="s">
        <v>1079</v>
      </c>
      <c r="Q251" s="54" t="n">
        <f aca="false">Serving!E23</f>
        <v>32768</v>
      </c>
      <c r="R251" s="53" t="s">
        <v>554</v>
      </c>
      <c r="S251" s="83" t="str">
        <f aca="false">IF(OR($H251="—",$H251=""),"—",IF(ISNUMBER(MATCH($H251,SRC_HW!$A$5:$A$400,0)),INDEX(SRC_HW!$O$5:$O$400,MATCH($H251,SRC_HW!$A$5:$A$400,0)),IF(ISNUMBER(MATCH($H251,SRC_DC!$A$5:$A$400,0)),INDEX(SRC_DC!$O$5:$O$400,MATCH($H251,SRC_DC!$A$5:$A$400,0)),IF(ISNUMBER(MATCH($H251,SRC_Model!$A$5:$A$400,0)),INDEX(SRC_Model!$O$5:$O$400,MATCH($H251,SRC_Model!$A$5:$A$400,0)),IF(ISNUMBER(MATCH($H251,SRC_Perf!$A$5:$A$400,0)),INDEX(SRC_Perf!$O$5:$O$400,MATCH($H251,SRC_Perf!$A$5:$A$400,0)),"不存在")))))</f>
        <v>—</v>
      </c>
      <c r="T251" s="83" t="str">
        <f aca="false">IF(OR($H251="—",$H251=""),"—",IF(ISNUMBER(MATCH($H251,SRC_HW!$A$5:$A$400,0)),INDEX(SRC_HW!$K$5:$K$400,MATCH($H251,SRC_HW!$A$5:$A$400,0)),IF(ISNUMBER(MATCH($H251,SRC_DC!$A$5:$A$400,0)),INDEX(SRC_DC!$K$5:$K$400,MATCH($H251,SRC_DC!$A$5:$A$400,0)),IF(ISNUMBER(MATCH($H251,SRC_Model!$A$5:$A$400,0)),INDEX(SRC_Model!$K$5:$K$400,MATCH($H251,SRC_Model!$A$5:$A$400,0)),IF(ISNUMBER(MATCH($H251,SRC_Perf!$A$5:$A$400,0)),INDEX(SRC_Perf!$K$5:$K$400,MATCH($H251,SRC_Perf!$A$5:$A$400,0)),"不存在")))))</f>
        <v>—</v>
      </c>
      <c r="U251" s="52" t="s">
        <v>2302</v>
      </c>
      <c r="V251" s="103" t="n">
        <f aca="false">IF(AND($F251="原始數據",$U251&lt;&gt;"連結 SRC"),1,0)</f>
        <v>0</v>
      </c>
      <c r="W251" s="103" t="n">
        <f aca="false">IF(AND($F251="Analogy",OR($H251="—",$H251="")),1,0)</f>
        <v>0</v>
      </c>
      <c r="X251" s="103" t="n">
        <f aca="false">IF(AND(OR($F251="Analogy",$F251="Assumed"),$G251&lt;&gt;"低",$G251&lt;&gt;"高",NOT(ISNUMBER($K251)),NOT(ISNUMBER($L251)),OR($M251="—",$M251="")),1,0)</f>
        <v>0</v>
      </c>
      <c r="Y251" s="103" t="n">
        <f aca="false">IF(AND(OR($F251="Analogy",$F251="Assumed",$F251="Derived（待改公式）",$F251="Derived（公式）"),OR($N251="—",$N251="",$N251=0)),1,0)</f>
        <v>0</v>
      </c>
      <c r="Z251" s="103" t="n">
        <f aca="false">IF(AND($F251="Decision",OR($J251="—",$J251="")),1,0)</f>
        <v>0</v>
      </c>
      <c r="AA251" s="84" t="n">
        <f aca="false">IF(OR($J251="—",$J251=""),0,IF(COUNTIF(Decisions!$A$5:$A$300,$J251)=0,1,0))</f>
        <v>0</v>
      </c>
      <c r="AB251" s="103" t="n">
        <f aca="false">IF(AND($F251="原始數據",$S251&lt;&gt;"Active"),1,0)</f>
        <v>0</v>
      </c>
      <c r="AC251" s="103" t="n">
        <f aca="false">IF(AND(ISNUMBER($K251),ISNUMBER($L251),ISNUMBER($Q251)),IF(OR($Q251&lt;MIN($K251,$L251),$Q251&gt;MAX($K251,$L251)),1,0),0)</f>
        <v>0</v>
      </c>
      <c r="AD251" s="103" t="n">
        <f aca="false">IF(AND(ISNUMBER($T251),$P251="高"),IF($T251=3,1,0),0)</f>
        <v>0</v>
      </c>
      <c r="AE251" s="103" t="n">
        <f aca="false">IF(AND($S251="不存在",$B251="切片一"),1,0)</f>
        <v>0</v>
      </c>
    </row>
    <row r="252" customFormat="false" ht="15" hidden="false" customHeight="false" outlineLevel="0" collapsed="false">
      <c r="A252" s="53" t="s">
        <v>2916</v>
      </c>
      <c r="B252" s="52" t="s">
        <v>2297</v>
      </c>
      <c r="C252" s="53" t="s">
        <v>2869</v>
      </c>
      <c r="D252" s="53" t="s">
        <v>2578</v>
      </c>
      <c r="E252" s="5" t="s">
        <v>318</v>
      </c>
      <c r="F252" s="53" t="s">
        <v>70</v>
      </c>
      <c r="G252" s="52" t="s">
        <v>2299</v>
      </c>
      <c r="H252" s="53" t="s">
        <v>554</v>
      </c>
      <c r="I252" s="6" t="s">
        <v>554</v>
      </c>
      <c r="J252" s="53" t="s">
        <v>554</v>
      </c>
      <c r="K252" s="83" t="n">
        <f aca="false">Serving!C24*0.5</f>
        <v>512</v>
      </c>
      <c r="L252" s="83" t="n">
        <f aca="false">Serving!C24*2</f>
        <v>2048</v>
      </c>
      <c r="M252" s="53" t="s">
        <v>2908</v>
      </c>
      <c r="N252" s="5" t="s">
        <v>318</v>
      </c>
      <c r="O252" s="6" t="s">
        <v>554</v>
      </c>
      <c r="P252" s="52" t="s">
        <v>1079</v>
      </c>
      <c r="Q252" s="54" t="n">
        <f aca="false">Serving!C24</f>
        <v>1024</v>
      </c>
      <c r="R252" s="53" t="s">
        <v>554</v>
      </c>
      <c r="S252" s="83" t="str">
        <f aca="false">IF(OR($H252="—",$H252=""),"—",IF(ISNUMBER(MATCH($H252,SRC_HW!$A$5:$A$400,0)),INDEX(SRC_HW!$O$5:$O$400,MATCH($H252,SRC_HW!$A$5:$A$400,0)),IF(ISNUMBER(MATCH($H252,SRC_DC!$A$5:$A$400,0)),INDEX(SRC_DC!$O$5:$O$400,MATCH($H252,SRC_DC!$A$5:$A$400,0)),IF(ISNUMBER(MATCH($H252,SRC_Model!$A$5:$A$400,0)),INDEX(SRC_Model!$O$5:$O$400,MATCH($H252,SRC_Model!$A$5:$A$400,0)),IF(ISNUMBER(MATCH($H252,SRC_Perf!$A$5:$A$400,0)),INDEX(SRC_Perf!$O$5:$O$400,MATCH($H252,SRC_Perf!$A$5:$A$400,0)),"不存在")))))</f>
        <v>—</v>
      </c>
      <c r="T252" s="83" t="str">
        <f aca="false">IF(OR($H252="—",$H252=""),"—",IF(ISNUMBER(MATCH($H252,SRC_HW!$A$5:$A$400,0)),INDEX(SRC_HW!$K$5:$K$400,MATCH($H252,SRC_HW!$A$5:$A$400,0)),IF(ISNUMBER(MATCH($H252,SRC_DC!$A$5:$A$400,0)),INDEX(SRC_DC!$K$5:$K$400,MATCH($H252,SRC_DC!$A$5:$A$400,0)),IF(ISNUMBER(MATCH($H252,SRC_Model!$A$5:$A$400,0)),INDEX(SRC_Model!$K$5:$K$400,MATCH($H252,SRC_Model!$A$5:$A$400,0)),IF(ISNUMBER(MATCH($H252,SRC_Perf!$A$5:$A$400,0)),INDEX(SRC_Perf!$K$5:$K$400,MATCH($H252,SRC_Perf!$A$5:$A$400,0)),"不存在")))))</f>
        <v>—</v>
      </c>
      <c r="U252" s="52" t="s">
        <v>2302</v>
      </c>
      <c r="V252" s="103" t="n">
        <f aca="false">IF(AND($F252="原始數據",$U252&lt;&gt;"連結 SRC"),1,0)</f>
        <v>0</v>
      </c>
      <c r="W252" s="103" t="n">
        <f aca="false">IF(AND($F252="Analogy",OR($H252="—",$H252="")),1,0)</f>
        <v>0</v>
      </c>
      <c r="X252" s="103" t="n">
        <f aca="false">IF(AND(OR($F252="Analogy",$F252="Assumed"),$G252&lt;&gt;"低",$G252&lt;&gt;"高",NOT(ISNUMBER($K252)),NOT(ISNUMBER($L252)),OR($M252="—",$M252="")),1,0)</f>
        <v>0</v>
      </c>
      <c r="Y252" s="103" t="n">
        <f aca="false">IF(AND(OR($F252="Analogy",$F252="Assumed",$F252="Derived（待改公式）",$F252="Derived（公式）"),OR($N252="—",$N252="",$N252=0)),1,0)</f>
        <v>0</v>
      </c>
      <c r="Z252" s="103" t="n">
        <f aca="false">IF(AND($F252="Decision",OR($J252="—",$J252="")),1,0)</f>
        <v>0</v>
      </c>
      <c r="AA252" s="84" t="n">
        <f aca="false">IF(OR($J252="—",$J252=""),0,IF(COUNTIF(Decisions!$A$5:$A$300,$J252)=0,1,0))</f>
        <v>0</v>
      </c>
      <c r="AB252" s="103" t="n">
        <f aca="false">IF(AND($F252="原始數據",$S252&lt;&gt;"Active"),1,0)</f>
        <v>0</v>
      </c>
      <c r="AC252" s="103" t="n">
        <f aca="false">IF(AND(ISNUMBER($K252),ISNUMBER($L252),ISNUMBER($Q252)),IF(OR($Q252&lt;MIN($K252,$L252),$Q252&gt;MAX($K252,$L252)),1,0),0)</f>
        <v>0</v>
      </c>
      <c r="AD252" s="103" t="n">
        <f aca="false">IF(AND(ISNUMBER($T252),$P252="高"),IF($T252=3,1,0),0)</f>
        <v>0</v>
      </c>
      <c r="AE252" s="103" t="n">
        <f aca="false">IF(AND($S252="不存在",$B252="切片一"),1,0)</f>
        <v>0</v>
      </c>
    </row>
    <row r="253" customFormat="false" ht="15" hidden="false" customHeight="false" outlineLevel="0" collapsed="false">
      <c r="A253" s="53" t="s">
        <v>2917</v>
      </c>
      <c r="B253" s="52" t="s">
        <v>2297</v>
      </c>
      <c r="C253" s="53" t="s">
        <v>2869</v>
      </c>
      <c r="D253" s="53" t="s">
        <v>2583</v>
      </c>
      <c r="E253" s="5" t="s">
        <v>318</v>
      </c>
      <c r="F253" s="53" t="s">
        <v>70</v>
      </c>
      <c r="G253" s="52" t="s">
        <v>2299</v>
      </c>
      <c r="H253" s="53" t="s">
        <v>554</v>
      </c>
      <c r="I253" s="6" t="s">
        <v>554</v>
      </c>
      <c r="J253" s="53" t="s">
        <v>554</v>
      </c>
      <c r="K253" s="83" t="n">
        <f aca="false">Serving!D24*0.5</f>
        <v>1024</v>
      </c>
      <c r="L253" s="83" t="n">
        <f aca="false">Serving!D24*2</f>
        <v>4096</v>
      </c>
      <c r="M253" s="53" t="s">
        <v>2908</v>
      </c>
      <c r="N253" s="5" t="s">
        <v>318</v>
      </c>
      <c r="O253" s="6" t="s">
        <v>554</v>
      </c>
      <c r="P253" s="52" t="s">
        <v>1079</v>
      </c>
      <c r="Q253" s="54" t="n">
        <f aca="false">Serving!D24</f>
        <v>2048</v>
      </c>
      <c r="R253" s="53" t="s">
        <v>554</v>
      </c>
      <c r="S253" s="83" t="str">
        <f aca="false">IF(OR($H253="—",$H253=""),"—",IF(ISNUMBER(MATCH($H253,SRC_HW!$A$5:$A$400,0)),INDEX(SRC_HW!$O$5:$O$400,MATCH($H253,SRC_HW!$A$5:$A$400,0)),IF(ISNUMBER(MATCH($H253,SRC_DC!$A$5:$A$400,0)),INDEX(SRC_DC!$O$5:$O$400,MATCH($H253,SRC_DC!$A$5:$A$400,0)),IF(ISNUMBER(MATCH($H253,SRC_Model!$A$5:$A$400,0)),INDEX(SRC_Model!$O$5:$O$400,MATCH($H253,SRC_Model!$A$5:$A$400,0)),IF(ISNUMBER(MATCH($H253,SRC_Perf!$A$5:$A$400,0)),INDEX(SRC_Perf!$O$5:$O$400,MATCH($H253,SRC_Perf!$A$5:$A$400,0)),"不存在")))))</f>
        <v>—</v>
      </c>
      <c r="T253" s="83" t="str">
        <f aca="false">IF(OR($H253="—",$H253=""),"—",IF(ISNUMBER(MATCH($H253,SRC_HW!$A$5:$A$400,0)),INDEX(SRC_HW!$K$5:$K$400,MATCH($H253,SRC_HW!$A$5:$A$400,0)),IF(ISNUMBER(MATCH($H253,SRC_DC!$A$5:$A$400,0)),INDEX(SRC_DC!$K$5:$K$400,MATCH($H253,SRC_DC!$A$5:$A$400,0)),IF(ISNUMBER(MATCH($H253,SRC_Model!$A$5:$A$400,0)),INDEX(SRC_Model!$K$5:$K$400,MATCH($H253,SRC_Model!$A$5:$A$400,0)),IF(ISNUMBER(MATCH($H253,SRC_Perf!$A$5:$A$400,0)),INDEX(SRC_Perf!$K$5:$K$400,MATCH($H253,SRC_Perf!$A$5:$A$400,0)),"不存在")))))</f>
        <v>—</v>
      </c>
      <c r="U253" s="52" t="s">
        <v>2302</v>
      </c>
      <c r="V253" s="103" t="n">
        <f aca="false">IF(AND($F253="原始數據",$U253&lt;&gt;"連結 SRC"),1,0)</f>
        <v>0</v>
      </c>
      <c r="W253" s="103" t="n">
        <f aca="false">IF(AND($F253="Analogy",OR($H253="—",$H253="")),1,0)</f>
        <v>0</v>
      </c>
      <c r="X253" s="103" t="n">
        <f aca="false">IF(AND(OR($F253="Analogy",$F253="Assumed"),$G253&lt;&gt;"低",$G253&lt;&gt;"高",NOT(ISNUMBER($K253)),NOT(ISNUMBER($L253)),OR($M253="—",$M253="")),1,0)</f>
        <v>0</v>
      </c>
      <c r="Y253" s="103" t="n">
        <f aca="false">IF(AND(OR($F253="Analogy",$F253="Assumed",$F253="Derived（待改公式）",$F253="Derived（公式）"),OR($N253="—",$N253="",$N253=0)),1,0)</f>
        <v>0</v>
      </c>
      <c r="Z253" s="103" t="n">
        <f aca="false">IF(AND($F253="Decision",OR($J253="—",$J253="")),1,0)</f>
        <v>0</v>
      </c>
      <c r="AA253" s="84" t="n">
        <f aca="false">IF(OR($J253="—",$J253=""),0,IF(COUNTIF(Decisions!$A$5:$A$300,$J253)=0,1,0))</f>
        <v>0</v>
      </c>
      <c r="AB253" s="103" t="n">
        <f aca="false">IF(AND($F253="原始數據",$S253&lt;&gt;"Active"),1,0)</f>
        <v>0</v>
      </c>
      <c r="AC253" s="103" t="n">
        <f aca="false">IF(AND(ISNUMBER($K253),ISNUMBER($L253),ISNUMBER($Q253)),IF(OR($Q253&lt;MIN($K253,$L253),$Q253&gt;MAX($K253,$L253)),1,0),0)</f>
        <v>0</v>
      </c>
      <c r="AD253" s="103" t="n">
        <f aca="false">IF(AND(ISNUMBER($T253),$P253="高"),IF($T253=3,1,0),0)</f>
        <v>0</v>
      </c>
      <c r="AE253" s="103" t="n">
        <f aca="false">IF(AND($S253="不存在",$B253="切片一"),1,0)</f>
        <v>0</v>
      </c>
    </row>
    <row r="254" customFormat="false" ht="15" hidden="false" customHeight="false" outlineLevel="0" collapsed="false">
      <c r="A254" s="53" t="s">
        <v>2918</v>
      </c>
      <c r="B254" s="52" t="s">
        <v>2297</v>
      </c>
      <c r="C254" s="53" t="s">
        <v>2869</v>
      </c>
      <c r="D254" s="53" t="s">
        <v>2444</v>
      </c>
      <c r="E254" s="5" t="s">
        <v>318</v>
      </c>
      <c r="F254" s="53" t="s">
        <v>70</v>
      </c>
      <c r="G254" s="52" t="s">
        <v>2299</v>
      </c>
      <c r="H254" s="53" t="s">
        <v>554</v>
      </c>
      <c r="I254" s="6" t="s">
        <v>554</v>
      </c>
      <c r="J254" s="53" t="s">
        <v>554</v>
      </c>
      <c r="K254" s="83" t="n">
        <f aca="false">Serving!E24*0.5</f>
        <v>2048</v>
      </c>
      <c r="L254" s="83" t="n">
        <f aca="false">Serving!E24*2</f>
        <v>8192</v>
      </c>
      <c r="M254" s="53" t="s">
        <v>2908</v>
      </c>
      <c r="N254" s="5" t="s">
        <v>318</v>
      </c>
      <c r="O254" s="6" t="s">
        <v>554</v>
      </c>
      <c r="P254" s="52" t="s">
        <v>1079</v>
      </c>
      <c r="Q254" s="54" t="n">
        <f aca="false">Serving!E24</f>
        <v>4096</v>
      </c>
      <c r="R254" s="53" t="s">
        <v>554</v>
      </c>
      <c r="S254" s="83" t="str">
        <f aca="false">IF(OR($H254="—",$H254=""),"—",IF(ISNUMBER(MATCH($H254,SRC_HW!$A$5:$A$400,0)),INDEX(SRC_HW!$O$5:$O$400,MATCH($H254,SRC_HW!$A$5:$A$400,0)),IF(ISNUMBER(MATCH($H254,SRC_DC!$A$5:$A$400,0)),INDEX(SRC_DC!$O$5:$O$400,MATCH($H254,SRC_DC!$A$5:$A$400,0)),IF(ISNUMBER(MATCH($H254,SRC_Model!$A$5:$A$400,0)),INDEX(SRC_Model!$O$5:$O$400,MATCH($H254,SRC_Model!$A$5:$A$400,0)),IF(ISNUMBER(MATCH($H254,SRC_Perf!$A$5:$A$400,0)),INDEX(SRC_Perf!$O$5:$O$400,MATCH($H254,SRC_Perf!$A$5:$A$400,0)),"不存在")))))</f>
        <v>—</v>
      </c>
      <c r="T254" s="83" t="str">
        <f aca="false">IF(OR($H254="—",$H254=""),"—",IF(ISNUMBER(MATCH($H254,SRC_HW!$A$5:$A$400,0)),INDEX(SRC_HW!$K$5:$K$400,MATCH($H254,SRC_HW!$A$5:$A$400,0)),IF(ISNUMBER(MATCH($H254,SRC_DC!$A$5:$A$400,0)),INDEX(SRC_DC!$K$5:$K$400,MATCH($H254,SRC_DC!$A$5:$A$400,0)),IF(ISNUMBER(MATCH($H254,SRC_Model!$A$5:$A$400,0)),INDEX(SRC_Model!$K$5:$K$400,MATCH($H254,SRC_Model!$A$5:$A$400,0)),IF(ISNUMBER(MATCH($H254,SRC_Perf!$A$5:$A$400,0)),INDEX(SRC_Perf!$K$5:$K$400,MATCH($H254,SRC_Perf!$A$5:$A$400,0)),"不存在")))))</f>
        <v>—</v>
      </c>
      <c r="U254" s="52" t="s">
        <v>2302</v>
      </c>
      <c r="V254" s="103" t="n">
        <f aca="false">IF(AND($F254="原始數據",$U254&lt;&gt;"連結 SRC"),1,0)</f>
        <v>0</v>
      </c>
      <c r="W254" s="103" t="n">
        <f aca="false">IF(AND($F254="Analogy",OR($H254="—",$H254="")),1,0)</f>
        <v>0</v>
      </c>
      <c r="X254" s="103" t="n">
        <f aca="false">IF(AND(OR($F254="Analogy",$F254="Assumed"),$G254&lt;&gt;"低",$G254&lt;&gt;"高",NOT(ISNUMBER($K254)),NOT(ISNUMBER($L254)),OR($M254="—",$M254="")),1,0)</f>
        <v>0</v>
      </c>
      <c r="Y254" s="103" t="n">
        <f aca="false">IF(AND(OR($F254="Analogy",$F254="Assumed",$F254="Derived（待改公式）",$F254="Derived（公式）"),OR($N254="—",$N254="",$N254=0)),1,0)</f>
        <v>0</v>
      </c>
      <c r="Z254" s="103" t="n">
        <f aca="false">IF(AND($F254="Decision",OR($J254="—",$J254="")),1,0)</f>
        <v>0</v>
      </c>
      <c r="AA254" s="84" t="n">
        <f aca="false">IF(OR($J254="—",$J254=""),0,IF(COUNTIF(Decisions!$A$5:$A$300,$J254)=0,1,0))</f>
        <v>0</v>
      </c>
      <c r="AB254" s="103" t="n">
        <f aca="false">IF(AND($F254="原始數據",$S254&lt;&gt;"Active"),1,0)</f>
        <v>0</v>
      </c>
      <c r="AC254" s="103" t="n">
        <f aca="false">IF(AND(ISNUMBER($K254),ISNUMBER($L254),ISNUMBER($Q254)),IF(OR($Q254&lt;MIN($K254,$L254),$Q254&gt;MAX($K254,$L254)),1,0),0)</f>
        <v>0</v>
      </c>
      <c r="AD254" s="103" t="n">
        <f aca="false">IF(AND(ISNUMBER($T254),$P254="高"),IF($T254=3,1,0),0)</f>
        <v>0</v>
      </c>
      <c r="AE254" s="103" t="n">
        <f aca="false">IF(AND($S254="不存在",$B254="切片一"),1,0)</f>
        <v>0</v>
      </c>
    </row>
    <row r="255" customFormat="false" ht="29.85" hidden="false" customHeight="false" outlineLevel="0" collapsed="false">
      <c r="A255" s="53" t="s">
        <v>2919</v>
      </c>
      <c r="B255" s="52" t="s">
        <v>2297</v>
      </c>
      <c r="C255" s="53" t="s">
        <v>2920</v>
      </c>
      <c r="D255" s="53" t="s">
        <v>2921</v>
      </c>
      <c r="E255" s="5" t="s">
        <v>328</v>
      </c>
      <c r="F255" s="53" t="s">
        <v>70</v>
      </c>
      <c r="G255" s="52" t="s">
        <v>2299</v>
      </c>
      <c r="H255" s="53" t="s">
        <v>554</v>
      </c>
      <c r="I255" s="6" t="s">
        <v>554</v>
      </c>
      <c r="J255" s="53" t="s">
        <v>554</v>
      </c>
      <c r="K255" s="83" t="n">
        <f aca="false">Workload!C5*0.5</f>
        <v>0.5</v>
      </c>
      <c r="L255" s="83" t="n">
        <f aca="false">Workload!C5*2</f>
        <v>2</v>
      </c>
      <c r="M255" s="53" t="s">
        <v>2908</v>
      </c>
      <c r="N255" s="5" t="s">
        <v>2922</v>
      </c>
      <c r="O255" s="6" t="s">
        <v>554</v>
      </c>
      <c r="P255" s="52" t="s">
        <v>1079</v>
      </c>
      <c r="Q255" s="54" t="n">
        <f aca="false">Workload!C5</f>
        <v>1</v>
      </c>
      <c r="R255" s="53" t="s">
        <v>554</v>
      </c>
      <c r="S255" s="83" t="str">
        <f aca="false">IF(OR($H255="—",$H255=""),"—",IF(ISNUMBER(MATCH($H255,SRC_HW!$A$5:$A$400,0)),INDEX(SRC_HW!$O$5:$O$400,MATCH($H255,SRC_HW!$A$5:$A$400,0)),IF(ISNUMBER(MATCH($H255,SRC_DC!$A$5:$A$400,0)),INDEX(SRC_DC!$O$5:$O$400,MATCH($H255,SRC_DC!$A$5:$A$400,0)),IF(ISNUMBER(MATCH($H255,SRC_Model!$A$5:$A$400,0)),INDEX(SRC_Model!$O$5:$O$400,MATCH($H255,SRC_Model!$A$5:$A$400,0)),IF(ISNUMBER(MATCH($H255,SRC_Perf!$A$5:$A$400,0)),INDEX(SRC_Perf!$O$5:$O$400,MATCH($H255,SRC_Perf!$A$5:$A$400,0)),"不存在")))))</f>
        <v>—</v>
      </c>
      <c r="T255" s="83" t="str">
        <f aca="false">IF(OR($H255="—",$H255=""),"—",IF(ISNUMBER(MATCH($H255,SRC_HW!$A$5:$A$400,0)),INDEX(SRC_HW!$K$5:$K$400,MATCH($H255,SRC_HW!$A$5:$A$400,0)),IF(ISNUMBER(MATCH($H255,SRC_DC!$A$5:$A$400,0)),INDEX(SRC_DC!$K$5:$K$400,MATCH($H255,SRC_DC!$A$5:$A$400,0)),IF(ISNUMBER(MATCH($H255,SRC_Model!$A$5:$A$400,0)),INDEX(SRC_Model!$K$5:$K$400,MATCH($H255,SRC_Model!$A$5:$A$400,0)),IF(ISNUMBER(MATCH($H255,SRC_Perf!$A$5:$A$400,0)),INDEX(SRC_Perf!$K$5:$K$400,MATCH($H255,SRC_Perf!$A$5:$A$400,0)),"不存在")))))</f>
        <v>—</v>
      </c>
      <c r="U255" s="52" t="s">
        <v>2302</v>
      </c>
      <c r="V255" s="103" t="n">
        <f aca="false">IF(AND($F255="原始數據",$U255&lt;&gt;"連結 SRC"),1,0)</f>
        <v>0</v>
      </c>
      <c r="W255" s="103" t="n">
        <f aca="false">IF(AND($F255="Analogy",OR($H255="—",$H255="")),1,0)</f>
        <v>0</v>
      </c>
      <c r="X255" s="103" t="n">
        <f aca="false">IF(AND(OR($F255="Analogy",$F255="Assumed"),$G255&lt;&gt;"低",$G255&lt;&gt;"高",NOT(ISNUMBER($K255)),NOT(ISNUMBER($L255)),OR($M255="—",$M255="")),1,0)</f>
        <v>0</v>
      </c>
      <c r="Y255" s="103" t="n">
        <f aca="false">IF(AND(OR($F255="Analogy",$F255="Assumed",$F255="Derived（待改公式）",$F255="Derived（公式）"),OR($N255="—",$N255="",$N255=0)),1,0)</f>
        <v>0</v>
      </c>
      <c r="Z255" s="103" t="n">
        <f aca="false">IF(AND($F255="Decision",OR($J255="—",$J255="")),1,0)</f>
        <v>0</v>
      </c>
      <c r="AA255" s="84" t="n">
        <f aca="false">IF(OR($J255="—",$J255=""),0,IF(COUNTIF(Decisions!$A$5:$A$300,$J255)=0,1,0))</f>
        <v>0</v>
      </c>
      <c r="AB255" s="103" t="n">
        <f aca="false">IF(AND($F255="原始數據",$S255&lt;&gt;"Active"),1,0)</f>
        <v>0</v>
      </c>
      <c r="AC255" s="103" t="n">
        <f aca="false">IF(AND(ISNUMBER($K255),ISNUMBER($L255),ISNUMBER($Q255)),IF(OR($Q255&lt;MIN($K255,$L255),$Q255&gt;MAX($K255,$L255)),1,0),0)</f>
        <v>0</v>
      </c>
      <c r="AD255" s="103" t="n">
        <f aca="false">IF(AND(ISNUMBER($T255),$P255="高"),IF($T255=3,1,0),0)</f>
        <v>0</v>
      </c>
      <c r="AE255" s="103" t="n">
        <f aca="false">IF(AND($S255="不存在",$B255="切片一"),1,0)</f>
        <v>0</v>
      </c>
    </row>
    <row r="256" customFormat="false" ht="29.85" hidden="false" customHeight="false" outlineLevel="0" collapsed="false">
      <c r="A256" s="53" t="s">
        <v>2923</v>
      </c>
      <c r="B256" s="52" t="s">
        <v>2297</v>
      </c>
      <c r="C256" s="53" t="s">
        <v>2920</v>
      </c>
      <c r="D256" s="53" t="s">
        <v>2924</v>
      </c>
      <c r="E256" s="5" t="s">
        <v>328</v>
      </c>
      <c r="F256" s="53" t="s">
        <v>70</v>
      </c>
      <c r="G256" s="52" t="s">
        <v>2299</v>
      </c>
      <c r="H256" s="53" t="s">
        <v>554</v>
      </c>
      <c r="I256" s="6" t="s">
        <v>554</v>
      </c>
      <c r="J256" s="53" t="s">
        <v>554</v>
      </c>
      <c r="K256" s="83" t="n">
        <f aca="false">Workload!D5*0.5</f>
        <v>0.5</v>
      </c>
      <c r="L256" s="83" t="n">
        <f aca="false">Workload!D5*2</f>
        <v>2</v>
      </c>
      <c r="M256" s="53" t="s">
        <v>2908</v>
      </c>
      <c r="N256" s="5" t="s">
        <v>2922</v>
      </c>
      <c r="O256" s="6" t="s">
        <v>554</v>
      </c>
      <c r="P256" s="52" t="s">
        <v>1079</v>
      </c>
      <c r="Q256" s="54" t="n">
        <f aca="false">Workload!D5</f>
        <v>1</v>
      </c>
      <c r="R256" s="53" t="s">
        <v>554</v>
      </c>
      <c r="S256" s="83" t="str">
        <f aca="false">IF(OR($H256="—",$H256=""),"—",IF(ISNUMBER(MATCH($H256,SRC_HW!$A$5:$A$400,0)),INDEX(SRC_HW!$O$5:$O$400,MATCH($H256,SRC_HW!$A$5:$A$400,0)),IF(ISNUMBER(MATCH($H256,SRC_DC!$A$5:$A$400,0)),INDEX(SRC_DC!$O$5:$O$400,MATCH($H256,SRC_DC!$A$5:$A$400,0)),IF(ISNUMBER(MATCH($H256,SRC_Model!$A$5:$A$400,0)),INDEX(SRC_Model!$O$5:$O$400,MATCH($H256,SRC_Model!$A$5:$A$400,0)),IF(ISNUMBER(MATCH($H256,SRC_Perf!$A$5:$A$400,0)),INDEX(SRC_Perf!$O$5:$O$400,MATCH($H256,SRC_Perf!$A$5:$A$400,0)),"不存在")))))</f>
        <v>—</v>
      </c>
      <c r="T256" s="83" t="str">
        <f aca="false">IF(OR($H256="—",$H256=""),"—",IF(ISNUMBER(MATCH($H256,SRC_HW!$A$5:$A$400,0)),INDEX(SRC_HW!$K$5:$K$400,MATCH($H256,SRC_HW!$A$5:$A$400,0)),IF(ISNUMBER(MATCH($H256,SRC_DC!$A$5:$A$400,0)),INDEX(SRC_DC!$K$5:$K$400,MATCH($H256,SRC_DC!$A$5:$A$400,0)),IF(ISNUMBER(MATCH($H256,SRC_Model!$A$5:$A$400,0)),INDEX(SRC_Model!$K$5:$K$400,MATCH($H256,SRC_Model!$A$5:$A$400,0)),IF(ISNUMBER(MATCH($H256,SRC_Perf!$A$5:$A$400,0)),INDEX(SRC_Perf!$K$5:$K$400,MATCH($H256,SRC_Perf!$A$5:$A$400,0)),"不存在")))))</f>
        <v>—</v>
      </c>
      <c r="U256" s="52" t="s">
        <v>2302</v>
      </c>
      <c r="V256" s="103" t="n">
        <f aca="false">IF(AND($F256="原始數據",$U256&lt;&gt;"連結 SRC"),1,0)</f>
        <v>0</v>
      </c>
      <c r="W256" s="103" t="n">
        <f aca="false">IF(AND($F256="Analogy",OR($H256="—",$H256="")),1,0)</f>
        <v>0</v>
      </c>
      <c r="X256" s="103" t="n">
        <f aca="false">IF(AND(OR($F256="Analogy",$F256="Assumed"),$G256&lt;&gt;"低",$G256&lt;&gt;"高",NOT(ISNUMBER($K256)),NOT(ISNUMBER($L256)),OR($M256="—",$M256="")),1,0)</f>
        <v>0</v>
      </c>
      <c r="Y256" s="103" t="n">
        <f aca="false">IF(AND(OR($F256="Analogy",$F256="Assumed",$F256="Derived（待改公式）",$F256="Derived（公式）"),OR($N256="—",$N256="",$N256=0)),1,0)</f>
        <v>0</v>
      </c>
      <c r="Z256" s="103" t="n">
        <f aca="false">IF(AND($F256="Decision",OR($J256="—",$J256="")),1,0)</f>
        <v>0</v>
      </c>
      <c r="AA256" s="84" t="n">
        <f aca="false">IF(OR($J256="—",$J256=""),0,IF(COUNTIF(Decisions!$A$5:$A$300,$J256)=0,1,0))</f>
        <v>0</v>
      </c>
      <c r="AB256" s="103" t="n">
        <f aca="false">IF(AND($F256="原始數據",$S256&lt;&gt;"Active"),1,0)</f>
        <v>0</v>
      </c>
      <c r="AC256" s="103" t="n">
        <f aca="false">IF(AND(ISNUMBER($K256),ISNUMBER($L256),ISNUMBER($Q256)),IF(OR($Q256&lt;MIN($K256,$L256),$Q256&gt;MAX($K256,$L256)),1,0),0)</f>
        <v>0</v>
      </c>
      <c r="AD256" s="103" t="n">
        <f aca="false">IF(AND(ISNUMBER($T256),$P256="高"),IF($T256=3,1,0),0)</f>
        <v>0</v>
      </c>
      <c r="AE256" s="103" t="n">
        <f aca="false">IF(AND($S256="不存在",$B256="切片一"),1,0)</f>
        <v>0</v>
      </c>
    </row>
    <row r="257" customFormat="false" ht="29.85" hidden="false" customHeight="false" outlineLevel="0" collapsed="false">
      <c r="A257" s="53" t="s">
        <v>2925</v>
      </c>
      <c r="B257" s="52" t="s">
        <v>2297</v>
      </c>
      <c r="C257" s="53" t="s">
        <v>2920</v>
      </c>
      <c r="D257" s="53" t="s">
        <v>2211</v>
      </c>
      <c r="E257" s="5" t="s">
        <v>328</v>
      </c>
      <c r="F257" s="53" t="s">
        <v>70</v>
      </c>
      <c r="G257" s="52" t="s">
        <v>2299</v>
      </c>
      <c r="H257" s="53" t="s">
        <v>554</v>
      </c>
      <c r="I257" s="6" t="s">
        <v>554</v>
      </c>
      <c r="J257" s="53" t="s">
        <v>554</v>
      </c>
      <c r="K257" s="83" t="n">
        <f aca="false">Workload!E5*0.5</f>
        <v>2</v>
      </c>
      <c r="L257" s="83" t="n">
        <f aca="false">Workload!E5*2</f>
        <v>8</v>
      </c>
      <c r="M257" s="53" t="s">
        <v>2908</v>
      </c>
      <c r="N257" s="5" t="s">
        <v>2922</v>
      </c>
      <c r="O257" s="6" t="s">
        <v>554</v>
      </c>
      <c r="P257" s="52" t="s">
        <v>1079</v>
      </c>
      <c r="Q257" s="54" t="n">
        <f aca="false">Workload!E5</f>
        <v>4</v>
      </c>
      <c r="R257" s="53" t="s">
        <v>554</v>
      </c>
      <c r="S257" s="83" t="str">
        <f aca="false">IF(OR($H257="—",$H257=""),"—",IF(ISNUMBER(MATCH($H257,SRC_HW!$A$5:$A$400,0)),INDEX(SRC_HW!$O$5:$O$400,MATCH($H257,SRC_HW!$A$5:$A$400,0)),IF(ISNUMBER(MATCH($H257,SRC_DC!$A$5:$A$400,0)),INDEX(SRC_DC!$O$5:$O$400,MATCH($H257,SRC_DC!$A$5:$A$400,0)),IF(ISNUMBER(MATCH($H257,SRC_Model!$A$5:$A$400,0)),INDEX(SRC_Model!$O$5:$O$400,MATCH($H257,SRC_Model!$A$5:$A$400,0)),IF(ISNUMBER(MATCH($H257,SRC_Perf!$A$5:$A$400,0)),INDEX(SRC_Perf!$O$5:$O$400,MATCH($H257,SRC_Perf!$A$5:$A$400,0)),"不存在")))))</f>
        <v>—</v>
      </c>
      <c r="T257" s="83" t="str">
        <f aca="false">IF(OR($H257="—",$H257=""),"—",IF(ISNUMBER(MATCH($H257,SRC_HW!$A$5:$A$400,0)),INDEX(SRC_HW!$K$5:$K$400,MATCH($H257,SRC_HW!$A$5:$A$400,0)),IF(ISNUMBER(MATCH($H257,SRC_DC!$A$5:$A$400,0)),INDEX(SRC_DC!$K$5:$K$400,MATCH($H257,SRC_DC!$A$5:$A$400,0)),IF(ISNUMBER(MATCH($H257,SRC_Model!$A$5:$A$400,0)),INDEX(SRC_Model!$K$5:$K$400,MATCH($H257,SRC_Model!$A$5:$A$400,0)),IF(ISNUMBER(MATCH($H257,SRC_Perf!$A$5:$A$400,0)),INDEX(SRC_Perf!$K$5:$K$400,MATCH($H257,SRC_Perf!$A$5:$A$400,0)),"不存在")))))</f>
        <v>—</v>
      </c>
      <c r="U257" s="52" t="s">
        <v>2302</v>
      </c>
      <c r="V257" s="103" t="n">
        <f aca="false">IF(AND($F257="原始數據",$U257&lt;&gt;"連結 SRC"),1,0)</f>
        <v>0</v>
      </c>
      <c r="W257" s="103" t="n">
        <f aca="false">IF(AND($F257="Analogy",OR($H257="—",$H257="")),1,0)</f>
        <v>0</v>
      </c>
      <c r="X257" s="103" t="n">
        <f aca="false">IF(AND(OR($F257="Analogy",$F257="Assumed"),$G257&lt;&gt;"低",$G257&lt;&gt;"高",NOT(ISNUMBER($K257)),NOT(ISNUMBER($L257)),OR($M257="—",$M257="")),1,0)</f>
        <v>0</v>
      </c>
      <c r="Y257" s="103" t="n">
        <f aca="false">IF(AND(OR($F257="Analogy",$F257="Assumed",$F257="Derived（待改公式）",$F257="Derived（公式）"),OR($N257="—",$N257="",$N257=0)),1,0)</f>
        <v>0</v>
      </c>
      <c r="Z257" s="103" t="n">
        <f aca="false">IF(AND($F257="Decision",OR($J257="—",$J257="")),1,0)</f>
        <v>0</v>
      </c>
      <c r="AA257" s="84" t="n">
        <f aca="false">IF(OR($J257="—",$J257=""),0,IF(COUNTIF(Decisions!$A$5:$A$300,$J257)=0,1,0))</f>
        <v>0</v>
      </c>
      <c r="AB257" s="103" t="n">
        <f aca="false">IF(AND($F257="原始數據",$S257&lt;&gt;"Active"),1,0)</f>
        <v>0</v>
      </c>
      <c r="AC257" s="103" t="n">
        <f aca="false">IF(AND(ISNUMBER($K257),ISNUMBER($L257),ISNUMBER($Q257)),IF(OR($Q257&lt;MIN($K257,$L257),$Q257&gt;MAX($K257,$L257)),1,0),0)</f>
        <v>0</v>
      </c>
      <c r="AD257" s="103" t="n">
        <f aca="false">IF(AND(ISNUMBER($T257),$P257="高"),IF($T257=3,1,0),0)</f>
        <v>0</v>
      </c>
      <c r="AE257" s="103" t="n">
        <f aca="false">IF(AND($S257="不存在",$B257="切片一"),1,0)</f>
        <v>0</v>
      </c>
    </row>
    <row r="258" customFormat="false" ht="29.85" hidden="false" customHeight="false" outlineLevel="0" collapsed="false">
      <c r="A258" s="53" t="s">
        <v>2926</v>
      </c>
      <c r="B258" s="52" t="s">
        <v>2297</v>
      </c>
      <c r="C258" s="53" t="s">
        <v>2920</v>
      </c>
      <c r="D258" s="53" t="s">
        <v>2927</v>
      </c>
      <c r="E258" s="5" t="s">
        <v>328</v>
      </c>
      <c r="F258" s="53" t="s">
        <v>70</v>
      </c>
      <c r="G258" s="52" t="s">
        <v>2299</v>
      </c>
      <c r="H258" s="53" t="s">
        <v>554</v>
      </c>
      <c r="I258" s="6" t="s">
        <v>554</v>
      </c>
      <c r="J258" s="53" t="s">
        <v>554</v>
      </c>
      <c r="K258" s="83" t="n">
        <f aca="false">Workload!F5*0.5</f>
        <v>2</v>
      </c>
      <c r="L258" s="83" t="n">
        <f aca="false">Workload!F5*2</f>
        <v>8</v>
      </c>
      <c r="M258" s="53" t="s">
        <v>2908</v>
      </c>
      <c r="N258" s="5" t="s">
        <v>2922</v>
      </c>
      <c r="O258" s="6" t="s">
        <v>554</v>
      </c>
      <c r="P258" s="52" t="s">
        <v>1079</v>
      </c>
      <c r="Q258" s="54" t="n">
        <f aca="false">Workload!F5</f>
        <v>4</v>
      </c>
      <c r="R258" s="53" t="s">
        <v>554</v>
      </c>
      <c r="S258" s="83" t="str">
        <f aca="false">IF(OR($H258="—",$H258=""),"—",IF(ISNUMBER(MATCH($H258,SRC_HW!$A$5:$A$400,0)),INDEX(SRC_HW!$O$5:$O$400,MATCH($H258,SRC_HW!$A$5:$A$400,0)),IF(ISNUMBER(MATCH($H258,SRC_DC!$A$5:$A$400,0)),INDEX(SRC_DC!$O$5:$O$400,MATCH($H258,SRC_DC!$A$5:$A$400,0)),IF(ISNUMBER(MATCH($H258,SRC_Model!$A$5:$A$400,0)),INDEX(SRC_Model!$O$5:$O$400,MATCH($H258,SRC_Model!$A$5:$A$400,0)),IF(ISNUMBER(MATCH($H258,SRC_Perf!$A$5:$A$400,0)),INDEX(SRC_Perf!$O$5:$O$400,MATCH($H258,SRC_Perf!$A$5:$A$400,0)),"不存在")))))</f>
        <v>—</v>
      </c>
      <c r="T258" s="83" t="str">
        <f aca="false">IF(OR($H258="—",$H258=""),"—",IF(ISNUMBER(MATCH($H258,SRC_HW!$A$5:$A$400,0)),INDEX(SRC_HW!$K$5:$K$400,MATCH($H258,SRC_HW!$A$5:$A$400,0)),IF(ISNUMBER(MATCH($H258,SRC_DC!$A$5:$A$400,0)),INDEX(SRC_DC!$K$5:$K$400,MATCH($H258,SRC_DC!$A$5:$A$400,0)),IF(ISNUMBER(MATCH($H258,SRC_Model!$A$5:$A$400,0)),INDEX(SRC_Model!$K$5:$K$400,MATCH($H258,SRC_Model!$A$5:$A$400,0)),IF(ISNUMBER(MATCH($H258,SRC_Perf!$A$5:$A$400,0)),INDEX(SRC_Perf!$K$5:$K$400,MATCH($H258,SRC_Perf!$A$5:$A$400,0)),"不存在")))))</f>
        <v>—</v>
      </c>
      <c r="U258" s="52" t="s">
        <v>2302</v>
      </c>
      <c r="V258" s="103" t="n">
        <f aca="false">IF(AND($F258="原始數據",$U258&lt;&gt;"連結 SRC"),1,0)</f>
        <v>0</v>
      </c>
      <c r="W258" s="103" t="n">
        <f aca="false">IF(AND($F258="Analogy",OR($H258="—",$H258="")),1,0)</f>
        <v>0</v>
      </c>
      <c r="X258" s="103" t="n">
        <f aca="false">IF(AND(OR($F258="Analogy",$F258="Assumed"),$G258&lt;&gt;"低",$G258&lt;&gt;"高",NOT(ISNUMBER($K258)),NOT(ISNUMBER($L258)),OR($M258="—",$M258="")),1,0)</f>
        <v>0</v>
      </c>
      <c r="Y258" s="103" t="n">
        <f aca="false">IF(AND(OR($F258="Analogy",$F258="Assumed",$F258="Derived（待改公式）",$F258="Derived（公式）"),OR($N258="—",$N258="",$N258=0)),1,0)</f>
        <v>0</v>
      </c>
      <c r="Z258" s="103" t="n">
        <f aca="false">IF(AND($F258="Decision",OR($J258="—",$J258="")),1,0)</f>
        <v>0</v>
      </c>
      <c r="AA258" s="84" t="n">
        <f aca="false">IF(OR($J258="—",$J258=""),0,IF(COUNTIF(Decisions!$A$5:$A$300,$J258)=0,1,0))</f>
        <v>0</v>
      </c>
      <c r="AB258" s="103" t="n">
        <f aca="false">IF(AND($F258="原始數據",$S258&lt;&gt;"Active"),1,0)</f>
        <v>0</v>
      </c>
      <c r="AC258" s="103" t="n">
        <f aca="false">IF(AND(ISNUMBER($K258),ISNUMBER($L258),ISNUMBER($Q258)),IF(OR($Q258&lt;MIN($K258,$L258),$Q258&gt;MAX($K258,$L258)),1,0),0)</f>
        <v>0</v>
      </c>
      <c r="AD258" s="103" t="n">
        <f aca="false">IF(AND(ISNUMBER($T258),$P258="高"),IF($T258=3,1,0),0)</f>
        <v>0</v>
      </c>
      <c r="AE258" s="103" t="n">
        <f aca="false">IF(AND($S258="不存在",$B258="切片一"),1,0)</f>
        <v>0</v>
      </c>
    </row>
    <row r="259" customFormat="false" ht="29.85" hidden="false" customHeight="false" outlineLevel="0" collapsed="false">
      <c r="A259" s="53" t="s">
        <v>2928</v>
      </c>
      <c r="B259" s="52" t="s">
        <v>2297</v>
      </c>
      <c r="C259" s="53" t="s">
        <v>2920</v>
      </c>
      <c r="D259" s="53" t="s">
        <v>2929</v>
      </c>
      <c r="E259" s="5" t="s">
        <v>328</v>
      </c>
      <c r="F259" s="53" t="s">
        <v>70</v>
      </c>
      <c r="G259" s="52" t="s">
        <v>2299</v>
      </c>
      <c r="H259" s="53" t="s">
        <v>554</v>
      </c>
      <c r="I259" s="6" t="s">
        <v>554</v>
      </c>
      <c r="J259" s="53" t="s">
        <v>554</v>
      </c>
      <c r="K259" s="83" t="n">
        <f aca="false">Workload!G5*0.5</f>
        <v>15</v>
      </c>
      <c r="L259" s="83" t="n">
        <f aca="false">Workload!G5*2</f>
        <v>60</v>
      </c>
      <c r="M259" s="53" t="s">
        <v>2908</v>
      </c>
      <c r="N259" s="5" t="s">
        <v>2922</v>
      </c>
      <c r="O259" s="6" t="s">
        <v>554</v>
      </c>
      <c r="P259" s="52" t="s">
        <v>1079</v>
      </c>
      <c r="Q259" s="54" t="n">
        <f aca="false">Workload!G5</f>
        <v>30</v>
      </c>
      <c r="R259" s="53" t="s">
        <v>554</v>
      </c>
      <c r="S259" s="83" t="str">
        <f aca="false">IF(OR($H259="—",$H259=""),"—",IF(ISNUMBER(MATCH($H259,SRC_HW!$A$5:$A$400,0)),INDEX(SRC_HW!$O$5:$O$400,MATCH($H259,SRC_HW!$A$5:$A$400,0)),IF(ISNUMBER(MATCH($H259,SRC_DC!$A$5:$A$400,0)),INDEX(SRC_DC!$O$5:$O$400,MATCH($H259,SRC_DC!$A$5:$A$400,0)),IF(ISNUMBER(MATCH($H259,SRC_Model!$A$5:$A$400,0)),INDEX(SRC_Model!$O$5:$O$400,MATCH($H259,SRC_Model!$A$5:$A$400,0)),IF(ISNUMBER(MATCH($H259,SRC_Perf!$A$5:$A$400,0)),INDEX(SRC_Perf!$O$5:$O$400,MATCH($H259,SRC_Perf!$A$5:$A$400,0)),"不存在")))))</f>
        <v>—</v>
      </c>
      <c r="T259" s="83" t="str">
        <f aca="false">IF(OR($H259="—",$H259=""),"—",IF(ISNUMBER(MATCH($H259,SRC_HW!$A$5:$A$400,0)),INDEX(SRC_HW!$K$5:$K$400,MATCH($H259,SRC_HW!$A$5:$A$400,0)),IF(ISNUMBER(MATCH($H259,SRC_DC!$A$5:$A$400,0)),INDEX(SRC_DC!$K$5:$K$400,MATCH($H259,SRC_DC!$A$5:$A$400,0)),IF(ISNUMBER(MATCH($H259,SRC_Model!$A$5:$A$400,0)),INDEX(SRC_Model!$K$5:$K$400,MATCH($H259,SRC_Model!$A$5:$A$400,0)),IF(ISNUMBER(MATCH($H259,SRC_Perf!$A$5:$A$400,0)),INDEX(SRC_Perf!$K$5:$K$400,MATCH($H259,SRC_Perf!$A$5:$A$400,0)),"不存在")))))</f>
        <v>—</v>
      </c>
      <c r="U259" s="52" t="s">
        <v>2302</v>
      </c>
      <c r="V259" s="103" t="n">
        <f aca="false">IF(AND($F259="原始數據",$U259&lt;&gt;"連結 SRC"),1,0)</f>
        <v>0</v>
      </c>
      <c r="W259" s="103" t="n">
        <f aca="false">IF(AND($F259="Analogy",OR($H259="—",$H259="")),1,0)</f>
        <v>0</v>
      </c>
      <c r="X259" s="103" t="n">
        <f aca="false">IF(AND(OR($F259="Analogy",$F259="Assumed"),$G259&lt;&gt;"低",$G259&lt;&gt;"高",NOT(ISNUMBER($K259)),NOT(ISNUMBER($L259)),OR($M259="—",$M259="")),1,0)</f>
        <v>0</v>
      </c>
      <c r="Y259" s="103" t="n">
        <f aca="false">IF(AND(OR($F259="Analogy",$F259="Assumed",$F259="Derived（待改公式）",$F259="Derived（公式）"),OR($N259="—",$N259="",$N259=0)),1,0)</f>
        <v>0</v>
      </c>
      <c r="Z259" s="103" t="n">
        <f aca="false">IF(AND($F259="Decision",OR($J259="—",$J259="")),1,0)</f>
        <v>0</v>
      </c>
      <c r="AA259" s="84" t="n">
        <f aca="false">IF(OR($J259="—",$J259=""),0,IF(COUNTIF(Decisions!$A$5:$A$300,$J259)=0,1,0))</f>
        <v>0</v>
      </c>
      <c r="AB259" s="103" t="n">
        <f aca="false">IF(AND($F259="原始數據",$S259&lt;&gt;"Active"),1,0)</f>
        <v>0</v>
      </c>
      <c r="AC259" s="103" t="n">
        <f aca="false">IF(AND(ISNUMBER($K259),ISNUMBER($L259),ISNUMBER($Q259)),IF(OR($Q259&lt;MIN($K259,$L259),$Q259&gt;MAX($K259,$L259)),1,0),0)</f>
        <v>0</v>
      </c>
      <c r="AD259" s="103" t="n">
        <f aca="false">IF(AND(ISNUMBER($T259),$P259="高"),IF($T259=3,1,0),0)</f>
        <v>0</v>
      </c>
      <c r="AE259" s="103" t="n">
        <f aca="false">IF(AND($S259="不存在",$B259="切片一"),1,0)</f>
        <v>0</v>
      </c>
    </row>
    <row r="260" customFormat="false" ht="29.85" hidden="false" customHeight="false" outlineLevel="0" collapsed="false">
      <c r="A260" s="53" t="s">
        <v>2930</v>
      </c>
      <c r="B260" s="52" t="s">
        <v>2297</v>
      </c>
      <c r="C260" s="53" t="s">
        <v>2920</v>
      </c>
      <c r="D260" s="53" t="s">
        <v>2461</v>
      </c>
      <c r="E260" s="5" t="s">
        <v>330</v>
      </c>
      <c r="F260" s="53" t="s">
        <v>70</v>
      </c>
      <c r="G260" s="52" t="s">
        <v>2299</v>
      </c>
      <c r="H260" s="53" t="s">
        <v>554</v>
      </c>
      <c r="I260" s="6" t="s">
        <v>554</v>
      </c>
      <c r="J260" s="53" t="s">
        <v>554</v>
      </c>
      <c r="K260" s="83" t="n">
        <f aca="false">Workload!C6*0.5</f>
        <v>1000</v>
      </c>
      <c r="L260" s="83" t="n">
        <f aca="false">Workload!C6*2</f>
        <v>4000</v>
      </c>
      <c r="M260" s="53" t="s">
        <v>2908</v>
      </c>
      <c r="N260" s="5" t="s">
        <v>2922</v>
      </c>
      <c r="O260" s="6" t="s">
        <v>554</v>
      </c>
      <c r="P260" s="52" t="s">
        <v>1078</v>
      </c>
      <c r="Q260" s="54" t="n">
        <f aca="false">Workload!C6</f>
        <v>2000</v>
      </c>
      <c r="R260" s="53" t="s">
        <v>554</v>
      </c>
      <c r="S260" s="83" t="str">
        <f aca="false">IF(OR($H260="—",$H260=""),"—",IF(ISNUMBER(MATCH($H260,SRC_HW!$A$5:$A$400,0)),INDEX(SRC_HW!$O$5:$O$400,MATCH($H260,SRC_HW!$A$5:$A$400,0)),IF(ISNUMBER(MATCH($H260,SRC_DC!$A$5:$A$400,0)),INDEX(SRC_DC!$O$5:$O$400,MATCH($H260,SRC_DC!$A$5:$A$400,0)),IF(ISNUMBER(MATCH($H260,SRC_Model!$A$5:$A$400,0)),INDEX(SRC_Model!$O$5:$O$400,MATCH($H260,SRC_Model!$A$5:$A$400,0)),IF(ISNUMBER(MATCH($H260,SRC_Perf!$A$5:$A$400,0)),INDEX(SRC_Perf!$O$5:$O$400,MATCH($H260,SRC_Perf!$A$5:$A$400,0)),"不存在")))))</f>
        <v>—</v>
      </c>
      <c r="T260" s="83" t="str">
        <f aca="false">IF(OR($H260="—",$H260=""),"—",IF(ISNUMBER(MATCH($H260,SRC_HW!$A$5:$A$400,0)),INDEX(SRC_HW!$K$5:$K$400,MATCH($H260,SRC_HW!$A$5:$A$400,0)),IF(ISNUMBER(MATCH($H260,SRC_DC!$A$5:$A$400,0)),INDEX(SRC_DC!$K$5:$K$400,MATCH($H260,SRC_DC!$A$5:$A$400,0)),IF(ISNUMBER(MATCH($H260,SRC_Model!$A$5:$A$400,0)),INDEX(SRC_Model!$K$5:$K$400,MATCH($H260,SRC_Model!$A$5:$A$400,0)),IF(ISNUMBER(MATCH($H260,SRC_Perf!$A$5:$A$400,0)),INDEX(SRC_Perf!$K$5:$K$400,MATCH($H260,SRC_Perf!$A$5:$A$400,0)),"不存在")))))</f>
        <v>—</v>
      </c>
      <c r="U260" s="52" t="s">
        <v>2302</v>
      </c>
      <c r="V260" s="103" t="n">
        <f aca="false">IF(AND($F260="原始數據",$U260&lt;&gt;"連結 SRC"),1,0)</f>
        <v>0</v>
      </c>
      <c r="W260" s="103" t="n">
        <f aca="false">IF(AND($F260="Analogy",OR($H260="—",$H260="")),1,0)</f>
        <v>0</v>
      </c>
      <c r="X260" s="103" t="n">
        <f aca="false">IF(AND(OR($F260="Analogy",$F260="Assumed"),$G260&lt;&gt;"低",$G260&lt;&gt;"高",NOT(ISNUMBER($K260)),NOT(ISNUMBER($L260)),OR($M260="—",$M260="")),1,0)</f>
        <v>0</v>
      </c>
      <c r="Y260" s="103" t="n">
        <f aca="false">IF(AND(OR($F260="Analogy",$F260="Assumed",$F260="Derived（待改公式）",$F260="Derived（公式）"),OR($N260="—",$N260="",$N260=0)),1,0)</f>
        <v>0</v>
      </c>
      <c r="Z260" s="103" t="n">
        <f aca="false">IF(AND($F260="Decision",OR($J260="—",$J260="")),1,0)</f>
        <v>0</v>
      </c>
      <c r="AA260" s="84" t="n">
        <f aca="false">IF(OR($J260="—",$J260=""),0,IF(COUNTIF(Decisions!$A$5:$A$300,$J260)=0,1,0))</f>
        <v>0</v>
      </c>
      <c r="AB260" s="103" t="n">
        <f aca="false">IF(AND($F260="原始數據",$S260&lt;&gt;"Active"),1,0)</f>
        <v>0</v>
      </c>
      <c r="AC260" s="103" t="n">
        <f aca="false">IF(AND(ISNUMBER($K260),ISNUMBER($L260),ISNUMBER($Q260)),IF(OR($Q260&lt;MIN($K260,$L260),$Q260&gt;MAX($K260,$L260)),1,0),0)</f>
        <v>0</v>
      </c>
      <c r="AD260" s="103" t="n">
        <f aca="false">IF(AND(ISNUMBER($T260),$P260="高"),IF($T260=3,1,0),0)</f>
        <v>0</v>
      </c>
      <c r="AE260" s="103" t="n">
        <f aca="false">IF(AND($S260="不存在",$B260="切片一"),1,0)</f>
        <v>0</v>
      </c>
    </row>
    <row r="261" customFormat="false" ht="29.85" hidden="false" customHeight="false" outlineLevel="0" collapsed="false">
      <c r="A261" s="53" t="s">
        <v>2931</v>
      </c>
      <c r="B261" s="52" t="s">
        <v>2297</v>
      </c>
      <c r="C261" s="53" t="s">
        <v>2920</v>
      </c>
      <c r="D261" s="53" t="s">
        <v>2465</v>
      </c>
      <c r="E261" s="5" t="s">
        <v>330</v>
      </c>
      <c r="F261" s="53" t="s">
        <v>70</v>
      </c>
      <c r="G261" s="52" t="s">
        <v>2299</v>
      </c>
      <c r="H261" s="53" t="s">
        <v>554</v>
      </c>
      <c r="I261" s="6" t="s">
        <v>554</v>
      </c>
      <c r="J261" s="53" t="s">
        <v>554</v>
      </c>
      <c r="K261" s="83" t="n">
        <f aca="false">Workload!D6*0.5</f>
        <v>1000</v>
      </c>
      <c r="L261" s="83" t="n">
        <f aca="false">Workload!D6*2</f>
        <v>4000</v>
      </c>
      <c r="M261" s="53" t="s">
        <v>2908</v>
      </c>
      <c r="N261" s="5" t="s">
        <v>2922</v>
      </c>
      <c r="O261" s="6" t="s">
        <v>554</v>
      </c>
      <c r="P261" s="52" t="s">
        <v>1078</v>
      </c>
      <c r="Q261" s="54" t="n">
        <f aca="false">Workload!D6</f>
        <v>2000</v>
      </c>
      <c r="R261" s="53" t="s">
        <v>554</v>
      </c>
      <c r="S261" s="83" t="str">
        <f aca="false">IF(OR($H261="—",$H261=""),"—",IF(ISNUMBER(MATCH($H261,SRC_HW!$A$5:$A$400,0)),INDEX(SRC_HW!$O$5:$O$400,MATCH($H261,SRC_HW!$A$5:$A$400,0)),IF(ISNUMBER(MATCH($H261,SRC_DC!$A$5:$A$400,0)),INDEX(SRC_DC!$O$5:$O$400,MATCH($H261,SRC_DC!$A$5:$A$400,0)),IF(ISNUMBER(MATCH($H261,SRC_Model!$A$5:$A$400,0)),INDEX(SRC_Model!$O$5:$O$400,MATCH($H261,SRC_Model!$A$5:$A$400,0)),IF(ISNUMBER(MATCH($H261,SRC_Perf!$A$5:$A$400,0)),INDEX(SRC_Perf!$O$5:$O$400,MATCH($H261,SRC_Perf!$A$5:$A$400,0)),"不存在")))))</f>
        <v>—</v>
      </c>
      <c r="T261" s="83" t="str">
        <f aca="false">IF(OR($H261="—",$H261=""),"—",IF(ISNUMBER(MATCH($H261,SRC_HW!$A$5:$A$400,0)),INDEX(SRC_HW!$K$5:$K$400,MATCH($H261,SRC_HW!$A$5:$A$400,0)),IF(ISNUMBER(MATCH($H261,SRC_DC!$A$5:$A$400,0)),INDEX(SRC_DC!$K$5:$K$400,MATCH($H261,SRC_DC!$A$5:$A$400,0)),IF(ISNUMBER(MATCH($H261,SRC_Model!$A$5:$A$400,0)),INDEX(SRC_Model!$K$5:$K$400,MATCH($H261,SRC_Model!$A$5:$A$400,0)),IF(ISNUMBER(MATCH($H261,SRC_Perf!$A$5:$A$400,0)),INDEX(SRC_Perf!$K$5:$K$400,MATCH($H261,SRC_Perf!$A$5:$A$400,0)),"不存在")))))</f>
        <v>—</v>
      </c>
      <c r="U261" s="52" t="s">
        <v>2302</v>
      </c>
      <c r="V261" s="103" t="n">
        <f aca="false">IF(AND($F261="原始數據",$U261&lt;&gt;"連結 SRC"),1,0)</f>
        <v>0</v>
      </c>
      <c r="W261" s="103" t="n">
        <f aca="false">IF(AND($F261="Analogy",OR($H261="—",$H261="")),1,0)</f>
        <v>0</v>
      </c>
      <c r="X261" s="103" t="n">
        <f aca="false">IF(AND(OR($F261="Analogy",$F261="Assumed"),$G261&lt;&gt;"低",$G261&lt;&gt;"高",NOT(ISNUMBER($K261)),NOT(ISNUMBER($L261)),OR($M261="—",$M261="")),1,0)</f>
        <v>0</v>
      </c>
      <c r="Y261" s="103" t="n">
        <f aca="false">IF(AND(OR($F261="Analogy",$F261="Assumed",$F261="Derived（待改公式）",$F261="Derived（公式）"),OR($N261="—",$N261="",$N261=0)),1,0)</f>
        <v>0</v>
      </c>
      <c r="Z261" s="103" t="n">
        <f aca="false">IF(AND($F261="Decision",OR($J261="—",$J261="")),1,0)</f>
        <v>0</v>
      </c>
      <c r="AA261" s="84" t="n">
        <f aca="false">IF(OR($J261="—",$J261=""),0,IF(COUNTIF(Decisions!$A$5:$A$300,$J261)=0,1,0))</f>
        <v>0</v>
      </c>
      <c r="AB261" s="103" t="n">
        <f aca="false">IF(AND($F261="原始數據",$S261&lt;&gt;"Active"),1,0)</f>
        <v>0</v>
      </c>
      <c r="AC261" s="103" t="n">
        <f aca="false">IF(AND(ISNUMBER($K261),ISNUMBER($L261),ISNUMBER($Q261)),IF(OR($Q261&lt;MIN($K261,$L261),$Q261&gt;MAX($K261,$L261)),1,0),0)</f>
        <v>0</v>
      </c>
      <c r="AD261" s="103" t="n">
        <f aca="false">IF(AND(ISNUMBER($T261),$P261="高"),IF($T261=3,1,0),0)</f>
        <v>0</v>
      </c>
      <c r="AE261" s="103" t="n">
        <f aca="false">IF(AND($S261="不存在",$B261="切片一"),1,0)</f>
        <v>0</v>
      </c>
    </row>
    <row r="262" customFormat="false" ht="29.85" hidden="false" customHeight="false" outlineLevel="0" collapsed="false">
      <c r="A262" s="53" t="s">
        <v>2932</v>
      </c>
      <c r="B262" s="52" t="s">
        <v>2297</v>
      </c>
      <c r="C262" s="53" t="s">
        <v>2920</v>
      </c>
      <c r="D262" s="53" t="s">
        <v>2213</v>
      </c>
      <c r="E262" s="5" t="s">
        <v>330</v>
      </c>
      <c r="F262" s="53" t="s">
        <v>70</v>
      </c>
      <c r="G262" s="52" t="s">
        <v>2299</v>
      </c>
      <c r="H262" s="53" t="s">
        <v>554</v>
      </c>
      <c r="I262" s="6" t="s">
        <v>554</v>
      </c>
      <c r="J262" s="53" t="s">
        <v>554</v>
      </c>
      <c r="K262" s="83" t="n">
        <f aca="false">Workload!E6*0.5</f>
        <v>1500</v>
      </c>
      <c r="L262" s="83" t="n">
        <f aca="false">Workload!E6*2</f>
        <v>6000</v>
      </c>
      <c r="M262" s="53" t="s">
        <v>2908</v>
      </c>
      <c r="N262" s="5" t="s">
        <v>2922</v>
      </c>
      <c r="O262" s="6" t="s">
        <v>554</v>
      </c>
      <c r="P262" s="52" t="s">
        <v>1078</v>
      </c>
      <c r="Q262" s="54" t="n">
        <f aca="false">Workload!E6</f>
        <v>3000</v>
      </c>
      <c r="R262" s="53" t="s">
        <v>554</v>
      </c>
      <c r="S262" s="83" t="str">
        <f aca="false">IF(OR($H262="—",$H262=""),"—",IF(ISNUMBER(MATCH($H262,SRC_HW!$A$5:$A$400,0)),INDEX(SRC_HW!$O$5:$O$400,MATCH($H262,SRC_HW!$A$5:$A$400,0)),IF(ISNUMBER(MATCH($H262,SRC_DC!$A$5:$A$400,0)),INDEX(SRC_DC!$O$5:$O$400,MATCH($H262,SRC_DC!$A$5:$A$400,0)),IF(ISNUMBER(MATCH($H262,SRC_Model!$A$5:$A$400,0)),INDEX(SRC_Model!$O$5:$O$400,MATCH($H262,SRC_Model!$A$5:$A$400,0)),IF(ISNUMBER(MATCH($H262,SRC_Perf!$A$5:$A$400,0)),INDEX(SRC_Perf!$O$5:$O$400,MATCH($H262,SRC_Perf!$A$5:$A$400,0)),"不存在")))))</f>
        <v>—</v>
      </c>
      <c r="T262" s="83" t="str">
        <f aca="false">IF(OR($H262="—",$H262=""),"—",IF(ISNUMBER(MATCH($H262,SRC_HW!$A$5:$A$400,0)),INDEX(SRC_HW!$K$5:$K$400,MATCH($H262,SRC_HW!$A$5:$A$400,0)),IF(ISNUMBER(MATCH($H262,SRC_DC!$A$5:$A$400,0)),INDEX(SRC_DC!$K$5:$K$400,MATCH($H262,SRC_DC!$A$5:$A$400,0)),IF(ISNUMBER(MATCH($H262,SRC_Model!$A$5:$A$400,0)),INDEX(SRC_Model!$K$5:$K$400,MATCH($H262,SRC_Model!$A$5:$A$400,0)),IF(ISNUMBER(MATCH($H262,SRC_Perf!$A$5:$A$400,0)),INDEX(SRC_Perf!$K$5:$K$400,MATCH($H262,SRC_Perf!$A$5:$A$400,0)),"不存在")))))</f>
        <v>—</v>
      </c>
      <c r="U262" s="52" t="s">
        <v>2302</v>
      </c>
      <c r="V262" s="103" t="n">
        <f aca="false">IF(AND($F262="原始數據",$U262&lt;&gt;"連結 SRC"),1,0)</f>
        <v>0</v>
      </c>
      <c r="W262" s="103" t="n">
        <f aca="false">IF(AND($F262="Analogy",OR($H262="—",$H262="")),1,0)</f>
        <v>0</v>
      </c>
      <c r="X262" s="103" t="n">
        <f aca="false">IF(AND(OR($F262="Analogy",$F262="Assumed"),$G262&lt;&gt;"低",$G262&lt;&gt;"高",NOT(ISNUMBER($K262)),NOT(ISNUMBER($L262)),OR($M262="—",$M262="")),1,0)</f>
        <v>0</v>
      </c>
      <c r="Y262" s="103" t="n">
        <f aca="false">IF(AND(OR($F262="Analogy",$F262="Assumed",$F262="Derived（待改公式）",$F262="Derived（公式）"),OR($N262="—",$N262="",$N262=0)),1,0)</f>
        <v>0</v>
      </c>
      <c r="Z262" s="103" t="n">
        <f aca="false">IF(AND($F262="Decision",OR($J262="—",$J262="")),1,0)</f>
        <v>0</v>
      </c>
      <c r="AA262" s="84" t="n">
        <f aca="false">IF(OR($J262="—",$J262=""),0,IF(COUNTIF(Decisions!$A$5:$A$300,$J262)=0,1,0))</f>
        <v>0</v>
      </c>
      <c r="AB262" s="103" t="n">
        <f aca="false">IF(AND($F262="原始數據",$S262&lt;&gt;"Active"),1,0)</f>
        <v>0</v>
      </c>
      <c r="AC262" s="103" t="n">
        <f aca="false">IF(AND(ISNUMBER($K262),ISNUMBER($L262),ISNUMBER($Q262)),IF(OR($Q262&lt;MIN($K262,$L262),$Q262&gt;MAX($K262,$L262)),1,0),0)</f>
        <v>0</v>
      </c>
      <c r="AD262" s="103" t="n">
        <f aca="false">IF(AND(ISNUMBER($T262),$P262="高"),IF($T262=3,1,0),0)</f>
        <v>0</v>
      </c>
      <c r="AE262" s="103" t="n">
        <f aca="false">IF(AND($S262="不存在",$B262="切片一"),1,0)</f>
        <v>0</v>
      </c>
    </row>
    <row r="263" customFormat="false" ht="29.85" hidden="false" customHeight="false" outlineLevel="0" collapsed="false">
      <c r="A263" s="53" t="s">
        <v>2933</v>
      </c>
      <c r="B263" s="52" t="s">
        <v>2297</v>
      </c>
      <c r="C263" s="53" t="s">
        <v>2920</v>
      </c>
      <c r="D263" s="53" t="s">
        <v>2469</v>
      </c>
      <c r="E263" s="5" t="s">
        <v>330</v>
      </c>
      <c r="F263" s="53" t="s">
        <v>70</v>
      </c>
      <c r="G263" s="52" t="s">
        <v>2299</v>
      </c>
      <c r="H263" s="53" t="s">
        <v>554</v>
      </c>
      <c r="I263" s="6" t="s">
        <v>554</v>
      </c>
      <c r="J263" s="53" t="s">
        <v>554</v>
      </c>
      <c r="K263" s="83" t="n">
        <f aca="false">Workload!F6*0.5</f>
        <v>1500</v>
      </c>
      <c r="L263" s="83" t="n">
        <f aca="false">Workload!F6*2</f>
        <v>6000</v>
      </c>
      <c r="M263" s="53" t="s">
        <v>2908</v>
      </c>
      <c r="N263" s="5" t="s">
        <v>2922</v>
      </c>
      <c r="O263" s="6" t="s">
        <v>554</v>
      </c>
      <c r="P263" s="52" t="s">
        <v>1078</v>
      </c>
      <c r="Q263" s="54" t="n">
        <f aca="false">Workload!F6</f>
        <v>3000</v>
      </c>
      <c r="R263" s="53" t="s">
        <v>554</v>
      </c>
      <c r="S263" s="83" t="str">
        <f aca="false">IF(OR($H263="—",$H263=""),"—",IF(ISNUMBER(MATCH($H263,SRC_HW!$A$5:$A$400,0)),INDEX(SRC_HW!$O$5:$O$400,MATCH($H263,SRC_HW!$A$5:$A$400,0)),IF(ISNUMBER(MATCH($H263,SRC_DC!$A$5:$A$400,0)),INDEX(SRC_DC!$O$5:$O$400,MATCH($H263,SRC_DC!$A$5:$A$400,0)),IF(ISNUMBER(MATCH($H263,SRC_Model!$A$5:$A$400,0)),INDEX(SRC_Model!$O$5:$O$400,MATCH($H263,SRC_Model!$A$5:$A$400,0)),IF(ISNUMBER(MATCH($H263,SRC_Perf!$A$5:$A$400,0)),INDEX(SRC_Perf!$O$5:$O$400,MATCH($H263,SRC_Perf!$A$5:$A$400,0)),"不存在")))))</f>
        <v>—</v>
      </c>
      <c r="T263" s="83" t="str">
        <f aca="false">IF(OR($H263="—",$H263=""),"—",IF(ISNUMBER(MATCH($H263,SRC_HW!$A$5:$A$400,0)),INDEX(SRC_HW!$K$5:$K$400,MATCH($H263,SRC_HW!$A$5:$A$400,0)),IF(ISNUMBER(MATCH($H263,SRC_DC!$A$5:$A$400,0)),INDEX(SRC_DC!$K$5:$K$400,MATCH($H263,SRC_DC!$A$5:$A$400,0)),IF(ISNUMBER(MATCH($H263,SRC_Model!$A$5:$A$400,0)),INDEX(SRC_Model!$K$5:$K$400,MATCH($H263,SRC_Model!$A$5:$A$400,0)),IF(ISNUMBER(MATCH($H263,SRC_Perf!$A$5:$A$400,0)),INDEX(SRC_Perf!$K$5:$K$400,MATCH($H263,SRC_Perf!$A$5:$A$400,0)),"不存在")))))</f>
        <v>—</v>
      </c>
      <c r="U263" s="52" t="s">
        <v>2302</v>
      </c>
      <c r="V263" s="103" t="n">
        <f aca="false">IF(AND($F263="原始數據",$U263&lt;&gt;"連結 SRC"),1,0)</f>
        <v>0</v>
      </c>
      <c r="W263" s="103" t="n">
        <f aca="false">IF(AND($F263="Analogy",OR($H263="—",$H263="")),1,0)</f>
        <v>0</v>
      </c>
      <c r="X263" s="103" t="n">
        <f aca="false">IF(AND(OR($F263="Analogy",$F263="Assumed"),$G263&lt;&gt;"低",$G263&lt;&gt;"高",NOT(ISNUMBER($K263)),NOT(ISNUMBER($L263)),OR($M263="—",$M263="")),1,0)</f>
        <v>0</v>
      </c>
      <c r="Y263" s="103" t="n">
        <f aca="false">IF(AND(OR($F263="Analogy",$F263="Assumed",$F263="Derived（待改公式）",$F263="Derived（公式）"),OR($N263="—",$N263="",$N263=0)),1,0)</f>
        <v>0</v>
      </c>
      <c r="Z263" s="103" t="n">
        <f aca="false">IF(AND($F263="Decision",OR($J263="—",$J263="")),1,0)</f>
        <v>0</v>
      </c>
      <c r="AA263" s="84" t="n">
        <f aca="false">IF(OR($J263="—",$J263=""),0,IF(COUNTIF(Decisions!$A$5:$A$300,$J263)=0,1,0))</f>
        <v>0</v>
      </c>
      <c r="AB263" s="103" t="n">
        <f aca="false">IF(AND($F263="原始數據",$S263&lt;&gt;"Active"),1,0)</f>
        <v>0</v>
      </c>
      <c r="AC263" s="103" t="n">
        <f aca="false">IF(AND(ISNUMBER($K263),ISNUMBER($L263),ISNUMBER($Q263)),IF(OR($Q263&lt;MIN($K263,$L263),$Q263&gt;MAX($K263,$L263)),1,0),0)</f>
        <v>0</v>
      </c>
      <c r="AD263" s="103" t="n">
        <f aca="false">IF(AND(ISNUMBER($T263),$P263="高"),IF($T263=3,1,0),0)</f>
        <v>0</v>
      </c>
      <c r="AE263" s="103" t="n">
        <f aca="false">IF(AND($S263="不存在",$B263="切片一"),1,0)</f>
        <v>0</v>
      </c>
    </row>
    <row r="264" customFormat="false" ht="29.85" hidden="false" customHeight="false" outlineLevel="0" collapsed="false">
      <c r="A264" s="53" t="s">
        <v>2934</v>
      </c>
      <c r="B264" s="52" t="s">
        <v>2297</v>
      </c>
      <c r="C264" s="53" t="s">
        <v>2920</v>
      </c>
      <c r="D264" s="53" t="s">
        <v>2471</v>
      </c>
      <c r="E264" s="5" t="s">
        <v>330</v>
      </c>
      <c r="F264" s="53" t="s">
        <v>70</v>
      </c>
      <c r="G264" s="52" t="s">
        <v>2299</v>
      </c>
      <c r="H264" s="53" t="s">
        <v>554</v>
      </c>
      <c r="I264" s="6" t="s">
        <v>554</v>
      </c>
      <c r="J264" s="53" t="s">
        <v>554</v>
      </c>
      <c r="K264" s="83" t="n">
        <f aca="false">Workload!G6*0.5</f>
        <v>6000</v>
      </c>
      <c r="L264" s="83" t="n">
        <f aca="false">Workload!G6*2</f>
        <v>24000</v>
      </c>
      <c r="M264" s="53" t="s">
        <v>2908</v>
      </c>
      <c r="N264" s="5" t="s">
        <v>2922</v>
      </c>
      <c r="O264" s="6" t="s">
        <v>554</v>
      </c>
      <c r="P264" s="52" t="s">
        <v>1078</v>
      </c>
      <c r="Q264" s="54" t="n">
        <f aca="false">Workload!G6</f>
        <v>12000</v>
      </c>
      <c r="R264" s="53" t="s">
        <v>554</v>
      </c>
      <c r="S264" s="83" t="str">
        <f aca="false">IF(OR($H264="—",$H264=""),"—",IF(ISNUMBER(MATCH($H264,SRC_HW!$A$5:$A$400,0)),INDEX(SRC_HW!$O$5:$O$400,MATCH($H264,SRC_HW!$A$5:$A$400,0)),IF(ISNUMBER(MATCH($H264,SRC_DC!$A$5:$A$400,0)),INDEX(SRC_DC!$O$5:$O$400,MATCH($H264,SRC_DC!$A$5:$A$400,0)),IF(ISNUMBER(MATCH($H264,SRC_Model!$A$5:$A$400,0)),INDEX(SRC_Model!$O$5:$O$400,MATCH($H264,SRC_Model!$A$5:$A$400,0)),IF(ISNUMBER(MATCH($H264,SRC_Perf!$A$5:$A$400,0)),INDEX(SRC_Perf!$O$5:$O$400,MATCH($H264,SRC_Perf!$A$5:$A$400,0)),"不存在")))))</f>
        <v>—</v>
      </c>
      <c r="T264" s="83" t="str">
        <f aca="false">IF(OR($H264="—",$H264=""),"—",IF(ISNUMBER(MATCH($H264,SRC_HW!$A$5:$A$400,0)),INDEX(SRC_HW!$K$5:$K$400,MATCH($H264,SRC_HW!$A$5:$A$400,0)),IF(ISNUMBER(MATCH($H264,SRC_DC!$A$5:$A$400,0)),INDEX(SRC_DC!$K$5:$K$400,MATCH($H264,SRC_DC!$A$5:$A$400,0)),IF(ISNUMBER(MATCH($H264,SRC_Model!$A$5:$A$400,0)),INDEX(SRC_Model!$K$5:$K$400,MATCH($H264,SRC_Model!$A$5:$A$400,0)),IF(ISNUMBER(MATCH($H264,SRC_Perf!$A$5:$A$400,0)),INDEX(SRC_Perf!$K$5:$K$400,MATCH($H264,SRC_Perf!$A$5:$A$400,0)),"不存在")))))</f>
        <v>—</v>
      </c>
      <c r="U264" s="52" t="s">
        <v>2302</v>
      </c>
      <c r="V264" s="103" t="n">
        <f aca="false">IF(AND($F264="原始數據",$U264&lt;&gt;"連結 SRC"),1,0)</f>
        <v>0</v>
      </c>
      <c r="W264" s="103" t="n">
        <f aca="false">IF(AND($F264="Analogy",OR($H264="—",$H264="")),1,0)</f>
        <v>0</v>
      </c>
      <c r="X264" s="103" t="n">
        <f aca="false">IF(AND(OR($F264="Analogy",$F264="Assumed"),$G264&lt;&gt;"低",$G264&lt;&gt;"高",NOT(ISNUMBER($K264)),NOT(ISNUMBER($L264)),OR($M264="—",$M264="")),1,0)</f>
        <v>0</v>
      </c>
      <c r="Y264" s="103" t="n">
        <f aca="false">IF(AND(OR($F264="Analogy",$F264="Assumed",$F264="Derived（待改公式）",$F264="Derived（公式）"),OR($N264="—",$N264="",$N264=0)),1,0)</f>
        <v>0</v>
      </c>
      <c r="Z264" s="103" t="n">
        <f aca="false">IF(AND($F264="Decision",OR($J264="—",$J264="")),1,0)</f>
        <v>0</v>
      </c>
      <c r="AA264" s="84" t="n">
        <f aca="false">IF(OR($J264="—",$J264=""),0,IF(COUNTIF(Decisions!$A$5:$A$300,$J264)=0,1,0))</f>
        <v>0</v>
      </c>
      <c r="AB264" s="103" t="n">
        <f aca="false">IF(AND($F264="原始數據",$S264&lt;&gt;"Active"),1,0)</f>
        <v>0</v>
      </c>
      <c r="AC264" s="103" t="n">
        <f aca="false">IF(AND(ISNUMBER($K264),ISNUMBER($L264),ISNUMBER($Q264)),IF(OR($Q264&lt;MIN($K264,$L264),$Q264&gt;MAX($K264,$L264)),1,0),0)</f>
        <v>0</v>
      </c>
      <c r="AD264" s="103" t="n">
        <f aca="false">IF(AND(ISNUMBER($T264),$P264="高"),IF($T264=3,1,0),0)</f>
        <v>0</v>
      </c>
      <c r="AE264" s="103" t="n">
        <f aca="false">IF(AND($S264="不存在",$B264="切片一"),1,0)</f>
        <v>0</v>
      </c>
    </row>
    <row r="265" customFormat="false" ht="29.85" hidden="false" customHeight="false" outlineLevel="0" collapsed="false">
      <c r="A265" s="53" t="s">
        <v>2935</v>
      </c>
      <c r="B265" s="52" t="s">
        <v>2297</v>
      </c>
      <c r="C265" s="53" t="s">
        <v>2920</v>
      </c>
      <c r="D265" s="53" t="s">
        <v>2767</v>
      </c>
      <c r="E265" s="5" t="s">
        <v>331</v>
      </c>
      <c r="F265" s="53" t="s">
        <v>70</v>
      </c>
      <c r="G265" s="52" t="s">
        <v>2299</v>
      </c>
      <c r="H265" s="53" t="s">
        <v>554</v>
      </c>
      <c r="I265" s="6" t="s">
        <v>554</v>
      </c>
      <c r="J265" s="53" t="s">
        <v>554</v>
      </c>
      <c r="K265" s="83" t="n">
        <f aca="false">Workload!C7*0.5</f>
        <v>250</v>
      </c>
      <c r="L265" s="83" t="n">
        <f aca="false">Workload!C7*2</f>
        <v>1000</v>
      </c>
      <c r="M265" s="53" t="s">
        <v>2908</v>
      </c>
      <c r="N265" s="5" t="s">
        <v>2922</v>
      </c>
      <c r="O265" s="6" t="s">
        <v>554</v>
      </c>
      <c r="P265" s="52" t="s">
        <v>2364</v>
      </c>
      <c r="Q265" s="54" t="n">
        <f aca="false">Workload!C7</f>
        <v>500</v>
      </c>
      <c r="R265" s="53" t="s">
        <v>554</v>
      </c>
      <c r="S265" s="83" t="str">
        <f aca="false">IF(OR($H265="—",$H265=""),"—",IF(ISNUMBER(MATCH($H265,SRC_HW!$A$5:$A$400,0)),INDEX(SRC_HW!$O$5:$O$400,MATCH($H265,SRC_HW!$A$5:$A$400,0)),IF(ISNUMBER(MATCH($H265,SRC_DC!$A$5:$A$400,0)),INDEX(SRC_DC!$O$5:$O$400,MATCH($H265,SRC_DC!$A$5:$A$400,0)),IF(ISNUMBER(MATCH($H265,SRC_Model!$A$5:$A$400,0)),INDEX(SRC_Model!$O$5:$O$400,MATCH($H265,SRC_Model!$A$5:$A$400,0)),IF(ISNUMBER(MATCH($H265,SRC_Perf!$A$5:$A$400,0)),INDEX(SRC_Perf!$O$5:$O$400,MATCH($H265,SRC_Perf!$A$5:$A$400,0)),"不存在")))))</f>
        <v>—</v>
      </c>
      <c r="T265" s="83" t="str">
        <f aca="false">IF(OR($H265="—",$H265=""),"—",IF(ISNUMBER(MATCH($H265,SRC_HW!$A$5:$A$400,0)),INDEX(SRC_HW!$K$5:$K$400,MATCH($H265,SRC_HW!$A$5:$A$400,0)),IF(ISNUMBER(MATCH($H265,SRC_DC!$A$5:$A$400,0)),INDEX(SRC_DC!$K$5:$K$400,MATCH($H265,SRC_DC!$A$5:$A$400,0)),IF(ISNUMBER(MATCH($H265,SRC_Model!$A$5:$A$400,0)),INDEX(SRC_Model!$K$5:$K$400,MATCH($H265,SRC_Model!$A$5:$A$400,0)),IF(ISNUMBER(MATCH($H265,SRC_Perf!$A$5:$A$400,0)),INDEX(SRC_Perf!$K$5:$K$400,MATCH($H265,SRC_Perf!$A$5:$A$400,0)),"不存在")))))</f>
        <v>—</v>
      </c>
      <c r="U265" s="52" t="s">
        <v>2302</v>
      </c>
      <c r="V265" s="103" t="n">
        <f aca="false">IF(AND($F265="原始數據",$U265&lt;&gt;"連結 SRC"),1,0)</f>
        <v>0</v>
      </c>
      <c r="W265" s="103" t="n">
        <f aca="false">IF(AND($F265="Analogy",OR($H265="—",$H265="")),1,0)</f>
        <v>0</v>
      </c>
      <c r="X265" s="103" t="n">
        <f aca="false">IF(AND(OR($F265="Analogy",$F265="Assumed"),$G265&lt;&gt;"低",$G265&lt;&gt;"高",NOT(ISNUMBER($K265)),NOT(ISNUMBER($L265)),OR($M265="—",$M265="")),1,0)</f>
        <v>0</v>
      </c>
      <c r="Y265" s="103" t="n">
        <f aca="false">IF(AND(OR($F265="Analogy",$F265="Assumed",$F265="Derived（待改公式）",$F265="Derived（公式）"),OR($N265="—",$N265="",$N265=0)),1,0)</f>
        <v>0</v>
      </c>
      <c r="Z265" s="103" t="n">
        <f aca="false">IF(AND($F265="Decision",OR($J265="—",$J265="")),1,0)</f>
        <v>0</v>
      </c>
      <c r="AA265" s="84" t="n">
        <f aca="false">IF(OR($J265="—",$J265=""),0,IF(COUNTIF(Decisions!$A$5:$A$300,$J265)=0,1,0))</f>
        <v>0</v>
      </c>
      <c r="AB265" s="103" t="n">
        <f aca="false">IF(AND($F265="原始數據",$S265&lt;&gt;"Active"),1,0)</f>
        <v>0</v>
      </c>
      <c r="AC265" s="103" t="n">
        <f aca="false">IF(AND(ISNUMBER($K265),ISNUMBER($L265),ISNUMBER($Q265)),IF(OR($Q265&lt;MIN($K265,$L265),$Q265&gt;MAX($K265,$L265)),1,0),0)</f>
        <v>0</v>
      </c>
      <c r="AD265" s="103" t="n">
        <f aca="false">IF(AND(ISNUMBER($T265),$P265="高"),IF($T265=3,1,0),0)</f>
        <v>0</v>
      </c>
      <c r="AE265" s="103" t="n">
        <f aca="false">IF(AND($S265="不存在",$B265="切片一"),1,0)</f>
        <v>0</v>
      </c>
    </row>
    <row r="266" customFormat="false" ht="29.85" hidden="false" customHeight="false" outlineLevel="0" collapsed="false">
      <c r="A266" s="53" t="s">
        <v>2936</v>
      </c>
      <c r="B266" s="52" t="s">
        <v>2297</v>
      </c>
      <c r="C266" s="53" t="s">
        <v>2920</v>
      </c>
      <c r="D266" s="53" t="s">
        <v>2770</v>
      </c>
      <c r="E266" s="5" t="s">
        <v>331</v>
      </c>
      <c r="F266" s="53" t="s">
        <v>70</v>
      </c>
      <c r="G266" s="52" t="s">
        <v>2299</v>
      </c>
      <c r="H266" s="53" t="s">
        <v>554</v>
      </c>
      <c r="I266" s="6" t="s">
        <v>554</v>
      </c>
      <c r="J266" s="53" t="s">
        <v>554</v>
      </c>
      <c r="K266" s="83" t="n">
        <f aca="false">Workload!D7*0.5</f>
        <v>250</v>
      </c>
      <c r="L266" s="83" t="n">
        <f aca="false">Workload!D7*2</f>
        <v>1000</v>
      </c>
      <c r="M266" s="53" t="s">
        <v>2908</v>
      </c>
      <c r="N266" s="5" t="s">
        <v>2922</v>
      </c>
      <c r="O266" s="6" t="s">
        <v>554</v>
      </c>
      <c r="P266" s="52" t="s">
        <v>2364</v>
      </c>
      <c r="Q266" s="54" t="n">
        <f aca="false">Workload!D7</f>
        <v>500</v>
      </c>
      <c r="R266" s="53" t="s">
        <v>554</v>
      </c>
      <c r="S266" s="83" t="str">
        <f aca="false">IF(OR($H266="—",$H266=""),"—",IF(ISNUMBER(MATCH($H266,SRC_HW!$A$5:$A$400,0)),INDEX(SRC_HW!$O$5:$O$400,MATCH($H266,SRC_HW!$A$5:$A$400,0)),IF(ISNUMBER(MATCH($H266,SRC_DC!$A$5:$A$400,0)),INDEX(SRC_DC!$O$5:$O$400,MATCH($H266,SRC_DC!$A$5:$A$400,0)),IF(ISNUMBER(MATCH($H266,SRC_Model!$A$5:$A$400,0)),INDEX(SRC_Model!$O$5:$O$400,MATCH($H266,SRC_Model!$A$5:$A$400,0)),IF(ISNUMBER(MATCH($H266,SRC_Perf!$A$5:$A$400,0)),INDEX(SRC_Perf!$O$5:$O$400,MATCH($H266,SRC_Perf!$A$5:$A$400,0)),"不存在")))))</f>
        <v>—</v>
      </c>
      <c r="T266" s="83" t="str">
        <f aca="false">IF(OR($H266="—",$H266=""),"—",IF(ISNUMBER(MATCH($H266,SRC_HW!$A$5:$A$400,0)),INDEX(SRC_HW!$K$5:$K$400,MATCH($H266,SRC_HW!$A$5:$A$400,0)),IF(ISNUMBER(MATCH($H266,SRC_DC!$A$5:$A$400,0)),INDEX(SRC_DC!$K$5:$K$400,MATCH($H266,SRC_DC!$A$5:$A$400,0)),IF(ISNUMBER(MATCH($H266,SRC_Model!$A$5:$A$400,0)),INDEX(SRC_Model!$K$5:$K$400,MATCH($H266,SRC_Model!$A$5:$A$400,0)),IF(ISNUMBER(MATCH($H266,SRC_Perf!$A$5:$A$400,0)),INDEX(SRC_Perf!$K$5:$K$400,MATCH($H266,SRC_Perf!$A$5:$A$400,0)),"不存在")))))</f>
        <v>—</v>
      </c>
      <c r="U266" s="52" t="s">
        <v>2302</v>
      </c>
      <c r="V266" s="103" t="n">
        <f aca="false">IF(AND($F266="原始數據",$U266&lt;&gt;"連結 SRC"),1,0)</f>
        <v>0</v>
      </c>
      <c r="W266" s="103" t="n">
        <f aca="false">IF(AND($F266="Analogy",OR($H266="—",$H266="")),1,0)</f>
        <v>0</v>
      </c>
      <c r="X266" s="103" t="n">
        <f aca="false">IF(AND(OR($F266="Analogy",$F266="Assumed"),$G266&lt;&gt;"低",$G266&lt;&gt;"高",NOT(ISNUMBER($K266)),NOT(ISNUMBER($L266)),OR($M266="—",$M266="")),1,0)</f>
        <v>0</v>
      </c>
      <c r="Y266" s="103" t="n">
        <f aca="false">IF(AND(OR($F266="Analogy",$F266="Assumed",$F266="Derived（待改公式）",$F266="Derived（公式）"),OR($N266="—",$N266="",$N266=0)),1,0)</f>
        <v>0</v>
      </c>
      <c r="Z266" s="103" t="n">
        <f aca="false">IF(AND($F266="Decision",OR($J266="—",$J266="")),1,0)</f>
        <v>0</v>
      </c>
      <c r="AA266" s="84" t="n">
        <f aca="false">IF(OR($J266="—",$J266=""),0,IF(COUNTIF(Decisions!$A$5:$A$300,$J266)=0,1,0))</f>
        <v>0</v>
      </c>
      <c r="AB266" s="103" t="n">
        <f aca="false">IF(AND($F266="原始數據",$S266&lt;&gt;"Active"),1,0)</f>
        <v>0</v>
      </c>
      <c r="AC266" s="103" t="n">
        <f aca="false">IF(AND(ISNUMBER($K266),ISNUMBER($L266),ISNUMBER($Q266)),IF(OR($Q266&lt;MIN($K266,$L266),$Q266&gt;MAX($K266,$L266)),1,0),0)</f>
        <v>0</v>
      </c>
      <c r="AD266" s="103" t="n">
        <f aca="false">IF(AND(ISNUMBER($T266),$P266="高"),IF($T266=3,1,0),0)</f>
        <v>0</v>
      </c>
      <c r="AE266" s="103" t="n">
        <f aca="false">IF(AND($S266="不存在",$B266="切片一"),1,0)</f>
        <v>0</v>
      </c>
    </row>
    <row r="267" customFormat="false" ht="29.85" hidden="false" customHeight="false" outlineLevel="0" collapsed="false">
      <c r="A267" s="53" t="s">
        <v>2937</v>
      </c>
      <c r="B267" s="52" t="s">
        <v>2297</v>
      </c>
      <c r="C267" s="53" t="s">
        <v>2920</v>
      </c>
      <c r="D267" s="53" t="s">
        <v>2216</v>
      </c>
      <c r="E267" s="5" t="s">
        <v>331</v>
      </c>
      <c r="F267" s="53" t="s">
        <v>70</v>
      </c>
      <c r="G267" s="52" t="s">
        <v>2299</v>
      </c>
      <c r="H267" s="53" t="s">
        <v>554</v>
      </c>
      <c r="I267" s="6" t="s">
        <v>554</v>
      </c>
      <c r="J267" s="53" t="s">
        <v>554</v>
      </c>
      <c r="K267" s="83" t="n">
        <f aca="false">Workload!E7*0.5</f>
        <v>600</v>
      </c>
      <c r="L267" s="83" t="n">
        <f aca="false">Workload!E7*2</f>
        <v>2400</v>
      </c>
      <c r="M267" s="53" t="s">
        <v>2908</v>
      </c>
      <c r="N267" s="5" t="s">
        <v>2922</v>
      </c>
      <c r="O267" s="6" t="s">
        <v>554</v>
      </c>
      <c r="P267" s="52" t="s">
        <v>2364</v>
      </c>
      <c r="Q267" s="54" t="n">
        <f aca="false">Workload!E7</f>
        <v>1200</v>
      </c>
      <c r="R267" s="53" t="s">
        <v>554</v>
      </c>
      <c r="S267" s="83" t="str">
        <f aca="false">IF(OR($H267="—",$H267=""),"—",IF(ISNUMBER(MATCH($H267,SRC_HW!$A$5:$A$400,0)),INDEX(SRC_HW!$O$5:$O$400,MATCH($H267,SRC_HW!$A$5:$A$400,0)),IF(ISNUMBER(MATCH($H267,SRC_DC!$A$5:$A$400,0)),INDEX(SRC_DC!$O$5:$O$400,MATCH($H267,SRC_DC!$A$5:$A$400,0)),IF(ISNUMBER(MATCH($H267,SRC_Model!$A$5:$A$400,0)),INDEX(SRC_Model!$O$5:$O$400,MATCH($H267,SRC_Model!$A$5:$A$400,0)),IF(ISNUMBER(MATCH($H267,SRC_Perf!$A$5:$A$400,0)),INDEX(SRC_Perf!$O$5:$O$400,MATCH($H267,SRC_Perf!$A$5:$A$400,0)),"不存在")))))</f>
        <v>—</v>
      </c>
      <c r="T267" s="83" t="str">
        <f aca="false">IF(OR($H267="—",$H267=""),"—",IF(ISNUMBER(MATCH($H267,SRC_HW!$A$5:$A$400,0)),INDEX(SRC_HW!$K$5:$K$400,MATCH($H267,SRC_HW!$A$5:$A$400,0)),IF(ISNUMBER(MATCH($H267,SRC_DC!$A$5:$A$400,0)),INDEX(SRC_DC!$K$5:$K$400,MATCH($H267,SRC_DC!$A$5:$A$400,0)),IF(ISNUMBER(MATCH($H267,SRC_Model!$A$5:$A$400,0)),INDEX(SRC_Model!$K$5:$K$400,MATCH($H267,SRC_Model!$A$5:$A$400,0)),IF(ISNUMBER(MATCH($H267,SRC_Perf!$A$5:$A$400,0)),INDEX(SRC_Perf!$K$5:$K$400,MATCH($H267,SRC_Perf!$A$5:$A$400,0)),"不存在")))))</f>
        <v>—</v>
      </c>
      <c r="U267" s="52" t="s">
        <v>2302</v>
      </c>
      <c r="V267" s="103" t="n">
        <f aca="false">IF(AND($F267="原始數據",$U267&lt;&gt;"連結 SRC"),1,0)</f>
        <v>0</v>
      </c>
      <c r="W267" s="103" t="n">
        <f aca="false">IF(AND($F267="Analogy",OR($H267="—",$H267="")),1,0)</f>
        <v>0</v>
      </c>
      <c r="X267" s="103" t="n">
        <f aca="false">IF(AND(OR($F267="Analogy",$F267="Assumed"),$G267&lt;&gt;"低",$G267&lt;&gt;"高",NOT(ISNUMBER($K267)),NOT(ISNUMBER($L267)),OR($M267="—",$M267="")),1,0)</f>
        <v>0</v>
      </c>
      <c r="Y267" s="103" t="n">
        <f aca="false">IF(AND(OR($F267="Analogy",$F267="Assumed",$F267="Derived（待改公式）",$F267="Derived（公式）"),OR($N267="—",$N267="",$N267=0)),1,0)</f>
        <v>0</v>
      </c>
      <c r="Z267" s="103" t="n">
        <f aca="false">IF(AND($F267="Decision",OR($J267="—",$J267="")),1,0)</f>
        <v>0</v>
      </c>
      <c r="AA267" s="84" t="n">
        <f aca="false">IF(OR($J267="—",$J267=""),0,IF(COUNTIF(Decisions!$A$5:$A$300,$J267)=0,1,0))</f>
        <v>0</v>
      </c>
      <c r="AB267" s="103" t="n">
        <f aca="false">IF(AND($F267="原始數據",$S267&lt;&gt;"Active"),1,0)</f>
        <v>0</v>
      </c>
      <c r="AC267" s="103" t="n">
        <f aca="false">IF(AND(ISNUMBER($K267),ISNUMBER($L267),ISNUMBER($Q267)),IF(OR($Q267&lt;MIN($K267,$L267),$Q267&gt;MAX($K267,$L267)),1,0),0)</f>
        <v>0</v>
      </c>
      <c r="AD267" s="103" t="n">
        <f aca="false">IF(AND(ISNUMBER($T267),$P267="高"),IF($T267=3,1,0),0)</f>
        <v>0</v>
      </c>
      <c r="AE267" s="103" t="n">
        <f aca="false">IF(AND($S267="不存在",$B267="切片一"),1,0)</f>
        <v>0</v>
      </c>
    </row>
    <row r="268" customFormat="false" ht="29.85" hidden="false" customHeight="false" outlineLevel="0" collapsed="false">
      <c r="A268" s="53" t="s">
        <v>2938</v>
      </c>
      <c r="B268" s="52" t="s">
        <v>2297</v>
      </c>
      <c r="C268" s="53" t="s">
        <v>2920</v>
      </c>
      <c r="D268" s="53" t="s">
        <v>2939</v>
      </c>
      <c r="E268" s="5" t="s">
        <v>331</v>
      </c>
      <c r="F268" s="53" t="s">
        <v>70</v>
      </c>
      <c r="G268" s="52" t="s">
        <v>2299</v>
      </c>
      <c r="H268" s="53" t="s">
        <v>554</v>
      </c>
      <c r="I268" s="6" t="s">
        <v>554</v>
      </c>
      <c r="J268" s="53" t="s">
        <v>554</v>
      </c>
      <c r="K268" s="83" t="n">
        <f aca="false">Workload!F7*0.5</f>
        <v>600</v>
      </c>
      <c r="L268" s="83" t="n">
        <f aca="false">Workload!F7*2</f>
        <v>2400</v>
      </c>
      <c r="M268" s="53" t="s">
        <v>2908</v>
      </c>
      <c r="N268" s="5" t="s">
        <v>2922</v>
      </c>
      <c r="O268" s="6" t="s">
        <v>554</v>
      </c>
      <c r="P268" s="52" t="s">
        <v>2364</v>
      </c>
      <c r="Q268" s="54" t="n">
        <f aca="false">Workload!F7</f>
        <v>1200</v>
      </c>
      <c r="R268" s="53" t="s">
        <v>554</v>
      </c>
      <c r="S268" s="83" t="str">
        <f aca="false">IF(OR($H268="—",$H268=""),"—",IF(ISNUMBER(MATCH($H268,SRC_HW!$A$5:$A$400,0)),INDEX(SRC_HW!$O$5:$O$400,MATCH($H268,SRC_HW!$A$5:$A$400,0)),IF(ISNUMBER(MATCH($H268,SRC_DC!$A$5:$A$400,0)),INDEX(SRC_DC!$O$5:$O$400,MATCH($H268,SRC_DC!$A$5:$A$400,0)),IF(ISNUMBER(MATCH($H268,SRC_Model!$A$5:$A$400,0)),INDEX(SRC_Model!$O$5:$O$400,MATCH($H268,SRC_Model!$A$5:$A$400,0)),IF(ISNUMBER(MATCH($H268,SRC_Perf!$A$5:$A$400,0)),INDEX(SRC_Perf!$O$5:$O$400,MATCH($H268,SRC_Perf!$A$5:$A$400,0)),"不存在")))))</f>
        <v>—</v>
      </c>
      <c r="T268" s="83" t="str">
        <f aca="false">IF(OR($H268="—",$H268=""),"—",IF(ISNUMBER(MATCH($H268,SRC_HW!$A$5:$A$400,0)),INDEX(SRC_HW!$K$5:$K$400,MATCH($H268,SRC_HW!$A$5:$A$400,0)),IF(ISNUMBER(MATCH($H268,SRC_DC!$A$5:$A$400,0)),INDEX(SRC_DC!$K$5:$K$400,MATCH($H268,SRC_DC!$A$5:$A$400,0)),IF(ISNUMBER(MATCH($H268,SRC_Model!$A$5:$A$400,0)),INDEX(SRC_Model!$K$5:$K$400,MATCH($H268,SRC_Model!$A$5:$A$400,0)),IF(ISNUMBER(MATCH($H268,SRC_Perf!$A$5:$A$400,0)),INDEX(SRC_Perf!$K$5:$K$400,MATCH($H268,SRC_Perf!$A$5:$A$400,0)),"不存在")))))</f>
        <v>—</v>
      </c>
      <c r="U268" s="52" t="s">
        <v>2302</v>
      </c>
      <c r="V268" s="103" t="n">
        <f aca="false">IF(AND($F268="原始數據",$U268&lt;&gt;"連結 SRC"),1,0)</f>
        <v>0</v>
      </c>
      <c r="W268" s="103" t="n">
        <f aca="false">IF(AND($F268="Analogy",OR($H268="—",$H268="")),1,0)</f>
        <v>0</v>
      </c>
      <c r="X268" s="103" t="n">
        <f aca="false">IF(AND(OR($F268="Analogy",$F268="Assumed"),$G268&lt;&gt;"低",$G268&lt;&gt;"高",NOT(ISNUMBER($K268)),NOT(ISNUMBER($L268)),OR($M268="—",$M268="")),1,0)</f>
        <v>0</v>
      </c>
      <c r="Y268" s="103" t="n">
        <f aca="false">IF(AND(OR($F268="Analogy",$F268="Assumed",$F268="Derived（待改公式）",$F268="Derived（公式）"),OR($N268="—",$N268="",$N268=0)),1,0)</f>
        <v>0</v>
      </c>
      <c r="Z268" s="103" t="n">
        <f aca="false">IF(AND($F268="Decision",OR($J268="—",$J268="")),1,0)</f>
        <v>0</v>
      </c>
      <c r="AA268" s="84" t="n">
        <f aca="false">IF(OR($J268="—",$J268=""),0,IF(COUNTIF(Decisions!$A$5:$A$300,$J268)=0,1,0))</f>
        <v>0</v>
      </c>
      <c r="AB268" s="103" t="n">
        <f aca="false">IF(AND($F268="原始數據",$S268&lt;&gt;"Active"),1,0)</f>
        <v>0</v>
      </c>
      <c r="AC268" s="103" t="n">
        <f aca="false">IF(AND(ISNUMBER($K268),ISNUMBER($L268),ISNUMBER($Q268)),IF(OR($Q268&lt;MIN($K268,$L268),$Q268&gt;MAX($K268,$L268)),1,0),0)</f>
        <v>0</v>
      </c>
      <c r="AD268" s="103" t="n">
        <f aca="false">IF(AND(ISNUMBER($T268),$P268="高"),IF($T268=3,1,0),0)</f>
        <v>0</v>
      </c>
      <c r="AE268" s="103" t="n">
        <f aca="false">IF(AND($S268="不存在",$B268="切片一"),1,0)</f>
        <v>0</v>
      </c>
    </row>
    <row r="269" customFormat="false" ht="29.85" hidden="false" customHeight="false" outlineLevel="0" collapsed="false">
      <c r="A269" s="53" t="s">
        <v>2940</v>
      </c>
      <c r="B269" s="52" t="s">
        <v>2297</v>
      </c>
      <c r="C269" s="53" t="s">
        <v>2920</v>
      </c>
      <c r="D269" s="53" t="s">
        <v>2941</v>
      </c>
      <c r="E269" s="5" t="s">
        <v>331</v>
      </c>
      <c r="F269" s="53" t="s">
        <v>70</v>
      </c>
      <c r="G269" s="52" t="s">
        <v>2299</v>
      </c>
      <c r="H269" s="53" t="s">
        <v>554</v>
      </c>
      <c r="I269" s="6" t="s">
        <v>554</v>
      </c>
      <c r="J269" s="53" t="s">
        <v>554</v>
      </c>
      <c r="K269" s="83" t="n">
        <f aca="false">Workload!G7*0.5</f>
        <v>1000</v>
      </c>
      <c r="L269" s="83" t="n">
        <f aca="false">Workload!G7*2</f>
        <v>4000</v>
      </c>
      <c r="M269" s="53" t="s">
        <v>2908</v>
      </c>
      <c r="N269" s="5" t="s">
        <v>2922</v>
      </c>
      <c r="O269" s="6" t="s">
        <v>554</v>
      </c>
      <c r="P269" s="52" t="s">
        <v>2364</v>
      </c>
      <c r="Q269" s="54" t="n">
        <f aca="false">Workload!G7</f>
        <v>2000</v>
      </c>
      <c r="R269" s="53" t="s">
        <v>554</v>
      </c>
      <c r="S269" s="83" t="str">
        <f aca="false">IF(OR($H269="—",$H269=""),"—",IF(ISNUMBER(MATCH($H269,SRC_HW!$A$5:$A$400,0)),INDEX(SRC_HW!$O$5:$O$400,MATCH($H269,SRC_HW!$A$5:$A$400,0)),IF(ISNUMBER(MATCH($H269,SRC_DC!$A$5:$A$400,0)),INDEX(SRC_DC!$O$5:$O$400,MATCH($H269,SRC_DC!$A$5:$A$400,0)),IF(ISNUMBER(MATCH($H269,SRC_Model!$A$5:$A$400,0)),INDEX(SRC_Model!$O$5:$O$400,MATCH($H269,SRC_Model!$A$5:$A$400,0)),IF(ISNUMBER(MATCH($H269,SRC_Perf!$A$5:$A$400,0)),INDEX(SRC_Perf!$O$5:$O$400,MATCH($H269,SRC_Perf!$A$5:$A$400,0)),"不存在")))))</f>
        <v>—</v>
      </c>
      <c r="T269" s="83" t="str">
        <f aca="false">IF(OR($H269="—",$H269=""),"—",IF(ISNUMBER(MATCH($H269,SRC_HW!$A$5:$A$400,0)),INDEX(SRC_HW!$K$5:$K$400,MATCH($H269,SRC_HW!$A$5:$A$400,0)),IF(ISNUMBER(MATCH($H269,SRC_DC!$A$5:$A$400,0)),INDEX(SRC_DC!$K$5:$K$400,MATCH($H269,SRC_DC!$A$5:$A$400,0)),IF(ISNUMBER(MATCH($H269,SRC_Model!$A$5:$A$400,0)),INDEX(SRC_Model!$K$5:$K$400,MATCH($H269,SRC_Model!$A$5:$A$400,0)),IF(ISNUMBER(MATCH($H269,SRC_Perf!$A$5:$A$400,0)),INDEX(SRC_Perf!$K$5:$K$400,MATCH($H269,SRC_Perf!$A$5:$A$400,0)),"不存在")))))</f>
        <v>—</v>
      </c>
      <c r="U269" s="52" t="s">
        <v>2302</v>
      </c>
      <c r="V269" s="103" t="n">
        <f aca="false">IF(AND($F269="原始數據",$U269&lt;&gt;"連結 SRC"),1,0)</f>
        <v>0</v>
      </c>
      <c r="W269" s="103" t="n">
        <f aca="false">IF(AND($F269="Analogy",OR($H269="—",$H269="")),1,0)</f>
        <v>0</v>
      </c>
      <c r="X269" s="103" t="n">
        <f aca="false">IF(AND(OR($F269="Analogy",$F269="Assumed"),$G269&lt;&gt;"低",$G269&lt;&gt;"高",NOT(ISNUMBER($K269)),NOT(ISNUMBER($L269)),OR($M269="—",$M269="")),1,0)</f>
        <v>0</v>
      </c>
      <c r="Y269" s="103" t="n">
        <f aca="false">IF(AND(OR($F269="Analogy",$F269="Assumed",$F269="Derived（待改公式）",$F269="Derived（公式）"),OR($N269="—",$N269="",$N269=0)),1,0)</f>
        <v>0</v>
      </c>
      <c r="Z269" s="103" t="n">
        <f aca="false">IF(AND($F269="Decision",OR($J269="—",$J269="")),1,0)</f>
        <v>0</v>
      </c>
      <c r="AA269" s="84" t="n">
        <f aca="false">IF(OR($J269="—",$J269=""),0,IF(COUNTIF(Decisions!$A$5:$A$300,$J269)=0,1,0))</f>
        <v>0</v>
      </c>
      <c r="AB269" s="103" t="n">
        <f aca="false">IF(AND($F269="原始數據",$S269&lt;&gt;"Active"),1,0)</f>
        <v>0</v>
      </c>
      <c r="AC269" s="103" t="n">
        <f aca="false">IF(AND(ISNUMBER($K269),ISNUMBER($L269),ISNUMBER($Q269)),IF(OR($Q269&lt;MIN($K269,$L269),$Q269&gt;MAX($K269,$L269)),1,0),0)</f>
        <v>0</v>
      </c>
      <c r="AD269" s="103" t="n">
        <f aca="false">IF(AND(ISNUMBER($T269),$P269="高"),IF($T269=3,1,0),0)</f>
        <v>0</v>
      </c>
      <c r="AE269" s="103" t="n">
        <f aca="false">IF(AND($S269="不存在",$B269="切片一"),1,0)</f>
        <v>0</v>
      </c>
    </row>
    <row r="270" customFormat="false" ht="15" hidden="false" customHeight="false" outlineLevel="0" collapsed="false">
      <c r="A270" s="53" t="s">
        <v>2942</v>
      </c>
      <c r="B270" s="52" t="s">
        <v>2297</v>
      </c>
      <c r="C270" s="53" t="s">
        <v>2920</v>
      </c>
      <c r="D270" s="53" t="s">
        <v>2474</v>
      </c>
      <c r="E270" s="5" t="s">
        <v>332</v>
      </c>
      <c r="F270" s="53" t="s">
        <v>70</v>
      </c>
      <c r="G270" s="52" t="s">
        <v>2299</v>
      </c>
      <c r="H270" s="53" t="s">
        <v>554</v>
      </c>
      <c r="I270" s="6" t="s">
        <v>554</v>
      </c>
      <c r="J270" s="53" t="s">
        <v>554</v>
      </c>
      <c r="K270" s="83" t="n">
        <f aca="false">Workload!C8*0.5</f>
        <v>0</v>
      </c>
      <c r="L270" s="83" t="n">
        <f aca="false">Workload!C8*2</f>
        <v>0</v>
      </c>
      <c r="M270" s="53" t="s">
        <v>2908</v>
      </c>
      <c r="N270" s="204" t="str">
        <f aca="false">Workload!$H$8</f>
        <v>Assumed；服務端思考占比待查</v>
      </c>
      <c r="O270" s="6" t="s">
        <v>554</v>
      </c>
      <c r="P270" s="52" t="s">
        <v>2364</v>
      </c>
      <c r="Q270" s="54" t="n">
        <f aca="false">Workload!C8</f>
        <v>0</v>
      </c>
      <c r="R270" s="53" t="s">
        <v>554</v>
      </c>
      <c r="S270" s="83" t="str">
        <f aca="false">IF(OR($H270="—",$H270=""),"—",IF(ISNUMBER(MATCH($H270,SRC_HW!$A$5:$A$400,0)),INDEX(SRC_HW!$O$5:$O$400,MATCH($H270,SRC_HW!$A$5:$A$400,0)),IF(ISNUMBER(MATCH($H270,SRC_DC!$A$5:$A$400,0)),INDEX(SRC_DC!$O$5:$O$400,MATCH($H270,SRC_DC!$A$5:$A$400,0)),IF(ISNUMBER(MATCH($H270,SRC_Model!$A$5:$A$400,0)),INDEX(SRC_Model!$O$5:$O$400,MATCH($H270,SRC_Model!$A$5:$A$400,0)),IF(ISNUMBER(MATCH($H270,SRC_Perf!$A$5:$A$400,0)),INDEX(SRC_Perf!$O$5:$O$400,MATCH($H270,SRC_Perf!$A$5:$A$400,0)),"不存在")))))</f>
        <v>—</v>
      </c>
      <c r="T270" s="83" t="str">
        <f aca="false">IF(OR($H270="—",$H270=""),"—",IF(ISNUMBER(MATCH($H270,SRC_HW!$A$5:$A$400,0)),INDEX(SRC_HW!$K$5:$K$400,MATCH($H270,SRC_HW!$A$5:$A$400,0)),IF(ISNUMBER(MATCH($H270,SRC_DC!$A$5:$A$400,0)),INDEX(SRC_DC!$K$5:$K$400,MATCH($H270,SRC_DC!$A$5:$A$400,0)),IF(ISNUMBER(MATCH($H270,SRC_Model!$A$5:$A$400,0)),INDEX(SRC_Model!$K$5:$K$400,MATCH($H270,SRC_Model!$A$5:$A$400,0)),IF(ISNUMBER(MATCH($H270,SRC_Perf!$A$5:$A$400,0)),INDEX(SRC_Perf!$K$5:$K$400,MATCH($H270,SRC_Perf!$A$5:$A$400,0)),"不存在")))))</f>
        <v>—</v>
      </c>
      <c r="U270" s="52" t="s">
        <v>2302</v>
      </c>
      <c r="V270" s="103" t="n">
        <f aca="false">IF(AND($F270="原始數據",$U270&lt;&gt;"連結 SRC"),1,0)</f>
        <v>0</v>
      </c>
      <c r="W270" s="103" t="n">
        <f aca="false">IF(AND($F270="Analogy",OR($H270="—",$H270="")),1,0)</f>
        <v>0</v>
      </c>
      <c r="X270" s="103" t="n">
        <f aca="false">IF(AND(OR($F270="Analogy",$F270="Assumed"),$G270&lt;&gt;"低",$G270&lt;&gt;"高",NOT(ISNUMBER($K270)),NOT(ISNUMBER($L270)),OR($M270="—",$M270="")),1,0)</f>
        <v>0</v>
      </c>
      <c r="Y270" s="103" t="n">
        <f aca="false">IF(AND(OR($F270="Analogy",$F270="Assumed",$F270="Derived（待改公式）",$F270="Derived（公式）"),OR($N270="—",$N270="",$N270=0)),1,0)</f>
        <v>0</v>
      </c>
      <c r="Z270" s="103" t="n">
        <f aca="false">IF(AND($F270="Decision",OR($J270="—",$J270="")),1,0)</f>
        <v>0</v>
      </c>
      <c r="AA270" s="84" t="n">
        <f aca="false">IF(OR($J270="—",$J270=""),0,IF(COUNTIF(Decisions!$A$5:$A$300,$J270)=0,1,0))</f>
        <v>0</v>
      </c>
      <c r="AB270" s="103" t="n">
        <f aca="false">IF(AND($F270="原始數據",$S270&lt;&gt;"Active"),1,0)</f>
        <v>0</v>
      </c>
      <c r="AC270" s="103" t="n">
        <f aca="false">IF(AND(ISNUMBER($K270),ISNUMBER($L270),ISNUMBER($Q270)),IF(OR($Q270&lt;MIN($K270,$L270),$Q270&gt;MAX($K270,$L270)),1,0),0)</f>
        <v>0</v>
      </c>
      <c r="AD270" s="103" t="n">
        <f aca="false">IF(AND(ISNUMBER($T270),$P270="高"),IF($T270=3,1,0),0)</f>
        <v>0</v>
      </c>
      <c r="AE270" s="103" t="n">
        <f aca="false">IF(AND($S270="不存在",$B270="切片一"),1,0)</f>
        <v>0</v>
      </c>
    </row>
    <row r="271" customFormat="false" ht="15" hidden="false" customHeight="false" outlineLevel="0" collapsed="false">
      <c r="A271" s="53" t="s">
        <v>2943</v>
      </c>
      <c r="B271" s="52" t="s">
        <v>2297</v>
      </c>
      <c r="C271" s="53" t="s">
        <v>2920</v>
      </c>
      <c r="D271" s="53" t="s">
        <v>2478</v>
      </c>
      <c r="E271" s="5" t="s">
        <v>332</v>
      </c>
      <c r="F271" s="53" t="s">
        <v>70</v>
      </c>
      <c r="G271" s="52" t="s">
        <v>2299</v>
      </c>
      <c r="H271" s="53" t="s">
        <v>554</v>
      </c>
      <c r="I271" s="6" t="s">
        <v>554</v>
      </c>
      <c r="J271" s="53" t="s">
        <v>554</v>
      </c>
      <c r="K271" s="83" t="n">
        <f aca="false">Workload!D8*0.5</f>
        <v>1500</v>
      </c>
      <c r="L271" s="83" t="n">
        <f aca="false">Workload!D8*2</f>
        <v>6000</v>
      </c>
      <c r="M271" s="53" t="s">
        <v>2908</v>
      </c>
      <c r="N271" s="204" t="str">
        <f aca="false">Workload!$H$8</f>
        <v>Assumed；服務端思考占比待查</v>
      </c>
      <c r="O271" s="6" t="s">
        <v>554</v>
      </c>
      <c r="P271" s="52" t="s">
        <v>2364</v>
      </c>
      <c r="Q271" s="54" t="n">
        <f aca="false">Workload!D8</f>
        <v>3000</v>
      </c>
      <c r="R271" s="53" t="s">
        <v>554</v>
      </c>
      <c r="S271" s="83" t="str">
        <f aca="false">IF(OR($H271="—",$H271=""),"—",IF(ISNUMBER(MATCH($H271,SRC_HW!$A$5:$A$400,0)),INDEX(SRC_HW!$O$5:$O$400,MATCH($H271,SRC_HW!$A$5:$A$400,0)),IF(ISNUMBER(MATCH($H271,SRC_DC!$A$5:$A$400,0)),INDEX(SRC_DC!$O$5:$O$400,MATCH($H271,SRC_DC!$A$5:$A$400,0)),IF(ISNUMBER(MATCH($H271,SRC_Model!$A$5:$A$400,0)),INDEX(SRC_Model!$O$5:$O$400,MATCH($H271,SRC_Model!$A$5:$A$400,0)),IF(ISNUMBER(MATCH($H271,SRC_Perf!$A$5:$A$400,0)),INDEX(SRC_Perf!$O$5:$O$400,MATCH($H271,SRC_Perf!$A$5:$A$400,0)),"不存在")))))</f>
        <v>—</v>
      </c>
      <c r="T271" s="83" t="str">
        <f aca="false">IF(OR($H271="—",$H271=""),"—",IF(ISNUMBER(MATCH($H271,SRC_HW!$A$5:$A$400,0)),INDEX(SRC_HW!$K$5:$K$400,MATCH($H271,SRC_HW!$A$5:$A$400,0)),IF(ISNUMBER(MATCH($H271,SRC_DC!$A$5:$A$400,0)),INDEX(SRC_DC!$K$5:$K$400,MATCH($H271,SRC_DC!$A$5:$A$400,0)),IF(ISNUMBER(MATCH($H271,SRC_Model!$A$5:$A$400,0)),INDEX(SRC_Model!$K$5:$K$400,MATCH($H271,SRC_Model!$A$5:$A$400,0)),IF(ISNUMBER(MATCH($H271,SRC_Perf!$A$5:$A$400,0)),INDEX(SRC_Perf!$K$5:$K$400,MATCH($H271,SRC_Perf!$A$5:$A$400,0)),"不存在")))))</f>
        <v>—</v>
      </c>
      <c r="U271" s="52" t="s">
        <v>2302</v>
      </c>
      <c r="V271" s="103" t="n">
        <f aca="false">IF(AND($F271="原始數據",$U271&lt;&gt;"連結 SRC"),1,0)</f>
        <v>0</v>
      </c>
      <c r="W271" s="103" t="n">
        <f aca="false">IF(AND($F271="Analogy",OR($H271="—",$H271="")),1,0)</f>
        <v>0</v>
      </c>
      <c r="X271" s="103" t="n">
        <f aca="false">IF(AND(OR($F271="Analogy",$F271="Assumed"),$G271&lt;&gt;"低",$G271&lt;&gt;"高",NOT(ISNUMBER($K271)),NOT(ISNUMBER($L271)),OR($M271="—",$M271="")),1,0)</f>
        <v>0</v>
      </c>
      <c r="Y271" s="103" t="n">
        <f aca="false">IF(AND(OR($F271="Analogy",$F271="Assumed",$F271="Derived（待改公式）",$F271="Derived（公式）"),OR($N271="—",$N271="",$N271=0)),1,0)</f>
        <v>0</v>
      </c>
      <c r="Z271" s="103" t="n">
        <f aca="false">IF(AND($F271="Decision",OR($J271="—",$J271="")),1,0)</f>
        <v>0</v>
      </c>
      <c r="AA271" s="84" t="n">
        <f aca="false">IF(OR($J271="—",$J271=""),0,IF(COUNTIF(Decisions!$A$5:$A$300,$J271)=0,1,0))</f>
        <v>0</v>
      </c>
      <c r="AB271" s="103" t="n">
        <f aca="false">IF(AND($F271="原始數據",$S271&lt;&gt;"Active"),1,0)</f>
        <v>0</v>
      </c>
      <c r="AC271" s="103" t="n">
        <f aca="false">IF(AND(ISNUMBER($K271),ISNUMBER($L271),ISNUMBER($Q271)),IF(OR($Q271&lt;MIN($K271,$L271),$Q271&gt;MAX($K271,$L271)),1,0),0)</f>
        <v>0</v>
      </c>
      <c r="AD271" s="103" t="n">
        <f aca="false">IF(AND(ISNUMBER($T271),$P271="高"),IF($T271=3,1,0),0)</f>
        <v>0</v>
      </c>
      <c r="AE271" s="103" t="n">
        <f aca="false">IF(AND($S271="不存在",$B271="切片一"),1,0)</f>
        <v>0</v>
      </c>
    </row>
    <row r="272" customFormat="false" ht="15" hidden="false" customHeight="false" outlineLevel="0" collapsed="false">
      <c r="A272" s="53" t="s">
        <v>2944</v>
      </c>
      <c r="B272" s="52" t="s">
        <v>2297</v>
      </c>
      <c r="C272" s="53" t="s">
        <v>2920</v>
      </c>
      <c r="D272" s="53" t="s">
        <v>2219</v>
      </c>
      <c r="E272" s="5" t="s">
        <v>332</v>
      </c>
      <c r="F272" s="53" t="s">
        <v>70</v>
      </c>
      <c r="G272" s="52" t="s">
        <v>2299</v>
      </c>
      <c r="H272" s="53" t="s">
        <v>554</v>
      </c>
      <c r="I272" s="6" t="s">
        <v>554</v>
      </c>
      <c r="J272" s="53" t="s">
        <v>554</v>
      </c>
      <c r="K272" s="83" t="n">
        <f aca="false">Workload!E8*0.5</f>
        <v>200</v>
      </c>
      <c r="L272" s="83" t="n">
        <f aca="false">Workload!E8*2</f>
        <v>800</v>
      </c>
      <c r="M272" s="53" t="s">
        <v>2908</v>
      </c>
      <c r="N272" s="204" t="str">
        <f aca="false">Workload!$H$8</f>
        <v>Assumed；服務端思考占比待查</v>
      </c>
      <c r="O272" s="6" t="s">
        <v>554</v>
      </c>
      <c r="P272" s="52" t="s">
        <v>2364</v>
      </c>
      <c r="Q272" s="54" t="n">
        <f aca="false">Workload!E8</f>
        <v>400</v>
      </c>
      <c r="R272" s="53" t="s">
        <v>554</v>
      </c>
      <c r="S272" s="83" t="str">
        <f aca="false">IF(OR($H272="—",$H272=""),"—",IF(ISNUMBER(MATCH($H272,SRC_HW!$A$5:$A$400,0)),INDEX(SRC_HW!$O$5:$O$400,MATCH($H272,SRC_HW!$A$5:$A$400,0)),IF(ISNUMBER(MATCH($H272,SRC_DC!$A$5:$A$400,0)),INDEX(SRC_DC!$O$5:$O$400,MATCH($H272,SRC_DC!$A$5:$A$400,0)),IF(ISNUMBER(MATCH($H272,SRC_Model!$A$5:$A$400,0)),INDEX(SRC_Model!$O$5:$O$400,MATCH($H272,SRC_Model!$A$5:$A$400,0)),IF(ISNUMBER(MATCH($H272,SRC_Perf!$A$5:$A$400,0)),INDEX(SRC_Perf!$O$5:$O$400,MATCH($H272,SRC_Perf!$A$5:$A$400,0)),"不存在")))))</f>
        <v>—</v>
      </c>
      <c r="T272" s="83" t="str">
        <f aca="false">IF(OR($H272="—",$H272=""),"—",IF(ISNUMBER(MATCH($H272,SRC_HW!$A$5:$A$400,0)),INDEX(SRC_HW!$K$5:$K$400,MATCH($H272,SRC_HW!$A$5:$A$400,0)),IF(ISNUMBER(MATCH($H272,SRC_DC!$A$5:$A$400,0)),INDEX(SRC_DC!$K$5:$K$400,MATCH($H272,SRC_DC!$A$5:$A$400,0)),IF(ISNUMBER(MATCH($H272,SRC_Model!$A$5:$A$400,0)),INDEX(SRC_Model!$K$5:$K$400,MATCH($H272,SRC_Model!$A$5:$A$400,0)),IF(ISNUMBER(MATCH($H272,SRC_Perf!$A$5:$A$400,0)),INDEX(SRC_Perf!$K$5:$K$400,MATCH($H272,SRC_Perf!$A$5:$A$400,0)),"不存在")))))</f>
        <v>—</v>
      </c>
      <c r="U272" s="52" t="s">
        <v>2302</v>
      </c>
      <c r="V272" s="103" t="n">
        <f aca="false">IF(AND($F272="原始數據",$U272&lt;&gt;"連結 SRC"),1,0)</f>
        <v>0</v>
      </c>
      <c r="W272" s="103" t="n">
        <f aca="false">IF(AND($F272="Analogy",OR($H272="—",$H272="")),1,0)</f>
        <v>0</v>
      </c>
      <c r="X272" s="103" t="n">
        <f aca="false">IF(AND(OR($F272="Analogy",$F272="Assumed"),$G272&lt;&gt;"低",$G272&lt;&gt;"高",NOT(ISNUMBER($K272)),NOT(ISNUMBER($L272)),OR($M272="—",$M272="")),1,0)</f>
        <v>0</v>
      </c>
      <c r="Y272" s="103" t="n">
        <f aca="false">IF(AND(OR($F272="Analogy",$F272="Assumed",$F272="Derived（待改公式）",$F272="Derived（公式）"),OR($N272="—",$N272="",$N272=0)),1,0)</f>
        <v>0</v>
      </c>
      <c r="Z272" s="103" t="n">
        <f aca="false">IF(AND($F272="Decision",OR($J272="—",$J272="")),1,0)</f>
        <v>0</v>
      </c>
      <c r="AA272" s="84" t="n">
        <f aca="false">IF(OR($J272="—",$J272=""),0,IF(COUNTIF(Decisions!$A$5:$A$300,$J272)=0,1,0))</f>
        <v>0</v>
      </c>
      <c r="AB272" s="103" t="n">
        <f aca="false">IF(AND($F272="原始數據",$S272&lt;&gt;"Active"),1,0)</f>
        <v>0</v>
      </c>
      <c r="AC272" s="103" t="n">
        <f aca="false">IF(AND(ISNUMBER($K272),ISNUMBER($L272),ISNUMBER($Q272)),IF(OR($Q272&lt;MIN($K272,$L272),$Q272&gt;MAX($K272,$L272)),1,0),0)</f>
        <v>0</v>
      </c>
      <c r="AD272" s="103" t="n">
        <f aca="false">IF(AND(ISNUMBER($T272),$P272="高"),IF($T272=3,1,0),0)</f>
        <v>0</v>
      </c>
      <c r="AE272" s="103" t="n">
        <f aca="false">IF(AND($S272="不存在",$B272="切片一"),1,0)</f>
        <v>0</v>
      </c>
    </row>
    <row r="273" customFormat="false" ht="15" hidden="false" customHeight="false" outlineLevel="0" collapsed="false">
      <c r="A273" s="53" t="s">
        <v>2945</v>
      </c>
      <c r="B273" s="52" t="s">
        <v>2297</v>
      </c>
      <c r="C273" s="53" t="s">
        <v>2920</v>
      </c>
      <c r="D273" s="53" t="s">
        <v>2483</v>
      </c>
      <c r="E273" s="5" t="s">
        <v>332</v>
      </c>
      <c r="F273" s="53" t="s">
        <v>70</v>
      </c>
      <c r="G273" s="52" t="s">
        <v>2299</v>
      </c>
      <c r="H273" s="53" t="s">
        <v>554</v>
      </c>
      <c r="I273" s="6" t="s">
        <v>554</v>
      </c>
      <c r="J273" s="53" t="s">
        <v>554</v>
      </c>
      <c r="K273" s="83" t="n">
        <f aca="false">Workload!F8*0.5</f>
        <v>200</v>
      </c>
      <c r="L273" s="83" t="n">
        <f aca="false">Workload!F8*2</f>
        <v>800</v>
      </c>
      <c r="M273" s="53" t="s">
        <v>2908</v>
      </c>
      <c r="N273" s="204" t="str">
        <f aca="false">Workload!$H$8</f>
        <v>Assumed；服務端思考占比待查</v>
      </c>
      <c r="O273" s="6" t="s">
        <v>554</v>
      </c>
      <c r="P273" s="52" t="s">
        <v>2364</v>
      </c>
      <c r="Q273" s="54" t="n">
        <f aca="false">Workload!F8</f>
        <v>400</v>
      </c>
      <c r="R273" s="53" t="s">
        <v>554</v>
      </c>
      <c r="S273" s="83" t="str">
        <f aca="false">IF(OR($H273="—",$H273=""),"—",IF(ISNUMBER(MATCH($H273,SRC_HW!$A$5:$A$400,0)),INDEX(SRC_HW!$O$5:$O$400,MATCH($H273,SRC_HW!$A$5:$A$400,0)),IF(ISNUMBER(MATCH($H273,SRC_DC!$A$5:$A$400,0)),INDEX(SRC_DC!$O$5:$O$400,MATCH($H273,SRC_DC!$A$5:$A$400,0)),IF(ISNUMBER(MATCH($H273,SRC_Model!$A$5:$A$400,0)),INDEX(SRC_Model!$O$5:$O$400,MATCH($H273,SRC_Model!$A$5:$A$400,0)),IF(ISNUMBER(MATCH($H273,SRC_Perf!$A$5:$A$400,0)),INDEX(SRC_Perf!$O$5:$O$400,MATCH($H273,SRC_Perf!$A$5:$A$400,0)),"不存在")))))</f>
        <v>—</v>
      </c>
      <c r="T273" s="83" t="str">
        <f aca="false">IF(OR($H273="—",$H273=""),"—",IF(ISNUMBER(MATCH($H273,SRC_HW!$A$5:$A$400,0)),INDEX(SRC_HW!$K$5:$K$400,MATCH($H273,SRC_HW!$A$5:$A$400,0)),IF(ISNUMBER(MATCH($H273,SRC_DC!$A$5:$A$400,0)),INDEX(SRC_DC!$K$5:$K$400,MATCH($H273,SRC_DC!$A$5:$A$400,0)),IF(ISNUMBER(MATCH($H273,SRC_Model!$A$5:$A$400,0)),INDEX(SRC_Model!$K$5:$K$400,MATCH($H273,SRC_Model!$A$5:$A$400,0)),IF(ISNUMBER(MATCH($H273,SRC_Perf!$A$5:$A$400,0)),INDEX(SRC_Perf!$K$5:$K$400,MATCH($H273,SRC_Perf!$A$5:$A$400,0)),"不存在")))))</f>
        <v>—</v>
      </c>
      <c r="U273" s="52" t="s">
        <v>2302</v>
      </c>
      <c r="V273" s="103" t="n">
        <f aca="false">IF(AND($F273="原始數據",$U273&lt;&gt;"連結 SRC"),1,0)</f>
        <v>0</v>
      </c>
      <c r="W273" s="103" t="n">
        <f aca="false">IF(AND($F273="Analogy",OR($H273="—",$H273="")),1,0)</f>
        <v>0</v>
      </c>
      <c r="X273" s="103" t="n">
        <f aca="false">IF(AND(OR($F273="Analogy",$F273="Assumed"),$G273&lt;&gt;"低",$G273&lt;&gt;"高",NOT(ISNUMBER($K273)),NOT(ISNUMBER($L273)),OR($M273="—",$M273="")),1,0)</f>
        <v>0</v>
      </c>
      <c r="Y273" s="103" t="n">
        <f aca="false">IF(AND(OR($F273="Analogy",$F273="Assumed",$F273="Derived（待改公式）",$F273="Derived（公式）"),OR($N273="—",$N273="",$N273=0)),1,0)</f>
        <v>0</v>
      </c>
      <c r="Z273" s="103" t="n">
        <f aca="false">IF(AND($F273="Decision",OR($J273="—",$J273="")),1,0)</f>
        <v>0</v>
      </c>
      <c r="AA273" s="84" t="n">
        <f aca="false">IF(OR($J273="—",$J273=""),0,IF(COUNTIF(Decisions!$A$5:$A$300,$J273)=0,1,0))</f>
        <v>0</v>
      </c>
      <c r="AB273" s="103" t="n">
        <f aca="false">IF(AND($F273="原始數據",$S273&lt;&gt;"Active"),1,0)</f>
        <v>0</v>
      </c>
      <c r="AC273" s="103" t="n">
        <f aca="false">IF(AND(ISNUMBER($K273),ISNUMBER($L273),ISNUMBER($Q273)),IF(OR($Q273&lt;MIN($K273,$L273),$Q273&gt;MAX($K273,$L273)),1,0),0)</f>
        <v>0</v>
      </c>
      <c r="AD273" s="103" t="n">
        <f aca="false">IF(AND(ISNUMBER($T273),$P273="高"),IF($T273=3,1,0),0)</f>
        <v>0</v>
      </c>
      <c r="AE273" s="103" t="n">
        <f aca="false">IF(AND($S273="不存在",$B273="切片一"),1,0)</f>
        <v>0</v>
      </c>
    </row>
    <row r="274" customFormat="false" ht="15" hidden="false" customHeight="false" outlineLevel="0" collapsed="false">
      <c r="A274" s="53" t="s">
        <v>2946</v>
      </c>
      <c r="B274" s="52" t="s">
        <v>2297</v>
      </c>
      <c r="C274" s="53" t="s">
        <v>2920</v>
      </c>
      <c r="D274" s="53" t="s">
        <v>2486</v>
      </c>
      <c r="E274" s="5" t="s">
        <v>332</v>
      </c>
      <c r="F274" s="53" t="s">
        <v>70</v>
      </c>
      <c r="G274" s="52" t="s">
        <v>2299</v>
      </c>
      <c r="H274" s="53" t="s">
        <v>554</v>
      </c>
      <c r="I274" s="6" t="s">
        <v>554</v>
      </c>
      <c r="J274" s="53" t="s">
        <v>554</v>
      </c>
      <c r="K274" s="83" t="n">
        <f aca="false">Workload!G8*0.5</f>
        <v>300</v>
      </c>
      <c r="L274" s="83" t="n">
        <f aca="false">Workload!G8*2</f>
        <v>1200</v>
      </c>
      <c r="M274" s="53" t="s">
        <v>2908</v>
      </c>
      <c r="N274" s="204" t="str">
        <f aca="false">Workload!$H$8</f>
        <v>Assumed；服務端思考占比待查</v>
      </c>
      <c r="O274" s="6" t="s">
        <v>554</v>
      </c>
      <c r="P274" s="52" t="s">
        <v>2364</v>
      </c>
      <c r="Q274" s="54" t="n">
        <f aca="false">Workload!G8</f>
        <v>600</v>
      </c>
      <c r="R274" s="53" t="s">
        <v>554</v>
      </c>
      <c r="S274" s="83" t="str">
        <f aca="false">IF(OR($H274="—",$H274=""),"—",IF(ISNUMBER(MATCH($H274,SRC_HW!$A$5:$A$400,0)),INDEX(SRC_HW!$O$5:$O$400,MATCH($H274,SRC_HW!$A$5:$A$400,0)),IF(ISNUMBER(MATCH($H274,SRC_DC!$A$5:$A$400,0)),INDEX(SRC_DC!$O$5:$O$400,MATCH($H274,SRC_DC!$A$5:$A$400,0)),IF(ISNUMBER(MATCH($H274,SRC_Model!$A$5:$A$400,0)),INDEX(SRC_Model!$O$5:$O$400,MATCH($H274,SRC_Model!$A$5:$A$400,0)),IF(ISNUMBER(MATCH($H274,SRC_Perf!$A$5:$A$400,0)),INDEX(SRC_Perf!$O$5:$O$400,MATCH($H274,SRC_Perf!$A$5:$A$400,0)),"不存在")))))</f>
        <v>—</v>
      </c>
      <c r="T274" s="83" t="str">
        <f aca="false">IF(OR($H274="—",$H274=""),"—",IF(ISNUMBER(MATCH($H274,SRC_HW!$A$5:$A$400,0)),INDEX(SRC_HW!$K$5:$K$400,MATCH($H274,SRC_HW!$A$5:$A$400,0)),IF(ISNUMBER(MATCH($H274,SRC_DC!$A$5:$A$400,0)),INDEX(SRC_DC!$K$5:$K$400,MATCH($H274,SRC_DC!$A$5:$A$400,0)),IF(ISNUMBER(MATCH($H274,SRC_Model!$A$5:$A$400,0)),INDEX(SRC_Model!$K$5:$K$400,MATCH($H274,SRC_Model!$A$5:$A$400,0)),IF(ISNUMBER(MATCH($H274,SRC_Perf!$A$5:$A$400,0)),INDEX(SRC_Perf!$K$5:$K$400,MATCH($H274,SRC_Perf!$A$5:$A$400,0)),"不存在")))))</f>
        <v>—</v>
      </c>
      <c r="U274" s="52" t="s">
        <v>2302</v>
      </c>
      <c r="V274" s="103" t="n">
        <f aca="false">IF(AND($F274="原始數據",$U274&lt;&gt;"連結 SRC"),1,0)</f>
        <v>0</v>
      </c>
      <c r="W274" s="103" t="n">
        <f aca="false">IF(AND($F274="Analogy",OR($H274="—",$H274="")),1,0)</f>
        <v>0</v>
      </c>
      <c r="X274" s="103" t="n">
        <f aca="false">IF(AND(OR($F274="Analogy",$F274="Assumed"),$G274&lt;&gt;"低",$G274&lt;&gt;"高",NOT(ISNUMBER($K274)),NOT(ISNUMBER($L274)),OR($M274="—",$M274="")),1,0)</f>
        <v>0</v>
      </c>
      <c r="Y274" s="103" t="n">
        <f aca="false">IF(AND(OR($F274="Analogy",$F274="Assumed",$F274="Derived（待改公式）",$F274="Derived（公式）"),OR($N274="—",$N274="",$N274=0)),1,0)</f>
        <v>0</v>
      </c>
      <c r="Z274" s="103" t="n">
        <f aca="false">IF(AND($F274="Decision",OR($J274="—",$J274="")),1,0)</f>
        <v>0</v>
      </c>
      <c r="AA274" s="84" t="n">
        <f aca="false">IF(OR($J274="—",$J274=""),0,IF(COUNTIF(Decisions!$A$5:$A$300,$J274)=0,1,0))</f>
        <v>0</v>
      </c>
      <c r="AB274" s="103" t="n">
        <f aca="false">IF(AND($F274="原始數據",$S274&lt;&gt;"Active"),1,0)</f>
        <v>0</v>
      </c>
      <c r="AC274" s="103" t="n">
        <f aca="false">IF(AND(ISNUMBER($K274),ISNUMBER($L274),ISNUMBER($Q274)),IF(OR($Q274&lt;MIN($K274,$L274),$Q274&gt;MAX($K274,$L274)),1,0),0)</f>
        <v>0</v>
      </c>
      <c r="AD274" s="103" t="n">
        <f aca="false">IF(AND(ISNUMBER($T274),$P274="高"),IF($T274=3,1,0),0)</f>
        <v>0</v>
      </c>
      <c r="AE274" s="103" t="n">
        <f aca="false">IF(AND($S274="不存在",$B274="切片一"),1,0)</f>
        <v>0</v>
      </c>
    </row>
    <row r="275" customFormat="false" ht="29.85" hidden="false" customHeight="false" outlineLevel="0" collapsed="false">
      <c r="A275" s="53" t="s">
        <v>2947</v>
      </c>
      <c r="B275" s="52" t="s">
        <v>2297</v>
      </c>
      <c r="C275" s="53" t="s">
        <v>2920</v>
      </c>
      <c r="D275" s="53" t="s">
        <v>2489</v>
      </c>
      <c r="E275" s="5" t="s">
        <v>334</v>
      </c>
      <c r="F275" s="53" t="s">
        <v>70</v>
      </c>
      <c r="G275" s="52" t="s">
        <v>2299</v>
      </c>
      <c r="H275" s="53" t="s">
        <v>554</v>
      </c>
      <c r="I275" s="6" t="s">
        <v>554</v>
      </c>
      <c r="J275" s="53" t="s">
        <v>554</v>
      </c>
      <c r="K275" s="83" t="n">
        <f aca="false">Workload!C9*0.5</f>
        <v>250</v>
      </c>
      <c r="L275" s="83" t="n">
        <f aca="false">Workload!C9*2</f>
        <v>1000</v>
      </c>
      <c r="M275" s="53" t="s">
        <v>2908</v>
      </c>
      <c r="N275" s="5" t="s">
        <v>2922</v>
      </c>
      <c r="O275" s="6" t="s">
        <v>554</v>
      </c>
      <c r="P275" s="52" t="s">
        <v>2364</v>
      </c>
      <c r="Q275" s="54" t="n">
        <f aca="false">Workload!C9</f>
        <v>500</v>
      </c>
      <c r="R275" s="53" t="s">
        <v>554</v>
      </c>
      <c r="S275" s="83" t="str">
        <f aca="false">IF(OR($H275="—",$H275=""),"—",IF(ISNUMBER(MATCH($H275,SRC_HW!$A$5:$A$400,0)),INDEX(SRC_HW!$O$5:$O$400,MATCH($H275,SRC_HW!$A$5:$A$400,0)),IF(ISNUMBER(MATCH($H275,SRC_DC!$A$5:$A$400,0)),INDEX(SRC_DC!$O$5:$O$400,MATCH($H275,SRC_DC!$A$5:$A$400,0)),IF(ISNUMBER(MATCH($H275,SRC_Model!$A$5:$A$400,0)),INDEX(SRC_Model!$O$5:$O$400,MATCH($H275,SRC_Model!$A$5:$A$400,0)),IF(ISNUMBER(MATCH($H275,SRC_Perf!$A$5:$A$400,0)),INDEX(SRC_Perf!$O$5:$O$400,MATCH($H275,SRC_Perf!$A$5:$A$400,0)),"不存在")))))</f>
        <v>—</v>
      </c>
      <c r="T275" s="83" t="str">
        <f aca="false">IF(OR($H275="—",$H275=""),"—",IF(ISNUMBER(MATCH($H275,SRC_HW!$A$5:$A$400,0)),INDEX(SRC_HW!$K$5:$K$400,MATCH($H275,SRC_HW!$A$5:$A$400,0)),IF(ISNUMBER(MATCH($H275,SRC_DC!$A$5:$A$400,0)),INDEX(SRC_DC!$K$5:$K$400,MATCH($H275,SRC_DC!$A$5:$A$400,0)),IF(ISNUMBER(MATCH($H275,SRC_Model!$A$5:$A$400,0)),INDEX(SRC_Model!$K$5:$K$400,MATCH($H275,SRC_Model!$A$5:$A$400,0)),IF(ISNUMBER(MATCH($H275,SRC_Perf!$A$5:$A$400,0)),INDEX(SRC_Perf!$K$5:$K$400,MATCH($H275,SRC_Perf!$A$5:$A$400,0)),"不存在")))))</f>
        <v>—</v>
      </c>
      <c r="U275" s="52" t="s">
        <v>2302</v>
      </c>
      <c r="V275" s="103" t="n">
        <f aca="false">IF(AND($F275="原始數據",$U275&lt;&gt;"連結 SRC"),1,0)</f>
        <v>0</v>
      </c>
      <c r="W275" s="103" t="n">
        <f aca="false">IF(AND($F275="Analogy",OR($H275="—",$H275="")),1,0)</f>
        <v>0</v>
      </c>
      <c r="X275" s="103" t="n">
        <f aca="false">IF(AND(OR($F275="Analogy",$F275="Assumed"),$G275&lt;&gt;"低",$G275&lt;&gt;"高",NOT(ISNUMBER($K275)),NOT(ISNUMBER($L275)),OR($M275="—",$M275="")),1,0)</f>
        <v>0</v>
      </c>
      <c r="Y275" s="103" t="n">
        <f aca="false">IF(AND(OR($F275="Analogy",$F275="Assumed",$F275="Derived（待改公式）",$F275="Derived（公式）"),OR($N275="—",$N275="",$N275=0)),1,0)</f>
        <v>0</v>
      </c>
      <c r="Z275" s="103" t="n">
        <f aca="false">IF(AND($F275="Decision",OR($J275="—",$J275="")),1,0)</f>
        <v>0</v>
      </c>
      <c r="AA275" s="84" t="n">
        <f aca="false">IF(OR($J275="—",$J275=""),0,IF(COUNTIF(Decisions!$A$5:$A$300,$J275)=0,1,0))</f>
        <v>0</v>
      </c>
      <c r="AB275" s="103" t="n">
        <f aca="false">IF(AND($F275="原始數據",$S275&lt;&gt;"Active"),1,0)</f>
        <v>0</v>
      </c>
      <c r="AC275" s="103" t="n">
        <f aca="false">IF(AND(ISNUMBER($K275),ISNUMBER($L275),ISNUMBER($Q275)),IF(OR($Q275&lt;MIN($K275,$L275),$Q275&gt;MAX($K275,$L275)),1,0),0)</f>
        <v>0</v>
      </c>
      <c r="AD275" s="103" t="n">
        <f aca="false">IF(AND(ISNUMBER($T275),$P275="高"),IF($T275=3,1,0),0)</f>
        <v>0</v>
      </c>
      <c r="AE275" s="103" t="n">
        <f aca="false">IF(AND($S275="不存在",$B275="切片一"),1,0)</f>
        <v>0</v>
      </c>
    </row>
    <row r="276" customFormat="false" ht="29.85" hidden="false" customHeight="false" outlineLevel="0" collapsed="false">
      <c r="A276" s="53" t="s">
        <v>2948</v>
      </c>
      <c r="B276" s="52" t="s">
        <v>2297</v>
      </c>
      <c r="C276" s="53" t="s">
        <v>2920</v>
      </c>
      <c r="D276" s="53" t="s">
        <v>2314</v>
      </c>
      <c r="E276" s="5" t="s">
        <v>334</v>
      </c>
      <c r="F276" s="53" t="s">
        <v>70</v>
      </c>
      <c r="G276" s="52" t="s">
        <v>2299</v>
      </c>
      <c r="H276" s="53" t="s">
        <v>554</v>
      </c>
      <c r="I276" s="6" t="s">
        <v>554</v>
      </c>
      <c r="J276" s="53" t="s">
        <v>554</v>
      </c>
      <c r="K276" s="83" t="n">
        <f aca="false">Workload!D9*0.5</f>
        <v>350</v>
      </c>
      <c r="L276" s="83" t="n">
        <f aca="false">Workload!D9*2</f>
        <v>1400</v>
      </c>
      <c r="M276" s="53" t="s">
        <v>2908</v>
      </c>
      <c r="N276" s="5" t="s">
        <v>2922</v>
      </c>
      <c r="O276" s="6" t="s">
        <v>554</v>
      </c>
      <c r="P276" s="52" t="s">
        <v>2364</v>
      </c>
      <c r="Q276" s="54" t="n">
        <f aca="false">Workload!D9</f>
        <v>700</v>
      </c>
      <c r="R276" s="53" t="s">
        <v>554</v>
      </c>
      <c r="S276" s="83" t="str">
        <f aca="false">IF(OR($H276="—",$H276=""),"—",IF(ISNUMBER(MATCH($H276,SRC_HW!$A$5:$A$400,0)),INDEX(SRC_HW!$O$5:$O$400,MATCH($H276,SRC_HW!$A$5:$A$400,0)),IF(ISNUMBER(MATCH($H276,SRC_DC!$A$5:$A$400,0)),INDEX(SRC_DC!$O$5:$O$400,MATCH($H276,SRC_DC!$A$5:$A$400,0)),IF(ISNUMBER(MATCH($H276,SRC_Model!$A$5:$A$400,0)),INDEX(SRC_Model!$O$5:$O$400,MATCH($H276,SRC_Model!$A$5:$A$400,0)),IF(ISNUMBER(MATCH($H276,SRC_Perf!$A$5:$A$400,0)),INDEX(SRC_Perf!$O$5:$O$400,MATCH($H276,SRC_Perf!$A$5:$A$400,0)),"不存在")))))</f>
        <v>—</v>
      </c>
      <c r="T276" s="83" t="str">
        <f aca="false">IF(OR($H276="—",$H276=""),"—",IF(ISNUMBER(MATCH($H276,SRC_HW!$A$5:$A$400,0)),INDEX(SRC_HW!$K$5:$K$400,MATCH($H276,SRC_HW!$A$5:$A$400,0)),IF(ISNUMBER(MATCH($H276,SRC_DC!$A$5:$A$400,0)),INDEX(SRC_DC!$K$5:$K$400,MATCH($H276,SRC_DC!$A$5:$A$400,0)),IF(ISNUMBER(MATCH($H276,SRC_Model!$A$5:$A$400,0)),INDEX(SRC_Model!$K$5:$K$400,MATCH($H276,SRC_Model!$A$5:$A$400,0)),IF(ISNUMBER(MATCH($H276,SRC_Perf!$A$5:$A$400,0)),INDEX(SRC_Perf!$K$5:$K$400,MATCH($H276,SRC_Perf!$A$5:$A$400,0)),"不存在")))))</f>
        <v>—</v>
      </c>
      <c r="U276" s="52" t="s">
        <v>2302</v>
      </c>
      <c r="V276" s="103" t="n">
        <f aca="false">IF(AND($F276="原始數據",$U276&lt;&gt;"連結 SRC"),1,0)</f>
        <v>0</v>
      </c>
      <c r="W276" s="103" t="n">
        <f aca="false">IF(AND($F276="Analogy",OR($H276="—",$H276="")),1,0)</f>
        <v>0</v>
      </c>
      <c r="X276" s="103" t="n">
        <f aca="false">IF(AND(OR($F276="Analogy",$F276="Assumed"),$G276&lt;&gt;"低",$G276&lt;&gt;"高",NOT(ISNUMBER($K276)),NOT(ISNUMBER($L276)),OR($M276="—",$M276="")),1,0)</f>
        <v>0</v>
      </c>
      <c r="Y276" s="103" t="n">
        <f aca="false">IF(AND(OR($F276="Analogy",$F276="Assumed",$F276="Derived（待改公式）",$F276="Derived（公式）"),OR($N276="—",$N276="",$N276=0)),1,0)</f>
        <v>0</v>
      </c>
      <c r="Z276" s="103" t="n">
        <f aca="false">IF(AND($F276="Decision",OR($J276="—",$J276="")),1,0)</f>
        <v>0</v>
      </c>
      <c r="AA276" s="84" t="n">
        <f aca="false">IF(OR($J276="—",$J276=""),0,IF(COUNTIF(Decisions!$A$5:$A$300,$J276)=0,1,0))</f>
        <v>0</v>
      </c>
      <c r="AB276" s="103" t="n">
        <f aca="false">IF(AND($F276="原始數據",$S276&lt;&gt;"Active"),1,0)</f>
        <v>0</v>
      </c>
      <c r="AC276" s="103" t="n">
        <f aca="false">IF(AND(ISNUMBER($K276),ISNUMBER($L276),ISNUMBER($Q276)),IF(OR($Q276&lt;MIN($K276,$L276),$Q276&gt;MAX($K276,$L276)),1,0),0)</f>
        <v>0</v>
      </c>
      <c r="AD276" s="103" t="n">
        <f aca="false">IF(AND(ISNUMBER($T276),$P276="高"),IF($T276=3,1,0),0)</f>
        <v>0</v>
      </c>
      <c r="AE276" s="103" t="n">
        <f aca="false">IF(AND($S276="不存在",$B276="切片一"),1,0)</f>
        <v>0</v>
      </c>
    </row>
    <row r="277" customFormat="false" ht="29.85" hidden="false" customHeight="false" outlineLevel="0" collapsed="false">
      <c r="A277" s="53" t="s">
        <v>2949</v>
      </c>
      <c r="B277" s="52" t="s">
        <v>2297</v>
      </c>
      <c r="C277" s="53" t="s">
        <v>2920</v>
      </c>
      <c r="D277" s="53" t="s">
        <v>2222</v>
      </c>
      <c r="E277" s="5" t="s">
        <v>334</v>
      </c>
      <c r="F277" s="53" t="s">
        <v>70</v>
      </c>
      <c r="G277" s="52" t="s">
        <v>2299</v>
      </c>
      <c r="H277" s="53" t="s">
        <v>554</v>
      </c>
      <c r="I277" s="6" t="s">
        <v>554</v>
      </c>
      <c r="J277" s="53" t="s">
        <v>554</v>
      </c>
      <c r="K277" s="83" t="n">
        <f aca="false">Workload!E9*0.5</f>
        <v>100</v>
      </c>
      <c r="L277" s="83" t="n">
        <f aca="false">Workload!E9*2</f>
        <v>400</v>
      </c>
      <c r="M277" s="53" t="s">
        <v>2908</v>
      </c>
      <c r="N277" s="5" t="s">
        <v>2922</v>
      </c>
      <c r="O277" s="6" t="s">
        <v>554</v>
      </c>
      <c r="P277" s="52" t="s">
        <v>2364</v>
      </c>
      <c r="Q277" s="54" t="n">
        <f aca="false">Workload!E9</f>
        <v>200</v>
      </c>
      <c r="R277" s="53" t="s">
        <v>554</v>
      </c>
      <c r="S277" s="83" t="str">
        <f aca="false">IF(OR($H277="—",$H277=""),"—",IF(ISNUMBER(MATCH($H277,SRC_HW!$A$5:$A$400,0)),INDEX(SRC_HW!$O$5:$O$400,MATCH($H277,SRC_HW!$A$5:$A$400,0)),IF(ISNUMBER(MATCH($H277,SRC_DC!$A$5:$A$400,0)),INDEX(SRC_DC!$O$5:$O$400,MATCH($H277,SRC_DC!$A$5:$A$400,0)),IF(ISNUMBER(MATCH($H277,SRC_Model!$A$5:$A$400,0)),INDEX(SRC_Model!$O$5:$O$400,MATCH($H277,SRC_Model!$A$5:$A$400,0)),IF(ISNUMBER(MATCH($H277,SRC_Perf!$A$5:$A$400,0)),INDEX(SRC_Perf!$O$5:$O$400,MATCH($H277,SRC_Perf!$A$5:$A$400,0)),"不存在")))))</f>
        <v>—</v>
      </c>
      <c r="T277" s="83" t="str">
        <f aca="false">IF(OR($H277="—",$H277=""),"—",IF(ISNUMBER(MATCH($H277,SRC_HW!$A$5:$A$400,0)),INDEX(SRC_HW!$K$5:$K$400,MATCH($H277,SRC_HW!$A$5:$A$400,0)),IF(ISNUMBER(MATCH($H277,SRC_DC!$A$5:$A$400,0)),INDEX(SRC_DC!$K$5:$K$400,MATCH($H277,SRC_DC!$A$5:$A$400,0)),IF(ISNUMBER(MATCH($H277,SRC_Model!$A$5:$A$400,0)),INDEX(SRC_Model!$K$5:$K$400,MATCH($H277,SRC_Model!$A$5:$A$400,0)),IF(ISNUMBER(MATCH($H277,SRC_Perf!$A$5:$A$400,0)),INDEX(SRC_Perf!$K$5:$K$400,MATCH($H277,SRC_Perf!$A$5:$A$400,0)),"不存在")))))</f>
        <v>—</v>
      </c>
      <c r="U277" s="52" t="s">
        <v>2302</v>
      </c>
      <c r="V277" s="103" t="n">
        <f aca="false">IF(AND($F277="原始數據",$U277&lt;&gt;"連結 SRC"),1,0)</f>
        <v>0</v>
      </c>
      <c r="W277" s="103" t="n">
        <f aca="false">IF(AND($F277="Analogy",OR($H277="—",$H277="")),1,0)</f>
        <v>0</v>
      </c>
      <c r="X277" s="103" t="n">
        <f aca="false">IF(AND(OR($F277="Analogy",$F277="Assumed"),$G277&lt;&gt;"低",$G277&lt;&gt;"高",NOT(ISNUMBER($K277)),NOT(ISNUMBER($L277)),OR($M277="—",$M277="")),1,0)</f>
        <v>0</v>
      </c>
      <c r="Y277" s="103" t="n">
        <f aca="false">IF(AND(OR($F277="Analogy",$F277="Assumed",$F277="Derived（待改公式）",$F277="Derived（公式）"),OR($N277="—",$N277="",$N277=0)),1,0)</f>
        <v>0</v>
      </c>
      <c r="Z277" s="103" t="n">
        <f aca="false">IF(AND($F277="Decision",OR($J277="—",$J277="")),1,0)</f>
        <v>0</v>
      </c>
      <c r="AA277" s="84" t="n">
        <f aca="false">IF(OR($J277="—",$J277=""),0,IF(COUNTIF(Decisions!$A$5:$A$300,$J277)=0,1,0))</f>
        <v>0</v>
      </c>
      <c r="AB277" s="103" t="n">
        <f aca="false">IF(AND($F277="原始數據",$S277&lt;&gt;"Active"),1,0)</f>
        <v>0</v>
      </c>
      <c r="AC277" s="103" t="n">
        <f aca="false">IF(AND(ISNUMBER($K277),ISNUMBER($L277),ISNUMBER($Q277)),IF(OR($Q277&lt;MIN($K277,$L277),$Q277&gt;MAX($K277,$L277)),1,0),0)</f>
        <v>0</v>
      </c>
      <c r="AD277" s="103" t="n">
        <f aca="false">IF(AND(ISNUMBER($T277),$P277="高"),IF($T277=3,1,0),0)</f>
        <v>0</v>
      </c>
      <c r="AE277" s="103" t="n">
        <f aca="false">IF(AND($S277="不存在",$B277="切片一"),1,0)</f>
        <v>0</v>
      </c>
    </row>
    <row r="278" customFormat="false" ht="29.85" hidden="false" customHeight="false" outlineLevel="0" collapsed="false">
      <c r="A278" s="53" t="s">
        <v>2950</v>
      </c>
      <c r="B278" s="52" t="s">
        <v>2297</v>
      </c>
      <c r="C278" s="53" t="s">
        <v>2920</v>
      </c>
      <c r="D278" s="53" t="s">
        <v>2316</v>
      </c>
      <c r="E278" s="5" t="s">
        <v>334</v>
      </c>
      <c r="F278" s="53" t="s">
        <v>70</v>
      </c>
      <c r="G278" s="52" t="s">
        <v>2299</v>
      </c>
      <c r="H278" s="53" t="s">
        <v>554</v>
      </c>
      <c r="I278" s="6" t="s">
        <v>554</v>
      </c>
      <c r="J278" s="53" t="s">
        <v>554</v>
      </c>
      <c r="K278" s="83" t="n">
        <f aca="false">Workload!F9*0.5</f>
        <v>100</v>
      </c>
      <c r="L278" s="83" t="n">
        <f aca="false">Workload!F9*2</f>
        <v>400</v>
      </c>
      <c r="M278" s="53" t="s">
        <v>2908</v>
      </c>
      <c r="N278" s="5" t="s">
        <v>2922</v>
      </c>
      <c r="O278" s="6" t="s">
        <v>554</v>
      </c>
      <c r="P278" s="52" t="s">
        <v>2364</v>
      </c>
      <c r="Q278" s="54" t="n">
        <f aca="false">Workload!F9</f>
        <v>200</v>
      </c>
      <c r="R278" s="53" t="s">
        <v>554</v>
      </c>
      <c r="S278" s="83" t="str">
        <f aca="false">IF(OR($H278="—",$H278=""),"—",IF(ISNUMBER(MATCH($H278,SRC_HW!$A$5:$A$400,0)),INDEX(SRC_HW!$O$5:$O$400,MATCH($H278,SRC_HW!$A$5:$A$400,0)),IF(ISNUMBER(MATCH($H278,SRC_DC!$A$5:$A$400,0)),INDEX(SRC_DC!$O$5:$O$400,MATCH($H278,SRC_DC!$A$5:$A$400,0)),IF(ISNUMBER(MATCH($H278,SRC_Model!$A$5:$A$400,0)),INDEX(SRC_Model!$O$5:$O$400,MATCH($H278,SRC_Model!$A$5:$A$400,0)),IF(ISNUMBER(MATCH($H278,SRC_Perf!$A$5:$A$400,0)),INDEX(SRC_Perf!$O$5:$O$400,MATCH($H278,SRC_Perf!$A$5:$A$400,0)),"不存在")))))</f>
        <v>—</v>
      </c>
      <c r="T278" s="83" t="str">
        <f aca="false">IF(OR($H278="—",$H278=""),"—",IF(ISNUMBER(MATCH($H278,SRC_HW!$A$5:$A$400,0)),INDEX(SRC_HW!$K$5:$K$400,MATCH($H278,SRC_HW!$A$5:$A$400,0)),IF(ISNUMBER(MATCH($H278,SRC_DC!$A$5:$A$400,0)),INDEX(SRC_DC!$K$5:$K$400,MATCH($H278,SRC_DC!$A$5:$A$400,0)),IF(ISNUMBER(MATCH($H278,SRC_Model!$A$5:$A$400,0)),INDEX(SRC_Model!$K$5:$K$400,MATCH($H278,SRC_Model!$A$5:$A$400,0)),IF(ISNUMBER(MATCH($H278,SRC_Perf!$A$5:$A$400,0)),INDEX(SRC_Perf!$K$5:$K$400,MATCH($H278,SRC_Perf!$A$5:$A$400,0)),"不存在")))))</f>
        <v>—</v>
      </c>
      <c r="U278" s="52" t="s">
        <v>2302</v>
      </c>
      <c r="V278" s="103" t="n">
        <f aca="false">IF(AND($F278="原始數據",$U278&lt;&gt;"連結 SRC"),1,0)</f>
        <v>0</v>
      </c>
      <c r="W278" s="103" t="n">
        <f aca="false">IF(AND($F278="Analogy",OR($H278="—",$H278="")),1,0)</f>
        <v>0</v>
      </c>
      <c r="X278" s="103" t="n">
        <f aca="false">IF(AND(OR($F278="Analogy",$F278="Assumed"),$G278&lt;&gt;"低",$G278&lt;&gt;"高",NOT(ISNUMBER($K278)),NOT(ISNUMBER($L278)),OR($M278="—",$M278="")),1,0)</f>
        <v>0</v>
      </c>
      <c r="Y278" s="103" t="n">
        <f aca="false">IF(AND(OR($F278="Analogy",$F278="Assumed",$F278="Derived（待改公式）",$F278="Derived（公式）"),OR($N278="—",$N278="",$N278=0)),1,0)</f>
        <v>0</v>
      </c>
      <c r="Z278" s="103" t="n">
        <f aca="false">IF(AND($F278="Decision",OR($J278="—",$J278="")),1,0)</f>
        <v>0</v>
      </c>
      <c r="AA278" s="84" t="n">
        <f aca="false">IF(OR($J278="—",$J278=""),0,IF(COUNTIF(Decisions!$A$5:$A$300,$J278)=0,1,0))</f>
        <v>0</v>
      </c>
      <c r="AB278" s="103" t="n">
        <f aca="false">IF(AND($F278="原始數據",$S278&lt;&gt;"Active"),1,0)</f>
        <v>0</v>
      </c>
      <c r="AC278" s="103" t="n">
        <f aca="false">IF(AND(ISNUMBER($K278),ISNUMBER($L278),ISNUMBER($Q278)),IF(OR($Q278&lt;MIN($K278,$L278),$Q278&gt;MAX($K278,$L278)),1,0),0)</f>
        <v>0</v>
      </c>
      <c r="AD278" s="103" t="n">
        <f aca="false">IF(AND(ISNUMBER($T278),$P278="高"),IF($T278=3,1,0),0)</f>
        <v>0</v>
      </c>
      <c r="AE278" s="103" t="n">
        <f aca="false">IF(AND($S278="不存在",$B278="切片一"),1,0)</f>
        <v>0</v>
      </c>
    </row>
    <row r="279" customFormat="false" ht="29.85" hidden="false" customHeight="false" outlineLevel="0" collapsed="false">
      <c r="A279" s="53" t="s">
        <v>2951</v>
      </c>
      <c r="B279" s="52" t="s">
        <v>2297</v>
      </c>
      <c r="C279" s="53" t="s">
        <v>2920</v>
      </c>
      <c r="D279" s="53" t="s">
        <v>2504</v>
      </c>
      <c r="E279" s="5" t="s">
        <v>334</v>
      </c>
      <c r="F279" s="53" t="s">
        <v>70</v>
      </c>
      <c r="G279" s="52" t="s">
        <v>2299</v>
      </c>
      <c r="H279" s="53" t="s">
        <v>554</v>
      </c>
      <c r="I279" s="6" t="s">
        <v>554</v>
      </c>
      <c r="J279" s="53" t="s">
        <v>554</v>
      </c>
      <c r="K279" s="83" t="n">
        <f aca="false">Workload!G9*0.5</f>
        <v>200</v>
      </c>
      <c r="L279" s="83" t="n">
        <f aca="false">Workload!G9*2</f>
        <v>800</v>
      </c>
      <c r="M279" s="53" t="s">
        <v>2908</v>
      </c>
      <c r="N279" s="5" t="s">
        <v>2922</v>
      </c>
      <c r="O279" s="6" t="s">
        <v>554</v>
      </c>
      <c r="P279" s="52" t="s">
        <v>2364</v>
      </c>
      <c r="Q279" s="54" t="n">
        <f aca="false">Workload!G9</f>
        <v>400</v>
      </c>
      <c r="R279" s="53" t="s">
        <v>554</v>
      </c>
      <c r="S279" s="83" t="str">
        <f aca="false">IF(OR($H279="—",$H279=""),"—",IF(ISNUMBER(MATCH($H279,SRC_HW!$A$5:$A$400,0)),INDEX(SRC_HW!$O$5:$O$400,MATCH($H279,SRC_HW!$A$5:$A$400,0)),IF(ISNUMBER(MATCH($H279,SRC_DC!$A$5:$A$400,0)),INDEX(SRC_DC!$O$5:$O$400,MATCH($H279,SRC_DC!$A$5:$A$400,0)),IF(ISNUMBER(MATCH($H279,SRC_Model!$A$5:$A$400,0)),INDEX(SRC_Model!$O$5:$O$400,MATCH($H279,SRC_Model!$A$5:$A$400,0)),IF(ISNUMBER(MATCH($H279,SRC_Perf!$A$5:$A$400,0)),INDEX(SRC_Perf!$O$5:$O$400,MATCH($H279,SRC_Perf!$A$5:$A$400,0)),"不存在")))))</f>
        <v>—</v>
      </c>
      <c r="T279" s="83" t="str">
        <f aca="false">IF(OR($H279="—",$H279=""),"—",IF(ISNUMBER(MATCH($H279,SRC_HW!$A$5:$A$400,0)),INDEX(SRC_HW!$K$5:$K$400,MATCH($H279,SRC_HW!$A$5:$A$400,0)),IF(ISNUMBER(MATCH($H279,SRC_DC!$A$5:$A$400,0)),INDEX(SRC_DC!$K$5:$K$400,MATCH($H279,SRC_DC!$A$5:$A$400,0)),IF(ISNUMBER(MATCH($H279,SRC_Model!$A$5:$A$400,0)),INDEX(SRC_Model!$K$5:$K$400,MATCH($H279,SRC_Model!$A$5:$A$400,0)),IF(ISNUMBER(MATCH($H279,SRC_Perf!$A$5:$A$400,0)),INDEX(SRC_Perf!$K$5:$K$400,MATCH($H279,SRC_Perf!$A$5:$A$400,0)),"不存在")))))</f>
        <v>—</v>
      </c>
      <c r="U279" s="52" t="s">
        <v>2302</v>
      </c>
      <c r="V279" s="103" t="n">
        <f aca="false">IF(AND($F279="原始數據",$U279&lt;&gt;"連結 SRC"),1,0)</f>
        <v>0</v>
      </c>
      <c r="W279" s="103" t="n">
        <f aca="false">IF(AND($F279="Analogy",OR($H279="—",$H279="")),1,0)</f>
        <v>0</v>
      </c>
      <c r="X279" s="103" t="n">
        <f aca="false">IF(AND(OR($F279="Analogy",$F279="Assumed"),$G279&lt;&gt;"低",$G279&lt;&gt;"高",NOT(ISNUMBER($K279)),NOT(ISNUMBER($L279)),OR($M279="—",$M279="")),1,0)</f>
        <v>0</v>
      </c>
      <c r="Y279" s="103" t="n">
        <f aca="false">IF(AND(OR($F279="Analogy",$F279="Assumed",$F279="Derived（待改公式）",$F279="Derived（公式）"),OR($N279="—",$N279="",$N279=0)),1,0)</f>
        <v>0</v>
      </c>
      <c r="Z279" s="103" t="n">
        <f aca="false">IF(AND($F279="Decision",OR($J279="—",$J279="")),1,0)</f>
        <v>0</v>
      </c>
      <c r="AA279" s="84" t="n">
        <f aca="false">IF(OR($J279="—",$J279=""),0,IF(COUNTIF(Decisions!$A$5:$A$300,$J279)=0,1,0))</f>
        <v>0</v>
      </c>
      <c r="AB279" s="103" t="n">
        <f aca="false">IF(AND($F279="原始數據",$S279&lt;&gt;"Active"),1,0)</f>
        <v>0</v>
      </c>
      <c r="AC279" s="103" t="n">
        <f aca="false">IF(AND(ISNUMBER($K279),ISNUMBER($L279),ISNUMBER($Q279)),IF(OR($Q279&lt;MIN($K279,$L279),$Q279&gt;MAX($K279,$L279)),1,0),0)</f>
        <v>0</v>
      </c>
      <c r="AD279" s="103" t="n">
        <f aca="false">IF(AND(ISNUMBER($T279),$P279="高"),IF($T279=3,1,0),0)</f>
        <v>0</v>
      </c>
      <c r="AE279" s="103" t="n">
        <f aca="false">IF(AND($S279="不存在",$B279="切片一"),1,0)</f>
        <v>0</v>
      </c>
    </row>
    <row r="280" customFormat="false" ht="29.85" hidden="false" customHeight="false" outlineLevel="0" collapsed="false">
      <c r="A280" s="53" t="s">
        <v>2952</v>
      </c>
      <c r="B280" s="52" t="s">
        <v>2297</v>
      </c>
      <c r="C280" s="53" t="s">
        <v>2920</v>
      </c>
      <c r="D280" s="53" t="s">
        <v>2507</v>
      </c>
      <c r="E280" s="5" t="s">
        <v>335</v>
      </c>
      <c r="F280" s="53" t="s">
        <v>70</v>
      </c>
      <c r="G280" s="52" t="s">
        <v>2299</v>
      </c>
      <c r="H280" s="53" t="s">
        <v>554</v>
      </c>
      <c r="I280" s="6" t="s">
        <v>554</v>
      </c>
      <c r="J280" s="53" t="s">
        <v>554</v>
      </c>
      <c r="K280" s="128" t="n">
        <v>0</v>
      </c>
      <c r="L280" s="128" t="n">
        <v>1</v>
      </c>
      <c r="M280" s="53" t="s">
        <v>2953</v>
      </c>
      <c r="N280" s="204" t="str">
        <f aca="false">Workload!$H$10</f>
        <v>Assumed：多數 API 不保留前輪思考（標準 harness）</v>
      </c>
      <c r="O280" s="6" t="s">
        <v>554</v>
      </c>
      <c r="P280" s="52" t="s">
        <v>2307</v>
      </c>
      <c r="Q280" s="56" t="n">
        <f aca="false">Workload!C10</f>
        <v>0</v>
      </c>
      <c r="R280" s="53" t="s">
        <v>554</v>
      </c>
      <c r="S280" s="83" t="str">
        <f aca="false">IF(OR($H280="—",$H280=""),"—",IF(ISNUMBER(MATCH($H280,SRC_HW!$A$5:$A$400,0)),INDEX(SRC_HW!$O$5:$O$400,MATCH($H280,SRC_HW!$A$5:$A$400,0)),IF(ISNUMBER(MATCH($H280,SRC_DC!$A$5:$A$400,0)),INDEX(SRC_DC!$O$5:$O$400,MATCH($H280,SRC_DC!$A$5:$A$400,0)),IF(ISNUMBER(MATCH($H280,SRC_Model!$A$5:$A$400,0)),INDEX(SRC_Model!$O$5:$O$400,MATCH($H280,SRC_Model!$A$5:$A$400,0)),IF(ISNUMBER(MATCH($H280,SRC_Perf!$A$5:$A$400,0)),INDEX(SRC_Perf!$O$5:$O$400,MATCH($H280,SRC_Perf!$A$5:$A$400,0)),"不存在")))))</f>
        <v>—</v>
      </c>
      <c r="T280" s="83" t="str">
        <f aca="false">IF(OR($H280="—",$H280=""),"—",IF(ISNUMBER(MATCH($H280,SRC_HW!$A$5:$A$400,0)),INDEX(SRC_HW!$K$5:$K$400,MATCH($H280,SRC_HW!$A$5:$A$400,0)),IF(ISNUMBER(MATCH($H280,SRC_DC!$A$5:$A$400,0)),INDEX(SRC_DC!$K$5:$K$400,MATCH($H280,SRC_DC!$A$5:$A$400,0)),IF(ISNUMBER(MATCH($H280,SRC_Model!$A$5:$A$400,0)),INDEX(SRC_Model!$K$5:$K$400,MATCH($H280,SRC_Model!$A$5:$A$400,0)),IF(ISNUMBER(MATCH($H280,SRC_Perf!$A$5:$A$400,0)),INDEX(SRC_Perf!$K$5:$K$400,MATCH($H280,SRC_Perf!$A$5:$A$400,0)),"不存在")))))</f>
        <v>—</v>
      </c>
      <c r="U280" s="52" t="s">
        <v>2302</v>
      </c>
      <c r="V280" s="103" t="n">
        <f aca="false">IF(AND($F280="原始數據",$U280&lt;&gt;"連結 SRC"),1,0)</f>
        <v>0</v>
      </c>
      <c r="W280" s="103" t="n">
        <f aca="false">IF(AND($F280="Analogy",OR($H280="—",$H280="")),1,0)</f>
        <v>0</v>
      </c>
      <c r="X280" s="103" t="n">
        <f aca="false">IF(AND(OR($F280="Analogy",$F280="Assumed"),$G280&lt;&gt;"低",$G280&lt;&gt;"高",NOT(ISNUMBER($K280)),NOT(ISNUMBER($L280)),OR($M280="—",$M280="")),1,0)</f>
        <v>0</v>
      </c>
      <c r="Y280" s="103" t="n">
        <f aca="false">IF(AND(OR($F280="Analogy",$F280="Assumed",$F280="Derived（待改公式）",$F280="Derived（公式）"),OR($N280="—",$N280="",$N280=0)),1,0)</f>
        <v>0</v>
      </c>
      <c r="Z280" s="103" t="n">
        <f aca="false">IF(AND($F280="Decision",OR($J280="—",$J280="")),1,0)</f>
        <v>0</v>
      </c>
      <c r="AA280" s="84" t="n">
        <f aca="false">IF(OR($J280="—",$J280=""),0,IF(COUNTIF(Decisions!$A$5:$A$300,$J280)=0,1,0))</f>
        <v>0</v>
      </c>
      <c r="AB280" s="103" t="n">
        <f aca="false">IF(AND($F280="原始數據",$S280&lt;&gt;"Active"),1,0)</f>
        <v>0</v>
      </c>
      <c r="AC280" s="103" t="n">
        <f aca="false">IF(AND(ISNUMBER($K280),ISNUMBER($L280),ISNUMBER($Q280)),IF(OR($Q280&lt;MIN($K280,$L280),$Q280&gt;MAX($K280,$L280)),1,0),0)</f>
        <v>0</v>
      </c>
      <c r="AD280" s="103" t="n">
        <f aca="false">IF(AND(ISNUMBER($T280),$P280="高"),IF($T280=3,1,0),0)</f>
        <v>0</v>
      </c>
      <c r="AE280" s="103" t="n">
        <f aca="false">IF(AND($S280="不存在",$B280="切片一"),1,0)</f>
        <v>0</v>
      </c>
    </row>
    <row r="281" customFormat="false" ht="29.85" hidden="false" customHeight="false" outlineLevel="0" collapsed="false">
      <c r="A281" s="53" t="s">
        <v>2954</v>
      </c>
      <c r="B281" s="52" t="s">
        <v>2297</v>
      </c>
      <c r="C281" s="53" t="s">
        <v>2920</v>
      </c>
      <c r="D281" s="53" t="s">
        <v>2320</v>
      </c>
      <c r="E281" s="5" t="s">
        <v>335</v>
      </c>
      <c r="F281" s="53" t="s">
        <v>70</v>
      </c>
      <c r="G281" s="52" t="s">
        <v>2299</v>
      </c>
      <c r="H281" s="53" t="s">
        <v>554</v>
      </c>
      <c r="I281" s="6" t="s">
        <v>554</v>
      </c>
      <c r="J281" s="53" t="s">
        <v>554</v>
      </c>
      <c r="K281" s="128" t="n">
        <v>0</v>
      </c>
      <c r="L281" s="128" t="n">
        <v>1</v>
      </c>
      <c r="M281" s="53" t="s">
        <v>2953</v>
      </c>
      <c r="N281" s="204" t="str">
        <f aca="false">Workload!$H$10</f>
        <v>Assumed：多數 API 不保留前輪思考（標準 harness）</v>
      </c>
      <c r="O281" s="6" t="s">
        <v>554</v>
      </c>
      <c r="P281" s="52" t="s">
        <v>2307</v>
      </c>
      <c r="Q281" s="56" t="n">
        <f aca="false">Workload!D10</f>
        <v>0</v>
      </c>
      <c r="R281" s="53" t="s">
        <v>554</v>
      </c>
      <c r="S281" s="83" t="str">
        <f aca="false">IF(OR($H281="—",$H281=""),"—",IF(ISNUMBER(MATCH($H281,SRC_HW!$A$5:$A$400,0)),INDEX(SRC_HW!$O$5:$O$400,MATCH($H281,SRC_HW!$A$5:$A$400,0)),IF(ISNUMBER(MATCH($H281,SRC_DC!$A$5:$A$400,0)),INDEX(SRC_DC!$O$5:$O$400,MATCH($H281,SRC_DC!$A$5:$A$400,0)),IF(ISNUMBER(MATCH($H281,SRC_Model!$A$5:$A$400,0)),INDEX(SRC_Model!$O$5:$O$400,MATCH($H281,SRC_Model!$A$5:$A$400,0)),IF(ISNUMBER(MATCH($H281,SRC_Perf!$A$5:$A$400,0)),INDEX(SRC_Perf!$O$5:$O$400,MATCH($H281,SRC_Perf!$A$5:$A$400,0)),"不存在")))))</f>
        <v>—</v>
      </c>
      <c r="T281" s="83" t="str">
        <f aca="false">IF(OR($H281="—",$H281=""),"—",IF(ISNUMBER(MATCH($H281,SRC_HW!$A$5:$A$400,0)),INDEX(SRC_HW!$K$5:$K$400,MATCH($H281,SRC_HW!$A$5:$A$400,0)),IF(ISNUMBER(MATCH($H281,SRC_DC!$A$5:$A$400,0)),INDEX(SRC_DC!$K$5:$K$400,MATCH($H281,SRC_DC!$A$5:$A$400,0)),IF(ISNUMBER(MATCH($H281,SRC_Model!$A$5:$A$400,0)),INDEX(SRC_Model!$K$5:$K$400,MATCH($H281,SRC_Model!$A$5:$A$400,0)),IF(ISNUMBER(MATCH($H281,SRC_Perf!$A$5:$A$400,0)),INDEX(SRC_Perf!$K$5:$K$400,MATCH($H281,SRC_Perf!$A$5:$A$400,0)),"不存在")))))</f>
        <v>—</v>
      </c>
      <c r="U281" s="52" t="s">
        <v>2302</v>
      </c>
      <c r="V281" s="103" t="n">
        <f aca="false">IF(AND($F281="原始數據",$U281&lt;&gt;"連結 SRC"),1,0)</f>
        <v>0</v>
      </c>
      <c r="W281" s="103" t="n">
        <f aca="false">IF(AND($F281="Analogy",OR($H281="—",$H281="")),1,0)</f>
        <v>0</v>
      </c>
      <c r="X281" s="103" t="n">
        <f aca="false">IF(AND(OR($F281="Analogy",$F281="Assumed"),$G281&lt;&gt;"低",$G281&lt;&gt;"高",NOT(ISNUMBER($K281)),NOT(ISNUMBER($L281)),OR($M281="—",$M281="")),1,0)</f>
        <v>0</v>
      </c>
      <c r="Y281" s="103" t="n">
        <f aca="false">IF(AND(OR($F281="Analogy",$F281="Assumed",$F281="Derived（待改公式）",$F281="Derived（公式）"),OR($N281="—",$N281="",$N281=0)),1,0)</f>
        <v>0</v>
      </c>
      <c r="Z281" s="103" t="n">
        <f aca="false">IF(AND($F281="Decision",OR($J281="—",$J281="")),1,0)</f>
        <v>0</v>
      </c>
      <c r="AA281" s="84" t="n">
        <f aca="false">IF(OR($J281="—",$J281=""),0,IF(COUNTIF(Decisions!$A$5:$A$300,$J281)=0,1,0))</f>
        <v>0</v>
      </c>
      <c r="AB281" s="103" t="n">
        <f aca="false">IF(AND($F281="原始數據",$S281&lt;&gt;"Active"),1,0)</f>
        <v>0</v>
      </c>
      <c r="AC281" s="103" t="n">
        <f aca="false">IF(AND(ISNUMBER($K281),ISNUMBER($L281),ISNUMBER($Q281)),IF(OR($Q281&lt;MIN($K281,$L281),$Q281&gt;MAX($K281,$L281)),1,0),0)</f>
        <v>0</v>
      </c>
      <c r="AD281" s="103" t="n">
        <f aca="false">IF(AND(ISNUMBER($T281),$P281="高"),IF($T281=3,1,0),0)</f>
        <v>0</v>
      </c>
      <c r="AE281" s="103" t="n">
        <f aca="false">IF(AND($S281="不存在",$B281="切片一"),1,0)</f>
        <v>0</v>
      </c>
    </row>
    <row r="282" customFormat="false" ht="29.85" hidden="false" customHeight="false" outlineLevel="0" collapsed="false">
      <c r="A282" s="53" t="s">
        <v>2955</v>
      </c>
      <c r="B282" s="52" t="s">
        <v>2297</v>
      </c>
      <c r="C282" s="53" t="s">
        <v>2920</v>
      </c>
      <c r="D282" s="53" t="s">
        <v>2225</v>
      </c>
      <c r="E282" s="5" t="s">
        <v>335</v>
      </c>
      <c r="F282" s="53" t="s">
        <v>70</v>
      </c>
      <c r="G282" s="52" t="s">
        <v>2299</v>
      </c>
      <c r="H282" s="53" t="s">
        <v>554</v>
      </c>
      <c r="I282" s="6" t="s">
        <v>554</v>
      </c>
      <c r="J282" s="53" t="s">
        <v>554</v>
      </c>
      <c r="K282" s="128" t="n">
        <v>0</v>
      </c>
      <c r="L282" s="128" t="n">
        <v>1</v>
      </c>
      <c r="M282" s="53" t="s">
        <v>2953</v>
      </c>
      <c r="N282" s="204" t="str">
        <f aca="false">Workload!$H$10</f>
        <v>Assumed：多數 API 不保留前輪思考（標準 harness）</v>
      </c>
      <c r="O282" s="6" t="s">
        <v>554</v>
      </c>
      <c r="P282" s="52" t="s">
        <v>2307</v>
      </c>
      <c r="Q282" s="56" t="n">
        <f aca="false">Workload!E10</f>
        <v>0</v>
      </c>
      <c r="R282" s="53" t="s">
        <v>554</v>
      </c>
      <c r="S282" s="83" t="str">
        <f aca="false">IF(OR($H282="—",$H282=""),"—",IF(ISNUMBER(MATCH($H282,SRC_HW!$A$5:$A$400,0)),INDEX(SRC_HW!$O$5:$O$400,MATCH($H282,SRC_HW!$A$5:$A$400,0)),IF(ISNUMBER(MATCH($H282,SRC_DC!$A$5:$A$400,0)),INDEX(SRC_DC!$O$5:$O$400,MATCH($H282,SRC_DC!$A$5:$A$400,0)),IF(ISNUMBER(MATCH($H282,SRC_Model!$A$5:$A$400,0)),INDEX(SRC_Model!$O$5:$O$400,MATCH($H282,SRC_Model!$A$5:$A$400,0)),IF(ISNUMBER(MATCH($H282,SRC_Perf!$A$5:$A$400,0)),INDEX(SRC_Perf!$O$5:$O$400,MATCH($H282,SRC_Perf!$A$5:$A$400,0)),"不存在")))))</f>
        <v>—</v>
      </c>
      <c r="T282" s="83" t="str">
        <f aca="false">IF(OR($H282="—",$H282=""),"—",IF(ISNUMBER(MATCH($H282,SRC_HW!$A$5:$A$400,0)),INDEX(SRC_HW!$K$5:$K$400,MATCH($H282,SRC_HW!$A$5:$A$400,0)),IF(ISNUMBER(MATCH($H282,SRC_DC!$A$5:$A$400,0)),INDEX(SRC_DC!$K$5:$K$400,MATCH($H282,SRC_DC!$A$5:$A$400,0)),IF(ISNUMBER(MATCH($H282,SRC_Model!$A$5:$A$400,0)),INDEX(SRC_Model!$K$5:$K$400,MATCH($H282,SRC_Model!$A$5:$A$400,0)),IF(ISNUMBER(MATCH($H282,SRC_Perf!$A$5:$A$400,0)),INDEX(SRC_Perf!$K$5:$K$400,MATCH($H282,SRC_Perf!$A$5:$A$400,0)),"不存在")))))</f>
        <v>—</v>
      </c>
      <c r="U282" s="52" t="s">
        <v>2302</v>
      </c>
      <c r="V282" s="103" t="n">
        <f aca="false">IF(AND($F282="原始數據",$U282&lt;&gt;"連結 SRC"),1,0)</f>
        <v>0</v>
      </c>
      <c r="W282" s="103" t="n">
        <f aca="false">IF(AND($F282="Analogy",OR($H282="—",$H282="")),1,0)</f>
        <v>0</v>
      </c>
      <c r="X282" s="103" t="n">
        <f aca="false">IF(AND(OR($F282="Analogy",$F282="Assumed"),$G282&lt;&gt;"低",$G282&lt;&gt;"高",NOT(ISNUMBER($K282)),NOT(ISNUMBER($L282)),OR($M282="—",$M282="")),1,0)</f>
        <v>0</v>
      </c>
      <c r="Y282" s="103" t="n">
        <f aca="false">IF(AND(OR($F282="Analogy",$F282="Assumed",$F282="Derived（待改公式）",$F282="Derived（公式）"),OR($N282="—",$N282="",$N282=0)),1,0)</f>
        <v>0</v>
      </c>
      <c r="Z282" s="103" t="n">
        <f aca="false">IF(AND($F282="Decision",OR($J282="—",$J282="")),1,0)</f>
        <v>0</v>
      </c>
      <c r="AA282" s="84" t="n">
        <f aca="false">IF(OR($J282="—",$J282=""),0,IF(COUNTIF(Decisions!$A$5:$A$300,$J282)=0,1,0))</f>
        <v>0</v>
      </c>
      <c r="AB282" s="103" t="n">
        <f aca="false">IF(AND($F282="原始數據",$S282&lt;&gt;"Active"),1,0)</f>
        <v>0</v>
      </c>
      <c r="AC282" s="103" t="n">
        <f aca="false">IF(AND(ISNUMBER($K282),ISNUMBER($L282),ISNUMBER($Q282)),IF(OR($Q282&lt;MIN($K282,$L282),$Q282&gt;MAX($K282,$L282)),1,0),0)</f>
        <v>0</v>
      </c>
      <c r="AD282" s="103" t="n">
        <f aca="false">IF(AND(ISNUMBER($T282),$P282="高"),IF($T282=3,1,0),0)</f>
        <v>0</v>
      </c>
      <c r="AE282" s="103" t="n">
        <f aca="false">IF(AND($S282="不存在",$B282="切片一"),1,0)</f>
        <v>0</v>
      </c>
    </row>
    <row r="283" customFormat="false" ht="29.85" hidden="false" customHeight="false" outlineLevel="0" collapsed="false">
      <c r="A283" s="53" t="s">
        <v>2956</v>
      </c>
      <c r="B283" s="52" t="s">
        <v>2297</v>
      </c>
      <c r="C283" s="53" t="s">
        <v>2920</v>
      </c>
      <c r="D283" s="53" t="s">
        <v>2322</v>
      </c>
      <c r="E283" s="5" t="s">
        <v>335</v>
      </c>
      <c r="F283" s="53" t="s">
        <v>70</v>
      </c>
      <c r="G283" s="52" t="s">
        <v>2299</v>
      </c>
      <c r="H283" s="53" t="s">
        <v>554</v>
      </c>
      <c r="I283" s="6" t="s">
        <v>554</v>
      </c>
      <c r="J283" s="53" t="s">
        <v>554</v>
      </c>
      <c r="K283" s="128" t="n">
        <v>0</v>
      </c>
      <c r="L283" s="128" t="n">
        <v>1</v>
      </c>
      <c r="M283" s="53" t="s">
        <v>2953</v>
      </c>
      <c r="N283" s="204" t="str">
        <f aca="false">Workload!$H$10</f>
        <v>Assumed：多數 API 不保留前輪思考（標準 harness）</v>
      </c>
      <c r="O283" s="6" t="s">
        <v>554</v>
      </c>
      <c r="P283" s="52" t="s">
        <v>2307</v>
      </c>
      <c r="Q283" s="56" t="n">
        <f aca="false">Workload!F10</f>
        <v>0</v>
      </c>
      <c r="R283" s="53" t="s">
        <v>554</v>
      </c>
      <c r="S283" s="83" t="str">
        <f aca="false">IF(OR($H283="—",$H283=""),"—",IF(ISNUMBER(MATCH($H283,SRC_HW!$A$5:$A$400,0)),INDEX(SRC_HW!$O$5:$O$400,MATCH($H283,SRC_HW!$A$5:$A$400,0)),IF(ISNUMBER(MATCH($H283,SRC_DC!$A$5:$A$400,0)),INDEX(SRC_DC!$O$5:$O$400,MATCH($H283,SRC_DC!$A$5:$A$400,0)),IF(ISNUMBER(MATCH($H283,SRC_Model!$A$5:$A$400,0)),INDEX(SRC_Model!$O$5:$O$400,MATCH($H283,SRC_Model!$A$5:$A$400,0)),IF(ISNUMBER(MATCH($H283,SRC_Perf!$A$5:$A$400,0)),INDEX(SRC_Perf!$O$5:$O$400,MATCH($H283,SRC_Perf!$A$5:$A$400,0)),"不存在")))))</f>
        <v>—</v>
      </c>
      <c r="T283" s="83" t="str">
        <f aca="false">IF(OR($H283="—",$H283=""),"—",IF(ISNUMBER(MATCH($H283,SRC_HW!$A$5:$A$400,0)),INDEX(SRC_HW!$K$5:$K$400,MATCH($H283,SRC_HW!$A$5:$A$400,0)),IF(ISNUMBER(MATCH($H283,SRC_DC!$A$5:$A$400,0)),INDEX(SRC_DC!$K$5:$K$400,MATCH($H283,SRC_DC!$A$5:$A$400,0)),IF(ISNUMBER(MATCH($H283,SRC_Model!$A$5:$A$400,0)),INDEX(SRC_Model!$K$5:$K$400,MATCH($H283,SRC_Model!$A$5:$A$400,0)),IF(ISNUMBER(MATCH($H283,SRC_Perf!$A$5:$A$400,0)),INDEX(SRC_Perf!$K$5:$K$400,MATCH($H283,SRC_Perf!$A$5:$A$400,0)),"不存在")))))</f>
        <v>—</v>
      </c>
      <c r="U283" s="52" t="s">
        <v>2302</v>
      </c>
      <c r="V283" s="103" t="n">
        <f aca="false">IF(AND($F283="原始數據",$U283&lt;&gt;"連結 SRC"),1,0)</f>
        <v>0</v>
      </c>
      <c r="W283" s="103" t="n">
        <f aca="false">IF(AND($F283="Analogy",OR($H283="—",$H283="")),1,0)</f>
        <v>0</v>
      </c>
      <c r="X283" s="103" t="n">
        <f aca="false">IF(AND(OR($F283="Analogy",$F283="Assumed"),$G283&lt;&gt;"低",$G283&lt;&gt;"高",NOT(ISNUMBER($K283)),NOT(ISNUMBER($L283)),OR($M283="—",$M283="")),1,0)</f>
        <v>0</v>
      </c>
      <c r="Y283" s="103" t="n">
        <f aca="false">IF(AND(OR($F283="Analogy",$F283="Assumed",$F283="Derived（待改公式）",$F283="Derived（公式）"),OR($N283="—",$N283="",$N283=0)),1,0)</f>
        <v>0</v>
      </c>
      <c r="Z283" s="103" t="n">
        <f aca="false">IF(AND($F283="Decision",OR($J283="—",$J283="")),1,0)</f>
        <v>0</v>
      </c>
      <c r="AA283" s="84" t="n">
        <f aca="false">IF(OR($J283="—",$J283=""),0,IF(COUNTIF(Decisions!$A$5:$A$300,$J283)=0,1,0))</f>
        <v>0</v>
      </c>
      <c r="AB283" s="103" t="n">
        <f aca="false">IF(AND($F283="原始數據",$S283&lt;&gt;"Active"),1,0)</f>
        <v>0</v>
      </c>
      <c r="AC283" s="103" t="n">
        <f aca="false">IF(AND(ISNUMBER($K283),ISNUMBER($L283),ISNUMBER($Q283)),IF(OR($Q283&lt;MIN($K283,$L283),$Q283&gt;MAX($K283,$L283)),1,0),0)</f>
        <v>0</v>
      </c>
      <c r="AD283" s="103" t="n">
        <f aca="false">IF(AND(ISNUMBER($T283),$P283="高"),IF($T283=3,1,0),0)</f>
        <v>0</v>
      </c>
      <c r="AE283" s="103" t="n">
        <f aca="false">IF(AND($S283="不存在",$B283="切片一"),1,0)</f>
        <v>0</v>
      </c>
    </row>
    <row r="284" customFormat="false" ht="29.85" hidden="false" customHeight="false" outlineLevel="0" collapsed="false">
      <c r="A284" s="53" t="s">
        <v>2957</v>
      </c>
      <c r="B284" s="52" t="s">
        <v>2297</v>
      </c>
      <c r="C284" s="53" t="s">
        <v>2920</v>
      </c>
      <c r="D284" s="53" t="s">
        <v>2516</v>
      </c>
      <c r="E284" s="5" t="s">
        <v>335</v>
      </c>
      <c r="F284" s="53" t="s">
        <v>70</v>
      </c>
      <c r="G284" s="52" t="s">
        <v>2299</v>
      </c>
      <c r="H284" s="53" t="s">
        <v>554</v>
      </c>
      <c r="I284" s="6" t="s">
        <v>554</v>
      </c>
      <c r="J284" s="53" t="s">
        <v>554</v>
      </c>
      <c r="K284" s="128" t="n">
        <v>0</v>
      </c>
      <c r="L284" s="128" t="n">
        <v>1</v>
      </c>
      <c r="M284" s="53" t="s">
        <v>2953</v>
      </c>
      <c r="N284" s="204" t="str">
        <f aca="false">Workload!$H$10</f>
        <v>Assumed：多數 API 不保留前輪思考（標準 harness）</v>
      </c>
      <c r="O284" s="6" t="s">
        <v>554</v>
      </c>
      <c r="P284" s="52" t="s">
        <v>2307</v>
      </c>
      <c r="Q284" s="56" t="n">
        <f aca="false">Workload!G10</f>
        <v>0</v>
      </c>
      <c r="R284" s="53" t="s">
        <v>554</v>
      </c>
      <c r="S284" s="83" t="str">
        <f aca="false">IF(OR($H284="—",$H284=""),"—",IF(ISNUMBER(MATCH($H284,SRC_HW!$A$5:$A$400,0)),INDEX(SRC_HW!$O$5:$O$400,MATCH($H284,SRC_HW!$A$5:$A$400,0)),IF(ISNUMBER(MATCH($H284,SRC_DC!$A$5:$A$400,0)),INDEX(SRC_DC!$O$5:$O$400,MATCH($H284,SRC_DC!$A$5:$A$400,0)),IF(ISNUMBER(MATCH($H284,SRC_Model!$A$5:$A$400,0)),INDEX(SRC_Model!$O$5:$O$400,MATCH($H284,SRC_Model!$A$5:$A$400,0)),IF(ISNUMBER(MATCH($H284,SRC_Perf!$A$5:$A$400,0)),INDEX(SRC_Perf!$O$5:$O$400,MATCH($H284,SRC_Perf!$A$5:$A$400,0)),"不存在")))))</f>
        <v>—</v>
      </c>
      <c r="T284" s="83" t="str">
        <f aca="false">IF(OR($H284="—",$H284=""),"—",IF(ISNUMBER(MATCH($H284,SRC_HW!$A$5:$A$400,0)),INDEX(SRC_HW!$K$5:$K$400,MATCH($H284,SRC_HW!$A$5:$A$400,0)),IF(ISNUMBER(MATCH($H284,SRC_DC!$A$5:$A$400,0)),INDEX(SRC_DC!$K$5:$K$400,MATCH($H284,SRC_DC!$A$5:$A$400,0)),IF(ISNUMBER(MATCH($H284,SRC_Model!$A$5:$A$400,0)),INDEX(SRC_Model!$K$5:$K$400,MATCH($H284,SRC_Model!$A$5:$A$400,0)),IF(ISNUMBER(MATCH($H284,SRC_Perf!$A$5:$A$400,0)),INDEX(SRC_Perf!$K$5:$K$400,MATCH($H284,SRC_Perf!$A$5:$A$400,0)),"不存在")))))</f>
        <v>—</v>
      </c>
      <c r="U284" s="52" t="s">
        <v>2302</v>
      </c>
      <c r="V284" s="103" t="n">
        <f aca="false">IF(AND($F284="原始數據",$U284&lt;&gt;"連結 SRC"),1,0)</f>
        <v>0</v>
      </c>
      <c r="W284" s="103" t="n">
        <f aca="false">IF(AND($F284="Analogy",OR($H284="—",$H284="")),1,0)</f>
        <v>0</v>
      </c>
      <c r="X284" s="103" t="n">
        <f aca="false">IF(AND(OR($F284="Analogy",$F284="Assumed"),$G284&lt;&gt;"低",$G284&lt;&gt;"高",NOT(ISNUMBER($K284)),NOT(ISNUMBER($L284)),OR($M284="—",$M284="")),1,0)</f>
        <v>0</v>
      </c>
      <c r="Y284" s="103" t="n">
        <f aca="false">IF(AND(OR($F284="Analogy",$F284="Assumed",$F284="Derived（待改公式）",$F284="Derived（公式）"),OR($N284="—",$N284="",$N284=0)),1,0)</f>
        <v>0</v>
      </c>
      <c r="Z284" s="103" t="n">
        <f aca="false">IF(AND($F284="Decision",OR($J284="—",$J284="")),1,0)</f>
        <v>0</v>
      </c>
      <c r="AA284" s="84" t="n">
        <f aca="false">IF(OR($J284="—",$J284=""),0,IF(COUNTIF(Decisions!$A$5:$A$300,$J284)=0,1,0))</f>
        <v>0</v>
      </c>
      <c r="AB284" s="103" t="n">
        <f aca="false">IF(AND($F284="原始數據",$S284&lt;&gt;"Active"),1,0)</f>
        <v>0</v>
      </c>
      <c r="AC284" s="103" t="n">
        <f aca="false">IF(AND(ISNUMBER($K284),ISNUMBER($L284),ISNUMBER($Q284)),IF(OR($Q284&lt;MIN($K284,$L284),$Q284&gt;MAX($K284,$L284)),1,0),0)</f>
        <v>0</v>
      </c>
      <c r="AD284" s="103" t="n">
        <f aca="false">IF(AND(ISNUMBER($T284),$P284="高"),IF($T284=3,1,0),0)</f>
        <v>0</v>
      </c>
      <c r="AE284" s="103" t="n">
        <f aca="false">IF(AND($S284="不存在",$B284="切片一"),1,0)</f>
        <v>0</v>
      </c>
    </row>
    <row r="285" customFormat="false" ht="15" hidden="false" customHeight="false" outlineLevel="0" collapsed="false">
      <c r="A285" s="53" t="s">
        <v>2958</v>
      </c>
      <c r="B285" s="52" t="s">
        <v>2297</v>
      </c>
      <c r="C285" s="53" t="s">
        <v>2920</v>
      </c>
      <c r="D285" s="53" t="s">
        <v>2518</v>
      </c>
      <c r="E285" s="5" t="s">
        <v>337</v>
      </c>
      <c r="F285" s="53" t="s">
        <v>70</v>
      </c>
      <c r="G285" s="52" t="s">
        <v>2299</v>
      </c>
      <c r="H285" s="53" t="s">
        <v>554</v>
      </c>
      <c r="I285" s="6" t="s">
        <v>554</v>
      </c>
      <c r="J285" s="53" t="s">
        <v>554</v>
      </c>
      <c r="K285" s="128" t="n">
        <v>0.3</v>
      </c>
      <c r="L285" s="128" t="n">
        <v>0.95</v>
      </c>
      <c r="M285" s="53" t="s">
        <v>2959</v>
      </c>
      <c r="N285" s="204" t="str">
        <f aca="false">Workload!$H$11</f>
        <v>Assumed；代理迴圈前綴重用高</v>
      </c>
      <c r="O285" s="6" t="s">
        <v>554</v>
      </c>
      <c r="P285" s="52" t="s">
        <v>1079</v>
      </c>
      <c r="Q285" s="56" t="n">
        <f aca="false">Workload!C11</f>
        <v>0.5</v>
      </c>
      <c r="R285" s="53" t="s">
        <v>554</v>
      </c>
      <c r="S285" s="83" t="str">
        <f aca="false">IF(OR($H285="—",$H285=""),"—",IF(ISNUMBER(MATCH($H285,SRC_HW!$A$5:$A$400,0)),INDEX(SRC_HW!$O$5:$O$400,MATCH($H285,SRC_HW!$A$5:$A$400,0)),IF(ISNUMBER(MATCH($H285,SRC_DC!$A$5:$A$400,0)),INDEX(SRC_DC!$O$5:$O$400,MATCH($H285,SRC_DC!$A$5:$A$400,0)),IF(ISNUMBER(MATCH($H285,SRC_Model!$A$5:$A$400,0)),INDEX(SRC_Model!$O$5:$O$400,MATCH($H285,SRC_Model!$A$5:$A$400,0)),IF(ISNUMBER(MATCH($H285,SRC_Perf!$A$5:$A$400,0)),INDEX(SRC_Perf!$O$5:$O$400,MATCH($H285,SRC_Perf!$A$5:$A$400,0)),"不存在")))))</f>
        <v>—</v>
      </c>
      <c r="T285" s="83" t="str">
        <f aca="false">IF(OR($H285="—",$H285=""),"—",IF(ISNUMBER(MATCH($H285,SRC_HW!$A$5:$A$400,0)),INDEX(SRC_HW!$K$5:$K$400,MATCH($H285,SRC_HW!$A$5:$A$400,0)),IF(ISNUMBER(MATCH($H285,SRC_DC!$A$5:$A$400,0)),INDEX(SRC_DC!$K$5:$K$400,MATCH($H285,SRC_DC!$A$5:$A$400,0)),IF(ISNUMBER(MATCH($H285,SRC_Model!$A$5:$A$400,0)),INDEX(SRC_Model!$K$5:$K$400,MATCH($H285,SRC_Model!$A$5:$A$400,0)),IF(ISNUMBER(MATCH($H285,SRC_Perf!$A$5:$A$400,0)),INDEX(SRC_Perf!$K$5:$K$400,MATCH($H285,SRC_Perf!$A$5:$A$400,0)),"不存在")))))</f>
        <v>—</v>
      </c>
      <c r="U285" s="52" t="s">
        <v>2302</v>
      </c>
      <c r="V285" s="103" t="n">
        <f aca="false">IF(AND($F285="原始數據",$U285&lt;&gt;"連結 SRC"),1,0)</f>
        <v>0</v>
      </c>
      <c r="W285" s="103" t="n">
        <f aca="false">IF(AND($F285="Analogy",OR($H285="—",$H285="")),1,0)</f>
        <v>0</v>
      </c>
      <c r="X285" s="103" t="n">
        <f aca="false">IF(AND(OR($F285="Analogy",$F285="Assumed"),$G285&lt;&gt;"低",$G285&lt;&gt;"高",NOT(ISNUMBER($K285)),NOT(ISNUMBER($L285)),OR($M285="—",$M285="")),1,0)</f>
        <v>0</v>
      </c>
      <c r="Y285" s="103" t="n">
        <f aca="false">IF(AND(OR($F285="Analogy",$F285="Assumed",$F285="Derived（待改公式）",$F285="Derived（公式）"),OR($N285="—",$N285="",$N285=0)),1,0)</f>
        <v>0</v>
      </c>
      <c r="Z285" s="103" t="n">
        <f aca="false">IF(AND($F285="Decision",OR($J285="—",$J285="")),1,0)</f>
        <v>0</v>
      </c>
      <c r="AA285" s="84" t="n">
        <f aca="false">IF(OR($J285="—",$J285=""),0,IF(COUNTIF(Decisions!$A$5:$A$300,$J285)=0,1,0))</f>
        <v>0</v>
      </c>
      <c r="AB285" s="103" t="n">
        <f aca="false">IF(AND($F285="原始數據",$S285&lt;&gt;"Active"),1,0)</f>
        <v>0</v>
      </c>
      <c r="AC285" s="103" t="n">
        <f aca="false">IF(AND(ISNUMBER($K285),ISNUMBER($L285),ISNUMBER($Q285)),IF(OR($Q285&lt;MIN($K285,$L285),$Q285&gt;MAX($K285,$L285)),1,0),0)</f>
        <v>0</v>
      </c>
      <c r="AD285" s="103" t="n">
        <f aca="false">IF(AND(ISNUMBER($T285),$P285="高"),IF($T285=3,1,0),0)</f>
        <v>0</v>
      </c>
      <c r="AE285" s="103" t="n">
        <f aca="false">IF(AND($S285="不存在",$B285="切片一"),1,0)</f>
        <v>0</v>
      </c>
    </row>
    <row r="286" customFormat="false" ht="15" hidden="false" customHeight="false" outlineLevel="0" collapsed="false">
      <c r="A286" s="53" t="s">
        <v>2960</v>
      </c>
      <c r="B286" s="52" t="s">
        <v>2297</v>
      </c>
      <c r="C286" s="53" t="s">
        <v>2920</v>
      </c>
      <c r="D286" s="53" t="s">
        <v>2327</v>
      </c>
      <c r="E286" s="5" t="s">
        <v>337</v>
      </c>
      <c r="F286" s="53" t="s">
        <v>70</v>
      </c>
      <c r="G286" s="52" t="s">
        <v>2299</v>
      </c>
      <c r="H286" s="53" t="s">
        <v>554</v>
      </c>
      <c r="I286" s="6" t="s">
        <v>554</v>
      </c>
      <c r="J286" s="53" t="s">
        <v>554</v>
      </c>
      <c r="K286" s="128" t="n">
        <v>0.3</v>
      </c>
      <c r="L286" s="128" t="n">
        <v>0.95</v>
      </c>
      <c r="M286" s="53" t="s">
        <v>2959</v>
      </c>
      <c r="N286" s="204" t="str">
        <f aca="false">Workload!$H$11</f>
        <v>Assumed；代理迴圈前綴重用高</v>
      </c>
      <c r="O286" s="6" t="s">
        <v>554</v>
      </c>
      <c r="P286" s="52" t="s">
        <v>1079</v>
      </c>
      <c r="Q286" s="56" t="n">
        <f aca="false">Workload!D11</f>
        <v>0.5</v>
      </c>
      <c r="R286" s="53" t="s">
        <v>554</v>
      </c>
      <c r="S286" s="83" t="str">
        <f aca="false">IF(OR($H286="—",$H286=""),"—",IF(ISNUMBER(MATCH($H286,SRC_HW!$A$5:$A$400,0)),INDEX(SRC_HW!$O$5:$O$400,MATCH($H286,SRC_HW!$A$5:$A$400,0)),IF(ISNUMBER(MATCH($H286,SRC_DC!$A$5:$A$400,0)),INDEX(SRC_DC!$O$5:$O$400,MATCH($H286,SRC_DC!$A$5:$A$400,0)),IF(ISNUMBER(MATCH($H286,SRC_Model!$A$5:$A$400,0)),INDEX(SRC_Model!$O$5:$O$400,MATCH($H286,SRC_Model!$A$5:$A$400,0)),IF(ISNUMBER(MATCH($H286,SRC_Perf!$A$5:$A$400,0)),INDEX(SRC_Perf!$O$5:$O$400,MATCH($H286,SRC_Perf!$A$5:$A$400,0)),"不存在")))))</f>
        <v>—</v>
      </c>
      <c r="T286" s="83" t="str">
        <f aca="false">IF(OR($H286="—",$H286=""),"—",IF(ISNUMBER(MATCH($H286,SRC_HW!$A$5:$A$400,0)),INDEX(SRC_HW!$K$5:$K$400,MATCH($H286,SRC_HW!$A$5:$A$400,0)),IF(ISNUMBER(MATCH($H286,SRC_DC!$A$5:$A$400,0)),INDEX(SRC_DC!$K$5:$K$400,MATCH($H286,SRC_DC!$A$5:$A$400,0)),IF(ISNUMBER(MATCH($H286,SRC_Model!$A$5:$A$400,0)),INDEX(SRC_Model!$K$5:$K$400,MATCH($H286,SRC_Model!$A$5:$A$400,0)),IF(ISNUMBER(MATCH($H286,SRC_Perf!$A$5:$A$400,0)),INDEX(SRC_Perf!$K$5:$K$400,MATCH($H286,SRC_Perf!$A$5:$A$400,0)),"不存在")))))</f>
        <v>—</v>
      </c>
      <c r="U286" s="52" t="s">
        <v>2302</v>
      </c>
      <c r="V286" s="103" t="n">
        <f aca="false">IF(AND($F286="原始數據",$U286&lt;&gt;"連結 SRC"),1,0)</f>
        <v>0</v>
      </c>
      <c r="W286" s="103" t="n">
        <f aca="false">IF(AND($F286="Analogy",OR($H286="—",$H286="")),1,0)</f>
        <v>0</v>
      </c>
      <c r="X286" s="103" t="n">
        <f aca="false">IF(AND(OR($F286="Analogy",$F286="Assumed"),$G286&lt;&gt;"低",$G286&lt;&gt;"高",NOT(ISNUMBER($K286)),NOT(ISNUMBER($L286)),OR($M286="—",$M286="")),1,0)</f>
        <v>0</v>
      </c>
      <c r="Y286" s="103" t="n">
        <f aca="false">IF(AND(OR($F286="Analogy",$F286="Assumed",$F286="Derived（待改公式）",$F286="Derived（公式）"),OR($N286="—",$N286="",$N286=0)),1,0)</f>
        <v>0</v>
      </c>
      <c r="Z286" s="103" t="n">
        <f aca="false">IF(AND($F286="Decision",OR($J286="—",$J286="")),1,0)</f>
        <v>0</v>
      </c>
      <c r="AA286" s="84" t="n">
        <f aca="false">IF(OR($J286="—",$J286=""),0,IF(COUNTIF(Decisions!$A$5:$A$300,$J286)=0,1,0))</f>
        <v>0</v>
      </c>
      <c r="AB286" s="103" t="n">
        <f aca="false">IF(AND($F286="原始數據",$S286&lt;&gt;"Active"),1,0)</f>
        <v>0</v>
      </c>
      <c r="AC286" s="103" t="n">
        <f aca="false">IF(AND(ISNUMBER($K286),ISNUMBER($L286),ISNUMBER($Q286)),IF(OR($Q286&lt;MIN($K286,$L286),$Q286&gt;MAX($K286,$L286)),1,0),0)</f>
        <v>0</v>
      </c>
      <c r="AD286" s="103" t="n">
        <f aca="false">IF(AND(ISNUMBER($T286),$P286="高"),IF($T286=3,1,0),0)</f>
        <v>0</v>
      </c>
      <c r="AE286" s="103" t="n">
        <f aca="false">IF(AND($S286="不存在",$B286="切片一"),1,0)</f>
        <v>0</v>
      </c>
    </row>
    <row r="287" customFormat="false" ht="15" hidden="false" customHeight="false" outlineLevel="0" collapsed="false">
      <c r="A287" s="53" t="s">
        <v>2961</v>
      </c>
      <c r="B287" s="52" t="s">
        <v>2297</v>
      </c>
      <c r="C287" s="53" t="s">
        <v>2920</v>
      </c>
      <c r="D287" s="53" t="s">
        <v>2228</v>
      </c>
      <c r="E287" s="5" t="s">
        <v>337</v>
      </c>
      <c r="F287" s="53" t="s">
        <v>70</v>
      </c>
      <c r="G287" s="52" t="s">
        <v>2299</v>
      </c>
      <c r="H287" s="53" t="s">
        <v>554</v>
      </c>
      <c r="I287" s="6" t="s">
        <v>554</v>
      </c>
      <c r="J287" s="53" t="s">
        <v>554</v>
      </c>
      <c r="K287" s="128" t="n">
        <v>0.3</v>
      </c>
      <c r="L287" s="128" t="n">
        <v>0.95</v>
      </c>
      <c r="M287" s="53" t="s">
        <v>2959</v>
      </c>
      <c r="N287" s="204" t="str">
        <f aca="false">Workload!$H$11</f>
        <v>Assumed；代理迴圈前綴重用高</v>
      </c>
      <c r="O287" s="6" t="s">
        <v>554</v>
      </c>
      <c r="P287" s="52" t="s">
        <v>1079</v>
      </c>
      <c r="Q287" s="56" t="n">
        <f aca="false">Workload!E11</f>
        <v>0.9</v>
      </c>
      <c r="R287" s="53" t="s">
        <v>554</v>
      </c>
      <c r="S287" s="83" t="str">
        <f aca="false">IF(OR($H287="—",$H287=""),"—",IF(ISNUMBER(MATCH($H287,SRC_HW!$A$5:$A$400,0)),INDEX(SRC_HW!$O$5:$O$400,MATCH($H287,SRC_HW!$A$5:$A$400,0)),IF(ISNUMBER(MATCH($H287,SRC_DC!$A$5:$A$400,0)),INDEX(SRC_DC!$O$5:$O$400,MATCH($H287,SRC_DC!$A$5:$A$400,0)),IF(ISNUMBER(MATCH($H287,SRC_Model!$A$5:$A$400,0)),INDEX(SRC_Model!$O$5:$O$400,MATCH($H287,SRC_Model!$A$5:$A$400,0)),IF(ISNUMBER(MATCH($H287,SRC_Perf!$A$5:$A$400,0)),INDEX(SRC_Perf!$O$5:$O$400,MATCH($H287,SRC_Perf!$A$5:$A$400,0)),"不存在")))))</f>
        <v>—</v>
      </c>
      <c r="T287" s="83" t="str">
        <f aca="false">IF(OR($H287="—",$H287=""),"—",IF(ISNUMBER(MATCH($H287,SRC_HW!$A$5:$A$400,0)),INDEX(SRC_HW!$K$5:$K$400,MATCH($H287,SRC_HW!$A$5:$A$400,0)),IF(ISNUMBER(MATCH($H287,SRC_DC!$A$5:$A$400,0)),INDEX(SRC_DC!$K$5:$K$400,MATCH($H287,SRC_DC!$A$5:$A$400,0)),IF(ISNUMBER(MATCH($H287,SRC_Model!$A$5:$A$400,0)),INDEX(SRC_Model!$K$5:$K$400,MATCH($H287,SRC_Model!$A$5:$A$400,0)),IF(ISNUMBER(MATCH($H287,SRC_Perf!$A$5:$A$400,0)),INDEX(SRC_Perf!$K$5:$K$400,MATCH($H287,SRC_Perf!$A$5:$A$400,0)),"不存在")))))</f>
        <v>—</v>
      </c>
      <c r="U287" s="52" t="s">
        <v>2302</v>
      </c>
      <c r="V287" s="103" t="n">
        <f aca="false">IF(AND($F287="原始數據",$U287&lt;&gt;"連結 SRC"),1,0)</f>
        <v>0</v>
      </c>
      <c r="W287" s="103" t="n">
        <f aca="false">IF(AND($F287="Analogy",OR($H287="—",$H287="")),1,0)</f>
        <v>0</v>
      </c>
      <c r="X287" s="103" t="n">
        <f aca="false">IF(AND(OR($F287="Analogy",$F287="Assumed"),$G287&lt;&gt;"低",$G287&lt;&gt;"高",NOT(ISNUMBER($K287)),NOT(ISNUMBER($L287)),OR($M287="—",$M287="")),1,0)</f>
        <v>0</v>
      </c>
      <c r="Y287" s="103" t="n">
        <f aca="false">IF(AND(OR($F287="Analogy",$F287="Assumed",$F287="Derived（待改公式）",$F287="Derived（公式）"),OR($N287="—",$N287="",$N287=0)),1,0)</f>
        <v>0</v>
      </c>
      <c r="Z287" s="103" t="n">
        <f aca="false">IF(AND($F287="Decision",OR($J287="—",$J287="")),1,0)</f>
        <v>0</v>
      </c>
      <c r="AA287" s="84" t="n">
        <f aca="false">IF(OR($J287="—",$J287=""),0,IF(COUNTIF(Decisions!$A$5:$A$300,$J287)=0,1,0))</f>
        <v>0</v>
      </c>
      <c r="AB287" s="103" t="n">
        <f aca="false">IF(AND($F287="原始數據",$S287&lt;&gt;"Active"),1,0)</f>
        <v>0</v>
      </c>
      <c r="AC287" s="103" t="n">
        <f aca="false">IF(AND(ISNUMBER($K287),ISNUMBER($L287),ISNUMBER($Q287)),IF(OR($Q287&lt;MIN($K287,$L287),$Q287&gt;MAX($K287,$L287)),1,0),0)</f>
        <v>0</v>
      </c>
      <c r="AD287" s="103" t="n">
        <f aca="false">IF(AND(ISNUMBER($T287),$P287="高"),IF($T287=3,1,0),0)</f>
        <v>0</v>
      </c>
      <c r="AE287" s="103" t="n">
        <f aca="false">IF(AND($S287="不存在",$B287="切片一"),1,0)</f>
        <v>0</v>
      </c>
    </row>
    <row r="288" customFormat="false" ht="15" hidden="false" customHeight="false" outlineLevel="0" collapsed="false">
      <c r="A288" s="53" t="s">
        <v>2962</v>
      </c>
      <c r="B288" s="52" t="s">
        <v>2297</v>
      </c>
      <c r="C288" s="53" t="s">
        <v>2920</v>
      </c>
      <c r="D288" s="53" t="s">
        <v>2329</v>
      </c>
      <c r="E288" s="5" t="s">
        <v>337</v>
      </c>
      <c r="F288" s="53" t="s">
        <v>70</v>
      </c>
      <c r="G288" s="52" t="s">
        <v>2299</v>
      </c>
      <c r="H288" s="53" t="s">
        <v>554</v>
      </c>
      <c r="I288" s="6" t="s">
        <v>554</v>
      </c>
      <c r="J288" s="53" t="s">
        <v>554</v>
      </c>
      <c r="K288" s="128" t="n">
        <v>0.3</v>
      </c>
      <c r="L288" s="128" t="n">
        <v>0.95</v>
      </c>
      <c r="M288" s="53" t="s">
        <v>2959</v>
      </c>
      <c r="N288" s="204" t="str">
        <f aca="false">Workload!$H$11</f>
        <v>Assumed；代理迴圈前綴重用高</v>
      </c>
      <c r="O288" s="6" t="s">
        <v>554</v>
      </c>
      <c r="P288" s="52" t="s">
        <v>1079</v>
      </c>
      <c r="Q288" s="56" t="n">
        <f aca="false">Workload!F11</f>
        <v>0.9</v>
      </c>
      <c r="R288" s="53" t="s">
        <v>554</v>
      </c>
      <c r="S288" s="83" t="str">
        <f aca="false">IF(OR($H288="—",$H288=""),"—",IF(ISNUMBER(MATCH($H288,SRC_HW!$A$5:$A$400,0)),INDEX(SRC_HW!$O$5:$O$400,MATCH($H288,SRC_HW!$A$5:$A$400,0)),IF(ISNUMBER(MATCH($H288,SRC_DC!$A$5:$A$400,0)),INDEX(SRC_DC!$O$5:$O$400,MATCH($H288,SRC_DC!$A$5:$A$400,0)),IF(ISNUMBER(MATCH($H288,SRC_Model!$A$5:$A$400,0)),INDEX(SRC_Model!$O$5:$O$400,MATCH($H288,SRC_Model!$A$5:$A$400,0)),IF(ISNUMBER(MATCH($H288,SRC_Perf!$A$5:$A$400,0)),INDEX(SRC_Perf!$O$5:$O$400,MATCH($H288,SRC_Perf!$A$5:$A$400,0)),"不存在")))))</f>
        <v>—</v>
      </c>
      <c r="T288" s="83" t="str">
        <f aca="false">IF(OR($H288="—",$H288=""),"—",IF(ISNUMBER(MATCH($H288,SRC_HW!$A$5:$A$400,0)),INDEX(SRC_HW!$K$5:$K$400,MATCH($H288,SRC_HW!$A$5:$A$400,0)),IF(ISNUMBER(MATCH($H288,SRC_DC!$A$5:$A$400,0)),INDEX(SRC_DC!$K$5:$K$400,MATCH($H288,SRC_DC!$A$5:$A$400,0)),IF(ISNUMBER(MATCH($H288,SRC_Model!$A$5:$A$400,0)),INDEX(SRC_Model!$K$5:$K$400,MATCH($H288,SRC_Model!$A$5:$A$400,0)),IF(ISNUMBER(MATCH($H288,SRC_Perf!$A$5:$A$400,0)),INDEX(SRC_Perf!$K$5:$K$400,MATCH($H288,SRC_Perf!$A$5:$A$400,0)),"不存在")))))</f>
        <v>—</v>
      </c>
      <c r="U288" s="52" t="s">
        <v>2302</v>
      </c>
      <c r="V288" s="103" t="n">
        <f aca="false">IF(AND($F288="原始數據",$U288&lt;&gt;"連結 SRC"),1,0)</f>
        <v>0</v>
      </c>
      <c r="W288" s="103" t="n">
        <f aca="false">IF(AND($F288="Analogy",OR($H288="—",$H288="")),1,0)</f>
        <v>0</v>
      </c>
      <c r="X288" s="103" t="n">
        <f aca="false">IF(AND(OR($F288="Analogy",$F288="Assumed"),$G288&lt;&gt;"低",$G288&lt;&gt;"高",NOT(ISNUMBER($K288)),NOT(ISNUMBER($L288)),OR($M288="—",$M288="")),1,0)</f>
        <v>0</v>
      </c>
      <c r="Y288" s="103" t="n">
        <f aca="false">IF(AND(OR($F288="Analogy",$F288="Assumed",$F288="Derived（待改公式）",$F288="Derived（公式）"),OR($N288="—",$N288="",$N288=0)),1,0)</f>
        <v>0</v>
      </c>
      <c r="Z288" s="103" t="n">
        <f aca="false">IF(AND($F288="Decision",OR($J288="—",$J288="")),1,0)</f>
        <v>0</v>
      </c>
      <c r="AA288" s="84" t="n">
        <f aca="false">IF(OR($J288="—",$J288=""),0,IF(COUNTIF(Decisions!$A$5:$A$300,$J288)=0,1,0))</f>
        <v>0</v>
      </c>
      <c r="AB288" s="103" t="n">
        <f aca="false">IF(AND($F288="原始數據",$S288&lt;&gt;"Active"),1,0)</f>
        <v>0</v>
      </c>
      <c r="AC288" s="103" t="n">
        <f aca="false">IF(AND(ISNUMBER($K288),ISNUMBER($L288),ISNUMBER($Q288)),IF(OR($Q288&lt;MIN($K288,$L288),$Q288&gt;MAX($K288,$L288)),1,0),0)</f>
        <v>0</v>
      </c>
      <c r="AD288" s="103" t="n">
        <f aca="false">IF(AND(ISNUMBER($T288),$P288="高"),IF($T288=3,1,0),0)</f>
        <v>0</v>
      </c>
      <c r="AE288" s="103" t="n">
        <f aca="false">IF(AND($S288="不存在",$B288="切片一"),1,0)</f>
        <v>0</v>
      </c>
    </row>
    <row r="289" customFormat="false" ht="15" hidden="false" customHeight="false" outlineLevel="0" collapsed="false">
      <c r="A289" s="53" t="s">
        <v>2963</v>
      </c>
      <c r="B289" s="52" t="s">
        <v>2297</v>
      </c>
      <c r="C289" s="53" t="s">
        <v>2920</v>
      </c>
      <c r="D289" s="53" t="s">
        <v>2532</v>
      </c>
      <c r="E289" s="5" t="s">
        <v>337</v>
      </c>
      <c r="F289" s="53" t="s">
        <v>70</v>
      </c>
      <c r="G289" s="52" t="s">
        <v>2299</v>
      </c>
      <c r="H289" s="53" t="s">
        <v>554</v>
      </c>
      <c r="I289" s="6" t="s">
        <v>554</v>
      </c>
      <c r="J289" s="53" t="s">
        <v>554</v>
      </c>
      <c r="K289" s="128" t="n">
        <v>0.3</v>
      </c>
      <c r="L289" s="128" t="n">
        <v>0.95</v>
      </c>
      <c r="M289" s="53" t="s">
        <v>2959</v>
      </c>
      <c r="N289" s="204" t="str">
        <f aca="false">Workload!$H$11</f>
        <v>Assumed；代理迴圈前綴重用高</v>
      </c>
      <c r="O289" s="6" t="s">
        <v>554</v>
      </c>
      <c r="P289" s="52" t="s">
        <v>1079</v>
      </c>
      <c r="Q289" s="56" t="n">
        <f aca="false">Workload!G11</f>
        <v>0.9</v>
      </c>
      <c r="R289" s="53" t="s">
        <v>554</v>
      </c>
      <c r="S289" s="83" t="str">
        <f aca="false">IF(OR($H289="—",$H289=""),"—",IF(ISNUMBER(MATCH($H289,SRC_HW!$A$5:$A$400,0)),INDEX(SRC_HW!$O$5:$O$400,MATCH($H289,SRC_HW!$A$5:$A$400,0)),IF(ISNUMBER(MATCH($H289,SRC_DC!$A$5:$A$400,0)),INDEX(SRC_DC!$O$5:$O$400,MATCH($H289,SRC_DC!$A$5:$A$400,0)),IF(ISNUMBER(MATCH($H289,SRC_Model!$A$5:$A$400,0)),INDEX(SRC_Model!$O$5:$O$400,MATCH($H289,SRC_Model!$A$5:$A$400,0)),IF(ISNUMBER(MATCH($H289,SRC_Perf!$A$5:$A$400,0)),INDEX(SRC_Perf!$O$5:$O$400,MATCH($H289,SRC_Perf!$A$5:$A$400,0)),"不存在")))))</f>
        <v>—</v>
      </c>
      <c r="T289" s="83" t="str">
        <f aca="false">IF(OR($H289="—",$H289=""),"—",IF(ISNUMBER(MATCH($H289,SRC_HW!$A$5:$A$400,0)),INDEX(SRC_HW!$K$5:$K$400,MATCH($H289,SRC_HW!$A$5:$A$400,0)),IF(ISNUMBER(MATCH($H289,SRC_DC!$A$5:$A$400,0)),INDEX(SRC_DC!$K$5:$K$400,MATCH($H289,SRC_DC!$A$5:$A$400,0)),IF(ISNUMBER(MATCH($H289,SRC_Model!$A$5:$A$400,0)),INDEX(SRC_Model!$K$5:$K$400,MATCH($H289,SRC_Model!$A$5:$A$400,0)),IF(ISNUMBER(MATCH($H289,SRC_Perf!$A$5:$A$400,0)),INDEX(SRC_Perf!$K$5:$K$400,MATCH($H289,SRC_Perf!$A$5:$A$400,0)),"不存在")))))</f>
        <v>—</v>
      </c>
      <c r="U289" s="52" t="s">
        <v>2302</v>
      </c>
      <c r="V289" s="103" t="n">
        <f aca="false">IF(AND($F289="原始數據",$U289&lt;&gt;"連結 SRC"),1,0)</f>
        <v>0</v>
      </c>
      <c r="W289" s="103" t="n">
        <f aca="false">IF(AND($F289="Analogy",OR($H289="—",$H289="")),1,0)</f>
        <v>0</v>
      </c>
      <c r="X289" s="103" t="n">
        <f aca="false">IF(AND(OR($F289="Analogy",$F289="Assumed"),$G289&lt;&gt;"低",$G289&lt;&gt;"高",NOT(ISNUMBER($K289)),NOT(ISNUMBER($L289)),OR($M289="—",$M289="")),1,0)</f>
        <v>0</v>
      </c>
      <c r="Y289" s="103" t="n">
        <f aca="false">IF(AND(OR($F289="Analogy",$F289="Assumed",$F289="Derived（待改公式）",$F289="Derived（公式）"),OR($N289="—",$N289="",$N289=0)),1,0)</f>
        <v>0</v>
      </c>
      <c r="Z289" s="103" t="n">
        <f aca="false">IF(AND($F289="Decision",OR($J289="—",$J289="")),1,0)</f>
        <v>0</v>
      </c>
      <c r="AA289" s="84" t="n">
        <f aca="false">IF(OR($J289="—",$J289=""),0,IF(COUNTIF(Decisions!$A$5:$A$300,$J289)=0,1,0))</f>
        <v>0</v>
      </c>
      <c r="AB289" s="103" t="n">
        <f aca="false">IF(AND($F289="原始數據",$S289&lt;&gt;"Active"),1,0)</f>
        <v>0</v>
      </c>
      <c r="AC289" s="103" t="n">
        <f aca="false">IF(AND(ISNUMBER($K289),ISNUMBER($L289),ISNUMBER($Q289)),IF(OR($Q289&lt;MIN($K289,$L289),$Q289&gt;MAX($K289,$L289)),1,0),0)</f>
        <v>0</v>
      </c>
      <c r="AD289" s="103" t="n">
        <f aca="false">IF(AND(ISNUMBER($T289),$P289="高"),IF($T289=3,1,0),0)</f>
        <v>0</v>
      </c>
      <c r="AE289" s="103" t="n">
        <f aca="false">IF(AND($S289="不存在",$B289="切片一"),1,0)</f>
        <v>0</v>
      </c>
    </row>
    <row r="290" customFormat="false" ht="15" hidden="false" customHeight="false" outlineLevel="0" collapsed="false">
      <c r="A290" s="53" t="s">
        <v>2964</v>
      </c>
      <c r="B290" s="52" t="s">
        <v>2297</v>
      </c>
      <c r="C290" s="53" t="s">
        <v>2920</v>
      </c>
      <c r="D290" s="53" t="s">
        <v>2535</v>
      </c>
      <c r="E290" s="5" t="s">
        <v>339</v>
      </c>
      <c r="F290" s="53" t="s">
        <v>70</v>
      </c>
      <c r="G290" s="52" t="s">
        <v>2299</v>
      </c>
      <c r="H290" s="53" t="s">
        <v>554</v>
      </c>
      <c r="I290" s="6" t="s">
        <v>554</v>
      </c>
      <c r="J290" s="53" t="s">
        <v>554</v>
      </c>
      <c r="K290" s="128" t="n">
        <v>0</v>
      </c>
      <c r="L290" s="83" t="n">
        <f aca="false">MAX(1,Workload!C12*2)</f>
        <v>1</v>
      </c>
      <c r="M290" s="53" t="s">
        <v>2965</v>
      </c>
      <c r="N290" s="204" t="str">
        <f aca="false">Workload!$H$12</f>
        <v>Assumed：子代理沿用單代理參數</v>
      </c>
      <c r="O290" s="6" t="s">
        <v>554</v>
      </c>
      <c r="P290" s="52" t="s">
        <v>2307</v>
      </c>
      <c r="Q290" s="84" t="n">
        <f aca="false">Workload!C12</f>
        <v>0</v>
      </c>
      <c r="R290" s="53" t="s">
        <v>554</v>
      </c>
      <c r="S290" s="83" t="str">
        <f aca="false">IF(OR($H290="—",$H290=""),"—",IF(ISNUMBER(MATCH($H290,SRC_HW!$A$5:$A$400,0)),INDEX(SRC_HW!$O$5:$O$400,MATCH($H290,SRC_HW!$A$5:$A$400,0)),IF(ISNUMBER(MATCH($H290,SRC_DC!$A$5:$A$400,0)),INDEX(SRC_DC!$O$5:$O$400,MATCH($H290,SRC_DC!$A$5:$A$400,0)),IF(ISNUMBER(MATCH($H290,SRC_Model!$A$5:$A$400,0)),INDEX(SRC_Model!$O$5:$O$400,MATCH($H290,SRC_Model!$A$5:$A$400,0)),IF(ISNUMBER(MATCH($H290,SRC_Perf!$A$5:$A$400,0)),INDEX(SRC_Perf!$O$5:$O$400,MATCH($H290,SRC_Perf!$A$5:$A$400,0)),"不存在")))))</f>
        <v>—</v>
      </c>
      <c r="T290" s="83" t="str">
        <f aca="false">IF(OR($H290="—",$H290=""),"—",IF(ISNUMBER(MATCH($H290,SRC_HW!$A$5:$A$400,0)),INDEX(SRC_HW!$K$5:$K$400,MATCH($H290,SRC_HW!$A$5:$A$400,0)),IF(ISNUMBER(MATCH($H290,SRC_DC!$A$5:$A$400,0)),INDEX(SRC_DC!$K$5:$K$400,MATCH($H290,SRC_DC!$A$5:$A$400,0)),IF(ISNUMBER(MATCH($H290,SRC_Model!$A$5:$A$400,0)),INDEX(SRC_Model!$K$5:$K$400,MATCH($H290,SRC_Model!$A$5:$A$400,0)),IF(ISNUMBER(MATCH($H290,SRC_Perf!$A$5:$A$400,0)),INDEX(SRC_Perf!$K$5:$K$400,MATCH($H290,SRC_Perf!$A$5:$A$400,0)),"不存在")))))</f>
        <v>—</v>
      </c>
      <c r="U290" s="52" t="s">
        <v>2302</v>
      </c>
      <c r="V290" s="103" t="n">
        <f aca="false">IF(AND($F290="原始數據",$U290&lt;&gt;"連結 SRC"),1,0)</f>
        <v>0</v>
      </c>
      <c r="W290" s="103" t="n">
        <f aca="false">IF(AND($F290="Analogy",OR($H290="—",$H290="")),1,0)</f>
        <v>0</v>
      </c>
      <c r="X290" s="103" t="n">
        <f aca="false">IF(AND(OR($F290="Analogy",$F290="Assumed"),$G290&lt;&gt;"低",$G290&lt;&gt;"高",NOT(ISNUMBER($K290)),NOT(ISNUMBER($L290)),OR($M290="—",$M290="")),1,0)</f>
        <v>0</v>
      </c>
      <c r="Y290" s="103" t="n">
        <f aca="false">IF(AND(OR($F290="Analogy",$F290="Assumed",$F290="Derived（待改公式）",$F290="Derived（公式）"),OR($N290="—",$N290="",$N290=0)),1,0)</f>
        <v>0</v>
      </c>
      <c r="Z290" s="103" t="n">
        <f aca="false">IF(AND($F290="Decision",OR($J290="—",$J290="")),1,0)</f>
        <v>0</v>
      </c>
      <c r="AA290" s="84" t="n">
        <f aca="false">IF(OR($J290="—",$J290=""),0,IF(COUNTIF(Decisions!$A$5:$A$300,$J290)=0,1,0))</f>
        <v>0</v>
      </c>
      <c r="AB290" s="103" t="n">
        <f aca="false">IF(AND($F290="原始數據",$S290&lt;&gt;"Active"),1,0)</f>
        <v>0</v>
      </c>
      <c r="AC290" s="103" t="n">
        <f aca="false">IF(AND(ISNUMBER($K290),ISNUMBER($L290),ISNUMBER($Q290)),IF(OR($Q290&lt;MIN($K290,$L290),$Q290&gt;MAX($K290,$L290)),1,0),0)</f>
        <v>0</v>
      </c>
      <c r="AD290" s="103" t="n">
        <f aca="false">IF(AND(ISNUMBER($T290),$P290="高"),IF($T290=3,1,0),0)</f>
        <v>0</v>
      </c>
      <c r="AE290" s="103" t="n">
        <f aca="false">IF(AND($S290="不存在",$B290="切片一"),1,0)</f>
        <v>0</v>
      </c>
    </row>
    <row r="291" customFormat="false" ht="15" hidden="false" customHeight="false" outlineLevel="0" collapsed="false">
      <c r="A291" s="53" t="s">
        <v>2966</v>
      </c>
      <c r="B291" s="52" t="s">
        <v>2297</v>
      </c>
      <c r="C291" s="53" t="s">
        <v>2920</v>
      </c>
      <c r="D291" s="53" t="s">
        <v>2540</v>
      </c>
      <c r="E291" s="5" t="s">
        <v>339</v>
      </c>
      <c r="F291" s="53" t="s">
        <v>70</v>
      </c>
      <c r="G291" s="52" t="s">
        <v>2299</v>
      </c>
      <c r="H291" s="53" t="s">
        <v>554</v>
      </c>
      <c r="I291" s="6" t="s">
        <v>554</v>
      </c>
      <c r="J291" s="53" t="s">
        <v>554</v>
      </c>
      <c r="K291" s="128" t="n">
        <v>0</v>
      </c>
      <c r="L291" s="83" t="n">
        <f aca="false">MAX(1,Workload!D12*2)</f>
        <v>1</v>
      </c>
      <c r="M291" s="53" t="s">
        <v>2965</v>
      </c>
      <c r="N291" s="204" t="str">
        <f aca="false">Workload!$H$12</f>
        <v>Assumed：子代理沿用單代理參數</v>
      </c>
      <c r="O291" s="6" t="s">
        <v>554</v>
      </c>
      <c r="P291" s="52" t="s">
        <v>2307</v>
      </c>
      <c r="Q291" s="84" t="n">
        <f aca="false">Workload!D12</f>
        <v>0</v>
      </c>
      <c r="R291" s="53" t="s">
        <v>554</v>
      </c>
      <c r="S291" s="83" t="str">
        <f aca="false">IF(OR($H291="—",$H291=""),"—",IF(ISNUMBER(MATCH($H291,SRC_HW!$A$5:$A$400,0)),INDEX(SRC_HW!$O$5:$O$400,MATCH($H291,SRC_HW!$A$5:$A$400,0)),IF(ISNUMBER(MATCH($H291,SRC_DC!$A$5:$A$400,0)),INDEX(SRC_DC!$O$5:$O$400,MATCH($H291,SRC_DC!$A$5:$A$400,0)),IF(ISNUMBER(MATCH($H291,SRC_Model!$A$5:$A$400,0)),INDEX(SRC_Model!$O$5:$O$400,MATCH($H291,SRC_Model!$A$5:$A$400,0)),IF(ISNUMBER(MATCH($H291,SRC_Perf!$A$5:$A$400,0)),INDEX(SRC_Perf!$O$5:$O$400,MATCH($H291,SRC_Perf!$A$5:$A$400,0)),"不存在")))))</f>
        <v>—</v>
      </c>
      <c r="T291" s="83" t="str">
        <f aca="false">IF(OR($H291="—",$H291=""),"—",IF(ISNUMBER(MATCH($H291,SRC_HW!$A$5:$A$400,0)),INDEX(SRC_HW!$K$5:$K$400,MATCH($H291,SRC_HW!$A$5:$A$400,0)),IF(ISNUMBER(MATCH($H291,SRC_DC!$A$5:$A$400,0)),INDEX(SRC_DC!$K$5:$K$400,MATCH($H291,SRC_DC!$A$5:$A$400,0)),IF(ISNUMBER(MATCH($H291,SRC_Model!$A$5:$A$400,0)),INDEX(SRC_Model!$K$5:$K$400,MATCH($H291,SRC_Model!$A$5:$A$400,0)),IF(ISNUMBER(MATCH($H291,SRC_Perf!$A$5:$A$400,0)),INDEX(SRC_Perf!$K$5:$K$400,MATCH($H291,SRC_Perf!$A$5:$A$400,0)),"不存在")))))</f>
        <v>—</v>
      </c>
      <c r="U291" s="52" t="s">
        <v>2302</v>
      </c>
      <c r="V291" s="103" t="n">
        <f aca="false">IF(AND($F291="原始數據",$U291&lt;&gt;"連結 SRC"),1,0)</f>
        <v>0</v>
      </c>
      <c r="W291" s="103" t="n">
        <f aca="false">IF(AND($F291="Analogy",OR($H291="—",$H291="")),1,0)</f>
        <v>0</v>
      </c>
      <c r="X291" s="103" t="n">
        <f aca="false">IF(AND(OR($F291="Analogy",$F291="Assumed"),$G291&lt;&gt;"低",$G291&lt;&gt;"高",NOT(ISNUMBER($K291)),NOT(ISNUMBER($L291)),OR($M291="—",$M291="")),1,0)</f>
        <v>0</v>
      </c>
      <c r="Y291" s="103" t="n">
        <f aca="false">IF(AND(OR($F291="Analogy",$F291="Assumed",$F291="Derived（待改公式）",$F291="Derived（公式）"),OR($N291="—",$N291="",$N291=0)),1,0)</f>
        <v>0</v>
      </c>
      <c r="Z291" s="103" t="n">
        <f aca="false">IF(AND($F291="Decision",OR($J291="—",$J291="")),1,0)</f>
        <v>0</v>
      </c>
      <c r="AA291" s="84" t="n">
        <f aca="false">IF(OR($J291="—",$J291=""),0,IF(COUNTIF(Decisions!$A$5:$A$300,$J291)=0,1,0))</f>
        <v>0</v>
      </c>
      <c r="AB291" s="103" t="n">
        <f aca="false">IF(AND($F291="原始數據",$S291&lt;&gt;"Active"),1,0)</f>
        <v>0</v>
      </c>
      <c r="AC291" s="103" t="n">
        <f aca="false">IF(AND(ISNUMBER($K291),ISNUMBER($L291),ISNUMBER($Q291)),IF(OR($Q291&lt;MIN($K291,$L291),$Q291&gt;MAX($K291,$L291)),1,0),0)</f>
        <v>0</v>
      </c>
      <c r="AD291" s="103" t="n">
        <f aca="false">IF(AND(ISNUMBER($T291),$P291="高"),IF($T291=3,1,0),0)</f>
        <v>0</v>
      </c>
      <c r="AE291" s="103" t="n">
        <f aca="false">IF(AND($S291="不存在",$B291="切片一"),1,0)</f>
        <v>0</v>
      </c>
    </row>
    <row r="292" customFormat="false" ht="15" hidden="false" customHeight="false" outlineLevel="0" collapsed="false">
      <c r="A292" s="53" t="s">
        <v>2967</v>
      </c>
      <c r="B292" s="52" t="s">
        <v>2297</v>
      </c>
      <c r="C292" s="53" t="s">
        <v>2920</v>
      </c>
      <c r="D292" s="53" t="s">
        <v>2231</v>
      </c>
      <c r="E292" s="5" t="s">
        <v>339</v>
      </c>
      <c r="F292" s="53" t="s">
        <v>70</v>
      </c>
      <c r="G292" s="52" t="s">
        <v>2299</v>
      </c>
      <c r="H292" s="53" t="s">
        <v>554</v>
      </c>
      <c r="I292" s="6" t="s">
        <v>554</v>
      </c>
      <c r="J292" s="53" t="s">
        <v>554</v>
      </c>
      <c r="K292" s="128" t="n">
        <v>0</v>
      </c>
      <c r="L292" s="83" t="n">
        <f aca="false">MAX(1,Workload!E12*2)</f>
        <v>1</v>
      </c>
      <c r="M292" s="53" t="s">
        <v>2965</v>
      </c>
      <c r="N292" s="204" t="str">
        <f aca="false">Workload!$H$12</f>
        <v>Assumed：子代理沿用單代理參數</v>
      </c>
      <c r="O292" s="6" t="s">
        <v>554</v>
      </c>
      <c r="P292" s="52" t="s">
        <v>2307</v>
      </c>
      <c r="Q292" s="84" t="n">
        <f aca="false">Workload!E12</f>
        <v>0</v>
      </c>
      <c r="R292" s="53" t="s">
        <v>554</v>
      </c>
      <c r="S292" s="83" t="str">
        <f aca="false">IF(OR($H292="—",$H292=""),"—",IF(ISNUMBER(MATCH($H292,SRC_HW!$A$5:$A$400,0)),INDEX(SRC_HW!$O$5:$O$400,MATCH($H292,SRC_HW!$A$5:$A$400,0)),IF(ISNUMBER(MATCH($H292,SRC_DC!$A$5:$A$400,0)),INDEX(SRC_DC!$O$5:$O$400,MATCH($H292,SRC_DC!$A$5:$A$400,0)),IF(ISNUMBER(MATCH($H292,SRC_Model!$A$5:$A$400,0)),INDEX(SRC_Model!$O$5:$O$400,MATCH($H292,SRC_Model!$A$5:$A$400,0)),IF(ISNUMBER(MATCH($H292,SRC_Perf!$A$5:$A$400,0)),INDEX(SRC_Perf!$O$5:$O$400,MATCH($H292,SRC_Perf!$A$5:$A$400,0)),"不存在")))))</f>
        <v>—</v>
      </c>
      <c r="T292" s="83" t="str">
        <f aca="false">IF(OR($H292="—",$H292=""),"—",IF(ISNUMBER(MATCH($H292,SRC_HW!$A$5:$A$400,0)),INDEX(SRC_HW!$K$5:$K$400,MATCH($H292,SRC_HW!$A$5:$A$400,0)),IF(ISNUMBER(MATCH($H292,SRC_DC!$A$5:$A$400,0)),INDEX(SRC_DC!$K$5:$K$400,MATCH($H292,SRC_DC!$A$5:$A$400,0)),IF(ISNUMBER(MATCH($H292,SRC_Model!$A$5:$A$400,0)),INDEX(SRC_Model!$K$5:$K$400,MATCH($H292,SRC_Model!$A$5:$A$400,0)),IF(ISNUMBER(MATCH($H292,SRC_Perf!$A$5:$A$400,0)),INDEX(SRC_Perf!$K$5:$K$400,MATCH($H292,SRC_Perf!$A$5:$A$400,0)),"不存在")))))</f>
        <v>—</v>
      </c>
      <c r="U292" s="52" t="s">
        <v>2302</v>
      </c>
      <c r="V292" s="103" t="n">
        <f aca="false">IF(AND($F292="原始數據",$U292&lt;&gt;"連結 SRC"),1,0)</f>
        <v>0</v>
      </c>
      <c r="W292" s="103" t="n">
        <f aca="false">IF(AND($F292="Analogy",OR($H292="—",$H292="")),1,0)</f>
        <v>0</v>
      </c>
      <c r="X292" s="103" t="n">
        <f aca="false">IF(AND(OR($F292="Analogy",$F292="Assumed"),$G292&lt;&gt;"低",$G292&lt;&gt;"高",NOT(ISNUMBER($K292)),NOT(ISNUMBER($L292)),OR($M292="—",$M292="")),1,0)</f>
        <v>0</v>
      </c>
      <c r="Y292" s="103" t="n">
        <f aca="false">IF(AND(OR($F292="Analogy",$F292="Assumed",$F292="Derived（待改公式）",$F292="Derived（公式）"),OR($N292="—",$N292="",$N292=0)),1,0)</f>
        <v>0</v>
      </c>
      <c r="Z292" s="103" t="n">
        <f aca="false">IF(AND($F292="Decision",OR($J292="—",$J292="")),1,0)</f>
        <v>0</v>
      </c>
      <c r="AA292" s="84" t="n">
        <f aca="false">IF(OR($J292="—",$J292=""),0,IF(COUNTIF(Decisions!$A$5:$A$300,$J292)=0,1,0))</f>
        <v>0</v>
      </c>
      <c r="AB292" s="103" t="n">
        <f aca="false">IF(AND($F292="原始數據",$S292&lt;&gt;"Active"),1,0)</f>
        <v>0</v>
      </c>
      <c r="AC292" s="103" t="n">
        <f aca="false">IF(AND(ISNUMBER($K292),ISNUMBER($L292),ISNUMBER($Q292)),IF(OR($Q292&lt;MIN($K292,$L292),$Q292&gt;MAX($K292,$L292)),1,0),0)</f>
        <v>0</v>
      </c>
      <c r="AD292" s="103" t="n">
        <f aca="false">IF(AND(ISNUMBER($T292),$P292="高"),IF($T292=3,1,0),0)</f>
        <v>0</v>
      </c>
      <c r="AE292" s="103" t="n">
        <f aca="false">IF(AND($S292="不存在",$B292="切片一"),1,0)</f>
        <v>0</v>
      </c>
    </row>
    <row r="293" customFormat="false" ht="15" hidden="false" customHeight="false" outlineLevel="0" collapsed="false">
      <c r="A293" s="53" t="s">
        <v>2968</v>
      </c>
      <c r="B293" s="52" t="s">
        <v>2297</v>
      </c>
      <c r="C293" s="53" t="s">
        <v>2920</v>
      </c>
      <c r="D293" s="53" t="s">
        <v>2544</v>
      </c>
      <c r="E293" s="5" t="s">
        <v>339</v>
      </c>
      <c r="F293" s="53" t="s">
        <v>70</v>
      </c>
      <c r="G293" s="52" t="s">
        <v>2299</v>
      </c>
      <c r="H293" s="53" t="s">
        <v>554</v>
      </c>
      <c r="I293" s="6" t="s">
        <v>554</v>
      </c>
      <c r="J293" s="53" t="s">
        <v>554</v>
      </c>
      <c r="K293" s="128" t="n">
        <v>0</v>
      </c>
      <c r="L293" s="83" t="n">
        <f aca="false">MAX(1,Workload!F12*2)</f>
        <v>6</v>
      </c>
      <c r="M293" s="53" t="s">
        <v>2965</v>
      </c>
      <c r="N293" s="204" t="str">
        <f aca="false">Workload!$H$12</f>
        <v>Assumed：子代理沿用單代理參數</v>
      </c>
      <c r="O293" s="6" t="s">
        <v>554</v>
      </c>
      <c r="P293" s="52" t="s">
        <v>2307</v>
      </c>
      <c r="Q293" s="84" t="n">
        <f aca="false">Workload!F12</f>
        <v>3</v>
      </c>
      <c r="R293" s="53" t="s">
        <v>554</v>
      </c>
      <c r="S293" s="83" t="str">
        <f aca="false">IF(OR($H293="—",$H293=""),"—",IF(ISNUMBER(MATCH($H293,SRC_HW!$A$5:$A$400,0)),INDEX(SRC_HW!$O$5:$O$400,MATCH($H293,SRC_HW!$A$5:$A$400,0)),IF(ISNUMBER(MATCH($H293,SRC_DC!$A$5:$A$400,0)),INDEX(SRC_DC!$O$5:$O$400,MATCH($H293,SRC_DC!$A$5:$A$400,0)),IF(ISNUMBER(MATCH($H293,SRC_Model!$A$5:$A$400,0)),INDEX(SRC_Model!$O$5:$O$400,MATCH($H293,SRC_Model!$A$5:$A$400,0)),IF(ISNUMBER(MATCH($H293,SRC_Perf!$A$5:$A$400,0)),INDEX(SRC_Perf!$O$5:$O$400,MATCH($H293,SRC_Perf!$A$5:$A$400,0)),"不存在")))))</f>
        <v>—</v>
      </c>
      <c r="T293" s="83" t="str">
        <f aca="false">IF(OR($H293="—",$H293=""),"—",IF(ISNUMBER(MATCH($H293,SRC_HW!$A$5:$A$400,0)),INDEX(SRC_HW!$K$5:$K$400,MATCH($H293,SRC_HW!$A$5:$A$400,0)),IF(ISNUMBER(MATCH($H293,SRC_DC!$A$5:$A$400,0)),INDEX(SRC_DC!$K$5:$K$400,MATCH($H293,SRC_DC!$A$5:$A$400,0)),IF(ISNUMBER(MATCH($H293,SRC_Model!$A$5:$A$400,0)),INDEX(SRC_Model!$K$5:$K$400,MATCH($H293,SRC_Model!$A$5:$A$400,0)),IF(ISNUMBER(MATCH($H293,SRC_Perf!$A$5:$A$400,0)),INDEX(SRC_Perf!$K$5:$K$400,MATCH($H293,SRC_Perf!$A$5:$A$400,0)),"不存在")))))</f>
        <v>—</v>
      </c>
      <c r="U293" s="52" t="s">
        <v>2302</v>
      </c>
      <c r="V293" s="103" t="n">
        <f aca="false">IF(AND($F293="原始數據",$U293&lt;&gt;"連結 SRC"),1,0)</f>
        <v>0</v>
      </c>
      <c r="W293" s="103" t="n">
        <f aca="false">IF(AND($F293="Analogy",OR($H293="—",$H293="")),1,0)</f>
        <v>0</v>
      </c>
      <c r="X293" s="103" t="n">
        <f aca="false">IF(AND(OR($F293="Analogy",$F293="Assumed"),$G293&lt;&gt;"低",$G293&lt;&gt;"高",NOT(ISNUMBER($K293)),NOT(ISNUMBER($L293)),OR($M293="—",$M293="")),1,0)</f>
        <v>0</v>
      </c>
      <c r="Y293" s="103" t="n">
        <f aca="false">IF(AND(OR($F293="Analogy",$F293="Assumed",$F293="Derived（待改公式）",$F293="Derived（公式）"),OR($N293="—",$N293="",$N293=0)),1,0)</f>
        <v>0</v>
      </c>
      <c r="Z293" s="103" t="n">
        <f aca="false">IF(AND($F293="Decision",OR($J293="—",$J293="")),1,0)</f>
        <v>0</v>
      </c>
      <c r="AA293" s="84" t="n">
        <f aca="false">IF(OR($J293="—",$J293=""),0,IF(COUNTIF(Decisions!$A$5:$A$300,$J293)=0,1,0))</f>
        <v>0</v>
      </c>
      <c r="AB293" s="103" t="n">
        <f aca="false">IF(AND($F293="原始數據",$S293&lt;&gt;"Active"),1,0)</f>
        <v>0</v>
      </c>
      <c r="AC293" s="103" t="n">
        <f aca="false">IF(AND(ISNUMBER($K293),ISNUMBER($L293),ISNUMBER($Q293)),IF(OR($Q293&lt;MIN($K293,$L293),$Q293&gt;MAX($K293,$L293)),1,0),0)</f>
        <v>0</v>
      </c>
      <c r="AD293" s="103" t="n">
        <f aca="false">IF(AND(ISNUMBER($T293),$P293="高"),IF($T293=3,1,0),0)</f>
        <v>0</v>
      </c>
      <c r="AE293" s="103" t="n">
        <f aca="false">IF(AND($S293="不存在",$B293="切片一"),1,0)</f>
        <v>0</v>
      </c>
    </row>
    <row r="294" customFormat="false" ht="15" hidden="false" customHeight="false" outlineLevel="0" collapsed="false">
      <c r="A294" s="53" t="s">
        <v>2969</v>
      </c>
      <c r="B294" s="52" t="s">
        <v>2297</v>
      </c>
      <c r="C294" s="53" t="s">
        <v>2920</v>
      </c>
      <c r="D294" s="53" t="s">
        <v>2547</v>
      </c>
      <c r="E294" s="5" t="s">
        <v>339</v>
      </c>
      <c r="F294" s="53" t="s">
        <v>70</v>
      </c>
      <c r="G294" s="52" t="s">
        <v>2299</v>
      </c>
      <c r="H294" s="53" t="s">
        <v>554</v>
      </c>
      <c r="I294" s="6" t="s">
        <v>554</v>
      </c>
      <c r="J294" s="53" t="s">
        <v>554</v>
      </c>
      <c r="K294" s="128" t="n">
        <v>0</v>
      </c>
      <c r="L294" s="83" t="n">
        <f aca="false">MAX(1,Workload!G12*2)</f>
        <v>1</v>
      </c>
      <c r="M294" s="53" t="s">
        <v>2965</v>
      </c>
      <c r="N294" s="204" t="str">
        <f aca="false">Workload!$H$12</f>
        <v>Assumed：子代理沿用單代理參數</v>
      </c>
      <c r="O294" s="6" t="s">
        <v>554</v>
      </c>
      <c r="P294" s="52" t="s">
        <v>2307</v>
      </c>
      <c r="Q294" s="84" t="n">
        <f aca="false">Workload!G12</f>
        <v>0</v>
      </c>
      <c r="R294" s="53" t="s">
        <v>554</v>
      </c>
      <c r="S294" s="83" t="str">
        <f aca="false">IF(OR($H294="—",$H294=""),"—",IF(ISNUMBER(MATCH($H294,SRC_HW!$A$5:$A$400,0)),INDEX(SRC_HW!$O$5:$O$400,MATCH($H294,SRC_HW!$A$5:$A$400,0)),IF(ISNUMBER(MATCH($H294,SRC_DC!$A$5:$A$400,0)),INDEX(SRC_DC!$O$5:$O$400,MATCH($H294,SRC_DC!$A$5:$A$400,0)),IF(ISNUMBER(MATCH($H294,SRC_Model!$A$5:$A$400,0)),INDEX(SRC_Model!$O$5:$O$400,MATCH($H294,SRC_Model!$A$5:$A$400,0)),IF(ISNUMBER(MATCH($H294,SRC_Perf!$A$5:$A$400,0)),INDEX(SRC_Perf!$O$5:$O$400,MATCH($H294,SRC_Perf!$A$5:$A$400,0)),"不存在")))))</f>
        <v>—</v>
      </c>
      <c r="T294" s="83" t="str">
        <f aca="false">IF(OR($H294="—",$H294=""),"—",IF(ISNUMBER(MATCH($H294,SRC_HW!$A$5:$A$400,0)),INDEX(SRC_HW!$K$5:$K$400,MATCH($H294,SRC_HW!$A$5:$A$400,0)),IF(ISNUMBER(MATCH($H294,SRC_DC!$A$5:$A$400,0)),INDEX(SRC_DC!$K$5:$K$400,MATCH($H294,SRC_DC!$A$5:$A$400,0)),IF(ISNUMBER(MATCH($H294,SRC_Model!$A$5:$A$400,0)),INDEX(SRC_Model!$K$5:$K$400,MATCH($H294,SRC_Model!$A$5:$A$400,0)),IF(ISNUMBER(MATCH($H294,SRC_Perf!$A$5:$A$400,0)),INDEX(SRC_Perf!$K$5:$K$400,MATCH($H294,SRC_Perf!$A$5:$A$400,0)),"不存在")))))</f>
        <v>—</v>
      </c>
      <c r="U294" s="52" t="s">
        <v>2302</v>
      </c>
      <c r="V294" s="103" t="n">
        <f aca="false">IF(AND($F294="原始數據",$U294&lt;&gt;"連結 SRC"),1,0)</f>
        <v>0</v>
      </c>
      <c r="W294" s="103" t="n">
        <f aca="false">IF(AND($F294="Analogy",OR($H294="—",$H294="")),1,0)</f>
        <v>0</v>
      </c>
      <c r="X294" s="103" t="n">
        <f aca="false">IF(AND(OR($F294="Analogy",$F294="Assumed"),$G294&lt;&gt;"低",$G294&lt;&gt;"高",NOT(ISNUMBER($K294)),NOT(ISNUMBER($L294)),OR($M294="—",$M294="")),1,0)</f>
        <v>0</v>
      </c>
      <c r="Y294" s="103" t="n">
        <f aca="false">IF(AND(OR($F294="Analogy",$F294="Assumed",$F294="Derived（待改公式）",$F294="Derived（公式）"),OR($N294="—",$N294="",$N294=0)),1,0)</f>
        <v>0</v>
      </c>
      <c r="Z294" s="103" t="n">
        <f aca="false">IF(AND($F294="Decision",OR($J294="—",$J294="")),1,0)</f>
        <v>0</v>
      </c>
      <c r="AA294" s="84" t="n">
        <f aca="false">IF(OR($J294="—",$J294=""),0,IF(COUNTIF(Decisions!$A$5:$A$300,$J294)=0,1,0))</f>
        <v>0</v>
      </c>
      <c r="AB294" s="103" t="n">
        <f aca="false">IF(AND($F294="原始數據",$S294&lt;&gt;"Active"),1,0)</f>
        <v>0</v>
      </c>
      <c r="AC294" s="103" t="n">
        <f aca="false">IF(AND(ISNUMBER($K294),ISNUMBER($L294),ISNUMBER($Q294)),IF(OR($Q294&lt;MIN($K294,$L294),$Q294&gt;MAX($K294,$L294)),1,0),0)</f>
        <v>0</v>
      </c>
      <c r="AD294" s="103" t="n">
        <f aca="false">IF(AND(ISNUMBER($T294),$P294="高"),IF($T294=3,1,0),0)</f>
        <v>0</v>
      </c>
      <c r="AE294" s="103" t="n">
        <f aca="false">IF(AND($S294="不存在",$B294="切片一"),1,0)</f>
        <v>0</v>
      </c>
    </row>
    <row r="295" customFormat="false" ht="15" hidden="false" customHeight="false" outlineLevel="0" collapsed="false">
      <c r="A295" s="53" t="s">
        <v>2970</v>
      </c>
      <c r="B295" s="52" t="s">
        <v>2297</v>
      </c>
      <c r="C295" s="53" t="s">
        <v>2920</v>
      </c>
      <c r="D295" s="53" t="s">
        <v>2550</v>
      </c>
      <c r="E295" s="6" t="s">
        <v>342</v>
      </c>
      <c r="F295" s="53" t="s">
        <v>62</v>
      </c>
      <c r="G295" s="52" t="s">
        <v>2299</v>
      </c>
      <c r="H295" s="53" t="s">
        <v>554</v>
      </c>
      <c r="I295" s="6" t="s">
        <v>554</v>
      </c>
      <c r="J295" s="53" t="s">
        <v>2971</v>
      </c>
      <c r="K295" s="52"/>
      <c r="L295" s="52"/>
      <c r="M295" s="53" t="s">
        <v>554</v>
      </c>
      <c r="N295" s="6" t="s">
        <v>2972</v>
      </c>
      <c r="O295" s="6" t="s">
        <v>554</v>
      </c>
      <c r="P295" s="52" t="s">
        <v>1079</v>
      </c>
      <c r="Q295" s="89" t="n">
        <f aca="false">Workload!C13</f>
        <v>1</v>
      </c>
      <c r="R295" s="53" t="s">
        <v>554</v>
      </c>
      <c r="S295" s="83" t="str">
        <f aca="false">IF(OR($H295="—",$H295=""),"—",IF(ISNUMBER(MATCH($H295,SRC_HW!$A$5:$A$400,0)),INDEX(SRC_HW!$O$5:$O$400,MATCH($H295,SRC_HW!$A$5:$A$400,0)),IF(ISNUMBER(MATCH($H295,SRC_DC!$A$5:$A$400,0)),INDEX(SRC_DC!$O$5:$O$400,MATCH($H295,SRC_DC!$A$5:$A$400,0)),IF(ISNUMBER(MATCH($H295,SRC_Model!$A$5:$A$400,0)),INDEX(SRC_Model!$O$5:$O$400,MATCH($H295,SRC_Model!$A$5:$A$400,0)),IF(ISNUMBER(MATCH($H295,SRC_Perf!$A$5:$A$400,0)),INDEX(SRC_Perf!$O$5:$O$400,MATCH($H295,SRC_Perf!$A$5:$A$400,0)),"不存在")))))</f>
        <v>—</v>
      </c>
      <c r="T295" s="83" t="str">
        <f aca="false">IF(OR($H295="—",$H295=""),"—",IF(ISNUMBER(MATCH($H295,SRC_HW!$A$5:$A$400,0)),INDEX(SRC_HW!$K$5:$K$400,MATCH($H295,SRC_HW!$A$5:$A$400,0)),IF(ISNUMBER(MATCH($H295,SRC_DC!$A$5:$A$400,0)),INDEX(SRC_DC!$K$5:$K$400,MATCH($H295,SRC_DC!$A$5:$A$400,0)),IF(ISNUMBER(MATCH($H295,SRC_Model!$A$5:$A$400,0)),INDEX(SRC_Model!$K$5:$K$400,MATCH($H295,SRC_Model!$A$5:$A$400,0)),IF(ISNUMBER(MATCH($H295,SRC_Perf!$A$5:$A$400,0)),INDEX(SRC_Perf!$K$5:$K$400,MATCH($H295,SRC_Perf!$A$5:$A$400,0)),"不存在")))))</f>
        <v>—</v>
      </c>
      <c r="U295" s="52" t="s">
        <v>2302</v>
      </c>
      <c r="V295" s="103" t="n">
        <f aca="false">IF(AND($F295="原始數據",$U295&lt;&gt;"連結 SRC"),1,0)</f>
        <v>0</v>
      </c>
      <c r="W295" s="103" t="n">
        <f aca="false">IF(AND($F295="Analogy",OR($H295="—",$H295="")),1,0)</f>
        <v>0</v>
      </c>
      <c r="X295" s="103" t="n">
        <f aca="false">IF(AND(OR($F295="Analogy",$F295="Assumed"),$G295&lt;&gt;"低",$G295&lt;&gt;"高",NOT(ISNUMBER($K295)),NOT(ISNUMBER($L295)),OR($M295="—",$M295="")),1,0)</f>
        <v>0</v>
      </c>
      <c r="Y295" s="103" t="n">
        <f aca="false">IF(AND(OR($F295="Analogy",$F295="Assumed",$F295="Derived（待改公式）",$F295="Derived（公式）"),OR($N295="—",$N295="",$N295=0)),1,0)</f>
        <v>0</v>
      </c>
      <c r="Z295" s="103" t="n">
        <f aca="false">IF(AND($F295="Decision",OR($J295="—",$J295="")),1,0)</f>
        <v>0</v>
      </c>
      <c r="AA295" s="84" t="n">
        <f aca="false">IF(OR($J295="—",$J295=""),0,IF(COUNTIF(Decisions!$A$5:$A$300,$J295)=0,1,0))</f>
        <v>0</v>
      </c>
      <c r="AB295" s="103" t="n">
        <f aca="false">IF(AND($F295="原始數據",$S295&lt;&gt;"Active"),1,0)</f>
        <v>0</v>
      </c>
      <c r="AC295" s="103" t="n">
        <f aca="false">IF(AND(ISNUMBER($K295),ISNUMBER($L295),ISNUMBER($Q295)),IF(OR($Q295&lt;MIN($K295,$L295),$Q295&gt;MAX($K295,$L295)),1,0),0)</f>
        <v>0</v>
      </c>
      <c r="AD295" s="103" t="n">
        <f aca="false">IF(AND(ISNUMBER($T295),$P295="高"),IF($T295=3,1,0),0)</f>
        <v>0</v>
      </c>
      <c r="AE295" s="103" t="n">
        <f aca="false">IF(AND($S295="不存在",$B295="切片一"),1,0)</f>
        <v>0</v>
      </c>
    </row>
    <row r="296" customFormat="false" ht="29.85" hidden="false" customHeight="false" outlineLevel="0" collapsed="false">
      <c r="A296" s="53" t="s">
        <v>2973</v>
      </c>
      <c r="B296" s="52" t="s">
        <v>2297</v>
      </c>
      <c r="C296" s="53" t="s">
        <v>2920</v>
      </c>
      <c r="D296" s="53" t="s">
        <v>2787</v>
      </c>
      <c r="E296" s="5" t="s">
        <v>344</v>
      </c>
      <c r="F296" s="53" t="s">
        <v>62</v>
      </c>
      <c r="G296" s="52" t="s">
        <v>2299</v>
      </c>
      <c r="H296" s="53" t="s">
        <v>554</v>
      </c>
      <c r="I296" s="6" t="s">
        <v>554</v>
      </c>
      <c r="J296" s="53" t="s">
        <v>2974</v>
      </c>
      <c r="K296" s="52"/>
      <c r="L296" s="52"/>
      <c r="M296" s="53" t="s">
        <v>554</v>
      </c>
      <c r="N296" s="5" t="s">
        <v>2975</v>
      </c>
      <c r="O296" s="6" t="s">
        <v>554</v>
      </c>
      <c r="P296" s="52" t="s">
        <v>2364</v>
      </c>
      <c r="Q296" s="89" t="n">
        <f aca="false">Workload!C14</f>
        <v>1</v>
      </c>
      <c r="R296" s="53" t="s">
        <v>554</v>
      </c>
      <c r="S296" s="83" t="str">
        <f aca="false">IF(OR($H296="—",$H296=""),"—",IF(ISNUMBER(MATCH($H296,SRC_HW!$A$5:$A$400,0)),INDEX(SRC_HW!$O$5:$O$400,MATCH($H296,SRC_HW!$A$5:$A$400,0)),IF(ISNUMBER(MATCH($H296,SRC_DC!$A$5:$A$400,0)),INDEX(SRC_DC!$O$5:$O$400,MATCH($H296,SRC_DC!$A$5:$A$400,0)),IF(ISNUMBER(MATCH($H296,SRC_Model!$A$5:$A$400,0)),INDEX(SRC_Model!$O$5:$O$400,MATCH($H296,SRC_Model!$A$5:$A$400,0)),IF(ISNUMBER(MATCH($H296,SRC_Perf!$A$5:$A$400,0)),INDEX(SRC_Perf!$O$5:$O$400,MATCH($H296,SRC_Perf!$A$5:$A$400,0)),"不存在")))))</f>
        <v>—</v>
      </c>
      <c r="T296" s="83" t="str">
        <f aca="false">IF(OR($H296="—",$H296=""),"—",IF(ISNUMBER(MATCH($H296,SRC_HW!$A$5:$A$400,0)),INDEX(SRC_HW!$K$5:$K$400,MATCH($H296,SRC_HW!$A$5:$A$400,0)),IF(ISNUMBER(MATCH($H296,SRC_DC!$A$5:$A$400,0)),INDEX(SRC_DC!$K$5:$K$400,MATCH($H296,SRC_DC!$A$5:$A$400,0)),IF(ISNUMBER(MATCH($H296,SRC_Model!$A$5:$A$400,0)),INDEX(SRC_Model!$K$5:$K$400,MATCH($H296,SRC_Model!$A$5:$A$400,0)),IF(ISNUMBER(MATCH($H296,SRC_Perf!$A$5:$A$400,0)),INDEX(SRC_Perf!$K$5:$K$400,MATCH($H296,SRC_Perf!$A$5:$A$400,0)),"不存在")))))</f>
        <v>—</v>
      </c>
      <c r="U296" s="52" t="s">
        <v>2302</v>
      </c>
      <c r="V296" s="103" t="n">
        <f aca="false">IF(AND($F296="原始數據",$U296&lt;&gt;"連結 SRC"),1,0)</f>
        <v>0</v>
      </c>
      <c r="W296" s="103" t="n">
        <f aca="false">IF(AND($F296="Analogy",OR($H296="—",$H296="")),1,0)</f>
        <v>0</v>
      </c>
      <c r="X296" s="103" t="n">
        <f aca="false">IF(AND(OR($F296="Analogy",$F296="Assumed"),$G296&lt;&gt;"低",$G296&lt;&gt;"高",NOT(ISNUMBER($K296)),NOT(ISNUMBER($L296)),OR($M296="—",$M296="")),1,0)</f>
        <v>0</v>
      </c>
      <c r="Y296" s="103" t="n">
        <f aca="false">IF(AND(OR($F296="Analogy",$F296="Assumed",$F296="Derived（待改公式）",$F296="Derived（公式）"),OR($N296="—",$N296="",$N296=0)),1,0)</f>
        <v>0</v>
      </c>
      <c r="Z296" s="103" t="n">
        <f aca="false">IF(AND($F296="Decision",OR($J296="—",$J296="")),1,0)</f>
        <v>0</v>
      </c>
      <c r="AA296" s="84" t="n">
        <f aca="false">IF(OR($J296="—",$J296=""),0,IF(COUNTIF(Decisions!$A$5:$A$300,$J296)=0,1,0))</f>
        <v>0</v>
      </c>
      <c r="AB296" s="103" t="n">
        <f aca="false">IF(AND($F296="原始數據",$S296&lt;&gt;"Active"),1,0)</f>
        <v>0</v>
      </c>
      <c r="AC296" s="103" t="n">
        <f aca="false">IF(AND(ISNUMBER($K296),ISNUMBER($L296),ISNUMBER($Q296)),IF(OR($Q296&lt;MIN($K296,$L296),$Q296&gt;MAX($K296,$L296)),1,0),0)</f>
        <v>0</v>
      </c>
      <c r="AD296" s="103" t="n">
        <f aca="false">IF(AND(ISNUMBER($T296),$P296="高"),IF($T296=3,1,0),0)</f>
        <v>0</v>
      </c>
      <c r="AE296" s="103" t="n">
        <f aca="false">IF(AND($S296="不存在",$B296="切片一"),1,0)</f>
        <v>0</v>
      </c>
    </row>
    <row r="297" customFormat="false" ht="15" hidden="false" customHeight="false" outlineLevel="0" collapsed="false">
      <c r="A297" s="53" t="s">
        <v>2976</v>
      </c>
      <c r="B297" s="52" t="s">
        <v>2297</v>
      </c>
      <c r="C297" s="53" t="s">
        <v>2920</v>
      </c>
      <c r="D297" s="53" t="s">
        <v>2334</v>
      </c>
      <c r="E297" s="6" t="s">
        <v>342</v>
      </c>
      <c r="F297" s="53" t="s">
        <v>62</v>
      </c>
      <c r="G297" s="52" t="s">
        <v>2299</v>
      </c>
      <c r="H297" s="53" t="s">
        <v>554</v>
      </c>
      <c r="I297" s="6" t="s">
        <v>554</v>
      </c>
      <c r="J297" s="53" t="s">
        <v>2971</v>
      </c>
      <c r="K297" s="52"/>
      <c r="L297" s="52"/>
      <c r="M297" s="53" t="s">
        <v>554</v>
      </c>
      <c r="N297" s="6" t="s">
        <v>2972</v>
      </c>
      <c r="O297" s="6" t="s">
        <v>554</v>
      </c>
      <c r="P297" s="52" t="s">
        <v>1079</v>
      </c>
      <c r="Q297" s="89" t="n">
        <f aca="false">Workload!D13</f>
        <v>1</v>
      </c>
      <c r="R297" s="53" t="s">
        <v>554</v>
      </c>
      <c r="S297" s="83" t="str">
        <f aca="false">IF(OR($H297="—",$H297=""),"—",IF(ISNUMBER(MATCH($H297,SRC_HW!$A$5:$A$400,0)),INDEX(SRC_HW!$O$5:$O$400,MATCH($H297,SRC_HW!$A$5:$A$400,0)),IF(ISNUMBER(MATCH($H297,SRC_DC!$A$5:$A$400,0)),INDEX(SRC_DC!$O$5:$O$400,MATCH($H297,SRC_DC!$A$5:$A$400,0)),IF(ISNUMBER(MATCH($H297,SRC_Model!$A$5:$A$400,0)),INDEX(SRC_Model!$O$5:$O$400,MATCH($H297,SRC_Model!$A$5:$A$400,0)),IF(ISNUMBER(MATCH($H297,SRC_Perf!$A$5:$A$400,0)),INDEX(SRC_Perf!$O$5:$O$400,MATCH($H297,SRC_Perf!$A$5:$A$400,0)),"不存在")))))</f>
        <v>—</v>
      </c>
      <c r="T297" s="83" t="str">
        <f aca="false">IF(OR($H297="—",$H297=""),"—",IF(ISNUMBER(MATCH($H297,SRC_HW!$A$5:$A$400,0)),INDEX(SRC_HW!$K$5:$K$400,MATCH($H297,SRC_HW!$A$5:$A$400,0)),IF(ISNUMBER(MATCH($H297,SRC_DC!$A$5:$A$400,0)),INDEX(SRC_DC!$K$5:$K$400,MATCH($H297,SRC_DC!$A$5:$A$400,0)),IF(ISNUMBER(MATCH($H297,SRC_Model!$A$5:$A$400,0)),INDEX(SRC_Model!$K$5:$K$400,MATCH($H297,SRC_Model!$A$5:$A$400,0)),IF(ISNUMBER(MATCH($H297,SRC_Perf!$A$5:$A$400,0)),INDEX(SRC_Perf!$K$5:$K$400,MATCH($H297,SRC_Perf!$A$5:$A$400,0)),"不存在")))))</f>
        <v>—</v>
      </c>
      <c r="U297" s="52" t="s">
        <v>2302</v>
      </c>
      <c r="V297" s="103" t="n">
        <f aca="false">IF(AND($F297="原始數據",$U297&lt;&gt;"連結 SRC"),1,0)</f>
        <v>0</v>
      </c>
      <c r="W297" s="103" t="n">
        <f aca="false">IF(AND($F297="Analogy",OR($H297="—",$H297="")),1,0)</f>
        <v>0</v>
      </c>
      <c r="X297" s="103" t="n">
        <f aca="false">IF(AND(OR($F297="Analogy",$F297="Assumed"),$G297&lt;&gt;"低",$G297&lt;&gt;"高",NOT(ISNUMBER($K297)),NOT(ISNUMBER($L297)),OR($M297="—",$M297="")),1,0)</f>
        <v>0</v>
      </c>
      <c r="Y297" s="103" t="n">
        <f aca="false">IF(AND(OR($F297="Analogy",$F297="Assumed",$F297="Derived（待改公式）",$F297="Derived（公式）"),OR($N297="—",$N297="",$N297=0)),1,0)</f>
        <v>0</v>
      </c>
      <c r="Z297" s="103" t="n">
        <f aca="false">IF(AND($F297="Decision",OR($J297="—",$J297="")),1,0)</f>
        <v>0</v>
      </c>
      <c r="AA297" s="84" t="n">
        <f aca="false">IF(OR($J297="—",$J297=""),0,IF(COUNTIF(Decisions!$A$5:$A$300,$J297)=0,1,0))</f>
        <v>0</v>
      </c>
      <c r="AB297" s="103" t="n">
        <f aca="false">IF(AND($F297="原始數據",$S297&lt;&gt;"Active"),1,0)</f>
        <v>0</v>
      </c>
      <c r="AC297" s="103" t="n">
        <f aca="false">IF(AND(ISNUMBER($K297),ISNUMBER($L297),ISNUMBER($Q297)),IF(OR($Q297&lt;MIN($K297,$L297),$Q297&gt;MAX($K297,$L297)),1,0),0)</f>
        <v>0</v>
      </c>
      <c r="AD297" s="103" t="n">
        <f aca="false">IF(AND(ISNUMBER($T297),$P297="高"),IF($T297=3,1,0),0)</f>
        <v>0</v>
      </c>
      <c r="AE297" s="103" t="n">
        <f aca="false">IF(AND($S297="不存在",$B297="切片一"),1,0)</f>
        <v>0</v>
      </c>
    </row>
    <row r="298" customFormat="false" ht="29.85" hidden="false" customHeight="false" outlineLevel="0" collapsed="false">
      <c r="A298" s="53" t="s">
        <v>2977</v>
      </c>
      <c r="B298" s="52" t="s">
        <v>2297</v>
      </c>
      <c r="C298" s="53" t="s">
        <v>2920</v>
      </c>
      <c r="D298" s="53" t="s">
        <v>2345</v>
      </c>
      <c r="E298" s="5" t="s">
        <v>344</v>
      </c>
      <c r="F298" s="53" t="s">
        <v>62</v>
      </c>
      <c r="G298" s="52" t="s">
        <v>2299</v>
      </c>
      <c r="H298" s="53" t="s">
        <v>554</v>
      </c>
      <c r="I298" s="6" t="s">
        <v>554</v>
      </c>
      <c r="J298" s="53" t="s">
        <v>2974</v>
      </c>
      <c r="K298" s="52"/>
      <c r="L298" s="52"/>
      <c r="M298" s="53" t="s">
        <v>554</v>
      </c>
      <c r="N298" s="5" t="s">
        <v>2975</v>
      </c>
      <c r="O298" s="6" t="s">
        <v>554</v>
      </c>
      <c r="P298" s="52" t="s">
        <v>2364</v>
      </c>
      <c r="Q298" s="89" t="n">
        <f aca="false">Workload!D14</f>
        <v>1</v>
      </c>
      <c r="R298" s="53" t="s">
        <v>554</v>
      </c>
      <c r="S298" s="83" t="str">
        <f aca="false">IF(OR($H298="—",$H298=""),"—",IF(ISNUMBER(MATCH($H298,SRC_HW!$A$5:$A$400,0)),INDEX(SRC_HW!$O$5:$O$400,MATCH($H298,SRC_HW!$A$5:$A$400,0)),IF(ISNUMBER(MATCH($H298,SRC_DC!$A$5:$A$400,0)),INDEX(SRC_DC!$O$5:$O$400,MATCH($H298,SRC_DC!$A$5:$A$400,0)),IF(ISNUMBER(MATCH($H298,SRC_Model!$A$5:$A$400,0)),INDEX(SRC_Model!$O$5:$O$400,MATCH($H298,SRC_Model!$A$5:$A$400,0)),IF(ISNUMBER(MATCH($H298,SRC_Perf!$A$5:$A$400,0)),INDEX(SRC_Perf!$O$5:$O$400,MATCH($H298,SRC_Perf!$A$5:$A$400,0)),"不存在")))))</f>
        <v>—</v>
      </c>
      <c r="T298" s="83" t="str">
        <f aca="false">IF(OR($H298="—",$H298=""),"—",IF(ISNUMBER(MATCH($H298,SRC_HW!$A$5:$A$400,0)),INDEX(SRC_HW!$K$5:$K$400,MATCH($H298,SRC_HW!$A$5:$A$400,0)),IF(ISNUMBER(MATCH($H298,SRC_DC!$A$5:$A$400,0)),INDEX(SRC_DC!$K$5:$K$400,MATCH($H298,SRC_DC!$A$5:$A$400,0)),IF(ISNUMBER(MATCH($H298,SRC_Model!$A$5:$A$400,0)),INDEX(SRC_Model!$K$5:$K$400,MATCH($H298,SRC_Model!$A$5:$A$400,0)),IF(ISNUMBER(MATCH($H298,SRC_Perf!$A$5:$A$400,0)),INDEX(SRC_Perf!$K$5:$K$400,MATCH($H298,SRC_Perf!$A$5:$A$400,0)),"不存在")))))</f>
        <v>—</v>
      </c>
      <c r="U298" s="52" t="s">
        <v>2302</v>
      </c>
      <c r="V298" s="103" t="n">
        <f aca="false">IF(AND($F298="原始數據",$U298&lt;&gt;"連結 SRC"),1,0)</f>
        <v>0</v>
      </c>
      <c r="W298" s="103" t="n">
        <f aca="false">IF(AND($F298="Analogy",OR($H298="—",$H298="")),1,0)</f>
        <v>0</v>
      </c>
      <c r="X298" s="103" t="n">
        <f aca="false">IF(AND(OR($F298="Analogy",$F298="Assumed"),$G298&lt;&gt;"低",$G298&lt;&gt;"高",NOT(ISNUMBER($K298)),NOT(ISNUMBER($L298)),OR($M298="—",$M298="")),1,0)</f>
        <v>0</v>
      </c>
      <c r="Y298" s="103" t="n">
        <f aca="false">IF(AND(OR($F298="Analogy",$F298="Assumed",$F298="Derived（待改公式）",$F298="Derived（公式）"),OR($N298="—",$N298="",$N298=0)),1,0)</f>
        <v>0</v>
      </c>
      <c r="Z298" s="103" t="n">
        <f aca="false">IF(AND($F298="Decision",OR($J298="—",$J298="")),1,0)</f>
        <v>0</v>
      </c>
      <c r="AA298" s="84" t="n">
        <f aca="false">IF(OR($J298="—",$J298=""),0,IF(COUNTIF(Decisions!$A$5:$A$300,$J298)=0,1,0))</f>
        <v>0</v>
      </c>
      <c r="AB298" s="103" t="n">
        <f aca="false">IF(AND($F298="原始數據",$S298&lt;&gt;"Active"),1,0)</f>
        <v>0</v>
      </c>
      <c r="AC298" s="103" t="n">
        <f aca="false">IF(AND(ISNUMBER($K298),ISNUMBER($L298),ISNUMBER($Q298)),IF(OR($Q298&lt;MIN($K298,$L298),$Q298&gt;MAX($K298,$L298)),1,0),0)</f>
        <v>0</v>
      </c>
      <c r="AD298" s="103" t="n">
        <f aca="false">IF(AND(ISNUMBER($T298),$P298="高"),IF($T298=3,1,0),0)</f>
        <v>0</v>
      </c>
      <c r="AE298" s="103" t="n">
        <f aca="false">IF(AND($S298="不存在",$B298="切片一"),1,0)</f>
        <v>0</v>
      </c>
    </row>
    <row r="299" customFormat="false" ht="15" hidden="false" customHeight="false" outlineLevel="0" collapsed="false">
      <c r="A299" s="53" t="s">
        <v>2978</v>
      </c>
      <c r="B299" s="52" t="s">
        <v>2297</v>
      </c>
      <c r="C299" s="53" t="s">
        <v>2920</v>
      </c>
      <c r="D299" s="53" t="s">
        <v>2331</v>
      </c>
      <c r="E299" s="6" t="s">
        <v>342</v>
      </c>
      <c r="F299" s="53" t="s">
        <v>62</v>
      </c>
      <c r="G299" s="52" t="s">
        <v>2299</v>
      </c>
      <c r="H299" s="53" t="s">
        <v>554</v>
      </c>
      <c r="I299" s="6" t="s">
        <v>554</v>
      </c>
      <c r="J299" s="53" t="s">
        <v>2971</v>
      </c>
      <c r="K299" s="52"/>
      <c r="L299" s="52"/>
      <c r="M299" s="53" t="s">
        <v>554</v>
      </c>
      <c r="N299" s="6" t="s">
        <v>2972</v>
      </c>
      <c r="O299" s="6" t="s">
        <v>554</v>
      </c>
      <c r="P299" s="52" t="s">
        <v>1079</v>
      </c>
      <c r="Q299" s="89" t="n">
        <f aca="false">Workload!E13</f>
        <v>1</v>
      </c>
      <c r="R299" s="53" t="s">
        <v>554</v>
      </c>
      <c r="S299" s="83" t="str">
        <f aca="false">IF(OR($H299="—",$H299=""),"—",IF(ISNUMBER(MATCH($H299,SRC_HW!$A$5:$A$400,0)),INDEX(SRC_HW!$O$5:$O$400,MATCH($H299,SRC_HW!$A$5:$A$400,0)),IF(ISNUMBER(MATCH($H299,SRC_DC!$A$5:$A$400,0)),INDEX(SRC_DC!$O$5:$O$400,MATCH($H299,SRC_DC!$A$5:$A$400,0)),IF(ISNUMBER(MATCH($H299,SRC_Model!$A$5:$A$400,0)),INDEX(SRC_Model!$O$5:$O$400,MATCH($H299,SRC_Model!$A$5:$A$400,0)),IF(ISNUMBER(MATCH($H299,SRC_Perf!$A$5:$A$400,0)),INDEX(SRC_Perf!$O$5:$O$400,MATCH($H299,SRC_Perf!$A$5:$A$400,0)),"不存在")))))</f>
        <v>—</v>
      </c>
      <c r="T299" s="83" t="str">
        <f aca="false">IF(OR($H299="—",$H299=""),"—",IF(ISNUMBER(MATCH($H299,SRC_HW!$A$5:$A$400,0)),INDEX(SRC_HW!$K$5:$K$400,MATCH($H299,SRC_HW!$A$5:$A$400,0)),IF(ISNUMBER(MATCH($H299,SRC_DC!$A$5:$A$400,0)),INDEX(SRC_DC!$K$5:$K$400,MATCH($H299,SRC_DC!$A$5:$A$400,0)),IF(ISNUMBER(MATCH($H299,SRC_Model!$A$5:$A$400,0)),INDEX(SRC_Model!$K$5:$K$400,MATCH($H299,SRC_Model!$A$5:$A$400,0)),IF(ISNUMBER(MATCH($H299,SRC_Perf!$A$5:$A$400,0)),INDEX(SRC_Perf!$K$5:$K$400,MATCH($H299,SRC_Perf!$A$5:$A$400,0)),"不存在")))))</f>
        <v>—</v>
      </c>
      <c r="U299" s="52" t="s">
        <v>2302</v>
      </c>
      <c r="V299" s="103" t="n">
        <f aca="false">IF(AND($F299="原始數據",$U299&lt;&gt;"連結 SRC"),1,0)</f>
        <v>0</v>
      </c>
      <c r="W299" s="103" t="n">
        <f aca="false">IF(AND($F299="Analogy",OR($H299="—",$H299="")),1,0)</f>
        <v>0</v>
      </c>
      <c r="X299" s="103" t="n">
        <f aca="false">IF(AND(OR($F299="Analogy",$F299="Assumed"),$G299&lt;&gt;"低",$G299&lt;&gt;"高",NOT(ISNUMBER($K299)),NOT(ISNUMBER($L299)),OR($M299="—",$M299="")),1,0)</f>
        <v>0</v>
      </c>
      <c r="Y299" s="103" t="n">
        <f aca="false">IF(AND(OR($F299="Analogy",$F299="Assumed",$F299="Derived（待改公式）",$F299="Derived（公式）"),OR($N299="—",$N299="",$N299=0)),1,0)</f>
        <v>0</v>
      </c>
      <c r="Z299" s="103" t="n">
        <f aca="false">IF(AND($F299="Decision",OR($J299="—",$J299="")),1,0)</f>
        <v>0</v>
      </c>
      <c r="AA299" s="84" t="n">
        <f aca="false">IF(OR($J299="—",$J299=""),0,IF(COUNTIF(Decisions!$A$5:$A$300,$J299)=0,1,0))</f>
        <v>0</v>
      </c>
      <c r="AB299" s="103" t="n">
        <f aca="false">IF(AND($F299="原始數據",$S299&lt;&gt;"Active"),1,0)</f>
        <v>0</v>
      </c>
      <c r="AC299" s="103" t="n">
        <f aca="false">IF(AND(ISNUMBER($K299),ISNUMBER($L299),ISNUMBER($Q299)),IF(OR($Q299&lt;MIN($K299,$L299),$Q299&gt;MAX($K299,$L299)),1,0),0)</f>
        <v>0</v>
      </c>
      <c r="AD299" s="103" t="n">
        <f aca="false">IF(AND(ISNUMBER($T299),$P299="高"),IF($T299=3,1,0),0)</f>
        <v>0</v>
      </c>
      <c r="AE299" s="103" t="n">
        <f aca="false">IF(AND($S299="不存在",$B299="切片一"),1,0)</f>
        <v>0</v>
      </c>
    </row>
    <row r="300" customFormat="false" ht="29.85" hidden="false" customHeight="false" outlineLevel="0" collapsed="false">
      <c r="A300" s="53" t="s">
        <v>2979</v>
      </c>
      <c r="B300" s="52" t="s">
        <v>2297</v>
      </c>
      <c r="C300" s="53" t="s">
        <v>2920</v>
      </c>
      <c r="D300" s="53" t="s">
        <v>2343</v>
      </c>
      <c r="E300" s="5" t="s">
        <v>344</v>
      </c>
      <c r="F300" s="53" t="s">
        <v>62</v>
      </c>
      <c r="G300" s="52" t="s">
        <v>2299</v>
      </c>
      <c r="H300" s="53" t="s">
        <v>554</v>
      </c>
      <c r="I300" s="6" t="s">
        <v>554</v>
      </c>
      <c r="J300" s="53" t="s">
        <v>2974</v>
      </c>
      <c r="K300" s="52"/>
      <c r="L300" s="52"/>
      <c r="M300" s="53" t="s">
        <v>554</v>
      </c>
      <c r="N300" s="5" t="s">
        <v>2975</v>
      </c>
      <c r="O300" s="6" t="s">
        <v>554</v>
      </c>
      <c r="P300" s="52" t="s">
        <v>2364</v>
      </c>
      <c r="Q300" s="89" t="n">
        <f aca="false">Workload!E14</f>
        <v>1</v>
      </c>
      <c r="R300" s="53" t="s">
        <v>554</v>
      </c>
      <c r="S300" s="83" t="str">
        <f aca="false">IF(OR($H300="—",$H300=""),"—",IF(ISNUMBER(MATCH($H300,SRC_HW!$A$5:$A$400,0)),INDEX(SRC_HW!$O$5:$O$400,MATCH($H300,SRC_HW!$A$5:$A$400,0)),IF(ISNUMBER(MATCH($H300,SRC_DC!$A$5:$A$400,0)),INDEX(SRC_DC!$O$5:$O$400,MATCH($H300,SRC_DC!$A$5:$A$400,0)),IF(ISNUMBER(MATCH($H300,SRC_Model!$A$5:$A$400,0)),INDEX(SRC_Model!$O$5:$O$400,MATCH($H300,SRC_Model!$A$5:$A$400,0)),IF(ISNUMBER(MATCH($H300,SRC_Perf!$A$5:$A$400,0)),INDEX(SRC_Perf!$O$5:$O$400,MATCH($H300,SRC_Perf!$A$5:$A$400,0)),"不存在")))))</f>
        <v>—</v>
      </c>
      <c r="T300" s="83" t="str">
        <f aca="false">IF(OR($H300="—",$H300=""),"—",IF(ISNUMBER(MATCH($H300,SRC_HW!$A$5:$A$400,0)),INDEX(SRC_HW!$K$5:$K$400,MATCH($H300,SRC_HW!$A$5:$A$400,0)),IF(ISNUMBER(MATCH($H300,SRC_DC!$A$5:$A$400,0)),INDEX(SRC_DC!$K$5:$K$400,MATCH($H300,SRC_DC!$A$5:$A$400,0)),IF(ISNUMBER(MATCH($H300,SRC_Model!$A$5:$A$400,0)),INDEX(SRC_Model!$K$5:$K$400,MATCH($H300,SRC_Model!$A$5:$A$400,0)),IF(ISNUMBER(MATCH($H300,SRC_Perf!$A$5:$A$400,0)),INDEX(SRC_Perf!$K$5:$K$400,MATCH($H300,SRC_Perf!$A$5:$A$400,0)),"不存在")))))</f>
        <v>—</v>
      </c>
      <c r="U300" s="52" t="s">
        <v>2302</v>
      </c>
      <c r="V300" s="103" t="n">
        <f aca="false">IF(AND($F300="原始數據",$U300&lt;&gt;"連結 SRC"),1,0)</f>
        <v>0</v>
      </c>
      <c r="W300" s="103" t="n">
        <f aca="false">IF(AND($F300="Analogy",OR($H300="—",$H300="")),1,0)</f>
        <v>0</v>
      </c>
      <c r="X300" s="103" t="n">
        <f aca="false">IF(AND(OR($F300="Analogy",$F300="Assumed"),$G300&lt;&gt;"低",$G300&lt;&gt;"高",NOT(ISNUMBER($K300)),NOT(ISNUMBER($L300)),OR($M300="—",$M300="")),1,0)</f>
        <v>0</v>
      </c>
      <c r="Y300" s="103" t="n">
        <f aca="false">IF(AND(OR($F300="Analogy",$F300="Assumed",$F300="Derived（待改公式）",$F300="Derived（公式）"),OR($N300="—",$N300="",$N300=0)),1,0)</f>
        <v>0</v>
      </c>
      <c r="Z300" s="103" t="n">
        <f aca="false">IF(AND($F300="Decision",OR($J300="—",$J300="")),1,0)</f>
        <v>0</v>
      </c>
      <c r="AA300" s="84" t="n">
        <f aca="false">IF(OR($J300="—",$J300=""),0,IF(COUNTIF(Decisions!$A$5:$A$300,$J300)=0,1,0))</f>
        <v>0</v>
      </c>
      <c r="AB300" s="103" t="n">
        <f aca="false">IF(AND($F300="原始數據",$S300&lt;&gt;"Active"),1,0)</f>
        <v>0</v>
      </c>
      <c r="AC300" s="103" t="n">
        <f aca="false">IF(AND(ISNUMBER($K300),ISNUMBER($L300),ISNUMBER($Q300)),IF(OR($Q300&lt;MIN($K300,$L300),$Q300&gt;MAX($K300,$L300)),1,0),0)</f>
        <v>0</v>
      </c>
      <c r="AD300" s="103" t="n">
        <f aca="false">IF(AND(ISNUMBER($T300),$P300="高"),IF($T300=3,1,0),0)</f>
        <v>0</v>
      </c>
      <c r="AE300" s="103" t="n">
        <f aca="false">IF(AND($S300="不存在",$B300="切片一"),1,0)</f>
        <v>0</v>
      </c>
    </row>
    <row r="301" customFormat="false" ht="15" hidden="false" customHeight="false" outlineLevel="0" collapsed="false">
      <c r="A301" s="53" t="s">
        <v>2980</v>
      </c>
      <c r="B301" s="52" t="s">
        <v>2297</v>
      </c>
      <c r="C301" s="53" t="s">
        <v>2920</v>
      </c>
      <c r="D301" s="53" t="s">
        <v>2336</v>
      </c>
      <c r="E301" s="6" t="s">
        <v>342</v>
      </c>
      <c r="F301" s="53" t="s">
        <v>62</v>
      </c>
      <c r="G301" s="52" t="s">
        <v>2299</v>
      </c>
      <c r="H301" s="53" t="s">
        <v>554</v>
      </c>
      <c r="I301" s="6" t="s">
        <v>554</v>
      </c>
      <c r="J301" s="53" t="s">
        <v>2971</v>
      </c>
      <c r="K301" s="52"/>
      <c r="L301" s="52"/>
      <c r="M301" s="53" t="s">
        <v>554</v>
      </c>
      <c r="N301" s="6" t="s">
        <v>2972</v>
      </c>
      <c r="O301" s="6" t="s">
        <v>554</v>
      </c>
      <c r="P301" s="52" t="s">
        <v>1079</v>
      </c>
      <c r="Q301" s="89" t="n">
        <f aca="false">Workload!F13</f>
        <v>1</v>
      </c>
      <c r="R301" s="53" t="s">
        <v>554</v>
      </c>
      <c r="S301" s="83" t="str">
        <f aca="false">IF(OR($H301="—",$H301=""),"—",IF(ISNUMBER(MATCH($H301,SRC_HW!$A$5:$A$400,0)),INDEX(SRC_HW!$O$5:$O$400,MATCH($H301,SRC_HW!$A$5:$A$400,0)),IF(ISNUMBER(MATCH($H301,SRC_DC!$A$5:$A$400,0)),INDEX(SRC_DC!$O$5:$O$400,MATCH($H301,SRC_DC!$A$5:$A$400,0)),IF(ISNUMBER(MATCH($H301,SRC_Model!$A$5:$A$400,0)),INDEX(SRC_Model!$O$5:$O$400,MATCH($H301,SRC_Model!$A$5:$A$400,0)),IF(ISNUMBER(MATCH($H301,SRC_Perf!$A$5:$A$400,0)),INDEX(SRC_Perf!$O$5:$O$400,MATCH($H301,SRC_Perf!$A$5:$A$400,0)),"不存在")))))</f>
        <v>—</v>
      </c>
      <c r="T301" s="83" t="str">
        <f aca="false">IF(OR($H301="—",$H301=""),"—",IF(ISNUMBER(MATCH($H301,SRC_HW!$A$5:$A$400,0)),INDEX(SRC_HW!$K$5:$K$400,MATCH($H301,SRC_HW!$A$5:$A$400,0)),IF(ISNUMBER(MATCH($H301,SRC_DC!$A$5:$A$400,0)),INDEX(SRC_DC!$K$5:$K$400,MATCH($H301,SRC_DC!$A$5:$A$400,0)),IF(ISNUMBER(MATCH($H301,SRC_Model!$A$5:$A$400,0)),INDEX(SRC_Model!$K$5:$K$400,MATCH($H301,SRC_Model!$A$5:$A$400,0)),IF(ISNUMBER(MATCH($H301,SRC_Perf!$A$5:$A$400,0)),INDEX(SRC_Perf!$K$5:$K$400,MATCH($H301,SRC_Perf!$A$5:$A$400,0)),"不存在")))))</f>
        <v>—</v>
      </c>
      <c r="U301" s="52" t="s">
        <v>2302</v>
      </c>
      <c r="V301" s="103" t="n">
        <f aca="false">IF(AND($F301="原始數據",$U301&lt;&gt;"連結 SRC"),1,0)</f>
        <v>0</v>
      </c>
      <c r="W301" s="103" t="n">
        <f aca="false">IF(AND($F301="Analogy",OR($H301="—",$H301="")),1,0)</f>
        <v>0</v>
      </c>
      <c r="X301" s="103" t="n">
        <f aca="false">IF(AND(OR($F301="Analogy",$F301="Assumed"),$G301&lt;&gt;"低",$G301&lt;&gt;"高",NOT(ISNUMBER($K301)),NOT(ISNUMBER($L301)),OR($M301="—",$M301="")),1,0)</f>
        <v>0</v>
      </c>
      <c r="Y301" s="103" t="n">
        <f aca="false">IF(AND(OR($F301="Analogy",$F301="Assumed",$F301="Derived（待改公式）",$F301="Derived（公式）"),OR($N301="—",$N301="",$N301=0)),1,0)</f>
        <v>0</v>
      </c>
      <c r="Z301" s="103" t="n">
        <f aca="false">IF(AND($F301="Decision",OR($J301="—",$J301="")),1,0)</f>
        <v>0</v>
      </c>
      <c r="AA301" s="84" t="n">
        <f aca="false">IF(OR($J301="—",$J301=""),0,IF(COUNTIF(Decisions!$A$5:$A$300,$J301)=0,1,0))</f>
        <v>0</v>
      </c>
      <c r="AB301" s="103" t="n">
        <f aca="false">IF(AND($F301="原始數據",$S301&lt;&gt;"Active"),1,0)</f>
        <v>0</v>
      </c>
      <c r="AC301" s="103" t="n">
        <f aca="false">IF(AND(ISNUMBER($K301),ISNUMBER($L301),ISNUMBER($Q301)),IF(OR($Q301&lt;MIN($K301,$L301),$Q301&gt;MAX($K301,$L301)),1,0),0)</f>
        <v>0</v>
      </c>
      <c r="AD301" s="103" t="n">
        <f aca="false">IF(AND(ISNUMBER($T301),$P301="高"),IF($T301=3,1,0),0)</f>
        <v>0</v>
      </c>
      <c r="AE301" s="103" t="n">
        <f aca="false">IF(AND($S301="不存在",$B301="切片一"),1,0)</f>
        <v>0</v>
      </c>
    </row>
    <row r="302" customFormat="false" ht="29.85" hidden="false" customHeight="false" outlineLevel="0" collapsed="false">
      <c r="A302" s="53" t="s">
        <v>2981</v>
      </c>
      <c r="B302" s="52" t="s">
        <v>2297</v>
      </c>
      <c r="C302" s="53" t="s">
        <v>2920</v>
      </c>
      <c r="D302" s="53" t="s">
        <v>2347</v>
      </c>
      <c r="E302" s="5" t="s">
        <v>344</v>
      </c>
      <c r="F302" s="53" t="s">
        <v>62</v>
      </c>
      <c r="G302" s="52" t="s">
        <v>2299</v>
      </c>
      <c r="H302" s="53" t="s">
        <v>554</v>
      </c>
      <c r="I302" s="6" t="s">
        <v>554</v>
      </c>
      <c r="J302" s="53" t="s">
        <v>2974</v>
      </c>
      <c r="K302" s="52"/>
      <c r="L302" s="52"/>
      <c r="M302" s="53" t="s">
        <v>554</v>
      </c>
      <c r="N302" s="5" t="s">
        <v>2975</v>
      </c>
      <c r="O302" s="6" t="s">
        <v>554</v>
      </c>
      <c r="P302" s="52" t="s">
        <v>2364</v>
      </c>
      <c r="Q302" s="89" t="n">
        <f aca="false">Workload!F14</f>
        <v>1</v>
      </c>
      <c r="R302" s="53" t="s">
        <v>554</v>
      </c>
      <c r="S302" s="83" t="str">
        <f aca="false">IF(OR($H302="—",$H302=""),"—",IF(ISNUMBER(MATCH($H302,SRC_HW!$A$5:$A$400,0)),INDEX(SRC_HW!$O$5:$O$400,MATCH($H302,SRC_HW!$A$5:$A$400,0)),IF(ISNUMBER(MATCH($H302,SRC_DC!$A$5:$A$400,0)),INDEX(SRC_DC!$O$5:$O$400,MATCH($H302,SRC_DC!$A$5:$A$400,0)),IF(ISNUMBER(MATCH($H302,SRC_Model!$A$5:$A$400,0)),INDEX(SRC_Model!$O$5:$O$400,MATCH($H302,SRC_Model!$A$5:$A$400,0)),IF(ISNUMBER(MATCH($H302,SRC_Perf!$A$5:$A$400,0)),INDEX(SRC_Perf!$O$5:$O$400,MATCH($H302,SRC_Perf!$A$5:$A$400,0)),"不存在")))))</f>
        <v>—</v>
      </c>
      <c r="T302" s="83" t="str">
        <f aca="false">IF(OR($H302="—",$H302=""),"—",IF(ISNUMBER(MATCH($H302,SRC_HW!$A$5:$A$400,0)),INDEX(SRC_HW!$K$5:$K$400,MATCH($H302,SRC_HW!$A$5:$A$400,0)),IF(ISNUMBER(MATCH($H302,SRC_DC!$A$5:$A$400,0)),INDEX(SRC_DC!$K$5:$K$400,MATCH($H302,SRC_DC!$A$5:$A$400,0)),IF(ISNUMBER(MATCH($H302,SRC_Model!$A$5:$A$400,0)),INDEX(SRC_Model!$K$5:$K$400,MATCH($H302,SRC_Model!$A$5:$A$400,0)),IF(ISNUMBER(MATCH($H302,SRC_Perf!$A$5:$A$400,0)),INDEX(SRC_Perf!$K$5:$K$400,MATCH($H302,SRC_Perf!$A$5:$A$400,0)),"不存在")))))</f>
        <v>—</v>
      </c>
      <c r="U302" s="52" t="s">
        <v>2302</v>
      </c>
      <c r="V302" s="103" t="n">
        <f aca="false">IF(AND($F302="原始數據",$U302&lt;&gt;"連結 SRC"),1,0)</f>
        <v>0</v>
      </c>
      <c r="W302" s="103" t="n">
        <f aca="false">IF(AND($F302="Analogy",OR($H302="—",$H302="")),1,0)</f>
        <v>0</v>
      </c>
      <c r="X302" s="103" t="n">
        <f aca="false">IF(AND(OR($F302="Analogy",$F302="Assumed"),$G302&lt;&gt;"低",$G302&lt;&gt;"高",NOT(ISNUMBER($K302)),NOT(ISNUMBER($L302)),OR($M302="—",$M302="")),1,0)</f>
        <v>0</v>
      </c>
      <c r="Y302" s="103" t="n">
        <f aca="false">IF(AND(OR($F302="Analogy",$F302="Assumed",$F302="Derived（待改公式）",$F302="Derived（公式）"),OR($N302="—",$N302="",$N302=0)),1,0)</f>
        <v>0</v>
      </c>
      <c r="Z302" s="103" t="n">
        <f aca="false">IF(AND($F302="Decision",OR($J302="—",$J302="")),1,0)</f>
        <v>0</v>
      </c>
      <c r="AA302" s="84" t="n">
        <f aca="false">IF(OR($J302="—",$J302=""),0,IF(COUNTIF(Decisions!$A$5:$A$300,$J302)=0,1,0))</f>
        <v>0</v>
      </c>
      <c r="AB302" s="103" t="n">
        <f aca="false">IF(AND($F302="原始數據",$S302&lt;&gt;"Active"),1,0)</f>
        <v>0</v>
      </c>
      <c r="AC302" s="103" t="n">
        <f aca="false">IF(AND(ISNUMBER($K302),ISNUMBER($L302),ISNUMBER($Q302)),IF(OR($Q302&lt;MIN($K302,$L302),$Q302&gt;MAX($K302,$L302)),1,0),0)</f>
        <v>0</v>
      </c>
      <c r="AD302" s="103" t="n">
        <f aca="false">IF(AND(ISNUMBER($T302),$P302="高"),IF($T302=3,1,0),0)</f>
        <v>0</v>
      </c>
      <c r="AE302" s="103" t="n">
        <f aca="false">IF(AND($S302="不存在",$B302="切片一"),1,0)</f>
        <v>0</v>
      </c>
    </row>
    <row r="303" customFormat="false" ht="15" hidden="false" customHeight="false" outlineLevel="0" collapsed="false">
      <c r="A303" s="53" t="s">
        <v>2982</v>
      </c>
      <c r="B303" s="52" t="s">
        <v>2297</v>
      </c>
      <c r="C303" s="53" t="s">
        <v>2920</v>
      </c>
      <c r="D303" s="53" t="s">
        <v>2562</v>
      </c>
      <c r="E303" s="6" t="s">
        <v>342</v>
      </c>
      <c r="F303" s="53" t="s">
        <v>62</v>
      </c>
      <c r="G303" s="52" t="s">
        <v>2299</v>
      </c>
      <c r="H303" s="53" t="s">
        <v>554</v>
      </c>
      <c r="I303" s="6" t="s">
        <v>554</v>
      </c>
      <c r="J303" s="53" t="s">
        <v>2971</v>
      </c>
      <c r="K303" s="52"/>
      <c r="L303" s="52"/>
      <c r="M303" s="53" t="s">
        <v>554</v>
      </c>
      <c r="N303" s="6" t="s">
        <v>2972</v>
      </c>
      <c r="O303" s="6" t="s">
        <v>554</v>
      </c>
      <c r="P303" s="52" t="s">
        <v>1079</v>
      </c>
      <c r="Q303" s="89" t="n">
        <f aca="false">Workload!G13</f>
        <v>1</v>
      </c>
      <c r="R303" s="53" t="s">
        <v>554</v>
      </c>
      <c r="S303" s="83" t="str">
        <f aca="false">IF(OR($H303="—",$H303=""),"—",IF(ISNUMBER(MATCH($H303,SRC_HW!$A$5:$A$400,0)),INDEX(SRC_HW!$O$5:$O$400,MATCH($H303,SRC_HW!$A$5:$A$400,0)),IF(ISNUMBER(MATCH($H303,SRC_DC!$A$5:$A$400,0)),INDEX(SRC_DC!$O$5:$O$400,MATCH($H303,SRC_DC!$A$5:$A$400,0)),IF(ISNUMBER(MATCH($H303,SRC_Model!$A$5:$A$400,0)),INDEX(SRC_Model!$O$5:$O$400,MATCH($H303,SRC_Model!$A$5:$A$400,0)),IF(ISNUMBER(MATCH($H303,SRC_Perf!$A$5:$A$400,0)),INDEX(SRC_Perf!$O$5:$O$400,MATCH($H303,SRC_Perf!$A$5:$A$400,0)),"不存在")))))</f>
        <v>—</v>
      </c>
      <c r="T303" s="83" t="str">
        <f aca="false">IF(OR($H303="—",$H303=""),"—",IF(ISNUMBER(MATCH($H303,SRC_HW!$A$5:$A$400,0)),INDEX(SRC_HW!$K$5:$K$400,MATCH($H303,SRC_HW!$A$5:$A$400,0)),IF(ISNUMBER(MATCH($H303,SRC_DC!$A$5:$A$400,0)),INDEX(SRC_DC!$K$5:$K$400,MATCH($H303,SRC_DC!$A$5:$A$400,0)),IF(ISNUMBER(MATCH($H303,SRC_Model!$A$5:$A$400,0)),INDEX(SRC_Model!$K$5:$K$400,MATCH($H303,SRC_Model!$A$5:$A$400,0)),IF(ISNUMBER(MATCH($H303,SRC_Perf!$A$5:$A$400,0)),INDEX(SRC_Perf!$K$5:$K$400,MATCH($H303,SRC_Perf!$A$5:$A$400,0)),"不存在")))))</f>
        <v>—</v>
      </c>
      <c r="U303" s="52" t="s">
        <v>2302</v>
      </c>
      <c r="V303" s="103" t="n">
        <f aca="false">IF(AND($F303="原始數據",$U303&lt;&gt;"連結 SRC"),1,0)</f>
        <v>0</v>
      </c>
      <c r="W303" s="103" t="n">
        <f aca="false">IF(AND($F303="Analogy",OR($H303="—",$H303="")),1,0)</f>
        <v>0</v>
      </c>
      <c r="X303" s="103" t="n">
        <f aca="false">IF(AND(OR($F303="Analogy",$F303="Assumed"),$G303&lt;&gt;"低",$G303&lt;&gt;"高",NOT(ISNUMBER($K303)),NOT(ISNUMBER($L303)),OR($M303="—",$M303="")),1,0)</f>
        <v>0</v>
      </c>
      <c r="Y303" s="103" t="n">
        <f aca="false">IF(AND(OR($F303="Analogy",$F303="Assumed",$F303="Derived（待改公式）",$F303="Derived（公式）"),OR($N303="—",$N303="",$N303=0)),1,0)</f>
        <v>0</v>
      </c>
      <c r="Z303" s="103" t="n">
        <f aca="false">IF(AND($F303="Decision",OR($J303="—",$J303="")),1,0)</f>
        <v>0</v>
      </c>
      <c r="AA303" s="84" t="n">
        <f aca="false">IF(OR($J303="—",$J303=""),0,IF(COUNTIF(Decisions!$A$5:$A$300,$J303)=0,1,0))</f>
        <v>0</v>
      </c>
      <c r="AB303" s="103" t="n">
        <f aca="false">IF(AND($F303="原始數據",$S303&lt;&gt;"Active"),1,0)</f>
        <v>0</v>
      </c>
      <c r="AC303" s="103" t="n">
        <f aca="false">IF(AND(ISNUMBER($K303),ISNUMBER($L303),ISNUMBER($Q303)),IF(OR($Q303&lt;MIN($K303,$L303),$Q303&gt;MAX($K303,$L303)),1,0),0)</f>
        <v>0</v>
      </c>
      <c r="AD303" s="103" t="n">
        <f aca="false">IF(AND(ISNUMBER($T303),$P303="高"),IF($T303=3,1,0),0)</f>
        <v>0</v>
      </c>
      <c r="AE303" s="103" t="n">
        <f aca="false">IF(AND($S303="不存在",$B303="切片一"),1,0)</f>
        <v>0</v>
      </c>
    </row>
    <row r="304" customFormat="false" ht="29.85" hidden="false" customHeight="false" outlineLevel="0" collapsed="false">
      <c r="A304" s="53" t="s">
        <v>2983</v>
      </c>
      <c r="B304" s="52" t="s">
        <v>2297</v>
      </c>
      <c r="C304" s="53" t="s">
        <v>2920</v>
      </c>
      <c r="D304" s="53" t="s">
        <v>2984</v>
      </c>
      <c r="E304" s="5" t="s">
        <v>344</v>
      </c>
      <c r="F304" s="53" t="s">
        <v>62</v>
      </c>
      <c r="G304" s="52" t="s">
        <v>2299</v>
      </c>
      <c r="H304" s="53" t="s">
        <v>554</v>
      </c>
      <c r="I304" s="6" t="s">
        <v>554</v>
      </c>
      <c r="J304" s="53" t="s">
        <v>2974</v>
      </c>
      <c r="K304" s="52"/>
      <c r="L304" s="52"/>
      <c r="M304" s="53" t="s">
        <v>554</v>
      </c>
      <c r="N304" s="5" t="s">
        <v>2975</v>
      </c>
      <c r="O304" s="6" t="s">
        <v>554</v>
      </c>
      <c r="P304" s="52" t="s">
        <v>2364</v>
      </c>
      <c r="Q304" s="89" t="n">
        <f aca="false">Workload!G14</f>
        <v>1</v>
      </c>
      <c r="R304" s="53" t="s">
        <v>554</v>
      </c>
      <c r="S304" s="83" t="str">
        <f aca="false">IF(OR($H304="—",$H304=""),"—",IF(ISNUMBER(MATCH($H304,SRC_HW!$A$5:$A$400,0)),INDEX(SRC_HW!$O$5:$O$400,MATCH($H304,SRC_HW!$A$5:$A$400,0)),IF(ISNUMBER(MATCH($H304,SRC_DC!$A$5:$A$400,0)),INDEX(SRC_DC!$O$5:$O$400,MATCH($H304,SRC_DC!$A$5:$A$400,0)),IF(ISNUMBER(MATCH($H304,SRC_Model!$A$5:$A$400,0)),INDEX(SRC_Model!$O$5:$O$400,MATCH($H304,SRC_Model!$A$5:$A$400,0)),IF(ISNUMBER(MATCH($H304,SRC_Perf!$A$5:$A$400,0)),INDEX(SRC_Perf!$O$5:$O$400,MATCH($H304,SRC_Perf!$A$5:$A$400,0)),"不存在")))))</f>
        <v>—</v>
      </c>
      <c r="T304" s="83" t="str">
        <f aca="false">IF(OR($H304="—",$H304=""),"—",IF(ISNUMBER(MATCH($H304,SRC_HW!$A$5:$A$400,0)),INDEX(SRC_HW!$K$5:$K$400,MATCH($H304,SRC_HW!$A$5:$A$400,0)),IF(ISNUMBER(MATCH($H304,SRC_DC!$A$5:$A$400,0)),INDEX(SRC_DC!$K$5:$K$400,MATCH($H304,SRC_DC!$A$5:$A$400,0)),IF(ISNUMBER(MATCH($H304,SRC_Model!$A$5:$A$400,0)),INDEX(SRC_Model!$K$5:$K$400,MATCH($H304,SRC_Model!$A$5:$A$400,0)),IF(ISNUMBER(MATCH($H304,SRC_Perf!$A$5:$A$400,0)),INDEX(SRC_Perf!$K$5:$K$400,MATCH($H304,SRC_Perf!$A$5:$A$400,0)),"不存在")))))</f>
        <v>—</v>
      </c>
      <c r="U304" s="52" t="s">
        <v>2302</v>
      </c>
      <c r="V304" s="103" t="n">
        <f aca="false">IF(AND($F304="原始數據",$U304&lt;&gt;"連結 SRC"),1,0)</f>
        <v>0</v>
      </c>
      <c r="W304" s="103" t="n">
        <f aca="false">IF(AND($F304="Analogy",OR($H304="—",$H304="")),1,0)</f>
        <v>0</v>
      </c>
      <c r="X304" s="103" t="n">
        <f aca="false">IF(AND(OR($F304="Analogy",$F304="Assumed"),$G304&lt;&gt;"低",$G304&lt;&gt;"高",NOT(ISNUMBER($K304)),NOT(ISNUMBER($L304)),OR($M304="—",$M304="")),1,0)</f>
        <v>0</v>
      </c>
      <c r="Y304" s="103" t="n">
        <f aca="false">IF(AND(OR($F304="Analogy",$F304="Assumed",$F304="Derived（待改公式）",$F304="Derived（公式）"),OR($N304="—",$N304="",$N304=0)),1,0)</f>
        <v>0</v>
      </c>
      <c r="Z304" s="103" t="n">
        <f aca="false">IF(AND($F304="Decision",OR($J304="—",$J304="")),1,0)</f>
        <v>0</v>
      </c>
      <c r="AA304" s="84" t="n">
        <f aca="false">IF(OR($J304="—",$J304=""),0,IF(COUNTIF(Decisions!$A$5:$A$300,$J304)=0,1,0))</f>
        <v>0</v>
      </c>
      <c r="AB304" s="103" t="n">
        <f aca="false">IF(AND($F304="原始數據",$S304&lt;&gt;"Active"),1,0)</f>
        <v>0</v>
      </c>
      <c r="AC304" s="103" t="n">
        <f aca="false">IF(AND(ISNUMBER($K304),ISNUMBER($L304),ISNUMBER($Q304)),IF(OR($Q304&lt;MIN($K304,$L304),$Q304&gt;MAX($K304,$L304)),1,0),0)</f>
        <v>0</v>
      </c>
      <c r="AD304" s="103" t="n">
        <f aca="false">IF(AND(ISNUMBER($T304),$P304="高"),IF($T304=3,1,0),0)</f>
        <v>0</v>
      </c>
      <c r="AE304" s="103" t="n">
        <f aca="false">IF(AND($S304="不存在",$B304="切片一"),1,0)</f>
        <v>0</v>
      </c>
    </row>
    <row r="305" customFormat="false" ht="29.85" hidden="false" customHeight="false" outlineLevel="0" collapsed="false">
      <c r="A305" s="53" t="s">
        <v>2985</v>
      </c>
      <c r="B305" s="52" t="s">
        <v>2986</v>
      </c>
      <c r="C305" s="53" t="s">
        <v>2920</v>
      </c>
      <c r="D305" s="53" t="s">
        <v>2732</v>
      </c>
      <c r="E305" s="5" t="s">
        <v>369</v>
      </c>
      <c r="F305" s="52" t="s">
        <v>2987</v>
      </c>
      <c r="G305" s="52" t="s">
        <v>2299</v>
      </c>
      <c r="H305" s="53" t="s">
        <v>2988</v>
      </c>
      <c r="I305" s="5" t="s">
        <v>2989</v>
      </c>
      <c r="J305" s="53" t="s">
        <v>554</v>
      </c>
      <c r="K305" s="52"/>
      <c r="L305" s="52"/>
      <c r="M305" s="53" t="s">
        <v>554</v>
      </c>
      <c r="N305" s="5" t="s">
        <v>2990</v>
      </c>
      <c r="O305" s="6" t="s">
        <v>554</v>
      </c>
      <c r="P305" s="52" t="s">
        <v>2307</v>
      </c>
      <c r="Q305" s="84" t="n">
        <f aca="false">Workload!C40</f>
        <v>1</v>
      </c>
      <c r="R305" s="53" t="s">
        <v>554</v>
      </c>
      <c r="S305" s="83" t="str">
        <f aca="false">IF(OR($H305="—",$H305=""),"—",IF(ISNUMBER(MATCH($H305,SRC_HW!$A$5:$A$400,0)),INDEX(SRC_HW!$O$5:$O$400,MATCH($H305,SRC_HW!$A$5:$A$400,0)),IF(ISNUMBER(MATCH($H305,SRC_DC!$A$5:$A$400,0)),INDEX(SRC_DC!$O$5:$O$400,MATCH($H305,SRC_DC!$A$5:$A$400,0)),IF(ISNUMBER(MATCH($H305,SRC_Model!$A$5:$A$400,0)),INDEX(SRC_Model!$O$5:$O$400,MATCH($H305,SRC_Model!$A$5:$A$400,0)),IF(ISNUMBER(MATCH($H305,SRC_Perf!$A$5:$A$400,0)),INDEX(SRC_Perf!$O$5:$O$400,MATCH($H305,SRC_Perf!$A$5:$A$400,0)),"不存在")))))</f>
        <v>不存在</v>
      </c>
      <c r="T305" s="83" t="str">
        <f aca="false">IF(OR($H305="—",$H305=""),"—",IF(ISNUMBER(MATCH($H305,SRC_HW!$A$5:$A$400,0)),INDEX(SRC_HW!$K$5:$K$400,MATCH($H305,SRC_HW!$A$5:$A$400,0)),IF(ISNUMBER(MATCH($H305,SRC_DC!$A$5:$A$400,0)),INDEX(SRC_DC!$K$5:$K$400,MATCH($H305,SRC_DC!$A$5:$A$400,0)),IF(ISNUMBER(MATCH($H305,SRC_Model!$A$5:$A$400,0)),INDEX(SRC_Model!$K$5:$K$400,MATCH($H305,SRC_Model!$A$5:$A$400,0)),IF(ISNUMBER(MATCH($H305,SRC_Perf!$A$5:$A$400,0)),INDEX(SRC_Perf!$K$5:$K$400,MATCH($H305,SRC_Perf!$A$5:$A$400,0)),"不存在")))))</f>
        <v>不存在</v>
      </c>
      <c r="U305" s="52" t="s">
        <v>2302</v>
      </c>
      <c r="V305" s="103" t="n">
        <f aca="false">IF(AND($F305="原始數據",$U305&lt;&gt;"連結 SRC"),1,0)</f>
        <v>0</v>
      </c>
      <c r="W305" s="103" t="n">
        <f aca="false">IF(AND($F305="Analogy",OR($H305="—",$H305="")),1,0)</f>
        <v>0</v>
      </c>
      <c r="X305" s="103" t="n">
        <f aca="false">IF(AND(OR($F305="Analogy",$F305="Assumed"),$G305&lt;&gt;"低",$G305&lt;&gt;"高",NOT(ISNUMBER($K305)),NOT(ISNUMBER($L305)),OR($M305="—",$M305="")),1,0)</f>
        <v>0</v>
      </c>
      <c r="Y305" s="103" t="n">
        <f aca="false">IF(AND(OR($F305="Analogy",$F305="Assumed",$F305="Derived（待改公式）",$F305="Derived（公式）"),OR($N305="—",$N305="",$N305=0)),1,0)</f>
        <v>0</v>
      </c>
      <c r="Z305" s="103" t="n">
        <f aca="false">IF(AND($F305="Decision",OR($J305="—",$J305="")),1,0)</f>
        <v>0</v>
      </c>
      <c r="AA305" s="84" t="n">
        <f aca="false">IF(OR($J305="—",$J305=""),0,IF(COUNTIF(Decisions!$A$5:$A$300,$J305)=0,1,0))</f>
        <v>0</v>
      </c>
      <c r="AB305" s="103" t="n">
        <f aca="false">IF(AND($F305="原始數據",$S305&lt;&gt;"Active"),1,0)</f>
        <v>0</v>
      </c>
      <c r="AC305" s="103" t="n">
        <f aca="false">IF(AND(ISNUMBER($K305),ISNUMBER($L305),ISNUMBER($Q305)),IF(OR($Q305&lt;MIN($K305,$L305),$Q305&gt;MAX($K305,$L305)),1,0),0)</f>
        <v>0</v>
      </c>
      <c r="AD305" s="103" t="n">
        <f aca="false">IF(AND(ISNUMBER($T305),$P305="高"),IF($T305=3,1,0),0)</f>
        <v>0</v>
      </c>
      <c r="AE305" s="103" t="n">
        <f aca="false">IF(AND($S305="不存在",$B305="切片一"),1,0)</f>
        <v>0</v>
      </c>
    </row>
    <row r="306" customFormat="false" ht="29.85" hidden="false" customHeight="false" outlineLevel="0" collapsed="false">
      <c r="A306" s="53" t="s">
        <v>2991</v>
      </c>
      <c r="B306" s="52" t="s">
        <v>2986</v>
      </c>
      <c r="C306" s="53" t="s">
        <v>2920</v>
      </c>
      <c r="D306" s="53" t="s">
        <v>2737</v>
      </c>
      <c r="E306" s="5" t="s">
        <v>369</v>
      </c>
      <c r="F306" s="52" t="s">
        <v>2987</v>
      </c>
      <c r="G306" s="52" t="s">
        <v>2299</v>
      </c>
      <c r="H306" s="53" t="s">
        <v>2988</v>
      </c>
      <c r="I306" s="5" t="s">
        <v>2989</v>
      </c>
      <c r="J306" s="53" t="s">
        <v>554</v>
      </c>
      <c r="K306" s="52"/>
      <c r="L306" s="52"/>
      <c r="M306" s="53" t="s">
        <v>554</v>
      </c>
      <c r="N306" s="5" t="s">
        <v>2990</v>
      </c>
      <c r="O306" s="6" t="s">
        <v>554</v>
      </c>
      <c r="P306" s="52" t="s">
        <v>2307</v>
      </c>
      <c r="Q306" s="84" t="n">
        <f aca="false">Workload!E40</f>
        <v>4</v>
      </c>
      <c r="R306" s="53" t="s">
        <v>554</v>
      </c>
      <c r="S306" s="83" t="str">
        <f aca="false">IF(OR($H306="—",$H306=""),"—",IF(ISNUMBER(MATCH($H306,SRC_HW!$A$5:$A$400,0)),INDEX(SRC_HW!$O$5:$O$400,MATCH($H306,SRC_HW!$A$5:$A$400,0)),IF(ISNUMBER(MATCH($H306,SRC_DC!$A$5:$A$400,0)),INDEX(SRC_DC!$O$5:$O$400,MATCH($H306,SRC_DC!$A$5:$A$400,0)),IF(ISNUMBER(MATCH($H306,SRC_Model!$A$5:$A$400,0)),INDEX(SRC_Model!$O$5:$O$400,MATCH($H306,SRC_Model!$A$5:$A$400,0)),IF(ISNUMBER(MATCH($H306,SRC_Perf!$A$5:$A$400,0)),INDEX(SRC_Perf!$O$5:$O$400,MATCH($H306,SRC_Perf!$A$5:$A$400,0)),"不存在")))))</f>
        <v>不存在</v>
      </c>
      <c r="T306" s="83" t="str">
        <f aca="false">IF(OR($H306="—",$H306=""),"—",IF(ISNUMBER(MATCH($H306,SRC_HW!$A$5:$A$400,0)),INDEX(SRC_HW!$K$5:$K$400,MATCH($H306,SRC_HW!$A$5:$A$400,0)),IF(ISNUMBER(MATCH($H306,SRC_DC!$A$5:$A$400,0)),INDEX(SRC_DC!$K$5:$K$400,MATCH($H306,SRC_DC!$A$5:$A$400,0)),IF(ISNUMBER(MATCH($H306,SRC_Model!$A$5:$A$400,0)),INDEX(SRC_Model!$K$5:$K$400,MATCH($H306,SRC_Model!$A$5:$A$400,0)),IF(ISNUMBER(MATCH($H306,SRC_Perf!$A$5:$A$400,0)),INDEX(SRC_Perf!$K$5:$K$400,MATCH($H306,SRC_Perf!$A$5:$A$400,0)),"不存在")))))</f>
        <v>不存在</v>
      </c>
      <c r="U306" s="52" t="s">
        <v>2302</v>
      </c>
      <c r="V306" s="103" t="n">
        <f aca="false">IF(AND($F306="原始數據",$U306&lt;&gt;"連結 SRC"),1,0)</f>
        <v>0</v>
      </c>
      <c r="W306" s="103" t="n">
        <f aca="false">IF(AND($F306="Analogy",OR($H306="—",$H306="")),1,0)</f>
        <v>0</v>
      </c>
      <c r="X306" s="103" t="n">
        <f aca="false">IF(AND(OR($F306="Analogy",$F306="Assumed"),$G306&lt;&gt;"低",$G306&lt;&gt;"高",NOT(ISNUMBER($K306)),NOT(ISNUMBER($L306)),OR($M306="—",$M306="")),1,0)</f>
        <v>0</v>
      </c>
      <c r="Y306" s="103" t="n">
        <f aca="false">IF(AND(OR($F306="Analogy",$F306="Assumed",$F306="Derived（待改公式）",$F306="Derived（公式）"),OR($N306="—",$N306="",$N306=0)),1,0)</f>
        <v>0</v>
      </c>
      <c r="Z306" s="103" t="n">
        <f aca="false">IF(AND($F306="Decision",OR($J306="—",$J306="")),1,0)</f>
        <v>0</v>
      </c>
      <c r="AA306" s="84" t="n">
        <f aca="false">IF(OR($J306="—",$J306=""),0,IF(COUNTIF(Decisions!$A$5:$A$300,$J306)=0,1,0))</f>
        <v>0</v>
      </c>
      <c r="AB306" s="103" t="n">
        <f aca="false">IF(AND($F306="原始數據",$S306&lt;&gt;"Active"),1,0)</f>
        <v>0</v>
      </c>
      <c r="AC306" s="103" t="n">
        <f aca="false">IF(AND(ISNUMBER($K306),ISNUMBER($L306),ISNUMBER($Q306)),IF(OR($Q306&lt;MIN($K306,$L306),$Q306&gt;MAX($K306,$L306)),1,0),0)</f>
        <v>0</v>
      </c>
      <c r="AD306" s="103" t="n">
        <f aca="false">IF(AND(ISNUMBER($T306),$P306="高"),IF($T306=3,1,0),0)</f>
        <v>0</v>
      </c>
      <c r="AE306" s="103" t="n">
        <f aca="false">IF(AND($S306="不存在",$B306="切片一"),1,0)</f>
        <v>0</v>
      </c>
    </row>
    <row r="307" customFormat="false" ht="29.85" hidden="false" customHeight="false" outlineLevel="0" collapsed="false">
      <c r="A307" s="53" t="s">
        <v>2992</v>
      </c>
      <c r="B307" s="52" t="s">
        <v>2986</v>
      </c>
      <c r="C307" s="53" t="s">
        <v>2920</v>
      </c>
      <c r="D307" s="53" t="s">
        <v>2739</v>
      </c>
      <c r="E307" s="5" t="s">
        <v>369</v>
      </c>
      <c r="F307" s="52" t="s">
        <v>2987</v>
      </c>
      <c r="G307" s="52" t="s">
        <v>2299</v>
      </c>
      <c r="H307" s="53" t="s">
        <v>2993</v>
      </c>
      <c r="I307" s="5" t="s">
        <v>2989</v>
      </c>
      <c r="J307" s="53" t="s">
        <v>554</v>
      </c>
      <c r="K307" s="52"/>
      <c r="L307" s="52"/>
      <c r="M307" s="53" t="s">
        <v>554</v>
      </c>
      <c r="N307" s="5" t="s">
        <v>2990</v>
      </c>
      <c r="O307" s="6" t="s">
        <v>554</v>
      </c>
      <c r="P307" s="52" t="s">
        <v>2307</v>
      </c>
      <c r="Q307" s="84" t="n">
        <f aca="false">Workload!F40</f>
        <v>15</v>
      </c>
      <c r="R307" s="53" t="s">
        <v>554</v>
      </c>
      <c r="S307" s="83" t="str">
        <f aca="false">IF(OR($H307="—",$H307=""),"—",IF(ISNUMBER(MATCH($H307,SRC_HW!$A$5:$A$400,0)),INDEX(SRC_HW!$O$5:$O$400,MATCH($H307,SRC_HW!$A$5:$A$400,0)),IF(ISNUMBER(MATCH($H307,SRC_DC!$A$5:$A$400,0)),INDEX(SRC_DC!$O$5:$O$400,MATCH($H307,SRC_DC!$A$5:$A$400,0)),IF(ISNUMBER(MATCH($H307,SRC_Model!$A$5:$A$400,0)),INDEX(SRC_Model!$O$5:$O$400,MATCH($H307,SRC_Model!$A$5:$A$400,0)),IF(ISNUMBER(MATCH($H307,SRC_Perf!$A$5:$A$400,0)),INDEX(SRC_Perf!$O$5:$O$400,MATCH($H307,SRC_Perf!$A$5:$A$400,0)),"不存在")))))</f>
        <v>不存在</v>
      </c>
      <c r="T307" s="83" t="str">
        <f aca="false">IF(OR($H307="—",$H307=""),"—",IF(ISNUMBER(MATCH($H307,SRC_HW!$A$5:$A$400,0)),INDEX(SRC_HW!$K$5:$K$400,MATCH($H307,SRC_HW!$A$5:$A$400,0)),IF(ISNUMBER(MATCH($H307,SRC_DC!$A$5:$A$400,0)),INDEX(SRC_DC!$K$5:$K$400,MATCH($H307,SRC_DC!$A$5:$A$400,0)),IF(ISNUMBER(MATCH($H307,SRC_Model!$A$5:$A$400,0)),INDEX(SRC_Model!$K$5:$K$400,MATCH($H307,SRC_Model!$A$5:$A$400,0)),IF(ISNUMBER(MATCH($H307,SRC_Perf!$A$5:$A$400,0)),INDEX(SRC_Perf!$K$5:$K$400,MATCH($H307,SRC_Perf!$A$5:$A$400,0)),"不存在")))))</f>
        <v>不存在</v>
      </c>
      <c r="U307" s="52" t="s">
        <v>2302</v>
      </c>
      <c r="V307" s="103" t="n">
        <f aca="false">IF(AND($F307="原始數據",$U307&lt;&gt;"連結 SRC"),1,0)</f>
        <v>0</v>
      </c>
      <c r="W307" s="103" t="n">
        <f aca="false">IF(AND($F307="Analogy",OR($H307="—",$H307="")),1,0)</f>
        <v>0</v>
      </c>
      <c r="X307" s="103" t="n">
        <f aca="false">IF(AND(OR($F307="Analogy",$F307="Assumed"),$G307&lt;&gt;"低",$G307&lt;&gt;"高",NOT(ISNUMBER($K307)),NOT(ISNUMBER($L307)),OR($M307="—",$M307="")),1,0)</f>
        <v>0</v>
      </c>
      <c r="Y307" s="103" t="n">
        <f aca="false">IF(AND(OR($F307="Analogy",$F307="Assumed",$F307="Derived（待改公式）",$F307="Derived（公式）"),OR($N307="—",$N307="",$N307=0)),1,0)</f>
        <v>0</v>
      </c>
      <c r="Z307" s="103" t="n">
        <f aca="false">IF(AND($F307="Decision",OR($J307="—",$J307="")),1,0)</f>
        <v>0</v>
      </c>
      <c r="AA307" s="84" t="n">
        <f aca="false">IF(OR($J307="—",$J307=""),0,IF(COUNTIF(Decisions!$A$5:$A$300,$J307)=0,1,0))</f>
        <v>0</v>
      </c>
      <c r="AB307" s="103" t="n">
        <f aca="false">IF(AND($F307="原始數據",$S307&lt;&gt;"Active"),1,0)</f>
        <v>0</v>
      </c>
      <c r="AC307" s="103" t="n">
        <f aca="false">IF(AND(ISNUMBER($K307),ISNUMBER($L307),ISNUMBER($Q307)),IF(OR($Q307&lt;MIN($K307,$L307),$Q307&gt;MAX($K307,$L307)),1,0),0)</f>
        <v>0</v>
      </c>
      <c r="AD307" s="103" t="n">
        <f aca="false">IF(AND(ISNUMBER($T307),$P307="高"),IF($T307=3,1,0),0)</f>
        <v>0</v>
      </c>
      <c r="AE307" s="103" t="n">
        <f aca="false">IF(AND($S307="不存在",$B307="切片一"),1,0)</f>
        <v>0</v>
      </c>
    </row>
    <row r="308" customFormat="false" ht="44" hidden="false" customHeight="false" outlineLevel="0" collapsed="false">
      <c r="A308" s="53" t="s">
        <v>2994</v>
      </c>
      <c r="B308" s="52" t="s">
        <v>2297</v>
      </c>
      <c r="C308" s="53" t="s">
        <v>2995</v>
      </c>
      <c r="D308" s="53" t="s">
        <v>2921</v>
      </c>
      <c r="E308" s="6" t="s">
        <v>382</v>
      </c>
      <c r="F308" s="53" t="s">
        <v>70</v>
      </c>
      <c r="G308" s="52" t="s">
        <v>2299</v>
      </c>
      <c r="H308" s="53" t="s">
        <v>554</v>
      </c>
      <c r="I308" s="6" t="s">
        <v>554</v>
      </c>
      <c r="J308" s="53" t="s">
        <v>554</v>
      </c>
      <c r="K308" s="128" t="n">
        <v>0.15</v>
      </c>
      <c r="L308" s="128" t="n">
        <v>0.45</v>
      </c>
      <c r="M308" s="53" t="s">
        <v>2996</v>
      </c>
      <c r="N308" s="204" t="str">
        <f aca="false">Calib!$J$5</f>
        <v>Analogy：DeepSeek H800 線上 prefill 約 0.37（S30，待查）；區間 0.15–0.45。擬合結果對此不敏感（見 G 節）</v>
      </c>
      <c r="O308" s="6" t="s">
        <v>2997</v>
      </c>
      <c r="P308" s="52" t="s">
        <v>2364</v>
      </c>
      <c r="Q308" s="56" t="n">
        <f aca="false">Calib!C5</f>
        <v>0.3</v>
      </c>
      <c r="R308" s="53" t="s">
        <v>554</v>
      </c>
      <c r="S308" s="83" t="str">
        <f aca="false">IF(OR($H308="—",$H308=""),"—",IF(ISNUMBER(MATCH($H308,SRC_HW!$A$5:$A$400,0)),INDEX(SRC_HW!$O$5:$O$400,MATCH($H308,SRC_HW!$A$5:$A$400,0)),IF(ISNUMBER(MATCH($H308,SRC_DC!$A$5:$A$400,0)),INDEX(SRC_DC!$O$5:$O$400,MATCH($H308,SRC_DC!$A$5:$A$400,0)),IF(ISNUMBER(MATCH($H308,SRC_Model!$A$5:$A$400,0)),INDEX(SRC_Model!$O$5:$O$400,MATCH($H308,SRC_Model!$A$5:$A$400,0)),IF(ISNUMBER(MATCH($H308,SRC_Perf!$A$5:$A$400,0)),INDEX(SRC_Perf!$O$5:$O$400,MATCH($H308,SRC_Perf!$A$5:$A$400,0)),"不存在")))))</f>
        <v>—</v>
      </c>
      <c r="T308" s="83" t="str">
        <f aca="false">IF(OR($H308="—",$H308=""),"—",IF(ISNUMBER(MATCH($H308,SRC_HW!$A$5:$A$400,0)),INDEX(SRC_HW!$K$5:$K$400,MATCH($H308,SRC_HW!$A$5:$A$400,0)),IF(ISNUMBER(MATCH($H308,SRC_DC!$A$5:$A$400,0)),INDEX(SRC_DC!$K$5:$K$400,MATCH($H308,SRC_DC!$A$5:$A$400,0)),IF(ISNUMBER(MATCH($H308,SRC_Model!$A$5:$A$400,0)),INDEX(SRC_Model!$K$5:$K$400,MATCH($H308,SRC_Model!$A$5:$A$400,0)),IF(ISNUMBER(MATCH($H308,SRC_Perf!$A$5:$A$400,0)),INDEX(SRC_Perf!$K$5:$K$400,MATCH($H308,SRC_Perf!$A$5:$A$400,0)),"不存在")))))</f>
        <v>—</v>
      </c>
      <c r="U308" s="52" t="s">
        <v>2302</v>
      </c>
      <c r="V308" s="103" t="n">
        <f aca="false">IF(AND($F308="原始數據",$U308&lt;&gt;"連結 SRC"),1,0)</f>
        <v>0</v>
      </c>
      <c r="W308" s="103" t="n">
        <f aca="false">IF(AND($F308="Analogy",OR($H308="—",$H308="")),1,0)</f>
        <v>0</v>
      </c>
      <c r="X308" s="103" t="n">
        <f aca="false">IF(AND(OR($F308="Analogy",$F308="Assumed"),$G308&lt;&gt;"低",$G308&lt;&gt;"高",NOT(ISNUMBER($K308)),NOT(ISNUMBER($L308)),OR($M308="—",$M308="")),1,0)</f>
        <v>0</v>
      </c>
      <c r="Y308" s="103" t="n">
        <f aca="false">IF(AND(OR($F308="Analogy",$F308="Assumed",$F308="Derived（待改公式）",$F308="Derived（公式）"),OR($N308="—",$N308="",$N308=0)),1,0)</f>
        <v>0</v>
      </c>
      <c r="Z308" s="103" t="n">
        <f aca="false">IF(AND($F308="Decision",OR($J308="—",$J308="")),1,0)</f>
        <v>0</v>
      </c>
      <c r="AA308" s="84" t="n">
        <f aca="false">IF(OR($J308="—",$J308=""),0,IF(COUNTIF(Decisions!$A$5:$A$300,$J308)=0,1,0))</f>
        <v>0</v>
      </c>
      <c r="AB308" s="103" t="n">
        <f aca="false">IF(AND($F308="原始數據",$S308&lt;&gt;"Active"),1,0)</f>
        <v>0</v>
      </c>
      <c r="AC308" s="103" t="n">
        <f aca="false">IF(AND(ISNUMBER($K308),ISNUMBER($L308),ISNUMBER($Q308)),IF(OR($Q308&lt;MIN($K308,$L308),$Q308&gt;MAX($K308,$L308)),1,0),0)</f>
        <v>0</v>
      </c>
      <c r="AD308" s="103" t="n">
        <f aca="false">IF(AND(ISNUMBER($T308),$P308="高"),IF($T308=3,1,0),0)</f>
        <v>0</v>
      </c>
      <c r="AE308" s="103" t="n">
        <f aca="false">IF(AND($S308="不存在",$B308="切片一"),1,0)</f>
        <v>0</v>
      </c>
    </row>
    <row r="309" customFormat="false" ht="15" hidden="false" customHeight="false" outlineLevel="0" collapsed="false">
      <c r="A309" s="53" t="s">
        <v>2998</v>
      </c>
      <c r="B309" s="52" t="s">
        <v>2297</v>
      </c>
      <c r="C309" s="53" t="s">
        <v>2995</v>
      </c>
      <c r="D309" s="53" t="s">
        <v>2999</v>
      </c>
      <c r="E309" s="5" t="s">
        <v>390</v>
      </c>
      <c r="F309" s="52" t="s">
        <v>3000</v>
      </c>
      <c r="G309" s="52" t="s">
        <v>3001</v>
      </c>
      <c r="H309" s="53" t="s">
        <v>554</v>
      </c>
      <c r="I309" s="6" t="s">
        <v>554</v>
      </c>
      <c r="J309" s="53" t="s">
        <v>554</v>
      </c>
      <c r="K309" s="52"/>
      <c r="L309" s="52"/>
      <c r="M309" s="53" t="s">
        <v>554</v>
      </c>
      <c r="N309" s="5" t="s">
        <v>3002</v>
      </c>
      <c r="O309" s="6" t="s">
        <v>554</v>
      </c>
      <c r="P309" s="53" t="s">
        <v>554</v>
      </c>
      <c r="Q309" s="83" t="s">
        <v>554</v>
      </c>
      <c r="R309" s="53" t="s">
        <v>554</v>
      </c>
      <c r="S309" s="83" t="str">
        <f aca="false">IF(OR($H309="—",$H309=""),"—",IF(ISNUMBER(MATCH($H309,SRC_HW!$A$5:$A$400,0)),INDEX(SRC_HW!$O$5:$O$400,MATCH($H309,SRC_HW!$A$5:$A$400,0)),IF(ISNUMBER(MATCH($H309,SRC_DC!$A$5:$A$400,0)),INDEX(SRC_DC!$O$5:$O$400,MATCH($H309,SRC_DC!$A$5:$A$400,0)),IF(ISNUMBER(MATCH($H309,SRC_Model!$A$5:$A$400,0)),INDEX(SRC_Model!$O$5:$O$400,MATCH($H309,SRC_Model!$A$5:$A$400,0)),IF(ISNUMBER(MATCH($H309,SRC_Perf!$A$5:$A$400,0)),INDEX(SRC_Perf!$O$5:$O$400,MATCH($H309,SRC_Perf!$A$5:$A$400,0)),"不存在")))))</f>
        <v>—</v>
      </c>
      <c r="T309" s="83" t="str">
        <f aca="false">IF(OR($H309="—",$H309=""),"—",IF(ISNUMBER(MATCH($H309,SRC_HW!$A$5:$A$400,0)),INDEX(SRC_HW!$K$5:$K$400,MATCH($H309,SRC_HW!$A$5:$A$400,0)),IF(ISNUMBER(MATCH($H309,SRC_DC!$A$5:$A$400,0)),INDEX(SRC_DC!$K$5:$K$400,MATCH($H309,SRC_DC!$A$5:$A$400,0)),IF(ISNUMBER(MATCH($H309,SRC_Model!$A$5:$A$400,0)),INDEX(SRC_Model!$K$5:$K$400,MATCH($H309,SRC_Model!$A$5:$A$400,0)),IF(ISNUMBER(MATCH($H309,SRC_Perf!$A$5:$A$400,0)),INDEX(SRC_Perf!$K$5:$K$400,MATCH($H309,SRC_Perf!$A$5:$A$400,0)),"不存在")))))</f>
        <v>—</v>
      </c>
      <c r="U309" s="53" t="s">
        <v>554</v>
      </c>
      <c r="V309" s="103" t="n">
        <f aca="false">IF(AND($F309="原始數據",$U309&lt;&gt;"連結 SRC"),1,0)</f>
        <v>0</v>
      </c>
      <c r="W309" s="103" t="n">
        <f aca="false">IF(AND($F309="Analogy",OR($H309="—",$H309="")),1,0)</f>
        <v>0</v>
      </c>
      <c r="X309" s="103" t="n">
        <f aca="false">IF(AND(OR($F309="Analogy",$F309="Assumed"),$G309&lt;&gt;"低",$G309&lt;&gt;"高",NOT(ISNUMBER($K309)),NOT(ISNUMBER($L309)),OR($M309="—",$M309="")),1,0)</f>
        <v>0</v>
      </c>
      <c r="Y309" s="103" t="n">
        <f aca="false">IF(AND(OR($F309="Analogy",$F309="Assumed",$F309="Derived（待改公式）",$F309="Derived（公式）"),OR($N309="—",$N309="",$N309=0)),1,0)</f>
        <v>0</v>
      </c>
      <c r="Z309" s="103" t="n">
        <f aca="false">IF(AND($F309="Decision",OR($J309="—",$J309="")),1,0)</f>
        <v>0</v>
      </c>
      <c r="AA309" s="84" t="n">
        <f aca="false">IF(OR($J309="—",$J309=""),0,IF(COUNTIF(Decisions!$A$5:$A$300,$J309)=0,1,0))</f>
        <v>0</v>
      </c>
      <c r="AB309" s="103" t="n">
        <f aca="false">IF(AND($F309="原始數據",$S309&lt;&gt;"Active"),1,0)</f>
        <v>0</v>
      </c>
      <c r="AC309" s="103" t="n">
        <f aca="false">IF(AND(ISNUMBER($K309),ISNUMBER($L309),ISNUMBER($Q309)),IF(OR($Q309&lt;MIN($K309,$L309),$Q309&gt;MAX($K309,$L309)),1,0),0)</f>
        <v>0</v>
      </c>
      <c r="AD309" s="103" t="n">
        <f aca="false">IF(AND(ISNUMBER($T309),$P309="高"),IF($T309=3,1,0),0)</f>
        <v>0</v>
      </c>
      <c r="AE309" s="103" t="n">
        <f aca="false">IF(AND($S309="不存在",$B309="切片一"),1,0)</f>
        <v>0</v>
      </c>
    </row>
    <row r="310" customFormat="false" ht="15" hidden="false" customHeight="false" outlineLevel="0" collapsed="false">
      <c r="A310" s="53" t="s">
        <v>3003</v>
      </c>
      <c r="B310" s="52" t="s">
        <v>2297</v>
      </c>
      <c r="C310" s="53" t="s">
        <v>2995</v>
      </c>
      <c r="D310" s="53" t="s">
        <v>2550</v>
      </c>
      <c r="E310" s="6" t="s">
        <v>396</v>
      </c>
      <c r="F310" s="52" t="s">
        <v>2337</v>
      </c>
      <c r="G310" s="52" t="s">
        <v>2299</v>
      </c>
      <c r="H310" s="53" t="s">
        <v>3004</v>
      </c>
      <c r="I310" s="5" t="s">
        <v>2339</v>
      </c>
      <c r="J310" s="53" t="s">
        <v>554</v>
      </c>
      <c r="K310" s="52"/>
      <c r="L310" s="52"/>
      <c r="M310" s="53" t="s">
        <v>554</v>
      </c>
      <c r="N310" s="5" t="s">
        <v>2340</v>
      </c>
      <c r="O310" s="6" t="s">
        <v>554</v>
      </c>
      <c r="P310" s="52" t="s">
        <v>2307</v>
      </c>
      <c r="Q310" s="84" t="n">
        <f aca="false">Calib!C13</f>
        <v>1</v>
      </c>
      <c r="R310" s="83" t="n">
        <f aca="false">SRC_PERF_009_MTP</f>
        <v>1</v>
      </c>
      <c r="S310" s="83" t="str">
        <f aca="false">IF(OR($H310="—",$H310=""),"—",IF(ISNUMBER(MATCH($H310,SRC_HW!$A$5:$A$400,0)),INDEX(SRC_HW!$O$5:$O$400,MATCH($H310,SRC_HW!$A$5:$A$400,0)),IF(ISNUMBER(MATCH($H310,SRC_DC!$A$5:$A$400,0)),INDEX(SRC_DC!$O$5:$O$400,MATCH($H310,SRC_DC!$A$5:$A$400,0)),IF(ISNUMBER(MATCH($H310,SRC_Model!$A$5:$A$400,0)),INDEX(SRC_Model!$O$5:$O$400,MATCH($H310,SRC_Model!$A$5:$A$400,0)),IF(ISNUMBER(MATCH($H310,SRC_Perf!$A$5:$A$400,0)),INDEX(SRC_Perf!$O$5:$O$400,MATCH($H310,SRC_Perf!$A$5:$A$400,0)),"不存在")))))</f>
        <v>Active</v>
      </c>
      <c r="T310" s="83" t="n">
        <f aca="false">IF(OR($H310="—",$H310=""),"—",IF(ISNUMBER(MATCH($H310,SRC_HW!$A$5:$A$400,0)),INDEX(SRC_HW!$K$5:$K$400,MATCH($H310,SRC_HW!$A$5:$A$400,0)),IF(ISNUMBER(MATCH($H310,SRC_DC!$A$5:$A$400,0)),INDEX(SRC_DC!$K$5:$K$400,MATCH($H310,SRC_DC!$A$5:$A$400,0)),IF(ISNUMBER(MATCH($H310,SRC_Model!$A$5:$A$400,0)),INDEX(SRC_Model!$K$5:$K$400,MATCH($H310,SRC_Model!$A$5:$A$400,0)),IF(ISNUMBER(MATCH($H310,SRC_Perf!$A$5:$A$400,0)),INDEX(SRC_Perf!$K$5:$K$400,MATCH($H310,SRC_Perf!$A$5:$A$400,0)),"不存在")))))</f>
        <v>3</v>
      </c>
      <c r="U310" s="52" t="s">
        <v>2341</v>
      </c>
      <c r="V310" s="103" t="n">
        <f aca="false">IF(AND($F310="原始數據",$U310&lt;&gt;"連結 SRC"),1,0)</f>
        <v>0</v>
      </c>
      <c r="W310" s="103" t="n">
        <f aca="false">IF(AND($F310="Analogy",OR($H310="—",$H310="")),1,0)</f>
        <v>0</v>
      </c>
      <c r="X310" s="103" t="n">
        <f aca="false">IF(AND(OR($F310="Analogy",$F310="Assumed"),$G310&lt;&gt;"低",$G310&lt;&gt;"高",NOT(ISNUMBER($K310)),NOT(ISNUMBER($L310)),OR($M310="—",$M310="")),1,0)</f>
        <v>0</v>
      </c>
      <c r="Y310" s="103" t="n">
        <f aca="false">IF(AND(OR($F310="Analogy",$F310="Assumed",$F310="Derived（待改公式）",$F310="Derived（公式）"),OR($N310="—",$N310="",$N310=0)),1,0)</f>
        <v>0</v>
      </c>
      <c r="Z310" s="103" t="n">
        <f aca="false">IF(AND($F310="Decision",OR($J310="—",$J310="")),1,0)</f>
        <v>0</v>
      </c>
      <c r="AA310" s="84" t="n">
        <f aca="false">IF(OR($J310="—",$J310=""),0,IF(COUNTIF(Decisions!$A$5:$A$300,$J310)=0,1,0))</f>
        <v>0</v>
      </c>
      <c r="AB310" s="103" t="n">
        <f aca="false">IF(AND($F310="原始數據",$S310&lt;&gt;"Active"),1,0)</f>
        <v>0</v>
      </c>
      <c r="AC310" s="103" t="n">
        <f aca="false">IF(AND(ISNUMBER($K310),ISNUMBER($L310),ISNUMBER($Q310)),IF(OR($Q310&lt;MIN($K310,$L310),$Q310&gt;MAX($K310,$L310)),1,0),0)</f>
        <v>0</v>
      </c>
      <c r="AD310" s="103" t="n">
        <f aca="false">IF(AND(ISNUMBER($T310),$P310="高"),IF($T310=3,1,0),0)</f>
        <v>0</v>
      </c>
      <c r="AE310" s="103" t="n">
        <f aca="false">IF(AND($S310="不存在",$B310="切片一"),1,0)</f>
        <v>0</v>
      </c>
    </row>
    <row r="311" customFormat="false" ht="15" hidden="false" customHeight="false" outlineLevel="0" collapsed="false">
      <c r="A311" s="53" t="s">
        <v>3005</v>
      </c>
      <c r="B311" s="52" t="s">
        <v>2297</v>
      </c>
      <c r="C311" s="53" t="s">
        <v>2995</v>
      </c>
      <c r="D311" s="53" t="s">
        <v>2787</v>
      </c>
      <c r="E311" s="5" t="s">
        <v>397</v>
      </c>
      <c r="F311" s="52" t="s">
        <v>2337</v>
      </c>
      <c r="G311" s="52" t="s">
        <v>2299</v>
      </c>
      <c r="H311" s="53" t="s">
        <v>3004</v>
      </c>
      <c r="I311" s="5" t="s">
        <v>2339</v>
      </c>
      <c r="J311" s="53" t="s">
        <v>554</v>
      </c>
      <c r="K311" s="52"/>
      <c r="L311" s="52"/>
      <c r="M311" s="53" t="s">
        <v>554</v>
      </c>
      <c r="N311" s="5" t="s">
        <v>2340</v>
      </c>
      <c r="O311" s="6" t="s">
        <v>554</v>
      </c>
      <c r="P311" s="52" t="s">
        <v>1079</v>
      </c>
      <c r="Q311" s="54" t="n">
        <f aca="false">Calib!C14</f>
        <v>72</v>
      </c>
      <c r="R311" s="83" t="n">
        <f aca="false">SRC_PERF_009_Spd</f>
        <v>72</v>
      </c>
      <c r="S311" s="83" t="str">
        <f aca="false">IF(OR($H311="—",$H311=""),"—",IF(ISNUMBER(MATCH($H311,SRC_HW!$A$5:$A$400,0)),INDEX(SRC_HW!$O$5:$O$400,MATCH($H311,SRC_HW!$A$5:$A$400,0)),IF(ISNUMBER(MATCH($H311,SRC_DC!$A$5:$A$400,0)),INDEX(SRC_DC!$O$5:$O$400,MATCH($H311,SRC_DC!$A$5:$A$400,0)),IF(ISNUMBER(MATCH($H311,SRC_Model!$A$5:$A$400,0)),INDEX(SRC_Model!$O$5:$O$400,MATCH($H311,SRC_Model!$A$5:$A$400,0)),IF(ISNUMBER(MATCH($H311,SRC_Perf!$A$5:$A$400,0)),INDEX(SRC_Perf!$O$5:$O$400,MATCH($H311,SRC_Perf!$A$5:$A$400,0)),"不存在")))))</f>
        <v>Active</v>
      </c>
      <c r="T311" s="83" t="n">
        <f aca="false">IF(OR($H311="—",$H311=""),"—",IF(ISNUMBER(MATCH($H311,SRC_HW!$A$5:$A$400,0)),INDEX(SRC_HW!$K$5:$K$400,MATCH($H311,SRC_HW!$A$5:$A$400,0)),IF(ISNUMBER(MATCH($H311,SRC_DC!$A$5:$A$400,0)),INDEX(SRC_DC!$K$5:$K$400,MATCH($H311,SRC_DC!$A$5:$A$400,0)),IF(ISNUMBER(MATCH($H311,SRC_Model!$A$5:$A$400,0)),INDEX(SRC_Model!$K$5:$K$400,MATCH($H311,SRC_Model!$A$5:$A$400,0)),IF(ISNUMBER(MATCH($H311,SRC_Perf!$A$5:$A$400,0)),INDEX(SRC_Perf!$K$5:$K$400,MATCH($H311,SRC_Perf!$A$5:$A$400,0)),"不存在")))))</f>
        <v>3</v>
      </c>
      <c r="U311" s="52" t="s">
        <v>2341</v>
      </c>
      <c r="V311" s="103" t="n">
        <f aca="false">IF(AND($F311="原始數據",$U311&lt;&gt;"連結 SRC"),1,0)</f>
        <v>0</v>
      </c>
      <c r="W311" s="103" t="n">
        <f aca="false">IF(AND($F311="Analogy",OR($H311="—",$H311="")),1,0)</f>
        <v>0</v>
      </c>
      <c r="X311" s="103" t="n">
        <f aca="false">IF(AND(OR($F311="Analogy",$F311="Assumed"),$G311&lt;&gt;"低",$G311&lt;&gt;"高",NOT(ISNUMBER($K311)),NOT(ISNUMBER($L311)),OR($M311="—",$M311="")),1,0)</f>
        <v>0</v>
      </c>
      <c r="Y311" s="103" t="n">
        <f aca="false">IF(AND(OR($F311="Analogy",$F311="Assumed",$F311="Derived（待改公式）",$F311="Derived（公式）"),OR($N311="—",$N311="",$N311=0)),1,0)</f>
        <v>0</v>
      </c>
      <c r="Z311" s="103" t="n">
        <f aca="false">IF(AND($F311="Decision",OR($J311="—",$J311="")),1,0)</f>
        <v>0</v>
      </c>
      <c r="AA311" s="84" t="n">
        <f aca="false">IF(OR($J311="—",$J311=""),0,IF(COUNTIF(Decisions!$A$5:$A$300,$J311)=0,1,0))</f>
        <v>0</v>
      </c>
      <c r="AB311" s="103" t="n">
        <f aca="false">IF(AND($F311="原始數據",$S311&lt;&gt;"Active"),1,0)</f>
        <v>0</v>
      </c>
      <c r="AC311" s="103" t="n">
        <f aca="false">IF(AND(ISNUMBER($K311),ISNUMBER($L311),ISNUMBER($Q311)),IF(OR($Q311&lt;MIN($K311,$L311),$Q311&gt;MAX($K311,$L311)),1,0),0)</f>
        <v>0</v>
      </c>
      <c r="AD311" s="103" t="n">
        <f aca="false">IF(AND(ISNUMBER($T311),$P311="高"),IF($T311=3,1,0),0)</f>
        <v>1</v>
      </c>
      <c r="AE311" s="103" t="n">
        <f aca="false">IF(AND($S311="不存在",$B311="切片一"),1,0)</f>
        <v>0</v>
      </c>
    </row>
    <row r="312" customFormat="false" ht="15" hidden="false" customHeight="false" outlineLevel="0" collapsed="false">
      <c r="A312" s="53" t="s">
        <v>3006</v>
      </c>
      <c r="B312" s="52" t="s">
        <v>2297</v>
      </c>
      <c r="C312" s="53" t="s">
        <v>2995</v>
      </c>
      <c r="D312" s="53" t="s">
        <v>2791</v>
      </c>
      <c r="E312" s="6" t="s">
        <v>398</v>
      </c>
      <c r="F312" s="52" t="s">
        <v>2337</v>
      </c>
      <c r="G312" s="52" t="s">
        <v>2299</v>
      </c>
      <c r="H312" s="53" t="s">
        <v>3004</v>
      </c>
      <c r="I312" s="5" t="s">
        <v>2339</v>
      </c>
      <c r="J312" s="53" t="s">
        <v>554</v>
      </c>
      <c r="K312" s="52"/>
      <c r="L312" s="52"/>
      <c r="M312" s="53" t="s">
        <v>554</v>
      </c>
      <c r="N312" s="5" t="s">
        <v>2340</v>
      </c>
      <c r="O312" s="6" t="s">
        <v>554</v>
      </c>
      <c r="P312" s="52" t="s">
        <v>1079</v>
      </c>
      <c r="Q312" s="54" t="n">
        <f aca="false">Calib!C15</f>
        <v>8192</v>
      </c>
      <c r="R312" s="83" t="n">
        <f aca="false">SRC_PERF_009_ISL</f>
        <v>8192</v>
      </c>
      <c r="S312" s="83" t="str">
        <f aca="false">IF(OR($H312="—",$H312=""),"—",IF(ISNUMBER(MATCH($H312,SRC_HW!$A$5:$A$400,0)),INDEX(SRC_HW!$O$5:$O$400,MATCH($H312,SRC_HW!$A$5:$A$400,0)),IF(ISNUMBER(MATCH($H312,SRC_DC!$A$5:$A$400,0)),INDEX(SRC_DC!$O$5:$O$400,MATCH($H312,SRC_DC!$A$5:$A$400,0)),IF(ISNUMBER(MATCH($H312,SRC_Model!$A$5:$A$400,0)),INDEX(SRC_Model!$O$5:$O$400,MATCH($H312,SRC_Model!$A$5:$A$400,0)),IF(ISNUMBER(MATCH($H312,SRC_Perf!$A$5:$A$400,0)),INDEX(SRC_Perf!$O$5:$O$400,MATCH($H312,SRC_Perf!$A$5:$A$400,0)),"不存在")))))</f>
        <v>Active</v>
      </c>
      <c r="T312" s="83" t="n">
        <f aca="false">IF(OR($H312="—",$H312=""),"—",IF(ISNUMBER(MATCH($H312,SRC_HW!$A$5:$A$400,0)),INDEX(SRC_HW!$K$5:$K$400,MATCH($H312,SRC_HW!$A$5:$A$400,0)),IF(ISNUMBER(MATCH($H312,SRC_DC!$A$5:$A$400,0)),INDEX(SRC_DC!$K$5:$K$400,MATCH($H312,SRC_DC!$A$5:$A$400,0)),IF(ISNUMBER(MATCH($H312,SRC_Model!$A$5:$A$400,0)),INDEX(SRC_Model!$K$5:$K$400,MATCH($H312,SRC_Model!$A$5:$A$400,0)),IF(ISNUMBER(MATCH($H312,SRC_Perf!$A$5:$A$400,0)),INDEX(SRC_Perf!$K$5:$K$400,MATCH($H312,SRC_Perf!$A$5:$A$400,0)),"不存在")))))</f>
        <v>3</v>
      </c>
      <c r="U312" s="52" t="s">
        <v>2341</v>
      </c>
      <c r="V312" s="103" t="n">
        <f aca="false">IF(AND($F312="原始數據",$U312&lt;&gt;"連結 SRC"),1,0)</f>
        <v>0</v>
      </c>
      <c r="W312" s="103" t="n">
        <f aca="false">IF(AND($F312="Analogy",OR($H312="—",$H312="")),1,0)</f>
        <v>0</v>
      </c>
      <c r="X312" s="103" t="n">
        <f aca="false">IF(AND(OR($F312="Analogy",$F312="Assumed"),$G312&lt;&gt;"低",$G312&lt;&gt;"高",NOT(ISNUMBER($K312)),NOT(ISNUMBER($L312)),OR($M312="—",$M312="")),1,0)</f>
        <v>0</v>
      </c>
      <c r="Y312" s="103" t="n">
        <f aca="false">IF(AND(OR($F312="Analogy",$F312="Assumed",$F312="Derived（待改公式）",$F312="Derived（公式）"),OR($N312="—",$N312="",$N312=0)),1,0)</f>
        <v>0</v>
      </c>
      <c r="Z312" s="103" t="n">
        <f aca="false">IF(AND($F312="Decision",OR($J312="—",$J312="")),1,0)</f>
        <v>0</v>
      </c>
      <c r="AA312" s="84" t="n">
        <f aca="false">IF(OR($J312="—",$J312=""),0,IF(COUNTIF(Decisions!$A$5:$A$300,$J312)=0,1,0))</f>
        <v>0</v>
      </c>
      <c r="AB312" s="103" t="n">
        <f aca="false">IF(AND($F312="原始數據",$S312&lt;&gt;"Active"),1,0)</f>
        <v>0</v>
      </c>
      <c r="AC312" s="103" t="n">
        <f aca="false">IF(AND(ISNUMBER($K312),ISNUMBER($L312),ISNUMBER($Q312)),IF(OR($Q312&lt;MIN($K312,$L312),$Q312&gt;MAX($K312,$L312)),1,0),0)</f>
        <v>0</v>
      </c>
      <c r="AD312" s="103" t="n">
        <f aca="false">IF(AND(ISNUMBER($T312),$P312="高"),IF($T312=3,1,0),0)</f>
        <v>1</v>
      </c>
      <c r="AE312" s="103" t="n">
        <f aca="false">IF(AND($S312="不存在",$B312="切片一"),1,0)</f>
        <v>0</v>
      </c>
    </row>
    <row r="313" customFormat="false" ht="15" hidden="false" customHeight="false" outlineLevel="0" collapsed="false">
      <c r="A313" s="53" t="s">
        <v>3007</v>
      </c>
      <c r="B313" s="52" t="s">
        <v>2297</v>
      </c>
      <c r="C313" s="53" t="s">
        <v>2995</v>
      </c>
      <c r="D313" s="53" t="s">
        <v>2796</v>
      </c>
      <c r="E313" s="6" t="s">
        <v>399</v>
      </c>
      <c r="F313" s="52" t="s">
        <v>2337</v>
      </c>
      <c r="G313" s="52" t="s">
        <v>2299</v>
      </c>
      <c r="H313" s="53" t="s">
        <v>3004</v>
      </c>
      <c r="I313" s="5" t="s">
        <v>2339</v>
      </c>
      <c r="J313" s="53" t="s">
        <v>554</v>
      </c>
      <c r="K313" s="52"/>
      <c r="L313" s="52"/>
      <c r="M313" s="53" t="s">
        <v>554</v>
      </c>
      <c r="N313" s="5" t="s">
        <v>2340</v>
      </c>
      <c r="O313" s="6" t="s">
        <v>554</v>
      </c>
      <c r="P313" s="52" t="s">
        <v>1079</v>
      </c>
      <c r="Q313" s="54" t="n">
        <f aca="false">Calib!C16</f>
        <v>1024</v>
      </c>
      <c r="R313" s="83" t="n">
        <f aca="false">SRC_PERF_009_OSL</f>
        <v>1024</v>
      </c>
      <c r="S313" s="83" t="str">
        <f aca="false">IF(OR($H313="—",$H313=""),"—",IF(ISNUMBER(MATCH($H313,SRC_HW!$A$5:$A$400,0)),INDEX(SRC_HW!$O$5:$O$400,MATCH($H313,SRC_HW!$A$5:$A$400,0)),IF(ISNUMBER(MATCH($H313,SRC_DC!$A$5:$A$400,0)),INDEX(SRC_DC!$O$5:$O$400,MATCH($H313,SRC_DC!$A$5:$A$400,0)),IF(ISNUMBER(MATCH($H313,SRC_Model!$A$5:$A$400,0)),INDEX(SRC_Model!$O$5:$O$400,MATCH($H313,SRC_Model!$A$5:$A$400,0)),IF(ISNUMBER(MATCH($H313,SRC_Perf!$A$5:$A$400,0)),INDEX(SRC_Perf!$O$5:$O$400,MATCH($H313,SRC_Perf!$A$5:$A$400,0)),"不存在")))))</f>
        <v>Active</v>
      </c>
      <c r="T313" s="83" t="n">
        <f aca="false">IF(OR($H313="—",$H313=""),"—",IF(ISNUMBER(MATCH($H313,SRC_HW!$A$5:$A$400,0)),INDEX(SRC_HW!$K$5:$K$400,MATCH($H313,SRC_HW!$A$5:$A$400,0)),IF(ISNUMBER(MATCH($H313,SRC_DC!$A$5:$A$400,0)),INDEX(SRC_DC!$K$5:$K$400,MATCH($H313,SRC_DC!$A$5:$A$400,0)),IF(ISNUMBER(MATCH($H313,SRC_Model!$A$5:$A$400,0)),INDEX(SRC_Model!$K$5:$K$400,MATCH($H313,SRC_Model!$A$5:$A$400,0)),IF(ISNUMBER(MATCH($H313,SRC_Perf!$A$5:$A$400,0)),INDEX(SRC_Perf!$K$5:$K$400,MATCH($H313,SRC_Perf!$A$5:$A$400,0)),"不存在")))))</f>
        <v>3</v>
      </c>
      <c r="U313" s="52" t="s">
        <v>2341</v>
      </c>
      <c r="V313" s="103" t="n">
        <f aca="false">IF(AND($F313="原始數據",$U313&lt;&gt;"連結 SRC"),1,0)</f>
        <v>0</v>
      </c>
      <c r="W313" s="103" t="n">
        <f aca="false">IF(AND($F313="Analogy",OR($H313="—",$H313="")),1,0)</f>
        <v>0</v>
      </c>
      <c r="X313" s="103" t="n">
        <f aca="false">IF(AND(OR($F313="Analogy",$F313="Assumed"),$G313&lt;&gt;"低",$G313&lt;&gt;"高",NOT(ISNUMBER($K313)),NOT(ISNUMBER($L313)),OR($M313="—",$M313="")),1,0)</f>
        <v>0</v>
      </c>
      <c r="Y313" s="103" t="n">
        <f aca="false">IF(AND(OR($F313="Analogy",$F313="Assumed",$F313="Derived（待改公式）",$F313="Derived（公式）"),OR($N313="—",$N313="",$N313=0)),1,0)</f>
        <v>0</v>
      </c>
      <c r="Z313" s="103" t="n">
        <f aca="false">IF(AND($F313="Decision",OR($J313="—",$J313="")),1,0)</f>
        <v>0</v>
      </c>
      <c r="AA313" s="84" t="n">
        <f aca="false">IF(OR($J313="—",$J313=""),0,IF(COUNTIF(Decisions!$A$5:$A$300,$J313)=0,1,0))</f>
        <v>0</v>
      </c>
      <c r="AB313" s="103" t="n">
        <f aca="false">IF(AND($F313="原始數據",$S313&lt;&gt;"Active"),1,0)</f>
        <v>0</v>
      </c>
      <c r="AC313" s="103" t="n">
        <f aca="false">IF(AND(ISNUMBER($K313),ISNUMBER($L313),ISNUMBER($Q313)),IF(OR($Q313&lt;MIN($K313,$L313),$Q313&gt;MAX($K313,$L313)),1,0),0)</f>
        <v>0</v>
      </c>
      <c r="AD313" s="103" t="n">
        <f aca="false">IF(AND(ISNUMBER($T313),$P313="高"),IF($T313=3,1,0),0)</f>
        <v>1</v>
      </c>
      <c r="AE313" s="103" t="n">
        <f aca="false">IF(AND($S313="不存在",$B313="切片一"),1,0)</f>
        <v>0</v>
      </c>
    </row>
    <row r="314" customFormat="false" ht="15" hidden="false" customHeight="false" outlineLevel="0" collapsed="false">
      <c r="A314" s="53" t="s">
        <v>3008</v>
      </c>
      <c r="B314" s="52" t="s">
        <v>2297</v>
      </c>
      <c r="C314" s="53" t="s">
        <v>2995</v>
      </c>
      <c r="D314" s="53" t="s">
        <v>2818</v>
      </c>
      <c r="E314" s="5" t="s">
        <v>400</v>
      </c>
      <c r="F314" s="52" t="s">
        <v>2337</v>
      </c>
      <c r="G314" s="52" t="s">
        <v>2299</v>
      </c>
      <c r="H314" s="53" t="s">
        <v>3004</v>
      </c>
      <c r="I314" s="5" t="s">
        <v>2339</v>
      </c>
      <c r="J314" s="53" t="s">
        <v>554</v>
      </c>
      <c r="K314" s="52"/>
      <c r="L314" s="52"/>
      <c r="M314" s="53" t="s">
        <v>554</v>
      </c>
      <c r="N314" s="5" t="s">
        <v>2340</v>
      </c>
      <c r="O314" s="6" t="s">
        <v>554</v>
      </c>
      <c r="P314" s="52" t="s">
        <v>1079</v>
      </c>
      <c r="Q314" s="54" t="n">
        <f aca="false">Calib!C17</f>
        <v>9384.4</v>
      </c>
      <c r="R314" s="83" t="n">
        <f aca="false">SRC_PERF_009</f>
        <v>9384.4</v>
      </c>
      <c r="S314" s="83" t="str">
        <f aca="false">IF(OR($H314="—",$H314=""),"—",IF(ISNUMBER(MATCH($H314,SRC_HW!$A$5:$A$400,0)),INDEX(SRC_HW!$O$5:$O$400,MATCH($H314,SRC_HW!$A$5:$A$400,0)),IF(ISNUMBER(MATCH($H314,SRC_DC!$A$5:$A$400,0)),INDEX(SRC_DC!$O$5:$O$400,MATCH($H314,SRC_DC!$A$5:$A$400,0)),IF(ISNUMBER(MATCH($H314,SRC_Model!$A$5:$A$400,0)),INDEX(SRC_Model!$O$5:$O$400,MATCH($H314,SRC_Model!$A$5:$A$400,0)),IF(ISNUMBER(MATCH($H314,SRC_Perf!$A$5:$A$400,0)),INDEX(SRC_Perf!$O$5:$O$400,MATCH($H314,SRC_Perf!$A$5:$A$400,0)),"不存在")))))</f>
        <v>Active</v>
      </c>
      <c r="T314" s="83" t="n">
        <f aca="false">IF(OR($H314="—",$H314=""),"—",IF(ISNUMBER(MATCH($H314,SRC_HW!$A$5:$A$400,0)),INDEX(SRC_HW!$K$5:$K$400,MATCH($H314,SRC_HW!$A$5:$A$400,0)),IF(ISNUMBER(MATCH($H314,SRC_DC!$A$5:$A$400,0)),INDEX(SRC_DC!$K$5:$K$400,MATCH($H314,SRC_DC!$A$5:$A$400,0)),IF(ISNUMBER(MATCH($H314,SRC_Model!$A$5:$A$400,0)),INDEX(SRC_Model!$K$5:$K$400,MATCH($H314,SRC_Model!$A$5:$A$400,0)),IF(ISNUMBER(MATCH($H314,SRC_Perf!$A$5:$A$400,0)),INDEX(SRC_Perf!$K$5:$K$400,MATCH($H314,SRC_Perf!$A$5:$A$400,0)),"不存在")))))</f>
        <v>3</v>
      </c>
      <c r="U314" s="52" t="s">
        <v>2341</v>
      </c>
      <c r="V314" s="103" t="n">
        <f aca="false">IF(AND($F314="原始數據",$U314&lt;&gt;"連結 SRC"),1,0)</f>
        <v>0</v>
      </c>
      <c r="W314" s="103" t="n">
        <f aca="false">IF(AND($F314="Analogy",OR($H314="—",$H314="")),1,0)</f>
        <v>0</v>
      </c>
      <c r="X314" s="103" t="n">
        <f aca="false">IF(AND(OR($F314="Analogy",$F314="Assumed"),$G314&lt;&gt;"低",$G314&lt;&gt;"高",NOT(ISNUMBER($K314)),NOT(ISNUMBER($L314)),OR($M314="—",$M314="")),1,0)</f>
        <v>0</v>
      </c>
      <c r="Y314" s="103" t="n">
        <f aca="false">IF(AND(OR($F314="Analogy",$F314="Assumed",$F314="Derived（待改公式）",$F314="Derived（公式）"),OR($N314="—",$N314="",$N314=0)),1,0)</f>
        <v>0</v>
      </c>
      <c r="Z314" s="103" t="n">
        <f aca="false">IF(AND($F314="Decision",OR($J314="—",$J314="")),1,0)</f>
        <v>0</v>
      </c>
      <c r="AA314" s="84" t="n">
        <f aca="false">IF(OR($J314="—",$J314=""),0,IF(COUNTIF(Decisions!$A$5:$A$300,$J314)=0,1,0))</f>
        <v>0</v>
      </c>
      <c r="AB314" s="103" t="n">
        <f aca="false">IF(AND($F314="原始數據",$S314&lt;&gt;"Active"),1,0)</f>
        <v>0</v>
      </c>
      <c r="AC314" s="103" t="n">
        <f aca="false">IF(AND(ISNUMBER($K314),ISNUMBER($L314),ISNUMBER($Q314)),IF(OR($Q314&lt;MIN($K314,$L314),$Q314&gt;MAX($K314,$L314)),1,0),0)</f>
        <v>0</v>
      </c>
      <c r="AD314" s="103" t="n">
        <f aca="false">IF(AND(ISNUMBER($T314),$P314="高"),IF($T314=3,1,0),0)</f>
        <v>1</v>
      </c>
      <c r="AE314" s="103" t="n">
        <f aca="false">IF(AND($S314="不存在",$B314="切片一"),1,0)</f>
        <v>0</v>
      </c>
    </row>
    <row r="315" customFormat="false" ht="15" hidden="false" customHeight="false" outlineLevel="0" collapsed="false">
      <c r="A315" s="53" t="s">
        <v>3009</v>
      </c>
      <c r="B315" s="52" t="s">
        <v>2297</v>
      </c>
      <c r="C315" s="53" t="s">
        <v>2995</v>
      </c>
      <c r="D315" s="53" t="s">
        <v>2334</v>
      </c>
      <c r="E315" s="6" t="s">
        <v>396</v>
      </c>
      <c r="F315" s="52" t="s">
        <v>2337</v>
      </c>
      <c r="G315" s="52" t="s">
        <v>2299</v>
      </c>
      <c r="H315" s="53" t="s">
        <v>3010</v>
      </c>
      <c r="I315" s="5" t="s">
        <v>2339</v>
      </c>
      <c r="J315" s="53" t="s">
        <v>554</v>
      </c>
      <c r="K315" s="52"/>
      <c r="L315" s="52"/>
      <c r="M315" s="53" t="s">
        <v>554</v>
      </c>
      <c r="N315" s="5" t="s">
        <v>2340</v>
      </c>
      <c r="O315" s="6" t="s">
        <v>554</v>
      </c>
      <c r="P315" s="52" t="s">
        <v>2307</v>
      </c>
      <c r="Q315" s="84" t="n">
        <f aca="false">Calib!D13</f>
        <v>1</v>
      </c>
      <c r="R315" s="83" t="n">
        <f aca="false">SRC_PERF_010_MTP</f>
        <v>1</v>
      </c>
      <c r="S315" s="83" t="str">
        <f aca="false">IF(OR($H315="—",$H315=""),"—",IF(ISNUMBER(MATCH($H315,SRC_HW!$A$5:$A$400,0)),INDEX(SRC_HW!$O$5:$O$400,MATCH($H315,SRC_HW!$A$5:$A$400,0)),IF(ISNUMBER(MATCH($H315,SRC_DC!$A$5:$A$400,0)),INDEX(SRC_DC!$O$5:$O$400,MATCH($H315,SRC_DC!$A$5:$A$400,0)),IF(ISNUMBER(MATCH($H315,SRC_Model!$A$5:$A$400,0)),INDEX(SRC_Model!$O$5:$O$400,MATCH($H315,SRC_Model!$A$5:$A$400,0)),IF(ISNUMBER(MATCH($H315,SRC_Perf!$A$5:$A$400,0)),INDEX(SRC_Perf!$O$5:$O$400,MATCH($H315,SRC_Perf!$A$5:$A$400,0)),"不存在")))))</f>
        <v>Active</v>
      </c>
      <c r="T315" s="83" t="n">
        <f aca="false">IF(OR($H315="—",$H315=""),"—",IF(ISNUMBER(MATCH($H315,SRC_HW!$A$5:$A$400,0)),INDEX(SRC_HW!$K$5:$K$400,MATCH($H315,SRC_HW!$A$5:$A$400,0)),IF(ISNUMBER(MATCH($H315,SRC_DC!$A$5:$A$400,0)),INDEX(SRC_DC!$K$5:$K$400,MATCH($H315,SRC_DC!$A$5:$A$400,0)),IF(ISNUMBER(MATCH($H315,SRC_Model!$A$5:$A$400,0)),INDEX(SRC_Model!$K$5:$K$400,MATCH($H315,SRC_Model!$A$5:$A$400,0)),IF(ISNUMBER(MATCH($H315,SRC_Perf!$A$5:$A$400,0)),INDEX(SRC_Perf!$K$5:$K$400,MATCH($H315,SRC_Perf!$A$5:$A$400,0)),"不存在")))))</f>
        <v>3</v>
      </c>
      <c r="U315" s="52" t="s">
        <v>2341</v>
      </c>
      <c r="V315" s="103" t="n">
        <f aca="false">IF(AND($F315="原始數據",$U315&lt;&gt;"連結 SRC"),1,0)</f>
        <v>0</v>
      </c>
      <c r="W315" s="103" t="n">
        <f aca="false">IF(AND($F315="Analogy",OR($H315="—",$H315="")),1,0)</f>
        <v>0</v>
      </c>
      <c r="X315" s="103" t="n">
        <f aca="false">IF(AND(OR($F315="Analogy",$F315="Assumed"),$G315&lt;&gt;"低",$G315&lt;&gt;"高",NOT(ISNUMBER($K315)),NOT(ISNUMBER($L315)),OR($M315="—",$M315="")),1,0)</f>
        <v>0</v>
      </c>
      <c r="Y315" s="103" t="n">
        <f aca="false">IF(AND(OR($F315="Analogy",$F315="Assumed",$F315="Derived（待改公式）",$F315="Derived（公式）"),OR($N315="—",$N315="",$N315=0)),1,0)</f>
        <v>0</v>
      </c>
      <c r="Z315" s="103" t="n">
        <f aca="false">IF(AND($F315="Decision",OR($J315="—",$J315="")),1,0)</f>
        <v>0</v>
      </c>
      <c r="AA315" s="84" t="n">
        <f aca="false">IF(OR($J315="—",$J315=""),0,IF(COUNTIF(Decisions!$A$5:$A$300,$J315)=0,1,0))</f>
        <v>0</v>
      </c>
      <c r="AB315" s="103" t="n">
        <f aca="false">IF(AND($F315="原始數據",$S315&lt;&gt;"Active"),1,0)</f>
        <v>0</v>
      </c>
      <c r="AC315" s="103" t="n">
        <f aca="false">IF(AND(ISNUMBER($K315),ISNUMBER($L315),ISNUMBER($Q315)),IF(OR($Q315&lt;MIN($K315,$L315),$Q315&gt;MAX($K315,$L315)),1,0),0)</f>
        <v>0</v>
      </c>
      <c r="AD315" s="103" t="n">
        <f aca="false">IF(AND(ISNUMBER($T315),$P315="高"),IF($T315=3,1,0),0)</f>
        <v>0</v>
      </c>
      <c r="AE315" s="103" t="n">
        <f aca="false">IF(AND($S315="不存在",$B315="切片一"),1,0)</f>
        <v>0</v>
      </c>
    </row>
    <row r="316" customFormat="false" ht="15" hidden="false" customHeight="false" outlineLevel="0" collapsed="false">
      <c r="A316" s="53" t="s">
        <v>3011</v>
      </c>
      <c r="B316" s="52" t="s">
        <v>2297</v>
      </c>
      <c r="C316" s="53" t="s">
        <v>2995</v>
      </c>
      <c r="D316" s="53" t="s">
        <v>2345</v>
      </c>
      <c r="E316" s="5" t="s">
        <v>397</v>
      </c>
      <c r="F316" s="52" t="s">
        <v>2337</v>
      </c>
      <c r="G316" s="52" t="s">
        <v>2299</v>
      </c>
      <c r="H316" s="53" t="s">
        <v>3010</v>
      </c>
      <c r="I316" s="5" t="s">
        <v>2339</v>
      </c>
      <c r="J316" s="53" t="s">
        <v>554</v>
      </c>
      <c r="K316" s="52"/>
      <c r="L316" s="52"/>
      <c r="M316" s="53" t="s">
        <v>554</v>
      </c>
      <c r="N316" s="5" t="s">
        <v>2340</v>
      </c>
      <c r="O316" s="6" t="s">
        <v>554</v>
      </c>
      <c r="P316" s="52" t="s">
        <v>1079</v>
      </c>
      <c r="Q316" s="54" t="n">
        <f aca="false">Calib!D14</f>
        <v>130</v>
      </c>
      <c r="R316" s="83" t="n">
        <f aca="false">SRC_PERF_010_Spd</f>
        <v>130</v>
      </c>
      <c r="S316" s="83" t="str">
        <f aca="false">IF(OR($H316="—",$H316=""),"—",IF(ISNUMBER(MATCH($H316,SRC_HW!$A$5:$A$400,0)),INDEX(SRC_HW!$O$5:$O$400,MATCH($H316,SRC_HW!$A$5:$A$400,0)),IF(ISNUMBER(MATCH($H316,SRC_DC!$A$5:$A$400,0)),INDEX(SRC_DC!$O$5:$O$400,MATCH($H316,SRC_DC!$A$5:$A$400,0)),IF(ISNUMBER(MATCH($H316,SRC_Model!$A$5:$A$400,0)),INDEX(SRC_Model!$O$5:$O$400,MATCH($H316,SRC_Model!$A$5:$A$400,0)),IF(ISNUMBER(MATCH($H316,SRC_Perf!$A$5:$A$400,0)),INDEX(SRC_Perf!$O$5:$O$400,MATCH($H316,SRC_Perf!$A$5:$A$400,0)),"不存在")))))</f>
        <v>Active</v>
      </c>
      <c r="T316" s="83" t="n">
        <f aca="false">IF(OR($H316="—",$H316=""),"—",IF(ISNUMBER(MATCH($H316,SRC_HW!$A$5:$A$400,0)),INDEX(SRC_HW!$K$5:$K$400,MATCH($H316,SRC_HW!$A$5:$A$400,0)),IF(ISNUMBER(MATCH($H316,SRC_DC!$A$5:$A$400,0)),INDEX(SRC_DC!$K$5:$K$400,MATCH($H316,SRC_DC!$A$5:$A$400,0)),IF(ISNUMBER(MATCH($H316,SRC_Model!$A$5:$A$400,0)),INDEX(SRC_Model!$K$5:$K$400,MATCH($H316,SRC_Model!$A$5:$A$400,0)),IF(ISNUMBER(MATCH($H316,SRC_Perf!$A$5:$A$400,0)),INDEX(SRC_Perf!$K$5:$K$400,MATCH($H316,SRC_Perf!$A$5:$A$400,0)),"不存在")))))</f>
        <v>3</v>
      </c>
      <c r="U316" s="52" t="s">
        <v>2341</v>
      </c>
      <c r="V316" s="103" t="n">
        <f aca="false">IF(AND($F316="原始數據",$U316&lt;&gt;"連結 SRC"),1,0)</f>
        <v>0</v>
      </c>
      <c r="W316" s="103" t="n">
        <f aca="false">IF(AND($F316="Analogy",OR($H316="—",$H316="")),1,0)</f>
        <v>0</v>
      </c>
      <c r="X316" s="103" t="n">
        <f aca="false">IF(AND(OR($F316="Analogy",$F316="Assumed"),$G316&lt;&gt;"低",$G316&lt;&gt;"高",NOT(ISNUMBER($K316)),NOT(ISNUMBER($L316)),OR($M316="—",$M316="")),1,0)</f>
        <v>0</v>
      </c>
      <c r="Y316" s="103" t="n">
        <f aca="false">IF(AND(OR($F316="Analogy",$F316="Assumed",$F316="Derived（待改公式）",$F316="Derived（公式）"),OR($N316="—",$N316="",$N316=0)),1,0)</f>
        <v>0</v>
      </c>
      <c r="Z316" s="103" t="n">
        <f aca="false">IF(AND($F316="Decision",OR($J316="—",$J316="")),1,0)</f>
        <v>0</v>
      </c>
      <c r="AA316" s="84" t="n">
        <f aca="false">IF(OR($J316="—",$J316=""),0,IF(COUNTIF(Decisions!$A$5:$A$300,$J316)=0,1,0))</f>
        <v>0</v>
      </c>
      <c r="AB316" s="103" t="n">
        <f aca="false">IF(AND($F316="原始數據",$S316&lt;&gt;"Active"),1,0)</f>
        <v>0</v>
      </c>
      <c r="AC316" s="103" t="n">
        <f aca="false">IF(AND(ISNUMBER($K316),ISNUMBER($L316),ISNUMBER($Q316)),IF(OR($Q316&lt;MIN($K316,$L316),$Q316&gt;MAX($K316,$L316)),1,0),0)</f>
        <v>0</v>
      </c>
      <c r="AD316" s="103" t="n">
        <f aca="false">IF(AND(ISNUMBER($T316),$P316="高"),IF($T316=3,1,0),0)</f>
        <v>1</v>
      </c>
      <c r="AE316" s="103" t="n">
        <f aca="false">IF(AND($S316="不存在",$B316="切片一"),1,0)</f>
        <v>0</v>
      </c>
    </row>
    <row r="317" customFormat="false" ht="15" hidden="false" customHeight="false" outlineLevel="0" collapsed="false">
      <c r="A317" s="53" t="s">
        <v>3012</v>
      </c>
      <c r="B317" s="52" t="s">
        <v>2297</v>
      </c>
      <c r="C317" s="53" t="s">
        <v>2995</v>
      </c>
      <c r="D317" s="53" t="s">
        <v>2794</v>
      </c>
      <c r="E317" s="6" t="s">
        <v>398</v>
      </c>
      <c r="F317" s="52" t="s">
        <v>2337</v>
      </c>
      <c r="G317" s="52" t="s">
        <v>2299</v>
      </c>
      <c r="H317" s="53" t="s">
        <v>3010</v>
      </c>
      <c r="I317" s="5" t="s">
        <v>2339</v>
      </c>
      <c r="J317" s="53" t="s">
        <v>554</v>
      </c>
      <c r="K317" s="52"/>
      <c r="L317" s="52"/>
      <c r="M317" s="53" t="s">
        <v>554</v>
      </c>
      <c r="N317" s="5" t="s">
        <v>2340</v>
      </c>
      <c r="O317" s="6" t="s">
        <v>554</v>
      </c>
      <c r="P317" s="52" t="s">
        <v>1079</v>
      </c>
      <c r="Q317" s="54" t="n">
        <f aca="false">Calib!D15</f>
        <v>8192</v>
      </c>
      <c r="R317" s="83" t="n">
        <f aca="false">SRC_PERF_010_ISL</f>
        <v>8192</v>
      </c>
      <c r="S317" s="83" t="str">
        <f aca="false">IF(OR($H317="—",$H317=""),"—",IF(ISNUMBER(MATCH($H317,SRC_HW!$A$5:$A$400,0)),INDEX(SRC_HW!$O$5:$O$400,MATCH($H317,SRC_HW!$A$5:$A$400,0)),IF(ISNUMBER(MATCH($H317,SRC_DC!$A$5:$A$400,0)),INDEX(SRC_DC!$O$5:$O$400,MATCH($H317,SRC_DC!$A$5:$A$400,0)),IF(ISNUMBER(MATCH($H317,SRC_Model!$A$5:$A$400,0)),INDEX(SRC_Model!$O$5:$O$400,MATCH($H317,SRC_Model!$A$5:$A$400,0)),IF(ISNUMBER(MATCH($H317,SRC_Perf!$A$5:$A$400,0)),INDEX(SRC_Perf!$O$5:$O$400,MATCH($H317,SRC_Perf!$A$5:$A$400,0)),"不存在")))))</f>
        <v>Active</v>
      </c>
      <c r="T317" s="83" t="n">
        <f aca="false">IF(OR($H317="—",$H317=""),"—",IF(ISNUMBER(MATCH($H317,SRC_HW!$A$5:$A$400,0)),INDEX(SRC_HW!$K$5:$K$400,MATCH($H317,SRC_HW!$A$5:$A$400,0)),IF(ISNUMBER(MATCH($H317,SRC_DC!$A$5:$A$400,0)),INDEX(SRC_DC!$K$5:$K$400,MATCH($H317,SRC_DC!$A$5:$A$400,0)),IF(ISNUMBER(MATCH($H317,SRC_Model!$A$5:$A$400,0)),INDEX(SRC_Model!$K$5:$K$400,MATCH($H317,SRC_Model!$A$5:$A$400,0)),IF(ISNUMBER(MATCH($H317,SRC_Perf!$A$5:$A$400,0)),INDEX(SRC_Perf!$K$5:$K$400,MATCH($H317,SRC_Perf!$A$5:$A$400,0)),"不存在")))))</f>
        <v>3</v>
      </c>
      <c r="U317" s="52" t="s">
        <v>2341</v>
      </c>
      <c r="V317" s="103" t="n">
        <f aca="false">IF(AND($F317="原始數據",$U317&lt;&gt;"連結 SRC"),1,0)</f>
        <v>0</v>
      </c>
      <c r="W317" s="103" t="n">
        <f aca="false">IF(AND($F317="Analogy",OR($H317="—",$H317="")),1,0)</f>
        <v>0</v>
      </c>
      <c r="X317" s="103" t="n">
        <f aca="false">IF(AND(OR($F317="Analogy",$F317="Assumed"),$G317&lt;&gt;"低",$G317&lt;&gt;"高",NOT(ISNUMBER($K317)),NOT(ISNUMBER($L317)),OR($M317="—",$M317="")),1,0)</f>
        <v>0</v>
      </c>
      <c r="Y317" s="103" t="n">
        <f aca="false">IF(AND(OR($F317="Analogy",$F317="Assumed",$F317="Derived（待改公式）",$F317="Derived（公式）"),OR($N317="—",$N317="",$N317=0)),1,0)</f>
        <v>0</v>
      </c>
      <c r="Z317" s="103" t="n">
        <f aca="false">IF(AND($F317="Decision",OR($J317="—",$J317="")),1,0)</f>
        <v>0</v>
      </c>
      <c r="AA317" s="84" t="n">
        <f aca="false">IF(OR($J317="—",$J317=""),0,IF(COUNTIF(Decisions!$A$5:$A$300,$J317)=0,1,0))</f>
        <v>0</v>
      </c>
      <c r="AB317" s="103" t="n">
        <f aca="false">IF(AND($F317="原始數據",$S317&lt;&gt;"Active"),1,0)</f>
        <v>0</v>
      </c>
      <c r="AC317" s="103" t="n">
        <f aca="false">IF(AND(ISNUMBER($K317),ISNUMBER($L317),ISNUMBER($Q317)),IF(OR($Q317&lt;MIN($K317,$L317),$Q317&gt;MAX($K317,$L317)),1,0),0)</f>
        <v>0</v>
      </c>
      <c r="AD317" s="103" t="n">
        <f aca="false">IF(AND(ISNUMBER($T317),$P317="高"),IF($T317=3,1,0),0)</f>
        <v>1</v>
      </c>
      <c r="AE317" s="103" t="n">
        <f aca="false">IF(AND($S317="不存在",$B317="切片一"),1,0)</f>
        <v>0</v>
      </c>
    </row>
    <row r="318" customFormat="false" ht="15" hidden="false" customHeight="false" outlineLevel="0" collapsed="false">
      <c r="A318" s="53" t="s">
        <v>3013</v>
      </c>
      <c r="B318" s="52" t="s">
        <v>2297</v>
      </c>
      <c r="C318" s="53" t="s">
        <v>2995</v>
      </c>
      <c r="D318" s="53" t="s">
        <v>2351</v>
      </c>
      <c r="E318" s="6" t="s">
        <v>399</v>
      </c>
      <c r="F318" s="52" t="s">
        <v>2337</v>
      </c>
      <c r="G318" s="52" t="s">
        <v>2299</v>
      </c>
      <c r="H318" s="53" t="s">
        <v>3010</v>
      </c>
      <c r="I318" s="5" t="s">
        <v>2339</v>
      </c>
      <c r="J318" s="53" t="s">
        <v>554</v>
      </c>
      <c r="K318" s="52"/>
      <c r="L318" s="52"/>
      <c r="M318" s="53" t="s">
        <v>554</v>
      </c>
      <c r="N318" s="5" t="s">
        <v>2340</v>
      </c>
      <c r="O318" s="6" t="s">
        <v>554</v>
      </c>
      <c r="P318" s="52" t="s">
        <v>1079</v>
      </c>
      <c r="Q318" s="54" t="n">
        <f aca="false">Calib!D16</f>
        <v>1024</v>
      </c>
      <c r="R318" s="83" t="n">
        <f aca="false">SRC_PERF_010_OSL</f>
        <v>1024</v>
      </c>
      <c r="S318" s="83" t="str">
        <f aca="false">IF(OR($H318="—",$H318=""),"—",IF(ISNUMBER(MATCH($H318,SRC_HW!$A$5:$A$400,0)),INDEX(SRC_HW!$O$5:$O$400,MATCH($H318,SRC_HW!$A$5:$A$400,0)),IF(ISNUMBER(MATCH($H318,SRC_DC!$A$5:$A$400,0)),INDEX(SRC_DC!$O$5:$O$400,MATCH($H318,SRC_DC!$A$5:$A$400,0)),IF(ISNUMBER(MATCH($H318,SRC_Model!$A$5:$A$400,0)),INDEX(SRC_Model!$O$5:$O$400,MATCH($H318,SRC_Model!$A$5:$A$400,0)),IF(ISNUMBER(MATCH($H318,SRC_Perf!$A$5:$A$400,0)),INDEX(SRC_Perf!$O$5:$O$400,MATCH($H318,SRC_Perf!$A$5:$A$400,0)),"不存在")))))</f>
        <v>Active</v>
      </c>
      <c r="T318" s="83" t="n">
        <f aca="false">IF(OR($H318="—",$H318=""),"—",IF(ISNUMBER(MATCH($H318,SRC_HW!$A$5:$A$400,0)),INDEX(SRC_HW!$K$5:$K$400,MATCH($H318,SRC_HW!$A$5:$A$400,0)),IF(ISNUMBER(MATCH($H318,SRC_DC!$A$5:$A$400,0)),INDEX(SRC_DC!$K$5:$K$400,MATCH($H318,SRC_DC!$A$5:$A$400,0)),IF(ISNUMBER(MATCH($H318,SRC_Model!$A$5:$A$400,0)),INDEX(SRC_Model!$K$5:$K$400,MATCH($H318,SRC_Model!$A$5:$A$400,0)),IF(ISNUMBER(MATCH($H318,SRC_Perf!$A$5:$A$400,0)),INDEX(SRC_Perf!$K$5:$K$400,MATCH($H318,SRC_Perf!$A$5:$A$400,0)),"不存在")))))</f>
        <v>3</v>
      </c>
      <c r="U318" s="52" t="s">
        <v>2341</v>
      </c>
      <c r="V318" s="103" t="n">
        <f aca="false">IF(AND($F318="原始數據",$U318&lt;&gt;"連結 SRC"),1,0)</f>
        <v>0</v>
      </c>
      <c r="W318" s="103" t="n">
        <f aca="false">IF(AND($F318="Analogy",OR($H318="—",$H318="")),1,0)</f>
        <v>0</v>
      </c>
      <c r="X318" s="103" t="n">
        <f aca="false">IF(AND(OR($F318="Analogy",$F318="Assumed"),$G318&lt;&gt;"低",$G318&lt;&gt;"高",NOT(ISNUMBER($K318)),NOT(ISNUMBER($L318)),OR($M318="—",$M318="")),1,0)</f>
        <v>0</v>
      </c>
      <c r="Y318" s="103" t="n">
        <f aca="false">IF(AND(OR($F318="Analogy",$F318="Assumed",$F318="Derived（待改公式）",$F318="Derived（公式）"),OR($N318="—",$N318="",$N318=0)),1,0)</f>
        <v>0</v>
      </c>
      <c r="Z318" s="103" t="n">
        <f aca="false">IF(AND($F318="Decision",OR($J318="—",$J318="")),1,0)</f>
        <v>0</v>
      </c>
      <c r="AA318" s="84" t="n">
        <f aca="false">IF(OR($J318="—",$J318=""),0,IF(COUNTIF(Decisions!$A$5:$A$300,$J318)=0,1,0))</f>
        <v>0</v>
      </c>
      <c r="AB318" s="103" t="n">
        <f aca="false">IF(AND($F318="原始數據",$S318&lt;&gt;"Active"),1,0)</f>
        <v>0</v>
      </c>
      <c r="AC318" s="103" t="n">
        <f aca="false">IF(AND(ISNUMBER($K318),ISNUMBER($L318),ISNUMBER($Q318)),IF(OR($Q318&lt;MIN($K318,$L318),$Q318&gt;MAX($K318,$L318)),1,0),0)</f>
        <v>0</v>
      </c>
      <c r="AD318" s="103" t="n">
        <f aca="false">IF(AND(ISNUMBER($T318),$P318="高"),IF($T318=3,1,0),0)</f>
        <v>1</v>
      </c>
      <c r="AE318" s="103" t="n">
        <f aca="false">IF(AND($S318="不存在",$B318="切片一"),1,0)</f>
        <v>0</v>
      </c>
    </row>
    <row r="319" customFormat="false" ht="15" hidden="false" customHeight="false" outlineLevel="0" collapsed="false">
      <c r="A319" s="53" t="s">
        <v>3014</v>
      </c>
      <c r="B319" s="52" t="s">
        <v>2297</v>
      </c>
      <c r="C319" s="53" t="s">
        <v>2995</v>
      </c>
      <c r="D319" s="53" t="s">
        <v>2357</v>
      </c>
      <c r="E319" s="5" t="s">
        <v>400</v>
      </c>
      <c r="F319" s="52" t="s">
        <v>2337</v>
      </c>
      <c r="G319" s="52" t="s">
        <v>2299</v>
      </c>
      <c r="H319" s="53" t="s">
        <v>3010</v>
      </c>
      <c r="I319" s="5" t="s">
        <v>2339</v>
      </c>
      <c r="J319" s="53" t="s">
        <v>554</v>
      </c>
      <c r="K319" s="52"/>
      <c r="L319" s="52"/>
      <c r="M319" s="53" t="s">
        <v>554</v>
      </c>
      <c r="N319" s="5" t="s">
        <v>2340</v>
      </c>
      <c r="O319" s="6" t="s">
        <v>554</v>
      </c>
      <c r="P319" s="52" t="s">
        <v>1079</v>
      </c>
      <c r="Q319" s="54" t="n">
        <f aca="false">Calib!D17</f>
        <v>3473.9</v>
      </c>
      <c r="R319" s="83" t="n">
        <f aca="false">SRC_PERF_010</f>
        <v>3473.9</v>
      </c>
      <c r="S319" s="83" t="str">
        <f aca="false">IF(OR($H319="—",$H319=""),"—",IF(ISNUMBER(MATCH($H319,SRC_HW!$A$5:$A$400,0)),INDEX(SRC_HW!$O$5:$O$400,MATCH($H319,SRC_HW!$A$5:$A$400,0)),IF(ISNUMBER(MATCH($H319,SRC_DC!$A$5:$A$400,0)),INDEX(SRC_DC!$O$5:$O$400,MATCH($H319,SRC_DC!$A$5:$A$400,0)),IF(ISNUMBER(MATCH($H319,SRC_Model!$A$5:$A$400,0)),INDEX(SRC_Model!$O$5:$O$400,MATCH($H319,SRC_Model!$A$5:$A$400,0)),IF(ISNUMBER(MATCH($H319,SRC_Perf!$A$5:$A$400,0)),INDEX(SRC_Perf!$O$5:$O$400,MATCH($H319,SRC_Perf!$A$5:$A$400,0)),"不存在")))))</f>
        <v>Active</v>
      </c>
      <c r="T319" s="83" t="n">
        <f aca="false">IF(OR($H319="—",$H319=""),"—",IF(ISNUMBER(MATCH($H319,SRC_HW!$A$5:$A$400,0)),INDEX(SRC_HW!$K$5:$K$400,MATCH($H319,SRC_HW!$A$5:$A$400,0)),IF(ISNUMBER(MATCH($H319,SRC_DC!$A$5:$A$400,0)),INDEX(SRC_DC!$K$5:$K$400,MATCH($H319,SRC_DC!$A$5:$A$400,0)),IF(ISNUMBER(MATCH($H319,SRC_Model!$A$5:$A$400,0)),INDEX(SRC_Model!$K$5:$K$400,MATCH($H319,SRC_Model!$A$5:$A$400,0)),IF(ISNUMBER(MATCH($H319,SRC_Perf!$A$5:$A$400,0)),INDEX(SRC_Perf!$K$5:$K$400,MATCH($H319,SRC_Perf!$A$5:$A$400,0)),"不存在")))))</f>
        <v>3</v>
      </c>
      <c r="U319" s="52" t="s">
        <v>2341</v>
      </c>
      <c r="V319" s="103" t="n">
        <f aca="false">IF(AND($F319="原始數據",$U319&lt;&gt;"連結 SRC"),1,0)</f>
        <v>0</v>
      </c>
      <c r="W319" s="103" t="n">
        <f aca="false">IF(AND($F319="Analogy",OR($H319="—",$H319="")),1,0)</f>
        <v>0</v>
      </c>
      <c r="X319" s="103" t="n">
        <f aca="false">IF(AND(OR($F319="Analogy",$F319="Assumed"),$G319&lt;&gt;"低",$G319&lt;&gt;"高",NOT(ISNUMBER($K319)),NOT(ISNUMBER($L319)),OR($M319="—",$M319="")),1,0)</f>
        <v>0</v>
      </c>
      <c r="Y319" s="103" t="n">
        <f aca="false">IF(AND(OR($F319="Analogy",$F319="Assumed",$F319="Derived（待改公式）",$F319="Derived（公式）"),OR($N319="—",$N319="",$N319=0)),1,0)</f>
        <v>0</v>
      </c>
      <c r="Z319" s="103" t="n">
        <f aca="false">IF(AND($F319="Decision",OR($J319="—",$J319="")),1,0)</f>
        <v>0</v>
      </c>
      <c r="AA319" s="84" t="n">
        <f aca="false">IF(OR($J319="—",$J319=""),0,IF(COUNTIF(Decisions!$A$5:$A$300,$J319)=0,1,0))</f>
        <v>0</v>
      </c>
      <c r="AB319" s="103" t="n">
        <f aca="false">IF(AND($F319="原始數據",$S319&lt;&gt;"Active"),1,0)</f>
        <v>0</v>
      </c>
      <c r="AC319" s="103" t="n">
        <f aca="false">IF(AND(ISNUMBER($K319),ISNUMBER($L319),ISNUMBER($Q319)),IF(OR($Q319&lt;MIN($K319,$L319),$Q319&gt;MAX($K319,$L319)),1,0),0)</f>
        <v>0</v>
      </c>
      <c r="AD319" s="103" t="n">
        <f aca="false">IF(AND(ISNUMBER($T319),$P319="高"),IF($T319=3,1,0),0)</f>
        <v>1</v>
      </c>
      <c r="AE319" s="103" t="n">
        <f aca="false">IF(AND($S319="不存在",$B319="切片一"),1,0)</f>
        <v>0</v>
      </c>
    </row>
    <row r="320" customFormat="false" ht="15" hidden="false" customHeight="false" outlineLevel="0" collapsed="false">
      <c r="A320" s="53" t="s">
        <v>3015</v>
      </c>
      <c r="B320" s="52" t="s">
        <v>2297</v>
      </c>
      <c r="C320" s="53" t="s">
        <v>2995</v>
      </c>
      <c r="D320" s="53" t="s">
        <v>2331</v>
      </c>
      <c r="E320" s="6" t="s">
        <v>396</v>
      </c>
      <c r="F320" s="52" t="s">
        <v>2337</v>
      </c>
      <c r="G320" s="52" t="s">
        <v>2299</v>
      </c>
      <c r="H320" s="53" t="s">
        <v>3016</v>
      </c>
      <c r="I320" s="5" t="s">
        <v>2339</v>
      </c>
      <c r="J320" s="53" t="s">
        <v>554</v>
      </c>
      <c r="K320" s="52"/>
      <c r="L320" s="52"/>
      <c r="M320" s="53" t="s">
        <v>554</v>
      </c>
      <c r="N320" s="5" t="s">
        <v>2340</v>
      </c>
      <c r="O320" s="6" t="s">
        <v>554</v>
      </c>
      <c r="P320" s="52" t="s">
        <v>2307</v>
      </c>
      <c r="Q320" s="84" t="n">
        <f aca="false">Calib!E13</f>
        <v>1</v>
      </c>
      <c r="R320" s="83" t="n">
        <f aca="false">SRC_PERF_004_MTP</f>
        <v>1</v>
      </c>
      <c r="S320" s="83" t="str">
        <f aca="false">IF(OR($H320="—",$H320=""),"—",IF(ISNUMBER(MATCH($H320,SRC_HW!$A$5:$A$400,0)),INDEX(SRC_HW!$O$5:$O$400,MATCH($H320,SRC_HW!$A$5:$A$400,0)),IF(ISNUMBER(MATCH($H320,SRC_DC!$A$5:$A$400,0)),INDEX(SRC_DC!$O$5:$O$400,MATCH($H320,SRC_DC!$A$5:$A$400,0)),IF(ISNUMBER(MATCH($H320,SRC_Model!$A$5:$A$400,0)),INDEX(SRC_Model!$O$5:$O$400,MATCH($H320,SRC_Model!$A$5:$A$400,0)),IF(ISNUMBER(MATCH($H320,SRC_Perf!$A$5:$A$400,0)),INDEX(SRC_Perf!$O$5:$O$400,MATCH($H320,SRC_Perf!$A$5:$A$400,0)),"不存在")))))</f>
        <v>Active</v>
      </c>
      <c r="T320" s="83" t="n">
        <f aca="false">IF(OR($H320="—",$H320=""),"—",IF(ISNUMBER(MATCH($H320,SRC_HW!$A$5:$A$400,0)),INDEX(SRC_HW!$K$5:$K$400,MATCH($H320,SRC_HW!$A$5:$A$400,0)),IF(ISNUMBER(MATCH($H320,SRC_DC!$A$5:$A$400,0)),INDEX(SRC_DC!$K$5:$K$400,MATCH($H320,SRC_DC!$A$5:$A$400,0)),IF(ISNUMBER(MATCH($H320,SRC_Model!$A$5:$A$400,0)),INDEX(SRC_Model!$K$5:$K$400,MATCH($H320,SRC_Model!$A$5:$A$400,0)),IF(ISNUMBER(MATCH($H320,SRC_Perf!$A$5:$A$400,0)),INDEX(SRC_Perf!$K$5:$K$400,MATCH($H320,SRC_Perf!$A$5:$A$400,0)),"不存在")))))</f>
        <v>1</v>
      </c>
      <c r="U320" s="52" t="s">
        <v>2341</v>
      </c>
      <c r="V320" s="103" t="n">
        <f aca="false">IF(AND($F320="原始數據",$U320&lt;&gt;"連結 SRC"),1,0)</f>
        <v>0</v>
      </c>
      <c r="W320" s="103" t="n">
        <f aca="false">IF(AND($F320="Analogy",OR($H320="—",$H320="")),1,0)</f>
        <v>0</v>
      </c>
      <c r="X320" s="103" t="n">
        <f aca="false">IF(AND(OR($F320="Analogy",$F320="Assumed"),$G320&lt;&gt;"低",$G320&lt;&gt;"高",NOT(ISNUMBER($K320)),NOT(ISNUMBER($L320)),OR($M320="—",$M320="")),1,0)</f>
        <v>0</v>
      </c>
      <c r="Y320" s="103" t="n">
        <f aca="false">IF(AND(OR($F320="Analogy",$F320="Assumed",$F320="Derived（待改公式）",$F320="Derived（公式）"),OR($N320="—",$N320="",$N320=0)),1,0)</f>
        <v>0</v>
      </c>
      <c r="Z320" s="103" t="n">
        <f aca="false">IF(AND($F320="Decision",OR($J320="—",$J320="")),1,0)</f>
        <v>0</v>
      </c>
      <c r="AA320" s="84" t="n">
        <f aca="false">IF(OR($J320="—",$J320=""),0,IF(COUNTIF(Decisions!$A$5:$A$300,$J320)=0,1,0))</f>
        <v>0</v>
      </c>
      <c r="AB320" s="103" t="n">
        <f aca="false">IF(AND($F320="原始數據",$S320&lt;&gt;"Active"),1,0)</f>
        <v>0</v>
      </c>
      <c r="AC320" s="103" t="n">
        <f aca="false">IF(AND(ISNUMBER($K320),ISNUMBER($L320),ISNUMBER($Q320)),IF(OR($Q320&lt;MIN($K320,$L320),$Q320&gt;MAX($K320,$L320)),1,0),0)</f>
        <v>0</v>
      </c>
      <c r="AD320" s="103" t="n">
        <f aca="false">IF(AND(ISNUMBER($T320),$P320="高"),IF($T320=3,1,0),0)</f>
        <v>0</v>
      </c>
      <c r="AE320" s="103" t="n">
        <f aca="false">IF(AND($S320="不存在",$B320="切片一"),1,0)</f>
        <v>0</v>
      </c>
    </row>
    <row r="321" customFormat="false" ht="15" hidden="false" customHeight="false" outlineLevel="0" collapsed="false">
      <c r="A321" s="53" t="s">
        <v>3017</v>
      </c>
      <c r="B321" s="52" t="s">
        <v>2297</v>
      </c>
      <c r="C321" s="53" t="s">
        <v>2995</v>
      </c>
      <c r="D321" s="53" t="s">
        <v>2343</v>
      </c>
      <c r="E321" s="5" t="s">
        <v>397</v>
      </c>
      <c r="F321" s="52" t="s">
        <v>2337</v>
      </c>
      <c r="G321" s="52" t="s">
        <v>2299</v>
      </c>
      <c r="H321" s="53" t="s">
        <v>3016</v>
      </c>
      <c r="I321" s="5" t="s">
        <v>2339</v>
      </c>
      <c r="J321" s="53" t="s">
        <v>554</v>
      </c>
      <c r="K321" s="52"/>
      <c r="L321" s="52"/>
      <c r="M321" s="53" t="s">
        <v>554</v>
      </c>
      <c r="N321" s="5" t="s">
        <v>2340</v>
      </c>
      <c r="O321" s="6" t="s">
        <v>554</v>
      </c>
      <c r="P321" s="52" t="s">
        <v>1079</v>
      </c>
      <c r="Q321" s="54" t="n">
        <f aca="false">Calib!E14</f>
        <v>50</v>
      </c>
      <c r="R321" s="83" t="n">
        <f aca="false">SRC_PERF_004_Spd</f>
        <v>50</v>
      </c>
      <c r="S321" s="83" t="str">
        <f aca="false">IF(OR($H321="—",$H321=""),"—",IF(ISNUMBER(MATCH($H321,SRC_HW!$A$5:$A$400,0)),INDEX(SRC_HW!$O$5:$O$400,MATCH($H321,SRC_HW!$A$5:$A$400,0)),IF(ISNUMBER(MATCH($H321,SRC_DC!$A$5:$A$400,0)),INDEX(SRC_DC!$O$5:$O$400,MATCH($H321,SRC_DC!$A$5:$A$400,0)),IF(ISNUMBER(MATCH($H321,SRC_Model!$A$5:$A$400,0)),INDEX(SRC_Model!$O$5:$O$400,MATCH($H321,SRC_Model!$A$5:$A$400,0)),IF(ISNUMBER(MATCH($H321,SRC_Perf!$A$5:$A$400,0)),INDEX(SRC_Perf!$O$5:$O$400,MATCH($H321,SRC_Perf!$A$5:$A$400,0)),"不存在")))))</f>
        <v>Active</v>
      </c>
      <c r="T321" s="83" t="n">
        <f aca="false">IF(OR($H321="—",$H321=""),"—",IF(ISNUMBER(MATCH($H321,SRC_HW!$A$5:$A$400,0)),INDEX(SRC_HW!$K$5:$K$400,MATCH($H321,SRC_HW!$A$5:$A$400,0)),IF(ISNUMBER(MATCH($H321,SRC_DC!$A$5:$A$400,0)),INDEX(SRC_DC!$K$5:$K$400,MATCH($H321,SRC_DC!$A$5:$A$400,0)),IF(ISNUMBER(MATCH($H321,SRC_Model!$A$5:$A$400,0)),INDEX(SRC_Model!$K$5:$K$400,MATCH($H321,SRC_Model!$A$5:$A$400,0)),IF(ISNUMBER(MATCH($H321,SRC_Perf!$A$5:$A$400,0)),INDEX(SRC_Perf!$K$5:$K$400,MATCH($H321,SRC_Perf!$A$5:$A$400,0)),"不存在")))))</f>
        <v>1</v>
      </c>
      <c r="U321" s="52" t="s">
        <v>2341</v>
      </c>
      <c r="V321" s="103" t="n">
        <f aca="false">IF(AND($F321="原始數據",$U321&lt;&gt;"連結 SRC"),1,0)</f>
        <v>0</v>
      </c>
      <c r="W321" s="103" t="n">
        <f aca="false">IF(AND($F321="Analogy",OR($H321="—",$H321="")),1,0)</f>
        <v>0</v>
      </c>
      <c r="X321" s="103" t="n">
        <f aca="false">IF(AND(OR($F321="Analogy",$F321="Assumed"),$G321&lt;&gt;"低",$G321&lt;&gt;"高",NOT(ISNUMBER($K321)),NOT(ISNUMBER($L321)),OR($M321="—",$M321="")),1,0)</f>
        <v>0</v>
      </c>
      <c r="Y321" s="103" t="n">
        <f aca="false">IF(AND(OR($F321="Analogy",$F321="Assumed",$F321="Derived（待改公式）",$F321="Derived（公式）"),OR($N321="—",$N321="",$N321=0)),1,0)</f>
        <v>0</v>
      </c>
      <c r="Z321" s="103" t="n">
        <f aca="false">IF(AND($F321="Decision",OR($J321="—",$J321="")),1,0)</f>
        <v>0</v>
      </c>
      <c r="AA321" s="84" t="n">
        <f aca="false">IF(OR($J321="—",$J321=""),0,IF(COUNTIF(Decisions!$A$5:$A$300,$J321)=0,1,0))</f>
        <v>0</v>
      </c>
      <c r="AB321" s="103" t="n">
        <f aca="false">IF(AND($F321="原始數據",$S321&lt;&gt;"Active"),1,0)</f>
        <v>0</v>
      </c>
      <c r="AC321" s="103" t="n">
        <f aca="false">IF(AND(ISNUMBER($K321),ISNUMBER($L321),ISNUMBER($Q321)),IF(OR($Q321&lt;MIN($K321,$L321),$Q321&gt;MAX($K321,$L321)),1,0),0)</f>
        <v>0</v>
      </c>
      <c r="AD321" s="103" t="n">
        <f aca="false">IF(AND(ISNUMBER($T321),$P321="高"),IF($T321=3,1,0),0)</f>
        <v>0</v>
      </c>
      <c r="AE321" s="103" t="n">
        <f aca="false">IF(AND($S321="不存在",$B321="切片一"),1,0)</f>
        <v>0</v>
      </c>
    </row>
    <row r="322" customFormat="false" ht="15" hidden="false" customHeight="false" outlineLevel="0" collapsed="false">
      <c r="A322" s="53" t="s">
        <v>3018</v>
      </c>
      <c r="B322" s="52" t="s">
        <v>2297</v>
      </c>
      <c r="C322" s="53" t="s">
        <v>2995</v>
      </c>
      <c r="D322" s="53" t="s">
        <v>2839</v>
      </c>
      <c r="E322" s="6" t="s">
        <v>398</v>
      </c>
      <c r="F322" s="52" t="s">
        <v>2337</v>
      </c>
      <c r="G322" s="52" t="s">
        <v>2299</v>
      </c>
      <c r="H322" s="53" t="s">
        <v>3016</v>
      </c>
      <c r="I322" s="5" t="s">
        <v>2339</v>
      </c>
      <c r="J322" s="53" t="s">
        <v>554</v>
      </c>
      <c r="K322" s="52"/>
      <c r="L322" s="52"/>
      <c r="M322" s="53" t="s">
        <v>554</v>
      </c>
      <c r="N322" s="5" t="s">
        <v>2340</v>
      </c>
      <c r="O322" s="6" t="s">
        <v>554</v>
      </c>
      <c r="P322" s="52" t="s">
        <v>1079</v>
      </c>
      <c r="Q322" s="54" t="n">
        <f aca="false">Calib!E15</f>
        <v>8192</v>
      </c>
      <c r="R322" s="83" t="n">
        <f aca="false">SRC_PERF_004_ISL</f>
        <v>8192</v>
      </c>
      <c r="S322" s="83" t="str">
        <f aca="false">IF(OR($H322="—",$H322=""),"—",IF(ISNUMBER(MATCH($H322,SRC_HW!$A$5:$A$400,0)),INDEX(SRC_HW!$O$5:$O$400,MATCH($H322,SRC_HW!$A$5:$A$400,0)),IF(ISNUMBER(MATCH($H322,SRC_DC!$A$5:$A$400,0)),INDEX(SRC_DC!$O$5:$O$400,MATCH($H322,SRC_DC!$A$5:$A$400,0)),IF(ISNUMBER(MATCH($H322,SRC_Model!$A$5:$A$400,0)),INDEX(SRC_Model!$O$5:$O$400,MATCH($H322,SRC_Model!$A$5:$A$400,0)),IF(ISNUMBER(MATCH($H322,SRC_Perf!$A$5:$A$400,0)),INDEX(SRC_Perf!$O$5:$O$400,MATCH($H322,SRC_Perf!$A$5:$A$400,0)),"不存在")))))</f>
        <v>Active</v>
      </c>
      <c r="T322" s="83" t="n">
        <f aca="false">IF(OR($H322="—",$H322=""),"—",IF(ISNUMBER(MATCH($H322,SRC_HW!$A$5:$A$400,0)),INDEX(SRC_HW!$K$5:$K$400,MATCH($H322,SRC_HW!$A$5:$A$400,0)),IF(ISNUMBER(MATCH($H322,SRC_DC!$A$5:$A$400,0)),INDEX(SRC_DC!$K$5:$K$400,MATCH($H322,SRC_DC!$A$5:$A$400,0)),IF(ISNUMBER(MATCH($H322,SRC_Model!$A$5:$A$400,0)),INDEX(SRC_Model!$K$5:$K$400,MATCH($H322,SRC_Model!$A$5:$A$400,0)),IF(ISNUMBER(MATCH($H322,SRC_Perf!$A$5:$A$400,0)),INDEX(SRC_Perf!$K$5:$K$400,MATCH($H322,SRC_Perf!$A$5:$A$400,0)),"不存在")))))</f>
        <v>1</v>
      </c>
      <c r="U322" s="52" t="s">
        <v>2341</v>
      </c>
      <c r="V322" s="103" t="n">
        <f aca="false">IF(AND($F322="原始數據",$U322&lt;&gt;"連結 SRC"),1,0)</f>
        <v>0</v>
      </c>
      <c r="W322" s="103" t="n">
        <f aca="false">IF(AND($F322="Analogy",OR($H322="—",$H322="")),1,0)</f>
        <v>0</v>
      </c>
      <c r="X322" s="103" t="n">
        <f aca="false">IF(AND(OR($F322="Analogy",$F322="Assumed"),$G322&lt;&gt;"低",$G322&lt;&gt;"高",NOT(ISNUMBER($K322)),NOT(ISNUMBER($L322)),OR($M322="—",$M322="")),1,0)</f>
        <v>0</v>
      </c>
      <c r="Y322" s="103" t="n">
        <f aca="false">IF(AND(OR($F322="Analogy",$F322="Assumed",$F322="Derived（待改公式）",$F322="Derived（公式）"),OR($N322="—",$N322="",$N322=0)),1,0)</f>
        <v>0</v>
      </c>
      <c r="Z322" s="103" t="n">
        <f aca="false">IF(AND($F322="Decision",OR($J322="—",$J322="")),1,0)</f>
        <v>0</v>
      </c>
      <c r="AA322" s="84" t="n">
        <f aca="false">IF(OR($J322="—",$J322=""),0,IF(COUNTIF(Decisions!$A$5:$A$300,$J322)=0,1,0))</f>
        <v>0</v>
      </c>
      <c r="AB322" s="103" t="n">
        <f aca="false">IF(AND($F322="原始數據",$S322&lt;&gt;"Active"),1,0)</f>
        <v>0</v>
      </c>
      <c r="AC322" s="103" t="n">
        <f aca="false">IF(AND(ISNUMBER($K322),ISNUMBER($L322),ISNUMBER($Q322)),IF(OR($Q322&lt;MIN($K322,$L322),$Q322&gt;MAX($K322,$L322)),1,0),0)</f>
        <v>0</v>
      </c>
      <c r="AD322" s="103" t="n">
        <f aca="false">IF(AND(ISNUMBER($T322),$P322="高"),IF($T322=3,1,0),0)</f>
        <v>0</v>
      </c>
      <c r="AE322" s="103" t="n">
        <f aca="false">IF(AND($S322="不存在",$B322="切片一"),1,0)</f>
        <v>0</v>
      </c>
    </row>
    <row r="323" customFormat="false" ht="15" hidden="false" customHeight="false" outlineLevel="0" collapsed="false">
      <c r="A323" s="53" t="s">
        <v>3019</v>
      </c>
      <c r="B323" s="52" t="s">
        <v>2297</v>
      </c>
      <c r="C323" s="53" t="s">
        <v>2995</v>
      </c>
      <c r="D323" s="53" t="s">
        <v>2349</v>
      </c>
      <c r="E323" s="6" t="s">
        <v>399</v>
      </c>
      <c r="F323" s="52" t="s">
        <v>2337</v>
      </c>
      <c r="G323" s="52" t="s">
        <v>2299</v>
      </c>
      <c r="H323" s="53" t="s">
        <v>3016</v>
      </c>
      <c r="I323" s="5" t="s">
        <v>2339</v>
      </c>
      <c r="J323" s="53" t="s">
        <v>554</v>
      </c>
      <c r="K323" s="52"/>
      <c r="L323" s="52"/>
      <c r="M323" s="53" t="s">
        <v>554</v>
      </c>
      <c r="N323" s="5" t="s">
        <v>2340</v>
      </c>
      <c r="O323" s="6" t="s">
        <v>554</v>
      </c>
      <c r="P323" s="52" t="s">
        <v>1079</v>
      </c>
      <c r="Q323" s="54" t="n">
        <f aca="false">Calib!E16</f>
        <v>1024</v>
      </c>
      <c r="R323" s="83" t="n">
        <f aca="false">SRC_PERF_004_OSL</f>
        <v>1024</v>
      </c>
      <c r="S323" s="83" t="str">
        <f aca="false">IF(OR($H323="—",$H323=""),"—",IF(ISNUMBER(MATCH($H323,SRC_HW!$A$5:$A$400,0)),INDEX(SRC_HW!$O$5:$O$400,MATCH($H323,SRC_HW!$A$5:$A$400,0)),IF(ISNUMBER(MATCH($H323,SRC_DC!$A$5:$A$400,0)),INDEX(SRC_DC!$O$5:$O$400,MATCH($H323,SRC_DC!$A$5:$A$400,0)),IF(ISNUMBER(MATCH($H323,SRC_Model!$A$5:$A$400,0)),INDEX(SRC_Model!$O$5:$O$400,MATCH($H323,SRC_Model!$A$5:$A$400,0)),IF(ISNUMBER(MATCH($H323,SRC_Perf!$A$5:$A$400,0)),INDEX(SRC_Perf!$O$5:$O$400,MATCH($H323,SRC_Perf!$A$5:$A$400,0)),"不存在")))))</f>
        <v>Active</v>
      </c>
      <c r="T323" s="83" t="n">
        <f aca="false">IF(OR($H323="—",$H323=""),"—",IF(ISNUMBER(MATCH($H323,SRC_HW!$A$5:$A$400,0)),INDEX(SRC_HW!$K$5:$K$400,MATCH($H323,SRC_HW!$A$5:$A$400,0)),IF(ISNUMBER(MATCH($H323,SRC_DC!$A$5:$A$400,0)),INDEX(SRC_DC!$K$5:$K$400,MATCH($H323,SRC_DC!$A$5:$A$400,0)),IF(ISNUMBER(MATCH($H323,SRC_Model!$A$5:$A$400,0)),INDEX(SRC_Model!$K$5:$K$400,MATCH($H323,SRC_Model!$A$5:$A$400,0)),IF(ISNUMBER(MATCH($H323,SRC_Perf!$A$5:$A$400,0)),INDEX(SRC_Perf!$K$5:$K$400,MATCH($H323,SRC_Perf!$A$5:$A$400,0)),"不存在")))))</f>
        <v>1</v>
      </c>
      <c r="U323" s="52" t="s">
        <v>2341</v>
      </c>
      <c r="V323" s="103" t="n">
        <f aca="false">IF(AND($F323="原始數據",$U323&lt;&gt;"連結 SRC"),1,0)</f>
        <v>0</v>
      </c>
      <c r="W323" s="103" t="n">
        <f aca="false">IF(AND($F323="Analogy",OR($H323="—",$H323="")),1,0)</f>
        <v>0</v>
      </c>
      <c r="X323" s="103" t="n">
        <f aca="false">IF(AND(OR($F323="Analogy",$F323="Assumed"),$G323&lt;&gt;"低",$G323&lt;&gt;"高",NOT(ISNUMBER($K323)),NOT(ISNUMBER($L323)),OR($M323="—",$M323="")),1,0)</f>
        <v>0</v>
      </c>
      <c r="Y323" s="103" t="n">
        <f aca="false">IF(AND(OR($F323="Analogy",$F323="Assumed",$F323="Derived（待改公式）",$F323="Derived（公式）"),OR($N323="—",$N323="",$N323=0)),1,0)</f>
        <v>0</v>
      </c>
      <c r="Z323" s="103" t="n">
        <f aca="false">IF(AND($F323="Decision",OR($J323="—",$J323="")),1,0)</f>
        <v>0</v>
      </c>
      <c r="AA323" s="84" t="n">
        <f aca="false">IF(OR($J323="—",$J323=""),0,IF(COUNTIF(Decisions!$A$5:$A$300,$J323)=0,1,0))</f>
        <v>0</v>
      </c>
      <c r="AB323" s="103" t="n">
        <f aca="false">IF(AND($F323="原始數據",$S323&lt;&gt;"Active"),1,0)</f>
        <v>0</v>
      </c>
      <c r="AC323" s="103" t="n">
        <f aca="false">IF(AND(ISNUMBER($K323),ISNUMBER($L323),ISNUMBER($Q323)),IF(OR($Q323&lt;MIN($K323,$L323),$Q323&gt;MAX($K323,$L323)),1,0),0)</f>
        <v>0</v>
      </c>
      <c r="AD323" s="103" t="n">
        <f aca="false">IF(AND(ISNUMBER($T323),$P323="高"),IF($T323=3,1,0),0)</f>
        <v>0</v>
      </c>
      <c r="AE323" s="103" t="n">
        <f aca="false">IF(AND($S323="不存在",$B323="切片一"),1,0)</f>
        <v>0</v>
      </c>
    </row>
    <row r="324" customFormat="false" ht="15" hidden="false" customHeight="false" outlineLevel="0" collapsed="false">
      <c r="A324" s="53" t="s">
        <v>3020</v>
      </c>
      <c r="B324" s="52" t="s">
        <v>2297</v>
      </c>
      <c r="C324" s="53" t="s">
        <v>2995</v>
      </c>
      <c r="D324" s="53" t="s">
        <v>2355</v>
      </c>
      <c r="E324" s="5" t="s">
        <v>400</v>
      </c>
      <c r="F324" s="52" t="s">
        <v>2337</v>
      </c>
      <c r="G324" s="52" t="s">
        <v>2299</v>
      </c>
      <c r="H324" s="53" t="s">
        <v>3016</v>
      </c>
      <c r="I324" s="5" t="s">
        <v>2339</v>
      </c>
      <c r="J324" s="53" t="s">
        <v>554</v>
      </c>
      <c r="K324" s="52"/>
      <c r="L324" s="52"/>
      <c r="M324" s="53" t="s">
        <v>554</v>
      </c>
      <c r="N324" s="5" t="s">
        <v>2340</v>
      </c>
      <c r="O324" s="6" t="s">
        <v>554</v>
      </c>
      <c r="P324" s="52" t="s">
        <v>1079</v>
      </c>
      <c r="Q324" s="54" t="n">
        <f aca="false">Calib!E17</f>
        <v>11200</v>
      </c>
      <c r="R324" s="83" t="n">
        <f aca="false">SRC_PERF_004</f>
        <v>11200</v>
      </c>
      <c r="S324" s="83" t="str">
        <f aca="false">IF(OR($H324="—",$H324=""),"—",IF(ISNUMBER(MATCH($H324,SRC_HW!$A$5:$A$400,0)),INDEX(SRC_HW!$O$5:$O$400,MATCH($H324,SRC_HW!$A$5:$A$400,0)),IF(ISNUMBER(MATCH($H324,SRC_DC!$A$5:$A$400,0)),INDEX(SRC_DC!$O$5:$O$400,MATCH($H324,SRC_DC!$A$5:$A$400,0)),IF(ISNUMBER(MATCH($H324,SRC_Model!$A$5:$A$400,0)),INDEX(SRC_Model!$O$5:$O$400,MATCH($H324,SRC_Model!$A$5:$A$400,0)),IF(ISNUMBER(MATCH($H324,SRC_Perf!$A$5:$A$400,0)),INDEX(SRC_Perf!$O$5:$O$400,MATCH($H324,SRC_Perf!$A$5:$A$400,0)),"不存在")))))</f>
        <v>Active</v>
      </c>
      <c r="T324" s="83" t="n">
        <f aca="false">IF(OR($H324="—",$H324=""),"—",IF(ISNUMBER(MATCH($H324,SRC_HW!$A$5:$A$400,0)),INDEX(SRC_HW!$K$5:$K$400,MATCH($H324,SRC_HW!$A$5:$A$400,0)),IF(ISNUMBER(MATCH($H324,SRC_DC!$A$5:$A$400,0)),INDEX(SRC_DC!$K$5:$K$400,MATCH($H324,SRC_DC!$A$5:$A$400,0)),IF(ISNUMBER(MATCH($H324,SRC_Model!$A$5:$A$400,0)),INDEX(SRC_Model!$K$5:$K$400,MATCH($H324,SRC_Model!$A$5:$A$400,0)),IF(ISNUMBER(MATCH($H324,SRC_Perf!$A$5:$A$400,0)),INDEX(SRC_Perf!$K$5:$K$400,MATCH($H324,SRC_Perf!$A$5:$A$400,0)),"不存在")))))</f>
        <v>1</v>
      </c>
      <c r="U324" s="52" t="s">
        <v>2341</v>
      </c>
      <c r="V324" s="103" t="n">
        <f aca="false">IF(AND($F324="原始數據",$U324&lt;&gt;"連結 SRC"),1,0)</f>
        <v>0</v>
      </c>
      <c r="W324" s="103" t="n">
        <f aca="false">IF(AND($F324="Analogy",OR($H324="—",$H324="")),1,0)</f>
        <v>0</v>
      </c>
      <c r="X324" s="103" t="n">
        <f aca="false">IF(AND(OR($F324="Analogy",$F324="Assumed"),$G324&lt;&gt;"低",$G324&lt;&gt;"高",NOT(ISNUMBER($K324)),NOT(ISNUMBER($L324)),OR($M324="—",$M324="")),1,0)</f>
        <v>0</v>
      </c>
      <c r="Y324" s="103" t="n">
        <f aca="false">IF(AND(OR($F324="Analogy",$F324="Assumed",$F324="Derived（待改公式）",$F324="Derived（公式）"),OR($N324="—",$N324="",$N324=0)),1,0)</f>
        <v>0</v>
      </c>
      <c r="Z324" s="103" t="n">
        <f aca="false">IF(AND($F324="Decision",OR($J324="—",$J324="")),1,0)</f>
        <v>0</v>
      </c>
      <c r="AA324" s="84" t="n">
        <f aca="false">IF(OR($J324="—",$J324=""),0,IF(COUNTIF(Decisions!$A$5:$A$300,$J324)=0,1,0))</f>
        <v>0</v>
      </c>
      <c r="AB324" s="103" t="n">
        <f aca="false">IF(AND($F324="原始數據",$S324&lt;&gt;"Active"),1,0)</f>
        <v>0</v>
      </c>
      <c r="AC324" s="103" t="n">
        <f aca="false">IF(AND(ISNUMBER($K324),ISNUMBER($L324),ISNUMBER($Q324)),IF(OR($Q324&lt;MIN($K324,$L324),$Q324&gt;MAX($K324,$L324)),1,0),0)</f>
        <v>0</v>
      </c>
      <c r="AD324" s="103" t="n">
        <f aca="false">IF(AND(ISNUMBER($T324),$P324="高"),IF($T324=3,1,0),0)</f>
        <v>0</v>
      </c>
      <c r="AE324" s="103" t="n">
        <f aca="false">IF(AND($S324="不存在",$B324="切片一"),1,0)</f>
        <v>0</v>
      </c>
    </row>
    <row r="325" customFormat="false" ht="15" hidden="false" customHeight="false" outlineLevel="0" collapsed="false">
      <c r="A325" s="53" t="s">
        <v>3021</v>
      </c>
      <c r="B325" s="52" t="s">
        <v>2297</v>
      </c>
      <c r="C325" s="53" t="s">
        <v>2995</v>
      </c>
      <c r="D325" s="53" t="s">
        <v>2336</v>
      </c>
      <c r="E325" s="6" t="s">
        <v>396</v>
      </c>
      <c r="F325" s="52" t="s">
        <v>2337</v>
      </c>
      <c r="G325" s="52" t="s">
        <v>2299</v>
      </c>
      <c r="H325" s="53" t="s">
        <v>3022</v>
      </c>
      <c r="I325" s="5" t="s">
        <v>2339</v>
      </c>
      <c r="J325" s="53" t="s">
        <v>554</v>
      </c>
      <c r="K325" s="52"/>
      <c r="L325" s="52"/>
      <c r="M325" s="53" t="s">
        <v>554</v>
      </c>
      <c r="N325" s="5" t="s">
        <v>2340</v>
      </c>
      <c r="O325" s="6" t="s">
        <v>554</v>
      </c>
      <c r="P325" s="52" t="s">
        <v>2307</v>
      </c>
      <c r="Q325" s="84" t="n">
        <f aca="false">Calib!F13</f>
        <v>0</v>
      </c>
      <c r="R325" s="83" t="n">
        <f aca="false">SRC_PERF_001_MTP</f>
        <v>0</v>
      </c>
      <c r="S325" s="83" t="str">
        <f aca="false">IF(OR($H325="—",$H325=""),"—",IF(ISNUMBER(MATCH($H325,SRC_HW!$A$5:$A$400,0)),INDEX(SRC_HW!$O$5:$O$400,MATCH($H325,SRC_HW!$A$5:$A$400,0)),IF(ISNUMBER(MATCH($H325,SRC_DC!$A$5:$A$400,0)),INDEX(SRC_DC!$O$5:$O$400,MATCH($H325,SRC_DC!$A$5:$A$400,0)),IF(ISNUMBER(MATCH($H325,SRC_Model!$A$5:$A$400,0)),INDEX(SRC_Model!$O$5:$O$400,MATCH($H325,SRC_Model!$A$5:$A$400,0)),IF(ISNUMBER(MATCH($H325,SRC_Perf!$A$5:$A$400,0)),INDEX(SRC_Perf!$O$5:$O$400,MATCH($H325,SRC_Perf!$A$5:$A$400,0)),"不存在")))))</f>
        <v>Active</v>
      </c>
      <c r="T325" s="83" t="n">
        <f aca="false">IF(OR($H325="—",$H325=""),"—",IF(ISNUMBER(MATCH($H325,SRC_HW!$A$5:$A$400,0)),INDEX(SRC_HW!$K$5:$K$400,MATCH($H325,SRC_HW!$A$5:$A$400,0)),IF(ISNUMBER(MATCH($H325,SRC_DC!$A$5:$A$400,0)),INDEX(SRC_DC!$K$5:$K$400,MATCH($H325,SRC_DC!$A$5:$A$400,0)),IF(ISNUMBER(MATCH($H325,SRC_Model!$A$5:$A$400,0)),INDEX(SRC_Model!$K$5:$K$400,MATCH($H325,SRC_Model!$A$5:$A$400,0)),IF(ISNUMBER(MATCH($H325,SRC_Perf!$A$5:$A$400,0)),INDEX(SRC_Perf!$K$5:$K$400,MATCH($H325,SRC_Perf!$A$5:$A$400,0)),"不存在")))))</f>
        <v>1</v>
      </c>
      <c r="U325" s="52" t="s">
        <v>2341</v>
      </c>
      <c r="V325" s="103" t="n">
        <f aca="false">IF(AND($F325="原始數據",$U325&lt;&gt;"連結 SRC"),1,0)</f>
        <v>0</v>
      </c>
      <c r="W325" s="103" t="n">
        <f aca="false">IF(AND($F325="Analogy",OR($H325="—",$H325="")),1,0)</f>
        <v>0</v>
      </c>
      <c r="X325" s="103" t="n">
        <f aca="false">IF(AND(OR($F325="Analogy",$F325="Assumed"),$G325&lt;&gt;"低",$G325&lt;&gt;"高",NOT(ISNUMBER($K325)),NOT(ISNUMBER($L325)),OR($M325="—",$M325="")),1,0)</f>
        <v>0</v>
      </c>
      <c r="Y325" s="103" t="n">
        <f aca="false">IF(AND(OR($F325="Analogy",$F325="Assumed",$F325="Derived（待改公式）",$F325="Derived（公式）"),OR($N325="—",$N325="",$N325=0)),1,0)</f>
        <v>0</v>
      </c>
      <c r="Z325" s="103" t="n">
        <f aca="false">IF(AND($F325="Decision",OR($J325="—",$J325="")),1,0)</f>
        <v>0</v>
      </c>
      <c r="AA325" s="84" t="n">
        <f aca="false">IF(OR($J325="—",$J325=""),0,IF(COUNTIF(Decisions!$A$5:$A$300,$J325)=0,1,0))</f>
        <v>0</v>
      </c>
      <c r="AB325" s="103" t="n">
        <f aca="false">IF(AND($F325="原始數據",$S325&lt;&gt;"Active"),1,0)</f>
        <v>0</v>
      </c>
      <c r="AC325" s="103" t="n">
        <f aca="false">IF(AND(ISNUMBER($K325),ISNUMBER($L325),ISNUMBER($Q325)),IF(OR($Q325&lt;MIN($K325,$L325),$Q325&gt;MAX($K325,$L325)),1,0),0)</f>
        <v>0</v>
      </c>
      <c r="AD325" s="103" t="n">
        <f aca="false">IF(AND(ISNUMBER($T325),$P325="高"),IF($T325=3,1,0),0)</f>
        <v>0</v>
      </c>
      <c r="AE325" s="103" t="n">
        <f aca="false">IF(AND($S325="不存在",$B325="切片一"),1,0)</f>
        <v>0</v>
      </c>
    </row>
    <row r="326" customFormat="false" ht="15" hidden="false" customHeight="false" outlineLevel="0" collapsed="false">
      <c r="A326" s="53" t="s">
        <v>3023</v>
      </c>
      <c r="B326" s="52" t="s">
        <v>2297</v>
      </c>
      <c r="C326" s="53" t="s">
        <v>2995</v>
      </c>
      <c r="D326" s="53" t="s">
        <v>2347</v>
      </c>
      <c r="E326" s="5" t="s">
        <v>397</v>
      </c>
      <c r="F326" s="52" t="s">
        <v>2337</v>
      </c>
      <c r="G326" s="52" t="s">
        <v>2299</v>
      </c>
      <c r="H326" s="53" t="s">
        <v>3022</v>
      </c>
      <c r="I326" s="5" t="s">
        <v>2339</v>
      </c>
      <c r="J326" s="53" t="s">
        <v>554</v>
      </c>
      <c r="K326" s="52"/>
      <c r="L326" s="52"/>
      <c r="M326" s="53" t="s">
        <v>554</v>
      </c>
      <c r="N326" s="5" t="s">
        <v>2340</v>
      </c>
      <c r="O326" s="6" t="s">
        <v>554</v>
      </c>
      <c r="P326" s="52" t="s">
        <v>1079</v>
      </c>
      <c r="Q326" s="54" t="n">
        <f aca="false">Calib!F14</f>
        <v>27</v>
      </c>
      <c r="R326" s="83" t="n">
        <f aca="false">SRC_PERF_001_Spd</f>
        <v>27</v>
      </c>
      <c r="S326" s="83" t="str">
        <f aca="false">IF(OR($H326="—",$H326=""),"—",IF(ISNUMBER(MATCH($H326,SRC_HW!$A$5:$A$400,0)),INDEX(SRC_HW!$O$5:$O$400,MATCH($H326,SRC_HW!$A$5:$A$400,0)),IF(ISNUMBER(MATCH($H326,SRC_DC!$A$5:$A$400,0)),INDEX(SRC_DC!$O$5:$O$400,MATCH($H326,SRC_DC!$A$5:$A$400,0)),IF(ISNUMBER(MATCH($H326,SRC_Model!$A$5:$A$400,0)),INDEX(SRC_Model!$O$5:$O$400,MATCH($H326,SRC_Model!$A$5:$A$400,0)),IF(ISNUMBER(MATCH($H326,SRC_Perf!$A$5:$A$400,0)),INDEX(SRC_Perf!$O$5:$O$400,MATCH($H326,SRC_Perf!$A$5:$A$400,0)),"不存在")))))</f>
        <v>Active</v>
      </c>
      <c r="T326" s="83" t="n">
        <f aca="false">IF(OR($H326="—",$H326=""),"—",IF(ISNUMBER(MATCH($H326,SRC_HW!$A$5:$A$400,0)),INDEX(SRC_HW!$K$5:$K$400,MATCH($H326,SRC_HW!$A$5:$A$400,0)),IF(ISNUMBER(MATCH($H326,SRC_DC!$A$5:$A$400,0)),INDEX(SRC_DC!$K$5:$K$400,MATCH($H326,SRC_DC!$A$5:$A$400,0)),IF(ISNUMBER(MATCH($H326,SRC_Model!$A$5:$A$400,0)),INDEX(SRC_Model!$K$5:$K$400,MATCH($H326,SRC_Model!$A$5:$A$400,0)),IF(ISNUMBER(MATCH($H326,SRC_Perf!$A$5:$A$400,0)),INDEX(SRC_Perf!$K$5:$K$400,MATCH($H326,SRC_Perf!$A$5:$A$400,0)),"不存在")))))</f>
        <v>1</v>
      </c>
      <c r="U326" s="52" t="s">
        <v>2341</v>
      </c>
      <c r="V326" s="103" t="n">
        <f aca="false">IF(AND($F326="原始數據",$U326&lt;&gt;"連結 SRC"),1,0)</f>
        <v>0</v>
      </c>
      <c r="W326" s="103" t="n">
        <f aca="false">IF(AND($F326="Analogy",OR($H326="—",$H326="")),1,0)</f>
        <v>0</v>
      </c>
      <c r="X326" s="103" t="n">
        <f aca="false">IF(AND(OR($F326="Analogy",$F326="Assumed"),$G326&lt;&gt;"低",$G326&lt;&gt;"高",NOT(ISNUMBER($K326)),NOT(ISNUMBER($L326)),OR($M326="—",$M326="")),1,0)</f>
        <v>0</v>
      </c>
      <c r="Y326" s="103" t="n">
        <f aca="false">IF(AND(OR($F326="Analogy",$F326="Assumed",$F326="Derived（待改公式）",$F326="Derived（公式）"),OR($N326="—",$N326="",$N326=0)),1,0)</f>
        <v>0</v>
      </c>
      <c r="Z326" s="103" t="n">
        <f aca="false">IF(AND($F326="Decision",OR($J326="—",$J326="")),1,0)</f>
        <v>0</v>
      </c>
      <c r="AA326" s="84" t="n">
        <f aca="false">IF(OR($J326="—",$J326=""),0,IF(COUNTIF(Decisions!$A$5:$A$300,$J326)=0,1,0))</f>
        <v>0</v>
      </c>
      <c r="AB326" s="103" t="n">
        <f aca="false">IF(AND($F326="原始數據",$S326&lt;&gt;"Active"),1,0)</f>
        <v>0</v>
      </c>
      <c r="AC326" s="103" t="n">
        <f aca="false">IF(AND(ISNUMBER($K326),ISNUMBER($L326),ISNUMBER($Q326)),IF(OR($Q326&lt;MIN($K326,$L326),$Q326&gt;MAX($K326,$L326)),1,0),0)</f>
        <v>0</v>
      </c>
      <c r="AD326" s="103" t="n">
        <f aca="false">IF(AND(ISNUMBER($T326),$P326="高"),IF($T326=3,1,0),0)</f>
        <v>0</v>
      </c>
      <c r="AE326" s="103" t="n">
        <f aca="false">IF(AND($S326="不存在",$B326="切片一"),1,0)</f>
        <v>0</v>
      </c>
    </row>
    <row r="327" customFormat="false" ht="15" hidden="false" customHeight="false" outlineLevel="0" collapsed="false">
      <c r="A327" s="53" t="s">
        <v>3024</v>
      </c>
      <c r="B327" s="52" t="s">
        <v>2297</v>
      </c>
      <c r="C327" s="53" t="s">
        <v>2995</v>
      </c>
      <c r="D327" s="53" t="s">
        <v>3025</v>
      </c>
      <c r="E327" s="6" t="s">
        <v>398</v>
      </c>
      <c r="F327" s="52" t="s">
        <v>2337</v>
      </c>
      <c r="G327" s="52" t="s">
        <v>2299</v>
      </c>
      <c r="H327" s="53" t="s">
        <v>3022</v>
      </c>
      <c r="I327" s="5" t="s">
        <v>2339</v>
      </c>
      <c r="J327" s="53" t="s">
        <v>554</v>
      </c>
      <c r="K327" s="52"/>
      <c r="L327" s="52"/>
      <c r="M327" s="53" t="s">
        <v>554</v>
      </c>
      <c r="N327" s="5" t="s">
        <v>2340</v>
      </c>
      <c r="O327" s="6" t="s">
        <v>554</v>
      </c>
      <c r="P327" s="52" t="s">
        <v>1079</v>
      </c>
      <c r="Q327" s="54" t="n">
        <f aca="false">Calib!F15</f>
        <v>8192</v>
      </c>
      <c r="R327" s="83" t="n">
        <f aca="false">SRC_PERF_001_ISL</f>
        <v>8192</v>
      </c>
      <c r="S327" s="83" t="str">
        <f aca="false">IF(OR($H327="—",$H327=""),"—",IF(ISNUMBER(MATCH($H327,SRC_HW!$A$5:$A$400,0)),INDEX(SRC_HW!$O$5:$O$400,MATCH($H327,SRC_HW!$A$5:$A$400,0)),IF(ISNUMBER(MATCH($H327,SRC_DC!$A$5:$A$400,0)),INDEX(SRC_DC!$O$5:$O$400,MATCH($H327,SRC_DC!$A$5:$A$400,0)),IF(ISNUMBER(MATCH($H327,SRC_Model!$A$5:$A$400,0)),INDEX(SRC_Model!$O$5:$O$400,MATCH($H327,SRC_Model!$A$5:$A$400,0)),IF(ISNUMBER(MATCH($H327,SRC_Perf!$A$5:$A$400,0)),INDEX(SRC_Perf!$O$5:$O$400,MATCH($H327,SRC_Perf!$A$5:$A$400,0)),"不存在")))))</f>
        <v>Active</v>
      </c>
      <c r="T327" s="83" t="n">
        <f aca="false">IF(OR($H327="—",$H327=""),"—",IF(ISNUMBER(MATCH($H327,SRC_HW!$A$5:$A$400,0)),INDEX(SRC_HW!$K$5:$K$400,MATCH($H327,SRC_HW!$A$5:$A$400,0)),IF(ISNUMBER(MATCH($H327,SRC_DC!$A$5:$A$400,0)),INDEX(SRC_DC!$K$5:$K$400,MATCH($H327,SRC_DC!$A$5:$A$400,0)),IF(ISNUMBER(MATCH($H327,SRC_Model!$A$5:$A$400,0)),INDEX(SRC_Model!$K$5:$K$400,MATCH($H327,SRC_Model!$A$5:$A$400,0)),IF(ISNUMBER(MATCH($H327,SRC_Perf!$A$5:$A$400,0)),INDEX(SRC_Perf!$K$5:$K$400,MATCH($H327,SRC_Perf!$A$5:$A$400,0)),"不存在")))))</f>
        <v>1</v>
      </c>
      <c r="U327" s="52" t="s">
        <v>2341</v>
      </c>
      <c r="V327" s="103" t="n">
        <f aca="false">IF(AND($F327="原始數據",$U327&lt;&gt;"連結 SRC"),1,0)</f>
        <v>0</v>
      </c>
      <c r="W327" s="103" t="n">
        <f aca="false">IF(AND($F327="Analogy",OR($H327="—",$H327="")),1,0)</f>
        <v>0</v>
      </c>
      <c r="X327" s="103" t="n">
        <f aca="false">IF(AND(OR($F327="Analogy",$F327="Assumed"),$G327&lt;&gt;"低",$G327&lt;&gt;"高",NOT(ISNUMBER($K327)),NOT(ISNUMBER($L327)),OR($M327="—",$M327="")),1,0)</f>
        <v>0</v>
      </c>
      <c r="Y327" s="103" t="n">
        <f aca="false">IF(AND(OR($F327="Analogy",$F327="Assumed",$F327="Derived（待改公式）",$F327="Derived（公式）"),OR($N327="—",$N327="",$N327=0)),1,0)</f>
        <v>0</v>
      </c>
      <c r="Z327" s="103" t="n">
        <f aca="false">IF(AND($F327="Decision",OR($J327="—",$J327="")),1,0)</f>
        <v>0</v>
      </c>
      <c r="AA327" s="84" t="n">
        <f aca="false">IF(OR($J327="—",$J327=""),0,IF(COUNTIF(Decisions!$A$5:$A$300,$J327)=0,1,0))</f>
        <v>0</v>
      </c>
      <c r="AB327" s="103" t="n">
        <f aca="false">IF(AND($F327="原始數據",$S327&lt;&gt;"Active"),1,0)</f>
        <v>0</v>
      </c>
      <c r="AC327" s="103" t="n">
        <f aca="false">IF(AND(ISNUMBER($K327),ISNUMBER($L327),ISNUMBER($Q327)),IF(OR($Q327&lt;MIN($K327,$L327),$Q327&gt;MAX($K327,$L327)),1,0),0)</f>
        <v>0</v>
      </c>
      <c r="AD327" s="103" t="n">
        <f aca="false">IF(AND(ISNUMBER($T327),$P327="高"),IF($T327=3,1,0),0)</f>
        <v>0</v>
      </c>
      <c r="AE327" s="103" t="n">
        <f aca="false">IF(AND($S327="不存在",$B327="切片一"),1,0)</f>
        <v>0</v>
      </c>
    </row>
    <row r="328" customFormat="false" ht="15" hidden="false" customHeight="false" outlineLevel="0" collapsed="false">
      <c r="A328" s="53" t="s">
        <v>3026</v>
      </c>
      <c r="B328" s="52" t="s">
        <v>2297</v>
      </c>
      <c r="C328" s="53" t="s">
        <v>2995</v>
      </c>
      <c r="D328" s="53" t="s">
        <v>2353</v>
      </c>
      <c r="E328" s="6" t="s">
        <v>399</v>
      </c>
      <c r="F328" s="52" t="s">
        <v>2337</v>
      </c>
      <c r="G328" s="52" t="s">
        <v>2299</v>
      </c>
      <c r="H328" s="53" t="s">
        <v>3022</v>
      </c>
      <c r="I328" s="5" t="s">
        <v>2339</v>
      </c>
      <c r="J328" s="53" t="s">
        <v>554</v>
      </c>
      <c r="K328" s="52"/>
      <c r="L328" s="52"/>
      <c r="M328" s="53" t="s">
        <v>554</v>
      </c>
      <c r="N328" s="5" t="s">
        <v>2340</v>
      </c>
      <c r="O328" s="6" t="s">
        <v>554</v>
      </c>
      <c r="P328" s="52" t="s">
        <v>1079</v>
      </c>
      <c r="Q328" s="54" t="n">
        <f aca="false">Calib!F16</f>
        <v>1024</v>
      </c>
      <c r="R328" s="83" t="n">
        <f aca="false">SRC_PERF_001_OSL</f>
        <v>1024</v>
      </c>
      <c r="S328" s="83" t="str">
        <f aca="false">IF(OR($H328="—",$H328=""),"—",IF(ISNUMBER(MATCH($H328,SRC_HW!$A$5:$A$400,0)),INDEX(SRC_HW!$O$5:$O$400,MATCH($H328,SRC_HW!$A$5:$A$400,0)),IF(ISNUMBER(MATCH($H328,SRC_DC!$A$5:$A$400,0)),INDEX(SRC_DC!$O$5:$O$400,MATCH($H328,SRC_DC!$A$5:$A$400,0)),IF(ISNUMBER(MATCH($H328,SRC_Model!$A$5:$A$400,0)),INDEX(SRC_Model!$O$5:$O$400,MATCH($H328,SRC_Model!$A$5:$A$400,0)),IF(ISNUMBER(MATCH($H328,SRC_Perf!$A$5:$A$400,0)),INDEX(SRC_Perf!$O$5:$O$400,MATCH($H328,SRC_Perf!$A$5:$A$400,0)),"不存在")))))</f>
        <v>Active</v>
      </c>
      <c r="T328" s="83" t="n">
        <f aca="false">IF(OR($H328="—",$H328=""),"—",IF(ISNUMBER(MATCH($H328,SRC_HW!$A$5:$A$400,0)),INDEX(SRC_HW!$K$5:$K$400,MATCH($H328,SRC_HW!$A$5:$A$400,0)),IF(ISNUMBER(MATCH($H328,SRC_DC!$A$5:$A$400,0)),INDEX(SRC_DC!$K$5:$K$400,MATCH($H328,SRC_DC!$A$5:$A$400,0)),IF(ISNUMBER(MATCH($H328,SRC_Model!$A$5:$A$400,0)),INDEX(SRC_Model!$K$5:$K$400,MATCH($H328,SRC_Model!$A$5:$A$400,0)),IF(ISNUMBER(MATCH($H328,SRC_Perf!$A$5:$A$400,0)),INDEX(SRC_Perf!$K$5:$K$400,MATCH($H328,SRC_Perf!$A$5:$A$400,0)),"不存在")))))</f>
        <v>1</v>
      </c>
      <c r="U328" s="52" t="s">
        <v>2341</v>
      </c>
      <c r="V328" s="103" t="n">
        <f aca="false">IF(AND($F328="原始數據",$U328&lt;&gt;"連結 SRC"),1,0)</f>
        <v>0</v>
      </c>
      <c r="W328" s="103" t="n">
        <f aca="false">IF(AND($F328="Analogy",OR($H328="—",$H328="")),1,0)</f>
        <v>0</v>
      </c>
      <c r="X328" s="103" t="n">
        <f aca="false">IF(AND(OR($F328="Analogy",$F328="Assumed"),$G328&lt;&gt;"低",$G328&lt;&gt;"高",NOT(ISNUMBER($K328)),NOT(ISNUMBER($L328)),OR($M328="—",$M328="")),1,0)</f>
        <v>0</v>
      </c>
      <c r="Y328" s="103" t="n">
        <f aca="false">IF(AND(OR($F328="Analogy",$F328="Assumed",$F328="Derived（待改公式）",$F328="Derived（公式）"),OR($N328="—",$N328="",$N328=0)),1,0)</f>
        <v>0</v>
      </c>
      <c r="Z328" s="103" t="n">
        <f aca="false">IF(AND($F328="Decision",OR($J328="—",$J328="")),1,0)</f>
        <v>0</v>
      </c>
      <c r="AA328" s="84" t="n">
        <f aca="false">IF(OR($J328="—",$J328=""),0,IF(COUNTIF(Decisions!$A$5:$A$300,$J328)=0,1,0))</f>
        <v>0</v>
      </c>
      <c r="AB328" s="103" t="n">
        <f aca="false">IF(AND($F328="原始數據",$S328&lt;&gt;"Active"),1,0)</f>
        <v>0</v>
      </c>
      <c r="AC328" s="103" t="n">
        <f aca="false">IF(AND(ISNUMBER($K328),ISNUMBER($L328),ISNUMBER($Q328)),IF(OR($Q328&lt;MIN($K328,$L328),$Q328&gt;MAX($K328,$L328)),1,0),0)</f>
        <v>0</v>
      </c>
      <c r="AD328" s="103" t="n">
        <f aca="false">IF(AND(ISNUMBER($T328),$P328="高"),IF($T328=3,1,0),0)</f>
        <v>0</v>
      </c>
      <c r="AE328" s="103" t="n">
        <f aca="false">IF(AND($S328="不存在",$B328="切片一"),1,0)</f>
        <v>0</v>
      </c>
    </row>
    <row r="329" customFormat="false" ht="15" hidden="false" customHeight="false" outlineLevel="0" collapsed="false">
      <c r="A329" s="53" t="s">
        <v>3027</v>
      </c>
      <c r="B329" s="52" t="s">
        <v>2297</v>
      </c>
      <c r="C329" s="53" t="s">
        <v>2995</v>
      </c>
      <c r="D329" s="53" t="s">
        <v>2359</v>
      </c>
      <c r="E329" s="5" t="s">
        <v>400</v>
      </c>
      <c r="F329" s="52" t="s">
        <v>2337</v>
      </c>
      <c r="G329" s="52" t="s">
        <v>2299</v>
      </c>
      <c r="H329" s="53" t="s">
        <v>3022</v>
      </c>
      <c r="I329" s="5" t="s">
        <v>2339</v>
      </c>
      <c r="J329" s="53" t="s">
        <v>554</v>
      </c>
      <c r="K329" s="52"/>
      <c r="L329" s="52"/>
      <c r="M329" s="53" t="s">
        <v>554</v>
      </c>
      <c r="N329" s="5" t="s">
        <v>2340</v>
      </c>
      <c r="O329" s="6" t="s">
        <v>554</v>
      </c>
      <c r="P329" s="52" t="s">
        <v>1079</v>
      </c>
      <c r="Q329" s="54" t="n">
        <f aca="false">Calib!F17</f>
        <v>6182</v>
      </c>
      <c r="R329" s="83" t="n">
        <f aca="false">SRC_PERF_001</f>
        <v>6182</v>
      </c>
      <c r="S329" s="83" t="str">
        <f aca="false">IF(OR($H329="—",$H329=""),"—",IF(ISNUMBER(MATCH($H329,SRC_HW!$A$5:$A$400,0)),INDEX(SRC_HW!$O$5:$O$400,MATCH($H329,SRC_HW!$A$5:$A$400,0)),IF(ISNUMBER(MATCH($H329,SRC_DC!$A$5:$A$400,0)),INDEX(SRC_DC!$O$5:$O$400,MATCH($H329,SRC_DC!$A$5:$A$400,0)),IF(ISNUMBER(MATCH($H329,SRC_Model!$A$5:$A$400,0)),INDEX(SRC_Model!$O$5:$O$400,MATCH($H329,SRC_Model!$A$5:$A$400,0)),IF(ISNUMBER(MATCH($H329,SRC_Perf!$A$5:$A$400,0)),INDEX(SRC_Perf!$O$5:$O$400,MATCH($H329,SRC_Perf!$A$5:$A$400,0)),"不存在")))))</f>
        <v>Active</v>
      </c>
      <c r="T329" s="83" t="n">
        <f aca="false">IF(OR($H329="—",$H329=""),"—",IF(ISNUMBER(MATCH($H329,SRC_HW!$A$5:$A$400,0)),INDEX(SRC_HW!$K$5:$K$400,MATCH($H329,SRC_HW!$A$5:$A$400,0)),IF(ISNUMBER(MATCH($H329,SRC_DC!$A$5:$A$400,0)),INDEX(SRC_DC!$K$5:$K$400,MATCH($H329,SRC_DC!$A$5:$A$400,0)),IF(ISNUMBER(MATCH($H329,SRC_Model!$A$5:$A$400,0)),INDEX(SRC_Model!$K$5:$K$400,MATCH($H329,SRC_Model!$A$5:$A$400,0)),IF(ISNUMBER(MATCH($H329,SRC_Perf!$A$5:$A$400,0)),INDEX(SRC_Perf!$K$5:$K$400,MATCH($H329,SRC_Perf!$A$5:$A$400,0)),"不存在")))))</f>
        <v>1</v>
      </c>
      <c r="U329" s="52" t="s">
        <v>2341</v>
      </c>
      <c r="V329" s="103" t="n">
        <f aca="false">IF(AND($F329="原始數據",$U329&lt;&gt;"連結 SRC"),1,0)</f>
        <v>0</v>
      </c>
      <c r="W329" s="103" t="n">
        <f aca="false">IF(AND($F329="Analogy",OR($H329="—",$H329="")),1,0)</f>
        <v>0</v>
      </c>
      <c r="X329" s="103" t="n">
        <f aca="false">IF(AND(OR($F329="Analogy",$F329="Assumed"),$G329&lt;&gt;"低",$G329&lt;&gt;"高",NOT(ISNUMBER($K329)),NOT(ISNUMBER($L329)),OR($M329="—",$M329="")),1,0)</f>
        <v>0</v>
      </c>
      <c r="Y329" s="103" t="n">
        <f aca="false">IF(AND(OR($F329="Analogy",$F329="Assumed",$F329="Derived（待改公式）",$F329="Derived（公式）"),OR($N329="—",$N329="",$N329=0)),1,0)</f>
        <v>0</v>
      </c>
      <c r="Z329" s="103" t="n">
        <f aca="false">IF(AND($F329="Decision",OR($J329="—",$J329="")),1,0)</f>
        <v>0</v>
      </c>
      <c r="AA329" s="84" t="n">
        <f aca="false">IF(OR($J329="—",$J329=""),0,IF(COUNTIF(Decisions!$A$5:$A$300,$J329)=0,1,0))</f>
        <v>0</v>
      </c>
      <c r="AB329" s="103" t="n">
        <f aca="false">IF(AND($F329="原始數據",$S329&lt;&gt;"Active"),1,0)</f>
        <v>0</v>
      </c>
      <c r="AC329" s="103" t="n">
        <f aca="false">IF(AND(ISNUMBER($K329),ISNUMBER($L329),ISNUMBER($Q329)),IF(OR($Q329&lt;MIN($K329,$L329),$Q329&gt;MAX($K329,$L329)),1,0),0)</f>
        <v>0</v>
      </c>
      <c r="AD329" s="103" t="n">
        <f aca="false">IF(AND(ISNUMBER($T329),$P329="高"),IF($T329=3,1,0),0)</f>
        <v>0</v>
      </c>
      <c r="AE329" s="103" t="n">
        <f aca="false">IF(AND($S329="不存在",$B329="切片一"),1,0)</f>
        <v>0</v>
      </c>
    </row>
    <row r="330" customFormat="false" ht="15" hidden="false" customHeight="false" outlineLevel="0" collapsed="false">
      <c r="A330" s="53" t="s">
        <v>3028</v>
      </c>
      <c r="B330" s="52" t="s">
        <v>2297</v>
      </c>
      <c r="C330" s="53" t="s">
        <v>2995</v>
      </c>
      <c r="D330" s="53" t="s">
        <v>2562</v>
      </c>
      <c r="E330" s="6" t="s">
        <v>396</v>
      </c>
      <c r="F330" s="52" t="s">
        <v>2337</v>
      </c>
      <c r="G330" s="52" t="s">
        <v>2299</v>
      </c>
      <c r="H330" s="53" t="s">
        <v>3029</v>
      </c>
      <c r="I330" s="5" t="s">
        <v>2339</v>
      </c>
      <c r="J330" s="53" t="s">
        <v>554</v>
      </c>
      <c r="K330" s="52"/>
      <c r="L330" s="52"/>
      <c r="M330" s="53" t="s">
        <v>554</v>
      </c>
      <c r="N330" s="5" t="s">
        <v>2340</v>
      </c>
      <c r="O330" s="6" t="s">
        <v>554</v>
      </c>
      <c r="P330" s="52" t="s">
        <v>2307</v>
      </c>
      <c r="Q330" s="84" t="n">
        <f aca="false">Calib!G13</f>
        <v>0</v>
      </c>
      <c r="R330" s="83" t="n">
        <f aca="false">SRC_PERF_002_MTP</f>
        <v>0</v>
      </c>
      <c r="S330" s="83" t="str">
        <f aca="false">IF(OR($H330="—",$H330=""),"—",IF(ISNUMBER(MATCH($H330,SRC_HW!$A$5:$A$400,0)),INDEX(SRC_HW!$O$5:$O$400,MATCH($H330,SRC_HW!$A$5:$A$400,0)),IF(ISNUMBER(MATCH($H330,SRC_DC!$A$5:$A$400,0)),INDEX(SRC_DC!$O$5:$O$400,MATCH($H330,SRC_DC!$A$5:$A$400,0)),IF(ISNUMBER(MATCH($H330,SRC_Model!$A$5:$A$400,0)),INDEX(SRC_Model!$O$5:$O$400,MATCH($H330,SRC_Model!$A$5:$A$400,0)),IF(ISNUMBER(MATCH($H330,SRC_Perf!$A$5:$A$400,0)),INDEX(SRC_Perf!$O$5:$O$400,MATCH($H330,SRC_Perf!$A$5:$A$400,0)),"不存在")))))</f>
        <v>Active</v>
      </c>
      <c r="T330" s="83" t="n">
        <f aca="false">IF(OR($H330="—",$H330=""),"—",IF(ISNUMBER(MATCH($H330,SRC_HW!$A$5:$A$400,0)),INDEX(SRC_HW!$K$5:$K$400,MATCH($H330,SRC_HW!$A$5:$A$400,0)),IF(ISNUMBER(MATCH($H330,SRC_DC!$A$5:$A$400,0)),INDEX(SRC_DC!$K$5:$K$400,MATCH($H330,SRC_DC!$A$5:$A$400,0)),IF(ISNUMBER(MATCH($H330,SRC_Model!$A$5:$A$400,0)),INDEX(SRC_Model!$K$5:$K$400,MATCH($H330,SRC_Model!$A$5:$A$400,0)),IF(ISNUMBER(MATCH($H330,SRC_Perf!$A$5:$A$400,0)),INDEX(SRC_Perf!$K$5:$K$400,MATCH($H330,SRC_Perf!$A$5:$A$400,0)),"不存在")))))</f>
        <v>1</v>
      </c>
      <c r="U330" s="52" t="s">
        <v>2341</v>
      </c>
      <c r="V330" s="103" t="n">
        <f aca="false">IF(AND($F330="原始數據",$U330&lt;&gt;"連結 SRC"),1,0)</f>
        <v>0</v>
      </c>
      <c r="W330" s="103" t="n">
        <f aca="false">IF(AND($F330="Analogy",OR($H330="—",$H330="")),1,0)</f>
        <v>0</v>
      </c>
      <c r="X330" s="103" t="n">
        <f aca="false">IF(AND(OR($F330="Analogy",$F330="Assumed"),$G330&lt;&gt;"低",$G330&lt;&gt;"高",NOT(ISNUMBER($K330)),NOT(ISNUMBER($L330)),OR($M330="—",$M330="")),1,0)</f>
        <v>0</v>
      </c>
      <c r="Y330" s="103" t="n">
        <f aca="false">IF(AND(OR($F330="Analogy",$F330="Assumed",$F330="Derived（待改公式）",$F330="Derived（公式）"),OR($N330="—",$N330="",$N330=0)),1,0)</f>
        <v>0</v>
      </c>
      <c r="Z330" s="103" t="n">
        <f aca="false">IF(AND($F330="Decision",OR($J330="—",$J330="")),1,0)</f>
        <v>0</v>
      </c>
      <c r="AA330" s="84" t="n">
        <f aca="false">IF(OR($J330="—",$J330=""),0,IF(COUNTIF(Decisions!$A$5:$A$300,$J330)=0,1,0))</f>
        <v>0</v>
      </c>
      <c r="AB330" s="103" t="n">
        <f aca="false">IF(AND($F330="原始數據",$S330&lt;&gt;"Active"),1,0)</f>
        <v>0</v>
      </c>
      <c r="AC330" s="103" t="n">
        <f aca="false">IF(AND(ISNUMBER($K330),ISNUMBER($L330),ISNUMBER($Q330)),IF(OR($Q330&lt;MIN($K330,$L330),$Q330&gt;MAX($K330,$L330)),1,0),0)</f>
        <v>0</v>
      </c>
      <c r="AD330" s="103" t="n">
        <f aca="false">IF(AND(ISNUMBER($T330),$P330="高"),IF($T330=3,1,0),0)</f>
        <v>0</v>
      </c>
      <c r="AE330" s="103" t="n">
        <f aca="false">IF(AND($S330="不存在",$B330="切片一"),1,0)</f>
        <v>0</v>
      </c>
    </row>
    <row r="331" customFormat="false" ht="15" hidden="false" customHeight="false" outlineLevel="0" collapsed="false">
      <c r="A331" s="53" t="s">
        <v>3030</v>
      </c>
      <c r="B331" s="52" t="s">
        <v>2297</v>
      </c>
      <c r="C331" s="53" t="s">
        <v>2995</v>
      </c>
      <c r="D331" s="53" t="s">
        <v>2984</v>
      </c>
      <c r="E331" s="5" t="s">
        <v>397</v>
      </c>
      <c r="F331" s="52" t="s">
        <v>2337</v>
      </c>
      <c r="G331" s="52" t="s">
        <v>2299</v>
      </c>
      <c r="H331" s="53" t="s">
        <v>3029</v>
      </c>
      <c r="I331" s="5" t="s">
        <v>2339</v>
      </c>
      <c r="J331" s="53" t="s">
        <v>554</v>
      </c>
      <c r="K331" s="52"/>
      <c r="L331" s="52"/>
      <c r="M331" s="53" t="s">
        <v>554</v>
      </c>
      <c r="N331" s="5" t="s">
        <v>2340</v>
      </c>
      <c r="O331" s="6" t="s">
        <v>554</v>
      </c>
      <c r="P331" s="52" t="s">
        <v>1079</v>
      </c>
      <c r="Q331" s="54" t="n">
        <f aca="false">Calib!G14</f>
        <v>27</v>
      </c>
      <c r="R331" s="83" t="n">
        <f aca="false">SRC_PERF_002_Spd</f>
        <v>27</v>
      </c>
      <c r="S331" s="83" t="str">
        <f aca="false">IF(OR($H331="—",$H331=""),"—",IF(ISNUMBER(MATCH($H331,SRC_HW!$A$5:$A$400,0)),INDEX(SRC_HW!$O$5:$O$400,MATCH($H331,SRC_HW!$A$5:$A$400,0)),IF(ISNUMBER(MATCH($H331,SRC_DC!$A$5:$A$400,0)),INDEX(SRC_DC!$O$5:$O$400,MATCH($H331,SRC_DC!$A$5:$A$400,0)),IF(ISNUMBER(MATCH($H331,SRC_Model!$A$5:$A$400,0)),INDEX(SRC_Model!$O$5:$O$400,MATCH($H331,SRC_Model!$A$5:$A$400,0)),IF(ISNUMBER(MATCH($H331,SRC_Perf!$A$5:$A$400,0)),INDEX(SRC_Perf!$O$5:$O$400,MATCH($H331,SRC_Perf!$A$5:$A$400,0)),"不存在")))))</f>
        <v>Active</v>
      </c>
      <c r="T331" s="83" t="n">
        <f aca="false">IF(OR($H331="—",$H331=""),"—",IF(ISNUMBER(MATCH($H331,SRC_HW!$A$5:$A$400,0)),INDEX(SRC_HW!$K$5:$K$400,MATCH($H331,SRC_HW!$A$5:$A$400,0)),IF(ISNUMBER(MATCH($H331,SRC_DC!$A$5:$A$400,0)),INDEX(SRC_DC!$K$5:$K$400,MATCH($H331,SRC_DC!$A$5:$A$400,0)),IF(ISNUMBER(MATCH($H331,SRC_Model!$A$5:$A$400,0)),INDEX(SRC_Model!$K$5:$K$400,MATCH($H331,SRC_Model!$A$5:$A$400,0)),IF(ISNUMBER(MATCH($H331,SRC_Perf!$A$5:$A$400,0)),INDEX(SRC_Perf!$K$5:$K$400,MATCH($H331,SRC_Perf!$A$5:$A$400,0)),"不存在")))))</f>
        <v>1</v>
      </c>
      <c r="U331" s="52" t="s">
        <v>2341</v>
      </c>
      <c r="V331" s="103" t="n">
        <f aca="false">IF(AND($F331="原始數據",$U331&lt;&gt;"連結 SRC"),1,0)</f>
        <v>0</v>
      </c>
      <c r="W331" s="103" t="n">
        <f aca="false">IF(AND($F331="Analogy",OR($H331="—",$H331="")),1,0)</f>
        <v>0</v>
      </c>
      <c r="X331" s="103" t="n">
        <f aca="false">IF(AND(OR($F331="Analogy",$F331="Assumed"),$G331&lt;&gt;"低",$G331&lt;&gt;"高",NOT(ISNUMBER($K331)),NOT(ISNUMBER($L331)),OR($M331="—",$M331="")),1,0)</f>
        <v>0</v>
      </c>
      <c r="Y331" s="103" t="n">
        <f aca="false">IF(AND(OR($F331="Analogy",$F331="Assumed",$F331="Derived（待改公式）",$F331="Derived（公式）"),OR($N331="—",$N331="",$N331=0)),1,0)</f>
        <v>0</v>
      </c>
      <c r="Z331" s="103" t="n">
        <f aca="false">IF(AND($F331="Decision",OR($J331="—",$J331="")),1,0)</f>
        <v>0</v>
      </c>
      <c r="AA331" s="84" t="n">
        <f aca="false">IF(OR($J331="—",$J331=""),0,IF(COUNTIF(Decisions!$A$5:$A$300,$J331)=0,1,0))</f>
        <v>0</v>
      </c>
      <c r="AB331" s="103" t="n">
        <f aca="false">IF(AND($F331="原始數據",$S331&lt;&gt;"Active"),1,0)</f>
        <v>0</v>
      </c>
      <c r="AC331" s="103" t="n">
        <f aca="false">IF(AND(ISNUMBER($K331),ISNUMBER($L331),ISNUMBER($Q331)),IF(OR($Q331&lt;MIN($K331,$L331),$Q331&gt;MAX($K331,$L331)),1,0),0)</f>
        <v>0</v>
      </c>
      <c r="AD331" s="103" t="n">
        <f aca="false">IF(AND(ISNUMBER($T331),$P331="高"),IF($T331=3,1,0),0)</f>
        <v>0</v>
      </c>
      <c r="AE331" s="103" t="n">
        <f aca="false">IF(AND($S331="不存在",$B331="切片一"),1,0)</f>
        <v>0</v>
      </c>
    </row>
    <row r="332" customFormat="false" ht="15" hidden="false" customHeight="false" outlineLevel="0" collapsed="false">
      <c r="A332" s="53" t="s">
        <v>3031</v>
      </c>
      <c r="B332" s="52" t="s">
        <v>2297</v>
      </c>
      <c r="C332" s="53" t="s">
        <v>2995</v>
      </c>
      <c r="D332" s="53" t="s">
        <v>3032</v>
      </c>
      <c r="E332" s="6" t="s">
        <v>398</v>
      </c>
      <c r="F332" s="52" t="s">
        <v>2337</v>
      </c>
      <c r="G332" s="52" t="s">
        <v>2299</v>
      </c>
      <c r="H332" s="53" t="s">
        <v>3029</v>
      </c>
      <c r="I332" s="5" t="s">
        <v>2339</v>
      </c>
      <c r="J332" s="53" t="s">
        <v>554</v>
      </c>
      <c r="K332" s="52"/>
      <c r="L332" s="52"/>
      <c r="M332" s="53" t="s">
        <v>554</v>
      </c>
      <c r="N332" s="5" t="s">
        <v>2340</v>
      </c>
      <c r="O332" s="6" t="s">
        <v>554</v>
      </c>
      <c r="P332" s="52" t="s">
        <v>1079</v>
      </c>
      <c r="Q332" s="54" t="n">
        <f aca="false">Calib!G15</f>
        <v>8192</v>
      </c>
      <c r="R332" s="83" t="n">
        <f aca="false">SRC_PERF_002_ISL</f>
        <v>8192</v>
      </c>
      <c r="S332" s="83" t="str">
        <f aca="false">IF(OR($H332="—",$H332=""),"—",IF(ISNUMBER(MATCH($H332,SRC_HW!$A$5:$A$400,0)),INDEX(SRC_HW!$O$5:$O$400,MATCH($H332,SRC_HW!$A$5:$A$400,0)),IF(ISNUMBER(MATCH($H332,SRC_DC!$A$5:$A$400,0)),INDEX(SRC_DC!$O$5:$O$400,MATCH($H332,SRC_DC!$A$5:$A$400,0)),IF(ISNUMBER(MATCH($H332,SRC_Model!$A$5:$A$400,0)),INDEX(SRC_Model!$O$5:$O$400,MATCH($H332,SRC_Model!$A$5:$A$400,0)),IF(ISNUMBER(MATCH($H332,SRC_Perf!$A$5:$A$400,0)),INDEX(SRC_Perf!$O$5:$O$400,MATCH($H332,SRC_Perf!$A$5:$A$400,0)),"不存在")))))</f>
        <v>Active</v>
      </c>
      <c r="T332" s="83" t="n">
        <f aca="false">IF(OR($H332="—",$H332=""),"—",IF(ISNUMBER(MATCH($H332,SRC_HW!$A$5:$A$400,0)),INDEX(SRC_HW!$K$5:$K$400,MATCH($H332,SRC_HW!$A$5:$A$400,0)),IF(ISNUMBER(MATCH($H332,SRC_DC!$A$5:$A$400,0)),INDEX(SRC_DC!$K$5:$K$400,MATCH($H332,SRC_DC!$A$5:$A$400,0)),IF(ISNUMBER(MATCH($H332,SRC_Model!$A$5:$A$400,0)),INDEX(SRC_Model!$K$5:$K$400,MATCH($H332,SRC_Model!$A$5:$A$400,0)),IF(ISNUMBER(MATCH($H332,SRC_Perf!$A$5:$A$400,0)),INDEX(SRC_Perf!$K$5:$K$400,MATCH($H332,SRC_Perf!$A$5:$A$400,0)),"不存在")))))</f>
        <v>1</v>
      </c>
      <c r="U332" s="52" t="s">
        <v>2341</v>
      </c>
      <c r="V332" s="103" t="n">
        <f aca="false">IF(AND($F332="原始數據",$U332&lt;&gt;"連結 SRC"),1,0)</f>
        <v>0</v>
      </c>
      <c r="W332" s="103" t="n">
        <f aca="false">IF(AND($F332="Analogy",OR($H332="—",$H332="")),1,0)</f>
        <v>0</v>
      </c>
      <c r="X332" s="103" t="n">
        <f aca="false">IF(AND(OR($F332="Analogy",$F332="Assumed"),$G332&lt;&gt;"低",$G332&lt;&gt;"高",NOT(ISNUMBER($K332)),NOT(ISNUMBER($L332)),OR($M332="—",$M332="")),1,0)</f>
        <v>0</v>
      </c>
      <c r="Y332" s="103" t="n">
        <f aca="false">IF(AND(OR($F332="Analogy",$F332="Assumed",$F332="Derived（待改公式）",$F332="Derived（公式）"),OR($N332="—",$N332="",$N332=0)),1,0)</f>
        <v>0</v>
      </c>
      <c r="Z332" s="103" t="n">
        <f aca="false">IF(AND($F332="Decision",OR($J332="—",$J332="")),1,0)</f>
        <v>0</v>
      </c>
      <c r="AA332" s="84" t="n">
        <f aca="false">IF(OR($J332="—",$J332=""),0,IF(COUNTIF(Decisions!$A$5:$A$300,$J332)=0,1,0))</f>
        <v>0</v>
      </c>
      <c r="AB332" s="103" t="n">
        <f aca="false">IF(AND($F332="原始數據",$S332&lt;&gt;"Active"),1,0)</f>
        <v>0</v>
      </c>
      <c r="AC332" s="103" t="n">
        <f aca="false">IF(AND(ISNUMBER($K332),ISNUMBER($L332),ISNUMBER($Q332)),IF(OR($Q332&lt;MIN($K332,$L332),$Q332&gt;MAX($K332,$L332)),1,0),0)</f>
        <v>0</v>
      </c>
      <c r="AD332" s="103" t="n">
        <f aca="false">IF(AND(ISNUMBER($T332),$P332="高"),IF($T332=3,1,0),0)</f>
        <v>0</v>
      </c>
      <c r="AE332" s="103" t="n">
        <f aca="false">IF(AND($S332="不存在",$B332="切片一"),1,0)</f>
        <v>0</v>
      </c>
    </row>
    <row r="333" customFormat="false" ht="15" hidden="false" customHeight="false" outlineLevel="0" collapsed="false">
      <c r="A333" s="53" t="s">
        <v>3033</v>
      </c>
      <c r="B333" s="52" t="s">
        <v>2297</v>
      </c>
      <c r="C333" s="53" t="s">
        <v>2995</v>
      </c>
      <c r="D333" s="53" t="s">
        <v>3034</v>
      </c>
      <c r="E333" s="6" t="s">
        <v>399</v>
      </c>
      <c r="F333" s="52" t="s">
        <v>2337</v>
      </c>
      <c r="G333" s="52" t="s">
        <v>2299</v>
      </c>
      <c r="H333" s="53" t="s">
        <v>3029</v>
      </c>
      <c r="I333" s="5" t="s">
        <v>2339</v>
      </c>
      <c r="J333" s="53" t="s">
        <v>554</v>
      </c>
      <c r="K333" s="52"/>
      <c r="L333" s="52"/>
      <c r="M333" s="53" t="s">
        <v>554</v>
      </c>
      <c r="N333" s="5" t="s">
        <v>2340</v>
      </c>
      <c r="O333" s="6" t="s">
        <v>554</v>
      </c>
      <c r="P333" s="52" t="s">
        <v>1079</v>
      </c>
      <c r="Q333" s="54" t="n">
        <f aca="false">Calib!G16</f>
        <v>1024</v>
      </c>
      <c r="R333" s="83" t="n">
        <f aca="false">SRC_PERF_002_OSL</f>
        <v>1024</v>
      </c>
      <c r="S333" s="83" t="str">
        <f aca="false">IF(OR($H333="—",$H333=""),"—",IF(ISNUMBER(MATCH($H333,SRC_HW!$A$5:$A$400,0)),INDEX(SRC_HW!$O$5:$O$400,MATCH($H333,SRC_HW!$A$5:$A$400,0)),IF(ISNUMBER(MATCH($H333,SRC_DC!$A$5:$A$400,0)),INDEX(SRC_DC!$O$5:$O$400,MATCH($H333,SRC_DC!$A$5:$A$400,0)),IF(ISNUMBER(MATCH($H333,SRC_Model!$A$5:$A$400,0)),INDEX(SRC_Model!$O$5:$O$400,MATCH($H333,SRC_Model!$A$5:$A$400,0)),IF(ISNUMBER(MATCH($H333,SRC_Perf!$A$5:$A$400,0)),INDEX(SRC_Perf!$O$5:$O$400,MATCH($H333,SRC_Perf!$A$5:$A$400,0)),"不存在")))))</f>
        <v>Active</v>
      </c>
      <c r="T333" s="83" t="n">
        <f aca="false">IF(OR($H333="—",$H333=""),"—",IF(ISNUMBER(MATCH($H333,SRC_HW!$A$5:$A$400,0)),INDEX(SRC_HW!$K$5:$K$400,MATCH($H333,SRC_HW!$A$5:$A$400,0)),IF(ISNUMBER(MATCH($H333,SRC_DC!$A$5:$A$400,0)),INDEX(SRC_DC!$K$5:$K$400,MATCH($H333,SRC_DC!$A$5:$A$400,0)),IF(ISNUMBER(MATCH($H333,SRC_Model!$A$5:$A$400,0)),INDEX(SRC_Model!$K$5:$K$400,MATCH($H333,SRC_Model!$A$5:$A$400,0)),IF(ISNUMBER(MATCH($H333,SRC_Perf!$A$5:$A$400,0)),INDEX(SRC_Perf!$K$5:$K$400,MATCH($H333,SRC_Perf!$A$5:$A$400,0)),"不存在")))))</f>
        <v>1</v>
      </c>
      <c r="U333" s="52" t="s">
        <v>2341</v>
      </c>
      <c r="V333" s="103" t="n">
        <f aca="false">IF(AND($F333="原始數據",$U333&lt;&gt;"連結 SRC"),1,0)</f>
        <v>0</v>
      </c>
      <c r="W333" s="103" t="n">
        <f aca="false">IF(AND($F333="Analogy",OR($H333="—",$H333="")),1,0)</f>
        <v>0</v>
      </c>
      <c r="X333" s="103" t="n">
        <f aca="false">IF(AND(OR($F333="Analogy",$F333="Assumed"),$G333&lt;&gt;"低",$G333&lt;&gt;"高",NOT(ISNUMBER($K333)),NOT(ISNUMBER($L333)),OR($M333="—",$M333="")),1,0)</f>
        <v>0</v>
      </c>
      <c r="Y333" s="103" t="n">
        <f aca="false">IF(AND(OR($F333="Analogy",$F333="Assumed",$F333="Derived（待改公式）",$F333="Derived（公式）"),OR($N333="—",$N333="",$N333=0)),1,0)</f>
        <v>0</v>
      </c>
      <c r="Z333" s="103" t="n">
        <f aca="false">IF(AND($F333="Decision",OR($J333="—",$J333="")),1,0)</f>
        <v>0</v>
      </c>
      <c r="AA333" s="84" t="n">
        <f aca="false">IF(OR($J333="—",$J333=""),0,IF(COUNTIF(Decisions!$A$5:$A$300,$J333)=0,1,0))</f>
        <v>0</v>
      </c>
      <c r="AB333" s="103" t="n">
        <f aca="false">IF(AND($F333="原始數據",$S333&lt;&gt;"Active"),1,0)</f>
        <v>0</v>
      </c>
      <c r="AC333" s="103" t="n">
        <f aca="false">IF(AND(ISNUMBER($K333),ISNUMBER($L333),ISNUMBER($Q333)),IF(OR($Q333&lt;MIN($K333,$L333),$Q333&gt;MAX($K333,$L333)),1,0),0)</f>
        <v>0</v>
      </c>
      <c r="AD333" s="103" t="n">
        <f aca="false">IF(AND(ISNUMBER($T333),$P333="高"),IF($T333=3,1,0),0)</f>
        <v>0</v>
      </c>
      <c r="AE333" s="103" t="n">
        <f aca="false">IF(AND($S333="不存在",$B333="切片一"),1,0)</f>
        <v>0</v>
      </c>
    </row>
    <row r="334" customFormat="false" ht="15" hidden="false" customHeight="false" outlineLevel="0" collapsed="false">
      <c r="A334" s="53" t="s">
        <v>3035</v>
      </c>
      <c r="B334" s="52" t="s">
        <v>2297</v>
      </c>
      <c r="C334" s="53" t="s">
        <v>2995</v>
      </c>
      <c r="D334" s="53" t="s">
        <v>3036</v>
      </c>
      <c r="E334" s="5" t="s">
        <v>400</v>
      </c>
      <c r="F334" s="52" t="s">
        <v>2337</v>
      </c>
      <c r="G334" s="52" t="s">
        <v>2299</v>
      </c>
      <c r="H334" s="53" t="s">
        <v>3029</v>
      </c>
      <c r="I334" s="5" t="s">
        <v>2339</v>
      </c>
      <c r="J334" s="53" t="s">
        <v>554</v>
      </c>
      <c r="K334" s="52"/>
      <c r="L334" s="52"/>
      <c r="M334" s="53" t="s">
        <v>554</v>
      </c>
      <c r="N334" s="5" t="s">
        <v>2340</v>
      </c>
      <c r="O334" s="6" t="s">
        <v>554</v>
      </c>
      <c r="P334" s="52" t="s">
        <v>1079</v>
      </c>
      <c r="Q334" s="54" t="n">
        <f aca="false">Calib!G17</f>
        <v>2189</v>
      </c>
      <c r="R334" s="83" t="n">
        <f aca="false">SRC_PERF_002</f>
        <v>2189</v>
      </c>
      <c r="S334" s="83" t="str">
        <f aca="false">IF(OR($H334="—",$H334=""),"—",IF(ISNUMBER(MATCH($H334,SRC_HW!$A$5:$A$400,0)),INDEX(SRC_HW!$O$5:$O$400,MATCH($H334,SRC_HW!$A$5:$A$400,0)),IF(ISNUMBER(MATCH($H334,SRC_DC!$A$5:$A$400,0)),INDEX(SRC_DC!$O$5:$O$400,MATCH($H334,SRC_DC!$A$5:$A$400,0)),IF(ISNUMBER(MATCH($H334,SRC_Model!$A$5:$A$400,0)),INDEX(SRC_Model!$O$5:$O$400,MATCH($H334,SRC_Model!$A$5:$A$400,0)),IF(ISNUMBER(MATCH($H334,SRC_Perf!$A$5:$A$400,0)),INDEX(SRC_Perf!$O$5:$O$400,MATCH($H334,SRC_Perf!$A$5:$A$400,0)),"不存在")))))</f>
        <v>Active</v>
      </c>
      <c r="T334" s="83" t="n">
        <f aca="false">IF(OR($H334="—",$H334=""),"—",IF(ISNUMBER(MATCH($H334,SRC_HW!$A$5:$A$400,0)),INDEX(SRC_HW!$K$5:$K$400,MATCH($H334,SRC_HW!$A$5:$A$400,0)),IF(ISNUMBER(MATCH($H334,SRC_DC!$A$5:$A$400,0)),INDEX(SRC_DC!$K$5:$K$400,MATCH($H334,SRC_DC!$A$5:$A$400,0)),IF(ISNUMBER(MATCH($H334,SRC_Model!$A$5:$A$400,0)),INDEX(SRC_Model!$K$5:$K$400,MATCH($H334,SRC_Model!$A$5:$A$400,0)),IF(ISNUMBER(MATCH($H334,SRC_Perf!$A$5:$A$400,0)),INDEX(SRC_Perf!$K$5:$K$400,MATCH($H334,SRC_Perf!$A$5:$A$400,0)),"不存在")))))</f>
        <v>1</v>
      </c>
      <c r="U334" s="52" t="s">
        <v>2341</v>
      </c>
      <c r="V334" s="103" t="n">
        <f aca="false">IF(AND($F334="原始數據",$U334&lt;&gt;"連結 SRC"),1,0)</f>
        <v>0</v>
      </c>
      <c r="W334" s="103" t="n">
        <f aca="false">IF(AND($F334="Analogy",OR($H334="—",$H334="")),1,0)</f>
        <v>0</v>
      </c>
      <c r="X334" s="103" t="n">
        <f aca="false">IF(AND(OR($F334="Analogy",$F334="Assumed"),$G334&lt;&gt;"低",$G334&lt;&gt;"高",NOT(ISNUMBER($K334)),NOT(ISNUMBER($L334)),OR($M334="—",$M334="")),1,0)</f>
        <v>0</v>
      </c>
      <c r="Y334" s="103" t="n">
        <f aca="false">IF(AND(OR($F334="Analogy",$F334="Assumed",$F334="Derived（待改公式）",$F334="Derived（公式）"),OR($N334="—",$N334="",$N334=0)),1,0)</f>
        <v>0</v>
      </c>
      <c r="Z334" s="103" t="n">
        <f aca="false">IF(AND($F334="Decision",OR($J334="—",$J334="")),1,0)</f>
        <v>0</v>
      </c>
      <c r="AA334" s="84" t="n">
        <f aca="false">IF(OR($J334="—",$J334=""),0,IF(COUNTIF(Decisions!$A$5:$A$300,$J334)=0,1,0))</f>
        <v>0</v>
      </c>
      <c r="AB334" s="103" t="n">
        <f aca="false">IF(AND($F334="原始數據",$S334&lt;&gt;"Active"),1,0)</f>
        <v>0</v>
      </c>
      <c r="AC334" s="103" t="n">
        <f aca="false">IF(AND(ISNUMBER($K334),ISNUMBER($L334),ISNUMBER($Q334)),IF(OR($Q334&lt;MIN($K334,$L334),$Q334&gt;MAX($K334,$L334)),1,0),0)</f>
        <v>0</v>
      </c>
      <c r="AD334" s="103" t="n">
        <f aca="false">IF(AND(ISNUMBER($T334),$P334="高"),IF($T334=3,1,0),0)</f>
        <v>0</v>
      </c>
      <c r="AE334" s="103" t="n">
        <f aca="false">IF(AND($S334="不存在",$B334="切片一"),1,0)</f>
        <v>0</v>
      </c>
    </row>
    <row r="335" customFormat="false" ht="15" hidden="false" customHeight="false" outlineLevel="0" collapsed="false">
      <c r="A335" s="53" t="s">
        <v>3037</v>
      </c>
      <c r="B335" s="52" t="s">
        <v>2297</v>
      </c>
      <c r="C335" s="53" t="s">
        <v>2995</v>
      </c>
      <c r="D335" s="53" t="s">
        <v>3038</v>
      </c>
      <c r="E335" s="6" t="s">
        <v>396</v>
      </c>
      <c r="F335" s="52" t="s">
        <v>2337</v>
      </c>
      <c r="G335" s="52" t="s">
        <v>2299</v>
      </c>
      <c r="H335" s="53" t="s">
        <v>3039</v>
      </c>
      <c r="I335" s="5" t="s">
        <v>2339</v>
      </c>
      <c r="J335" s="53" t="s">
        <v>554</v>
      </c>
      <c r="K335" s="52"/>
      <c r="L335" s="52"/>
      <c r="M335" s="53" t="s">
        <v>554</v>
      </c>
      <c r="N335" s="5" t="s">
        <v>2340</v>
      </c>
      <c r="O335" s="6" t="s">
        <v>554</v>
      </c>
      <c r="P335" s="52" t="s">
        <v>2307</v>
      </c>
      <c r="Q335" s="84" t="n">
        <f aca="false">Calib!H13</f>
        <v>1</v>
      </c>
      <c r="R335" s="83" t="n">
        <f aca="false">SRC_PERF_014_MTP</f>
        <v>1</v>
      </c>
      <c r="S335" s="83" t="str">
        <f aca="false">IF(OR($H335="—",$H335=""),"—",IF(ISNUMBER(MATCH($H335,SRC_HW!$A$5:$A$400,0)),INDEX(SRC_HW!$O$5:$O$400,MATCH($H335,SRC_HW!$A$5:$A$400,0)),IF(ISNUMBER(MATCH($H335,SRC_DC!$A$5:$A$400,0)),INDEX(SRC_DC!$O$5:$O$400,MATCH($H335,SRC_DC!$A$5:$A$400,0)),IF(ISNUMBER(MATCH($H335,SRC_Model!$A$5:$A$400,0)),INDEX(SRC_Model!$O$5:$O$400,MATCH($H335,SRC_Model!$A$5:$A$400,0)),IF(ISNUMBER(MATCH($H335,SRC_Perf!$A$5:$A$400,0)),INDEX(SRC_Perf!$O$5:$O$400,MATCH($H335,SRC_Perf!$A$5:$A$400,0)),"不存在")))))</f>
        <v>Active</v>
      </c>
      <c r="T335" s="83" t="n">
        <f aca="false">IF(OR($H335="—",$H335=""),"—",IF(ISNUMBER(MATCH($H335,SRC_HW!$A$5:$A$400,0)),INDEX(SRC_HW!$K$5:$K$400,MATCH($H335,SRC_HW!$A$5:$A$400,0)),IF(ISNUMBER(MATCH($H335,SRC_DC!$A$5:$A$400,0)),INDEX(SRC_DC!$K$5:$K$400,MATCH($H335,SRC_DC!$A$5:$A$400,0)),IF(ISNUMBER(MATCH($H335,SRC_Model!$A$5:$A$400,0)),INDEX(SRC_Model!$K$5:$K$400,MATCH($H335,SRC_Model!$A$5:$A$400,0)),IF(ISNUMBER(MATCH($H335,SRC_Perf!$A$5:$A$400,0)),INDEX(SRC_Perf!$K$5:$K$400,MATCH($H335,SRC_Perf!$A$5:$A$400,0)),"不存在")))))</f>
        <v>1</v>
      </c>
      <c r="U335" s="52" t="s">
        <v>2341</v>
      </c>
      <c r="V335" s="103" t="n">
        <f aca="false">IF(AND($F335="原始數據",$U335&lt;&gt;"連結 SRC"),1,0)</f>
        <v>0</v>
      </c>
      <c r="W335" s="103" t="n">
        <f aca="false">IF(AND($F335="Analogy",OR($H335="—",$H335="")),1,0)</f>
        <v>0</v>
      </c>
      <c r="X335" s="103" t="n">
        <f aca="false">IF(AND(OR($F335="Analogy",$F335="Assumed"),$G335&lt;&gt;"低",$G335&lt;&gt;"高",NOT(ISNUMBER($K335)),NOT(ISNUMBER($L335)),OR($M335="—",$M335="")),1,0)</f>
        <v>0</v>
      </c>
      <c r="Y335" s="103" t="n">
        <f aca="false">IF(AND(OR($F335="Analogy",$F335="Assumed",$F335="Derived（待改公式）",$F335="Derived（公式）"),OR($N335="—",$N335="",$N335=0)),1,0)</f>
        <v>0</v>
      </c>
      <c r="Z335" s="103" t="n">
        <f aca="false">IF(AND($F335="Decision",OR($J335="—",$J335="")),1,0)</f>
        <v>0</v>
      </c>
      <c r="AA335" s="84" t="n">
        <f aca="false">IF(OR($J335="—",$J335=""),0,IF(COUNTIF(Decisions!$A$5:$A$300,$J335)=0,1,0))</f>
        <v>0</v>
      </c>
      <c r="AB335" s="103" t="n">
        <f aca="false">IF(AND($F335="原始數據",$S335&lt;&gt;"Active"),1,0)</f>
        <v>0</v>
      </c>
      <c r="AC335" s="103" t="n">
        <f aca="false">IF(AND(ISNUMBER($K335),ISNUMBER($L335),ISNUMBER($Q335)),IF(OR($Q335&lt;MIN($K335,$L335),$Q335&gt;MAX($K335,$L335)),1,0),0)</f>
        <v>0</v>
      </c>
      <c r="AD335" s="103" t="n">
        <f aca="false">IF(AND(ISNUMBER($T335),$P335="高"),IF($T335=3,1,0),0)</f>
        <v>0</v>
      </c>
      <c r="AE335" s="103" t="n">
        <f aca="false">IF(AND($S335="不存在",$B335="切片一"),1,0)</f>
        <v>0</v>
      </c>
    </row>
    <row r="336" customFormat="false" ht="15" hidden="false" customHeight="false" outlineLevel="0" collapsed="false">
      <c r="A336" s="53" t="s">
        <v>3040</v>
      </c>
      <c r="B336" s="52" t="s">
        <v>2297</v>
      </c>
      <c r="C336" s="53" t="s">
        <v>2995</v>
      </c>
      <c r="D336" s="53" t="s">
        <v>3041</v>
      </c>
      <c r="E336" s="5" t="s">
        <v>397</v>
      </c>
      <c r="F336" s="52" t="s">
        <v>2337</v>
      </c>
      <c r="G336" s="52" t="s">
        <v>2299</v>
      </c>
      <c r="H336" s="53" t="s">
        <v>3039</v>
      </c>
      <c r="I336" s="5" t="s">
        <v>2339</v>
      </c>
      <c r="J336" s="53" t="s">
        <v>554</v>
      </c>
      <c r="K336" s="52"/>
      <c r="L336" s="52"/>
      <c r="M336" s="53" t="s">
        <v>554</v>
      </c>
      <c r="N336" s="5" t="s">
        <v>2340</v>
      </c>
      <c r="O336" s="6" t="s">
        <v>554</v>
      </c>
      <c r="P336" s="52" t="s">
        <v>1079</v>
      </c>
      <c r="Q336" s="54" t="n">
        <f aca="false">Calib!H14</f>
        <v>110</v>
      </c>
      <c r="R336" s="83" t="n">
        <f aca="false">SRC_PERF_014_Spd</f>
        <v>110</v>
      </c>
      <c r="S336" s="83" t="str">
        <f aca="false">IF(OR($H336="—",$H336=""),"—",IF(ISNUMBER(MATCH($H336,SRC_HW!$A$5:$A$400,0)),INDEX(SRC_HW!$O$5:$O$400,MATCH($H336,SRC_HW!$A$5:$A$400,0)),IF(ISNUMBER(MATCH($H336,SRC_DC!$A$5:$A$400,0)),INDEX(SRC_DC!$O$5:$O$400,MATCH($H336,SRC_DC!$A$5:$A$400,0)),IF(ISNUMBER(MATCH($H336,SRC_Model!$A$5:$A$400,0)),INDEX(SRC_Model!$O$5:$O$400,MATCH($H336,SRC_Model!$A$5:$A$400,0)),IF(ISNUMBER(MATCH($H336,SRC_Perf!$A$5:$A$400,0)),INDEX(SRC_Perf!$O$5:$O$400,MATCH($H336,SRC_Perf!$A$5:$A$400,0)),"不存在")))))</f>
        <v>Active</v>
      </c>
      <c r="T336" s="83" t="n">
        <f aca="false">IF(OR($H336="—",$H336=""),"—",IF(ISNUMBER(MATCH($H336,SRC_HW!$A$5:$A$400,0)),INDEX(SRC_HW!$K$5:$K$400,MATCH($H336,SRC_HW!$A$5:$A$400,0)),IF(ISNUMBER(MATCH($H336,SRC_DC!$A$5:$A$400,0)),INDEX(SRC_DC!$K$5:$K$400,MATCH($H336,SRC_DC!$A$5:$A$400,0)),IF(ISNUMBER(MATCH($H336,SRC_Model!$A$5:$A$400,0)),INDEX(SRC_Model!$K$5:$K$400,MATCH($H336,SRC_Model!$A$5:$A$400,0)),IF(ISNUMBER(MATCH($H336,SRC_Perf!$A$5:$A$400,0)),INDEX(SRC_Perf!$K$5:$K$400,MATCH($H336,SRC_Perf!$A$5:$A$400,0)),"不存在")))))</f>
        <v>1</v>
      </c>
      <c r="U336" s="52" t="s">
        <v>2341</v>
      </c>
      <c r="V336" s="103" t="n">
        <f aca="false">IF(AND($F336="原始數據",$U336&lt;&gt;"連結 SRC"),1,0)</f>
        <v>0</v>
      </c>
      <c r="W336" s="103" t="n">
        <f aca="false">IF(AND($F336="Analogy",OR($H336="—",$H336="")),1,0)</f>
        <v>0</v>
      </c>
      <c r="X336" s="103" t="n">
        <f aca="false">IF(AND(OR($F336="Analogy",$F336="Assumed"),$G336&lt;&gt;"低",$G336&lt;&gt;"高",NOT(ISNUMBER($K336)),NOT(ISNUMBER($L336)),OR($M336="—",$M336="")),1,0)</f>
        <v>0</v>
      </c>
      <c r="Y336" s="103" t="n">
        <f aca="false">IF(AND(OR($F336="Analogy",$F336="Assumed",$F336="Derived（待改公式）",$F336="Derived（公式）"),OR($N336="—",$N336="",$N336=0)),1,0)</f>
        <v>0</v>
      </c>
      <c r="Z336" s="103" t="n">
        <f aca="false">IF(AND($F336="Decision",OR($J336="—",$J336="")),1,0)</f>
        <v>0</v>
      </c>
      <c r="AA336" s="84" t="n">
        <f aca="false">IF(OR($J336="—",$J336=""),0,IF(COUNTIF(Decisions!$A$5:$A$300,$J336)=0,1,0))</f>
        <v>0</v>
      </c>
      <c r="AB336" s="103" t="n">
        <f aca="false">IF(AND($F336="原始數據",$S336&lt;&gt;"Active"),1,0)</f>
        <v>0</v>
      </c>
      <c r="AC336" s="103" t="n">
        <f aca="false">IF(AND(ISNUMBER($K336),ISNUMBER($L336),ISNUMBER($Q336)),IF(OR($Q336&lt;MIN($K336,$L336),$Q336&gt;MAX($K336,$L336)),1,0),0)</f>
        <v>0</v>
      </c>
      <c r="AD336" s="103" t="n">
        <f aca="false">IF(AND(ISNUMBER($T336),$P336="高"),IF($T336=3,1,0),0)</f>
        <v>0</v>
      </c>
      <c r="AE336" s="103" t="n">
        <f aca="false">IF(AND($S336="不存在",$B336="切片一"),1,0)</f>
        <v>0</v>
      </c>
    </row>
    <row r="337" customFormat="false" ht="15" hidden="false" customHeight="false" outlineLevel="0" collapsed="false">
      <c r="A337" s="53" t="s">
        <v>3042</v>
      </c>
      <c r="B337" s="52" t="s">
        <v>2297</v>
      </c>
      <c r="C337" s="53" t="s">
        <v>2995</v>
      </c>
      <c r="D337" s="53" t="s">
        <v>3043</v>
      </c>
      <c r="E337" s="6" t="s">
        <v>398</v>
      </c>
      <c r="F337" s="52" t="s">
        <v>2337</v>
      </c>
      <c r="G337" s="52" t="s">
        <v>2299</v>
      </c>
      <c r="H337" s="53" t="s">
        <v>3039</v>
      </c>
      <c r="I337" s="5" t="s">
        <v>2339</v>
      </c>
      <c r="J337" s="53" t="s">
        <v>554</v>
      </c>
      <c r="K337" s="52"/>
      <c r="L337" s="52"/>
      <c r="M337" s="53" t="s">
        <v>554</v>
      </c>
      <c r="N337" s="5" t="s">
        <v>2340</v>
      </c>
      <c r="O337" s="6" t="s">
        <v>554</v>
      </c>
      <c r="P337" s="52" t="s">
        <v>1079</v>
      </c>
      <c r="Q337" s="54" t="n">
        <f aca="false">Calib!H15</f>
        <v>8192</v>
      </c>
      <c r="R337" s="83" t="n">
        <f aca="false">SRC_PERF_014_ISL</f>
        <v>8192</v>
      </c>
      <c r="S337" s="83" t="str">
        <f aca="false">IF(OR($H337="—",$H337=""),"—",IF(ISNUMBER(MATCH($H337,SRC_HW!$A$5:$A$400,0)),INDEX(SRC_HW!$O$5:$O$400,MATCH($H337,SRC_HW!$A$5:$A$400,0)),IF(ISNUMBER(MATCH($H337,SRC_DC!$A$5:$A$400,0)),INDEX(SRC_DC!$O$5:$O$400,MATCH($H337,SRC_DC!$A$5:$A$400,0)),IF(ISNUMBER(MATCH($H337,SRC_Model!$A$5:$A$400,0)),INDEX(SRC_Model!$O$5:$O$400,MATCH($H337,SRC_Model!$A$5:$A$400,0)),IF(ISNUMBER(MATCH($H337,SRC_Perf!$A$5:$A$400,0)),INDEX(SRC_Perf!$O$5:$O$400,MATCH($H337,SRC_Perf!$A$5:$A$400,0)),"不存在")))))</f>
        <v>Active</v>
      </c>
      <c r="T337" s="83" t="n">
        <f aca="false">IF(OR($H337="—",$H337=""),"—",IF(ISNUMBER(MATCH($H337,SRC_HW!$A$5:$A$400,0)),INDEX(SRC_HW!$K$5:$K$400,MATCH($H337,SRC_HW!$A$5:$A$400,0)),IF(ISNUMBER(MATCH($H337,SRC_DC!$A$5:$A$400,0)),INDEX(SRC_DC!$K$5:$K$400,MATCH($H337,SRC_DC!$A$5:$A$400,0)),IF(ISNUMBER(MATCH($H337,SRC_Model!$A$5:$A$400,0)),INDEX(SRC_Model!$K$5:$K$400,MATCH($H337,SRC_Model!$A$5:$A$400,0)),IF(ISNUMBER(MATCH($H337,SRC_Perf!$A$5:$A$400,0)),INDEX(SRC_Perf!$K$5:$K$400,MATCH($H337,SRC_Perf!$A$5:$A$400,0)),"不存在")))))</f>
        <v>1</v>
      </c>
      <c r="U337" s="52" t="s">
        <v>2341</v>
      </c>
      <c r="V337" s="103" t="n">
        <f aca="false">IF(AND($F337="原始數據",$U337&lt;&gt;"連結 SRC"),1,0)</f>
        <v>0</v>
      </c>
      <c r="W337" s="103" t="n">
        <f aca="false">IF(AND($F337="Analogy",OR($H337="—",$H337="")),1,0)</f>
        <v>0</v>
      </c>
      <c r="X337" s="103" t="n">
        <f aca="false">IF(AND(OR($F337="Analogy",$F337="Assumed"),$G337&lt;&gt;"低",$G337&lt;&gt;"高",NOT(ISNUMBER($K337)),NOT(ISNUMBER($L337)),OR($M337="—",$M337="")),1,0)</f>
        <v>0</v>
      </c>
      <c r="Y337" s="103" t="n">
        <f aca="false">IF(AND(OR($F337="Analogy",$F337="Assumed",$F337="Derived（待改公式）",$F337="Derived（公式）"),OR($N337="—",$N337="",$N337=0)),1,0)</f>
        <v>0</v>
      </c>
      <c r="Z337" s="103" t="n">
        <f aca="false">IF(AND($F337="Decision",OR($J337="—",$J337="")),1,0)</f>
        <v>0</v>
      </c>
      <c r="AA337" s="84" t="n">
        <f aca="false">IF(OR($J337="—",$J337=""),0,IF(COUNTIF(Decisions!$A$5:$A$300,$J337)=0,1,0))</f>
        <v>0</v>
      </c>
      <c r="AB337" s="103" t="n">
        <f aca="false">IF(AND($F337="原始數據",$S337&lt;&gt;"Active"),1,0)</f>
        <v>0</v>
      </c>
      <c r="AC337" s="103" t="n">
        <f aca="false">IF(AND(ISNUMBER($K337),ISNUMBER($L337),ISNUMBER($Q337)),IF(OR($Q337&lt;MIN($K337,$L337),$Q337&gt;MAX($K337,$L337)),1,0),0)</f>
        <v>0</v>
      </c>
      <c r="AD337" s="103" t="n">
        <f aca="false">IF(AND(ISNUMBER($T337),$P337="高"),IF($T337=3,1,0),0)</f>
        <v>0</v>
      </c>
      <c r="AE337" s="103" t="n">
        <f aca="false">IF(AND($S337="不存在",$B337="切片一"),1,0)</f>
        <v>0</v>
      </c>
    </row>
    <row r="338" customFormat="false" ht="15" hidden="false" customHeight="false" outlineLevel="0" collapsed="false">
      <c r="A338" s="53" t="s">
        <v>3044</v>
      </c>
      <c r="B338" s="52" t="s">
        <v>2297</v>
      </c>
      <c r="C338" s="53" t="s">
        <v>2995</v>
      </c>
      <c r="D338" s="53" t="s">
        <v>3045</v>
      </c>
      <c r="E338" s="6" t="s">
        <v>399</v>
      </c>
      <c r="F338" s="52" t="s">
        <v>2337</v>
      </c>
      <c r="G338" s="52" t="s">
        <v>2299</v>
      </c>
      <c r="H338" s="53" t="s">
        <v>3039</v>
      </c>
      <c r="I338" s="5" t="s">
        <v>2339</v>
      </c>
      <c r="J338" s="53" t="s">
        <v>554</v>
      </c>
      <c r="K338" s="52"/>
      <c r="L338" s="52"/>
      <c r="M338" s="53" t="s">
        <v>554</v>
      </c>
      <c r="N338" s="5" t="s">
        <v>2340</v>
      </c>
      <c r="O338" s="6" t="s">
        <v>554</v>
      </c>
      <c r="P338" s="52" t="s">
        <v>1079</v>
      </c>
      <c r="Q338" s="54" t="n">
        <f aca="false">Calib!H16</f>
        <v>1024</v>
      </c>
      <c r="R338" s="83" t="n">
        <f aca="false">SRC_PERF_014_OSL</f>
        <v>1024</v>
      </c>
      <c r="S338" s="83" t="str">
        <f aca="false">IF(OR($H338="—",$H338=""),"—",IF(ISNUMBER(MATCH($H338,SRC_HW!$A$5:$A$400,0)),INDEX(SRC_HW!$O$5:$O$400,MATCH($H338,SRC_HW!$A$5:$A$400,0)),IF(ISNUMBER(MATCH($H338,SRC_DC!$A$5:$A$400,0)),INDEX(SRC_DC!$O$5:$O$400,MATCH($H338,SRC_DC!$A$5:$A$400,0)),IF(ISNUMBER(MATCH($H338,SRC_Model!$A$5:$A$400,0)),INDEX(SRC_Model!$O$5:$O$400,MATCH($H338,SRC_Model!$A$5:$A$400,0)),IF(ISNUMBER(MATCH($H338,SRC_Perf!$A$5:$A$400,0)),INDEX(SRC_Perf!$O$5:$O$400,MATCH($H338,SRC_Perf!$A$5:$A$400,0)),"不存在")))))</f>
        <v>Active</v>
      </c>
      <c r="T338" s="83" t="n">
        <f aca="false">IF(OR($H338="—",$H338=""),"—",IF(ISNUMBER(MATCH($H338,SRC_HW!$A$5:$A$400,0)),INDEX(SRC_HW!$K$5:$K$400,MATCH($H338,SRC_HW!$A$5:$A$400,0)),IF(ISNUMBER(MATCH($H338,SRC_DC!$A$5:$A$400,0)),INDEX(SRC_DC!$K$5:$K$400,MATCH($H338,SRC_DC!$A$5:$A$400,0)),IF(ISNUMBER(MATCH($H338,SRC_Model!$A$5:$A$400,0)),INDEX(SRC_Model!$K$5:$K$400,MATCH($H338,SRC_Model!$A$5:$A$400,0)),IF(ISNUMBER(MATCH($H338,SRC_Perf!$A$5:$A$400,0)),INDEX(SRC_Perf!$K$5:$K$400,MATCH($H338,SRC_Perf!$A$5:$A$400,0)),"不存在")))))</f>
        <v>1</v>
      </c>
      <c r="U338" s="52" t="s">
        <v>2341</v>
      </c>
      <c r="V338" s="103" t="n">
        <f aca="false">IF(AND($F338="原始數據",$U338&lt;&gt;"連結 SRC"),1,0)</f>
        <v>0</v>
      </c>
      <c r="W338" s="103" t="n">
        <f aca="false">IF(AND($F338="Analogy",OR($H338="—",$H338="")),1,0)</f>
        <v>0</v>
      </c>
      <c r="X338" s="103" t="n">
        <f aca="false">IF(AND(OR($F338="Analogy",$F338="Assumed"),$G338&lt;&gt;"低",$G338&lt;&gt;"高",NOT(ISNUMBER($K338)),NOT(ISNUMBER($L338)),OR($M338="—",$M338="")),1,0)</f>
        <v>0</v>
      </c>
      <c r="Y338" s="103" t="n">
        <f aca="false">IF(AND(OR($F338="Analogy",$F338="Assumed",$F338="Derived（待改公式）",$F338="Derived（公式）"),OR($N338="—",$N338="",$N338=0)),1,0)</f>
        <v>0</v>
      </c>
      <c r="Z338" s="103" t="n">
        <f aca="false">IF(AND($F338="Decision",OR($J338="—",$J338="")),1,0)</f>
        <v>0</v>
      </c>
      <c r="AA338" s="84" t="n">
        <f aca="false">IF(OR($J338="—",$J338=""),0,IF(COUNTIF(Decisions!$A$5:$A$300,$J338)=0,1,0))</f>
        <v>0</v>
      </c>
      <c r="AB338" s="103" t="n">
        <f aca="false">IF(AND($F338="原始數據",$S338&lt;&gt;"Active"),1,0)</f>
        <v>0</v>
      </c>
      <c r="AC338" s="103" t="n">
        <f aca="false">IF(AND(ISNUMBER($K338),ISNUMBER($L338),ISNUMBER($Q338)),IF(OR($Q338&lt;MIN($K338,$L338),$Q338&gt;MAX($K338,$L338)),1,0),0)</f>
        <v>0</v>
      </c>
      <c r="AD338" s="103" t="n">
        <f aca="false">IF(AND(ISNUMBER($T338),$P338="高"),IF($T338=3,1,0),0)</f>
        <v>0</v>
      </c>
      <c r="AE338" s="103" t="n">
        <f aca="false">IF(AND($S338="不存在",$B338="切片一"),1,0)</f>
        <v>0</v>
      </c>
    </row>
    <row r="339" customFormat="false" ht="15" hidden="false" customHeight="false" outlineLevel="0" collapsed="false">
      <c r="A339" s="53" t="s">
        <v>3046</v>
      </c>
      <c r="B339" s="52" t="s">
        <v>2297</v>
      </c>
      <c r="C339" s="53" t="s">
        <v>2995</v>
      </c>
      <c r="D339" s="53" t="s">
        <v>3047</v>
      </c>
      <c r="E339" s="5" t="s">
        <v>400</v>
      </c>
      <c r="F339" s="52" t="s">
        <v>2337</v>
      </c>
      <c r="G339" s="52" t="s">
        <v>2299</v>
      </c>
      <c r="H339" s="53" t="s">
        <v>3039</v>
      </c>
      <c r="I339" s="5" t="s">
        <v>2339</v>
      </c>
      <c r="J339" s="53" t="s">
        <v>554</v>
      </c>
      <c r="K339" s="52"/>
      <c r="L339" s="52"/>
      <c r="M339" s="53" t="s">
        <v>554</v>
      </c>
      <c r="N339" s="5" t="s">
        <v>2340</v>
      </c>
      <c r="O339" s="6" t="s">
        <v>554</v>
      </c>
      <c r="P339" s="52" t="s">
        <v>1079</v>
      </c>
      <c r="Q339" s="54" t="n">
        <f aca="false">Calib!H17</f>
        <v>3795.5</v>
      </c>
      <c r="R339" s="83" t="n">
        <f aca="false">SRC_PERF_014</f>
        <v>3795.5</v>
      </c>
      <c r="S339" s="83" t="str">
        <f aca="false">IF(OR($H339="—",$H339=""),"—",IF(ISNUMBER(MATCH($H339,SRC_HW!$A$5:$A$400,0)),INDEX(SRC_HW!$O$5:$O$400,MATCH($H339,SRC_HW!$A$5:$A$400,0)),IF(ISNUMBER(MATCH($H339,SRC_DC!$A$5:$A$400,0)),INDEX(SRC_DC!$O$5:$O$400,MATCH($H339,SRC_DC!$A$5:$A$400,0)),IF(ISNUMBER(MATCH($H339,SRC_Model!$A$5:$A$400,0)),INDEX(SRC_Model!$O$5:$O$400,MATCH($H339,SRC_Model!$A$5:$A$400,0)),IF(ISNUMBER(MATCH($H339,SRC_Perf!$A$5:$A$400,0)),INDEX(SRC_Perf!$O$5:$O$400,MATCH($H339,SRC_Perf!$A$5:$A$400,0)),"不存在")))))</f>
        <v>Active</v>
      </c>
      <c r="T339" s="83" t="n">
        <f aca="false">IF(OR($H339="—",$H339=""),"—",IF(ISNUMBER(MATCH($H339,SRC_HW!$A$5:$A$400,0)),INDEX(SRC_HW!$K$5:$K$400,MATCH($H339,SRC_HW!$A$5:$A$400,0)),IF(ISNUMBER(MATCH($H339,SRC_DC!$A$5:$A$400,0)),INDEX(SRC_DC!$K$5:$K$400,MATCH($H339,SRC_DC!$A$5:$A$400,0)),IF(ISNUMBER(MATCH($H339,SRC_Model!$A$5:$A$400,0)),INDEX(SRC_Model!$K$5:$K$400,MATCH($H339,SRC_Model!$A$5:$A$400,0)),IF(ISNUMBER(MATCH($H339,SRC_Perf!$A$5:$A$400,0)),INDEX(SRC_Perf!$K$5:$K$400,MATCH($H339,SRC_Perf!$A$5:$A$400,0)),"不存在")))))</f>
        <v>1</v>
      </c>
      <c r="U339" s="52" t="s">
        <v>2341</v>
      </c>
      <c r="V339" s="103" t="n">
        <f aca="false">IF(AND($F339="原始數據",$U339&lt;&gt;"連結 SRC"),1,0)</f>
        <v>0</v>
      </c>
      <c r="W339" s="103" t="n">
        <f aca="false">IF(AND($F339="Analogy",OR($H339="—",$H339="")),1,0)</f>
        <v>0</v>
      </c>
      <c r="X339" s="103" t="n">
        <f aca="false">IF(AND(OR($F339="Analogy",$F339="Assumed"),$G339&lt;&gt;"低",$G339&lt;&gt;"高",NOT(ISNUMBER($K339)),NOT(ISNUMBER($L339)),OR($M339="—",$M339="")),1,0)</f>
        <v>0</v>
      </c>
      <c r="Y339" s="103" t="n">
        <f aca="false">IF(AND(OR($F339="Analogy",$F339="Assumed",$F339="Derived（待改公式）",$F339="Derived（公式）"),OR($N339="—",$N339="",$N339=0)),1,0)</f>
        <v>0</v>
      </c>
      <c r="Z339" s="103" t="n">
        <f aca="false">IF(AND($F339="Decision",OR($J339="—",$J339="")),1,0)</f>
        <v>0</v>
      </c>
      <c r="AA339" s="84" t="n">
        <f aca="false">IF(OR($J339="—",$J339=""),0,IF(COUNTIF(Decisions!$A$5:$A$300,$J339)=0,1,0))</f>
        <v>0</v>
      </c>
      <c r="AB339" s="103" t="n">
        <f aca="false">IF(AND($F339="原始數據",$S339&lt;&gt;"Active"),1,0)</f>
        <v>0</v>
      </c>
      <c r="AC339" s="103" t="n">
        <f aca="false">IF(AND(ISNUMBER($K339),ISNUMBER($L339),ISNUMBER($Q339)),IF(OR($Q339&lt;MIN($K339,$L339),$Q339&gt;MAX($K339,$L339)),1,0),0)</f>
        <v>0</v>
      </c>
      <c r="AD339" s="103" t="n">
        <f aca="false">IF(AND(ISNUMBER($T339),$P339="高"),IF($T339=3,1,0),0)</f>
        <v>0</v>
      </c>
      <c r="AE339" s="103" t="n">
        <f aca="false">IF(AND($S339="不存在",$B339="切片一"),1,0)</f>
        <v>0</v>
      </c>
    </row>
    <row r="340" customFormat="false" ht="15" hidden="false" customHeight="false" outlineLevel="0" collapsed="false">
      <c r="A340" s="53" t="s">
        <v>3048</v>
      </c>
      <c r="B340" s="52" t="s">
        <v>2297</v>
      </c>
      <c r="C340" s="53" t="s">
        <v>2995</v>
      </c>
      <c r="D340" s="53" t="s">
        <v>3049</v>
      </c>
      <c r="E340" s="6" t="s">
        <v>396</v>
      </c>
      <c r="F340" s="52" t="s">
        <v>2337</v>
      </c>
      <c r="G340" s="52" t="s">
        <v>2299</v>
      </c>
      <c r="H340" s="53" t="s">
        <v>3050</v>
      </c>
      <c r="I340" s="5" t="s">
        <v>2339</v>
      </c>
      <c r="J340" s="53" t="s">
        <v>554</v>
      </c>
      <c r="K340" s="52"/>
      <c r="L340" s="52"/>
      <c r="M340" s="53" t="s">
        <v>554</v>
      </c>
      <c r="N340" s="5" t="s">
        <v>2340</v>
      </c>
      <c r="O340" s="6" t="s">
        <v>554</v>
      </c>
      <c r="P340" s="52" t="s">
        <v>2307</v>
      </c>
      <c r="Q340" s="84" t="n">
        <f aca="false">Calib!I13</f>
        <v>1</v>
      </c>
      <c r="R340" s="83" t="n">
        <f aca="false">SRC_PERF_015_MTP</f>
        <v>1</v>
      </c>
      <c r="S340" s="83" t="str">
        <f aca="false">IF(OR($H340="—",$H340=""),"—",IF(ISNUMBER(MATCH($H340,SRC_HW!$A$5:$A$400,0)),INDEX(SRC_HW!$O$5:$O$400,MATCH($H340,SRC_HW!$A$5:$A$400,0)),IF(ISNUMBER(MATCH($H340,SRC_DC!$A$5:$A$400,0)),INDEX(SRC_DC!$O$5:$O$400,MATCH($H340,SRC_DC!$A$5:$A$400,0)),IF(ISNUMBER(MATCH($H340,SRC_Model!$A$5:$A$400,0)),INDEX(SRC_Model!$O$5:$O$400,MATCH($H340,SRC_Model!$A$5:$A$400,0)),IF(ISNUMBER(MATCH($H340,SRC_Perf!$A$5:$A$400,0)),INDEX(SRC_Perf!$O$5:$O$400,MATCH($H340,SRC_Perf!$A$5:$A$400,0)),"不存在")))))</f>
        <v>Active</v>
      </c>
      <c r="T340" s="83" t="n">
        <f aca="false">IF(OR($H340="—",$H340=""),"—",IF(ISNUMBER(MATCH($H340,SRC_HW!$A$5:$A$400,0)),INDEX(SRC_HW!$K$5:$K$400,MATCH($H340,SRC_HW!$A$5:$A$400,0)),IF(ISNUMBER(MATCH($H340,SRC_DC!$A$5:$A$400,0)),INDEX(SRC_DC!$K$5:$K$400,MATCH($H340,SRC_DC!$A$5:$A$400,0)),IF(ISNUMBER(MATCH($H340,SRC_Model!$A$5:$A$400,0)),INDEX(SRC_Model!$K$5:$K$400,MATCH($H340,SRC_Model!$A$5:$A$400,0)),IF(ISNUMBER(MATCH($H340,SRC_Perf!$A$5:$A$400,0)),INDEX(SRC_Perf!$K$5:$K$400,MATCH($H340,SRC_Perf!$A$5:$A$400,0)),"不存在")))))</f>
        <v>1</v>
      </c>
      <c r="U340" s="52" t="s">
        <v>2341</v>
      </c>
      <c r="V340" s="103" t="n">
        <f aca="false">IF(AND($F340="原始數據",$U340&lt;&gt;"連結 SRC"),1,0)</f>
        <v>0</v>
      </c>
      <c r="W340" s="103" t="n">
        <f aca="false">IF(AND($F340="Analogy",OR($H340="—",$H340="")),1,0)</f>
        <v>0</v>
      </c>
      <c r="X340" s="103" t="n">
        <f aca="false">IF(AND(OR($F340="Analogy",$F340="Assumed"),$G340&lt;&gt;"低",$G340&lt;&gt;"高",NOT(ISNUMBER($K340)),NOT(ISNUMBER($L340)),OR($M340="—",$M340="")),1,0)</f>
        <v>0</v>
      </c>
      <c r="Y340" s="103" t="n">
        <f aca="false">IF(AND(OR($F340="Analogy",$F340="Assumed",$F340="Derived（待改公式）",$F340="Derived（公式）"),OR($N340="—",$N340="",$N340=0)),1,0)</f>
        <v>0</v>
      </c>
      <c r="Z340" s="103" t="n">
        <f aca="false">IF(AND($F340="Decision",OR($J340="—",$J340="")),1,0)</f>
        <v>0</v>
      </c>
      <c r="AA340" s="84" t="n">
        <f aca="false">IF(OR($J340="—",$J340=""),0,IF(COUNTIF(Decisions!$A$5:$A$300,$J340)=0,1,0))</f>
        <v>0</v>
      </c>
      <c r="AB340" s="103" t="n">
        <f aca="false">IF(AND($F340="原始數據",$S340&lt;&gt;"Active"),1,0)</f>
        <v>0</v>
      </c>
      <c r="AC340" s="103" t="n">
        <f aca="false">IF(AND(ISNUMBER($K340),ISNUMBER($L340),ISNUMBER($Q340)),IF(OR($Q340&lt;MIN($K340,$L340),$Q340&gt;MAX($K340,$L340)),1,0),0)</f>
        <v>0</v>
      </c>
      <c r="AD340" s="103" t="n">
        <f aca="false">IF(AND(ISNUMBER($T340),$P340="高"),IF($T340=3,1,0),0)</f>
        <v>0</v>
      </c>
      <c r="AE340" s="103" t="n">
        <f aca="false">IF(AND($S340="不存在",$B340="切片一"),1,0)</f>
        <v>0</v>
      </c>
    </row>
    <row r="341" customFormat="false" ht="15" hidden="false" customHeight="false" outlineLevel="0" collapsed="false">
      <c r="A341" s="53" t="s">
        <v>3051</v>
      </c>
      <c r="B341" s="52" t="s">
        <v>2297</v>
      </c>
      <c r="C341" s="53" t="s">
        <v>2995</v>
      </c>
      <c r="D341" s="53" t="s">
        <v>3052</v>
      </c>
      <c r="E341" s="5" t="s">
        <v>397</v>
      </c>
      <c r="F341" s="52" t="s">
        <v>2337</v>
      </c>
      <c r="G341" s="52" t="s">
        <v>2299</v>
      </c>
      <c r="H341" s="53" t="s">
        <v>3050</v>
      </c>
      <c r="I341" s="5" t="s">
        <v>2339</v>
      </c>
      <c r="J341" s="53" t="s">
        <v>554</v>
      </c>
      <c r="K341" s="52"/>
      <c r="L341" s="52"/>
      <c r="M341" s="53" t="s">
        <v>554</v>
      </c>
      <c r="N341" s="5" t="s">
        <v>2340</v>
      </c>
      <c r="O341" s="6" t="s">
        <v>554</v>
      </c>
      <c r="P341" s="52" t="s">
        <v>1079</v>
      </c>
      <c r="Q341" s="54" t="n">
        <f aca="false">Calib!I14</f>
        <v>110</v>
      </c>
      <c r="R341" s="83" t="n">
        <f aca="false">SRC_PERF_015_Spd</f>
        <v>110</v>
      </c>
      <c r="S341" s="83" t="str">
        <f aca="false">IF(OR($H341="—",$H341=""),"—",IF(ISNUMBER(MATCH($H341,SRC_HW!$A$5:$A$400,0)),INDEX(SRC_HW!$O$5:$O$400,MATCH($H341,SRC_HW!$A$5:$A$400,0)),IF(ISNUMBER(MATCH($H341,SRC_DC!$A$5:$A$400,0)),INDEX(SRC_DC!$O$5:$O$400,MATCH($H341,SRC_DC!$A$5:$A$400,0)),IF(ISNUMBER(MATCH($H341,SRC_Model!$A$5:$A$400,0)),INDEX(SRC_Model!$O$5:$O$400,MATCH($H341,SRC_Model!$A$5:$A$400,0)),IF(ISNUMBER(MATCH($H341,SRC_Perf!$A$5:$A$400,0)),INDEX(SRC_Perf!$O$5:$O$400,MATCH($H341,SRC_Perf!$A$5:$A$400,0)),"不存在")))))</f>
        <v>Active</v>
      </c>
      <c r="T341" s="83" t="n">
        <f aca="false">IF(OR($H341="—",$H341=""),"—",IF(ISNUMBER(MATCH($H341,SRC_HW!$A$5:$A$400,0)),INDEX(SRC_HW!$K$5:$K$400,MATCH($H341,SRC_HW!$A$5:$A$400,0)),IF(ISNUMBER(MATCH($H341,SRC_DC!$A$5:$A$400,0)),INDEX(SRC_DC!$K$5:$K$400,MATCH($H341,SRC_DC!$A$5:$A$400,0)),IF(ISNUMBER(MATCH($H341,SRC_Model!$A$5:$A$400,0)),INDEX(SRC_Model!$K$5:$K$400,MATCH($H341,SRC_Model!$A$5:$A$400,0)),IF(ISNUMBER(MATCH($H341,SRC_Perf!$A$5:$A$400,0)),INDEX(SRC_Perf!$K$5:$K$400,MATCH($H341,SRC_Perf!$A$5:$A$400,0)),"不存在")))))</f>
        <v>1</v>
      </c>
      <c r="U341" s="52" t="s">
        <v>2341</v>
      </c>
      <c r="V341" s="103" t="n">
        <f aca="false">IF(AND($F341="原始數據",$U341&lt;&gt;"連結 SRC"),1,0)</f>
        <v>0</v>
      </c>
      <c r="W341" s="103" t="n">
        <f aca="false">IF(AND($F341="Analogy",OR($H341="—",$H341="")),1,0)</f>
        <v>0</v>
      </c>
      <c r="X341" s="103" t="n">
        <f aca="false">IF(AND(OR($F341="Analogy",$F341="Assumed"),$G341&lt;&gt;"低",$G341&lt;&gt;"高",NOT(ISNUMBER($K341)),NOT(ISNUMBER($L341)),OR($M341="—",$M341="")),1,0)</f>
        <v>0</v>
      </c>
      <c r="Y341" s="103" t="n">
        <f aca="false">IF(AND(OR($F341="Analogy",$F341="Assumed",$F341="Derived（待改公式）",$F341="Derived（公式）"),OR($N341="—",$N341="",$N341=0)),1,0)</f>
        <v>0</v>
      </c>
      <c r="Z341" s="103" t="n">
        <f aca="false">IF(AND($F341="Decision",OR($J341="—",$J341="")),1,0)</f>
        <v>0</v>
      </c>
      <c r="AA341" s="84" t="n">
        <f aca="false">IF(OR($J341="—",$J341=""),0,IF(COUNTIF(Decisions!$A$5:$A$300,$J341)=0,1,0))</f>
        <v>0</v>
      </c>
      <c r="AB341" s="103" t="n">
        <f aca="false">IF(AND($F341="原始數據",$S341&lt;&gt;"Active"),1,0)</f>
        <v>0</v>
      </c>
      <c r="AC341" s="103" t="n">
        <f aca="false">IF(AND(ISNUMBER($K341),ISNUMBER($L341),ISNUMBER($Q341)),IF(OR($Q341&lt;MIN($K341,$L341),$Q341&gt;MAX($K341,$L341)),1,0),0)</f>
        <v>0</v>
      </c>
      <c r="AD341" s="103" t="n">
        <f aca="false">IF(AND(ISNUMBER($T341),$P341="高"),IF($T341=3,1,0),0)</f>
        <v>0</v>
      </c>
      <c r="AE341" s="103" t="n">
        <f aca="false">IF(AND($S341="不存在",$B341="切片一"),1,0)</f>
        <v>0</v>
      </c>
    </row>
    <row r="342" customFormat="false" ht="15" hidden="false" customHeight="false" outlineLevel="0" collapsed="false">
      <c r="A342" s="53" t="s">
        <v>3053</v>
      </c>
      <c r="B342" s="52" t="s">
        <v>2297</v>
      </c>
      <c r="C342" s="53" t="s">
        <v>2995</v>
      </c>
      <c r="D342" s="53" t="s">
        <v>3054</v>
      </c>
      <c r="E342" s="6" t="s">
        <v>398</v>
      </c>
      <c r="F342" s="52" t="s">
        <v>2337</v>
      </c>
      <c r="G342" s="52" t="s">
        <v>2299</v>
      </c>
      <c r="H342" s="53" t="s">
        <v>3050</v>
      </c>
      <c r="I342" s="5" t="s">
        <v>2339</v>
      </c>
      <c r="J342" s="53" t="s">
        <v>554</v>
      </c>
      <c r="K342" s="52"/>
      <c r="L342" s="52"/>
      <c r="M342" s="53" t="s">
        <v>554</v>
      </c>
      <c r="N342" s="5" t="s">
        <v>2340</v>
      </c>
      <c r="O342" s="6" t="s">
        <v>554</v>
      </c>
      <c r="P342" s="52" t="s">
        <v>1079</v>
      </c>
      <c r="Q342" s="54" t="n">
        <f aca="false">Calib!I15</f>
        <v>8192</v>
      </c>
      <c r="R342" s="83" t="n">
        <f aca="false">SRC_PERF_015_ISL</f>
        <v>8192</v>
      </c>
      <c r="S342" s="83" t="str">
        <f aca="false">IF(OR($H342="—",$H342=""),"—",IF(ISNUMBER(MATCH($H342,SRC_HW!$A$5:$A$400,0)),INDEX(SRC_HW!$O$5:$O$400,MATCH($H342,SRC_HW!$A$5:$A$400,0)),IF(ISNUMBER(MATCH($H342,SRC_DC!$A$5:$A$400,0)),INDEX(SRC_DC!$O$5:$O$400,MATCH($H342,SRC_DC!$A$5:$A$400,0)),IF(ISNUMBER(MATCH($H342,SRC_Model!$A$5:$A$400,0)),INDEX(SRC_Model!$O$5:$O$400,MATCH($H342,SRC_Model!$A$5:$A$400,0)),IF(ISNUMBER(MATCH($H342,SRC_Perf!$A$5:$A$400,0)),INDEX(SRC_Perf!$O$5:$O$400,MATCH($H342,SRC_Perf!$A$5:$A$400,0)),"不存在")))))</f>
        <v>Active</v>
      </c>
      <c r="T342" s="83" t="n">
        <f aca="false">IF(OR($H342="—",$H342=""),"—",IF(ISNUMBER(MATCH($H342,SRC_HW!$A$5:$A$400,0)),INDEX(SRC_HW!$K$5:$K$400,MATCH($H342,SRC_HW!$A$5:$A$400,0)),IF(ISNUMBER(MATCH($H342,SRC_DC!$A$5:$A$400,0)),INDEX(SRC_DC!$K$5:$K$400,MATCH($H342,SRC_DC!$A$5:$A$400,0)),IF(ISNUMBER(MATCH($H342,SRC_Model!$A$5:$A$400,0)),INDEX(SRC_Model!$K$5:$K$400,MATCH($H342,SRC_Model!$A$5:$A$400,0)),IF(ISNUMBER(MATCH($H342,SRC_Perf!$A$5:$A$400,0)),INDEX(SRC_Perf!$K$5:$K$400,MATCH($H342,SRC_Perf!$A$5:$A$400,0)),"不存在")))))</f>
        <v>1</v>
      </c>
      <c r="U342" s="52" t="s">
        <v>2341</v>
      </c>
      <c r="V342" s="103" t="n">
        <f aca="false">IF(AND($F342="原始數據",$U342&lt;&gt;"連結 SRC"),1,0)</f>
        <v>0</v>
      </c>
      <c r="W342" s="103" t="n">
        <f aca="false">IF(AND($F342="Analogy",OR($H342="—",$H342="")),1,0)</f>
        <v>0</v>
      </c>
      <c r="X342" s="103" t="n">
        <f aca="false">IF(AND(OR($F342="Analogy",$F342="Assumed"),$G342&lt;&gt;"低",$G342&lt;&gt;"高",NOT(ISNUMBER($K342)),NOT(ISNUMBER($L342)),OR($M342="—",$M342="")),1,0)</f>
        <v>0</v>
      </c>
      <c r="Y342" s="103" t="n">
        <f aca="false">IF(AND(OR($F342="Analogy",$F342="Assumed",$F342="Derived（待改公式）",$F342="Derived（公式）"),OR($N342="—",$N342="",$N342=0)),1,0)</f>
        <v>0</v>
      </c>
      <c r="Z342" s="103" t="n">
        <f aca="false">IF(AND($F342="Decision",OR($J342="—",$J342="")),1,0)</f>
        <v>0</v>
      </c>
      <c r="AA342" s="84" t="n">
        <f aca="false">IF(OR($J342="—",$J342=""),0,IF(COUNTIF(Decisions!$A$5:$A$300,$J342)=0,1,0))</f>
        <v>0</v>
      </c>
      <c r="AB342" s="103" t="n">
        <f aca="false">IF(AND($F342="原始數據",$S342&lt;&gt;"Active"),1,0)</f>
        <v>0</v>
      </c>
      <c r="AC342" s="103" t="n">
        <f aca="false">IF(AND(ISNUMBER($K342),ISNUMBER($L342),ISNUMBER($Q342)),IF(OR($Q342&lt;MIN($K342,$L342),$Q342&gt;MAX($K342,$L342)),1,0),0)</f>
        <v>0</v>
      </c>
      <c r="AD342" s="103" t="n">
        <f aca="false">IF(AND(ISNUMBER($T342),$P342="高"),IF($T342=3,1,0),0)</f>
        <v>0</v>
      </c>
      <c r="AE342" s="103" t="n">
        <f aca="false">IF(AND($S342="不存在",$B342="切片一"),1,0)</f>
        <v>0</v>
      </c>
    </row>
    <row r="343" customFormat="false" ht="15" hidden="false" customHeight="false" outlineLevel="0" collapsed="false">
      <c r="A343" s="53" t="s">
        <v>3055</v>
      </c>
      <c r="B343" s="52" t="s">
        <v>2297</v>
      </c>
      <c r="C343" s="53" t="s">
        <v>2995</v>
      </c>
      <c r="D343" s="53" t="s">
        <v>3056</v>
      </c>
      <c r="E343" s="6" t="s">
        <v>399</v>
      </c>
      <c r="F343" s="52" t="s">
        <v>2337</v>
      </c>
      <c r="G343" s="52" t="s">
        <v>2299</v>
      </c>
      <c r="H343" s="53" t="s">
        <v>3050</v>
      </c>
      <c r="I343" s="5" t="s">
        <v>2339</v>
      </c>
      <c r="J343" s="53" t="s">
        <v>554</v>
      </c>
      <c r="K343" s="52"/>
      <c r="L343" s="52"/>
      <c r="M343" s="53" t="s">
        <v>554</v>
      </c>
      <c r="N343" s="5" t="s">
        <v>2340</v>
      </c>
      <c r="O343" s="6" t="s">
        <v>554</v>
      </c>
      <c r="P343" s="52" t="s">
        <v>1079</v>
      </c>
      <c r="Q343" s="54" t="n">
        <f aca="false">Calib!I16</f>
        <v>1024</v>
      </c>
      <c r="R343" s="83" t="n">
        <f aca="false">SRC_PERF_015_OSL</f>
        <v>1024</v>
      </c>
      <c r="S343" s="83" t="str">
        <f aca="false">IF(OR($H343="—",$H343=""),"—",IF(ISNUMBER(MATCH($H343,SRC_HW!$A$5:$A$400,0)),INDEX(SRC_HW!$O$5:$O$400,MATCH($H343,SRC_HW!$A$5:$A$400,0)),IF(ISNUMBER(MATCH($H343,SRC_DC!$A$5:$A$400,0)),INDEX(SRC_DC!$O$5:$O$400,MATCH($H343,SRC_DC!$A$5:$A$400,0)),IF(ISNUMBER(MATCH($H343,SRC_Model!$A$5:$A$400,0)),INDEX(SRC_Model!$O$5:$O$400,MATCH($H343,SRC_Model!$A$5:$A$400,0)),IF(ISNUMBER(MATCH($H343,SRC_Perf!$A$5:$A$400,0)),INDEX(SRC_Perf!$O$5:$O$400,MATCH($H343,SRC_Perf!$A$5:$A$400,0)),"不存在")))))</f>
        <v>Active</v>
      </c>
      <c r="T343" s="83" t="n">
        <f aca="false">IF(OR($H343="—",$H343=""),"—",IF(ISNUMBER(MATCH($H343,SRC_HW!$A$5:$A$400,0)),INDEX(SRC_HW!$K$5:$K$400,MATCH($H343,SRC_HW!$A$5:$A$400,0)),IF(ISNUMBER(MATCH($H343,SRC_DC!$A$5:$A$400,0)),INDEX(SRC_DC!$K$5:$K$400,MATCH($H343,SRC_DC!$A$5:$A$400,0)),IF(ISNUMBER(MATCH($H343,SRC_Model!$A$5:$A$400,0)),INDEX(SRC_Model!$K$5:$K$400,MATCH($H343,SRC_Model!$A$5:$A$400,0)),IF(ISNUMBER(MATCH($H343,SRC_Perf!$A$5:$A$400,0)),INDEX(SRC_Perf!$K$5:$K$400,MATCH($H343,SRC_Perf!$A$5:$A$400,0)),"不存在")))))</f>
        <v>1</v>
      </c>
      <c r="U343" s="52" t="s">
        <v>2341</v>
      </c>
      <c r="V343" s="103" t="n">
        <f aca="false">IF(AND($F343="原始數據",$U343&lt;&gt;"連結 SRC"),1,0)</f>
        <v>0</v>
      </c>
      <c r="W343" s="103" t="n">
        <f aca="false">IF(AND($F343="Analogy",OR($H343="—",$H343="")),1,0)</f>
        <v>0</v>
      </c>
      <c r="X343" s="103" t="n">
        <f aca="false">IF(AND(OR($F343="Analogy",$F343="Assumed"),$G343&lt;&gt;"低",$G343&lt;&gt;"高",NOT(ISNUMBER($K343)),NOT(ISNUMBER($L343)),OR($M343="—",$M343="")),1,0)</f>
        <v>0</v>
      </c>
      <c r="Y343" s="103" t="n">
        <f aca="false">IF(AND(OR($F343="Analogy",$F343="Assumed",$F343="Derived（待改公式）",$F343="Derived（公式）"),OR($N343="—",$N343="",$N343=0)),1,0)</f>
        <v>0</v>
      </c>
      <c r="Z343" s="103" t="n">
        <f aca="false">IF(AND($F343="Decision",OR($J343="—",$J343="")),1,0)</f>
        <v>0</v>
      </c>
      <c r="AA343" s="84" t="n">
        <f aca="false">IF(OR($J343="—",$J343=""),0,IF(COUNTIF(Decisions!$A$5:$A$300,$J343)=0,1,0))</f>
        <v>0</v>
      </c>
      <c r="AB343" s="103" t="n">
        <f aca="false">IF(AND($F343="原始數據",$S343&lt;&gt;"Active"),1,0)</f>
        <v>0</v>
      </c>
      <c r="AC343" s="103" t="n">
        <f aca="false">IF(AND(ISNUMBER($K343),ISNUMBER($L343),ISNUMBER($Q343)),IF(OR($Q343&lt;MIN($K343,$L343),$Q343&gt;MAX($K343,$L343)),1,0),0)</f>
        <v>0</v>
      </c>
      <c r="AD343" s="103" t="n">
        <f aca="false">IF(AND(ISNUMBER($T343),$P343="高"),IF($T343=3,1,0),0)</f>
        <v>0</v>
      </c>
      <c r="AE343" s="103" t="n">
        <f aca="false">IF(AND($S343="不存在",$B343="切片一"),1,0)</f>
        <v>0</v>
      </c>
    </row>
    <row r="344" customFormat="false" ht="15" hidden="false" customHeight="false" outlineLevel="0" collapsed="false">
      <c r="A344" s="53" t="s">
        <v>3057</v>
      </c>
      <c r="B344" s="52" t="s">
        <v>2297</v>
      </c>
      <c r="C344" s="53" t="s">
        <v>2995</v>
      </c>
      <c r="D344" s="53" t="s">
        <v>3058</v>
      </c>
      <c r="E344" s="5" t="s">
        <v>400</v>
      </c>
      <c r="F344" s="52" t="s">
        <v>2337</v>
      </c>
      <c r="G344" s="52" t="s">
        <v>2299</v>
      </c>
      <c r="H344" s="53" t="s">
        <v>3050</v>
      </c>
      <c r="I344" s="5" t="s">
        <v>2339</v>
      </c>
      <c r="J344" s="53" t="s">
        <v>554</v>
      </c>
      <c r="K344" s="52"/>
      <c r="L344" s="52"/>
      <c r="M344" s="53" t="s">
        <v>554</v>
      </c>
      <c r="N344" s="5" t="s">
        <v>2340</v>
      </c>
      <c r="O344" s="6" t="s">
        <v>554</v>
      </c>
      <c r="P344" s="52" t="s">
        <v>1079</v>
      </c>
      <c r="Q344" s="54" t="n">
        <f aca="false">Calib!I17</f>
        <v>6522.4</v>
      </c>
      <c r="R344" s="83" t="n">
        <f aca="false">SRC_PERF_015</f>
        <v>6522.4</v>
      </c>
      <c r="S344" s="83" t="str">
        <f aca="false">IF(OR($H344="—",$H344=""),"—",IF(ISNUMBER(MATCH($H344,SRC_HW!$A$5:$A$400,0)),INDEX(SRC_HW!$O$5:$O$400,MATCH($H344,SRC_HW!$A$5:$A$400,0)),IF(ISNUMBER(MATCH($H344,SRC_DC!$A$5:$A$400,0)),INDEX(SRC_DC!$O$5:$O$400,MATCH($H344,SRC_DC!$A$5:$A$400,0)),IF(ISNUMBER(MATCH($H344,SRC_Model!$A$5:$A$400,0)),INDEX(SRC_Model!$O$5:$O$400,MATCH($H344,SRC_Model!$A$5:$A$400,0)),IF(ISNUMBER(MATCH($H344,SRC_Perf!$A$5:$A$400,0)),INDEX(SRC_Perf!$O$5:$O$400,MATCH($H344,SRC_Perf!$A$5:$A$400,0)),"不存在")))))</f>
        <v>Active</v>
      </c>
      <c r="T344" s="83" t="n">
        <f aca="false">IF(OR($H344="—",$H344=""),"—",IF(ISNUMBER(MATCH($H344,SRC_HW!$A$5:$A$400,0)),INDEX(SRC_HW!$K$5:$K$400,MATCH($H344,SRC_HW!$A$5:$A$400,0)),IF(ISNUMBER(MATCH($H344,SRC_DC!$A$5:$A$400,0)),INDEX(SRC_DC!$K$5:$K$400,MATCH($H344,SRC_DC!$A$5:$A$400,0)),IF(ISNUMBER(MATCH($H344,SRC_Model!$A$5:$A$400,0)),INDEX(SRC_Model!$K$5:$K$400,MATCH($H344,SRC_Model!$A$5:$A$400,0)),IF(ISNUMBER(MATCH($H344,SRC_Perf!$A$5:$A$400,0)),INDEX(SRC_Perf!$K$5:$K$400,MATCH($H344,SRC_Perf!$A$5:$A$400,0)),"不存在")))))</f>
        <v>1</v>
      </c>
      <c r="U344" s="52" t="s">
        <v>2341</v>
      </c>
      <c r="V344" s="103" t="n">
        <f aca="false">IF(AND($F344="原始數據",$U344&lt;&gt;"連結 SRC"),1,0)</f>
        <v>0</v>
      </c>
      <c r="W344" s="103" t="n">
        <f aca="false">IF(AND($F344="Analogy",OR($H344="—",$H344="")),1,0)</f>
        <v>0</v>
      </c>
      <c r="X344" s="103" t="n">
        <f aca="false">IF(AND(OR($F344="Analogy",$F344="Assumed"),$G344&lt;&gt;"低",$G344&lt;&gt;"高",NOT(ISNUMBER($K344)),NOT(ISNUMBER($L344)),OR($M344="—",$M344="")),1,0)</f>
        <v>0</v>
      </c>
      <c r="Y344" s="103" t="n">
        <f aca="false">IF(AND(OR($F344="Analogy",$F344="Assumed",$F344="Derived（待改公式）",$F344="Derived（公式）"),OR($N344="—",$N344="",$N344=0)),1,0)</f>
        <v>0</v>
      </c>
      <c r="Z344" s="103" t="n">
        <f aca="false">IF(AND($F344="Decision",OR($J344="—",$J344="")),1,0)</f>
        <v>0</v>
      </c>
      <c r="AA344" s="84" t="n">
        <f aca="false">IF(OR($J344="—",$J344=""),0,IF(COUNTIF(Decisions!$A$5:$A$300,$J344)=0,1,0))</f>
        <v>0</v>
      </c>
      <c r="AB344" s="103" t="n">
        <f aca="false">IF(AND($F344="原始數據",$S344&lt;&gt;"Active"),1,0)</f>
        <v>0</v>
      </c>
      <c r="AC344" s="103" t="n">
        <f aca="false">IF(AND(ISNUMBER($K344),ISNUMBER($L344),ISNUMBER($Q344)),IF(OR($Q344&lt;MIN($K344,$L344),$Q344&gt;MAX($K344,$L344)),1,0),0)</f>
        <v>0</v>
      </c>
      <c r="AD344" s="103" t="n">
        <f aca="false">IF(AND(ISNUMBER($T344),$P344="高"),IF($T344=3,1,0),0)</f>
        <v>0</v>
      </c>
      <c r="AE344" s="103" t="n">
        <f aca="false">IF(AND($S344="不存在",$B344="切片一"),1,0)</f>
        <v>0</v>
      </c>
    </row>
    <row r="345" customFormat="false" ht="100.7" hidden="false" customHeight="false" outlineLevel="0" collapsed="false">
      <c r="A345" s="53" t="s">
        <v>3059</v>
      </c>
      <c r="B345" s="52" t="s">
        <v>2297</v>
      </c>
      <c r="C345" s="53" t="s">
        <v>2995</v>
      </c>
      <c r="D345" s="53" t="s">
        <v>3060</v>
      </c>
      <c r="E345" s="6" t="s">
        <v>456</v>
      </c>
      <c r="F345" s="53" t="s">
        <v>70</v>
      </c>
      <c r="G345" s="52" t="s">
        <v>2299</v>
      </c>
      <c r="H345" s="53" t="s">
        <v>554</v>
      </c>
      <c r="I345" s="6" t="s">
        <v>554</v>
      </c>
      <c r="J345" s="53" t="s">
        <v>554</v>
      </c>
      <c r="K345" s="128" t="n">
        <v>0.5</v>
      </c>
      <c r="L345" s="128" t="n">
        <v>2.5</v>
      </c>
      <c r="M345" s="53" t="s">
        <v>3061</v>
      </c>
      <c r="N345" s="204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3062</v>
      </c>
      <c r="P345" s="52" t="s">
        <v>1079</v>
      </c>
      <c r="Q345" s="89" t="n">
        <f aca="false">Calib!C67</f>
        <v>1.5</v>
      </c>
      <c r="R345" s="53" t="s">
        <v>554</v>
      </c>
      <c r="S345" s="83" t="str">
        <f aca="false">IF(OR($H345="—",$H345=""),"—",IF(ISNUMBER(MATCH($H345,SRC_HW!$A$5:$A$400,0)),INDEX(SRC_HW!$O$5:$O$400,MATCH($H345,SRC_HW!$A$5:$A$400,0)),IF(ISNUMBER(MATCH($H345,SRC_DC!$A$5:$A$400,0)),INDEX(SRC_DC!$O$5:$O$400,MATCH($H345,SRC_DC!$A$5:$A$400,0)),IF(ISNUMBER(MATCH($H345,SRC_Model!$A$5:$A$400,0)),INDEX(SRC_Model!$O$5:$O$400,MATCH($H345,SRC_Model!$A$5:$A$400,0)),IF(ISNUMBER(MATCH($H345,SRC_Perf!$A$5:$A$400,0)),INDEX(SRC_Perf!$O$5:$O$400,MATCH($H345,SRC_Perf!$A$5:$A$400,0)),"不存在")))))</f>
        <v>—</v>
      </c>
      <c r="T345" s="83" t="str">
        <f aca="false">IF(OR($H345="—",$H345=""),"—",IF(ISNUMBER(MATCH($H345,SRC_HW!$A$5:$A$400,0)),INDEX(SRC_HW!$K$5:$K$400,MATCH($H345,SRC_HW!$A$5:$A$400,0)),IF(ISNUMBER(MATCH($H345,SRC_DC!$A$5:$A$400,0)),INDEX(SRC_DC!$K$5:$K$400,MATCH($H345,SRC_DC!$A$5:$A$400,0)),IF(ISNUMBER(MATCH($H345,SRC_Model!$A$5:$A$400,0)),INDEX(SRC_Model!$K$5:$K$400,MATCH($H345,SRC_Model!$A$5:$A$400,0)),IF(ISNUMBER(MATCH($H345,SRC_Perf!$A$5:$A$400,0)),INDEX(SRC_Perf!$K$5:$K$400,MATCH($H345,SRC_Perf!$A$5:$A$400,0)),"不存在")))))</f>
        <v>—</v>
      </c>
      <c r="U345" s="52" t="s">
        <v>2302</v>
      </c>
      <c r="V345" s="103" t="n">
        <f aca="false">IF(AND($F345="原始數據",$U345&lt;&gt;"連結 SRC"),1,0)</f>
        <v>0</v>
      </c>
      <c r="W345" s="103" t="n">
        <f aca="false">IF(AND($F345="Analogy",OR($H345="—",$H345="")),1,0)</f>
        <v>0</v>
      </c>
      <c r="X345" s="103" t="n">
        <f aca="false">IF(AND(OR($F345="Analogy",$F345="Assumed"),$G345&lt;&gt;"低",$G345&lt;&gt;"高",NOT(ISNUMBER($K345)),NOT(ISNUMBER($L345)),OR($M345="—",$M345="")),1,0)</f>
        <v>0</v>
      </c>
      <c r="Y345" s="103" t="n">
        <f aca="false">IF(AND(OR($F345="Analogy",$F345="Assumed",$F345="Derived（待改公式）",$F345="Derived（公式）"),OR($N345="—",$N345="",$N345=0)),1,0)</f>
        <v>0</v>
      </c>
      <c r="Z345" s="103" t="n">
        <f aca="false">IF(AND($F345="Decision",OR($J345="—",$J345="")),1,0)</f>
        <v>0</v>
      </c>
      <c r="AA345" s="84" t="n">
        <f aca="false">IF(OR($J345="—",$J345=""),0,IF(COUNTIF(Decisions!$A$5:$A$300,$J345)=0,1,0))</f>
        <v>0</v>
      </c>
      <c r="AB345" s="103" t="n">
        <f aca="false">IF(AND($F345="原始數據",$S345&lt;&gt;"Active"),1,0)</f>
        <v>0</v>
      </c>
      <c r="AC345" s="103" t="n">
        <f aca="false">IF(AND(ISNUMBER($K345),ISNUMBER($L345),ISNUMBER($Q345)),IF(OR($Q345&lt;MIN($K345,$L345),$Q345&gt;MAX($K345,$L345)),1,0),0)</f>
        <v>0</v>
      </c>
      <c r="AD345" s="103" t="n">
        <f aca="false">IF(AND(ISNUMBER($T345),$P345="高"),IF($T345=3,1,0),0)</f>
        <v>0</v>
      </c>
      <c r="AE345" s="103" t="n">
        <f aca="false">IF(AND($S345="不存在",$B345="切片一"),1,0)</f>
        <v>0</v>
      </c>
    </row>
    <row r="346" customFormat="false" ht="29.85" hidden="false" customHeight="false" outlineLevel="0" collapsed="false">
      <c r="A346" s="53" t="s">
        <v>3063</v>
      </c>
      <c r="B346" s="52" t="s">
        <v>2297</v>
      </c>
      <c r="C346" s="53" t="s">
        <v>2995</v>
      </c>
      <c r="D346" s="53" t="s">
        <v>3064</v>
      </c>
      <c r="E346" s="6" t="s">
        <v>456</v>
      </c>
      <c r="F346" s="53" t="s">
        <v>74</v>
      </c>
      <c r="G346" s="52" t="s">
        <v>2299</v>
      </c>
      <c r="H346" s="53" t="s">
        <v>3004</v>
      </c>
      <c r="I346" s="5" t="s">
        <v>3065</v>
      </c>
      <c r="J346" s="53" t="s">
        <v>554</v>
      </c>
      <c r="K346" s="128" t="n">
        <v>0.5</v>
      </c>
      <c r="L346" s="128" t="n">
        <v>1.5</v>
      </c>
      <c r="M346" s="53" t="s">
        <v>3066</v>
      </c>
      <c r="N346" s="5" t="s">
        <v>3067</v>
      </c>
      <c r="O346" s="6" t="s">
        <v>554</v>
      </c>
      <c r="P346" s="52" t="s">
        <v>1079</v>
      </c>
      <c r="Q346" s="89" t="n">
        <f aca="false">Calib!D67</f>
        <v>1</v>
      </c>
      <c r="R346" s="83" t="n">
        <f aca="false">SRC_PERF_009</f>
        <v>9384.4</v>
      </c>
      <c r="S346" s="83" t="str">
        <f aca="false">IF(OR($H346="—",$H346=""),"—",IF(ISNUMBER(MATCH($H346,SRC_HW!$A$5:$A$400,0)),INDEX(SRC_HW!$O$5:$O$400,MATCH($H346,SRC_HW!$A$5:$A$400,0)),IF(ISNUMBER(MATCH($H346,SRC_DC!$A$5:$A$400,0)),INDEX(SRC_DC!$O$5:$O$400,MATCH($H346,SRC_DC!$A$5:$A$400,0)),IF(ISNUMBER(MATCH($H346,SRC_Model!$A$5:$A$400,0)),INDEX(SRC_Model!$O$5:$O$400,MATCH($H346,SRC_Model!$A$5:$A$400,0)),IF(ISNUMBER(MATCH($H346,SRC_Perf!$A$5:$A$400,0)),INDEX(SRC_Perf!$O$5:$O$400,MATCH($H346,SRC_Perf!$A$5:$A$400,0)),"不存在")))))</f>
        <v>Active</v>
      </c>
      <c r="T346" s="83" t="n">
        <f aca="false">IF(OR($H346="—",$H346=""),"—",IF(ISNUMBER(MATCH($H346,SRC_HW!$A$5:$A$400,0)),INDEX(SRC_HW!$K$5:$K$400,MATCH($H346,SRC_HW!$A$5:$A$400,0)),IF(ISNUMBER(MATCH($H346,SRC_DC!$A$5:$A$400,0)),INDEX(SRC_DC!$K$5:$K$400,MATCH($H346,SRC_DC!$A$5:$A$400,0)),IF(ISNUMBER(MATCH($H346,SRC_Model!$A$5:$A$400,0)),INDEX(SRC_Model!$K$5:$K$400,MATCH($H346,SRC_Model!$A$5:$A$400,0)),IF(ISNUMBER(MATCH($H346,SRC_Perf!$A$5:$A$400,0)),INDEX(SRC_Perf!$K$5:$K$400,MATCH($H346,SRC_Perf!$A$5:$A$400,0)),"不存在")))))</f>
        <v>3</v>
      </c>
      <c r="U346" s="52" t="s">
        <v>2302</v>
      </c>
      <c r="V346" s="103" t="n">
        <f aca="false">IF(AND($F346="原始數據",$U346&lt;&gt;"連結 SRC"),1,0)</f>
        <v>0</v>
      </c>
      <c r="W346" s="103" t="n">
        <f aca="false">IF(AND($F346="Analogy",OR($H346="—",$H346="")),1,0)</f>
        <v>0</v>
      </c>
      <c r="X346" s="103" t="n">
        <f aca="false">IF(AND(OR($F346="Analogy",$F346="Assumed"),$G346&lt;&gt;"低",$G346&lt;&gt;"高",NOT(ISNUMBER($K346)),NOT(ISNUMBER($L346)),OR($M346="—",$M346="")),1,0)</f>
        <v>0</v>
      </c>
      <c r="Y346" s="103" t="n">
        <f aca="false">IF(AND(OR($F346="Analogy",$F346="Assumed",$F346="Derived（待改公式）",$F346="Derived（公式）"),OR($N346="—",$N346="",$N346=0)),1,0)</f>
        <v>0</v>
      </c>
      <c r="Z346" s="103" t="n">
        <f aca="false">IF(AND($F346="Decision",OR($J346="—",$J346="")),1,0)</f>
        <v>0</v>
      </c>
      <c r="AA346" s="84" t="n">
        <f aca="false">IF(OR($J346="—",$J346=""),0,IF(COUNTIF(Decisions!$A$5:$A$300,$J346)=0,1,0))</f>
        <v>0</v>
      </c>
      <c r="AB346" s="103" t="n">
        <f aca="false">IF(AND($F346="原始數據",$S346&lt;&gt;"Active"),1,0)</f>
        <v>0</v>
      </c>
      <c r="AC346" s="103" t="n">
        <f aca="false">IF(AND(ISNUMBER($K346),ISNUMBER($L346),ISNUMBER($Q346)),IF(OR($Q346&lt;MIN($K346,$L346),$Q346&gt;MAX($K346,$L346)),1,0),0)</f>
        <v>0</v>
      </c>
      <c r="AD346" s="103" t="n">
        <f aca="false">IF(AND(ISNUMBER($T346),$P346="高"),IF($T346=3,1,0),0)</f>
        <v>1</v>
      </c>
      <c r="AE346" s="103" t="n">
        <f aca="false">IF(AND($S346="不存在",$B346="切片一"),1,0)</f>
        <v>0</v>
      </c>
    </row>
    <row r="347" customFormat="false" ht="29.85" hidden="false" customHeight="false" outlineLevel="0" collapsed="false">
      <c r="A347" s="53" t="s">
        <v>3068</v>
      </c>
      <c r="B347" s="52" t="s">
        <v>2297</v>
      </c>
      <c r="C347" s="53" t="s">
        <v>2995</v>
      </c>
      <c r="D347" s="53" t="s">
        <v>3069</v>
      </c>
      <c r="E347" s="6" t="s">
        <v>456</v>
      </c>
      <c r="F347" s="53" t="s">
        <v>74</v>
      </c>
      <c r="G347" s="52" t="s">
        <v>2299</v>
      </c>
      <c r="H347" s="53" t="s">
        <v>3004</v>
      </c>
      <c r="I347" s="5" t="s">
        <v>3065</v>
      </c>
      <c r="J347" s="53" t="s">
        <v>554</v>
      </c>
      <c r="K347" s="128" t="n">
        <v>0.5</v>
      </c>
      <c r="L347" s="128" t="n">
        <v>1.5</v>
      </c>
      <c r="M347" s="53" t="s">
        <v>3066</v>
      </c>
      <c r="N347" s="5" t="s">
        <v>3067</v>
      </c>
      <c r="O347" s="6" t="s">
        <v>554</v>
      </c>
      <c r="P347" s="52" t="s">
        <v>1079</v>
      </c>
      <c r="Q347" s="89" t="n">
        <f aca="false">Calib!E67</f>
        <v>1</v>
      </c>
      <c r="R347" s="83" t="n">
        <f aca="false">SRC_PERF_009</f>
        <v>9384.4</v>
      </c>
      <c r="S347" s="83" t="str">
        <f aca="false">IF(OR($H347="—",$H347=""),"—",IF(ISNUMBER(MATCH($H347,SRC_HW!$A$5:$A$400,0)),INDEX(SRC_HW!$O$5:$O$400,MATCH($H347,SRC_HW!$A$5:$A$400,0)),IF(ISNUMBER(MATCH($H347,SRC_DC!$A$5:$A$400,0)),INDEX(SRC_DC!$O$5:$O$400,MATCH($H347,SRC_DC!$A$5:$A$400,0)),IF(ISNUMBER(MATCH($H347,SRC_Model!$A$5:$A$400,0)),INDEX(SRC_Model!$O$5:$O$400,MATCH($H347,SRC_Model!$A$5:$A$400,0)),IF(ISNUMBER(MATCH($H347,SRC_Perf!$A$5:$A$400,0)),INDEX(SRC_Perf!$O$5:$O$400,MATCH($H347,SRC_Perf!$A$5:$A$400,0)),"不存在")))))</f>
        <v>Active</v>
      </c>
      <c r="T347" s="83" t="n">
        <f aca="false">IF(OR($H347="—",$H347=""),"—",IF(ISNUMBER(MATCH($H347,SRC_HW!$A$5:$A$400,0)),INDEX(SRC_HW!$K$5:$K$400,MATCH($H347,SRC_HW!$A$5:$A$400,0)),IF(ISNUMBER(MATCH($H347,SRC_DC!$A$5:$A$400,0)),INDEX(SRC_DC!$K$5:$K$400,MATCH($H347,SRC_DC!$A$5:$A$400,0)),IF(ISNUMBER(MATCH($H347,SRC_Model!$A$5:$A$400,0)),INDEX(SRC_Model!$K$5:$K$400,MATCH($H347,SRC_Model!$A$5:$A$400,0)),IF(ISNUMBER(MATCH($H347,SRC_Perf!$A$5:$A$400,0)),INDEX(SRC_Perf!$K$5:$K$400,MATCH($H347,SRC_Perf!$A$5:$A$400,0)),"不存在")))))</f>
        <v>3</v>
      </c>
      <c r="U347" s="52" t="s">
        <v>2302</v>
      </c>
      <c r="V347" s="103" t="n">
        <f aca="false">IF(AND($F347="原始數據",$U347&lt;&gt;"連結 SRC"),1,0)</f>
        <v>0</v>
      </c>
      <c r="W347" s="103" t="n">
        <f aca="false">IF(AND($F347="Analogy",OR($H347="—",$H347="")),1,0)</f>
        <v>0</v>
      </c>
      <c r="X347" s="103" t="n">
        <f aca="false">IF(AND(OR($F347="Analogy",$F347="Assumed"),$G347&lt;&gt;"低",$G347&lt;&gt;"高",NOT(ISNUMBER($K347)),NOT(ISNUMBER($L347)),OR($M347="—",$M347="")),1,0)</f>
        <v>0</v>
      </c>
      <c r="Y347" s="103" t="n">
        <f aca="false">IF(AND(OR($F347="Analogy",$F347="Assumed",$F347="Derived（待改公式）",$F347="Derived（公式）"),OR($N347="—",$N347="",$N347=0)),1,0)</f>
        <v>0</v>
      </c>
      <c r="Z347" s="103" t="n">
        <f aca="false">IF(AND($F347="Decision",OR($J347="—",$J347="")),1,0)</f>
        <v>0</v>
      </c>
      <c r="AA347" s="84" t="n">
        <f aca="false">IF(OR($J347="—",$J347=""),0,IF(COUNTIF(Decisions!$A$5:$A$300,$J347)=0,1,0))</f>
        <v>0</v>
      </c>
      <c r="AB347" s="103" t="n">
        <f aca="false">IF(AND($F347="原始數據",$S347&lt;&gt;"Active"),1,0)</f>
        <v>0</v>
      </c>
      <c r="AC347" s="103" t="n">
        <f aca="false">IF(AND(ISNUMBER($K347),ISNUMBER($L347),ISNUMBER($Q347)),IF(OR($Q347&lt;MIN($K347,$L347),$Q347&gt;MAX($K347,$L347)),1,0),0)</f>
        <v>0</v>
      </c>
      <c r="AD347" s="103" t="n">
        <f aca="false">IF(AND(ISNUMBER($T347),$P347="高"),IF($T347=3,1,0),0)</f>
        <v>1</v>
      </c>
      <c r="AE347" s="103" t="n">
        <f aca="false">IF(AND($S347="不存在",$B347="切片一"),1,0)</f>
        <v>0</v>
      </c>
    </row>
    <row r="348" customFormat="false" ht="29.85" hidden="false" customHeight="false" outlineLevel="0" collapsed="false">
      <c r="A348" s="53" t="s">
        <v>3070</v>
      </c>
      <c r="B348" s="52" t="s">
        <v>2297</v>
      </c>
      <c r="C348" s="53" t="s">
        <v>2995</v>
      </c>
      <c r="D348" s="53" t="s">
        <v>3071</v>
      </c>
      <c r="E348" s="6" t="s">
        <v>456</v>
      </c>
      <c r="F348" s="53" t="s">
        <v>74</v>
      </c>
      <c r="G348" s="52" t="s">
        <v>2299</v>
      </c>
      <c r="H348" s="53" t="s">
        <v>3004</v>
      </c>
      <c r="I348" s="5" t="s">
        <v>3065</v>
      </c>
      <c r="J348" s="53" t="s">
        <v>554</v>
      </c>
      <c r="K348" s="128" t="n">
        <v>0.5</v>
      </c>
      <c r="L348" s="128" t="n">
        <v>1.5</v>
      </c>
      <c r="M348" s="53" t="s">
        <v>3066</v>
      </c>
      <c r="N348" s="5" t="s">
        <v>3067</v>
      </c>
      <c r="O348" s="6" t="s">
        <v>554</v>
      </c>
      <c r="P348" s="52" t="s">
        <v>1079</v>
      </c>
      <c r="Q348" s="89" t="n">
        <f aca="false">Calib!F67</f>
        <v>1</v>
      </c>
      <c r="R348" s="83" t="n">
        <f aca="false">SRC_PERF_009</f>
        <v>9384.4</v>
      </c>
      <c r="S348" s="83" t="str">
        <f aca="false">IF(OR($H348="—",$H348=""),"—",IF(ISNUMBER(MATCH($H348,SRC_HW!$A$5:$A$400,0)),INDEX(SRC_HW!$O$5:$O$400,MATCH($H348,SRC_HW!$A$5:$A$400,0)),IF(ISNUMBER(MATCH($H348,SRC_DC!$A$5:$A$400,0)),INDEX(SRC_DC!$O$5:$O$400,MATCH($H348,SRC_DC!$A$5:$A$400,0)),IF(ISNUMBER(MATCH($H348,SRC_Model!$A$5:$A$400,0)),INDEX(SRC_Model!$O$5:$O$400,MATCH($H348,SRC_Model!$A$5:$A$400,0)),IF(ISNUMBER(MATCH($H348,SRC_Perf!$A$5:$A$400,0)),INDEX(SRC_Perf!$O$5:$O$400,MATCH($H348,SRC_Perf!$A$5:$A$400,0)),"不存在")))))</f>
        <v>Active</v>
      </c>
      <c r="T348" s="83" t="n">
        <f aca="false">IF(OR($H348="—",$H348=""),"—",IF(ISNUMBER(MATCH($H348,SRC_HW!$A$5:$A$400,0)),INDEX(SRC_HW!$K$5:$K$400,MATCH($H348,SRC_HW!$A$5:$A$400,0)),IF(ISNUMBER(MATCH($H348,SRC_DC!$A$5:$A$400,0)),INDEX(SRC_DC!$K$5:$K$400,MATCH($H348,SRC_DC!$A$5:$A$400,0)),IF(ISNUMBER(MATCH($H348,SRC_Model!$A$5:$A$400,0)),INDEX(SRC_Model!$K$5:$K$400,MATCH($H348,SRC_Model!$A$5:$A$400,0)),IF(ISNUMBER(MATCH($H348,SRC_Perf!$A$5:$A$400,0)),INDEX(SRC_Perf!$K$5:$K$400,MATCH($H348,SRC_Perf!$A$5:$A$400,0)),"不存在")))))</f>
        <v>3</v>
      </c>
      <c r="U348" s="52" t="s">
        <v>2302</v>
      </c>
      <c r="V348" s="103" t="n">
        <f aca="false">IF(AND($F348="原始數據",$U348&lt;&gt;"連結 SRC"),1,0)</f>
        <v>0</v>
      </c>
      <c r="W348" s="103" t="n">
        <f aca="false">IF(AND($F348="Analogy",OR($H348="—",$H348="")),1,0)</f>
        <v>0</v>
      </c>
      <c r="X348" s="103" t="n">
        <f aca="false">IF(AND(OR($F348="Analogy",$F348="Assumed"),$G348&lt;&gt;"低",$G348&lt;&gt;"高",NOT(ISNUMBER($K348)),NOT(ISNUMBER($L348)),OR($M348="—",$M348="")),1,0)</f>
        <v>0</v>
      </c>
      <c r="Y348" s="103" t="n">
        <f aca="false">IF(AND(OR($F348="Analogy",$F348="Assumed",$F348="Derived（待改公式）",$F348="Derived（公式）"),OR($N348="—",$N348="",$N348=0)),1,0)</f>
        <v>0</v>
      </c>
      <c r="Z348" s="103" t="n">
        <f aca="false">IF(AND($F348="Decision",OR($J348="—",$J348="")),1,0)</f>
        <v>0</v>
      </c>
      <c r="AA348" s="84" t="n">
        <f aca="false">IF(OR($J348="—",$J348=""),0,IF(COUNTIF(Decisions!$A$5:$A$300,$J348)=0,1,0))</f>
        <v>0</v>
      </c>
      <c r="AB348" s="103" t="n">
        <f aca="false">IF(AND($F348="原始數據",$S348&lt;&gt;"Active"),1,0)</f>
        <v>0</v>
      </c>
      <c r="AC348" s="103" t="n">
        <f aca="false">IF(AND(ISNUMBER($K348),ISNUMBER($L348),ISNUMBER($Q348)),IF(OR($Q348&lt;MIN($K348,$L348),$Q348&gt;MAX($K348,$L348)),1,0),0)</f>
        <v>0</v>
      </c>
      <c r="AD348" s="103" t="n">
        <f aca="false">IF(AND(ISNUMBER($T348),$P348="高"),IF($T348=3,1,0),0)</f>
        <v>1</v>
      </c>
      <c r="AE348" s="103" t="n">
        <f aca="false">IF(AND($S348="不存在",$B348="切片一"),1,0)</f>
        <v>0</v>
      </c>
    </row>
    <row r="349" customFormat="false" ht="29.85" hidden="false" customHeight="false" outlineLevel="0" collapsed="false">
      <c r="A349" s="53" t="s">
        <v>3072</v>
      </c>
      <c r="B349" s="52" t="s">
        <v>2297</v>
      </c>
      <c r="C349" s="53" t="s">
        <v>2995</v>
      </c>
      <c r="D349" s="53" t="s">
        <v>3073</v>
      </c>
      <c r="E349" s="6" t="s">
        <v>456</v>
      </c>
      <c r="F349" s="53" t="s">
        <v>74</v>
      </c>
      <c r="G349" s="52" t="s">
        <v>2299</v>
      </c>
      <c r="H349" s="53" t="s">
        <v>3004</v>
      </c>
      <c r="I349" s="5" t="s">
        <v>3065</v>
      </c>
      <c r="J349" s="53" t="s">
        <v>554</v>
      </c>
      <c r="K349" s="128" t="n">
        <v>0.5</v>
      </c>
      <c r="L349" s="128" t="n">
        <v>1.5</v>
      </c>
      <c r="M349" s="53" t="s">
        <v>3066</v>
      </c>
      <c r="N349" s="5" t="s">
        <v>3067</v>
      </c>
      <c r="O349" s="6" t="s">
        <v>554</v>
      </c>
      <c r="P349" s="52" t="s">
        <v>1079</v>
      </c>
      <c r="Q349" s="89" t="n">
        <f aca="false">Calib!G67</f>
        <v>1</v>
      </c>
      <c r="R349" s="83" t="n">
        <f aca="false">SRC_PERF_009</f>
        <v>9384.4</v>
      </c>
      <c r="S349" s="83" t="str">
        <f aca="false">IF(OR($H349="—",$H349=""),"—",IF(ISNUMBER(MATCH($H349,SRC_HW!$A$5:$A$400,0)),INDEX(SRC_HW!$O$5:$O$400,MATCH($H349,SRC_HW!$A$5:$A$400,0)),IF(ISNUMBER(MATCH($H349,SRC_DC!$A$5:$A$400,0)),INDEX(SRC_DC!$O$5:$O$400,MATCH($H349,SRC_DC!$A$5:$A$400,0)),IF(ISNUMBER(MATCH($H349,SRC_Model!$A$5:$A$400,0)),INDEX(SRC_Model!$O$5:$O$400,MATCH($H349,SRC_Model!$A$5:$A$400,0)),IF(ISNUMBER(MATCH($H349,SRC_Perf!$A$5:$A$400,0)),INDEX(SRC_Perf!$O$5:$O$400,MATCH($H349,SRC_Perf!$A$5:$A$400,0)),"不存在")))))</f>
        <v>Active</v>
      </c>
      <c r="T349" s="83" t="n">
        <f aca="false">IF(OR($H349="—",$H349=""),"—",IF(ISNUMBER(MATCH($H349,SRC_HW!$A$5:$A$400,0)),INDEX(SRC_HW!$K$5:$K$400,MATCH($H349,SRC_HW!$A$5:$A$400,0)),IF(ISNUMBER(MATCH($H349,SRC_DC!$A$5:$A$400,0)),INDEX(SRC_DC!$K$5:$K$400,MATCH($H349,SRC_DC!$A$5:$A$400,0)),IF(ISNUMBER(MATCH($H349,SRC_Model!$A$5:$A$400,0)),INDEX(SRC_Model!$K$5:$K$400,MATCH($H349,SRC_Model!$A$5:$A$400,0)),IF(ISNUMBER(MATCH($H349,SRC_Perf!$A$5:$A$400,0)),INDEX(SRC_Perf!$K$5:$K$400,MATCH($H349,SRC_Perf!$A$5:$A$400,0)),"不存在")))))</f>
        <v>3</v>
      </c>
      <c r="U349" s="52" t="s">
        <v>2302</v>
      </c>
      <c r="V349" s="103" t="n">
        <f aca="false">IF(AND($F349="原始數據",$U349&lt;&gt;"連結 SRC"),1,0)</f>
        <v>0</v>
      </c>
      <c r="W349" s="103" t="n">
        <f aca="false">IF(AND($F349="Analogy",OR($H349="—",$H349="")),1,0)</f>
        <v>0</v>
      </c>
      <c r="X349" s="103" t="n">
        <f aca="false">IF(AND(OR($F349="Analogy",$F349="Assumed"),$G349&lt;&gt;"低",$G349&lt;&gt;"高",NOT(ISNUMBER($K349)),NOT(ISNUMBER($L349)),OR($M349="—",$M349="")),1,0)</f>
        <v>0</v>
      </c>
      <c r="Y349" s="103" t="n">
        <f aca="false">IF(AND(OR($F349="Analogy",$F349="Assumed",$F349="Derived（待改公式）",$F349="Derived（公式）"),OR($N349="—",$N349="",$N349=0)),1,0)</f>
        <v>0</v>
      </c>
      <c r="Z349" s="103" t="n">
        <f aca="false">IF(AND($F349="Decision",OR($J349="—",$J349="")),1,0)</f>
        <v>0</v>
      </c>
      <c r="AA349" s="84" t="n">
        <f aca="false">IF(OR($J349="—",$J349=""),0,IF(COUNTIF(Decisions!$A$5:$A$300,$J349)=0,1,0))</f>
        <v>0</v>
      </c>
      <c r="AB349" s="103" t="n">
        <f aca="false">IF(AND($F349="原始數據",$S349&lt;&gt;"Active"),1,0)</f>
        <v>0</v>
      </c>
      <c r="AC349" s="103" t="n">
        <f aca="false">IF(AND(ISNUMBER($K349),ISNUMBER($L349),ISNUMBER($Q349)),IF(OR($Q349&lt;MIN($K349,$L349),$Q349&gt;MAX($K349,$L349)),1,0),0)</f>
        <v>0</v>
      </c>
      <c r="AD349" s="103" t="n">
        <f aca="false">IF(AND(ISNUMBER($T349),$P349="高"),IF($T349=3,1,0),0)</f>
        <v>1</v>
      </c>
      <c r="AE349" s="103" t="n">
        <f aca="false">IF(AND($S349="不存在",$B349="切片一"),1,0)</f>
        <v>0</v>
      </c>
    </row>
    <row r="350" customFormat="false" ht="29.85" hidden="false" customHeight="false" outlineLevel="0" collapsed="false">
      <c r="A350" s="53" t="s">
        <v>3074</v>
      </c>
      <c r="B350" s="52" t="s">
        <v>2297</v>
      </c>
      <c r="C350" s="53" t="s">
        <v>2995</v>
      </c>
      <c r="D350" s="53" t="s">
        <v>3075</v>
      </c>
      <c r="E350" s="5" t="s">
        <v>458</v>
      </c>
      <c r="F350" s="53" t="s">
        <v>70</v>
      </c>
      <c r="G350" s="52" t="s">
        <v>2299</v>
      </c>
      <c r="H350" s="53" t="s">
        <v>554</v>
      </c>
      <c r="I350" s="6" t="s">
        <v>554</v>
      </c>
      <c r="J350" s="53" t="s">
        <v>554</v>
      </c>
      <c r="K350" s="128" t="n">
        <v>1</v>
      </c>
      <c r="L350" s="128" t="n">
        <v>3</v>
      </c>
      <c r="M350" s="53" t="s">
        <v>3076</v>
      </c>
      <c r="N350" s="204" t="str">
        <f aca="false">Calib!$J$68</f>
        <v>Hopper EP 跨節點走 IB [Assumed 1.5，區間 1–3]</v>
      </c>
      <c r="O350" s="6" t="s">
        <v>554</v>
      </c>
      <c r="P350" s="52" t="s">
        <v>1079</v>
      </c>
      <c r="Q350" s="89" t="n">
        <f aca="false">Calib!C68</f>
        <v>1.5</v>
      </c>
      <c r="R350" s="53" t="s">
        <v>554</v>
      </c>
      <c r="S350" s="83" t="str">
        <f aca="false">IF(OR($H350="—",$H350=""),"—",IF(ISNUMBER(MATCH($H350,SRC_HW!$A$5:$A$400,0)),INDEX(SRC_HW!$O$5:$O$400,MATCH($H350,SRC_HW!$A$5:$A$400,0)),IF(ISNUMBER(MATCH($H350,SRC_DC!$A$5:$A$400,0)),INDEX(SRC_DC!$O$5:$O$400,MATCH($H350,SRC_DC!$A$5:$A$400,0)),IF(ISNUMBER(MATCH($H350,SRC_Model!$A$5:$A$400,0)),INDEX(SRC_Model!$O$5:$O$400,MATCH($H350,SRC_Model!$A$5:$A$400,0)),IF(ISNUMBER(MATCH($H350,SRC_Perf!$A$5:$A$400,0)),INDEX(SRC_Perf!$O$5:$O$400,MATCH($H350,SRC_Perf!$A$5:$A$400,0)),"不存在")))))</f>
        <v>—</v>
      </c>
      <c r="T350" s="83" t="str">
        <f aca="false">IF(OR($H350="—",$H350=""),"—",IF(ISNUMBER(MATCH($H350,SRC_HW!$A$5:$A$400,0)),INDEX(SRC_HW!$K$5:$K$400,MATCH($H350,SRC_HW!$A$5:$A$400,0)),IF(ISNUMBER(MATCH($H350,SRC_DC!$A$5:$A$400,0)),INDEX(SRC_DC!$K$5:$K$400,MATCH($H350,SRC_DC!$A$5:$A$400,0)),IF(ISNUMBER(MATCH($H350,SRC_Model!$A$5:$A$400,0)),INDEX(SRC_Model!$K$5:$K$400,MATCH($H350,SRC_Model!$A$5:$A$400,0)),IF(ISNUMBER(MATCH($H350,SRC_Perf!$A$5:$A$400,0)),INDEX(SRC_Perf!$K$5:$K$400,MATCH($H350,SRC_Perf!$A$5:$A$400,0)),"不存在")))))</f>
        <v>—</v>
      </c>
      <c r="U350" s="52" t="s">
        <v>2302</v>
      </c>
      <c r="V350" s="103" t="n">
        <f aca="false">IF(AND($F350="原始數據",$U350&lt;&gt;"連結 SRC"),1,0)</f>
        <v>0</v>
      </c>
      <c r="W350" s="103" t="n">
        <f aca="false">IF(AND($F350="Analogy",OR($H350="—",$H350="")),1,0)</f>
        <v>0</v>
      </c>
      <c r="X350" s="103" t="n">
        <f aca="false">IF(AND(OR($F350="Analogy",$F350="Assumed"),$G350&lt;&gt;"低",$G350&lt;&gt;"高",NOT(ISNUMBER($K350)),NOT(ISNUMBER($L350)),OR($M350="—",$M350="")),1,0)</f>
        <v>0</v>
      </c>
      <c r="Y350" s="103" t="n">
        <f aca="false">IF(AND(OR($F350="Analogy",$F350="Assumed",$F350="Derived（待改公式）",$F350="Derived（公式）"),OR($N350="—",$N350="",$N350=0)),1,0)</f>
        <v>0</v>
      </c>
      <c r="Z350" s="103" t="n">
        <f aca="false">IF(AND($F350="Decision",OR($J350="—",$J350="")),1,0)</f>
        <v>0</v>
      </c>
      <c r="AA350" s="84" t="n">
        <f aca="false">IF(OR($J350="—",$J350=""),0,IF(COUNTIF(Decisions!$A$5:$A$300,$J350)=0,1,0))</f>
        <v>0</v>
      </c>
      <c r="AB350" s="103" t="n">
        <f aca="false">IF(AND($F350="原始數據",$S350&lt;&gt;"Active"),1,0)</f>
        <v>0</v>
      </c>
      <c r="AC350" s="103" t="n">
        <f aca="false">IF(AND(ISNUMBER($K350),ISNUMBER($L350),ISNUMBER($Q350)),IF(OR($Q350&lt;MIN($K350,$L350),$Q350&gt;MAX($K350,$L350)),1,0),0)</f>
        <v>0</v>
      </c>
      <c r="AD350" s="103" t="n">
        <f aca="false">IF(AND(ISNUMBER($T350),$P350="高"),IF($T350=3,1,0),0)</f>
        <v>0</v>
      </c>
      <c r="AE350" s="103" t="n">
        <f aca="false">IF(AND($S350="不存在",$B350="切片一"),1,0)</f>
        <v>0</v>
      </c>
    </row>
    <row r="351" customFormat="false" ht="15" hidden="false" customHeight="false" outlineLevel="0" collapsed="false">
      <c r="A351" s="53" t="s">
        <v>3077</v>
      </c>
      <c r="B351" s="52" t="s">
        <v>2297</v>
      </c>
      <c r="C351" s="53" t="s">
        <v>2995</v>
      </c>
      <c r="D351" s="53" t="s">
        <v>3078</v>
      </c>
      <c r="E351" s="5" t="s">
        <v>458</v>
      </c>
      <c r="F351" s="53" t="s">
        <v>70</v>
      </c>
      <c r="G351" s="52" t="s">
        <v>2299</v>
      </c>
      <c r="H351" s="53" t="s">
        <v>554</v>
      </c>
      <c r="I351" s="6" t="s">
        <v>554</v>
      </c>
      <c r="J351" s="53" t="s">
        <v>554</v>
      </c>
      <c r="K351" s="128" t="n">
        <v>1</v>
      </c>
      <c r="L351" s="128" t="n">
        <v>1.5</v>
      </c>
      <c r="M351" s="53" t="s">
        <v>3079</v>
      </c>
      <c r="N351" s="5" t="s">
        <v>3080</v>
      </c>
      <c r="O351" s="6" t="s">
        <v>554</v>
      </c>
      <c r="P351" s="52" t="s">
        <v>1079</v>
      </c>
      <c r="Q351" s="89" t="n">
        <f aca="false">Calib!D68</f>
        <v>1</v>
      </c>
      <c r="R351" s="53" t="s">
        <v>554</v>
      </c>
      <c r="S351" s="83" t="str">
        <f aca="false">IF(OR($H351="—",$H351=""),"—",IF(ISNUMBER(MATCH($H351,SRC_HW!$A$5:$A$400,0)),INDEX(SRC_HW!$O$5:$O$400,MATCH($H351,SRC_HW!$A$5:$A$400,0)),IF(ISNUMBER(MATCH($H351,SRC_DC!$A$5:$A$400,0)),INDEX(SRC_DC!$O$5:$O$400,MATCH($H351,SRC_DC!$A$5:$A$400,0)),IF(ISNUMBER(MATCH($H351,SRC_Model!$A$5:$A$400,0)),INDEX(SRC_Model!$O$5:$O$400,MATCH($H351,SRC_Model!$A$5:$A$400,0)),IF(ISNUMBER(MATCH($H351,SRC_Perf!$A$5:$A$400,0)),INDEX(SRC_Perf!$O$5:$O$400,MATCH($H351,SRC_Perf!$A$5:$A$400,0)),"不存在")))))</f>
        <v>—</v>
      </c>
      <c r="T351" s="83" t="str">
        <f aca="false">IF(OR($H351="—",$H351=""),"—",IF(ISNUMBER(MATCH($H351,SRC_HW!$A$5:$A$400,0)),INDEX(SRC_HW!$K$5:$K$400,MATCH($H351,SRC_HW!$A$5:$A$400,0)),IF(ISNUMBER(MATCH($H351,SRC_DC!$A$5:$A$400,0)),INDEX(SRC_DC!$K$5:$K$400,MATCH($H351,SRC_DC!$A$5:$A$400,0)),IF(ISNUMBER(MATCH($H351,SRC_Model!$A$5:$A$400,0)),INDEX(SRC_Model!$K$5:$K$400,MATCH($H351,SRC_Model!$A$5:$A$400,0)),IF(ISNUMBER(MATCH($H351,SRC_Perf!$A$5:$A$400,0)),INDEX(SRC_Perf!$K$5:$K$400,MATCH($H351,SRC_Perf!$A$5:$A$400,0)),"不存在")))))</f>
        <v>—</v>
      </c>
      <c r="U351" s="52" t="s">
        <v>2302</v>
      </c>
      <c r="V351" s="103" t="n">
        <f aca="false">IF(AND($F351="原始數據",$U351&lt;&gt;"連結 SRC"),1,0)</f>
        <v>0</v>
      </c>
      <c r="W351" s="103" t="n">
        <f aca="false">IF(AND($F351="Analogy",OR($H351="—",$H351="")),1,0)</f>
        <v>0</v>
      </c>
      <c r="X351" s="103" t="n">
        <f aca="false">IF(AND(OR($F351="Analogy",$F351="Assumed"),$G351&lt;&gt;"低",$G351&lt;&gt;"高",NOT(ISNUMBER($K351)),NOT(ISNUMBER($L351)),OR($M351="—",$M351="")),1,0)</f>
        <v>0</v>
      </c>
      <c r="Y351" s="103" t="n">
        <f aca="false">IF(AND(OR($F351="Analogy",$F351="Assumed",$F351="Derived（待改公式）",$F351="Derived（公式）"),OR($N351="—",$N351="",$N351=0)),1,0)</f>
        <v>0</v>
      </c>
      <c r="Z351" s="103" t="n">
        <f aca="false">IF(AND($F351="Decision",OR($J351="—",$J351="")),1,0)</f>
        <v>0</v>
      </c>
      <c r="AA351" s="84" t="n">
        <f aca="false">IF(OR($J351="—",$J351=""),0,IF(COUNTIF(Decisions!$A$5:$A$300,$J351)=0,1,0))</f>
        <v>0</v>
      </c>
      <c r="AB351" s="103" t="n">
        <f aca="false">IF(AND($F351="原始數據",$S351&lt;&gt;"Active"),1,0)</f>
        <v>0</v>
      </c>
      <c r="AC351" s="103" t="n">
        <f aca="false">IF(AND(ISNUMBER($K351),ISNUMBER($L351),ISNUMBER($Q351)),IF(OR($Q351&lt;MIN($K351,$L351),$Q351&gt;MAX($K351,$L351)),1,0),0)</f>
        <v>0</v>
      </c>
      <c r="AD351" s="103" t="n">
        <f aca="false">IF(AND(ISNUMBER($T351),$P351="高"),IF($T351=3,1,0),0)</f>
        <v>0</v>
      </c>
      <c r="AE351" s="103" t="n">
        <f aca="false">IF(AND($S351="不存在",$B351="切片一"),1,0)</f>
        <v>0</v>
      </c>
    </row>
    <row r="352" customFormat="false" ht="15" hidden="false" customHeight="false" outlineLevel="0" collapsed="false">
      <c r="A352" s="53" t="s">
        <v>3081</v>
      </c>
      <c r="B352" s="52" t="s">
        <v>2297</v>
      </c>
      <c r="C352" s="53" t="s">
        <v>2995</v>
      </c>
      <c r="D352" s="53" t="s">
        <v>3082</v>
      </c>
      <c r="E352" s="5" t="s">
        <v>458</v>
      </c>
      <c r="F352" s="53" t="s">
        <v>70</v>
      </c>
      <c r="G352" s="52" t="s">
        <v>2299</v>
      </c>
      <c r="H352" s="53" t="s">
        <v>554</v>
      </c>
      <c r="I352" s="6" t="s">
        <v>554</v>
      </c>
      <c r="J352" s="53" t="s">
        <v>554</v>
      </c>
      <c r="K352" s="128" t="n">
        <v>1</v>
      </c>
      <c r="L352" s="128" t="n">
        <v>1.5</v>
      </c>
      <c r="M352" s="53" t="s">
        <v>3079</v>
      </c>
      <c r="N352" s="5" t="s">
        <v>3080</v>
      </c>
      <c r="O352" s="6" t="s">
        <v>554</v>
      </c>
      <c r="P352" s="52" t="s">
        <v>1079</v>
      </c>
      <c r="Q352" s="89" t="n">
        <f aca="false">Calib!E68</f>
        <v>1</v>
      </c>
      <c r="R352" s="53" t="s">
        <v>554</v>
      </c>
      <c r="S352" s="83" t="str">
        <f aca="false">IF(OR($H352="—",$H352=""),"—",IF(ISNUMBER(MATCH($H352,SRC_HW!$A$5:$A$400,0)),INDEX(SRC_HW!$O$5:$O$400,MATCH($H352,SRC_HW!$A$5:$A$400,0)),IF(ISNUMBER(MATCH($H352,SRC_DC!$A$5:$A$400,0)),INDEX(SRC_DC!$O$5:$O$400,MATCH($H352,SRC_DC!$A$5:$A$400,0)),IF(ISNUMBER(MATCH($H352,SRC_Model!$A$5:$A$400,0)),INDEX(SRC_Model!$O$5:$O$400,MATCH($H352,SRC_Model!$A$5:$A$400,0)),IF(ISNUMBER(MATCH($H352,SRC_Perf!$A$5:$A$400,0)),INDEX(SRC_Perf!$O$5:$O$400,MATCH($H352,SRC_Perf!$A$5:$A$400,0)),"不存在")))))</f>
        <v>—</v>
      </c>
      <c r="T352" s="83" t="str">
        <f aca="false">IF(OR($H352="—",$H352=""),"—",IF(ISNUMBER(MATCH($H352,SRC_HW!$A$5:$A$400,0)),INDEX(SRC_HW!$K$5:$K$400,MATCH($H352,SRC_HW!$A$5:$A$400,0)),IF(ISNUMBER(MATCH($H352,SRC_DC!$A$5:$A$400,0)),INDEX(SRC_DC!$K$5:$K$400,MATCH($H352,SRC_DC!$A$5:$A$400,0)),IF(ISNUMBER(MATCH($H352,SRC_Model!$A$5:$A$400,0)),INDEX(SRC_Model!$K$5:$K$400,MATCH($H352,SRC_Model!$A$5:$A$400,0)),IF(ISNUMBER(MATCH($H352,SRC_Perf!$A$5:$A$400,0)),INDEX(SRC_Perf!$K$5:$K$400,MATCH($H352,SRC_Perf!$A$5:$A$400,0)),"不存在")))))</f>
        <v>—</v>
      </c>
      <c r="U352" s="52" t="s">
        <v>2302</v>
      </c>
      <c r="V352" s="103" t="n">
        <f aca="false">IF(AND($F352="原始數據",$U352&lt;&gt;"連結 SRC"),1,0)</f>
        <v>0</v>
      </c>
      <c r="W352" s="103" t="n">
        <f aca="false">IF(AND($F352="Analogy",OR($H352="—",$H352="")),1,0)</f>
        <v>0</v>
      </c>
      <c r="X352" s="103" t="n">
        <f aca="false">IF(AND(OR($F352="Analogy",$F352="Assumed"),$G352&lt;&gt;"低",$G352&lt;&gt;"高",NOT(ISNUMBER($K352)),NOT(ISNUMBER($L352)),OR($M352="—",$M352="")),1,0)</f>
        <v>0</v>
      </c>
      <c r="Y352" s="103" t="n">
        <f aca="false">IF(AND(OR($F352="Analogy",$F352="Assumed",$F352="Derived（待改公式）",$F352="Derived（公式）"),OR($N352="—",$N352="",$N352=0)),1,0)</f>
        <v>0</v>
      </c>
      <c r="Z352" s="103" t="n">
        <f aca="false">IF(AND($F352="Decision",OR($J352="—",$J352="")),1,0)</f>
        <v>0</v>
      </c>
      <c r="AA352" s="84" t="n">
        <f aca="false">IF(OR($J352="—",$J352=""),0,IF(COUNTIF(Decisions!$A$5:$A$300,$J352)=0,1,0))</f>
        <v>0</v>
      </c>
      <c r="AB352" s="103" t="n">
        <f aca="false">IF(AND($F352="原始數據",$S352&lt;&gt;"Active"),1,0)</f>
        <v>0</v>
      </c>
      <c r="AC352" s="103" t="n">
        <f aca="false">IF(AND(ISNUMBER($K352),ISNUMBER($L352),ISNUMBER($Q352)),IF(OR($Q352&lt;MIN($K352,$L352),$Q352&gt;MAX($K352,$L352)),1,0),0)</f>
        <v>0</v>
      </c>
      <c r="AD352" s="103" t="n">
        <f aca="false">IF(AND(ISNUMBER($T352),$P352="高"),IF($T352=3,1,0),0)</f>
        <v>0</v>
      </c>
      <c r="AE352" s="103" t="n">
        <f aca="false">IF(AND($S352="不存在",$B352="切片一"),1,0)</f>
        <v>0</v>
      </c>
    </row>
    <row r="353" customFormat="false" ht="15" hidden="false" customHeight="false" outlineLevel="0" collapsed="false">
      <c r="A353" s="53" t="s">
        <v>3083</v>
      </c>
      <c r="B353" s="52" t="s">
        <v>2297</v>
      </c>
      <c r="C353" s="53" t="s">
        <v>2995</v>
      </c>
      <c r="D353" s="53" t="s">
        <v>3084</v>
      </c>
      <c r="E353" s="5" t="s">
        <v>458</v>
      </c>
      <c r="F353" s="53" t="s">
        <v>70</v>
      </c>
      <c r="G353" s="52" t="s">
        <v>2299</v>
      </c>
      <c r="H353" s="53" t="s">
        <v>554</v>
      </c>
      <c r="I353" s="6" t="s">
        <v>554</v>
      </c>
      <c r="J353" s="53" t="s">
        <v>554</v>
      </c>
      <c r="K353" s="128" t="n">
        <v>1</v>
      </c>
      <c r="L353" s="128" t="n">
        <v>1.5</v>
      </c>
      <c r="M353" s="53" t="s">
        <v>3079</v>
      </c>
      <c r="N353" s="5" t="s">
        <v>3080</v>
      </c>
      <c r="O353" s="6" t="s">
        <v>554</v>
      </c>
      <c r="P353" s="52" t="s">
        <v>1079</v>
      </c>
      <c r="Q353" s="89" t="n">
        <f aca="false">Calib!F68</f>
        <v>1</v>
      </c>
      <c r="R353" s="53" t="s">
        <v>554</v>
      </c>
      <c r="S353" s="83" t="str">
        <f aca="false">IF(OR($H353="—",$H353=""),"—",IF(ISNUMBER(MATCH($H353,SRC_HW!$A$5:$A$400,0)),INDEX(SRC_HW!$O$5:$O$400,MATCH($H353,SRC_HW!$A$5:$A$400,0)),IF(ISNUMBER(MATCH($H353,SRC_DC!$A$5:$A$400,0)),INDEX(SRC_DC!$O$5:$O$400,MATCH($H353,SRC_DC!$A$5:$A$400,0)),IF(ISNUMBER(MATCH($H353,SRC_Model!$A$5:$A$400,0)),INDEX(SRC_Model!$O$5:$O$400,MATCH($H353,SRC_Model!$A$5:$A$400,0)),IF(ISNUMBER(MATCH($H353,SRC_Perf!$A$5:$A$400,0)),INDEX(SRC_Perf!$O$5:$O$400,MATCH($H353,SRC_Perf!$A$5:$A$400,0)),"不存在")))))</f>
        <v>—</v>
      </c>
      <c r="T353" s="83" t="str">
        <f aca="false">IF(OR($H353="—",$H353=""),"—",IF(ISNUMBER(MATCH($H353,SRC_HW!$A$5:$A$400,0)),INDEX(SRC_HW!$K$5:$K$400,MATCH($H353,SRC_HW!$A$5:$A$400,0)),IF(ISNUMBER(MATCH($H353,SRC_DC!$A$5:$A$400,0)),INDEX(SRC_DC!$K$5:$K$400,MATCH($H353,SRC_DC!$A$5:$A$400,0)),IF(ISNUMBER(MATCH($H353,SRC_Model!$A$5:$A$400,0)),INDEX(SRC_Model!$K$5:$K$400,MATCH($H353,SRC_Model!$A$5:$A$400,0)),IF(ISNUMBER(MATCH($H353,SRC_Perf!$A$5:$A$400,0)),INDEX(SRC_Perf!$K$5:$K$400,MATCH($H353,SRC_Perf!$A$5:$A$400,0)),"不存在")))))</f>
        <v>—</v>
      </c>
      <c r="U353" s="52" t="s">
        <v>2302</v>
      </c>
      <c r="V353" s="103" t="n">
        <f aca="false">IF(AND($F353="原始數據",$U353&lt;&gt;"連結 SRC"),1,0)</f>
        <v>0</v>
      </c>
      <c r="W353" s="103" t="n">
        <f aca="false">IF(AND($F353="Analogy",OR($H353="—",$H353="")),1,0)</f>
        <v>0</v>
      </c>
      <c r="X353" s="103" t="n">
        <f aca="false">IF(AND(OR($F353="Analogy",$F353="Assumed"),$G353&lt;&gt;"低",$G353&lt;&gt;"高",NOT(ISNUMBER($K353)),NOT(ISNUMBER($L353)),OR($M353="—",$M353="")),1,0)</f>
        <v>0</v>
      </c>
      <c r="Y353" s="103" t="n">
        <f aca="false">IF(AND(OR($F353="Analogy",$F353="Assumed",$F353="Derived（待改公式）",$F353="Derived（公式）"),OR($N353="—",$N353="",$N353=0)),1,0)</f>
        <v>0</v>
      </c>
      <c r="Z353" s="103" t="n">
        <f aca="false">IF(AND($F353="Decision",OR($J353="—",$J353="")),1,0)</f>
        <v>0</v>
      </c>
      <c r="AA353" s="84" t="n">
        <f aca="false">IF(OR($J353="—",$J353=""),0,IF(COUNTIF(Decisions!$A$5:$A$300,$J353)=0,1,0))</f>
        <v>0</v>
      </c>
      <c r="AB353" s="103" t="n">
        <f aca="false">IF(AND($F353="原始數據",$S353&lt;&gt;"Active"),1,0)</f>
        <v>0</v>
      </c>
      <c r="AC353" s="103" t="n">
        <f aca="false">IF(AND(ISNUMBER($K353),ISNUMBER($L353),ISNUMBER($Q353)),IF(OR($Q353&lt;MIN($K353,$L353),$Q353&gt;MAX($K353,$L353)),1,0),0)</f>
        <v>0</v>
      </c>
      <c r="AD353" s="103" t="n">
        <f aca="false">IF(AND(ISNUMBER($T353),$P353="高"),IF($T353=3,1,0),0)</f>
        <v>0</v>
      </c>
      <c r="AE353" s="103" t="n">
        <f aca="false">IF(AND($S353="不存在",$B353="切片一"),1,0)</f>
        <v>0</v>
      </c>
    </row>
    <row r="354" customFormat="false" ht="15" hidden="false" customHeight="false" outlineLevel="0" collapsed="false">
      <c r="A354" s="53" t="s">
        <v>3085</v>
      </c>
      <c r="B354" s="52" t="s">
        <v>2297</v>
      </c>
      <c r="C354" s="53" t="s">
        <v>2995</v>
      </c>
      <c r="D354" s="53" t="s">
        <v>3086</v>
      </c>
      <c r="E354" s="5" t="s">
        <v>458</v>
      </c>
      <c r="F354" s="53" t="s">
        <v>70</v>
      </c>
      <c r="G354" s="52" t="s">
        <v>2299</v>
      </c>
      <c r="H354" s="53" t="s">
        <v>554</v>
      </c>
      <c r="I354" s="6" t="s">
        <v>554</v>
      </c>
      <c r="J354" s="53" t="s">
        <v>554</v>
      </c>
      <c r="K354" s="128" t="n">
        <v>1</v>
      </c>
      <c r="L354" s="128" t="n">
        <v>1.5</v>
      </c>
      <c r="M354" s="53" t="s">
        <v>3079</v>
      </c>
      <c r="N354" s="5" t="s">
        <v>3080</v>
      </c>
      <c r="O354" s="6" t="s">
        <v>554</v>
      </c>
      <c r="P354" s="52" t="s">
        <v>1079</v>
      </c>
      <c r="Q354" s="89" t="n">
        <f aca="false">Calib!G68</f>
        <v>1</v>
      </c>
      <c r="R354" s="53" t="s">
        <v>554</v>
      </c>
      <c r="S354" s="83" t="str">
        <f aca="false">IF(OR($H354="—",$H354=""),"—",IF(ISNUMBER(MATCH($H354,SRC_HW!$A$5:$A$400,0)),INDEX(SRC_HW!$O$5:$O$400,MATCH($H354,SRC_HW!$A$5:$A$400,0)),IF(ISNUMBER(MATCH($H354,SRC_DC!$A$5:$A$400,0)),INDEX(SRC_DC!$O$5:$O$400,MATCH($H354,SRC_DC!$A$5:$A$400,0)),IF(ISNUMBER(MATCH($H354,SRC_Model!$A$5:$A$400,0)),INDEX(SRC_Model!$O$5:$O$400,MATCH($H354,SRC_Model!$A$5:$A$400,0)),IF(ISNUMBER(MATCH($H354,SRC_Perf!$A$5:$A$400,0)),INDEX(SRC_Perf!$O$5:$O$400,MATCH($H354,SRC_Perf!$A$5:$A$400,0)),"不存在")))))</f>
        <v>—</v>
      </c>
      <c r="T354" s="83" t="str">
        <f aca="false">IF(OR($H354="—",$H354=""),"—",IF(ISNUMBER(MATCH($H354,SRC_HW!$A$5:$A$400,0)),INDEX(SRC_HW!$K$5:$K$400,MATCH($H354,SRC_HW!$A$5:$A$400,0)),IF(ISNUMBER(MATCH($H354,SRC_DC!$A$5:$A$400,0)),INDEX(SRC_DC!$K$5:$K$400,MATCH($H354,SRC_DC!$A$5:$A$400,0)),IF(ISNUMBER(MATCH($H354,SRC_Model!$A$5:$A$400,0)),INDEX(SRC_Model!$K$5:$K$400,MATCH($H354,SRC_Model!$A$5:$A$400,0)),IF(ISNUMBER(MATCH($H354,SRC_Perf!$A$5:$A$400,0)),INDEX(SRC_Perf!$K$5:$K$400,MATCH($H354,SRC_Perf!$A$5:$A$400,0)),"不存在")))))</f>
        <v>—</v>
      </c>
      <c r="U354" s="52" t="s">
        <v>2302</v>
      </c>
      <c r="V354" s="103" t="n">
        <f aca="false">IF(AND($F354="原始數據",$U354&lt;&gt;"連結 SRC"),1,0)</f>
        <v>0</v>
      </c>
      <c r="W354" s="103" t="n">
        <f aca="false">IF(AND($F354="Analogy",OR($H354="—",$H354="")),1,0)</f>
        <v>0</v>
      </c>
      <c r="X354" s="103" t="n">
        <f aca="false">IF(AND(OR($F354="Analogy",$F354="Assumed"),$G354&lt;&gt;"低",$G354&lt;&gt;"高",NOT(ISNUMBER($K354)),NOT(ISNUMBER($L354)),OR($M354="—",$M354="")),1,0)</f>
        <v>0</v>
      </c>
      <c r="Y354" s="103" t="n">
        <f aca="false">IF(AND(OR($F354="Analogy",$F354="Assumed",$F354="Derived（待改公式）",$F354="Derived（公式）"),OR($N354="—",$N354="",$N354=0)),1,0)</f>
        <v>0</v>
      </c>
      <c r="Z354" s="103" t="n">
        <f aca="false">IF(AND($F354="Decision",OR($J354="—",$J354="")),1,0)</f>
        <v>0</v>
      </c>
      <c r="AA354" s="84" t="n">
        <f aca="false">IF(OR($J354="—",$J354=""),0,IF(COUNTIF(Decisions!$A$5:$A$300,$J354)=0,1,0))</f>
        <v>0</v>
      </c>
      <c r="AB354" s="103" t="n">
        <f aca="false">IF(AND($F354="原始數據",$S354&lt;&gt;"Active"),1,0)</f>
        <v>0</v>
      </c>
      <c r="AC354" s="103" t="n">
        <f aca="false">IF(AND(ISNUMBER($K354),ISNUMBER($L354),ISNUMBER($Q354)),IF(OR($Q354&lt;MIN($K354,$L354),$Q354&gt;MAX($K354,$L354)),1,0),0)</f>
        <v>0</v>
      </c>
      <c r="AD354" s="103" t="n">
        <f aca="false">IF(AND(ISNUMBER($T354),$P354="高"),IF($T354=3,1,0),0)</f>
        <v>0</v>
      </c>
      <c r="AE354" s="103" t="n">
        <f aca="false">IF(AND($S354="不存在",$B354="切片一"),1,0)</f>
        <v>0</v>
      </c>
    </row>
    <row r="355" customFormat="false" ht="44" hidden="false" customHeight="false" outlineLevel="0" collapsed="false">
      <c r="A355" s="53" t="s">
        <v>3087</v>
      </c>
      <c r="B355" s="52" t="s">
        <v>2297</v>
      </c>
      <c r="C355" s="53" t="s">
        <v>2995</v>
      </c>
      <c r="D355" s="53" t="s">
        <v>3088</v>
      </c>
      <c r="E355" s="6" t="s">
        <v>460</v>
      </c>
      <c r="F355" s="53" t="s">
        <v>70</v>
      </c>
      <c r="G355" s="52" t="s">
        <v>2299</v>
      </c>
      <c r="H355" s="53" t="s">
        <v>554</v>
      </c>
      <c r="I355" s="6" t="s">
        <v>554</v>
      </c>
      <c r="J355" s="53" t="s">
        <v>554</v>
      </c>
      <c r="K355" s="128" t="n">
        <v>0.25</v>
      </c>
      <c r="L355" s="128" t="n">
        <v>1</v>
      </c>
      <c r="M355" s="53" t="s">
        <v>3089</v>
      </c>
      <c r="N355" s="204" t="str">
        <f aca="false">Calib!$J$69</f>
        <v>Hopper 0.5：v5.5 峰值更正（989→1,979 TF）後維持 prefill 產出不變（誤差 0.05%）；S30 口徑查核後重推</v>
      </c>
      <c r="O355" s="6" t="s">
        <v>554</v>
      </c>
      <c r="P355" s="52" t="s">
        <v>2364</v>
      </c>
      <c r="Q355" s="89" t="n">
        <f aca="false">Calib!C69</f>
        <v>0.5</v>
      </c>
      <c r="R355" s="53" t="s">
        <v>554</v>
      </c>
      <c r="S355" s="83" t="str">
        <f aca="false">IF(OR($H355="—",$H355=""),"—",IF(ISNUMBER(MATCH($H355,SRC_HW!$A$5:$A$400,0)),INDEX(SRC_HW!$O$5:$O$400,MATCH($H355,SRC_HW!$A$5:$A$400,0)),IF(ISNUMBER(MATCH($H355,SRC_DC!$A$5:$A$400,0)),INDEX(SRC_DC!$O$5:$O$400,MATCH($H355,SRC_DC!$A$5:$A$400,0)),IF(ISNUMBER(MATCH($H355,SRC_Model!$A$5:$A$400,0)),INDEX(SRC_Model!$O$5:$O$400,MATCH($H355,SRC_Model!$A$5:$A$400,0)),IF(ISNUMBER(MATCH($H355,SRC_Perf!$A$5:$A$400,0)),INDEX(SRC_Perf!$O$5:$O$400,MATCH($H355,SRC_Perf!$A$5:$A$400,0)),"不存在")))))</f>
        <v>—</v>
      </c>
      <c r="T355" s="83" t="str">
        <f aca="false">IF(OR($H355="—",$H355=""),"—",IF(ISNUMBER(MATCH($H355,SRC_HW!$A$5:$A$400,0)),INDEX(SRC_HW!$K$5:$K$400,MATCH($H355,SRC_HW!$A$5:$A$400,0)),IF(ISNUMBER(MATCH($H355,SRC_DC!$A$5:$A$400,0)),INDEX(SRC_DC!$K$5:$K$400,MATCH($H355,SRC_DC!$A$5:$A$400,0)),IF(ISNUMBER(MATCH($H355,SRC_Model!$A$5:$A$400,0)),INDEX(SRC_Model!$K$5:$K$400,MATCH($H355,SRC_Model!$A$5:$A$400,0)),IF(ISNUMBER(MATCH($H355,SRC_Perf!$A$5:$A$400,0)),INDEX(SRC_Perf!$K$5:$K$400,MATCH($H355,SRC_Perf!$A$5:$A$400,0)),"不存在")))))</f>
        <v>—</v>
      </c>
      <c r="U355" s="52" t="s">
        <v>2302</v>
      </c>
      <c r="V355" s="103" t="n">
        <f aca="false">IF(AND($F355="原始數據",$U355&lt;&gt;"連結 SRC"),1,0)</f>
        <v>0</v>
      </c>
      <c r="W355" s="103" t="n">
        <f aca="false">IF(AND($F355="Analogy",OR($H355="—",$H355="")),1,0)</f>
        <v>0</v>
      </c>
      <c r="X355" s="103" t="n">
        <f aca="false">IF(AND(OR($F355="Analogy",$F355="Assumed"),$G355&lt;&gt;"低",$G355&lt;&gt;"高",NOT(ISNUMBER($K355)),NOT(ISNUMBER($L355)),OR($M355="—",$M355="")),1,0)</f>
        <v>0</v>
      </c>
      <c r="Y355" s="103" t="n">
        <f aca="false">IF(AND(OR($F355="Analogy",$F355="Assumed",$F355="Derived（待改公式）",$F355="Derived（公式）"),OR($N355="—",$N355="",$N355=0)),1,0)</f>
        <v>0</v>
      </c>
      <c r="Z355" s="103" t="n">
        <f aca="false">IF(AND($F355="Decision",OR($J355="—",$J355="")),1,0)</f>
        <v>0</v>
      </c>
      <c r="AA355" s="84" t="n">
        <f aca="false">IF(OR($J355="—",$J355=""),0,IF(COUNTIF(Decisions!$A$5:$A$300,$J355)=0,1,0))</f>
        <v>0</v>
      </c>
      <c r="AB355" s="103" t="n">
        <f aca="false">IF(AND($F355="原始數據",$S355&lt;&gt;"Active"),1,0)</f>
        <v>0</v>
      </c>
      <c r="AC355" s="103" t="n">
        <f aca="false">IF(AND(ISNUMBER($K355),ISNUMBER($L355),ISNUMBER($Q355)),IF(OR($Q355&lt;MIN($K355,$L355),$Q355&gt;MAX($K355,$L355)),1,0),0)</f>
        <v>0</v>
      </c>
      <c r="AD355" s="103" t="n">
        <f aca="false">IF(AND(ISNUMBER($T355),$P355="高"),IF($T355=3,1,0),0)</f>
        <v>0</v>
      </c>
      <c r="AE355" s="103" t="n">
        <f aca="false">IF(AND($S355="不存在",$B355="切片一"),1,0)</f>
        <v>0</v>
      </c>
    </row>
    <row r="356" customFormat="false" ht="15" hidden="false" customHeight="false" outlineLevel="0" collapsed="false">
      <c r="A356" s="53" t="s">
        <v>3090</v>
      </c>
      <c r="B356" s="52" t="s">
        <v>2297</v>
      </c>
      <c r="C356" s="53" t="s">
        <v>2995</v>
      </c>
      <c r="D356" s="53" t="s">
        <v>3091</v>
      </c>
      <c r="E356" s="6" t="s">
        <v>460</v>
      </c>
      <c r="F356" s="53" t="s">
        <v>70</v>
      </c>
      <c r="G356" s="52" t="s">
        <v>2299</v>
      </c>
      <c r="H356" s="53" t="s">
        <v>554</v>
      </c>
      <c r="I356" s="6" t="s">
        <v>554</v>
      </c>
      <c r="J356" s="53" t="s">
        <v>554</v>
      </c>
      <c r="K356" s="128" t="n">
        <v>0.5</v>
      </c>
      <c r="L356" s="128" t="n">
        <v>1.5</v>
      </c>
      <c r="M356" s="53" t="s">
        <v>3092</v>
      </c>
      <c r="N356" s="6" t="s">
        <v>3093</v>
      </c>
      <c r="O356" s="6" t="s">
        <v>554</v>
      </c>
      <c r="P356" s="52" t="s">
        <v>2364</v>
      </c>
      <c r="Q356" s="89" t="n">
        <f aca="false">Calib!D69</f>
        <v>1</v>
      </c>
      <c r="R356" s="53" t="s">
        <v>554</v>
      </c>
      <c r="S356" s="83" t="str">
        <f aca="false">IF(OR($H356="—",$H356=""),"—",IF(ISNUMBER(MATCH($H356,SRC_HW!$A$5:$A$400,0)),INDEX(SRC_HW!$O$5:$O$400,MATCH($H356,SRC_HW!$A$5:$A$400,0)),IF(ISNUMBER(MATCH($H356,SRC_DC!$A$5:$A$400,0)),INDEX(SRC_DC!$O$5:$O$400,MATCH($H356,SRC_DC!$A$5:$A$400,0)),IF(ISNUMBER(MATCH($H356,SRC_Model!$A$5:$A$400,0)),INDEX(SRC_Model!$O$5:$O$400,MATCH($H356,SRC_Model!$A$5:$A$400,0)),IF(ISNUMBER(MATCH($H356,SRC_Perf!$A$5:$A$400,0)),INDEX(SRC_Perf!$O$5:$O$400,MATCH($H356,SRC_Perf!$A$5:$A$400,0)),"不存在")))))</f>
        <v>—</v>
      </c>
      <c r="T356" s="83" t="str">
        <f aca="false">IF(OR($H356="—",$H356=""),"—",IF(ISNUMBER(MATCH($H356,SRC_HW!$A$5:$A$400,0)),INDEX(SRC_HW!$K$5:$K$400,MATCH($H356,SRC_HW!$A$5:$A$400,0)),IF(ISNUMBER(MATCH($H356,SRC_DC!$A$5:$A$400,0)),INDEX(SRC_DC!$K$5:$K$400,MATCH($H356,SRC_DC!$A$5:$A$400,0)),IF(ISNUMBER(MATCH($H356,SRC_Model!$A$5:$A$400,0)),INDEX(SRC_Model!$K$5:$K$400,MATCH($H356,SRC_Model!$A$5:$A$400,0)),IF(ISNUMBER(MATCH($H356,SRC_Perf!$A$5:$A$400,0)),INDEX(SRC_Perf!$K$5:$K$400,MATCH($H356,SRC_Perf!$A$5:$A$400,0)),"不存在")))))</f>
        <v>—</v>
      </c>
      <c r="U356" s="52" t="s">
        <v>2302</v>
      </c>
      <c r="V356" s="103" t="n">
        <f aca="false">IF(AND($F356="原始數據",$U356&lt;&gt;"連結 SRC"),1,0)</f>
        <v>0</v>
      </c>
      <c r="W356" s="103" t="n">
        <f aca="false">IF(AND($F356="Analogy",OR($H356="—",$H356="")),1,0)</f>
        <v>0</v>
      </c>
      <c r="X356" s="103" t="n">
        <f aca="false">IF(AND(OR($F356="Analogy",$F356="Assumed"),$G356&lt;&gt;"低",$G356&lt;&gt;"高",NOT(ISNUMBER($K356)),NOT(ISNUMBER($L356)),OR($M356="—",$M356="")),1,0)</f>
        <v>0</v>
      </c>
      <c r="Y356" s="103" t="n">
        <f aca="false">IF(AND(OR($F356="Analogy",$F356="Assumed",$F356="Derived（待改公式）",$F356="Derived（公式）"),OR($N356="—",$N356="",$N356=0)),1,0)</f>
        <v>0</v>
      </c>
      <c r="Z356" s="103" t="n">
        <f aca="false">IF(AND($F356="Decision",OR($J356="—",$J356="")),1,0)</f>
        <v>0</v>
      </c>
      <c r="AA356" s="84" t="n">
        <f aca="false">IF(OR($J356="—",$J356=""),0,IF(COUNTIF(Decisions!$A$5:$A$300,$J356)=0,1,0))</f>
        <v>0</v>
      </c>
      <c r="AB356" s="103" t="n">
        <f aca="false">IF(AND($F356="原始數據",$S356&lt;&gt;"Active"),1,0)</f>
        <v>0</v>
      </c>
      <c r="AC356" s="103" t="n">
        <f aca="false">IF(AND(ISNUMBER($K356),ISNUMBER($L356),ISNUMBER($Q356)),IF(OR($Q356&lt;MIN($K356,$L356),$Q356&gt;MAX($K356,$L356)),1,0),0)</f>
        <v>0</v>
      </c>
      <c r="AD356" s="103" t="n">
        <f aca="false">IF(AND(ISNUMBER($T356),$P356="高"),IF($T356=3,1,0),0)</f>
        <v>0</v>
      </c>
      <c r="AE356" s="103" t="n">
        <f aca="false">IF(AND($S356="不存在",$B356="切片一"),1,0)</f>
        <v>0</v>
      </c>
    </row>
    <row r="357" customFormat="false" ht="15" hidden="false" customHeight="false" outlineLevel="0" collapsed="false">
      <c r="A357" s="53" t="s">
        <v>3094</v>
      </c>
      <c r="B357" s="52" t="s">
        <v>2297</v>
      </c>
      <c r="C357" s="53" t="s">
        <v>2995</v>
      </c>
      <c r="D357" s="53" t="s">
        <v>3095</v>
      </c>
      <c r="E357" s="6" t="s">
        <v>460</v>
      </c>
      <c r="F357" s="53" t="s">
        <v>70</v>
      </c>
      <c r="G357" s="52" t="s">
        <v>2299</v>
      </c>
      <c r="H357" s="53" t="s">
        <v>554</v>
      </c>
      <c r="I357" s="6" t="s">
        <v>554</v>
      </c>
      <c r="J357" s="53" t="s">
        <v>554</v>
      </c>
      <c r="K357" s="128" t="n">
        <v>0.5</v>
      </c>
      <c r="L357" s="128" t="n">
        <v>1.5</v>
      </c>
      <c r="M357" s="53" t="s">
        <v>3092</v>
      </c>
      <c r="N357" s="6" t="s">
        <v>3093</v>
      </c>
      <c r="O357" s="6" t="s">
        <v>554</v>
      </c>
      <c r="P357" s="52" t="s">
        <v>2364</v>
      </c>
      <c r="Q357" s="89" t="n">
        <f aca="false">Calib!E69</f>
        <v>1</v>
      </c>
      <c r="R357" s="53" t="s">
        <v>554</v>
      </c>
      <c r="S357" s="83" t="str">
        <f aca="false">IF(OR($H357="—",$H357=""),"—",IF(ISNUMBER(MATCH($H357,SRC_HW!$A$5:$A$400,0)),INDEX(SRC_HW!$O$5:$O$400,MATCH($H357,SRC_HW!$A$5:$A$400,0)),IF(ISNUMBER(MATCH($H357,SRC_DC!$A$5:$A$400,0)),INDEX(SRC_DC!$O$5:$O$400,MATCH($H357,SRC_DC!$A$5:$A$400,0)),IF(ISNUMBER(MATCH($H357,SRC_Model!$A$5:$A$400,0)),INDEX(SRC_Model!$O$5:$O$400,MATCH($H357,SRC_Model!$A$5:$A$400,0)),IF(ISNUMBER(MATCH($H357,SRC_Perf!$A$5:$A$400,0)),INDEX(SRC_Perf!$O$5:$O$400,MATCH($H357,SRC_Perf!$A$5:$A$400,0)),"不存在")))))</f>
        <v>—</v>
      </c>
      <c r="T357" s="83" t="str">
        <f aca="false">IF(OR($H357="—",$H357=""),"—",IF(ISNUMBER(MATCH($H357,SRC_HW!$A$5:$A$400,0)),INDEX(SRC_HW!$K$5:$K$400,MATCH($H357,SRC_HW!$A$5:$A$400,0)),IF(ISNUMBER(MATCH($H357,SRC_DC!$A$5:$A$400,0)),INDEX(SRC_DC!$K$5:$K$400,MATCH($H357,SRC_DC!$A$5:$A$400,0)),IF(ISNUMBER(MATCH($H357,SRC_Model!$A$5:$A$400,0)),INDEX(SRC_Model!$K$5:$K$400,MATCH($H357,SRC_Model!$A$5:$A$400,0)),IF(ISNUMBER(MATCH($H357,SRC_Perf!$A$5:$A$400,0)),INDEX(SRC_Perf!$K$5:$K$400,MATCH($H357,SRC_Perf!$A$5:$A$400,0)),"不存在")))))</f>
        <v>—</v>
      </c>
      <c r="U357" s="52" t="s">
        <v>2302</v>
      </c>
      <c r="V357" s="103" t="n">
        <f aca="false">IF(AND($F357="原始數據",$U357&lt;&gt;"連結 SRC"),1,0)</f>
        <v>0</v>
      </c>
      <c r="W357" s="103" t="n">
        <f aca="false">IF(AND($F357="Analogy",OR($H357="—",$H357="")),1,0)</f>
        <v>0</v>
      </c>
      <c r="X357" s="103" t="n">
        <f aca="false">IF(AND(OR($F357="Analogy",$F357="Assumed"),$G357&lt;&gt;"低",$G357&lt;&gt;"高",NOT(ISNUMBER($K357)),NOT(ISNUMBER($L357)),OR($M357="—",$M357="")),1,0)</f>
        <v>0</v>
      </c>
      <c r="Y357" s="103" t="n">
        <f aca="false">IF(AND(OR($F357="Analogy",$F357="Assumed",$F357="Derived（待改公式）",$F357="Derived（公式）"),OR($N357="—",$N357="",$N357=0)),1,0)</f>
        <v>0</v>
      </c>
      <c r="Z357" s="103" t="n">
        <f aca="false">IF(AND($F357="Decision",OR($J357="—",$J357="")),1,0)</f>
        <v>0</v>
      </c>
      <c r="AA357" s="84" t="n">
        <f aca="false">IF(OR($J357="—",$J357=""),0,IF(COUNTIF(Decisions!$A$5:$A$300,$J357)=0,1,0))</f>
        <v>0</v>
      </c>
      <c r="AB357" s="103" t="n">
        <f aca="false">IF(AND($F357="原始數據",$S357&lt;&gt;"Active"),1,0)</f>
        <v>0</v>
      </c>
      <c r="AC357" s="103" t="n">
        <f aca="false">IF(AND(ISNUMBER($K357),ISNUMBER($L357),ISNUMBER($Q357)),IF(OR($Q357&lt;MIN($K357,$L357),$Q357&gt;MAX($K357,$L357)),1,0),0)</f>
        <v>0</v>
      </c>
      <c r="AD357" s="103" t="n">
        <f aca="false">IF(AND(ISNUMBER($T357),$P357="高"),IF($T357=3,1,0),0)</f>
        <v>0</v>
      </c>
      <c r="AE357" s="103" t="n">
        <f aca="false">IF(AND($S357="不存在",$B357="切片一"),1,0)</f>
        <v>0</v>
      </c>
    </row>
    <row r="358" customFormat="false" ht="15" hidden="false" customHeight="false" outlineLevel="0" collapsed="false">
      <c r="A358" s="53" t="s">
        <v>3096</v>
      </c>
      <c r="B358" s="52" t="s">
        <v>2297</v>
      </c>
      <c r="C358" s="53" t="s">
        <v>2995</v>
      </c>
      <c r="D358" s="53" t="s">
        <v>3097</v>
      </c>
      <c r="E358" s="6" t="s">
        <v>460</v>
      </c>
      <c r="F358" s="53" t="s">
        <v>70</v>
      </c>
      <c r="G358" s="52" t="s">
        <v>2299</v>
      </c>
      <c r="H358" s="53" t="s">
        <v>554</v>
      </c>
      <c r="I358" s="6" t="s">
        <v>554</v>
      </c>
      <c r="J358" s="53" t="s">
        <v>554</v>
      </c>
      <c r="K358" s="128" t="n">
        <v>0.5</v>
      </c>
      <c r="L358" s="128" t="n">
        <v>1.5</v>
      </c>
      <c r="M358" s="53" t="s">
        <v>3092</v>
      </c>
      <c r="N358" s="6" t="s">
        <v>3093</v>
      </c>
      <c r="O358" s="6" t="s">
        <v>554</v>
      </c>
      <c r="P358" s="52" t="s">
        <v>2364</v>
      </c>
      <c r="Q358" s="89" t="n">
        <f aca="false">Calib!F69</f>
        <v>1</v>
      </c>
      <c r="R358" s="53" t="s">
        <v>554</v>
      </c>
      <c r="S358" s="83" t="str">
        <f aca="false">IF(OR($H358="—",$H358=""),"—",IF(ISNUMBER(MATCH($H358,SRC_HW!$A$5:$A$400,0)),INDEX(SRC_HW!$O$5:$O$400,MATCH($H358,SRC_HW!$A$5:$A$400,0)),IF(ISNUMBER(MATCH($H358,SRC_DC!$A$5:$A$400,0)),INDEX(SRC_DC!$O$5:$O$400,MATCH($H358,SRC_DC!$A$5:$A$400,0)),IF(ISNUMBER(MATCH($H358,SRC_Model!$A$5:$A$400,0)),INDEX(SRC_Model!$O$5:$O$400,MATCH($H358,SRC_Model!$A$5:$A$400,0)),IF(ISNUMBER(MATCH($H358,SRC_Perf!$A$5:$A$400,0)),INDEX(SRC_Perf!$O$5:$O$400,MATCH($H358,SRC_Perf!$A$5:$A$400,0)),"不存在")))))</f>
        <v>—</v>
      </c>
      <c r="T358" s="83" t="str">
        <f aca="false">IF(OR($H358="—",$H358=""),"—",IF(ISNUMBER(MATCH($H358,SRC_HW!$A$5:$A$400,0)),INDEX(SRC_HW!$K$5:$K$400,MATCH($H358,SRC_HW!$A$5:$A$400,0)),IF(ISNUMBER(MATCH($H358,SRC_DC!$A$5:$A$400,0)),INDEX(SRC_DC!$K$5:$K$400,MATCH($H358,SRC_DC!$A$5:$A$400,0)),IF(ISNUMBER(MATCH($H358,SRC_Model!$A$5:$A$400,0)),INDEX(SRC_Model!$K$5:$K$400,MATCH($H358,SRC_Model!$A$5:$A$400,0)),IF(ISNUMBER(MATCH($H358,SRC_Perf!$A$5:$A$400,0)),INDEX(SRC_Perf!$K$5:$K$400,MATCH($H358,SRC_Perf!$A$5:$A$400,0)),"不存在")))))</f>
        <v>—</v>
      </c>
      <c r="U358" s="52" t="s">
        <v>2302</v>
      </c>
      <c r="V358" s="103" t="n">
        <f aca="false">IF(AND($F358="原始數據",$U358&lt;&gt;"連結 SRC"),1,0)</f>
        <v>0</v>
      </c>
      <c r="W358" s="103" t="n">
        <f aca="false">IF(AND($F358="Analogy",OR($H358="—",$H358="")),1,0)</f>
        <v>0</v>
      </c>
      <c r="X358" s="103" t="n">
        <f aca="false">IF(AND(OR($F358="Analogy",$F358="Assumed"),$G358&lt;&gt;"低",$G358&lt;&gt;"高",NOT(ISNUMBER($K358)),NOT(ISNUMBER($L358)),OR($M358="—",$M358="")),1,0)</f>
        <v>0</v>
      </c>
      <c r="Y358" s="103" t="n">
        <f aca="false">IF(AND(OR($F358="Analogy",$F358="Assumed",$F358="Derived（待改公式）",$F358="Derived（公式）"),OR($N358="—",$N358="",$N358=0)),1,0)</f>
        <v>0</v>
      </c>
      <c r="Z358" s="103" t="n">
        <f aca="false">IF(AND($F358="Decision",OR($J358="—",$J358="")),1,0)</f>
        <v>0</v>
      </c>
      <c r="AA358" s="84" t="n">
        <f aca="false">IF(OR($J358="—",$J358=""),0,IF(COUNTIF(Decisions!$A$5:$A$300,$J358)=0,1,0))</f>
        <v>0</v>
      </c>
      <c r="AB358" s="103" t="n">
        <f aca="false">IF(AND($F358="原始數據",$S358&lt;&gt;"Active"),1,0)</f>
        <v>0</v>
      </c>
      <c r="AC358" s="103" t="n">
        <f aca="false">IF(AND(ISNUMBER($K358),ISNUMBER($L358),ISNUMBER($Q358)),IF(OR($Q358&lt;MIN($K358,$L358),$Q358&gt;MAX($K358,$L358)),1,0),0)</f>
        <v>0</v>
      </c>
      <c r="AD358" s="103" t="n">
        <f aca="false">IF(AND(ISNUMBER($T358),$P358="高"),IF($T358=3,1,0),0)</f>
        <v>0</v>
      </c>
      <c r="AE358" s="103" t="n">
        <f aca="false">IF(AND($S358="不存在",$B358="切片一"),1,0)</f>
        <v>0</v>
      </c>
    </row>
    <row r="359" customFormat="false" ht="15" hidden="false" customHeight="false" outlineLevel="0" collapsed="false">
      <c r="A359" s="53" t="s">
        <v>3098</v>
      </c>
      <c r="B359" s="52" t="s">
        <v>2297</v>
      </c>
      <c r="C359" s="53" t="s">
        <v>2995</v>
      </c>
      <c r="D359" s="53" t="s">
        <v>3099</v>
      </c>
      <c r="E359" s="6" t="s">
        <v>460</v>
      </c>
      <c r="F359" s="53" t="s">
        <v>70</v>
      </c>
      <c r="G359" s="52" t="s">
        <v>2299</v>
      </c>
      <c r="H359" s="53" t="s">
        <v>554</v>
      </c>
      <c r="I359" s="6" t="s">
        <v>554</v>
      </c>
      <c r="J359" s="53" t="s">
        <v>554</v>
      </c>
      <c r="K359" s="128" t="n">
        <v>0.5</v>
      </c>
      <c r="L359" s="128" t="n">
        <v>1.5</v>
      </c>
      <c r="M359" s="53" t="s">
        <v>3092</v>
      </c>
      <c r="N359" s="6" t="s">
        <v>3093</v>
      </c>
      <c r="O359" s="6" t="s">
        <v>554</v>
      </c>
      <c r="P359" s="52" t="s">
        <v>2364</v>
      </c>
      <c r="Q359" s="89" t="n">
        <f aca="false">Calib!G69</f>
        <v>1</v>
      </c>
      <c r="R359" s="53" t="s">
        <v>554</v>
      </c>
      <c r="S359" s="83" t="str">
        <f aca="false">IF(OR($H359="—",$H359=""),"—",IF(ISNUMBER(MATCH($H359,SRC_HW!$A$5:$A$400,0)),INDEX(SRC_HW!$O$5:$O$400,MATCH($H359,SRC_HW!$A$5:$A$400,0)),IF(ISNUMBER(MATCH($H359,SRC_DC!$A$5:$A$400,0)),INDEX(SRC_DC!$O$5:$O$400,MATCH($H359,SRC_DC!$A$5:$A$400,0)),IF(ISNUMBER(MATCH($H359,SRC_Model!$A$5:$A$400,0)),INDEX(SRC_Model!$O$5:$O$400,MATCH($H359,SRC_Model!$A$5:$A$400,0)),IF(ISNUMBER(MATCH($H359,SRC_Perf!$A$5:$A$400,0)),INDEX(SRC_Perf!$O$5:$O$400,MATCH($H359,SRC_Perf!$A$5:$A$400,0)),"不存在")))))</f>
        <v>—</v>
      </c>
      <c r="T359" s="83" t="str">
        <f aca="false">IF(OR($H359="—",$H359=""),"—",IF(ISNUMBER(MATCH($H359,SRC_HW!$A$5:$A$400,0)),INDEX(SRC_HW!$K$5:$K$400,MATCH($H359,SRC_HW!$A$5:$A$400,0)),IF(ISNUMBER(MATCH($H359,SRC_DC!$A$5:$A$400,0)),INDEX(SRC_DC!$K$5:$K$400,MATCH($H359,SRC_DC!$A$5:$A$400,0)),IF(ISNUMBER(MATCH($H359,SRC_Model!$A$5:$A$400,0)),INDEX(SRC_Model!$K$5:$K$400,MATCH($H359,SRC_Model!$A$5:$A$400,0)),IF(ISNUMBER(MATCH($H359,SRC_Perf!$A$5:$A$400,0)),INDEX(SRC_Perf!$K$5:$K$400,MATCH($H359,SRC_Perf!$A$5:$A$400,0)),"不存在")))))</f>
        <v>—</v>
      </c>
      <c r="U359" s="52" t="s">
        <v>2302</v>
      </c>
      <c r="V359" s="103" t="n">
        <f aca="false">IF(AND($F359="原始數據",$U359&lt;&gt;"連結 SRC"),1,0)</f>
        <v>0</v>
      </c>
      <c r="W359" s="103" t="n">
        <f aca="false">IF(AND($F359="Analogy",OR($H359="—",$H359="")),1,0)</f>
        <v>0</v>
      </c>
      <c r="X359" s="103" t="n">
        <f aca="false">IF(AND(OR($F359="Analogy",$F359="Assumed"),$G359&lt;&gt;"低",$G359&lt;&gt;"高",NOT(ISNUMBER($K359)),NOT(ISNUMBER($L359)),OR($M359="—",$M359="")),1,0)</f>
        <v>0</v>
      </c>
      <c r="Y359" s="103" t="n">
        <f aca="false">IF(AND(OR($F359="Analogy",$F359="Assumed",$F359="Derived（待改公式）",$F359="Derived（公式）"),OR($N359="—",$N359="",$N359=0)),1,0)</f>
        <v>0</v>
      </c>
      <c r="Z359" s="103" t="n">
        <f aca="false">IF(AND($F359="Decision",OR($J359="—",$J359="")),1,0)</f>
        <v>0</v>
      </c>
      <c r="AA359" s="84" t="n">
        <f aca="false">IF(OR($J359="—",$J359=""),0,IF(COUNTIF(Decisions!$A$5:$A$300,$J359)=0,1,0))</f>
        <v>0</v>
      </c>
      <c r="AB359" s="103" t="n">
        <f aca="false">IF(AND($F359="原始數據",$S359&lt;&gt;"Active"),1,0)</f>
        <v>0</v>
      </c>
      <c r="AC359" s="103" t="n">
        <f aca="false">IF(AND(ISNUMBER($K359),ISNUMBER($L359),ISNUMBER($Q359)),IF(OR($Q359&lt;MIN($K359,$L359),$Q359&gt;MAX($K359,$L359)),1,0),0)</f>
        <v>0</v>
      </c>
      <c r="AD359" s="103" t="n">
        <f aca="false">IF(AND(ISNUMBER($T359),$P359="高"),IF($T359=3,1,0),0)</f>
        <v>0</v>
      </c>
      <c r="AE359" s="103" t="n">
        <f aca="false">IF(AND($S359="不存在",$B359="切片一"),1,0)</f>
        <v>0</v>
      </c>
    </row>
    <row r="360" customFormat="false" ht="15" hidden="false" customHeight="false" outlineLevel="0" collapsed="false">
      <c r="A360" s="53" t="s">
        <v>3100</v>
      </c>
      <c r="B360" s="52" t="s">
        <v>2297</v>
      </c>
      <c r="C360" s="53" t="s">
        <v>2995</v>
      </c>
      <c r="D360" s="53" t="s">
        <v>3101</v>
      </c>
      <c r="E360" s="6" t="s">
        <v>486</v>
      </c>
      <c r="F360" s="52" t="s">
        <v>3102</v>
      </c>
      <c r="G360" s="52" t="s">
        <v>3001</v>
      </c>
      <c r="H360" s="53" t="s">
        <v>554</v>
      </c>
      <c r="I360" s="6" t="s">
        <v>554</v>
      </c>
      <c r="J360" s="53" t="s">
        <v>554</v>
      </c>
      <c r="K360" s="52"/>
      <c r="L360" s="52"/>
      <c r="M360" s="53" t="s">
        <v>554</v>
      </c>
      <c r="N360" s="6" t="s">
        <v>3103</v>
      </c>
      <c r="O360" s="6" t="s">
        <v>554</v>
      </c>
      <c r="P360" s="53" t="s">
        <v>554</v>
      </c>
      <c r="Q360" s="83" t="s">
        <v>554</v>
      </c>
      <c r="R360" s="53" t="s">
        <v>554</v>
      </c>
      <c r="S360" s="83" t="str">
        <f aca="false">IF(OR($H360="—",$H360=""),"—",IF(ISNUMBER(MATCH($H360,SRC_HW!$A$5:$A$400,0)),INDEX(SRC_HW!$O$5:$O$400,MATCH($H360,SRC_HW!$A$5:$A$400,0)),IF(ISNUMBER(MATCH($H360,SRC_DC!$A$5:$A$400,0)),INDEX(SRC_DC!$O$5:$O$400,MATCH($H360,SRC_DC!$A$5:$A$400,0)),IF(ISNUMBER(MATCH($H360,SRC_Model!$A$5:$A$400,0)),INDEX(SRC_Model!$O$5:$O$400,MATCH($H360,SRC_Model!$A$5:$A$400,0)),IF(ISNUMBER(MATCH($H360,SRC_Perf!$A$5:$A$400,0)),INDEX(SRC_Perf!$O$5:$O$400,MATCH($H360,SRC_Perf!$A$5:$A$400,0)),"不存在")))))</f>
        <v>—</v>
      </c>
      <c r="T360" s="83" t="str">
        <f aca="false">IF(OR($H360="—",$H360=""),"—",IF(ISNUMBER(MATCH($H360,SRC_HW!$A$5:$A$400,0)),INDEX(SRC_HW!$K$5:$K$400,MATCH($H360,SRC_HW!$A$5:$A$400,0)),IF(ISNUMBER(MATCH($H360,SRC_DC!$A$5:$A$400,0)),INDEX(SRC_DC!$K$5:$K$400,MATCH($H360,SRC_DC!$A$5:$A$400,0)),IF(ISNUMBER(MATCH($H360,SRC_Model!$A$5:$A$400,0)),INDEX(SRC_Model!$K$5:$K$400,MATCH($H360,SRC_Model!$A$5:$A$400,0)),IF(ISNUMBER(MATCH($H360,SRC_Perf!$A$5:$A$400,0)),INDEX(SRC_Perf!$K$5:$K$400,MATCH($H360,SRC_Perf!$A$5:$A$400,0)),"不存在")))))</f>
        <v>—</v>
      </c>
      <c r="U360" s="53" t="s">
        <v>554</v>
      </c>
      <c r="V360" s="103" t="n">
        <f aca="false">IF(AND($F360="原始數據",$U360&lt;&gt;"連結 SRC"),1,0)</f>
        <v>0</v>
      </c>
      <c r="W360" s="103" t="n">
        <f aca="false">IF(AND($F360="Analogy",OR($H360="—",$H360="")),1,0)</f>
        <v>0</v>
      </c>
      <c r="X360" s="103" t="n">
        <f aca="false">IF(AND(OR($F360="Analogy",$F360="Assumed"),$G360&lt;&gt;"低",$G360&lt;&gt;"高",NOT(ISNUMBER($K360)),NOT(ISNUMBER($L360)),OR($M360="—",$M360="")),1,0)</f>
        <v>0</v>
      </c>
      <c r="Y360" s="103" t="n">
        <f aca="false">IF(AND(OR($F360="Analogy",$F360="Assumed",$F360="Derived（待改公式）",$F360="Derived（公式）"),OR($N360="—",$N360="",$N360=0)),1,0)</f>
        <v>0</v>
      </c>
      <c r="Z360" s="103" t="n">
        <f aca="false">IF(AND($F360="Decision",OR($J360="—",$J360="")),1,0)</f>
        <v>0</v>
      </c>
      <c r="AA360" s="84" t="n">
        <f aca="false">IF(OR($J360="—",$J360=""),0,IF(COUNTIF(Decisions!$A$5:$A$300,$J360)=0,1,0))</f>
        <v>0</v>
      </c>
      <c r="AB360" s="103" t="n">
        <f aca="false">IF(AND($F360="原始數據",$S360&lt;&gt;"Active"),1,0)</f>
        <v>0</v>
      </c>
      <c r="AC360" s="103" t="n">
        <f aca="false">IF(AND(ISNUMBER($K360),ISNUMBER($L360),ISNUMBER($Q360)),IF(OR($Q360&lt;MIN($K360,$L360),$Q360&gt;MAX($K360,$L360)),1,0),0)</f>
        <v>0</v>
      </c>
      <c r="AD360" s="103" t="n">
        <f aca="false">IF(AND(ISNUMBER($T360),$P360="高"),IF($T360=3,1,0),0)</f>
        <v>0</v>
      </c>
      <c r="AE360" s="103" t="n">
        <f aca="false">IF(AND($S360="不存在",$B360="切片一"),1,0)</f>
        <v>0</v>
      </c>
    </row>
    <row r="361" customFormat="false" ht="15" hidden="false" customHeight="false" outlineLevel="0" collapsed="false">
      <c r="A361" s="53" t="s">
        <v>3104</v>
      </c>
      <c r="B361" s="52" t="s">
        <v>2297</v>
      </c>
      <c r="C361" s="53" t="s">
        <v>2995</v>
      </c>
      <c r="D361" s="53" t="s">
        <v>3105</v>
      </c>
      <c r="E361" s="5" t="s">
        <v>224</v>
      </c>
      <c r="F361" s="52" t="s">
        <v>2337</v>
      </c>
      <c r="G361" s="52" t="s">
        <v>2299</v>
      </c>
      <c r="H361" s="53" t="s">
        <v>3106</v>
      </c>
      <c r="I361" s="5" t="s">
        <v>2339</v>
      </c>
      <c r="J361" s="53" t="s">
        <v>554</v>
      </c>
      <c r="K361" s="52"/>
      <c r="L361" s="52"/>
      <c r="M361" s="53" t="s">
        <v>554</v>
      </c>
      <c r="N361" s="5" t="s">
        <v>2340</v>
      </c>
      <c r="O361" s="6" t="s">
        <v>554</v>
      </c>
      <c r="P361" s="52" t="s">
        <v>2307</v>
      </c>
      <c r="Q361" s="54" t="n">
        <f aca="false">Calib!C100</f>
        <v>671</v>
      </c>
      <c r="R361" s="83" t="n">
        <f aca="false">SRC_MOD_020</f>
        <v>671</v>
      </c>
      <c r="S361" s="83" t="str">
        <f aca="false">IF(OR($H361="—",$H361=""),"—",IF(ISNUMBER(MATCH($H361,SRC_HW!$A$5:$A$400,0)),INDEX(SRC_HW!$O$5:$O$400,MATCH($H361,SRC_HW!$A$5:$A$400,0)),IF(ISNUMBER(MATCH($H361,SRC_DC!$A$5:$A$400,0)),INDEX(SRC_DC!$O$5:$O$400,MATCH($H361,SRC_DC!$A$5:$A$400,0)),IF(ISNUMBER(MATCH($H361,SRC_Model!$A$5:$A$400,0)),INDEX(SRC_Model!$O$5:$O$400,MATCH($H361,SRC_Model!$A$5:$A$400,0)),IF(ISNUMBER(MATCH($H361,SRC_Perf!$A$5:$A$400,0)),INDEX(SRC_Perf!$O$5:$O$400,MATCH($H361,SRC_Perf!$A$5:$A$400,0)),"不存在")))))</f>
        <v>Active</v>
      </c>
      <c r="T361" s="83" t="n">
        <f aca="false">IF(OR($H361="—",$H361=""),"—",IF(ISNUMBER(MATCH($H361,SRC_HW!$A$5:$A$400,0)),INDEX(SRC_HW!$K$5:$K$400,MATCH($H361,SRC_HW!$A$5:$A$400,0)),IF(ISNUMBER(MATCH($H361,SRC_DC!$A$5:$A$400,0)),INDEX(SRC_DC!$K$5:$K$400,MATCH($H361,SRC_DC!$A$5:$A$400,0)),IF(ISNUMBER(MATCH($H361,SRC_Model!$A$5:$A$400,0)),INDEX(SRC_Model!$K$5:$K$400,MATCH($H361,SRC_Model!$A$5:$A$400,0)),IF(ISNUMBER(MATCH($H361,SRC_Perf!$A$5:$A$400,0)),INDEX(SRC_Perf!$K$5:$K$400,MATCH($H361,SRC_Perf!$A$5:$A$400,0)),"不存在")))))</f>
        <v>3</v>
      </c>
      <c r="U361" s="52" t="s">
        <v>2341</v>
      </c>
      <c r="V361" s="103" t="n">
        <f aca="false">IF(AND($F361="原始數據",$U361&lt;&gt;"連結 SRC"),1,0)</f>
        <v>0</v>
      </c>
      <c r="W361" s="103" t="n">
        <f aca="false">IF(AND($F361="Analogy",OR($H361="—",$H361="")),1,0)</f>
        <v>0</v>
      </c>
      <c r="X361" s="103" t="n">
        <f aca="false">IF(AND(OR($F361="Analogy",$F361="Assumed"),$G361&lt;&gt;"低",$G361&lt;&gt;"高",NOT(ISNUMBER($K361)),NOT(ISNUMBER($L361)),OR($M361="—",$M361="")),1,0)</f>
        <v>0</v>
      </c>
      <c r="Y361" s="103" t="n">
        <f aca="false">IF(AND(OR($F361="Analogy",$F361="Assumed",$F361="Derived（待改公式）",$F361="Derived（公式）"),OR($N361="—",$N361="",$N361=0)),1,0)</f>
        <v>0</v>
      </c>
      <c r="Z361" s="103" t="n">
        <f aca="false">IF(AND($F361="Decision",OR($J361="—",$J361="")),1,0)</f>
        <v>0</v>
      </c>
      <c r="AA361" s="84" t="n">
        <f aca="false">IF(OR($J361="—",$J361=""),0,IF(COUNTIF(Decisions!$A$5:$A$300,$J361)=0,1,0))</f>
        <v>0</v>
      </c>
      <c r="AB361" s="103" t="n">
        <f aca="false">IF(AND($F361="原始數據",$S361&lt;&gt;"Active"),1,0)</f>
        <v>0</v>
      </c>
      <c r="AC361" s="103" t="n">
        <f aca="false">IF(AND(ISNUMBER($K361),ISNUMBER($L361),ISNUMBER($Q361)),IF(OR($Q361&lt;MIN($K361,$L361),$Q361&gt;MAX($K361,$L361)),1,0),0)</f>
        <v>0</v>
      </c>
      <c r="AD361" s="103" t="n">
        <f aca="false">IF(AND(ISNUMBER($T361),$P361="高"),IF($T361=3,1,0),0)</f>
        <v>0</v>
      </c>
      <c r="AE361" s="103" t="n">
        <f aca="false">IF(AND($S361="不存在",$B361="切片一"),1,0)</f>
        <v>0</v>
      </c>
    </row>
    <row r="362" customFormat="false" ht="15" hidden="false" customHeight="false" outlineLevel="0" collapsed="false">
      <c r="A362" s="53" t="s">
        <v>3107</v>
      </c>
      <c r="B362" s="52" t="s">
        <v>2297</v>
      </c>
      <c r="C362" s="53" t="s">
        <v>2995</v>
      </c>
      <c r="D362" s="53" t="s">
        <v>3108</v>
      </c>
      <c r="E362" s="5" t="s">
        <v>228</v>
      </c>
      <c r="F362" s="52" t="s">
        <v>2337</v>
      </c>
      <c r="G362" s="52" t="s">
        <v>2299</v>
      </c>
      <c r="H362" s="53" t="s">
        <v>3109</v>
      </c>
      <c r="I362" s="5" t="s">
        <v>2339</v>
      </c>
      <c r="J362" s="53" t="s">
        <v>554</v>
      </c>
      <c r="K362" s="52"/>
      <c r="L362" s="52"/>
      <c r="M362" s="53" t="s">
        <v>554</v>
      </c>
      <c r="N362" s="5" t="s">
        <v>2340</v>
      </c>
      <c r="O362" s="6" t="s">
        <v>554</v>
      </c>
      <c r="P362" s="52" t="s">
        <v>2307</v>
      </c>
      <c r="Q362" s="54" t="n">
        <f aca="false">Calib!C101</f>
        <v>37</v>
      </c>
      <c r="R362" s="83" t="n">
        <f aca="false">SRC_MOD_021</f>
        <v>37</v>
      </c>
      <c r="S362" s="83" t="str">
        <f aca="false">IF(OR($H362="—",$H362=""),"—",IF(ISNUMBER(MATCH($H362,SRC_HW!$A$5:$A$400,0)),INDEX(SRC_HW!$O$5:$O$400,MATCH($H362,SRC_HW!$A$5:$A$400,0)),IF(ISNUMBER(MATCH($H362,SRC_DC!$A$5:$A$400,0)),INDEX(SRC_DC!$O$5:$O$400,MATCH($H362,SRC_DC!$A$5:$A$400,0)),IF(ISNUMBER(MATCH($H362,SRC_Model!$A$5:$A$400,0)),INDEX(SRC_Model!$O$5:$O$400,MATCH($H362,SRC_Model!$A$5:$A$400,0)),IF(ISNUMBER(MATCH($H362,SRC_Perf!$A$5:$A$400,0)),INDEX(SRC_Perf!$O$5:$O$400,MATCH($H362,SRC_Perf!$A$5:$A$400,0)),"不存在")))))</f>
        <v>Active</v>
      </c>
      <c r="T362" s="83" t="n">
        <f aca="false">IF(OR($H362="—",$H362=""),"—",IF(ISNUMBER(MATCH($H362,SRC_HW!$A$5:$A$400,0)),INDEX(SRC_HW!$K$5:$K$400,MATCH($H362,SRC_HW!$A$5:$A$400,0)),IF(ISNUMBER(MATCH($H362,SRC_DC!$A$5:$A$400,0)),INDEX(SRC_DC!$K$5:$K$400,MATCH($H362,SRC_DC!$A$5:$A$400,0)),IF(ISNUMBER(MATCH($H362,SRC_Model!$A$5:$A$400,0)),INDEX(SRC_Model!$K$5:$K$400,MATCH($H362,SRC_Model!$A$5:$A$400,0)),IF(ISNUMBER(MATCH($H362,SRC_Perf!$A$5:$A$400,0)),INDEX(SRC_Perf!$K$5:$K$400,MATCH($H362,SRC_Perf!$A$5:$A$400,0)),"不存在")))))</f>
        <v>3</v>
      </c>
      <c r="U362" s="52" t="s">
        <v>2341</v>
      </c>
      <c r="V362" s="103" t="n">
        <f aca="false">IF(AND($F362="原始數據",$U362&lt;&gt;"連結 SRC"),1,0)</f>
        <v>0</v>
      </c>
      <c r="W362" s="103" t="n">
        <f aca="false">IF(AND($F362="Analogy",OR($H362="—",$H362="")),1,0)</f>
        <v>0</v>
      </c>
      <c r="X362" s="103" t="n">
        <f aca="false">IF(AND(OR($F362="Analogy",$F362="Assumed"),$G362&lt;&gt;"低",$G362&lt;&gt;"高",NOT(ISNUMBER($K362)),NOT(ISNUMBER($L362)),OR($M362="—",$M362="")),1,0)</f>
        <v>0</v>
      </c>
      <c r="Y362" s="103" t="n">
        <f aca="false">IF(AND(OR($F362="Analogy",$F362="Assumed",$F362="Derived（待改公式）",$F362="Derived（公式）"),OR($N362="—",$N362="",$N362=0)),1,0)</f>
        <v>0</v>
      </c>
      <c r="Z362" s="103" t="n">
        <f aca="false">IF(AND($F362="Decision",OR($J362="—",$J362="")),1,0)</f>
        <v>0</v>
      </c>
      <c r="AA362" s="84" t="n">
        <f aca="false">IF(OR($J362="—",$J362=""),0,IF(COUNTIF(Decisions!$A$5:$A$300,$J362)=0,1,0))</f>
        <v>0</v>
      </c>
      <c r="AB362" s="103" t="n">
        <f aca="false">IF(AND($F362="原始數據",$S362&lt;&gt;"Active"),1,0)</f>
        <v>0</v>
      </c>
      <c r="AC362" s="103" t="n">
        <f aca="false">IF(AND(ISNUMBER($K362),ISNUMBER($L362),ISNUMBER($Q362)),IF(OR($Q362&lt;MIN($K362,$L362),$Q362&gt;MAX($K362,$L362)),1,0),0)</f>
        <v>0</v>
      </c>
      <c r="AD362" s="103" t="n">
        <f aca="false">IF(AND(ISNUMBER($T362),$P362="高"),IF($T362=3,1,0),0)</f>
        <v>0</v>
      </c>
      <c r="AE362" s="103" t="n">
        <f aca="false">IF(AND($S362="不存在",$B362="切片一"),1,0)</f>
        <v>0</v>
      </c>
    </row>
    <row r="363" customFormat="false" ht="15" hidden="false" customHeight="false" outlineLevel="0" collapsed="false">
      <c r="A363" s="53" t="s">
        <v>3110</v>
      </c>
      <c r="B363" s="52" t="s">
        <v>2297</v>
      </c>
      <c r="C363" s="53" t="s">
        <v>2995</v>
      </c>
      <c r="D363" s="53" t="s">
        <v>3111</v>
      </c>
      <c r="E363" s="5" t="s">
        <v>230</v>
      </c>
      <c r="F363" s="52" t="s">
        <v>2337</v>
      </c>
      <c r="G363" s="52" t="s">
        <v>2299</v>
      </c>
      <c r="H363" s="53" t="s">
        <v>3112</v>
      </c>
      <c r="I363" s="5" t="s">
        <v>2339</v>
      </c>
      <c r="J363" s="53" t="s">
        <v>554</v>
      </c>
      <c r="K363" s="52"/>
      <c r="L363" s="52"/>
      <c r="M363" s="53" t="s">
        <v>554</v>
      </c>
      <c r="N363" s="5" t="s">
        <v>2340</v>
      </c>
      <c r="O363" s="6" t="s">
        <v>554</v>
      </c>
      <c r="P363" s="52" t="s">
        <v>2307</v>
      </c>
      <c r="Q363" s="54" t="n">
        <f aca="false">Calib!C102</f>
        <v>61</v>
      </c>
      <c r="R363" s="83" t="n">
        <f aca="false">SRC_MOD_022</f>
        <v>61</v>
      </c>
      <c r="S363" s="83" t="str">
        <f aca="false">IF(OR($H363="—",$H363=""),"—",IF(ISNUMBER(MATCH($H363,SRC_HW!$A$5:$A$400,0)),INDEX(SRC_HW!$O$5:$O$400,MATCH($H363,SRC_HW!$A$5:$A$400,0)),IF(ISNUMBER(MATCH($H363,SRC_DC!$A$5:$A$400,0)),INDEX(SRC_DC!$O$5:$O$400,MATCH($H363,SRC_DC!$A$5:$A$400,0)),IF(ISNUMBER(MATCH($H363,SRC_Model!$A$5:$A$400,0)),INDEX(SRC_Model!$O$5:$O$400,MATCH($H363,SRC_Model!$A$5:$A$400,0)),IF(ISNUMBER(MATCH($H363,SRC_Perf!$A$5:$A$400,0)),INDEX(SRC_Perf!$O$5:$O$400,MATCH($H363,SRC_Perf!$A$5:$A$400,0)),"不存在")))))</f>
        <v>Active</v>
      </c>
      <c r="T363" s="83" t="n">
        <f aca="false">IF(OR($H363="—",$H363=""),"—",IF(ISNUMBER(MATCH($H363,SRC_HW!$A$5:$A$400,0)),INDEX(SRC_HW!$K$5:$K$400,MATCH($H363,SRC_HW!$A$5:$A$400,0)),IF(ISNUMBER(MATCH($H363,SRC_DC!$A$5:$A$400,0)),INDEX(SRC_DC!$K$5:$K$400,MATCH($H363,SRC_DC!$A$5:$A$400,0)),IF(ISNUMBER(MATCH($H363,SRC_Model!$A$5:$A$400,0)),INDEX(SRC_Model!$K$5:$K$400,MATCH($H363,SRC_Model!$A$5:$A$400,0)),IF(ISNUMBER(MATCH($H363,SRC_Perf!$A$5:$A$400,0)),INDEX(SRC_Perf!$K$5:$K$400,MATCH($H363,SRC_Perf!$A$5:$A$400,0)),"不存在")))))</f>
        <v>3</v>
      </c>
      <c r="U363" s="52" t="s">
        <v>2341</v>
      </c>
      <c r="V363" s="103" t="n">
        <f aca="false">IF(AND($F363="原始數據",$U363&lt;&gt;"連結 SRC"),1,0)</f>
        <v>0</v>
      </c>
      <c r="W363" s="103" t="n">
        <f aca="false">IF(AND($F363="Analogy",OR($H363="—",$H363="")),1,0)</f>
        <v>0</v>
      </c>
      <c r="X363" s="103" t="n">
        <f aca="false">IF(AND(OR($F363="Analogy",$F363="Assumed"),$G363&lt;&gt;"低",$G363&lt;&gt;"高",NOT(ISNUMBER($K363)),NOT(ISNUMBER($L363)),OR($M363="—",$M363="")),1,0)</f>
        <v>0</v>
      </c>
      <c r="Y363" s="103" t="n">
        <f aca="false">IF(AND(OR($F363="Analogy",$F363="Assumed",$F363="Derived（待改公式）",$F363="Derived（公式）"),OR($N363="—",$N363="",$N363=0)),1,0)</f>
        <v>0</v>
      </c>
      <c r="Z363" s="103" t="n">
        <f aca="false">IF(AND($F363="Decision",OR($J363="—",$J363="")),1,0)</f>
        <v>0</v>
      </c>
      <c r="AA363" s="84" t="n">
        <f aca="false">IF(OR($J363="—",$J363=""),0,IF(COUNTIF(Decisions!$A$5:$A$300,$J363)=0,1,0))</f>
        <v>0</v>
      </c>
      <c r="AB363" s="103" t="n">
        <f aca="false">IF(AND($F363="原始數據",$S363&lt;&gt;"Active"),1,0)</f>
        <v>0</v>
      </c>
      <c r="AC363" s="103" t="n">
        <f aca="false">IF(AND(ISNUMBER($K363),ISNUMBER($L363),ISNUMBER($Q363)),IF(OR($Q363&lt;MIN($K363,$L363),$Q363&gt;MAX($K363,$L363)),1,0),0)</f>
        <v>0</v>
      </c>
      <c r="AD363" s="103" t="n">
        <f aca="false">IF(AND(ISNUMBER($T363),$P363="高"),IF($T363=3,1,0),0)</f>
        <v>0</v>
      </c>
      <c r="AE363" s="103" t="n">
        <f aca="false">IF(AND($S363="不存在",$B363="切片一"),1,0)</f>
        <v>0</v>
      </c>
    </row>
    <row r="364" customFormat="false" ht="15" hidden="false" customHeight="false" outlineLevel="0" collapsed="false">
      <c r="A364" s="53" t="s">
        <v>3113</v>
      </c>
      <c r="B364" s="52" t="s">
        <v>2297</v>
      </c>
      <c r="C364" s="53" t="s">
        <v>2995</v>
      </c>
      <c r="D364" s="53" t="s">
        <v>3114</v>
      </c>
      <c r="E364" s="6" t="s">
        <v>233</v>
      </c>
      <c r="F364" s="52" t="s">
        <v>2337</v>
      </c>
      <c r="G364" s="52" t="s">
        <v>2299</v>
      </c>
      <c r="H364" s="53" t="s">
        <v>3115</v>
      </c>
      <c r="I364" s="5" t="s">
        <v>2339</v>
      </c>
      <c r="J364" s="53" t="s">
        <v>554</v>
      </c>
      <c r="K364" s="52"/>
      <c r="L364" s="52"/>
      <c r="M364" s="53" t="s">
        <v>554</v>
      </c>
      <c r="N364" s="5" t="s">
        <v>2340</v>
      </c>
      <c r="O364" s="6" t="s">
        <v>554</v>
      </c>
      <c r="P364" s="52" t="s">
        <v>2307</v>
      </c>
      <c r="Q364" s="54" t="n">
        <f aca="false">Calib!C103</f>
        <v>7168</v>
      </c>
      <c r="R364" s="83" t="n">
        <f aca="false">SRC_MOD_023</f>
        <v>7168</v>
      </c>
      <c r="S364" s="83" t="str">
        <f aca="false">IF(OR($H364="—",$H364=""),"—",IF(ISNUMBER(MATCH($H364,SRC_HW!$A$5:$A$400,0)),INDEX(SRC_HW!$O$5:$O$400,MATCH($H364,SRC_HW!$A$5:$A$400,0)),IF(ISNUMBER(MATCH($H364,SRC_DC!$A$5:$A$400,0)),INDEX(SRC_DC!$O$5:$O$400,MATCH($H364,SRC_DC!$A$5:$A$400,0)),IF(ISNUMBER(MATCH($H364,SRC_Model!$A$5:$A$400,0)),INDEX(SRC_Model!$O$5:$O$400,MATCH($H364,SRC_Model!$A$5:$A$400,0)),IF(ISNUMBER(MATCH($H364,SRC_Perf!$A$5:$A$400,0)),INDEX(SRC_Perf!$O$5:$O$400,MATCH($H364,SRC_Perf!$A$5:$A$400,0)),"不存在")))))</f>
        <v>Active</v>
      </c>
      <c r="T364" s="83" t="n">
        <f aca="false">IF(OR($H364="—",$H364=""),"—",IF(ISNUMBER(MATCH($H364,SRC_HW!$A$5:$A$400,0)),INDEX(SRC_HW!$K$5:$K$400,MATCH($H364,SRC_HW!$A$5:$A$400,0)),IF(ISNUMBER(MATCH($H364,SRC_DC!$A$5:$A$400,0)),INDEX(SRC_DC!$K$5:$K$400,MATCH($H364,SRC_DC!$A$5:$A$400,0)),IF(ISNUMBER(MATCH($H364,SRC_Model!$A$5:$A$400,0)),INDEX(SRC_Model!$K$5:$K$400,MATCH($H364,SRC_Model!$A$5:$A$400,0)),IF(ISNUMBER(MATCH($H364,SRC_Perf!$A$5:$A$400,0)),INDEX(SRC_Perf!$K$5:$K$400,MATCH($H364,SRC_Perf!$A$5:$A$400,0)),"不存在")))))</f>
        <v>3</v>
      </c>
      <c r="U364" s="52" t="s">
        <v>2341</v>
      </c>
      <c r="V364" s="103" t="n">
        <f aca="false">IF(AND($F364="原始數據",$U364&lt;&gt;"連結 SRC"),1,0)</f>
        <v>0</v>
      </c>
      <c r="W364" s="103" t="n">
        <f aca="false">IF(AND($F364="Analogy",OR($H364="—",$H364="")),1,0)</f>
        <v>0</v>
      </c>
      <c r="X364" s="103" t="n">
        <f aca="false">IF(AND(OR($F364="Analogy",$F364="Assumed"),$G364&lt;&gt;"低",$G364&lt;&gt;"高",NOT(ISNUMBER($K364)),NOT(ISNUMBER($L364)),OR($M364="—",$M364="")),1,0)</f>
        <v>0</v>
      </c>
      <c r="Y364" s="103" t="n">
        <f aca="false">IF(AND(OR($F364="Analogy",$F364="Assumed",$F364="Derived（待改公式）",$F364="Derived（公式）"),OR($N364="—",$N364="",$N364=0)),1,0)</f>
        <v>0</v>
      </c>
      <c r="Z364" s="103" t="n">
        <f aca="false">IF(AND($F364="Decision",OR($J364="—",$J364="")),1,0)</f>
        <v>0</v>
      </c>
      <c r="AA364" s="84" t="n">
        <f aca="false">IF(OR($J364="—",$J364=""),0,IF(COUNTIF(Decisions!$A$5:$A$300,$J364)=0,1,0))</f>
        <v>0</v>
      </c>
      <c r="AB364" s="103" t="n">
        <f aca="false">IF(AND($F364="原始數據",$S364&lt;&gt;"Active"),1,0)</f>
        <v>0</v>
      </c>
      <c r="AC364" s="103" t="n">
        <f aca="false">IF(AND(ISNUMBER($K364),ISNUMBER($L364),ISNUMBER($Q364)),IF(OR($Q364&lt;MIN($K364,$L364),$Q364&gt;MAX($K364,$L364)),1,0),0)</f>
        <v>0</v>
      </c>
      <c r="AD364" s="103" t="n">
        <f aca="false">IF(AND(ISNUMBER($T364),$P364="高"),IF($T364=3,1,0),0)</f>
        <v>0</v>
      </c>
      <c r="AE364" s="103" t="n">
        <f aca="false">IF(AND($S364="不存在",$B364="切片一"),1,0)</f>
        <v>0</v>
      </c>
    </row>
    <row r="365" customFormat="false" ht="15" hidden="false" customHeight="false" outlineLevel="0" collapsed="false">
      <c r="A365" s="53" t="s">
        <v>3116</v>
      </c>
      <c r="B365" s="52" t="s">
        <v>2297</v>
      </c>
      <c r="C365" s="53" t="s">
        <v>2995</v>
      </c>
      <c r="D365" s="53" t="s">
        <v>3117</v>
      </c>
      <c r="E365" s="6" t="s">
        <v>241</v>
      </c>
      <c r="F365" s="52" t="s">
        <v>2337</v>
      </c>
      <c r="G365" s="52" t="s">
        <v>2299</v>
      </c>
      <c r="H365" s="53" t="s">
        <v>3118</v>
      </c>
      <c r="I365" s="5" t="s">
        <v>2339</v>
      </c>
      <c r="J365" s="53" t="s">
        <v>554</v>
      </c>
      <c r="K365" s="52"/>
      <c r="L365" s="52"/>
      <c r="M365" s="53" t="s">
        <v>554</v>
      </c>
      <c r="N365" s="5" t="s">
        <v>2340</v>
      </c>
      <c r="O365" s="6" t="s">
        <v>554</v>
      </c>
      <c r="P365" s="52" t="s">
        <v>2307</v>
      </c>
      <c r="Q365" s="54" t="n">
        <f aca="false">Calib!C104</f>
        <v>256</v>
      </c>
      <c r="R365" s="83" t="n">
        <f aca="false">SRC_MOD_024</f>
        <v>256</v>
      </c>
      <c r="S365" s="83" t="str">
        <f aca="false">IF(OR($H365="—",$H365=""),"—",IF(ISNUMBER(MATCH($H365,SRC_HW!$A$5:$A$400,0)),INDEX(SRC_HW!$O$5:$O$400,MATCH($H365,SRC_HW!$A$5:$A$400,0)),IF(ISNUMBER(MATCH($H365,SRC_DC!$A$5:$A$400,0)),INDEX(SRC_DC!$O$5:$O$400,MATCH($H365,SRC_DC!$A$5:$A$400,0)),IF(ISNUMBER(MATCH($H365,SRC_Model!$A$5:$A$400,0)),INDEX(SRC_Model!$O$5:$O$400,MATCH($H365,SRC_Model!$A$5:$A$400,0)),IF(ISNUMBER(MATCH($H365,SRC_Perf!$A$5:$A$400,0)),INDEX(SRC_Perf!$O$5:$O$400,MATCH($H365,SRC_Perf!$A$5:$A$400,0)),"不存在")))))</f>
        <v>Active</v>
      </c>
      <c r="T365" s="83" t="n">
        <f aca="false">IF(OR($H365="—",$H365=""),"—",IF(ISNUMBER(MATCH($H365,SRC_HW!$A$5:$A$400,0)),INDEX(SRC_HW!$K$5:$K$400,MATCH($H365,SRC_HW!$A$5:$A$400,0)),IF(ISNUMBER(MATCH($H365,SRC_DC!$A$5:$A$400,0)),INDEX(SRC_DC!$K$5:$K$400,MATCH($H365,SRC_DC!$A$5:$A$400,0)),IF(ISNUMBER(MATCH($H365,SRC_Model!$A$5:$A$400,0)),INDEX(SRC_Model!$K$5:$K$400,MATCH($H365,SRC_Model!$A$5:$A$400,0)),IF(ISNUMBER(MATCH($H365,SRC_Perf!$A$5:$A$400,0)),INDEX(SRC_Perf!$K$5:$K$400,MATCH($H365,SRC_Perf!$A$5:$A$400,0)),"不存在")))))</f>
        <v>3</v>
      </c>
      <c r="U365" s="52" t="s">
        <v>2341</v>
      </c>
      <c r="V365" s="103" t="n">
        <f aca="false">IF(AND($F365="原始數據",$U365&lt;&gt;"連結 SRC"),1,0)</f>
        <v>0</v>
      </c>
      <c r="W365" s="103" t="n">
        <f aca="false">IF(AND($F365="Analogy",OR($H365="—",$H365="")),1,0)</f>
        <v>0</v>
      </c>
      <c r="X365" s="103" t="n">
        <f aca="false">IF(AND(OR($F365="Analogy",$F365="Assumed"),$G365&lt;&gt;"低",$G365&lt;&gt;"高",NOT(ISNUMBER($K365)),NOT(ISNUMBER($L365)),OR($M365="—",$M365="")),1,0)</f>
        <v>0</v>
      </c>
      <c r="Y365" s="103" t="n">
        <f aca="false">IF(AND(OR($F365="Analogy",$F365="Assumed",$F365="Derived（待改公式）",$F365="Derived（公式）"),OR($N365="—",$N365="",$N365=0)),1,0)</f>
        <v>0</v>
      </c>
      <c r="Z365" s="103" t="n">
        <f aca="false">IF(AND($F365="Decision",OR($J365="—",$J365="")),1,0)</f>
        <v>0</v>
      </c>
      <c r="AA365" s="84" t="n">
        <f aca="false">IF(OR($J365="—",$J365=""),0,IF(COUNTIF(Decisions!$A$5:$A$300,$J365)=0,1,0))</f>
        <v>0</v>
      </c>
      <c r="AB365" s="103" t="n">
        <f aca="false">IF(AND($F365="原始數據",$S365&lt;&gt;"Active"),1,0)</f>
        <v>0</v>
      </c>
      <c r="AC365" s="103" t="n">
        <f aca="false">IF(AND(ISNUMBER($K365),ISNUMBER($L365),ISNUMBER($Q365)),IF(OR($Q365&lt;MIN($K365,$L365),$Q365&gt;MAX($K365,$L365)),1,0),0)</f>
        <v>0</v>
      </c>
      <c r="AD365" s="103" t="n">
        <f aca="false">IF(AND(ISNUMBER($T365),$P365="高"),IF($T365=3,1,0),0)</f>
        <v>0</v>
      </c>
      <c r="AE365" s="103" t="n">
        <f aca="false">IF(AND($S365="不存在",$B365="切片一"),1,0)</f>
        <v>0</v>
      </c>
    </row>
    <row r="366" customFormat="false" ht="15" hidden="false" customHeight="false" outlineLevel="0" collapsed="false">
      <c r="A366" s="53" t="s">
        <v>3119</v>
      </c>
      <c r="B366" s="52" t="s">
        <v>2297</v>
      </c>
      <c r="C366" s="53" t="s">
        <v>2995</v>
      </c>
      <c r="D366" s="53" t="s">
        <v>3120</v>
      </c>
      <c r="E366" s="5" t="s">
        <v>496</v>
      </c>
      <c r="F366" s="52" t="s">
        <v>2337</v>
      </c>
      <c r="G366" s="52" t="s">
        <v>2299</v>
      </c>
      <c r="H366" s="53" t="s">
        <v>3121</v>
      </c>
      <c r="I366" s="5" t="s">
        <v>2339</v>
      </c>
      <c r="J366" s="53" t="s">
        <v>554</v>
      </c>
      <c r="K366" s="52"/>
      <c r="L366" s="52"/>
      <c r="M366" s="53" t="s">
        <v>554</v>
      </c>
      <c r="N366" s="5" t="s">
        <v>2340</v>
      </c>
      <c r="O366" s="6" t="s">
        <v>554</v>
      </c>
      <c r="P366" s="52" t="s">
        <v>2307</v>
      </c>
      <c r="Q366" s="54" t="n">
        <f aca="false">Calib!C105</f>
        <v>8</v>
      </c>
      <c r="R366" s="83" t="n">
        <f aca="false">SRC_MOD_025</f>
        <v>8</v>
      </c>
      <c r="S366" s="83" t="str">
        <f aca="false">IF(OR($H366="—",$H366=""),"—",IF(ISNUMBER(MATCH($H366,SRC_HW!$A$5:$A$400,0)),INDEX(SRC_HW!$O$5:$O$400,MATCH($H366,SRC_HW!$A$5:$A$400,0)),IF(ISNUMBER(MATCH($H366,SRC_DC!$A$5:$A$400,0)),INDEX(SRC_DC!$O$5:$O$400,MATCH($H366,SRC_DC!$A$5:$A$400,0)),IF(ISNUMBER(MATCH($H366,SRC_Model!$A$5:$A$400,0)),INDEX(SRC_Model!$O$5:$O$400,MATCH($H366,SRC_Model!$A$5:$A$400,0)),IF(ISNUMBER(MATCH($H366,SRC_Perf!$A$5:$A$400,0)),INDEX(SRC_Perf!$O$5:$O$400,MATCH($H366,SRC_Perf!$A$5:$A$400,0)),"不存在")))))</f>
        <v>Active</v>
      </c>
      <c r="T366" s="83" t="n">
        <f aca="false">IF(OR($H366="—",$H366=""),"—",IF(ISNUMBER(MATCH($H366,SRC_HW!$A$5:$A$400,0)),INDEX(SRC_HW!$K$5:$K$400,MATCH($H366,SRC_HW!$A$5:$A$400,0)),IF(ISNUMBER(MATCH($H366,SRC_DC!$A$5:$A$400,0)),INDEX(SRC_DC!$K$5:$K$400,MATCH($H366,SRC_DC!$A$5:$A$400,0)),IF(ISNUMBER(MATCH($H366,SRC_Model!$A$5:$A$400,0)),INDEX(SRC_Model!$K$5:$K$400,MATCH($H366,SRC_Model!$A$5:$A$400,0)),IF(ISNUMBER(MATCH($H366,SRC_Perf!$A$5:$A$400,0)),INDEX(SRC_Perf!$K$5:$K$400,MATCH($H366,SRC_Perf!$A$5:$A$400,0)),"不存在")))))</f>
        <v>3</v>
      </c>
      <c r="U366" s="52" t="s">
        <v>2341</v>
      </c>
      <c r="V366" s="103" t="n">
        <f aca="false">IF(AND($F366="原始數據",$U366&lt;&gt;"連結 SRC"),1,0)</f>
        <v>0</v>
      </c>
      <c r="W366" s="103" t="n">
        <f aca="false">IF(AND($F366="Analogy",OR($H366="—",$H366="")),1,0)</f>
        <v>0</v>
      </c>
      <c r="X366" s="103" t="n">
        <f aca="false">IF(AND(OR($F366="Analogy",$F366="Assumed"),$G366&lt;&gt;"低",$G366&lt;&gt;"高",NOT(ISNUMBER($K366)),NOT(ISNUMBER($L366)),OR($M366="—",$M366="")),1,0)</f>
        <v>0</v>
      </c>
      <c r="Y366" s="103" t="n">
        <f aca="false">IF(AND(OR($F366="Analogy",$F366="Assumed",$F366="Derived（待改公式）",$F366="Derived（公式）"),OR($N366="—",$N366="",$N366=0)),1,0)</f>
        <v>0</v>
      </c>
      <c r="Z366" s="103" t="n">
        <f aca="false">IF(AND($F366="Decision",OR($J366="—",$J366="")),1,0)</f>
        <v>0</v>
      </c>
      <c r="AA366" s="84" t="n">
        <f aca="false">IF(OR($J366="—",$J366=""),0,IF(COUNTIF(Decisions!$A$5:$A$300,$J366)=0,1,0))</f>
        <v>0</v>
      </c>
      <c r="AB366" s="103" t="n">
        <f aca="false">IF(AND($F366="原始數據",$S366&lt;&gt;"Active"),1,0)</f>
        <v>0</v>
      </c>
      <c r="AC366" s="103" t="n">
        <f aca="false">IF(AND(ISNUMBER($K366),ISNUMBER($L366),ISNUMBER($Q366)),IF(OR($Q366&lt;MIN($K366,$L366),$Q366&gt;MAX($K366,$L366)),1,0),0)</f>
        <v>0</v>
      </c>
      <c r="AD366" s="103" t="n">
        <f aca="false">IF(AND(ISNUMBER($T366),$P366="高"),IF($T366=3,1,0),0)</f>
        <v>0</v>
      </c>
      <c r="AE366" s="103" t="n">
        <f aca="false">IF(AND($S366="不存在",$B366="切片一"),1,0)</f>
        <v>0</v>
      </c>
    </row>
    <row r="367" customFormat="false" ht="15" hidden="false" customHeight="false" outlineLevel="0" collapsed="false">
      <c r="A367" s="53" t="s">
        <v>3122</v>
      </c>
      <c r="B367" s="52" t="s">
        <v>2297</v>
      </c>
      <c r="C367" s="53" t="s">
        <v>2995</v>
      </c>
      <c r="D367" s="53" t="s">
        <v>3123</v>
      </c>
      <c r="E367" s="6" t="s">
        <v>243</v>
      </c>
      <c r="F367" s="52" t="s">
        <v>2337</v>
      </c>
      <c r="G367" s="52" t="s">
        <v>2299</v>
      </c>
      <c r="H367" s="53" t="s">
        <v>3124</v>
      </c>
      <c r="I367" s="5" t="s">
        <v>2339</v>
      </c>
      <c r="J367" s="53" t="s">
        <v>554</v>
      </c>
      <c r="K367" s="52"/>
      <c r="L367" s="52"/>
      <c r="M367" s="53" t="s">
        <v>554</v>
      </c>
      <c r="N367" s="5" t="s">
        <v>2340</v>
      </c>
      <c r="O367" s="6" t="s">
        <v>554</v>
      </c>
      <c r="P367" s="52" t="s">
        <v>2307</v>
      </c>
      <c r="Q367" s="54" t="n">
        <f aca="false">Calib!C106</f>
        <v>1</v>
      </c>
      <c r="R367" s="83" t="n">
        <f aca="false">SRC_MOD_026</f>
        <v>1</v>
      </c>
      <c r="S367" s="83" t="str">
        <f aca="false">IF(OR($H367="—",$H367=""),"—",IF(ISNUMBER(MATCH($H367,SRC_HW!$A$5:$A$400,0)),INDEX(SRC_HW!$O$5:$O$400,MATCH($H367,SRC_HW!$A$5:$A$400,0)),IF(ISNUMBER(MATCH($H367,SRC_DC!$A$5:$A$400,0)),INDEX(SRC_DC!$O$5:$O$400,MATCH($H367,SRC_DC!$A$5:$A$400,0)),IF(ISNUMBER(MATCH($H367,SRC_Model!$A$5:$A$400,0)),INDEX(SRC_Model!$O$5:$O$400,MATCH($H367,SRC_Model!$A$5:$A$400,0)),IF(ISNUMBER(MATCH($H367,SRC_Perf!$A$5:$A$400,0)),INDEX(SRC_Perf!$O$5:$O$400,MATCH($H367,SRC_Perf!$A$5:$A$400,0)),"不存在")))))</f>
        <v>Active</v>
      </c>
      <c r="T367" s="83" t="n">
        <f aca="false">IF(OR($H367="—",$H367=""),"—",IF(ISNUMBER(MATCH($H367,SRC_HW!$A$5:$A$400,0)),INDEX(SRC_HW!$K$5:$K$400,MATCH($H367,SRC_HW!$A$5:$A$400,0)),IF(ISNUMBER(MATCH($H367,SRC_DC!$A$5:$A$400,0)),INDEX(SRC_DC!$K$5:$K$400,MATCH($H367,SRC_DC!$A$5:$A$400,0)),IF(ISNUMBER(MATCH($H367,SRC_Model!$A$5:$A$400,0)),INDEX(SRC_Model!$K$5:$K$400,MATCH($H367,SRC_Model!$A$5:$A$400,0)),IF(ISNUMBER(MATCH($H367,SRC_Perf!$A$5:$A$400,0)),INDEX(SRC_Perf!$K$5:$K$400,MATCH($H367,SRC_Perf!$A$5:$A$400,0)),"不存在")))))</f>
        <v>3</v>
      </c>
      <c r="U367" s="52" t="s">
        <v>2341</v>
      </c>
      <c r="V367" s="103" t="n">
        <f aca="false">IF(AND($F367="原始數據",$U367&lt;&gt;"連結 SRC"),1,0)</f>
        <v>0</v>
      </c>
      <c r="W367" s="103" t="n">
        <f aca="false">IF(AND($F367="Analogy",OR($H367="—",$H367="")),1,0)</f>
        <v>0</v>
      </c>
      <c r="X367" s="103" t="n">
        <f aca="false">IF(AND(OR($F367="Analogy",$F367="Assumed"),$G367&lt;&gt;"低",$G367&lt;&gt;"高",NOT(ISNUMBER($K367)),NOT(ISNUMBER($L367)),OR($M367="—",$M367="")),1,0)</f>
        <v>0</v>
      </c>
      <c r="Y367" s="103" t="n">
        <f aca="false">IF(AND(OR($F367="Analogy",$F367="Assumed",$F367="Derived（待改公式）",$F367="Derived（公式）"),OR($N367="—",$N367="",$N367=0)),1,0)</f>
        <v>0</v>
      </c>
      <c r="Z367" s="103" t="n">
        <f aca="false">IF(AND($F367="Decision",OR($J367="—",$J367="")),1,0)</f>
        <v>0</v>
      </c>
      <c r="AA367" s="84" t="n">
        <f aca="false">IF(OR($J367="—",$J367=""),0,IF(COUNTIF(Decisions!$A$5:$A$300,$J367)=0,1,0))</f>
        <v>0</v>
      </c>
      <c r="AB367" s="103" t="n">
        <f aca="false">IF(AND($F367="原始數據",$S367&lt;&gt;"Active"),1,0)</f>
        <v>0</v>
      </c>
      <c r="AC367" s="103" t="n">
        <f aca="false">IF(AND(ISNUMBER($K367),ISNUMBER($L367),ISNUMBER($Q367)),IF(OR($Q367&lt;MIN($K367,$L367),$Q367&gt;MAX($K367,$L367)),1,0),0)</f>
        <v>0</v>
      </c>
      <c r="AD367" s="103" t="n">
        <f aca="false">IF(AND(ISNUMBER($T367),$P367="高"),IF($T367=3,1,0),0)</f>
        <v>0</v>
      </c>
      <c r="AE367" s="103" t="n">
        <f aca="false">IF(AND($S367="不存在",$B367="切片一"),1,0)</f>
        <v>0</v>
      </c>
    </row>
    <row r="368" customFormat="false" ht="15" hidden="false" customHeight="false" outlineLevel="0" collapsed="false">
      <c r="A368" s="53" t="s">
        <v>3125</v>
      </c>
      <c r="B368" s="52" t="s">
        <v>2297</v>
      </c>
      <c r="C368" s="53" t="s">
        <v>2995</v>
      </c>
      <c r="D368" s="53" t="s">
        <v>3126</v>
      </c>
      <c r="E368" s="6" t="s">
        <v>244</v>
      </c>
      <c r="F368" s="52" t="s">
        <v>2337</v>
      </c>
      <c r="G368" s="52" t="s">
        <v>2299</v>
      </c>
      <c r="H368" s="53" t="s">
        <v>3127</v>
      </c>
      <c r="I368" s="5" t="s">
        <v>2339</v>
      </c>
      <c r="J368" s="53" t="s">
        <v>554</v>
      </c>
      <c r="K368" s="52"/>
      <c r="L368" s="52"/>
      <c r="M368" s="53" t="s">
        <v>554</v>
      </c>
      <c r="N368" s="5" t="s">
        <v>2340</v>
      </c>
      <c r="O368" s="6" t="s">
        <v>554</v>
      </c>
      <c r="P368" s="52" t="s">
        <v>2307</v>
      </c>
      <c r="Q368" s="54" t="n">
        <f aca="false">Calib!C107</f>
        <v>129280</v>
      </c>
      <c r="R368" s="83" t="n">
        <f aca="false">SRC_MOD_027</f>
        <v>129280</v>
      </c>
      <c r="S368" s="83" t="str">
        <f aca="false">IF(OR($H368="—",$H368=""),"—",IF(ISNUMBER(MATCH($H368,SRC_HW!$A$5:$A$400,0)),INDEX(SRC_HW!$O$5:$O$400,MATCH($H368,SRC_HW!$A$5:$A$400,0)),IF(ISNUMBER(MATCH($H368,SRC_DC!$A$5:$A$400,0)),INDEX(SRC_DC!$O$5:$O$400,MATCH($H368,SRC_DC!$A$5:$A$400,0)),IF(ISNUMBER(MATCH($H368,SRC_Model!$A$5:$A$400,0)),INDEX(SRC_Model!$O$5:$O$400,MATCH($H368,SRC_Model!$A$5:$A$400,0)),IF(ISNUMBER(MATCH($H368,SRC_Perf!$A$5:$A$400,0)),INDEX(SRC_Perf!$O$5:$O$400,MATCH($H368,SRC_Perf!$A$5:$A$400,0)),"不存在")))))</f>
        <v>Active</v>
      </c>
      <c r="T368" s="83" t="n">
        <f aca="false">IF(OR($H368="—",$H368=""),"—",IF(ISNUMBER(MATCH($H368,SRC_HW!$A$5:$A$400,0)),INDEX(SRC_HW!$K$5:$K$400,MATCH($H368,SRC_HW!$A$5:$A$400,0)),IF(ISNUMBER(MATCH($H368,SRC_DC!$A$5:$A$400,0)),INDEX(SRC_DC!$K$5:$K$400,MATCH($H368,SRC_DC!$A$5:$A$400,0)),IF(ISNUMBER(MATCH($H368,SRC_Model!$A$5:$A$400,0)),INDEX(SRC_Model!$K$5:$K$400,MATCH($H368,SRC_Model!$A$5:$A$400,0)),IF(ISNUMBER(MATCH($H368,SRC_Perf!$A$5:$A$400,0)),INDEX(SRC_Perf!$K$5:$K$400,MATCH($H368,SRC_Perf!$A$5:$A$400,0)),"不存在")))))</f>
        <v>3</v>
      </c>
      <c r="U368" s="52" t="s">
        <v>2341</v>
      </c>
      <c r="V368" s="103" t="n">
        <f aca="false">IF(AND($F368="原始數據",$U368&lt;&gt;"連結 SRC"),1,0)</f>
        <v>0</v>
      </c>
      <c r="W368" s="103" t="n">
        <f aca="false">IF(AND($F368="Analogy",OR($H368="—",$H368="")),1,0)</f>
        <v>0</v>
      </c>
      <c r="X368" s="103" t="n">
        <f aca="false">IF(AND(OR($F368="Analogy",$F368="Assumed"),$G368&lt;&gt;"低",$G368&lt;&gt;"高",NOT(ISNUMBER($K368)),NOT(ISNUMBER($L368)),OR($M368="—",$M368="")),1,0)</f>
        <v>0</v>
      </c>
      <c r="Y368" s="103" t="n">
        <f aca="false">IF(AND(OR($F368="Analogy",$F368="Assumed",$F368="Derived（待改公式）",$F368="Derived（公式）"),OR($N368="—",$N368="",$N368=0)),1,0)</f>
        <v>0</v>
      </c>
      <c r="Z368" s="103" t="n">
        <f aca="false">IF(AND($F368="Decision",OR($J368="—",$J368="")),1,0)</f>
        <v>0</v>
      </c>
      <c r="AA368" s="84" t="n">
        <f aca="false">IF(OR($J368="—",$J368=""),0,IF(COUNTIF(Decisions!$A$5:$A$300,$J368)=0,1,0))</f>
        <v>0</v>
      </c>
      <c r="AB368" s="103" t="n">
        <f aca="false">IF(AND($F368="原始數據",$S368&lt;&gt;"Active"),1,0)</f>
        <v>0</v>
      </c>
      <c r="AC368" s="103" t="n">
        <f aca="false">IF(AND(ISNUMBER($K368),ISNUMBER($L368),ISNUMBER($Q368)),IF(OR($Q368&lt;MIN($K368,$L368),$Q368&gt;MAX($K368,$L368)),1,0),0)</f>
        <v>0</v>
      </c>
      <c r="AD368" s="103" t="n">
        <f aca="false">IF(AND(ISNUMBER($T368),$P368="高"),IF($T368=3,1,0),0)</f>
        <v>0</v>
      </c>
      <c r="AE368" s="103" t="n">
        <f aca="false">IF(AND($S368="不存在",$B368="切片一"),1,0)</f>
        <v>0</v>
      </c>
    </row>
    <row r="369" customFormat="false" ht="29.85" hidden="false" customHeight="false" outlineLevel="0" collapsed="false">
      <c r="A369" s="53" t="s">
        <v>3128</v>
      </c>
      <c r="B369" s="52" t="s">
        <v>2297</v>
      </c>
      <c r="C369" s="53" t="s">
        <v>2995</v>
      </c>
      <c r="D369" s="53" t="s">
        <v>3129</v>
      </c>
      <c r="E369" s="6" t="s">
        <v>497</v>
      </c>
      <c r="F369" s="52" t="s">
        <v>2337</v>
      </c>
      <c r="G369" s="52" t="s">
        <v>2299</v>
      </c>
      <c r="H369" s="53" t="s">
        <v>3130</v>
      </c>
      <c r="I369" s="5" t="s">
        <v>2627</v>
      </c>
      <c r="J369" s="53" t="s">
        <v>554</v>
      </c>
      <c r="K369" s="52"/>
      <c r="L369" s="52"/>
      <c r="M369" s="53" t="s">
        <v>554</v>
      </c>
      <c r="N369" s="5" t="s">
        <v>2340</v>
      </c>
      <c r="O369" s="6" t="s">
        <v>554</v>
      </c>
      <c r="P369" s="52" t="s">
        <v>2307</v>
      </c>
      <c r="Q369" s="54" t="n">
        <f aca="false">Calib!C108</f>
        <v>35136</v>
      </c>
      <c r="R369" s="83" t="n">
        <f aca="false">SRC_MOD_028</f>
        <v>576</v>
      </c>
      <c r="S369" s="83" t="str">
        <f aca="false">IF(OR($H369="—",$H369=""),"—",IF(ISNUMBER(MATCH($H369,SRC_HW!$A$5:$A$400,0)),INDEX(SRC_HW!$O$5:$O$400,MATCH($H369,SRC_HW!$A$5:$A$400,0)),IF(ISNUMBER(MATCH($H369,SRC_DC!$A$5:$A$400,0)),INDEX(SRC_DC!$O$5:$O$400,MATCH($H369,SRC_DC!$A$5:$A$400,0)),IF(ISNUMBER(MATCH($H369,SRC_Model!$A$5:$A$400,0)),INDEX(SRC_Model!$O$5:$O$400,MATCH($H369,SRC_Model!$A$5:$A$400,0)),IF(ISNUMBER(MATCH($H369,SRC_Perf!$A$5:$A$400,0)),INDEX(SRC_Perf!$O$5:$O$400,MATCH($H369,SRC_Perf!$A$5:$A$400,0)),"不存在")))))</f>
        <v>Active</v>
      </c>
      <c r="T369" s="83" t="n">
        <f aca="false">IF(OR($H369="—",$H369=""),"—",IF(ISNUMBER(MATCH($H369,SRC_HW!$A$5:$A$400,0)),INDEX(SRC_HW!$K$5:$K$400,MATCH($H369,SRC_HW!$A$5:$A$400,0)),IF(ISNUMBER(MATCH($H369,SRC_DC!$A$5:$A$400,0)),INDEX(SRC_DC!$K$5:$K$400,MATCH($H369,SRC_DC!$A$5:$A$400,0)),IF(ISNUMBER(MATCH($H369,SRC_Model!$A$5:$A$400,0)),INDEX(SRC_Model!$K$5:$K$400,MATCH($H369,SRC_Model!$A$5:$A$400,0)),IF(ISNUMBER(MATCH($H369,SRC_Perf!$A$5:$A$400,0)),INDEX(SRC_Perf!$K$5:$K$400,MATCH($H369,SRC_Perf!$A$5:$A$400,0)),"不存在")))))</f>
        <v>3</v>
      </c>
      <c r="U369" s="52" t="s">
        <v>2341</v>
      </c>
      <c r="V369" s="103" t="n">
        <f aca="false">IF(AND($F369="原始數據",$U369&lt;&gt;"連結 SRC"),1,0)</f>
        <v>0</v>
      </c>
      <c r="W369" s="103" t="n">
        <f aca="false">IF(AND($F369="Analogy",OR($H369="—",$H369="")),1,0)</f>
        <v>0</v>
      </c>
      <c r="X369" s="103" t="n">
        <f aca="false">IF(AND(OR($F369="Analogy",$F369="Assumed"),$G369&lt;&gt;"低",$G369&lt;&gt;"高",NOT(ISNUMBER($K369)),NOT(ISNUMBER($L369)),OR($M369="—",$M369="")),1,0)</f>
        <v>0</v>
      </c>
      <c r="Y369" s="103" t="n">
        <f aca="false">IF(AND(OR($F369="Analogy",$F369="Assumed",$F369="Derived（待改公式）",$F369="Derived（公式）"),OR($N369="—",$N369="",$N369=0)),1,0)</f>
        <v>0</v>
      </c>
      <c r="Z369" s="103" t="n">
        <f aca="false">IF(AND($F369="Decision",OR($J369="—",$J369="")),1,0)</f>
        <v>0</v>
      </c>
      <c r="AA369" s="84" t="n">
        <f aca="false">IF(OR($J369="—",$J369=""),0,IF(COUNTIF(Decisions!$A$5:$A$300,$J369)=0,1,0))</f>
        <v>0</v>
      </c>
      <c r="AB369" s="103" t="n">
        <f aca="false">IF(AND($F369="原始數據",$S369&lt;&gt;"Active"),1,0)</f>
        <v>0</v>
      </c>
      <c r="AC369" s="103" t="n">
        <f aca="false">IF(AND(ISNUMBER($K369),ISNUMBER($L369),ISNUMBER($Q369)),IF(OR($Q369&lt;MIN($K369,$L369),$Q369&gt;MAX($K369,$L369)),1,0),0)</f>
        <v>0</v>
      </c>
      <c r="AD369" s="103" t="n">
        <f aca="false">IF(AND(ISNUMBER($T369),$P369="高"),IF($T369=3,1,0),0)</f>
        <v>0</v>
      </c>
      <c r="AE369" s="103" t="n">
        <f aca="false">IF(AND($S369="不存在",$B369="切片一"),1,0)</f>
        <v>0</v>
      </c>
    </row>
    <row r="370" customFormat="false" ht="44" hidden="false" customHeight="false" outlineLevel="0" collapsed="false">
      <c r="A370" s="53" t="s">
        <v>3131</v>
      </c>
      <c r="B370" s="52" t="s">
        <v>2297</v>
      </c>
      <c r="C370" s="53" t="s">
        <v>2995</v>
      </c>
      <c r="D370" s="53" t="s">
        <v>3132</v>
      </c>
      <c r="E370" s="5" t="s">
        <v>498</v>
      </c>
      <c r="F370" s="52" t="s">
        <v>2337</v>
      </c>
      <c r="G370" s="52" t="s">
        <v>2299</v>
      </c>
      <c r="H370" s="53" t="s">
        <v>3133</v>
      </c>
      <c r="I370" s="5" t="s">
        <v>2627</v>
      </c>
      <c r="J370" s="53" t="s">
        <v>554</v>
      </c>
      <c r="K370" s="52"/>
      <c r="L370" s="52"/>
      <c r="M370" s="53" t="s">
        <v>554</v>
      </c>
      <c r="N370" s="5" t="s">
        <v>2340</v>
      </c>
      <c r="O370" s="6" t="s">
        <v>554</v>
      </c>
      <c r="P370" s="52" t="s">
        <v>2307</v>
      </c>
      <c r="Q370" s="54" t="n">
        <f aca="false">Calib!C109</f>
        <v>4997120</v>
      </c>
      <c r="R370" s="83" t="n">
        <f aca="false">SRC_MOD_049</f>
        <v>128</v>
      </c>
      <c r="S370" s="83" t="str">
        <f aca="false">IF(OR($H370="—",$H370=""),"—",IF(ISNUMBER(MATCH($H370,SRC_HW!$A$5:$A$400,0)),INDEX(SRC_HW!$O$5:$O$400,MATCH($H370,SRC_HW!$A$5:$A$400,0)),IF(ISNUMBER(MATCH($H370,SRC_DC!$A$5:$A$400,0)),INDEX(SRC_DC!$O$5:$O$400,MATCH($H370,SRC_DC!$A$5:$A$400,0)),IF(ISNUMBER(MATCH($H370,SRC_Model!$A$5:$A$400,0)),INDEX(SRC_Model!$O$5:$O$400,MATCH($H370,SRC_Model!$A$5:$A$400,0)),IF(ISNUMBER(MATCH($H370,SRC_Perf!$A$5:$A$400,0)),INDEX(SRC_Perf!$O$5:$O$400,MATCH($H370,SRC_Perf!$A$5:$A$400,0)),"不存在")))))</f>
        <v>Active</v>
      </c>
      <c r="T370" s="83" t="n">
        <f aca="false">IF(OR($H370="—",$H370=""),"—",IF(ISNUMBER(MATCH($H370,SRC_HW!$A$5:$A$400,0)),INDEX(SRC_HW!$K$5:$K$400,MATCH($H370,SRC_HW!$A$5:$A$400,0)),IF(ISNUMBER(MATCH($H370,SRC_DC!$A$5:$A$400,0)),INDEX(SRC_DC!$K$5:$K$400,MATCH($H370,SRC_DC!$A$5:$A$400,0)),IF(ISNUMBER(MATCH($H370,SRC_Model!$A$5:$A$400,0)),INDEX(SRC_Model!$K$5:$K$400,MATCH($H370,SRC_Model!$A$5:$A$400,0)),IF(ISNUMBER(MATCH($H370,SRC_Perf!$A$5:$A$400,0)),INDEX(SRC_Perf!$K$5:$K$400,MATCH($H370,SRC_Perf!$A$5:$A$400,0)),"不存在")))))</f>
        <v>3</v>
      </c>
      <c r="U370" s="52" t="s">
        <v>2341</v>
      </c>
      <c r="V370" s="103" t="n">
        <f aca="false">IF(AND($F370="原始數據",$U370&lt;&gt;"連結 SRC"),1,0)</f>
        <v>0</v>
      </c>
      <c r="W370" s="103" t="n">
        <f aca="false">IF(AND($F370="Analogy",OR($H370="—",$H370="")),1,0)</f>
        <v>0</v>
      </c>
      <c r="X370" s="103" t="n">
        <f aca="false">IF(AND(OR($F370="Analogy",$F370="Assumed"),$G370&lt;&gt;"低",$G370&lt;&gt;"高",NOT(ISNUMBER($K370)),NOT(ISNUMBER($L370)),OR($M370="—",$M370="")),1,0)</f>
        <v>0</v>
      </c>
      <c r="Y370" s="103" t="n">
        <f aca="false">IF(AND(OR($F370="Analogy",$F370="Assumed",$F370="Derived（待改公式）",$F370="Derived（公式）"),OR($N370="—",$N370="",$N370=0)),1,0)</f>
        <v>0</v>
      </c>
      <c r="Z370" s="103" t="n">
        <f aca="false">IF(AND($F370="Decision",OR($J370="—",$J370="")),1,0)</f>
        <v>0</v>
      </c>
      <c r="AA370" s="84" t="n">
        <f aca="false">IF(OR($J370="—",$J370=""),0,IF(COUNTIF(Decisions!$A$5:$A$300,$J370)=0,1,0))</f>
        <v>0</v>
      </c>
      <c r="AB370" s="103" t="n">
        <f aca="false">IF(AND($F370="原始數據",$S370&lt;&gt;"Active"),1,0)</f>
        <v>0</v>
      </c>
      <c r="AC370" s="103" t="n">
        <f aca="false">IF(AND(ISNUMBER($K370),ISNUMBER($L370),ISNUMBER($Q370)),IF(OR($Q370&lt;MIN($K370,$L370),$Q370&gt;MAX($K370,$L370)),1,0),0)</f>
        <v>0</v>
      </c>
      <c r="AD370" s="103" t="n">
        <f aca="false">IF(AND(ISNUMBER($T370),$P370="高"),IF($T370=3,1,0),0)</f>
        <v>0</v>
      </c>
      <c r="AE370" s="103" t="n">
        <f aca="false">IF(AND($S370="不存在",$B370="切片一"),1,0)</f>
        <v>0</v>
      </c>
    </row>
    <row r="371" customFormat="false" ht="29.85" hidden="false" customHeight="false" outlineLevel="0" collapsed="false">
      <c r="A371" s="53" t="s">
        <v>3134</v>
      </c>
      <c r="B371" s="52" t="s">
        <v>2297</v>
      </c>
      <c r="C371" s="53" t="s">
        <v>2995</v>
      </c>
      <c r="D371" s="53" t="s">
        <v>3135</v>
      </c>
      <c r="E371" s="5" t="s">
        <v>499</v>
      </c>
      <c r="F371" s="52" t="s">
        <v>2337</v>
      </c>
      <c r="G371" s="52" t="s">
        <v>2299</v>
      </c>
      <c r="H371" s="53" t="s">
        <v>3136</v>
      </c>
      <c r="I371" s="5" t="s">
        <v>2339</v>
      </c>
      <c r="J371" s="53" t="s">
        <v>554</v>
      </c>
      <c r="K371" s="52"/>
      <c r="L371" s="52"/>
      <c r="M371" s="53" t="s">
        <v>554</v>
      </c>
      <c r="N371" s="5" t="s">
        <v>2340</v>
      </c>
      <c r="O371" s="6" t="s">
        <v>554</v>
      </c>
      <c r="P371" s="52" t="s">
        <v>2307</v>
      </c>
      <c r="Q371" s="54" t="n">
        <f aca="false">Calib!C110</f>
        <v>800</v>
      </c>
      <c r="R371" s="83" t="n">
        <f aca="false">SRC_PERF_029</f>
        <v>800</v>
      </c>
      <c r="S371" s="83" t="str">
        <f aca="false">IF(OR($H371="—",$H371=""),"—",IF(ISNUMBER(MATCH($H371,SRC_HW!$A$5:$A$400,0)),INDEX(SRC_HW!$O$5:$O$400,MATCH($H371,SRC_HW!$A$5:$A$400,0)),IF(ISNUMBER(MATCH($H371,SRC_DC!$A$5:$A$400,0)),INDEX(SRC_DC!$O$5:$O$400,MATCH($H371,SRC_DC!$A$5:$A$400,0)),IF(ISNUMBER(MATCH($H371,SRC_Model!$A$5:$A$400,0)),INDEX(SRC_Model!$O$5:$O$400,MATCH($H371,SRC_Model!$A$5:$A$400,0)),IF(ISNUMBER(MATCH($H371,SRC_Perf!$A$5:$A$400,0)),INDEX(SRC_Perf!$O$5:$O$400,MATCH($H371,SRC_Perf!$A$5:$A$400,0)),"不存在")))))</f>
        <v>Active</v>
      </c>
      <c r="T371" s="83" t="n">
        <f aca="false">IF(OR($H371="—",$H371=""),"—",IF(ISNUMBER(MATCH($H371,SRC_HW!$A$5:$A$400,0)),INDEX(SRC_HW!$K$5:$K$400,MATCH($H371,SRC_HW!$A$5:$A$400,0)),IF(ISNUMBER(MATCH($H371,SRC_DC!$A$5:$A$400,0)),INDEX(SRC_DC!$K$5:$K$400,MATCH($H371,SRC_DC!$A$5:$A$400,0)),IF(ISNUMBER(MATCH($H371,SRC_Model!$A$5:$A$400,0)),INDEX(SRC_Model!$K$5:$K$400,MATCH($H371,SRC_Model!$A$5:$A$400,0)),IF(ISNUMBER(MATCH($H371,SRC_Perf!$A$5:$A$400,0)),INDEX(SRC_Perf!$K$5:$K$400,MATCH($H371,SRC_Perf!$A$5:$A$400,0)),"不存在")))))</f>
        <v>1</v>
      </c>
      <c r="U371" s="52" t="s">
        <v>2341</v>
      </c>
      <c r="V371" s="103" t="n">
        <f aca="false">IF(AND($F371="原始數據",$U371&lt;&gt;"連結 SRC"),1,0)</f>
        <v>0</v>
      </c>
      <c r="W371" s="103" t="n">
        <f aca="false">IF(AND($F371="Analogy",OR($H371="—",$H371="")),1,0)</f>
        <v>0</v>
      </c>
      <c r="X371" s="103" t="n">
        <f aca="false">IF(AND(OR($F371="Analogy",$F371="Assumed"),$G371&lt;&gt;"低",$G371&lt;&gt;"高",NOT(ISNUMBER($K371)),NOT(ISNUMBER($L371)),OR($M371="—",$M371="")),1,0)</f>
        <v>0</v>
      </c>
      <c r="Y371" s="103" t="n">
        <f aca="false">IF(AND(OR($F371="Analogy",$F371="Assumed",$F371="Derived（待改公式）",$F371="Derived（公式）"),OR($N371="—",$N371="",$N371=0)),1,0)</f>
        <v>0</v>
      </c>
      <c r="Z371" s="103" t="n">
        <f aca="false">IF(AND($F371="Decision",OR($J371="—",$J371="")),1,0)</f>
        <v>0</v>
      </c>
      <c r="AA371" s="84" t="n">
        <f aca="false">IF(OR($J371="—",$J371=""),0,IF(COUNTIF(Decisions!$A$5:$A$300,$J371)=0,1,0))</f>
        <v>0</v>
      </c>
      <c r="AB371" s="103" t="n">
        <f aca="false">IF(AND($F371="原始數據",$S371&lt;&gt;"Active"),1,0)</f>
        <v>0</v>
      </c>
      <c r="AC371" s="103" t="n">
        <f aca="false">IF(AND(ISNUMBER($K371),ISNUMBER($L371),ISNUMBER($Q371)),IF(OR($Q371&lt;MIN($K371,$L371),$Q371&gt;MAX($K371,$L371)),1,0),0)</f>
        <v>0</v>
      </c>
      <c r="AD371" s="103" t="n">
        <f aca="false">IF(AND(ISNUMBER($T371),$P371="高"),IF($T371=3,1,0),0)</f>
        <v>0</v>
      </c>
      <c r="AE371" s="103" t="n">
        <f aca="false">IF(AND($S371="不存在",$B371="切片一"),1,0)</f>
        <v>0</v>
      </c>
    </row>
    <row r="372" customFormat="false" ht="15" hidden="false" customHeight="false" outlineLevel="0" collapsed="false">
      <c r="A372" s="53" t="s">
        <v>3137</v>
      </c>
      <c r="B372" s="52" t="s">
        <v>2297</v>
      </c>
      <c r="C372" s="53" t="s">
        <v>2995</v>
      </c>
      <c r="D372" s="53" t="s">
        <v>3138</v>
      </c>
      <c r="E372" s="5" t="s">
        <v>500</v>
      </c>
      <c r="F372" s="52" t="s">
        <v>2337</v>
      </c>
      <c r="G372" s="52" t="s">
        <v>2299</v>
      </c>
      <c r="H372" s="53" t="s">
        <v>3139</v>
      </c>
      <c r="I372" s="5" t="s">
        <v>2339</v>
      </c>
      <c r="J372" s="53" t="s">
        <v>554</v>
      </c>
      <c r="K372" s="52"/>
      <c r="L372" s="52"/>
      <c r="M372" s="53" t="s">
        <v>554</v>
      </c>
      <c r="N372" s="5" t="s">
        <v>2340</v>
      </c>
      <c r="O372" s="6" t="s">
        <v>554</v>
      </c>
      <c r="P372" s="52" t="s">
        <v>2307</v>
      </c>
      <c r="Q372" s="54" t="n">
        <f aca="false">Calib!C111</f>
        <v>3880</v>
      </c>
      <c r="R372" s="83" t="n">
        <f aca="false">SRC_PERF_030</f>
        <v>3880</v>
      </c>
      <c r="S372" s="83" t="str">
        <f aca="false">IF(OR($H372="—",$H372=""),"—",IF(ISNUMBER(MATCH($H372,SRC_HW!$A$5:$A$400,0)),INDEX(SRC_HW!$O$5:$O$400,MATCH($H372,SRC_HW!$A$5:$A$400,0)),IF(ISNUMBER(MATCH($H372,SRC_DC!$A$5:$A$400,0)),INDEX(SRC_DC!$O$5:$O$400,MATCH($H372,SRC_DC!$A$5:$A$400,0)),IF(ISNUMBER(MATCH($H372,SRC_Model!$A$5:$A$400,0)),INDEX(SRC_Model!$O$5:$O$400,MATCH($H372,SRC_Model!$A$5:$A$400,0)),IF(ISNUMBER(MATCH($H372,SRC_Perf!$A$5:$A$400,0)),INDEX(SRC_Perf!$O$5:$O$400,MATCH($H372,SRC_Perf!$A$5:$A$400,0)),"不存在")))))</f>
        <v>Active</v>
      </c>
      <c r="T372" s="83" t="n">
        <f aca="false">IF(OR($H372="—",$H372=""),"—",IF(ISNUMBER(MATCH($H372,SRC_HW!$A$5:$A$400,0)),INDEX(SRC_HW!$K$5:$K$400,MATCH($H372,SRC_HW!$A$5:$A$400,0)),IF(ISNUMBER(MATCH($H372,SRC_DC!$A$5:$A$400,0)),INDEX(SRC_DC!$K$5:$K$400,MATCH($H372,SRC_DC!$A$5:$A$400,0)),IF(ISNUMBER(MATCH($H372,SRC_Model!$A$5:$A$400,0)),INDEX(SRC_Model!$K$5:$K$400,MATCH($H372,SRC_Model!$A$5:$A$400,0)),IF(ISNUMBER(MATCH($H372,SRC_Perf!$A$5:$A$400,0)),INDEX(SRC_Perf!$K$5:$K$400,MATCH($H372,SRC_Perf!$A$5:$A$400,0)),"不存在")))))</f>
        <v>1</v>
      </c>
      <c r="U372" s="52" t="s">
        <v>2341</v>
      </c>
      <c r="V372" s="103" t="n">
        <f aca="false">IF(AND($F372="原始數據",$U372&lt;&gt;"連結 SRC"),1,0)</f>
        <v>0</v>
      </c>
      <c r="W372" s="103" t="n">
        <f aca="false">IF(AND($F372="Analogy",OR($H372="—",$H372="")),1,0)</f>
        <v>0</v>
      </c>
      <c r="X372" s="103" t="n">
        <f aca="false">IF(AND(OR($F372="Analogy",$F372="Assumed"),$G372&lt;&gt;"低",$G372&lt;&gt;"高",NOT(ISNUMBER($K372)),NOT(ISNUMBER($L372)),OR($M372="—",$M372="")),1,0)</f>
        <v>0</v>
      </c>
      <c r="Y372" s="103" t="n">
        <f aca="false">IF(AND(OR($F372="Analogy",$F372="Assumed",$F372="Derived（待改公式）",$F372="Derived（公式）"),OR($N372="—",$N372="",$N372=0)),1,0)</f>
        <v>0</v>
      </c>
      <c r="Z372" s="103" t="n">
        <f aca="false">IF(AND($F372="Decision",OR($J372="—",$J372="")),1,0)</f>
        <v>0</v>
      </c>
      <c r="AA372" s="84" t="n">
        <f aca="false">IF(OR($J372="—",$J372=""),0,IF(COUNTIF(Decisions!$A$5:$A$300,$J372)=0,1,0))</f>
        <v>0</v>
      </c>
      <c r="AB372" s="103" t="n">
        <f aca="false">IF(AND($F372="原始數據",$S372&lt;&gt;"Active"),1,0)</f>
        <v>0</v>
      </c>
      <c r="AC372" s="103" t="n">
        <f aca="false">IF(AND(ISNUMBER($K372),ISNUMBER($L372),ISNUMBER($Q372)),IF(OR($Q372&lt;MIN($K372,$L372),$Q372&gt;MAX($K372,$L372)),1,0),0)</f>
        <v>0</v>
      </c>
      <c r="AD372" s="103" t="n">
        <f aca="false">IF(AND(ISNUMBER($T372),$P372="高"),IF($T372=3,1,0),0)</f>
        <v>0</v>
      </c>
      <c r="AE372" s="103" t="n">
        <f aca="false">IF(AND($S372="不存在",$B372="切片一"),1,0)</f>
        <v>0</v>
      </c>
    </row>
    <row r="373" customFormat="false" ht="15" hidden="false" customHeight="false" outlineLevel="0" collapsed="false">
      <c r="A373" s="53" t="s">
        <v>3140</v>
      </c>
      <c r="B373" s="52" t="s">
        <v>2297</v>
      </c>
      <c r="C373" s="53" t="s">
        <v>2995</v>
      </c>
      <c r="D373" s="53" t="s">
        <v>3141</v>
      </c>
      <c r="E373" s="5" t="s">
        <v>390</v>
      </c>
      <c r="F373" s="52" t="s">
        <v>3000</v>
      </c>
      <c r="G373" s="52" t="s">
        <v>3001</v>
      </c>
      <c r="H373" s="53" t="s">
        <v>554</v>
      </c>
      <c r="I373" s="6" t="s">
        <v>554</v>
      </c>
      <c r="J373" s="53" t="s">
        <v>554</v>
      </c>
      <c r="K373" s="52"/>
      <c r="L373" s="52"/>
      <c r="M373" s="53" t="s">
        <v>554</v>
      </c>
      <c r="N373" s="6" t="s">
        <v>3142</v>
      </c>
      <c r="O373" s="6" t="s">
        <v>554</v>
      </c>
      <c r="P373" s="53" t="s">
        <v>554</v>
      </c>
      <c r="Q373" s="83" t="s">
        <v>554</v>
      </c>
      <c r="R373" s="53" t="s">
        <v>554</v>
      </c>
      <c r="S373" s="83" t="str">
        <f aca="false">IF(OR($H373="—",$H373=""),"—",IF(ISNUMBER(MATCH($H373,SRC_HW!$A$5:$A$400,0)),INDEX(SRC_HW!$O$5:$O$400,MATCH($H373,SRC_HW!$A$5:$A$400,0)),IF(ISNUMBER(MATCH($H373,SRC_DC!$A$5:$A$400,0)),INDEX(SRC_DC!$O$5:$O$400,MATCH($H373,SRC_DC!$A$5:$A$400,0)),IF(ISNUMBER(MATCH($H373,SRC_Model!$A$5:$A$400,0)),INDEX(SRC_Model!$O$5:$O$400,MATCH($H373,SRC_Model!$A$5:$A$400,0)),IF(ISNUMBER(MATCH($H373,SRC_Perf!$A$5:$A$400,0)),INDEX(SRC_Perf!$O$5:$O$400,MATCH($H373,SRC_Perf!$A$5:$A$400,0)),"不存在")))))</f>
        <v>—</v>
      </c>
      <c r="T373" s="83" t="str">
        <f aca="false">IF(OR($H373="—",$H373=""),"—",IF(ISNUMBER(MATCH($H373,SRC_HW!$A$5:$A$400,0)),INDEX(SRC_HW!$K$5:$K$400,MATCH($H373,SRC_HW!$A$5:$A$400,0)),IF(ISNUMBER(MATCH($H373,SRC_DC!$A$5:$A$400,0)),INDEX(SRC_DC!$K$5:$K$400,MATCH($H373,SRC_DC!$A$5:$A$400,0)),IF(ISNUMBER(MATCH($H373,SRC_Model!$A$5:$A$400,0)),INDEX(SRC_Model!$K$5:$K$400,MATCH($H373,SRC_Model!$A$5:$A$400,0)),IF(ISNUMBER(MATCH($H373,SRC_Perf!$A$5:$A$400,0)),INDEX(SRC_Perf!$K$5:$K$400,MATCH($H373,SRC_Perf!$A$5:$A$400,0)),"不存在")))))</f>
        <v>—</v>
      </c>
      <c r="U373" s="53" t="s">
        <v>554</v>
      </c>
      <c r="V373" s="103" t="n">
        <f aca="false">IF(AND($F373="原始數據",$U373&lt;&gt;"連結 SRC"),1,0)</f>
        <v>0</v>
      </c>
      <c r="W373" s="103" t="n">
        <f aca="false">IF(AND($F373="Analogy",OR($H373="—",$H373="")),1,0)</f>
        <v>0</v>
      </c>
      <c r="X373" s="103" t="n">
        <f aca="false">IF(AND(OR($F373="Analogy",$F373="Assumed"),$G373&lt;&gt;"低",$G373&lt;&gt;"高",NOT(ISNUMBER($K373)),NOT(ISNUMBER($L373)),OR($M373="—",$M373="")),1,0)</f>
        <v>0</v>
      </c>
      <c r="Y373" s="103" t="n">
        <f aca="false">IF(AND(OR($F373="Analogy",$F373="Assumed",$F373="Derived（待改公式）",$F373="Derived（公式）"),OR($N373="—",$N373="",$N373=0)),1,0)</f>
        <v>0</v>
      </c>
      <c r="Z373" s="103" t="n">
        <f aca="false">IF(AND($F373="Decision",OR($J373="—",$J373="")),1,0)</f>
        <v>0</v>
      </c>
      <c r="AA373" s="84" t="n">
        <f aca="false">IF(OR($J373="—",$J373=""),0,IF(COUNTIF(Decisions!$A$5:$A$300,$J373)=0,1,0))</f>
        <v>0</v>
      </c>
      <c r="AB373" s="103" t="n">
        <f aca="false">IF(AND($F373="原始數據",$S373&lt;&gt;"Active"),1,0)</f>
        <v>0</v>
      </c>
      <c r="AC373" s="103" t="n">
        <f aca="false">IF(AND(ISNUMBER($K373),ISNUMBER($L373),ISNUMBER($Q373)),IF(OR($Q373&lt;MIN($K373,$L373),$Q373&gt;MAX($K373,$L373)),1,0),0)</f>
        <v>0</v>
      </c>
      <c r="AD373" s="103" t="n">
        <f aca="false">IF(AND(ISNUMBER($T373),$P373="高"),IF($T373=3,1,0),0)</f>
        <v>0</v>
      </c>
      <c r="AE373" s="103" t="n">
        <f aca="false">IF(AND($S373="不存在",$B373="切片一"),1,0)</f>
        <v>0</v>
      </c>
    </row>
    <row r="374" customFormat="false" ht="29.85" hidden="false" customHeight="false" outlineLevel="0" collapsed="false">
      <c r="A374" s="53" t="s">
        <v>3143</v>
      </c>
      <c r="B374" s="52" t="s">
        <v>2297</v>
      </c>
      <c r="C374" s="53" t="s">
        <v>2995</v>
      </c>
      <c r="D374" s="53" t="s">
        <v>3144</v>
      </c>
      <c r="E374" s="5" t="s">
        <v>506</v>
      </c>
      <c r="F374" s="52" t="s">
        <v>2337</v>
      </c>
      <c r="G374" s="52" t="s">
        <v>2299</v>
      </c>
      <c r="H374" s="53" t="s">
        <v>3145</v>
      </c>
      <c r="I374" s="5" t="s">
        <v>2627</v>
      </c>
      <c r="J374" s="53" t="s">
        <v>554</v>
      </c>
      <c r="K374" s="52"/>
      <c r="L374" s="52"/>
      <c r="M374" s="53" t="s">
        <v>554</v>
      </c>
      <c r="N374" s="5" t="s">
        <v>2340</v>
      </c>
      <c r="O374" s="6" t="s">
        <v>554</v>
      </c>
      <c r="P374" s="53" t="s">
        <v>554</v>
      </c>
      <c r="Q374" s="90" t="n">
        <f aca="false">Calib!C118</f>
        <v>66.6666666666667</v>
      </c>
      <c r="R374" s="83" t="n">
        <f aca="false">SRC_PERF_031</f>
        <v>15</v>
      </c>
      <c r="S374" s="83" t="str">
        <f aca="false">IF(OR($H374="—",$H374=""),"—",IF(ISNUMBER(MATCH($H374,SRC_HW!$A$5:$A$400,0)),INDEX(SRC_HW!$O$5:$O$400,MATCH($H374,SRC_HW!$A$5:$A$400,0)),IF(ISNUMBER(MATCH($H374,SRC_DC!$A$5:$A$400,0)),INDEX(SRC_DC!$O$5:$O$400,MATCH($H374,SRC_DC!$A$5:$A$400,0)),IF(ISNUMBER(MATCH($H374,SRC_Model!$A$5:$A$400,0)),INDEX(SRC_Model!$O$5:$O$400,MATCH($H374,SRC_Model!$A$5:$A$400,0)),IF(ISNUMBER(MATCH($H374,SRC_Perf!$A$5:$A$400,0)),INDEX(SRC_Perf!$O$5:$O$400,MATCH($H374,SRC_Perf!$A$5:$A$400,0)),"不存在")))))</f>
        <v>Active</v>
      </c>
      <c r="T374" s="83" t="n">
        <f aca="false">IF(OR($H374="—",$H374=""),"—",IF(ISNUMBER(MATCH($H374,SRC_HW!$A$5:$A$400,0)),INDEX(SRC_HW!$K$5:$K$400,MATCH($H374,SRC_HW!$A$5:$A$400,0)),IF(ISNUMBER(MATCH($H374,SRC_DC!$A$5:$A$400,0)),INDEX(SRC_DC!$K$5:$K$400,MATCH($H374,SRC_DC!$A$5:$A$400,0)),IF(ISNUMBER(MATCH($H374,SRC_Model!$A$5:$A$400,0)),INDEX(SRC_Model!$K$5:$K$400,MATCH($H374,SRC_Model!$A$5:$A$400,0)),IF(ISNUMBER(MATCH($H374,SRC_Perf!$A$5:$A$400,0)),INDEX(SRC_Perf!$K$5:$K$400,MATCH($H374,SRC_Perf!$A$5:$A$400,0)),"不存在")))))</f>
        <v>1</v>
      </c>
      <c r="U374" s="52" t="s">
        <v>2341</v>
      </c>
      <c r="V374" s="103" t="n">
        <f aca="false">IF(AND($F374="原始數據",$U374&lt;&gt;"連結 SRC"),1,0)</f>
        <v>0</v>
      </c>
      <c r="W374" s="103" t="n">
        <f aca="false">IF(AND($F374="Analogy",OR($H374="—",$H374="")),1,0)</f>
        <v>0</v>
      </c>
      <c r="X374" s="103" t="n">
        <f aca="false">IF(AND(OR($F374="Analogy",$F374="Assumed"),$G374&lt;&gt;"低",$G374&lt;&gt;"高",NOT(ISNUMBER($K374)),NOT(ISNUMBER($L374)),OR($M374="—",$M374="")),1,0)</f>
        <v>0</v>
      </c>
      <c r="Y374" s="103" t="n">
        <f aca="false">IF(AND(OR($F374="Analogy",$F374="Assumed",$F374="Derived（待改公式）",$F374="Derived（公式）"),OR($N374="—",$N374="",$N374=0)),1,0)</f>
        <v>0</v>
      </c>
      <c r="Z374" s="103" t="n">
        <f aca="false">IF(AND($F374="Decision",OR($J374="—",$J374="")),1,0)</f>
        <v>0</v>
      </c>
      <c r="AA374" s="84" t="n">
        <f aca="false">IF(OR($J374="—",$J374=""),0,IF(COUNTIF(Decisions!$A$5:$A$300,$J374)=0,1,0))</f>
        <v>0</v>
      </c>
      <c r="AB374" s="103" t="n">
        <f aca="false">IF(AND($F374="原始數據",$S374&lt;&gt;"Active"),1,0)</f>
        <v>0</v>
      </c>
      <c r="AC374" s="103" t="n">
        <f aca="false">IF(AND(ISNUMBER($K374),ISNUMBER($L374),ISNUMBER($Q374)),IF(OR($Q374&lt;MIN($K374,$L374),$Q374&gt;MAX($K374,$L374)),1,0),0)</f>
        <v>0</v>
      </c>
      <c r="AD374" s="103" t="n">
        <f aca="false">IF(AND(ISNUMBER($T374),$P374="高"),IF($T374=3,1,0),0)</f>
        <v>0</v>
      </c>
      <c r="AE374" s="103" t="n">
        <f aca="false">IF(AND($S374="不存在",$B374="切片一"),1,0)</f>
        <v>0</v>
      </c>
    </row>
    <row r="375" customFormat="false" ht="29.85" hidden="false" customHeight="false" outlineLevel="0" collapsed="false">
      <c r="A375" s="53" t="s">
        <v>3146</v>
      </c>
      <c r="B375" s="52" t="s">
        <v>2297</v>
      </c>
      <c r="C375" s="53" t="s">
        <v>2995</v>
      </c>
      <c r="D375" s="53" t="s">
        <v>3147</v>
      </c>
      <c r="E375" s="5" t="s">
        <v>506</v>
      </c>
      <c r="F375" s="52" t="s">
        <v>2337</v>
      </c>
      <c r="G375" s="52" t="s">
        <v>2299</v>
      </c>
      <c r="H375" s="53" t="s">
        <v>3145</v>
      </c>
      <c r="I375" s="5" t="s">
        <v>2627</v>
      </c>
      <c r="J375" s="53" t="s">
        <v>554</v>
      </c>
      <c r="K375" s="52"/>
      <c r="L375" s="52"/>
      <c r="M375" s="53" t="s">
        <v>554</v>
      </c>
      <c r="N375" s="5" t="s">
        <v>2340</v>
      </c>
      <c r="O375" s="6" t="s">
        <v>554</v>
      </c>
      <c r="P375" s="53" t="s">
        <v>554</v>
      </c>
      <c r="Q375" s="90" t="n">
        <f aca="false">Calib!D118</f>
        <v>66.6666666666667</v>
      </c>
      <c r="R375" s="83" t="n">
        <f aca="false">SRC_PERF_031</f>
        <v>15</v>
      </c>
      <c r="S375" s="83" t="str">
        <f aca="false">IF(OR($H375="—",$H375=""),"—",IF(ISNUMBER(MATCH($H375,SRC_HW!$A$5:$A$400,0)),INDEX(SRC_HW!$O$5:$O$400,MATCH($H375,SRC_HW!$A$5:$A$400,0)),IF(ISNUMBER(MATCH($H375,SRC_DC!$A$5:$A$400,0)),INDEX(SRC_DC!$O$5:$O$400,MATCH($H375,SRC_DC!$A$5:$A$400,0)),IF(ISNUMBER(MATCH($H375,SRC_Model!$A$5:$A$400,0)),INDEX(SRC_Model!$O$5:$O$400,MATCH($H375,SRC_Model!$A$5:$A$400,0)),IF(ISNUMBER(MATCH($H375,SRC_Perf!$A$5:$A$400,0)),INDEX(SRC_Perf!$O$5:$O$400,MATCH($H375,SRC_Perf!$A$5:$A$400,0)),"不存在")))))</f>
        <v>Active</v>
      </c>
      <c r="T375" s="83" t="n">
        <f aca="false">IF(OR($H375="—",$H375=""),"—",IF(ISNUMBER(MATCH($H375,SRC_HW!$A$5:$A$400,0)),INDEX(SRC_HW!$K$5:$K$400,MATCH($H375,SRC_HW!$A$5:$A$400,0)),IF(ISNUMBER(MATCH($H375,SRC_DC!$A$5:$A$400,0)),INDEX(SRC_DC!$K$5:$K$400,MATCH($H375,SRC_DC!$A$5:$A$400,0)),IF(ISNUMBER(MATCH($H375,SRC_Model!$A$5:$A$400,0)),INDEX(SRC_Model!$K$5:$K$400,MATCH($H375,SRC_Model!$A$5:$A$400,0)),IF(ISNUMBER(MATCH($H375,SRC_Perf!$A$5:$A$400,0)),INDEX(SRC_Perf!$K$5:$K$400,MATCH($H375,SRC_Perf!$A$5:$A$400,0)),"不存在")))))</f>
        <v>1</v>
      </c>
      <c r="U375" s="52" t="s">
        <v>2341</v>
      </c>
      <c r="V375" s="103" t="n">
        <f aca="false">IF(AND($F375="原始數據",$U375&lt;&gt;"連結 SRC"),1,0)</f>
        <v>0</v>
      </c>
      <c r="W375" s="103" t="n">
        <f aca="false">IF(AND($F375="Analogy",OR($H375="—",$H375="")),1,0)</f>
        <v>0</v>
      </c>
      <c r="X375" s="103" t="n">
        <f aca="false">IF(AND(OR($F375="Analogy",$F375="Assumed"),$G375&lt;&gt;"低",$G375&lt;&gt;"高",NOT(ISNUMBER($K375)),NOT(ISNUMBER($L375)),OR($M375="—",$M375="")),1,0)</f>
        <v>0</v>
      </c>
      <c r="Y375" s="103" t="n">
        <f aca="false">IF(AND(OR($F375="Analogy",$F375="Assumed",$F375="Derived（待改公式）",$F375="Derived（公式）"),OR($N375="—",$N375="",$N375=0)),1,0)</f>
        <v>0</v>
      </c>
      <c r="Z375" s="103" t="n">
        <f aca="false">IF(AND($F375="Decision",OR($J375="—",$J375="")),1,0)</f>
        <v>0</v>
      </c>
      <c r="AA375" s="84" t="n">
        <f aca="false">IF(OR($J375="—",$J375=""),0,IF(COUNTIF(Decisions!$A$5:$A$300,$J375)=0,1,0))</f>
        <v>0</v>
      </c>
      <c r="AB375" s="103" t="n">
        <f aca="false">IF(AND($F375="原始數據",$S375&lt;&gt;"Active"),1,0)</f>
        <v>0</v>
      </c>
      <c r="AC375" s="103" t="n">
        <f aca="false">IF(AND(ISNUMBER($K375),ISNUMBER($L375),ISNUMBER($Q375)),IF(OR($Q375&lt;MIN($K375,$L375),$Q375&gt;MAX($K375,$L375)),1,0),0)</f>
        <v>0</v>
      </c>
      <c r="AD375" s="103" t="n">
        <f aca="false">IF(AND(ISNUMBER($T375),$P375="高"),IF($T375=3,1,0),0)</f>
        <v>0</v>
      </c>
      <c r="AE375" s="103" t="n">
        <f aca="false">IF(AND($S375="不存在",$B375="切片一"),1,0)</f>
        <v>0</v>
      </c>
    </row>
    <row r="376" customFormat="false" ht="29.85" hidden="false" customHeight="false" outlineLevel="0" collapsed="false">
      <c r="A376" s="53" t="s">
        <v>3148</v>
      </c>
      <c r="B376" s="52" t="s">
        <v>2297</v>
      </c>
      <c r="C376" s="53" t="s">
        <v>2995</v>
      </c>
      <c r="D376" s="53" t="s">
        <v>3149</v>
      </c>
      <c r="E376" s="5" t="s">
        <v>506</v>
      </c>
      <c r="F376" s="52" t="s">
        <v>2337</v>
      </c>
      <c r="G376" s="52" t="s">
        <v>2299</v>
      </c>
      <c r="H376" s="53" t="s">
        <v>3145</v>
      </c>
      <c r="I376" s="5" t="s">
        <v>2627</v>
      </c>
      <c r="J376" s="53" t="s">
        <v>554</v>
      </c>
      <c r="K376" s="52"/>
      <c r="L376" s="52"/>
      <c r="M376" s="53" t="s">
        <v>554</v>
      </c>
      <c r="N376" s="5" t="s">
        <v>2340</v>
      </c>
      <c r="O376" s="6" t="s">
        <v>554</v>
      </c>
      <c r="P376" s="53" t="s">
        <v>554</v>
      </c>
      <c r="Q376" s="90" t="n">
        <f aca="false">Calib!E118</f>
        <v>66.6666666666667</v>
      </c>
      <c r="R376" s="83" t="n">
        <f aca="false">SRC_PERF_031</f>
        <v>15</v>
      </c>
      <c r="S376" s="83" t="str">
        <f aca="false">IF(OR($H376="—",$H376=""),"—",IF(ISNUMBER(MATCH($H376,SRC_HW!$A$5:$A$400,0)),INDEX(SRC_HW!$O$5:$O$400,MATCH($H376,SRC_HW!$A$5:$A$400,0)),IF(ISNUMBER(MATCH($H376,SRC_DC!$A$5:$A$400,0)),INDEX(SRC_DC!$O$5:$O$400,MATCH($H376,SRC_DC!$A$5:$A$400,0)),IF(ISNUMBER(MATCH($H376,SRC_Model!$A$5:$A$400,0)),INDEX(SRC_Model!$O$5:$O$400,MATCH($H376,SRC_Model!$A$5:$A$400,0)),IF(ISNUMBER(MATCH($H376,SRC_Perf!$A$5:$A$400,0)),INDEX(SRC_Perf!$O$5:$O$400,MATCH($H376,SRC_Perf!$A$5:$A$400,0)),"不存在")))))</f>
        <v>Active</v>
      </c>
      <c r="T376" s="83" t="n">
        <f aca="false">IF(OR($H376="—",$H376=""),"—",IF(ISNUMBER(MATCH($H376,SRC_HW!$A$5:$A$400,0)),INDEX(SRC_HW!$K$5:$K$400,MATCH($H376,SRC_HW!$A$5:$A$400,0)),IF(ISNUMBER(MATCH($H376,SRC_DC!$A$5:$A$400,0)),INDEX(SRC_DC!$K$5:$K$400,MATCH($H376,SRC_DC!$A$5:$A$400,0)),IF(ISNUMBER(MATCH($H376,SRC_Model!$A$5:$A$400,0)),INDEX(SRC_Model!$K$5:$K$400,MATCH($H376,SRC_Model!$A$5:$A$400,0)),IF(ISNUMBER(MATCH($H376,SRC_Perf!$A$5:$A$400,0)),INDEX(SRC_Perf!$K$5:$K$400,MATCH($H376,SRC_Perf!$A$5:$A$400,0)),"不存在")))))</f>
        <v>1</v>
      </c>
      <c r="U376" s="52" t="s">
        <v>2341</v>
      </c>
      <c r="V376" s="103" t="n">
        <f aca="false">IF(AND($F376="原始數據",$U376&lt;&gt;"連結 SRC"),1,0)</f>
        <v>0</v>
      </c>
      <c r="W376" s="103" t="n">
        <f aca="false">IF(AND($F376="Analogy",OR($H376="—",$H376="")),1,0)</f>
        <v>0</v>
      </c>
      <c r="X376" s="103" t="n">
        <f aca="false">IF(AND(OR($F376="Analogy",$F376="Assumed"),$G376&lt;&gt;"低",$G376&lt;&gt;"高",NOT(ISNUMBER($K376)),NOT(ISNUMBER($L376)),OR($M376="—",$M376="")),1,0)</f>
        <v>0</v>
      </c>
      <c r="Y376" s="103" t="n">
        <f aca="false">IF(AND(OR($F376="Analogy",$F376="Assumed",$F376="Derived（待改公式）",$F376="Derived（公式）"),OR($N376="—",$N376="",$N376=0)),1,0)</f>
        <v>0</v>
      </c>
      <c r="Z376" s="103" t="n">
        <f aca="false">IF(AND($F376="Decision",OR($J376="—",$J376="")),1,0)</f>
        <v>0</v>
      </c>
      <c r="AA376" s="84" t="n">
        <f aca="false">IF(OR($J376="—",$J376=""),0,IF(COUNTIF(Decisions!$A$5:$A$300,$J376)=0,1,0))</f>
        <v>0</v>
      </c>
      <c r="AB376" s="103" t="n">
        <f aca="false">IF(AND($F376="原始數據",$S376&lt;&gt;"Active"),1,0)</f>
        <v>0</v>
      </c>
      <c r="AC376" s="103" t="n">
        <f aca="false">IF(AND(ISNUMBER($K376),ISNUMBER($L376),ISNUMBER($Q376)),IF(OR($Q376&lt;MIN($K376,$L376),$Q376&gt;MAX($K376,$L376)),1,0),0)</f>
        <v>0</v>
      </c>
      <c r="AD376" s="103" t="n">
        <f aca="false">IF(AND(ISNUMBER($T376),$P376="高"),IF($T376=3,1,0),0)</f>
        <v>0</v>
      </c>
      <c r="AE376" s="103" t="n">
        <f aca="false">IF(AND($S376="不存在",$B376="切片一"),1,0)</f>
        <v>0</v>
      </c>
    </row>
    <row r="377" customFormat="false" ht="29.85" hidden="false" customHeight="false" outlineLevel="0" collapsed="false">
      <c r="A377" s="53" t="s">
        <v>3150</v>
      </c>
      <c r="B377" s="52" t="s">
        <v>2297</v>
      </c>
      <c r="C377" s="53" t="s">
        <v>2995</v>
      </c>
      <c r="D377" s="53" t="s">
        <v>3151</v>
      </c>
      <c r="E377" s="5" t="s">
        <v>506</v>
      </c>
      <c r="F377" s="52" t="s">
        <v>2337</v>
      </c>
      <c r="G377" s="52" t="s">
        <v>2299</v>
      </c>
      <c r="H377" s="53" t="s">
        <v>3152</v>
      </c>
      <c r="I377" s="5" t="s">
        <v>2627</v>
      </c>
      <c r="J377" s="53" t="s">
        <v>554</v>
      </c>
      <c r="K377" s="52"/>
      <c r="L377" s="52"/>
      <c r="M377" s="53" t="s">
        <v>554</v>
      </c>
      <c r="N377" s="5" t="s">
        <v>2340</v>
      </c>
      <c r="O377" s="6" t="s">
        <v>554</v>
      </c>
      <c r="P377" s="53" t="s">
        <v>554</v>
      </c>
      <c r="Q377" s="90" t="n">
        <f aca="false">Calib!F118</f>
        <v>12.5</v>
      </c>
      <c r="R377" s="83" t="n">
        <f aca="false">SRC_PERF_032</f>
        <v>80</v>
      </c>
      <c r="S377" s="83" t="str">
        <f aca="false">IF(OR($H377="—",$H377=""),"—",IF(ISNUMBER(MATCH($H377,SRC_HW!$A$5:$A$400,0)),INDEX(SRC_HW!$O$5:$O$400,MATCH($H377,SRC_HW!$A$5:$A$400,0)),IF(ISNUMBER(MATCH($H377,SRC_DC!$A$5:$A$400,0)),INDEX(SRC_DC!$O$5:$O$400,MATCH($H377,SRC_DC!$A$5:$A$400,0)),IF(ISNUMBER(MATCH($H377,SRC_Model!$A$5:$A$400,0)),INDEX(SRC_Model!$O$5:$O$400,MATCH($H377,SRC_Model!$A$5:$A$400,0)),IF(ISNUMBER(MATCH($H377,SRC_Perf!$A$5:$A$400,0)),INDEX(SRC_Perf!$O$5:$O$400,MATCH($H377,SRC_Perf!$A$5:$A$400,0)),"不存在")))))</f>
        <v>Active</v>
      </c>
      <c r="T377" s="83" t="n">
        <f aca="false">IF(OR($H377="—",$H377=""),"—",IF(ISNUMBER(MATCH($H377,SRC_HW!$A$5:$A$400,0)),INDEX(SRC_HW!$K$5:$K$400,MATCH($H377,SRC_HW!$A$5:$A$400,0)),IF(ISNUMBER(MATCH($H377,SRC_DC!$A$5:$A$400,0)),INDEX(SRC_DC!$K$5:$K$400,MATCH($H377,SRC_DC!$A$5:$A$400,0)),IF(ISNUMBER(MATCH($H377,SRC_Model!$A$5:$A$400,0)),INDEX(SRC_Model!$K$5:$K$400,MATCH($H377,SRC_Model!$A$5:$A$400,0)),IF(ISNUMBER(MATCH($H377,SRC_Perf!$A$5:$A$400,0)),INDEX(SRC_Perf!$K$5:$K$400,MATCH($H377,SRC_Perf!$A$5:$A$400,0)),"不存在")))))</f>
        <v>1</v>
      </c>
      <c r="U377" s="52" t="s">
        <v>2341</v>
      </c>
      <c r="V377" s="103" t="n">
        <f aca="false">IF(AND($F377="原始數據",$U377&lt;&gt;"連結 SRC"),1,0)</f>
        <v>0</v>
      </c>
      <c r="W377" s="103" t="n">
        <f aca="false">IF(AND($F377="Analogy",OR($H377="—",$H377="")),1,0)</f>
        <v>0</v>
      </c>
      <c r="X377" s="103" t="n">
        <f aca="false">IF(AND(OR($F377="Analogy",$F377="Assumed"),$G377&lt;&gt;"低",$G377&lt;&gt;"高",NOT(ISNUMBER($K377)),NOT(ISNUMBER($L377)),OR($M377="—",$M377="")),1,0)</f>
        <v>0</v>
      </c>
      <c r="Y377" s="103" t="n">
        <f aca="false">IF(AND(OR($F377="Analogy",$F377="Assumed",$F377="Derived（待改公式）",$F377="Derived（公式）"),OR($N377="—",$N377="",$N377=0)),1,0)</f>
        <v>0</v>
      </c>
      <c r="Z377" s="103" t="n">
        <f aca="false">IF(AND($F377="Decision",OR($J377="—",$J377="")),1,0)</f>
        <v>0</v>
      </c>
      <c r="AA377" s="84" t="n">
        <f aca="false">IF(OR($J377="—",$J377=""),0,IF(COUNTIF(Decisions!$A$5:$A$300,$J377)=0,1,0))</f>
        <v>0</v>
      </c>
      <c r="AB377" s="103" t="n">
        <f aca="false">IF(AND($F377="原始數據",$S377&lt;&gt;"Active"),1,0)</f>
        <v>0</v>
      </c>
      <c r="AC377" s="103" t="n">
        <f aca="false">IF(AND(ISNUMBER($K377),ISNUMBER($L377),ISNUMBER($Q377)),IF(OR($Q377&lt;MIN($K377,$L377),$Q377&gt;MAX($K377,$L377)),1,0),0)</f>
        <v>0</v>
      </c>
      <c r="AD377" s="103" t="n">
        <f aca="false">IF(AND(ISNUMBER($T377),$P377="高"),IF($T377=3,1,0),0)</f>
        <v>0</v>
      </c>
      <c r="AE377" s="103" t="n">
        <f aca="false">IF(AND($S377="不存在",$B377="切片一"),1,0)</f>
        <v>0</v>
      </c>
    </row>
    <row r="378" customFormat="false" ht="44" hidden="false" customHeight="false" outlineLevel="0" collapsed="false">
      <c r="A378" s="53" t="s">
        <v>3153</v>
      </c>
      <c r="B378" s="52" t="s">
        <v>2297</v>
      </c>
      <c r="C378" s="53" t="s">
        <v>2995</v>
      </c>
      <c r="D378" s="53" t="s">
        <v>3154</v>
      </c>
      <c r="E378" s="5" t="s">
        <v>507</v>
      </c>
      <c r="F378" s="52" t="s">
        <v>2491</v>
      </c>
      <c r="G378" s="52" t="s">
        <v>2299</v>
      </c>
      <c r="H378" s="53" t="s">
        <v>2870</v>
      </c>
      <c r="I378" s="5" t="s">
        <v>3155</v>
      </c>
      <c r="J378" s="53" t="s">
        <v>554</v>
      </c>
      <c r="K378" s="52"/>
      <c r="L378" s="52"/>
      <c r="M378" s="53" t="s">
        <v>554</v>
      </c>
      <c r="N378" s="5" t="s">
        <v>3156</v>
      </c>
      <c r="O378" s="6" t="s">
        <v>554</v>
      </c>
      <c r="P378" s="52" t="s">
        <v>2307</v>
      </c>
      <c r="Q378" s="84" t="n">
        <f aca="false">Calib!C119</f>
        <v>1</v>
      </c>
      <c r="R378" s="83" t="n">
        <f aca="false">SRC_PERF_035</f>
        <v>3</v>
      </c>
      <c r="S378" s="83" t="str">
        <f aca="false">IF(OR($H378="—",$H378=""),"—",IF(ISNUMBER(MATCH($H378,SRC_HW!$A$5:$A$400,0)),INDEX(SRC_HW!$O$5:$O$400,MATCH($H378,SRC_HW!$A$5:$A$400,0)),IF(ISNUMBER(MATCH($H378,SRC_DC!$A$5:$A$400,0)),INDEX(SRC_DC!$O$5:$O$400,MATCH($H378,SRC_DC!$A$5:$A$400,0)),IF(ISNUMBER(MATCH($H378,SRC_Model!$A$5:$A$400,0)),INDEX(SRC_Model!$O$5:$O$400,MATCH($H378,SRC_Model!$A$5:$A$400,0)),IF(ISNUMBER(MATCH($H378,SRC_Perf!$A$5:$A$400,0)),INDEX(SRC_Perf!$O$5:$O$400,MATCH($H378,SRC_Perf!$A$5:$A$400,0)),"不存在")))))</f>
        <v>Active</v>
      </c>
      <c r="T378" s="83" t="n">
        <f aca="false">IF(OR($H378="—",$H378=""),"—",IF(ISNUMBER(MATCH($H378,SRC_HW!$A$5:$A$400,0)),INDEX(SRC_HW!$K$5:$K$400,MATCH($H378,SRC_HW!$A$5:$A$400,0)),IF(ISNUMBER(MATCH($H378,SRC_DC!$A$5:$A$400,0)),INDEX(SRC_DC!$K$5:$K$400,MATCH($H378,SRC_DC!$A$5:$A$400,0)),IF(ISNUMBER(MATCH($H378,SRC_Model!$A$5:$A$400,0)),INDEX(SRC_Model!$K$5:$K$400,MATCH($H378,SRC_Model!$A$5:$A$400,0)),IF(ISNUMBER(MATCH($H378,SRC_Perf!$A$5:$A$400,0)),INDEX(SRC_Perf!$K$5:$K$400,MATCH($H378,SRC_Perf!$A$5:$A$400,0)),"不存在")))))</f>
        <v>1</v>
      </c>
      <c r="U378" s="52" t="s">
        <v>2302</v>
      </c>
      <c r="V378" s="103" t="n">
        <f aca="false">IF(AND($F378="原始數據",$U378&lt;&gt;"連結 SRC"),1,0)</f>
        <v>0</v>
      </c>
      <c r="W378" s="103" t="n">
        <f aca="false">IF(AND($F378="Analogy",OR($H378="—",$H378="")),1,0)</f>
        <v>0</v>
      </c>
      <c r="X378" s="103" t="n">
        <f aca="false">IF(AND(OR($F378="Analogy",$F378="Assumed"),$G378&lt;&gt;"低",$G378&lt;&gt;"高",NOT(ISNUMBER($K378)),NOT(ISNUMBER($L378)),OR($M378="—",$M378="")),1,0)</f>
        <v>0</v>
      </c>
      <c r="Y378" s="103" t="n">
        <f aca="false">IF(AND(OR($F378="Analogy",$F378="Assumed",$F378="Derived（待改公式）",$F378="Derived（公式）"),OR($N378="—",$N378="",$N378=0)),1,0)</f>
        <v>0</v>
      </c>
      <c r="Z378" s="103" t="n">
        <f aca="false">IF(AND($F378="Decision",OR($J378="—",$J378="")),1,0)</f>
        <v>0</v>
      </c>
      <c r="AA378" s="84" t="n">
        <f aca="false">IF(OR($J378="—",$J378=""),0,IF(COUNTIF(Decisions!$A$5:$A$300,$J378)=0,1,0))</f>
        <v>0</v>
      </c>
      <c r="AB378" s="103" t="n">
        <f aca="false">IF(AND($F378="原始數據",$S378&lt;&gt;"Active"),1,0)</f>
        <v>0</v>
      </c>
      <c r="AC378" s="103" t="n">
        <f aca="false">IF(AND(ISNUMBER($K378),ISNUMBER($L378),ISNUMBER($Q378)),IF(OR($Q378&lt;MIN($K378,$L378),$Q378&gt;MAX($K378,$L378)),1,0),0)</f>
        <v>0</v>
      </c>
      <c r="AD378" s="103" t="n">
        <f aca="false">IF(AND(ISNUMBER($T378),$P378="高"),IF($T378=3,1,0),0)</f>
        <v>0</v>
      </c>
      <c r="AE378" s="103" t="n">
        <f aca="false">IF(AND($S378="不存在",$B378="切片一"),1,0)</f>
        <v>0</v>
      </c>
    </row>
    <row r="379" customFormat="false" ht="44" hidden="false" customHeight="false" outlineLevel="0" collapsed="false">
      <c r="A379" s="53" t="s">
        <v>3157</v>
      </c>
      <c r="B379" s="52" t="s">
        <v>2297</v>
      </c>
      <c r="C379" s="53" t="s">
        <v>2995</v>
      </c>
      <c r="D379" s="53" t="s">
        <v>3158</v>
      </c>
      <c r="E379" s="5" t="s">
        <v>507</v>
      </c>
      <c r="F379" s="52" t="s">
        <v>2491</v>
      </c>
      <c r="G379" s="52" t="s">
        <v>2299</v>
      </c>
      <c r="H379" s="53" t="s">
        <v>2870</v>
      </c>
      <c r="I379" s="5" t="s">
        <v>3155</v>
      </c>
      <c r="J379" s="53" t="s">
        <v>554</v>
      </c>
      <c r="K379" s="52"/>
      <c r="L379" s="52"/>
      <c r="M379" s="53" t="s">
        <v>554</v>
      </c>
      <c r="N379" s="5" t="s">
        <v>3156</v>
      </c>
      <c r="O379" s="6" t="s">
        <v>554</v>
      </c>
      <c r="P379" s="52" t="s">
        <v>2307</v>
      </c>
      <c r="Q379" s="84" t="n">
        <f aca="false">Calib!D119</f>
        <v>1</v>
      </c>
      <c r="R379" s="83" t="n">
        <f aca="false">SRC_PERF_035</f>
        <v>3</v>
      </c>
      <c r="S379" s="83" t="str">
        <f aca="false">IF(OR($H379="—",$H379=""),"—",IF(ISNUMBER(MATCH($H379,SRC_HW!$A$5:$A$400,0)),INDEX(SRC_HW!$O$5:$O$400,MATCH($H379,SRC_HW!$A$5:$A$400,0)),IF(ISNUMBER(MATCH($H379,SRC_DC!$A$5:$A$400,0)),INDEX(SRC_DC!$O$5:$O$400,MATCH($H379,SRC_DC!$A$5:$A$400,0)),IF(ISNUMBER(MATCH($H379,SRC_Model!$A$5:$A$400,0)),INDEX(SRC_Model!$O$5:$O$400,MATCH($H379,SRC_Model!$A$5:$A$400,0)),IF(ISNUMBER(MATCH($H379,SRC_Perf!$A$5:$A$400,0)),INDEX(SRC_Perf!$O$5:$O$400,MATCH($H379,SRC_Perf!$A$5:$A$400,0)),"不存在")))))</f>
        <v>Active</v>
      </c>
      <c r="T379" s="83" t="n">
        <f aca="false">IF(OR($H379="—",$H379=""),"—",IF(ISNUMBER(MATCH($H379,SRC_HW!$A$5:$A$400,0)),INDEX(SRC_HW!$K$5:$K$400,MATCH($H379,SRC_HW!$A$5:$A$400,0)),IF(ISNUMBER(MATCH($H379,SRC_DC!$A$5:$A$400,0)),INDEX(SRC_DC!$K$5:$K$400,MATCH($H379,SRC_DC!$A$5:$A$400,0)),IF(ISNUMBER(MATCH($H379,SRC_Model!$A$5:$A$400,0)),INDEX(SRC_Model!$K$5:$K$400,MATCH($H379,SRC_Model!$A$5:$A$400,0)),IF(ISNUMBER(MATCH($H379,SRC_Perf!$A$5:$A$400,0)),INDEX(SRC_Perf!$K$5:$K$400,MATCH($H379,SRC_Perf!$A$5:$A$400,0)),"不存在")))))</f>
        <v>1</v>
      </c>
      <c r="U379" s="52" t="s">
        <v>2302</v>
      </c>
      <c r="V379" s="103" t="n">
        <f aca="false">IF(AND($F379="原始數據",$U379&lt;&gt;"連結 SRC"),1,0)</f>
        <v>0</v>
      </c>
      <c r="W379" s="103" t="n">
        <f aca="false">IF(AND($F379="Analogy",OR($H379="—",$H379="")),1,0)</f>
        <v>0</v>
      </c>
      <c r="X379" s="103" t="n">
        <f aca="false">IF(AND(OR($F379="Analogy",$F379="Assumed"),$G379&lt;&gt;"低",$G379&lt;&gt;"高",NOT(ISNUMBER($K379)),NOT(ISNUMBER($L379)),OR($M379="—",$M379="")),1,0)</f>
        <v>0</v>
      </c>
      <c r="Y379" s="103" t="n">
        <f aca="false">IF(AND(OR($F379="Analogy",$F379="Assumed",$F379="Derived（待改公式）",$F379="Derived（公式）"),OR($N379="—",$N379="",$N379=0)),1,0)</f>
        <v>0</v>
      </c>
      <c r="Z379" s="103" t="n">
        <f aca="false">IF(AND($F379="Decision",OR($J379="—",$J379="")),1,0)</f>
        <v>0</v>
      </c>
      <c r="AA379" s="84" t="n">
        <f aca="false">IF(OR($J379="—",$J379=""),0,IF(COUNTIF(Decisions!$A$5:$A$300,$J379)=0,1,0))</f>
        <v>0</v>
      </c>
      <c r="AB379" s="103" t="n">
        <f aca="false">IF(AND($F379="原始數據",$S379&lt;&gt;"Active"),1,0)</f>
        <v>0</v>
      </c>
      <c r="AC379" s="103" t="n">
        <f aca="false">IF(AND(ISNUMBER($K379),ISNUMBER($L379),ISNUMBER($Q379)),IF(OR($Q379&lt;MIN($K379,$L379),$Q379&gt;MAX($K379,$L379)),1,0),0)</f>
        <v>0</v>
      </c>
      <c r="AD379" s="103" t="n">
        <f aca="false">IF(AND(ISNUMBER($T379),$P379="高"),IF($T379=3,1,0),0)</f>
        <v>0</v>
      </c>
      <c r="AE379" s="103" t="n">
        <f aca="false">IF(AND($S379="不存在",$B379="切片一"),1,0)</f>
        <v>0</v>
      </c>
    </row>
    <row r="380" customFormat="false" ht="44" hidden="false" customHeight="false" outlineLevel="0" collapsed="false">
      <c r="A380" s="53" t="s">
        <v>3159</v>
      </c>
      <c r="B380" s="52" t="s">
        <v>2297</v>
      </c>
      <c r="C380" s="53" t="s">
        <v>2995</v>
      </c>
      <c r="D380" s="53" t="s">
        <v>3160</v>
      </c>
      <c r="E380" s="5" t="s">
        <v>507</v>
      </c>
      <c r="F380" s="52" t="s">
        <v>2491</v>
      </c>
      <c r="G380" s="52" t="s">
        <v>2299</v>
      </c>
      <c r="H380" s="53" t="s">
        <v>2870</v>
      </c>
      <c r="I380" s="5" t="s">
        <v>3155</v>
      </c>
      <c r="J380" s="53" t="s">
        <v>554</v>
      </c>
      <c r="K380" s="52"/>
      <c r="L380" s="52"/>
      <c r="M380" s="53" t="s">
        <v>554</v>
      </c>
      <c r="N380" s="5" t="s">
        <v>3156</v>
      </c>
      <c r="O380" s="6" t="s">
        <v>554</v>
      </c>
      <c r="P380" s="52" t="s">
        <v>2307</v>
      </c>
      <c r="Q380" s="84" t="n">
        <f aca="false">Calib!E119</f>
        <v>1</v>
      </c>
      <c r="R380" s="83" t="n">
        <f aca="false">SRC_PERF_035</f>
        <v>3</v>
      </c>
      <c r="S380" s="83" t="str">
        <f aca="false">IF(OR($H380="—",$H380=""),"—",IF(ISNUMBER(MATCH($H380,SRC_HW!$A$5:$A$400,0)),INDEX(SRC_HW!$O$5:$O$400,MATCH($H380,SRC_HW!$A$5:$A$400,0)),IF(ISNUMBER(MATCH($H380,SRC_DC!$A$5:$A$400,0)),INDEX(SRC_DC!$O$5:$O$400,MATCH($H380,SRC_DC!$A$5:$A$400,0)),IF(ISNUMBER(MATCH($H380,SRC_Model!$A$5:$A$400,0)),INDEX(SRC_Model!$O$5:$O$400,MATCH($H380,SRC_Model!$A$5:$A$400,0)),IF(ISNUMBER(MATCH($H380,SRC_Perf!$A$5:$A$400,0)),INDEX(SRC_Perf!$O$5:$O$400,MATCH($H380,SRC_Perf!$A$5:$A$400,0)),"不存在")))))</f>
        <v>Active</v>
      </c>
      <c r="T380" s="83" t="n">
        <f aca="false">IF(OR($H380="—",$H380=""),"—",IF(ISNUMBER(MATCH($H380,SRC_HW!$A$5:$A$400,0)),INDEX(SRC_HW!$K$5:$K$400,MATCH($H380,SRC_HW!$A$5:$A$400,0)),IF(ISNUMBER(MATCH($H380,SRC_DC!$A$5:$A$400,0)),INDEX(SRC_DC!$K$5:$K$400,MATCH($H380,SRC_DC!$A$5:$A$400,0)),IF(ISNUMBER(MATCH($H380,SRC_Model!$A$5:$A$400,0)),INDEX(SRC_Model!$K$5:$K$400,MATCH($H380,SRC_Model!$A$5:$A$400,0)),IF(ISNUMBER(MATCH($H380,SRC_Perf!$A$5:$A$400,0)),INDEX(SRC_Perf!$K$5:$K$400,MATCH($H380,SRC_Perf!$A$5:$A$400,0)),"不存在")))))</f>
        <v>1</v>
      </c>
      <c r="U380" s="52" t="s">
        <v>2302</v>
      </c>
      <c r="V380" s="103" t="n">
        <f aca="false">IF(AND($F380="原始數據",$U380&lt;&gt;"連結 SRC"),1,0)</f>
        <v>0</v>
      </c>
      <c r="W380" s="103" t="n">
        <f aca="false">IF(AND($F380="Analogy",OR($H380="—",$H380="")),1,0)</f>
        <v>0</v>
      </c>
      <c r="X380" s="103" t="n">
        <f aca="false">IF(AND(OR($F380="Analogy",$F380="Assumed"),$G380&lt;&gt;"低",$G380&lt;&gt;"高",NOT(ISNUMBER($K380)),NOT(ISNUMBER($L380)),OR($M380="—",$M380="")),1,0)</f>
        <v>0</v>
      </c>
      <c r="Y380" s="103" t="n">
        <f aca="false">IF(AND(OR($F380="Analogy",$F380="Assumed",$F380="Derived（待改公式）",$F380="Derived（公式）"),OR($N380="—",$N380="",$N380=0)),1,0)</f>
        <v>0</v>
      </c>
      <c r="Z380" s="103" t="n">
        <f aca="false">IF(AND($F380="Decision",OR($J380="—",$J380="")),1,0)</f>
        <v>0</v>
      </c>
      <c r="AA380" s="84" t="n">
        <f aca="false">IF(OR($J380="—",$J380=""),0,IF(COUNTIF(Decisions!$A$5:$A$300,$J380)=0,1,0))</f>
        <v>0</v>
      </c>
      <c r="AB380" s="103" t="n">
        <f aca="false">IF(AND($F380="原始數據",$S380&lt;&gt;"Active"),1,0)</f>
        <v>0</v>
      </c>
      <c r="AC380" s="103" t="n">
        <f aca="false">IF(AND(ISNUMBER($K380),ISNUMBER($L380),ISNUMBER($Q380)),IF(OR($Q380&lt;MIN($K380,$L380),$Q380&gt;MAX($K380,$L380)),1,0),0)</f>
        <v>0</v>
      </c>
      <c r="AD380" s="103" t="n">
        <f aca="false">IF(AND(ISNUMBER($T380),$P380="高"),IF($T380=3,1,0),0)</f>
        <v>0</v>
      </c>
      <c r="AE380" s="103" t="n">
        <f aca="false">IF(AND($S380="不存在",$B380="切片一"),1,0)</f>
        <v>0</v>
      </c>
    </row>
    <row r="381" customFormat="false" ht="44" hidden="false" customHeight="false" outlineLevel="0" collapsed="false">
      <c r="A381" s="53" t="s">
        <v>3161</v>
      </c>
      <c r="B381" s="52" t="s">
        <v>2297</v>
      </c>
      <c r="C381" s="53" t="s">
        <v>2995</v>
      </c>
      <c r="D381" s="53" t="s">
        <v>3162</v>
      </c>
      <c r="E381" s="5" t="s">
        <v>507</v>
      </c>
      <c r="F381" s="52" t="s">
        <v>2491</v>
      </c>
      <c r="G381" s="52" t="s">
        <v>2299</v>
      </c>
      <c r="H381" s="53" t="s">
        <v>2870</v>
      </c>
      <c r="I381" s="5" t="s">
        <v>3163</v>
      </c>
      <c r="J381" s="53" t="s">
        <v>554</v>
      </c>
      <c r="K381" s="52"/>
      <c r="L381" s="52"/>
      <c r="M381" s="53" t="s">
        <v>554</v>
      </c>
      <c r="N381" s="5" t="s">
        <v>3164</v>
      </c>
      <c r="O381" s="6" t="s">
        <v>554</v>
      </c>
      <c r="P381" s="52" t="s">
        <v>2307</v>
      </c>
      <c r="Q381" s="84" t="n">
        <f aca="false">Calib!F119</f>
        <v>0</v>
      </c>
      <c r="R381" s="83" t="n">
        <f aca="false">SRC_PERF_035</f>
        <v>3</v>
      </c>
      <c r="S381" s="83" t="str">
        <f aca="false">IF(OR($H381="—",$H381=""),"—",IF(ISNUMBER(MATCH($H381,SRC_HW!$A$5:$A$400,0)),INDEX(SRC_HW!$O$5:$O$400,MATCH($H381,SRC_HW!$A$5:$A$400,0)),IF(ISNUMBER(MATCH($H381,SRC_DC!$A$5:$A$400,0)),INDEX(SRC_DC!$O$5:$O$400,MATCH($H381,SRC_DC!$A$5:$A$400,0)),IF(ISNUMBER(MATCH($H381,SRC_Model!$A$5:$A$400,0)),INDEX(SRC_Model!$O$5:$O$400,MATCH($H381,SRC_Model!$A$5:$A$400,0)),IF(ISNUMBER(MATCH($H381,SRC_Perf!$A$5:$A$400,0)),INDEX(SRC_Perf!$O$5:$O$400,MATCH($H381,SRC_Perf!$A$5:$A$400,0)),"不存在")))))</f>
        <v>Active</v>
      </c>
      <c r="T381" s="83" t="n">
        <f aca="false">IF(OR($H381="—",$H381=""),"—",IF(ISNUMBER(MATCH($H381,SRC_HW!$A$5:$A$400,0)),INDEX(SRC_HW!$K$5:$K$400,MATCH($H381,SRC_HW!$A$5:$A$400,0)),IF(ISNUMBER(MATCH($H381,SRC_DC!$A$5:$A$400,0)),INDEX(SRC_DC!$K$5:$K$400,MATCH($H381,SRC_DC!$A$5:$A$400,0)),IF(ISNUMBER(MATCH($H381,SRC_Model!$A$5:$A$400,0)),INDEX(SRC_Model!$K$5:$K$400,MATCH($H381,SRC_Model!$A$5:$A$400,0)),IF(ISNUMBER(MATCH($H381,SRC_Perf!$A$5:$A$400,0)),INDEX(SRC_Perf!$K$5:$K$400,MATCH($H381,SRC_Perf!$A$5:$A$400,0)),"不存在")))))</f>
        <v>1</v>
      </c>
      <c r="U381" s="52" t="s">
        <v>2302</v>
      </c>
      <c r="V381" s="103" t="n">
        <f aca="false">IF(AND($F381="原始數據",$U381&lt;&gt;"連結 SRC"),1,0)</f>
        <v>0</v>
      </c>
      <c r="W381" s="103" t="n">
        <f aca="false">IF(AND($F381="Analogy",OR($H381="—",$H381="")),1,0)</f>
        <v>0</v>
      </c>
      <c r="X381" s="103" t="n">
        <f aca="false">IF(AND(OR($F381="Analogy",$F381="Assumed"),$G381&lt;&gt;"低",$G381&lt;&gt;"高",NOT(ISNUMBER($K381)),NOT(ISNUMBER($L381)),OR($M381="—",$M381="")),1,0)</f>
        <v>0</v>
      </c>
      <c r="Y381" s="103" t="n">
        <f aca="false">IF(AND(OR($F381="Analogy",$F381="Assumed",$F381="Derived（待改公式）",$F381="Derived（公式）"),OR($N381="—",$N381="",$N381=0)),1,0)</f>
        <v>0</v>
      </c>
      <c r="Z381" s="103" t="n">
        <f aca="false">IF(AND($F381="Decision",OR($J381="—",$J381="")),1,0)</f>
        <v>0</v>
      </c>
      <c r="AA381" s="84" t="n">
        <f aca="false">IF(OR($J381="—",$J381=""),0,IF(COUNTIF(Decisions!$A$5:$A$300,$J381)=0,1,0))</f>
        <v>0</v>
      </c>
      <c r="AB381" s="103" t="n">
        <f aca="false">IF(AND($F381="原始數據",$S381&lt;&gt;"Active"),1,0)</f>
        <v>0</v>
      </c>
      <c r="AC381" s="103" t="n">
        <f aca="false">IF(AND(ISNUMBER($K381),ISNUMBER($L381),ISNUMBER($Q381)),IF(OR($Q381&lt;MIN($K381,$L381),$Q381&gt;MAX($K381,$L381)),1,0),0)</f>
        <v>0</v>
      </c>
      <c r="AD381" s="103" t="n">
        <f aca="false">IF(AND(ISNUMBER($T381),$P381="高"),IF($T381=3,1,0),0)</f>
        <v>0</v>
      </c>
      <c r="AE381" s="103" t="n">
        <f aca="false">IF(AND($S381="不存在",$B381="切片一"),1,0)</f>
        <v>0</v>
      </c>
    </row>
    <row r="382" customFormat="false" ht="29.85" hidden="false" customHeight="false" outlineLevel="0" collapsed="false">
      <c r="A382" s="53" t="s">
        <v>3165</v>
      </c>
      <c r="B382" s="52" t="s">
        <v>2297</v>
      </c>
      <c r="C382" s="53" t="s">
        <v>2995</v>
      </c>
      <c r="D382" s="53" t="s">
        <v>3166</v>
      </c>
      <c r="E382" s="6" t="s">
        <v>509</v>
      </c>
      <c r="F382" s="52" t="s">
        <v>2337</v>
      </c>
      <c r="G382" s="52" t="s">
        <v>2299</v>
      </c>
      <c r="H382" s="53" t="s">
        <v>3167</v>
      </c>
      <c r="I382" s="5" t="s">
        <v>2627</v>
      </c>
      <c r="J382" s="53" t="s">
        <v>554</v>
      </c>
      <c r="K382" s="52"/>
      <c r="L382" s="52"/>
      <c r="M382" s="53" t="s">
        <v>554</v>
      </c>
      <c r="N382" s="5" t="s">
        <v>2340</v>
      </c>
      <c r="O382" s="6" t="s">
        <v>554</v>
      </c>
      <c r="P382" s="53" t="s">
        <v>554</v>
      </c>
      <c r="Q382" s="54" t="n">
        <f aca="false">Calib!C120</f>
        <v>3520.91666666667</v>
      </c>
      <c r="R382" s="83" t="n">
        <f aca="false">SRC_PERF_028</f>
        <v>253506</v>
      </c>
      <c r="S382" s="83" t="str">
        <f aca="false">IF(OR($H382="—",$H382=""),"—",IF(ISNUMBER(MATCH($H382,SRC_HW!$A$5:$A$400,0)),INDEX(SRC_HW!$O$5:$O$400,MATCH($H382,SRC_HW!$A$5:$A$400,0)),IF(ISNUMBER(MATCH($H382,SRC_DC!$A$5:$A$400,0)),INDEX(SRC_DC!$O$5:$O$400,MATCH($H382,SRC_DC!$A$5:$A$400,0)),IF(ISNUMBER(MATCH($H382,SRC_Model!$A$5:$A$400,0)),INDEX(SRC_Model!$O$5:$O$400,MATCH($H382,SRC_Model!$A$5:$A$400,0)),IF(ISNUMBER(MATCH($H382,SRC_Perf!$A$5:$A$400,0)),INDEX(SRC_Perf!$O$5:$O$400,MATCH($H382,SRC_Perf!$A$5:$A$400,0)),"不存在")))))</f>
        <v>Active</v>
      </c>
      <c r="T382" s="83" t="n">
        <f aca="false">IF(OR($H382="—",$H382=""),"—",IF(ISNUMBER(MATCH($H382,SRC_HW!$A$5:$A$400,0)),INDEX(SRC_HW!$K$5:$K$400,MATCH($H382,SRC_HW!$A$5:$A$400,0)),IF(ISNUMBER(MATCH($H382,SRC_DC!$A$5:$A$400,0)),INDEX(SRC_DC!$K$5:$K$400,MATCH($H382,SRC_DC!$A$5:$A$400,0)),IF(ISNUMBER(MATCH($H382,SRC_Model!$A$5:$A$400,0)),INDEX(SRC_Model!$K$5:$K$400,MATCH($H382,SRC_Model!$A$5:$A$400,0)),IF(ISNUMBER(MATCH($H382,SRC_Perf!$A$5:$A$400,0)),INDEX(SRC_Perf!$K$5:$K$400,MATCH($H382,SRC_Perf!$A$5:$A$400,0)),"不存在")))))</f>
        <v>2</v>
      </c>
      <c r="U382" s="52" t="s">
        <v>2341</v>
      </c>
      <c r="V382" s="103" t="n">
        <f aca="false">IF(AND($F382="原始數據",$U382&lt;&gt;"連結 SRC"),1,0)</f>
        <v>0</v>
      </c>
      <c r="W382" s="103" t="n">
        <f aca="false">IF(AND($F382="Analogy",OR($H382="—",$H382="")),1,0)</f>
        <v>0</v>
      </c>
      <c r="X382" s="103" t="n">
        <f aca="false">IF(AND(OR($F382="Analogy",$F382="Assumed"),$G382&lt;&gt;"低",$G382&lt;&gt;"高",NOT(ISNUMBER($K382)),NOT(ISNUMBER($L382)),OR($M382="—",$M382="")),1,0)</f>
        <v>0</v>
      </c>
      <c r="Y382" s="103" t="n">
        <f aca="false">IF(AND(OR($F382="Analogy",$F382="Assumed",$F382="Derived（待改公式）",$F382="Derived（公式）"),OR($N382="—",$N382="",$N382=0)),1,0)</f>
        <v>0</v>
      </c>
      <c r="Z382" s="103" t="n">
        <f aca="false">IF(AND($F382="Decision",OR($J382="—",$J382="")),1,0)</f>
        <v>0</v>
      </c>
      <c r="AA382" s="84" t="n">
        <f aca="false">IF(OR($J382="—",$J382=""),0,IF(COUNTIF(Decisions!$A$5:$A$300,$J382)=0,1,0))</f>
        <v>0</v>
      </c>
      <c r="AB382" s="103" t="n">
        <f aca="false">IF(AND($F382="原始數據",$S382&lt;&gt;"Active"),1,0)</f>
        <v>0</v>
      </c>
      <c r="AC382" s="103" t="n">
        <f aca="false">IF(AND(ISNUMBER($K382),ISNUMBER($L382),ISNUMBER($Q382)),IF(OR($Q382&lt;MIN($K382,$L382),$Q382&gt;MAX($K382,$L382)),1,0),0)</f>
        <v>0</v>
      </c>
      <c r="AD382" s="103" t="n">
        <f aca="false">IF(AND(ISNUMBER($T382),$P382="高"),IF($T382=3,1,0),0)</f>
        <v>0</v>
      </c>
      <c r="AE382" s="103" t="n">
        <f aca="false">IF(AND($S382="不存在",$B382="切片一"),1,0)</f>
        <v>0</v>
      </c>
    </row>
    <row r="383" customFormat="false" ht="29.85" hidden="false" customHeight="false" outlineLevel="0" collapsed="false">
      <c r="A383" s="53" t="s">
        <v>3168</v>
      </c>
      <c r="B383" s="52" t="s">
        <v>2297</v>
      </c>
      <c r="C383" s="53" t="s">
        <v>2995</v>
      </c>
      <c r="D383" s="53" t="s">
        <v>3169</v>
      </c>
      <c r="E383" s="6" t="s">
        <v>509</v>
      </c>
      <c r="F383" s="52" t="s">
        <v>2337</v>
      </c>
      <c r="G383" s="52" t="s">
        <v>2299</v>
      </c>
      <c r="H383" s="53" t="s">
        <v>3170</v>
      </c>
      <c r="I383" s="5" t="s">
        <v>2627</v>
      </c>
      <c r="J383" s="53" t="s">
        <v>554</v>
      </c>
      <c r="K383" s="52"/>
      <c r="L383" s="52"/>
      <c r="M383" s="53" t="s">
        <v>554</v>
      </c>
      <c r="N383" s="5" t="s">
        <v>2340</v>
      </c>
      <c r="O383" s="6" t="s">
        <v>554</v>
      </c>
      <c r="P383" s="53" t="s">
        <v>554</v>
      </c>
      <c r="Q383" s="54" t="n">
        <f aca="false">Calib!D120</f>
        <v>3337.75</v>
      </c>
      <c r="R383" s="83" t="n">
        <f aca="false">SRC_PERF_025</f>
        <v>240318</v>
      </c>
      <c r="S383" s="83" t="str">
        <f aca="false">IF(OR($H383="—",$H383=""),"—",IF(ISNUMBER(MATCH($H383,SRC_HW!$A$5:$A$400,0)),INDEX(SRC_HW!$O$5:$O$400,MATCH($H383,SRC_HW!$A$5:$A$400,0)),IF(ISNUMBER(MATCH($H383,SRC_DC!$A$5:$A$400,0)),INDEX(SRC_DC!$O$5:$O$400,MATCH($H383,SRC_DC!$A$5:$A$400,0)),IF(ISNUMBER(MATCH($H383,SRC_Model!$A$5:$A$400,0)),INDEX(SRC_Model!$O$5:$O$400,MATCH($H383,SRC_Model!$A$5:$A$400,0)),IF(ISNUMBER(MATCH($H383,SRC_Perf!$A$5:$A$400,0)),INDEX(SRC_Perf!$O$5:$O$400,MATCH($H383,SRC_Perf!$A$5:$A$400,0)),"不存在")))))</f>
        <v>Active</v>
      </c>
      <c r="T383" s="83" t="n">
        <f aca="false">IF(OR($H383="—",$H383=""),"—",IF(ISNUMBER(MATCH($H383,SRC_HW!$A$5:$A$400,0)),INDEX(SRC_HW!$K$5:$K$400,MATCH($H383,SRC_HW!$A$5:$A$400,0)),IF(ISNUMBER(MATCH($H383,SRC_DC!$A$5:$A$400,0)),INDEX(SRC_DC!$K$5:$K$400,MATCH($H383,SRC_DC!$A$5:$A$400,0)),IF(ISNUMBER(MATCH($H383,SRC_Model!$A$5:$A$400,0)),INDEX(SRC_Model!$K$5:$K$400,MATCH($H383,SRC_Model!$A$5:$A$400,0)),IF(ISNUMBER(MATCH($H383,SRC_Perf!$A$5:$A$400,0)),INDEX(SRC_Perf!$K$5:$K$400,MATCH($H383,SRC_Perf!$A$5:$A$400,0)),"不存在")))))</f>
        <v>2</v>
      </c>
      <c r="U383" s="52" t="s">
        <v>2341</v>
      </c>
      <c r="V383" s="103" t="n">
        <f aca="false">IF(AND($F383="原始數據",$U383&lt;&gt;"連結 SRC"),1,0)</f>
        <v>0</v>
      </c>
      <c r="W383" s="103" t="n">
        <f aca="false">IF(AND($F383="Analogy",OR($H383="—",$H383="")),1,0)</f>
        <v>0</v>
      </c>
      <c r="X383" s="103" t="n">
        <f aca="false">IF(AND(OR($F383="Analogy",$F383="Assumed"),$G383&lt;&gt;"低",$G383&lt;&gt;"高",NOT(ISNUMBER($K383)),NOT(ISNUMBER($L383)),OR($M383="—",$M383="")),1,0)</f>
        <v>0</v>
      </c>
      <c r="Y383" s="103" t="n">
        <f aca="false">IF(AND(OR($F383="Analogy",$F383="Assumed",$F383="Derived（待改公式）",$F383="Derived（公式）"),OR($N383="—",$N383="",$N383=0)),1,0)</f>
        <v>0</v>
      </c>
      <c r="Z383" s="103" t="n">
        <f aca="false">IF(AND($F383="Decision",OR($J383="—",$J383="")),1,0)</f>
        <v>0</v>
      </c>
      <c r="AA383" s="84" t="n">
        <f aca="false">IF(OR($J383="—",$J383=""),0,IF(COUNTIF(Decisions!$A$5:$A$300,$J383)=0,1,0))</f>
        <v>0</v>
      </c>
      <c r="AB383" s="103" t="n">
        <f aca="false">IF(AND($F383="原始數據",$S383&lt;&gt;"Active"),1,0)</f>
        <v>0</v>
      </c>
      <c r="AC383" s="103" t="n">
        <f aca="false">IF(AND(ISNUMBER($K383),ISNUMBER($L383),ISNUMBER($Q383)),IF(OR($Q383&lt;MIN($K383,$L383),$Q383&gt;MAX($K383,$L383)),1,0),0)</f>
        <v>0</v>
      </c>
      <c r="AD383" s="103" t="n">
        <f aca="false">IF(AND(ISNUMBER($T383),$P383="高"),IF($T383=3,1,0),0)</f>
        <v>0</v>
      </c>
      <c r="AE383" s="103" t="n">
        <f aca="false">IF(AND($S383="不存在",$B383="切片一"),1,0)</f>
        <v>0</v>
      </c>
    </row>
    <row r="384" customFormat="false" ht="29.85" hidden="false" customHeight="false" outlineLevel="0" collapsed="false">
      <c r="A384" s="53" t="s">
        <v>3171</v>
      </c>
      <c r="B384" s="52" t="s">
        <v>2297</v>
      </c>
      <c r="C384" s="53" t="s">
        <v>2995</v>
      </c>
      <c r="D384" s="53" t="s">
        <v>3172</v>
      </c>
      <c r="E384" s="6" t="s">
        <v>509</v>
      </c>
      <c r="F384" s="52" t="s">
        <v>2337</v>
      </c>
      <c r="G384" s="52" t="s">
        <v>2299</v>
      </c>
      <c r="H384" s="53" t="s">
        <v>3173</v>
      </c>
      <c r="I384" s="5" t="s">
        <v>2627</v>
      </c>
      <c r="J384" s="53" t="s">
        <v>554</v>
      </c>
      <c r="K384" s="52"/>
      <c r="L384" s="52"/>
      <c r="M384" s="53" t="s">
        <v>554</v>
      </c>
      <c r="N384" s="5" t="s">
        <v>2340</v>
      </c>
      <c r="O384" s="6" t="s">
        <v>554</v>
      </c>
      <c r="P384" s="53" t="s">
        <v>554</v>
      </c>
      <c r="Q384" s="54" t="n">
        <f aca="false">Calib!E120</f>
        <v>9065.97222222222</v>
      </c>
      <c r="R384" s="83" t="n">
        <f aca="false">SRC_PERF_027</f>
        <v>652750</v>
      </c>
      <c r="S384" s="83" t="str">
        <f aca="false">IF(OR($H384="—",$H384=""),"—",IF(ISNUMBER(MATCH($H384,SRC_HW!$A$5:$A$400,0)),INDEX(SRC_HW!$O$5:$O$400,MATCH($H384,SRC_HW!$A$5:$A$400,0)),IF(ISNUMBER(MATCH($H384,SRC_DC!$A$5:$A$400,0)),INDEX(SRC_DC!$O$5:$O$400,MATCH($H384,SRC_DC!$A$5:$A$400,0)),IF(ISNUMBER(MATCH($H384,SRC_Model!$A$5:$A$400,0)),INDEX(SRC_Model!$O$5:$O$400,MATCH($H384,SRC_Model!$A$5:$A$400,0)),IF(ISNUMBER(MATCH($H384,SRC_Perf!$A$5:$A$400,0)),INDEX(SRC_Perf!$O$5:$O$400,MATCH($H384,SRC_Perf!$A$5:$A$400,0)),"不存在")))))</f>
        <v>Active</v>
      </c>
      <c r="T384" s="83" t="n">
        <f aca="false">IF(OR($H384="—",$H384=""),"—",IF(ISNUMBER(MATCH($H384,SRC_HW!$A$5:$A$400,0)),INDEX(SRC_HW!$K$5:$K$400,MATCH($H384,SRC_HW!$A$5:$A$400,0)),IF(ISNUMBER(MATCH($H384,SRC_DC!$A$5:$A$400,0)),INDEX(SRC_DC!$K$5:$K$400,MATCH($H384,SRC_DC!$A$5:$A$400,0)),IF(ISNUMBER(MATCH($H384,SRC_Model!$A$5:$A$400,0)),INDEX(SRC_Model!$K$5:$K$400,MATCH($H384,SRC_Model!$A$5:$A$400,0)),IF(ISNUMBER(MATCH($H384,SRC_Perf!$A$5:$A$400,0)),INDEX(SRC_Perf!$K$5:$K$400,MATCH($H384,SRC_Perf!$A$5:$A$400,0)),"不存在")))))</f>
        <v>2</v>
      </c>
      <c r="U384" s="52" t="s">
        <v>2341</v>
      </c>
      <c r="V384" s="103" t="n">
        <f aca="false">IF(AND($F384="原始數據",$U384&lt;&gt;"連結 SRC"),1,0)</f>
        <v>0</v>
      </c>
      <c r="W384" s="103" t="n">
        <f aca="false">IF(AND($F384="Analogy",OR($H384="—",$H384="")),1,0)</f>
        <v>0</v>
      </c>
      <c r="X384" s="103" t="n">
        <f aca="false">IF(AND(OR($F384="Analogy",$F384="Assumed"),$G384&lt;&gt;"低",$G384&lt;&gt;"高",NOT(ISNUMBER($K384)),NOT(ISNUMBER($L384)),OR($M384="—",$M384="")),1,0)</f>
        <v>0</v>
      </c>
      <c r="Y384" s="103" t="n">
        <f aca="false">IF(AND(OR($F384="Analogy",$F384="Assumed",$F384="Derived（待改公式）",$F384="Derived（公式）"),OR($N384="—",$N384="",$N384=0)),1,0)</f>
        <v>0</v>
      </c>
      <c r="Z384" s="103" t="n">
        <f aca="false">IF(AND($F384="Decision",OR($J384="—",$J384="")),1,0)</f>
        <v>0</v>
      </c>
      <c r="AA384" s="84" t="n">
        <f aca="false">IF(OR($J384="—",$J384=""),0,IF(COUNTIF(Decisions!$A$5:$A$300,$J384)=0,1,0))</f>
        <v>0</v>
      </c>
      <c r="AB384" s="103" t="n">
        <f aca="false">IF(AND($F384="原始數據",$S384&lt;&gt;"Active"),1,0)</f>
        <v>0</v>
      </c>
      <c r="AC384" s="103" t="n">
        <f aca="false">IF(AND(ISNUMBER($K384),ISNUMBER($L384),ISNUMBER($Q384)),IF(OR($Q384&lt;MIN($K384,$L384),$Q384&gt;MAX($K384,$L384)),1,0),0)</f>
        <v>0</v>
      </c>
      <c r="AD384" s="103" t="n">
        <f aca="false">IF(AND(ISNUMBER($T384),$P384="高"),IF($T384=3,1,0),0)</f>
        <v>0</v>
      </c>
      <c r="AE384" s="103" t="n">
        <f aca="false">IF(AND($S384="不存在",$B384="切片一"),1,0)</f>
        <v>0</v>
      </c>
    </row>
    <row r="385" customFormat="false" ht="29.85" hidden="false" customHeight="false" outlineLevel="0" collapsed="false">
      <c r="A385" s="53" t="s">
        <v>3174</v>
      </c>
      <c r="B385" s="52" t="s">
        <v>2297</v>
      </c>
      <c r="C385" s="53" t="s">
        <v>2995</v>
      </c>
      <c r="D385" s="53" t="s">
        <v>3175</v>
      </c>
      <c r="E385" s="6" t="s">
        <v>509</v>
      </c>
      <c r="F385" s="52" t="s">
        <v>2337</v>
      </c>
      <c r="G385" s="52" t="s">
        <v>2299</v>
      </c>
      <c r="H385" s="53" t="s">
        <v>3176</v>
      </c>
      <c r="I385" s="5" t="s">
        <v>2339</v>
      </c>
      <c r="J385" s="53" t="s">
        <v>554</v>
      </c>
      <c r="K385" s="52"/>
      <c r="L385" s="52"/>
      <c r="M385" s="53" t="s">
        <v>554</v>
      </c>
      <c r="N385" s="5" t="s">
        <v>2340</v>
      </c>
      <c r="O385" s="6" t="s">
        <v>554</v>
      </c>
      <c r="P385" s="52" t="s">
        <v>2307</v>
      </c>
      <c r="Q385" s="54" t="n">
        <f aca="false">Calib!F120</f>
        <v>8064</v>
      </c>
      <c r="R385" s="83" t="n">
        <f aca="false">SRC_PERF_026</f>
        <v>8064</v>
      </c>
      <c r="S385" s="83" t="str">
        <f aca="false">IF(OR($H385="—",$H385=""),"—",IF(ISNUMBER(MATCH($H385,SRC_HW!$A$5:$A$400,0)),INDEX(SRC_HW!$O$5:$O$400,MATCH($H385,SRC_HW!$A$5:$A$400,0)),IF(ISNUMBER(MATCH($H385,SRC_DC!$A$5:$A$400,0)),INDEX(SRC_DC!$O$5:$O$400,MATCH($H385,SRC_DC!$A$5:$A$400,0)),IF(ISNUMBER(MATCH($H385,SRC_Model!$A$5:$A$400,0)),INDEX(SRC_Model!$O$5:$O$400,MATCH($H385,SRC_Model!$A$5:$A$400,0)),IF(ISNUMBER(MATCH($H385,SRC_Perf!$A$5:$A$400,0)),INDEX(SRC_Perf!$O$5:$O$400,MATCH($H385,SRC_Perf!$A$5:$A$400,0)),"不存在")))))</f>
        <v>Active</v>
      </c>
      <c r="T385" s="83" t="n">
        <f aca="false">IF(OR($H385="—",$H385=""),"—",IF(ISNUMBER(MATCH($H385,SRC_HW!$A$5:$A$400,0)),INDEX(SRC_HW!$K$5:$K$400,MATCH($H385,SRC_HW!$A$5:$A$400,0)),IF(ISNUMBER(MATCH($H385,SRC_DC!$A$5:$A$400,0)),INDEX(SRC_DC!$K$5:$K$400,MATCH($H385,SRC_DC!$A$5:$A$400,0)),IF(ISNUMBER(MATCH($H385,SRC_Model!$A$5:$A$400,0)),INDEX(SRC_Model!$K$5:$K$400,MATCH($H385,SRC_Model!$A$5:$A$400,0)),IF(ISNUMBER(MATCH($H385,SRC_Perf!$A$5:$A$400,0)),INDEX(SRC_Perf!$K$5:$K$400,MATCH($H385,SRC_Perf!$A$5:$A$400,0)),"不存在")))))</f>
        <v>2</v>
      </c>
      <c r="U385" s="52" t="s">
        <v>2341</v>
      </c>
      <c r="V385" s="103" t="n">
        <f aca="false">IF(AND($F385="原始數據",$U385&lt;&gt;"連結 SRC"),1,0)</f>
        <v>0</v>
      </c>
      <c r="W385" s="103" t="n">
        <f aca="false">IF(AND($F385="Analogy",OR($H385="—",$H385="")),1,0)</f>
        <v>0</v>
      </c>
      <c r="X385" s="103" t="n">
        <f aca="false">IF(AND(OR($F385="Analogy",$F385="Assumed"),$G385&lt;&gt;"低",$G385&lt;&gt;"高",NOT(ISNUMBER($K385)),NOT(ISNUMBER($L385)),OR($M385="—",$M385="")),1,0)</f>
        <v>0</v>
      </c>
      <c r="Y385" s="103" t="n">
        <f aca="false">IF(AND(OR($F385="Analogy",$F385="Assumed",$F385="Derived（待改公式）",$F385="Derived（公式）"),OR($N385="—",$N385="",$N385=0)),1,0)</f>
        <v>0</v>
      </c>
      <c r="Z385" s="103" t="n">
        <f aca="false">IF(AND($F385="Decision",OR($J385="—",$J385="")),1,0)</f>
        <v>0</v>
      </c>
      <c r="AA385" s="84" t="n">
        <f aca="false">IF(OR($J385="—",$J385=""),0,IF(COUNTIF(Decisions!$A$5:$A$300,$J385)=0,1,0))</f>
        <v>0</v>
      </c>
      <c r="AB385" s="103" t="n">
        <f aca="false">IF(AND($F385="原始數據",$S385&lt;&gt;"Active"),1,0)</f>
        <v>0</v>
      </c>
      <c r="AC385" s="103" t="n">
        <f aca="false">IF(AND(ISNUMBER($K385),ISNUMBER($L385),ISNUMBER($Q385)),IF(OR($Q385&lt;MIN($K385,$L385),$Q385&gt;MAX($K385,$L385)),1,0),0)</f>
        <v>0</v>
      </c>
      <c r="AD385" s="103" t="n">
        <f aca="false">IF(AND(ISNUMBER($T385),$P385="高"),IF($T385=3,1,0),0)</f>
        <v>0</v>
      </c>
      <c r="AE385" s="103" t="n">
        <f aca="false">IF(AND($S385="不存在",$B385="切片一"),1,0)</f>
        <v>0</v>
      </c>
    </row>
    <row r="386" customFormat="false" ht="29.85" hidden="false" customHeight="false" outlineLevel="0" collapsed="false">
      <c r="A386" s="53" t="s">
        <v>3177</v>
      </c>
      <c r="B386" s="52" t="s">
        <v>2297</v>
      </c>
      <c r="C386" s="53" t="s">
        <v>3178</v>
      </c>
      <c r="D386" s="53" t="s">
        <v>2921</v>
      </c>
      <c r="E386" s="6" t="s">
        <v>1946</v>
      </c>
      <c r="F386" s="53" t="s">
        <v>70</v>
      </c>
      <c r="G386" s="52" t="s">
        <v>2299</v>
      </c>
      <c r="H386" s="53" t="s">
        <v>554</v>
      </c>
      <c r="I386" s="6" t="s">
        <v>554</v>
      </c>
      <c r="J386" s="53" t="s">
        <v>554</v>
      </c>
      <c r="K386" s="128" t="n">
        <v>0.4</v>
      </c>
      <c r="L386" s="128" t="n">
        <v>0.8</v>
      </c>
      <c r="M386" s="53" t="s">
        <v>3179</v>
      </c>
      <c r="N386" s="204" t="str">
        <f aca="false">Energy!$F$5</f>
        <v>Assumed：pJ/FLOP＝GPU 功率 × 此比例 ÷ 峰值（滿載上限口徑），區間 0.4–0.8</v>
      </c>
      <c r="O386" s="6" t="s">
        <v>554</v>
      </c>
      <c r="P386" s="52" t="s">
        <v>2307</v>
      </c>
      <c r="Q386" s="56" t="n">
        <f aca="false">Energy!C5</f>
        <v>0.6</v>
      </c>
      <c r="R386" s="53" t="s">
        <v>554</v>
      </c>
      <c r="S386" s="83" t="str">
        <f aca="false">IF(OR($H386="—",$H386=""),"—",IF(ISNUMBER(MATCH($H386,SRC_HW!$A$5:$A$400,0)),INDEX(SRC_HW!$O$5:$O$400,MATCH($H386,SRC_HW!$A$5:$A$400,0)),IF(ISNUMBER(MATCH($H386,SRC_DC!$A$5:$A$400,0)),INDEX(SRC_DC!$O$5:$O$400,MATCH($H386,SRC_DC!$A$5:$A$400,0)),IF(ISNUMBER(MATCH($H386,SRC_Model!$A$5:$A$400,0)),INDEX(SRC_Model!$O$5:$O$400,MATCH($H386,SRC_Model!$A$5:$A$400,0)),IF(ISNUMBER(MATCH($H386,SRC_Perf!$A$5:$A$400,0)),INDEX(SRC_Perf!$O$5:$O$400,MATCH($H386,SRC_Perf!$A$5:$A$400,0)),"不存在")))))</f>
        <v>—</v>
      </c>
      <c r="T386" s="83" t="str">
        <f aca="false">IF(OR($H386="—",$H386=""),"—",IF(ISNUMBER(MATCH($H386,SRC_HW!$A$5:$A$400,0)),INDEX(SRC_HW!$K$5:$K$400,MATCH($H386,SRC_HW!$A$5:$A$400,0)),IF(ISNUMBER(MATCH($H386,SRC_DC!$A$5:$A$400,0)),INDEX(SRC_DC!$K$5:$K$400,MATCH($H386,SRC_DC!$A$5:$A$400,0)),IF(ISNUMBER(MATCH($H386,SRC_Model!$A$5:$A$400,0)),INDEX(SRC_Model!$K$5:$K$400,MATCH($H386,SRC_Model!$A$5:$A$400,0)),IF(ISNUMBER(MATCH($H386,SRC_Perf!$A$5:$A$400,0)),INDEX(SRC_Perf!$K$5:$K$400,MATCH($H386,SRC_Perf!$A$5:$A$400,0)),"不存在")))))</f>
        <v>—</v>
      </c>
      <c r="U386" s="52" t="s">
        <v>2302</v>
      </c>
      <c r="V386" s="103" t="n">
        <f aca="false">IF(AND($F386="原始數據",$U386&lt;&gt;"連結 SRC"),1,0)</f>
        <v>0</v>
      </c>
      <c r="W386" s="103" t="n">
        <f aca="false">IF(AND($F386="Analogy",OR($H386="—",$H386="")),1,0)</f>
        <v>0</v>
      </c>
      <c r="X386" s="103" t="n">
        <f aca="false">IF(AND(OR($F386="Analogy",$F386="Assumed"),$G386&lt;&gt;"低",$G386&lt;&gt;"高",NOT(ISNUMBER($K386)),NOT(ISNUMBER($L386)),OR($M386="—",$M386="")),1,0)</f>
        <v>0</v>
      </c>
      <c r="Y386" s="103" t="n">
        <f aca="false">IF(AND(OR($F386="Analogy",$F386="Assumed",$F386="Derived（待改公式）",$F386="Derived（公式）"),OR($N386="—",$N386="",$N386=0)),1,0)</f>
        <v>0</v>
      </c>
      <c r="Z386" s="103" t="n">
        <f aca="false">IF(AND($F386="Decision",OR($J386="—",$J386="")),1,0)</f>
        <v>0</v>
      </c>
      <c r="AA386" s="84" t="n">
        <f aca="false">IF(OR($J386="—",$J386=""),0,IF(COUNTIF(Decisions!$A$5:$A$300,$J386)=0,1,0))</f>
        <v>0</v>
      </c>
      <c r="AB386" s="103" t="n">
        <f aca="false">IF(AND($F386="原始數據",$S386&lt;&gt;"Active"),1,0)</f>
        <v>0</v>
      </c>
      <c r="AC386" s="103" t="n">
        <f aca="false">IF(AND(ISNUMBER($K386),ISNUMBER($L386),ISNUMBER($Q386)),IF(OR($Q386&lt;MIN($K386,$L386),$Q386&gt;MAX($K386,$L386)),1,0),0)</f>
        <v>0</v>
      </c>
      <c r="AD386" s="103" t="n">
        <f aca="false">IF(AND(ISNUMBER($T386),$P386="高"),IF($T386=3,1,0),0)</f>
        <v>0</v>
      </c>
      <c r="AE386" s="103" t="n">
        <f aca="false">IF(AND($S386="不存在",$B386="切片一"),1,0)</f>
        <v>0</v>
      </c>
    </row>
    <row r="387" customFormat="false" ht="29.85" hidden="false" customHeight="false" outlineLevel="0" collapsed="false">
      <c r="A387" s="53" t="s">
        <v>3180</v>
      </c>
      <c r="B387" s="52" t="s">
        <v>2297</v>
      </c>
      <c r="C387" s="53" t="s">
        <v>3178</v>
      </c>
      <c r="D387" s="53" t="s">
        <v>2461</v>
      </c>
      <c r="E387" s="6" t="s">
        <v>1948</v>
      </c>
      <c r="F387" s="53" t="s">
        <v>74</v>
      </c>
      <c r="G387" s="52" t="s">
        <v>2299</v>
      </c>
      <c r="H387" s="53" t="s">
        <v>3181</v>
      </c>
      <c r="I387" s="5" t="s">
        <v>3182</v>
      </c>
      <c r="J387" s="53" t="s">
        <v>554</v>
      </c>
      <c r="K387" s="128" t="n">
        <v>5</v>
      </c>
      <c r="L387" s="128" t="n">
        <v>20</v>
      </c>
      <c r="M387" s="53" t="s">
        <v>3183</v>
      </c>
      <c r="N387" s="204" t="str">
        <f aca="false">Energy!$F$6</f>
        <v>Analogy：SerDes＋交換約 1–2 pJ/bit；區間 5–20</v>
      </c>
      <c r="O387" s="6" t="s">
        <v>554</v>
      </c>
      <c r="P387" s="52" t="s">
        <v>2307</v>
      </c>
      <c r="Q387" s="84" t="n">
        <f aca="false">Energy!C6</f>
        <v>10</v>
      </c>
      <c r="R387" s="83" t="n">
        <f aca="false">SRC_HW_035_Lo</f>
        <v>1</v>
      </c>
      <c r="S387" s="83" t="str">
        <f aca="false">IF(OR($H387="—",$H387=""),"—",IF(ISNUMBER(MATCH($H387,SRC_HW!$A$5:$A$400,0)),INDEX(SRC_HW!$O$5:$O$400,MATCH($H387,SRC_HW!$A$5:$A$400,0)),IF(ISNUMBER(MATCH($H387,SRC_DC!$A$5:$A$400,0)),INDEX(SRC_DC!$O$5:$O$400,MATCH($H387,SRC_DC!$A$5:$A$400,0)),IF(ISNUMBER(MATCH($H387,SRC_Model!$A$5:$A$400,0)),INDEX(SRC_Model!$O$5:$O$400,MATCH($H387,SRC_Model!$A$5:$A$400,0)),IF(ISNUMBER(MATCH($H387,SRC_Perf!$A$5:$A$400,0)),INDEX(SRC_Perf!$O$5:$O$400,MATCH($H387,SRC_Perf!$A$5:$A$400,0)),"不存在")))))</f>
        <v>Active</v>
      </c>
      <c r="T387" s="83" t="n">
        <f aca="false">IF(OR($H387="—",$H387=""),"—",IF(ISNUMBER(MATCH($H387,SRC_HW!$A$5:$A$400,0)),INDEX(SRC_HW!$K$5:$K$400,MATCH($H387,SRC_HW!$A$5:$A$400,0)),IF(ISNUMBER(MATCH($H387,SRC_DC!$A$5:$A$400,0)),INDEX(SRC_DC!$K$5:$K$400,MATCH($H387,SRC_DC!$A$5:$A$400,0)),IF(ISNUMBER(MATCH($H387,SRC_Model!$A$5:$A$400,0)),INDEX(SRC_Model!$K$5:$K$400,MATCH($H387,SRC_Model!$A$5:$A$400,0)),IF(ISNUMBER(MATCH($H387,SRC_Perf!$A$5:$A$400,0)),INDEX(SRC_Perf!$K$5:$K$400,MATCH($H387,SRC_Perf!$A$5:$A$400,0)),"不存在")))))</f>
        <v>3</v>
      </c>
      <c r="U387" s="52" t="s">
        <v>2302</v>
      </c>
      <c r="V387" s="103" t="n">
        <f aca="false">IF(AND($F387="原始數據",$U387&lt;&gt;"連結 SRC"),1,0)</f>
        <v>0</v>
      </c>
      <c r="W387" s="103" t="n">
        <f aca="false">IF(AND($F387="Analogy",OR($H387="—",$H387="")),1,0)</f>
        <v>0</v>
      </c>
      <c r="X387" s="103" t="n">
        <f aca="false">IF(AND(OR($F387="Analogy",$F387="Assumed"),$G387&lt;&gt;"低",$G387&lt;&gt;"高",NOT(ISNUMBER($K387)),NOT(ISNUMBER($L387)),OR($M387="—",$M387="")),1,0)</f>
        <v>0</v>
      </c>
      <c r="Y387" s="103" t="n">
        <f aca="false">IF(AND(OR($F387="Analogy",$F387="Assumed",$F387="Derived（待改公式）",$F387="Derived（公式）"),OR($N387="—",$N387="",$N387=0)),1,0)</f>
        <v>0</v>
      </c>
      <c r="Z387" s="103" t="n">
        <f aca="false">IF(AND($F387="Decision",OR($J387="—",$J387="")),1,0)</f>
        <v>0</v>
      </c>
      <c r="AA387" s="84" t="n">
        <f aca="false">IF(OR($J387="—",$J387=""),0,IF(COUNTIF(Decisions!$A$5:$A$300,$J387)=0,1,0))</f>
        <v>0</v>
      </c>
      <c r="AB387" s="103" t="n">
        <f aca="false">IF(AND($F387="原始數據",$S387&lt;&gt;"Active"),1,0)</f>
        <v>0</v>
      </c>
      <c r="AC387" s="103" t="n">
        <f aca="false">IF(AND(ISNUMBER($K387),ISNUMBER($L387),ISNUMBER($Q387)),IF(OR($Q387&lt;MIN($K387,$L387),$Q387&gt;MAX($K387,$L387)),1,0),0)</f>
        <v>0</v>
      </c>
      <c r="AD387" s="103" t="n">
        <f aca="false">IF(AND(ISNUMBER($T387),$P387="高"),IF($T387=3,1,0),0)</f>
        <v>0</v>
      </c>
      <c r="AE387" s="103" t="n">
        <f aca="false">IF(AND($S387="不存在",$B387="切片一"),1,0)</f>
        <v>0</v>
      </c>
    </row>
    <row r="388" customFormat="false" ht="29.85" hidden="false" customHeight="false" outlineLevel="0" collapsed="false">
      <c r="A388" s="53" t="s">
        <v>3184</v>
      </c>
      <c r="B388" s="52" t="s">
        <v>2297</v>
      </c>
      <c r="C388" s="53" t="s">
        <v>3178</v>
      </c>
      <c r="D388" s="53" t="s">
        <v>2767</v>
      </c>
      <c r="E388" s="6" t="s">
        <v>1951</v>
      </c>
      <c r="F388" s="53" t="s">
        <v>70</v>
      </c>
      <c r="G388" s="52" t="s">
        <v>2299</v>
      </c>
      <c r="H388" s="53" t="s">
        <v>554</v>
      </c>
      <c r="I388" s="6" t="s">
        <v>554</v>
      </c>
      <c r="J388" s="53" t="s">
        <v>554</v>
      </c>
      <c r="K388" s="128" t="n">
        <v>20</v>
      </c>
      <c r="L388" s="128" t="n">
        <v>80</v>
      </c>
      <c r="M388" s="53" t="s">
        <v>3185</v>
      </c>
      <c r="N388" s="204" t="str">
        <f aca="false">Energy!$F$7</f>
        <v>Analogy：含光模組與網卡；區間 20–80</v>
      </c>
      <c r="O388" s="6" t="s">
        <v>2651</v>
      </c>
      <c r="P388" s="52" t="s">
        <v>2307</v>
      </c>
      <c r="Q388" s="84" t="n">
        <f aca="false">Energy!C7</f>
        <v>40</v>
      </c>
      <c r="R388" s="53" t="s">
        <v>554</v>
      </c>
      <c r="S388" s="83" t="str">
        <f aca="false">IF(OR($H388="—",$H388=""),"—",IF(ISNUMBER(MATCH($H388,SRC_HW!$A$5:$A$400,0)),INDEX(SRC_HW!$O$5:$O$400,MATCH($H388,SRC_HW!$A$5:$A$400,0)),IF(ISNUMBER(MATCH($H388,SRC_DC!$A$5:$A$400,0)),INDEX(SRC_DC!$O$5:$O$400,MATCH($H388,SRC_DC!$A$5:$A$400,0)),IF(ISNUMBER(MATCH($H388,SRC_Model!$A$5:$A$400,0)),INDEX(SRC_Model!$O$5:$O$400,MATCH($H388,SRC_Model!$A$5:$A$400,0)),IF(ISNUMBER(MATCH($H388,SRC_Perf!$A$5:$A$400,0)),INDEX(SRC_Perf!$O$5:$O$400,MATCH($H388,SRC_Perf!$A$5:$A$400,0)),"不存在")))))</f>
        <v>—</v>
      </c>
      <c r="T388" s="83" t="str">
        <f aca="false">IF(OR($H388="—",$H388=""),"—",IF(ISNUMBER(MATCH($H388,SRC_HW!$A$5:$A$400,0)),INDEX(SRC_HW!$K$5:$K$400,MATCH($H388,SRC_HW!$A$5:$A$400,0)),IF(ISNUMBER(MATCH($H388,SRC_DC!$A$5:$A$400,0)),INDEX(SRC_DC!$K$5:$K$400,MATCH($H388,SRC_DC!$A$5:$A$400,0)),IF(ISNUMBER(MATCH($H388,SRC_Model!$A$5:$A$400,0)),INDEX(SRC_Model!$K$5:$K$400,MATCH($H388,SRC_Model!$A$5:$A$400,0)),IF(ISNUMBER(MATCH($H388,SRC_Perf!$A$5:$A$400,0)),INDEX(SRC_Perf!$K$5:$K$400,MATCH($H388,SRC_Perf!$A$5:$A$400,0)),"不存在")))))</f>
        <v>—</v>
      </c>
      <c r="U388" s="52" t="s">
        <v>2302</v>
      </c>
      <c r="V388" s="103" t="n">
        <f aca="false">IF(AND($F388="原始數據",$U388&lt;&gt;"連結 SRC"),1,0)</f>
        <v>0</v>
      </c>
      <c r="W388" s="103" t="n">
        <f aca="false">IF(AND($F388="Analogy",OR($H388="—",$H388="")),1,0)</f>
        <v>0</v>
      </c>
      <c r="X388" s="103" t="n">
        <f aca="false">IF(AND(OR($F388="Analogy",$F388="Assumed"),$G388&lt;&gt;"低",$G388&lt;&gt;"高",NOT(ISNUMBER($K388)),NOT(ISNUMBER($L388)),OR($M388="—",$M388="")),1,0)</f>
        <v>0</v>
      </c>
      <c r="Y388" s="103" t="n">
        <f aca="false">IF(AND(OR($F388="Analogy",$F388="Assumed",$F388="Derived（待改公式）",$F388="Derived（公式）"),OR($N388="—",$N388="",$N388=0)),1,0)</f>
        <v>0</v>
      </c>
      <c r="Z388" s="103" t="n">
        <f aca="false">IF(AND($F388="Decision",OR($J388="—",$J388="")),1,0)</f>
        <v>0</v>
      </c>
      <c r="AA388" s="84" t="n">
        <f aca="false">IF(OR($J388="—",$J388=""),0,IF(COUNTIF(Decisions!$A$5:$A$300,$J388)=0,1,0))</f>
        <v>0</v>
      </c>
      <c r="AB388" s="103" t="n">
        <f aca="false">IF(AND($F388="原始數據",$S388&lt;&gt;"Active"),1,0)</f>
        <v>0</v>
      </c>
      <c r="AC388" s="103" t="n">
        <f aca="false">IF(AND(ISNUMBER($K388),ISNUMBER($L388),ISNUMBER($Q388)),IF(OR($Q388&lt;MIN($K388,$L388),$Q388&gt;MAX($K388,$L388)),1,0),0)</f>
        <v>0</v>
      </c>
      <c r="AD388" s="103" t="n">
        <f aca="false">IF(AND(ISNUMBER($T388),$P388="高"),IF($T388=3,1,0),0)</f>
        <v>0</v>
      </c>
      <c r="AE388" s="103" t="n">
        <f aca="false">IF(AND($S388="不存在",$B388="切片一"),1,0)</f>
        <v>0</v>
      </c>
    </row>
    <row r="389" customFormat="false" ht="44" hidden="false" customHeight="false" outlineLevel="0" collapsed="false">
      <c r="A389" s="53" t="s">
        <v>3186</v>
      </c>
      <c r="B389" s="52" t="s">
        <v>2297</v>
      </c>
      <c r="C389" s="53" t="s">
        <v>3187</v>
      </c>
      <c r="D389" s="53" t="s">
        <v>2921</v>
      </c>
      <c r="E389" s="6" t="s">
        <v>1965</v>
      </c>
      <c r="F389" s="53" t="s">
        <v>70</v>
      </c>
      <c r="G389" s="52" t="s">
        <v>55</v>
      </c>
      <c r="H389" s="53" t="s">
        <v>554</v>
      </c>
      <c r="I389" s="6" t="s">
        <v>554</v>
      </c>
      <c r="J389" s="53" t="s">
        <v>554</v>
      </c>
      <c r="K389" s="89" t="n">
        <f aca="false">NonNV!B5</f>
        <v>0.5</v>
      </c>
      <c r="L389" s="89" t="n">
        <f aca="false">NonNV!D5</f>
        <v>1</v>
      </c>
      <c r="M389" s="53" t="s">
        <v>554</v>
      </c>
      <c r="N389" s="204" t="str">
        <f aca="false">NonNV!$L$5</f>
        <v>MI355X 在 V4-Pro 上 26 天內吞吐提升 110 倍（S20 所屬部落格），軟體成熟度為主要不確定</v>
      </c>
      <c r="O389" s="6" t="s">
        <v>554</v>
      </c>
      <c r="P389" s="52" t="s">
        <v>2307</v>
      </c>
      <c r="Q389" s="89" t="n">
        <f aca="false">NonNV!C5</f>
        <v>0.7</v>
      </c>
      <c r="R389" s="53" t="s">
        <v>554</v>
      </c>
      <c r="S389" s="83" t="str">
        <f aca="false">IF(OR($H389="—",$H389=""),"—",IF(ISNUMBER(MATCH($H389,SRC_HW!$A$5:$A$400,0)),INDEX(SRC_HW!$O$5:$O$400,MATCH($H389,SRC_HW!$A$5:$A$400,0)),IF(ISNUMBER(MATCH($H389,SRC_DC!$A$5:$A$400,0)),INDEX(SRC_DC!$O$5:$O$400,MATCH($H389,SRC_DC!$A$5:$A$400,0)),IF(ISNUMBER(MATCH($H389,SRC_Model!$A$5:$A$400,0)),INDEX(SRC_Model!$O$5:$O$400,MATCH($H389,SRC_Model!$A$5:$A$400,0)),IF(ISNUMBER(MATCH($H389,SRC_Perf!$A$5:$A$400,0)),INDEX(SRC_Perf!$O$5:$O$400,MATCH($H389,SRC_Perf!$A$5:$A$400,0)),"不存在")))))</f>
        <v>—</v>
      </c>
      <c r="T389" s="83" t="str">
        <f aca="false">IF(OR($H389="—",$H389=""),"—",IF(ISNUMBER(MATCH($H389,SRC_HW!$A$5:$A$400,0)),INDEX(SRC_HW!$K$5:$K$400,MATCH($H389,SRC_HW!$A$5:$A$400,0)),IF(ISNUMBER(MATCH($H389,SRC_DC!$A$5:$A$400,0)),INDEX(SRC_DC!$K$5:$K$400,MATCH($H389,SRC_DC!$A$5:$A$400,0)),IF(ISNUMBER(MATCH($H389,SRC_Model!$A$5:$A$400,0)),INDEX(SRC_Model!$K$5:$K$400,MATCH($H389,SRC_Model!$A$5:$A$400,0)),IF(ISNUMBER(MATCH($H389,SRC_Perf!$A$5:$A$400,0)),INDEX(SRC_Perf!$K$5:$K$400,MATCH($H389,SRC_Perf!$A$5:$A$400,0)),"不存在")))))</f>
        <v>—</v>
      </c>
      <c r="U389" s="52" t="s">
        <v>2302</v>
      </c>
      <c r="V389" s="103" t="n">
        <f aca="false">IF(AND($F389="原始數據",$U389&lt;&gt;"連結 SRC"),1,0)</f>
        <v>0</v>
      </c>
      <c r="W389" s="103" t="n">
        <f aca="false">IF(AND($F389="Analogy",OR($H389="—",$H389="")),1,0)</f>
        <v>0</v>
      </c>
      <c r="X389" s="103" t="n">
        <f aca="false">IF(AND(OR($F389="Analogy",$F389="Assumed"),$G389&lt;&gt;"低",$G389&lt;&gt;"高",NOT(ISNUMBER($K389)),NOT(ISNUMBER($L389)),OR($M389="—",$M389="")),1,0)</f>
        <v>0</v>
      </c>
      <c r="Y389" s="103" t="n">
        <f aca="false">IF(AND(OR($F389="Analogy",$F389="Assumed",$F389="Derived（待改公式）",$F389="Derived（公式）"),OR($N389="—",$N389="",$N389=0)),1,0)</f>
        <v>0</v>
      </c>
      <c r="Z389" s="103" t="n">
        <f aca="false">IF(AND($F389="Decision",OR($J389="—",$J389="")),1,0)</f>
        <v>0</v>
      </c>
      <c r="AA389" s="84" t="n">
        <f aca="false">IF(OR($J389="—",$J389=""),0,IF(COUNTIF(Decisions!$A$5:$A$300,$J389)=0,1,0))</f>
        <v>0</v>
      </c>
      <c r="AB389" s="103" t="n">
        <f aca="false">IF(AND($F389="原始數據",$S389&lt;&gt;"Active"),1,0)</f>
        <v>0</v>
      </c>
      <c r="AC389" s="103" t="n">
        <f aca="false">IF(AND(ISNUMBER($K389),ISNUMBER($L389),ISNUMBER($Q389)),IF(OR($Q389&lt;MIN($K389,$L389),$Q389&gt;MAX($K389,$L389)),1,0),0)</f>
        <v>0</v>
      </c>
      <c r="AD389" s="103" t="n">
        <f aca="false">IF(AND(ISNUMBER($T389),$P389="高"),IF($T389=3,1,0),0)</f>
        <v>0</v>
      </c>
      <c r="AE389" s="103" t="n">
        <f aca="false">IF(AND($S389="不存在",$B389="切片一"),1,0)</f>
        <v>0</v>
      </c>
    </row>
    <row r="390" customFormat="false" ht="44" hidden="false" customHeight="false" outlineLevel="0" collapsed="false">
      <c r="A390" s="53" t="s">
        <v>3188</v>
      </c>
      <c r="B390" s="52" t="s">
        <v>2297</v>
      </c>
      <c r="C390" s="53" t="s">
        <v>3187</v>
      </c>
      <c r="D390" s="53" t="s">
        <v>2927</v>
      </c>
      <c r="E390" s="6" t="s">
        <v>1965</v>
      </c>
      <c r="F390" s="53" t="s">
        <v>70</v>
      </c>
      <c r="G390" s="52" t="s">
        <v>55</v>
      </c>
      <c r="H390" s="53" t="s">
        <v>554</v>
      </c>
      <c r="I390" s="6" t="s">
        <v>554</v>
      </c>
      <c r="J390" s="53" t="s">
        <v>554</v>
      </c>
      <c r="K390" s="89" t="n">
        <f aca="false">NonNV!E5</f>
        <v>0.8</v>
      </c>
      <c r="L390" s="89" t="n">
        <f aca="false">NonNV!G5</f>
        <v>1</v>
      </c>
      <c r="M390" s="53" t="s">
        <v>554</v>
      </c>
      <c r="N390" s="204" t="str">
        <f aca="false">NonNV!$L$5</f>
        <v>MI355X 在 V4-Pro 上 26 天內吞吐提升 110 倍（S20 所屬部落格），軟體成熟度為主要不確定</v>
      </c>
      <c r="O390" s="6" t="s">
        <v>554</v>
      </c>
      <c r="P390" s="52" t="s">
        <v>2307</v>
      </c>
      <c r="Q390" s="89" t="n">
        <f aca="false">NonNV!F5</f>
        <v>0.9</v>
      </c>
      <c r="R390" s="53" t="s">
        <v>554</v>
      </c>
      <c r="S390" s="83" t="str">
        <f aca="false">IF(OR($H390="—",$H390=""),"—",IF(ISNUMBER(MATCH($H390,SRC_HW!$A$5:$A$400,0)),INDEX(SRC_HW!$O$5:$O$400,MATCH($H390,SRC_HW!$A$5:$A$400,0)),IF(ISNUMBER(MATCH($H390,SRC_DC!$A$5:$A$400,0)),INDEX(SRC_DC!$O$5:$O$400,MATCH($H390,SRC_DC!$A$5:$A$400,0)),IF(ISNUMBER(MATCH($H390,SRC_Model!$A$5:$A$400,0)),INDEX(SRC_Model!$O$5:$O$400,MATCH($H390,SRC_Model!$A$5:$A$400,0)),IF(ISNUMBER(MATCH($H390,SRC_Perf!$A$5:$A$400,0)),INDEX(SRC_Perf!$O$5:$O$400,MATCH($H390,SRC_Perf!$A$5:$A$400,0)),"不存在")))))</f>
        <v>—</v>
      </c>
      <c r="T390" s="83" t="str">
        <f aca="false">IF(OR($H390="—",$H390=""),"—",IF(ISNUMBER(MATCH($H390,SRC_HW!$A$5:$A$400,0)),INDEX(SRC_HW!$K$5:$K$400,MATCH($H390,SRC_HW!$A$5:$A$400,0)),IF(ISNUMBER(MATCH($H390,SRC_DC!$A$5:$A$400,0)),INDEX(SRC_DC!$K$5:$K$400,MATCH($H390,SRC_DC!$A$5:$A$400,0)),IF(ISNUMBER(MATCH($H390,SRC_Model!$A$5:$A$400,0)),INDEX(SRC_Model!$K$5:$K$400,MATCH($H390,SRC_Model!$A$5:$A$400,0)),IF(ISNUMBER(MATCH($H390,SRC_Perf!$A$5:$A$400,0)),INDEX(SRC_Perf!$K$5:$K$400,MATCH($H390,SRC_Perf!$A$5:$A$400,0)),"不存在")))))</f>
        <v>—</v>
      </c>
      <c r="U390" s="52" t="s">
        <v>2302</v>
      </c>
      <c r="V390" s="103" t="n">
        <f aca="false">IF(AND($F390="原始數據",$U390&lt;&gt;"連結 SRC"),1,0)</f>
        <v>0</v>
      </c>
      <c r="W390" s="103" t="n">
        <f aca="false">IF(AND($F390="Analogy",OR($H390="—",$H390="")),1,0)</f>
        <v>0</v>
      </c>
      <c r="X390" s="103" t="n">
        <f aca="false">IF(AND(OR($F390="Analogy",$F390="Assumed"),$G390&lt;&gt;"低",$G390&lt;&gt;"高",NOT(ISNUMBER($K390)),NOT(ISNUMBER($L390)),OR($M390="—",$M390="")),1,0)</f>
        <v>0</v>
      </c>
      <c r="Y390" s="103" t="n">
        <f aca="false">IF(AND(OR($F390="Analogy",$F390="Assumed",$F390="Derived（待改公式）",$F390="Derived（公式）"),OR($N390="—",$N390="",$N390=0)),1,0)</f>
        <v>0</v>
      </c>
      <c r="Z390" s="103" t="n">
        <f aca="false">IF(AND($F390="Decision",OR($J390="—",$J390="")),1,0)</f>
        <v>0</v>
      </c>
      <c r="AA390" s="84" t="n">
        <f aca="false">IF(OR($J390="—",$J390=""),0,IF(COUNTIF(Decisions!$A$5:$A$300,$J390)=0,1,0))</f>
        <v>0</v>
      </c>
      <c r="AB390" s="103" t="n">
        <f aca="false">IF(AND($F390="原始數據",$S390&lt;&gt;"Active"),1,0)</f>
        <v>0</v>
      </c>
      <c r="AC390" s="103" t="n">
        <f aca="false">IF(AND(ISNUMBER($K390),ISNUMBER($L390),ISNUMBER($Q390)),IF(OR($Q390&lt;MIN($K390,$L390),$Q390&gt;MAX($K390,$L390)),1,0),0)</f>
        <v>0</v>
      </c>
      <c r="AD390" s="103" t="n">
        <f aca="false">IF(AND(ISNUMBER($T390),$P390="高"),IF($T390=3,1,0),0)</f>
        <v>0</v>
      </c>
      <c r="AE390" s="103" t="n">
        <f aca="false">IF(AND($S390="不存在",$B390="切片一"),1,0)</f>
        <v>0</v>
      </c>
    </row>
    <row r="391" customFormat="false" ht="44" hidden="false" customHeight="false" outlineLevel="0" collapsed="false">
      <c r="A391" s="53" t="s">
        <v>3189</v>
      </c>
      <c r="B391" s="52" t="s">
        <v>2297</v>
      </c>
      <c r="C391" s="53" t="s">
        <v>3187</v>
      </c>
      <c r="D391" s="53" t="s">
        <v>3190</v>
      </c>
      <c r="E391" s="6" t="s">
        <v>1965</v>
      </c>
      <c r="F391" s="53" t="s">
        <v>70</v>
      </c>
      <c r="G391" s="52" t="s">
        <v>1078</v>
      </c>
      <c r="H391" s="53" t="s">
        <v>554</v>
      </c>
      <c r="I391" s="6" t="s">
        <v>554</v>
      </c>
      <c r="J391" s="53" t="s">
        <v>554</v>
      </c>
      <c r="K391" s="52"/>
      <c r="L391" s="52"/>
      <c r="M391" s="53" t="s">
        <v>554</v>
      </c>
      <c r="N391" s="204" t="str">
        <f aca="false">NonNV!$L$5</f>
        <v>MI355X 在 V4-Pro 上 26 天內吞吐提升 110 倍（S20 所屬部落格），軟體成熟度為主要不確定</v>
      </c>
      <c r="O391" s="6" t="s">
        <v>554</v>
      </c>
      <c r="P391" s="52" t="s">
        <v>2307</v>
      </c>
      <c r="Q391" s="89" t="n">
        <f aca="false">NonNV!B5</f>
        <v>0.5</v>
      </c>
      <c r="R391" s="53" t="s">
        <v>554</v>
      </c>
      <c r="S391" s="83" t="str">
        <f aca="false">IF(OR($H391="—",$H391=""),"—",IF(ISNUMBER(MATCH($H391,SRC_HW!$A$5:$A$400,0)),INDEX(SRC_HW!$O$5:$O$400,MATCH($H391,SRC_HW!$A$5:$A$400,0)),IF(ISNUMBER(MATCH($H391,SRC_DC!$A$5:$A$400,0)),INDEX(SRC_DC!$O$5:$O$400,MATCH($H391,SRC_DC!$A$5:$A$400,0)),IF(ISNUMBER(MATCH($H391,SRC_Model!$A$5:$A$400,0)),INDEX(SRC_Model!$O$5:$O$400,MATCH($H391,SRC_Model!$A$5:$A$400,0)),IF(ISNUMBER(MATCH($H391,SRC_Perf!$A$5:$A$400,0)),INDEX(SRC_Perf!$O$5:$O$400,MATCH($H391,SRC_Perf!$A$5:$A$400,0)),"不存在")))))</f>
        <v>—</v>
      </c>
      <c r="T391" s="83" t="str">
        <f aca="false">IF(OR($H391="—",$H391=""),"—",IF(ISNUMBER(MATCH($H391,SRC_HW!$A$5:$A$400,0)),INDEX(SRC_HW!$K$5:$K$400,MATCH($H391,SRC_HW!$A$5:$A$400,0)),IF(ISNUMBER(MATCH($H391,SRC_DC!$A$5:$A$400,0)),INDEX(SRC_DC!$K$5:$K$400,MATCH($H391,SRC_DC!$A$5:$A$400,0)),IF(ISNUMBER(MATCH($H391,SRC_Model!$A$5:$A$400,0)),INDEX(SRC_Model!$K$5:$K$400,MATCH($H391,SRC_Model!$A$5:$A$400,0)),IF(ISNUMBER(MATCH($H391,SRC_Perf!$A$5:$A$400,0)),INDEX(SRC_Perf!$K$5:$K$400,MATCH($H391,SRC_Perf!$A$5:$A$400,0)),"不存在")))))</f>
        <v>—</v>
      </c>
      <c r="U391" s="52" t="s">
        <v>2302</v>
      </c>
      <c r="V391" s="103" t="n">
        <f aca="false">IF(AND($F391="原始數據",$U391&lt;&gt;"連結 SRC"),1,0)</f>
        <v>0</v>
      </c>
      <c r="W391" s="103" t="n">
        <f aca="false">IF(AND($F391="Analogy",OR($H391="—",$H391="")),1,0)</f>
        <v>0</v>
      </c>
      <c r="X391" s="103" t="n">
        <f aca="false">IF(AND(OR($F391="Analogy",$F391="Assumed"),$G391&lt;&gt;"低",$G391&lt;&gt;"高",NOT(ISNUMBER($K391)),NOT(ISNUMBER($L391)),OR($M391="—",$M391="")),1,0)</f>
        <v>0</v>
      </c>
      <c r="Y391" s="103" t="n">
        <f aca="false">IF(AND(OR($F391="Analogy",$F391="Assumed",$F391="Derived（待改公式）",$F391="Derived（公式）"),OR($N391="—",$N391="",$N391=0)),1,0)</f>
        <v>0</v>
      </c>
      <c r="Z391" s="103" t="n">
        <f aca="false">IF(AND($F391="Decision",OR($J391="—",$J391="")),1,0)</f>
        <v>0</v>
      </c>
      <c r="AA391" s="84" t="n">
        <f aca="false">IF(OR($J391="—",$J391=""),0,IF(COUNTIF(Decisions!$A$5:$A$300,$J391)=0,1,0))</f>
        <v>0</v>
      </c>
      <c r="AB391" s="103" t="n">
        <f aca="false">IF(AND($F391="原始數據",$S391&lt;&gt;"Active"),1,0)</f>
        <v>0</v>
      </c>
      <c r="AC391" s="103" t="n">
        <f aca="false">IF(AND(ISNUMBER($K391),ISNUMBER($L391),ISNUMBER($Q391)),IF(OR($Q391&lt;MIN($K391,$L391),$Q391&gt;MAX($K391,$L391)),1,0),0)</f>
        <v>0</v>
      </c>
      <c r="AD391" s="103" t="n">
        <f aca="false">IF(AND(ISNUMBER($T391),$P391="高"),IF($T391=3,1,0),0)</f>
        <v>0</v>
      </c>
      <c r="AE391" s="103" t="n">
        <f aca="false">IF(AND($S391="不存在",$B391="切片一"),1,0)</f>
        <v>0</v>
      </c>
    </row>
    <row r="392" customFormat="false" ht="44" hidden="false" customHeight="false" outlineLevel="0" collapsed="false">
      <c r="A392" s="53" t="s">
        <v>3191</v>
      </c>
      <c r="B392" s="52" t="s">
        <v>2297</v>
      </c>
      <c r="C392" s="53" t="s">
        <v>3187</v>
      </c>
      <c r="D392" s="53" t="s">
        <v>2924</v>
      </c>
      <c r="E392" s="6" t="s">
        <v>1965</v>
      </c>
      <c r="F392" s="53" t="s">
        <v>70</v>
      </c>
      <c r="G392" s="52" t="s">
        <v>1079</v>
      </c>
      <c r="H392" s="53" t="s">
        <v>554</v>
      </c>
      <c r="I392" s="6" t="s">
        <v>554</v>
      </c>
      <c r="J392" s="53" t="s">
        <v>554</v>
      </c>
      <c r="K392" s="52"/>
      <c r="L392" s="52"/>
      <c r="M392" s="53" t="s">
        <v>554</v>
      </c>
      <c r="N392" s="204" t="str">
        <f aca="false">NonNV!$L$5</f>
        <v>MI355X 在 V4-Pro 上 26 天內吞吐提升 110 倍（S20 所屬部落格），軟體成熟度為主要不確定</v>
      </c>
      <c r="O392" s="6" t="s">
        <v>554</v>
      </c>
      <c r="P392" s="52" t="s">
        <v>2307</v>
      </c>
      <c r="Q392" s="89" t="n">
        <f aca="false">NonNV!D5</f>
        <v>1</v>
      </c>
      <c r="R392" s="53" t="s">
        <v>554</v>
      </c>
      <c r="S392" s="83" t="str">
        <f aca="false">IF(OR($H392="—",$H392=""),"—",IF(ISNUMBER(MATCH($H392,SRC_HW!$A$5:$A$400,0)),INDEX(SRC_HW!$O$5:$O$400,MATCH($H392,SRC_HW!$A$5:$A$400,0)),IF(ISNUMBER(MATCH($H392,SRC_DC!$A$5:$A$400,0)),INDEX(SRC_DC!$O$5:$O$400,MATCH($H392,SRC_DC!$A$5:$A$400,0)),IF(ISNUMBER(MATCH($H392,SRC_Model!$A$5:$A$400,0)),INDEX(SRC_Model!$O$5:$O$400,MATCH($H392,SRC_Model!$A$5:$A$400,0)),IF(ISNUMBER(MATCH($H392,SRC_Perf!$A$5:$A$400,0)),INDEX(SRC_Perf!$O$5:$O$400,MATCH($H392,SRC_Perf!$A$5:$A$400,0)),"不存在")))))</f>
        <v>—</v>
      </c>
      <c r="T392" s="83" t="str">
        <f aca="false">IF(OR($H392="—",$H392=""),"—",IF(ISNUMBER(MATCH($H392,SRC_HW!$A$5:$A$400,0)),INDEX(SRC_HW!$K$5:$K$400,MATCH($H392,SRC_HW!$A$5:$A$400,0)),IF(ISNUMBER(MATCH($H392,SRC_DC!$A$5:$A$400,0)),INDEX(SRC_DC!$K$5:$K$400,MATCH($H392,SRC_DC!$A$5:$A$400,0)),IF(ISNUMBER(MATCH($H392,SRC_Model!$A$5:$A$400,0)),INDEX(SRC_Model!$K$5:$K$400,MATCH($H392,SRC_Model!$A$5:$A$400,0)),IF(ISNUMBER(MATCH($H392,SRC_Perf!$A$5:$A$400,0)),INDEX(SRC_Perf!$K$5:$K$400,MATCH($H392,SRC_Perf!$A$5:$A$400,0)),"不存在")))))</f>
        <v>—</v>
      </c>
      <c r="U392" s="52" t="s">
        <v>2302</v>
      </c>
      <c r="V392" s="103" t="n">
        <f aca="false">IF(AND($F392="原始數據",$U392&lt;&gt;"連結 SRC"),1,0)</f>
        <v>0</v>
      </c>
      <c r="W392" s="103" t="n">
        <f aca="false">IF(AND($F392="Analogy",OR($H392="—",$H392="")),1,0)</f>
        <v>0</v>
      </c>
      <c r="X392" s="103" t="n">
        <f aca="false">IF(AND(OR($F392="Analogy",$F392="Assumed"),$G392&lt;&gt;"低",$G392&lt;&gt;"高",NOT(ISNUMBER($K392)),NOT(ISNUMBER($L392)),OR($M392="—",$M392="")),1,0)</f>
        <v>0</v>
      </c>
      <c r="Y392" s="103" t="n">
        <f aca="false">IF(AND(OR($F392="Analogy",$F392="Assumed",$F392="Derived（待改公式）",$F392="Derived（公式）"),OR($N392="—",$N392="",$N392=0)),1,0)</f>
        <v>0</v>
      </c>
      <c r="Z392" s="103" t="n">
        <f aca="false">IF(AND($F392="Decision",OR($J392="—",$J392="")),1,0)</f>
        <v>0</v>
      </c>
      <c r="AA392" s="84" t="n">
        <f aca="false">IF(OR($J392="—",$J392=""),0,IF(COUNTIF(Decisions!$A$5:$A$300,$J392)=0,1,0))</f>
        <v>0</v>
      </c>
      <c r="AB392" s="103" t="n">
        <f aca="false">IF(AND($F392="原始數據",$S392&lt;&gt;"Active"),1,0)</f>
        <v>0</v>
      </c>
      <c r="AC392" s="103" t="n">
        <f aca="false">IF(AND(ISNUMBER($K392),ISNUMBER($L392),ISNUMBER($Q392)),IF(OR($Q392&lt;MIN($K392,$L392),$Q392&gt;MAX($K392,$L392)),1,0),0)</f>
        <v>0</v>
      </c>
      <c r="AD392" s="103" t="n">
        <f aca="false">IF(AND(ISNUMBER($T392),$P392="高"),IF($T392=3,1,0),0)</f>
        <v>0</v>
      </c>
      <c r="AE392" s="103" t="n">
        <f aca="false">IF(AND($S392="不存在",$B392="切片一"),1,0)</f>
        <v>0</v>
      </c>
    </row>
    <row r="393" customFormat="false" ht="44" hidden="false" customHeight="false" outlineLevel="0" collapsed="false">
      <c r="A393" s="53" t="s">
        <v>3192</v>
      </c>
      <c r="B393" s="52" t="s">
        <v>2297</v>
      </c>
      <c r="C393" s="53" t="s">
        <v>3187</v>
      </c>
      <c r="D393" s="53" t="s">
        <v>2211</v>
      </c>
      <c r="E393" s="6" t="s">
        <v>1965</v>
      </c>
      <c r="F393" s="53" t="s">
        <v>70</v>
      </c>
      <c r="G393" s="52" t="s">
        <v>1078</v>
      </c>
      <c r="H393" s="53" t="s">
        <v>554</v>
      </c>
      <c r="I393" s="6" t="s">
        <v>554</v>
      </c>
      <c r="J393" s="53" t="s">
        <v>554</v>
      </c>
      <c r="K393" s="52"/>
      <c r="L393" s="52"/>
      <c r="M393" s="53" t="s">
        <v>554</v>
      </c>
      <c r="N393" s="204" t="str">
        <f aca="false">NonNV!$L$5</f>
        <v>MI355X 在 V4-Pro 上 26 天內吞吐提升 110 倍（S20 所屬部落格），軟體成熟度為主要不確定</v>
      </c>
      <c r="O393" s="6" t="s">
        <v>554</v>
      </c>
      <c r="P393" s="52" t="s">
        <v>2307</v>
      </c>
      <c r="Q393" s="89" t="n">
        <f aca="false">NonNV!E5</f>
        <v>0.8</v>
      </c>
      <c r="R393" s="53" t="s">
        <v>554</v>
      </c>
      <c r="S393" s="83" t="str">
        <f aca="false">IF(OR($H393="—",$H393=""),"—",IF(ISNUMBER(MATCH($H393,SRC_HW!$A$5:$A$400,0)),INDEX(SRC_HW!$O$5:$O$400,MATCH($H393,SRC_HW!$A$5:$A$400,0)),IF(ISNUMBER(MATCH($H393,SRC_DC!$A$5:$A$400,0)),INDEX(SRC_DC!$O$5:$O$400,MATCH($H393,SRC_DC!$A$5:$A$400,0)),IF(ISNUMBER(MATCH($H393,SRC_Model!$A$5:$A$400,0)),INDEX(SRC_Model!$O$5:$O$400,MATCH($H393,SRC_Model!$A$5:$A$400,0)),IF(ISNUMBER(MATCH($H393,SRC_Perf!$A$5:$A$400,0)),INDEX(SRC_Perf!$O$5:$O$400,MATCH($H393,SRC_Perf!$A$5:$A$400,0)),"不存在")))))</f>
        <v>—</v>
      </c>
      <c r="T393" s="83" t="str">
        <f aca="false">IF(OR($H393="—",$H393=""),"—",IF(ISNUMBER(MATCH($H393,SRC_HW!$A$5:$A$400,0)),INDEX(SRC_HW!$K$5:$K$400,MATCH($H393,SRC_HW!$A$5:$A$400,0)),IF(ISNUMBER(MATCH($H393,SRC_DC!$A$5:$A$400,0)),INDEX(SRC_DC!$K$5:$K$400,MATCH($H393,SRC_DC!$A$5:$A$400,0)),IF(ISNUMBER(MATCH($H393,SRC_Model!$A$5:$A$400,0)),INDEX(SRC_Model!$K$5:$K$400,MATCH($H393,SRC_Model!$A$5:$A$400,0)),IF(ISNUMBER(MATCH($H393,SRC_Perf!$A$5:$A$400,0)),INDEX(SRC_Perf!$K$5:$K$400,MATCH($H393,SRC_Perf!$A$5:$A$400,0)),"不存在")))))</f>
        <v>—</v>
      </c>
      <c r="U393" s="52" t="s">
        <v>2302</v>
      </c>
      <c r="V393" s="103" t="n">
        <f aca="false">IF(AND($F393="原始數據",$U393&lt;&gt;"連結 SRC"),1,0)</f>
        <v>0</v>
      </c>
      <c r="W393" s="103" t="n">
        <f aca="false">IF(AND($F393="Analogy",OR($H393="—",$H393="")),1,0)</f>
        <v>0</v>
      </c>
      <c r="X393" s="103" t="n">
        <f aca="false">IF(AND(OR($F393="Analogy",$F393="Assumed"),$G393&lt;&gt;"低",$G393&lt;&gt;"高",NOT(ISNUMBER($K393)),NOT(ISNUMBER($L393)),OR($M393="—",$M393="")),1,0)</f>
        <v>0</v>
      </c>
      <c r="Y393" s="103" t="n">
        <f aca="false">IF(AND(OR($F393="Analogy",$F393="Assumed",$F393="Derived（待改公式）",$F393="Derived（公式）"),OR($N393="—",$N393="",$N393=0)),1,0)</f>
        <v>0</v>
      </c>
      <c r="Z393" s="103" t="n">
        <f aca="false">IF(AND($F393="Decision",OR($J393="—",$J393="")),1,0)</f>
        <v>0</v>
      </c>
      <c r="AA393" s="84" t="n">
        <f aca="false">IF(OR($J393="—",$J393=""),0,IF(COUNTIF(Decisions!$A$5:$A$300,$J393)=0,1,0))</f>
        <v>0</v>
      </c>
      <c r="AB393" s="103" t="n">
        <f aca="false">IF(AND($F393="原始數據",$S393&lt;&gt;"Active"),1,0)</f>
        <v>0</v>
      </c>
      <c r="AC393" s="103" t="n">
        <f aca="false">IF(AND(ISNUMBER($K393),ISNUMBER($L393),ISNUMBER($Q393)),IF(OR($Q393&lt;MIN($K393,$L393),$Q393&gt;MAX($K393,$L393)),1,0),0)</f>
        <v>0</v>
      </c>
      <c r="AD393" s="103" t="n">
        <f aca="false">IF(AND(ISNUMBER($T393),$P393="高"),IF($T393=3,1,0),0)</f>
        <v>0</v>
      </c>
      <c r="AE393" s="103" t="n">
        <f aca="false">IF(AND($S393="不存在",$B393="切片一"),1,0)</f>
        <v>0</v>
      </c>
    </row>
    <row r="394" customFormat="false" ht="44" hidden="false" customHeight="false" outlineLevel="0" collapsed="false">
      <c r="A394" s="53" t="s">
        <v>3193</v>
      </c>
      <c r="B394" s="52" t="s">
        <v>2297</v>
      </c>
      <c r="C394" s="53" t="s">
        <v>3187</v>
      </c>
      <c r="D394" s="53" t="s">
        <v>2929</v>
      </c>
      <c r="E394" s="6" t="s">
        <v>1965</v>
      </c>
      <c r="F394" s="53" t="s">
        <v>70</v>
      </c>
      <c r="G394" s="52" t="s">
        <v>1079</v>
      </c>
      <c r="H394" s="53" t="s">
        <v>554</v>
      </c>
      <c r="I394" s="6" t="s">
        <v>554</v>
      </c>
      <c r="J394" s="53" t="s">
        <v>554</v>
      </c>
      <c r="K394" s="52"/>
      <c r="L394" s="52"/>
      <c r="M394" s="53" t="s">
        <v>554</v>
      </c>
      <c r="N394" s="204" t="str">
        <f aca="false">NonNV!$L$5</f>
        <v>MI355X 在 V4-Pro 上 26 天內吞吐提升 110 倍（S20 所屬部落格），軟體成熟度為主要不確定</v>
      </c>
      <c r="O394" s="6" t="s">
        <v>554</v>
      </c>
      <c r="P394" s="52" t="s">
        <v>2307</v>
      </c>
      <c r="Q394" s="89" t="n">
        <f aca="false">NonNV!G5</f>
        <v>1</v>
      </c>
      <c r="R394" s="53" t="s">
        <v>554</v>
      </c>
      <c r="S394" s="83" t="str">
        <f aca="false">IF(OR($H394="—",$H394=""),"—",IF(ISNUMBER(MATCH($H394,SRC_HW!$A$5:$A$400,0)),INDEX(SRC_HW!$O$5:$O$400,MATCH($H394,SRC_HW!$A$5:$A$400,0)),IF(ISNUMBER(MATCH($H394,SRC_DC!$A$5:$A$400,0)),INDEX(SRC_DC!$O$5:$O$400,MATCH($H394,SRC_DC!$A$5:$A$400,0)),IF(ISNUMBER(MATCH($H394,SRC_Model!$A$5:$A$400,0)),INDEX(SRC_Model!$O$5:$O$400,MATCH($H394,SRC_Model!$A$5:$A$400,0)),IF(ISNUMBER(MATCH($H394,SRC_Perf!$A$5:$A$400,0)),INDEX(SRC_Perf!$O$5:$O$400,MATCH($H394,SRC_Perf!$A$5:$A$400,0)),"不存在")))))</f>
        <v>—</v>
      </c>
      <c r="T394" s="83" t="str">
        <f aca="false">IF(OR($H394="—",$H394=""),"—",IF(ISNUMBER(MATCH($H394,SRC_HW!$A$5:$A$400,0)),INDEX(SRC_HW!$K$5:$K$400,MATCH($H394,SRC_HW!$A$5:$A$400,0)),IF(ISNUMBER(MATCH($H394,SRC_DC!$A$5:$A$400,0)),INDEX(SRC_DC!$K$5:$K$400,MATCH($H394,SRC_DC!$A$5:$A$400,0)),IF(ISNUMBER(MATCH($H394,SRC_Model!$A$5:$A$400,0)),INDEX(SRC_Model!$K$5:$K$400,MATCH($H394,SRC_Model!$A$5:$A$400,0)),IF(ISNUMBER(MATCH($H394,SRC_Perf!$A$5:$A$400,0)),INDEX(SRC_Perf!$K$5:$K$400,MATCH($H394,SRC_Perf!$A$5:$A$400,0)),"不存在")))))</f>
        <v>—</v>
      </c>
      <c r="U394" s="52" t="s">
        <v>2302</v>
      </c>
      <c r="V394" s="103" t="n">
        <f aca="false">IF(AND($F394="原始數據",$U394&lt;&gt;"連結 SRC"),1,0)</f>
        <v>0</v>
      </c>
      <c r="W394" s="103" t="n">
        <f aca="false">IF(AND($F394="Analogy",OR($H394="—",$H394="")),1,0)</f>
        <v>0</v>
      </c>
      <c r="X394" s="103" t="n">
        <f aca="false">IF(AND(OR($F394="Analogy",$F394="Assumed"),$G394&lt;&gt;"低",$G394&lt;&gt;"高",NOT(ISNUMBER($K394)),NOT(ISNUMBER($L394)),OR($M394="—",$M394="")),1,0)</f>
        <v>0</v>
      </c>
      <c r="Y394" s="103" t="n">
        <f aca="false">IF(AND(OR($F394="Analogy",$F394="Assumed",$F394="Derived（待改公式）",$F394="Derived（公式）"),OR($N394="—",$N394="",$N394=0)),1,0)</f>
        <v>0</v>
      </c>
      <c r="Z394" s="103" t="n">
        <f aca="false">IF(AND($F394="Decision",OR($J394="—",$J394="")),1,0)</f>
        <v>0</v>
      </c>
      <c r="AA394" s="84" t="n">
        <f aca="false">IF(OR($J394="—",$J394=""),0,IF(COUNTIF(Decisions!$A$5:$A$300,$J394)=0,1,0))</f>
        <v>0</v>
      </c>
      <c r="AB394" s="103" t="n">
        <f aca="false">IF(AND($F394="原始數據",$S394&lt;&gt;"Active"),1,0)</f>
        <v>0</v>
      </c>
      <c r="AC394" s="103" t="n">
        <f aca="false">IF(AND(ISNUMBER($K394),ISNUMBER($L394),ISNUMBER($Q394)),IF(OR($Q394&lt;MIN($K394,$L394),$Q394&gt;MAX($K394,$L394)),1,0),0)</f>
        <v>0</v>
      </c>
      <c r="AD394" s="103" t="n">
        <f aca="false">IF(AND(ISNUMBER($T394),$P394="高"),IF($T394=3,1,0),0)</f>
        <v>0</v>
      </c>
      <c r="AE394" s="103" t="n">
        <f aca="false">IF(AND($S394="不存在",$B394="切片一"),1,0)</f>
        <v>0</v>
      </c>
    </row>
    <row r="395" customFormat="false" ht="15" hidden="false" customHeight="false" outlineLevel="0" collapsed="false">
      <c r="A395" s="53" t="s">
        <v>3194</v>
      </c>
      <c r="B395" s="52" t="s">
        <v>2297</v>
      </c>
      <c r="C395" s="53" t="s">
        <v>3187</v>
      </c>
      <c r="D395" s="53" t="s">
        <v>2461</v>
      </c>
      <c r="E395" s="6" t="s">
        <v>1967</v>
      </c>
      <c r="F395" s="53" t="s">
        <v>70</v>
      </c>
      <c r="G395" s="52" t="s">
        <v>55</v>
      </c>
      <c r="H395" s="53" t="s">
        <v>554</v>
      </c>
      <c r="I395" s="6" t="s">
        <v>554</v>
      </c>
      <c r="J395" s="53" t="s">
        <v>554</v>
      </c>
      <c r="K395" s="89" t="n">
        <f aca="false">NonNV!B6</f>
        <v>0.6</v>
      </c>
      <c r="L395" s="89" t="n">
        <f aca="false">NonNV!D6</f>
        <v>1.1</v>
      </c>
      <c r="M395" s="53" t="s">
        <v>554</v>
      </c>
      <c r="N395" s="204" t="str">
        <f aca="false">NonNV!$L$6</f>
        <v>自用為主，無公開同口徑實測</v>
      </c>
      <c r="O395" s="6" t="s">
        <v>554</v>
      </c>
      <c r="P395" s="52" t="s">
        <v>2307</v>
      </c>
      <c r="Q395" s="89" t="n">
        <f aca="false">NonNV!C6</f>
        <v>0.8</v>
      </c>
      <c r="R395" s="53" t="s">
        <v>554</v>
      </c>
      <c r="S395" s="83" t="str">
        <f aca="false">IF(OR($H395="—",$H395=""),"—",IF(ISNUMBER(MATCH($H395,SRC_HW!$A$5:$A$400,0)),INDEX(SRC_HW!$O$5:$O$400,MATCH($H395,SRC_HW!$A$5:$A$400,0)),IF(ISNUMBER(MATCH($H395,SRC_DC!$A$5:$A$400,0)),INDEX(SRC_DC!$O$5:$O$400,MATCH($H395,SRC_DC!$A$5:$A$400,0)),IF(ISNUMBER(MATCH($H395,SRC_Model!$A$5:$A$400,0)),INDEX(SRC_Model!$O$5:$O$400,MATCH($H395,SRC_Model!$A$5:$A$400,0)),IF(ISNUMBER(MATCH($H395,SRC_Perf!$A$5:$A$400,0)),INDEX(SRC_Perf!$O$5:$O$400,MATCH($H395,SRC_Perf!$A$5:$A$400,0)),"不存在")))))</f>
        <v>—</v>
      </c>
      <c r="T395" s="83" t="str">
        <f aca="false">IF(OR($H395="—",$H395=""),"—",IF(ISNUMBER(MATCH($H395,SRC_HW!$A$5:$A$400,0)),INDEX(SRC_HW!$K$5:$K$400,MATCH($H395,SRC_HW!$A$5:$A$400,0)),IF(ISNUMBER(MATCH($H395,SRC_DC!$A$5:$A$400,0)),INDEX(SRC_DC!$K$5:$K$400,MATCH($H395,SRC_DC!$A$5:$A$400,0)),IF(ISNUMBER(MATCH($H395,SRC_Model!$A$5:$A$400,0)),INDEX(SRC_Model!$K$5:$K$400,MATCH($H395,SRC_Model!$A$5:$A$400,0)),IF(ISNUMBER(MATCH($H395,SRC_Perf!$A$5:$A$400,0)),INDEX(SRC_Perf!$K$5:$K$400,MATCH($H395,SRC_Perf!$A$5:$A$400,0)),"不存在")))))</f>
        <v>—</v>
      </c>
      <c r="U395" s="52" t="s">
        <v>2302</v>
      </c>
      <c r="V395" s="103" t="n">
        <f aca="false">IF(AND($F395="原始數據",$U395&lt;&gt;"連結 SRC"),1,0)</f>
        <v>0</v>
      </c>
      <c r="W395" s="103" t="n">
        <f aca="false">IF(AND($F395="Analogy",OR($H395="—",$H395="")),1,0)</f>
        <v>0</v>
      </c>
      <c r="X395" s="103" t="n">
        <f aca="false">IF(AND(OR($F395="Analogy",$F395="Assumed"),$G395&lt;&gt;"低",$G395&lt;&gt;"高",NOT(ISNUMBER($K395)),NOT(ISNUMBER($L395)),OR($M395="—",$M395="")),1,0)</f>
        <v>0</v>
      </c>
      <c r="Y395" s="103" t="n">
        <f aca="false">IF(AND(OR($F395="Analogy",$F395="Assumed",$F395="Derived（待改公式）",$F395="Derived（公式）"),OR($N395="—",$N395="",$N395=0)),1,0)</f>
        <v>0</v>
      </c>
      <c r="Z395" s="103" t="n">
        <f aca="false">IF(AND($F395="Decision",OR($J395="—",$J395="")),1,0)</f>
        <v>0</v>
      </c>
      <c r="AA395" s="84" t="n">
        <f aca="false">IF(OR($J395="—",$J395=""),0,IF(COUNTIF(Decisions!$A$5:$A$300,$J395)=0,1,0))</f>
        <v>0</v>
      </c>
      <c r="AB395" s="103" t="n">
        <f aca="false">IF(AND($F395="原始數據",$S395&lt;&gt;"Active"),1,0)</f>
        <v>0</v>
      </c>
      <c r="AC395" s="103" t="n">
        <f aca="false">IF(AND(ISNUMBER($K395),ISNUMBER($L395),ISNUMBER($Q395)),IF(OR($Q395&lt;MIN($K395,$L395),$Q395&gt;MAX($K395,$L395)),1,0),0)</f>
        <v>0</v>
      </c>
      <c r="AD395" s="103" t="n">
        <f aca="false">IF(AND(ISNUMBER($T395),$P395="高"),IF($T395=3,1,0),0)</f>
        <v>0</v>
      </c>
      <c r="AE395" s="103" t="n">
        <f aca="false">IF(AND($S395="不存在",$B395="切片一"),1,0)</f>
        <v>0</v>
      </c>
    </row>
    <row r="396" customFormat="false" ht="15" hidden="false" customHeight="false" outlineLevel="0" collapsed="false">
      <c r="A396" s="53" t="s">
        <v>3195</v>
      </c>
      <c r="B396" s="52" t="s">
        <v>2297</v>
      </c>
      <c r="C396" s="53" t="s">
        <v>3187</v>
      </c>
      <c r="D396" s="53" t="s">
        <v>2469</v>
      </c>
      <c r="E396" s="6" t="s">
        <v>1967</v>
      </c>
      <c r="F396" s="53" t="s">
        <v>70</v>
      </c>
      <c r="G396" s="52" t="s">
        <v>55</v>
      </c>
      <c r="H396" s="53" t="s">
        <v>554</v>
      </c>
      <c r="I396" s="6" t="s">
        <v>554</v>
      </c>
      <c r="J396" s="53" t="s">
        <v>554</v>
      </c>
      <c r="K396" s="89" t="n">
        <f aca="false">NonNV!E6</f>
        <v>0.7</v>
      </c>
      <c r="L396" s="89" t="n">
        <f aca="false">NonNV!G6</f>
        <v>1</v>
      </c>
      <c r="M396" s="53" t="s">
        <v>554</v>
      </c>
      <c r="N396" s="204" t="str">
        <f aca="false">NonNV!$L$6</f>
        <v>自用為主，無公開同口徑實測</v>
      </c>
      <c r="O396" s="6" t="s">
        <v>554</v>
      </c>
      <c r="P396" s="52" t="s">
        <v>2307</v>
      </c>
      <c r="Q396" s="89" t="n">
        <f aca="false">NonNV!F6</f>
        <v>0.8</v>
      </c>
      <c r="R396" s="53" t="s">
        <v>554</v>
      </c>
      <c r="S396" s="83" t="str">
        <f aca="false">IF(OR($H396="—",$H396=""),"—",IF(ISNUMBER(MATCH($H396,SRC_HW!$A$5:$A$400,0)),INDEX(SRC_HW!$O$5:$O$400,MATCH($H396,SRC_HW!$A$5:$A$400,0)),IF(ISNUMBER(MATCH($H396,SRC_DC!$A$5:$A$400,0)),INDEX(SRC_DC!$O$5:$O$400,MATCH($H396,SRC_DC!$A$5:$A$400,0)),IF(ISNUMBER(MATCH($H396,SRC_Model!$A$5:$A$400,0)),INDEX(SRC_Model!$O$5:$O$400,MATCH($H396,SRC_Model!$A$5:$A$400,0)),IF(ISNUMBER(MATCH($H396,SRC_Perf!$A$5:$A$400,0)),INDEX(SRC_Perf!$O$5:$O$400,MATCH($H396,SRC_Perf!$A$5:$A$400,0)),"不存在")))))</f>
        <v>—</v>
      </c>
      <c r="T396" s="83" t="str">
        <f aca="false">IF(OR($H396="—",$H396=""),"—",IF(ISNUMBER(MATCH($H396,SRC_HW!$A$5:$A$400,0)),INDEX(SRC_HW!$K$5:$K$400,MATCH($H396,SRC_HW!$A$5:$A$400,0)),IF(ISNUMBER(MATCH($H396,SRC_DC!$A$5:$A$400,0)),INDEX(SRC_DC!$K$5:$K$400,MATCH($H396,SRC_DC!$A$5:$A$400,0)),IF(ISNUMBER(MATCH($H396,SRC_Model!$A$5:$A$400,0)),INDEX(SRC_Model!$K$5:$K$400,MATCH($H396,SRC_Model!$A$5:$A$400,0)),IF(ISNUMBER(MATCH($H396,SRC_Perf!$A$5:$A$400,0)),INDEX(SRC_Perf!$K$5:$K$400,MATCH($H396,SRC_Perf!$A$5:$A$400,0)),"不存在")))))</f>
        <v>—</v>
      </c>
      <c r="U396" s="52" t="s">
        <v>2302</v>
      </c>
      <c r="V396" s="103" t="n">
        <f aca="false">IF(AND($F396="原始數據",$U396&lt;&gt;"連結 SRC"),1,0)</f>
        <v>0</v>
      </c>
      <c r="W396" s="103" t="n">
        <f aca="false">IF(AND($F396="Analogy",OR($H396="—",$H396="")),1,0)</f>
        <v>0</v>
      </c>
      <c r="X396" s="103" t="n">
        <f aca="false">IF(AND(OR($F396="Analogy",$F396="Assumed"),$G396&lt;&gt;"低",$G396&lt;&gt;"高",NOT(ISNUMBER($K396)),NOT(ISNUMBER($L396)),OR($M396="—",$M396="")),1,0)</f>
        <v>0</v>
      </c>
      <c r="Y396" s="103" t="n">
        <f aca="false">IF(AND(OR($F396="Analogy",$F396="Assumed",$F396="Derived（待改公式）",$F396="Derived（公式）"),OR($N396="—",$N396="",$N396=0)),1,0)</f>
        <v>0</v>
      </c>
      <c r="Z396" s="103" t="n">
        <f aca="false">IF(AND($F396="Decision",OR($J396="—",$J396="")),1,0)</f>
        <v>0</v>
      </c>
      <c r="AA396" s="84" t="n">
        <f aca="false">IF(OR($J396="—",$J396=""),0,IF(COUNTIF(Decisions!$A$5:$A$300,$J396)=0,1,0))</f>
        <v>0</v>
      </c>
      <c r="AB396" s="103" t="n">
        <f aca="false">IF(AND($F396="原始數據",$S396&lt;&gt;"Active"),1,0)</f>
        <v>0</v>
      </c>
      <c r="AC396" s="103" t="n">
        <f aca="false">IF(AND(ISNUMBER($K396),ISNUMBER($L396),ISNUMBER($Q396)),IF(OR($Q396&lt;MIN($K396,$L396),$Q396&gt;MAX($K396,$L396)),1,0),0)</f>
        <v>0</v>
      </c>
      <c r="AD396" s="103" t="n">
        <f aca="false">IF(AND(ISNUMBER($T396),$P396="高"),IF($T396=3,1,0),0)</f>
        <v>0</v>
      </c>
      <c r="AE396" s="103" t="n">
        <f aca="false">IF(AND($S396="不存在",$B396="切片一"),1,0)</f>
        <v>0</v>
      </c>
    </row>
    <row r="397" customFormat="false" ht="15" hidden="false" customHeight="false" outlineLevel="0" collapsed="false">
      <c r="A397" s="53" t="s">
        <v>3196</v>
      </c>
      <c r="B397" s="52" t="s">
        <v>2297</v>
      </c>
      <c r="C397" s="53" t="s">
        <v>3187</v>
      </c>
      <c r="D397" s="53" t="s">
        <v>3197</v>
      </c>
      <c r="E397" s="6" t="s">
        <v>1967</v>
      </c>
      <c r="F397" s="53" t="s">
        <v>70</v>
      </c>
      <c r="G397" s="52" t="s">
        <v>1078</v>
      </c>
      <c r="H397" s="53" t="s">
        <v>554</v>
      </c>
      <c r="I397" s="6" t="s">
        <v>554</v>
      </c>
      <c r="J397" s="53" t="s">
        <v>554</v>
      </c>
      <c r="K397" s="52"/>
      <c r="L397" s="52"/>
      <c r="M397" s="53" t="s">
        <v>554</v>
      </c>
      <c r="N397" s="204" t="str">
        <f aca="false">NonNV!$L$6</f>
        <v>自用為主，無公開同口徑實測</v>
      </c>
      <c r="O397" s="6" t="s">
        <v>554</v>
      </c>
      <c r="P397" s="52" t="s">
        <v>2307</v>
      </c>
      <c r="Q397" s="89" t="n">
        <f aca="false">NonNV!B6</f>
        <v>0.6</v>
      </c>
      <c r="R397" s="53" t="s">
        <v>554</v>
      </c>
      <c r="S397" s="83" t="str">
        <f aca="false">IF(OR($H397="—",$H397=""),"—",IF(ISNUMBER(MATCH($H397,SRC_HW!$A$5:$A$400,0)),INDEX(SRC_HW!$O$5:$O$400,MATCH($H397,SRC_HW!$A$5:$A$400,0)),IF(ISNUMBER(MATCH($H397,SRC_DC!$A$5:$A$400,0)),INDEX(SRC_DC!$O$5:$O$400,MATCH($H397,SRC_DC!$A$5:$A$400,0)),IF(ISNUMBER(MATCH($H397,SRC_Model!$A$5:$A$400,0)),INDEX(SRC_Model!$O$5:$O$400,MATCH($H397,SRC_Model!$A$5:$A$400,0)),IF(ISNUMBER(MATCH($H397,SRC_Perf!$A$5:$A$400,0)),INDEX(SRC_Perf!$O$5:$O$400,MATCH($H397,SRC_Perf!$A$5:$A$400,0)),"不存在")))))</f>
        <v>—</v>
      </c>
      <c r="T397" s="83" t="str">
        <f aca="false">IF(OR($H397="—",$H397=""),"—",IF(ISNUMBER(MATCH($H397,SRC_HW!$A$5:$A$400,0)),INDEX(SRC_HW!$K$5:$K$400,MATCH($H397,SRC_HW!$A$5:$A$400,0)),IF(ISNUMBER(MATCH($H397,SRC_DC!$A$5:$A$400,0)),INDEX(SRC_DC!$K$5:$K$400,MATCH($H397,SRC_DC!$A$5:$A$400,0)),IF(ISNUMBER(MATCH($H397,SRC_Model!$A$5:$A$400,0)),INDEX(SRC_Model!$K$5:$K$400,MATCH($H397,SRC_Model!$A$5:$A$400,0)),IF(ISNUMBER(MATCH($H397,SRC_Perf!$A$5:$A$400,0)),INDEX(SRC_Perf!$K$5:$K$400,MATCH($H397,SRC_Perf!$A$5:$A$400,0)),"不存在")))))</f>
        <v>—</v>
      </c>
      <c r="U397" s="52" t="s">
        <v>2302</v>
      </c>
      <c r="V397" s="103" t="n">
        <f aca="false">IF(AND($F397="原始數據",$U397&lt;&gt;"連結 SRC"),1,0)</f>
        <v>0</v>
      </c>
      <c r="W397" s="103" t="n">
        <f aca="false">IF(AND($F397="Analogy",OR($H397="—",$H397="")),1,0)</f>
        <v>0</v>
      </c>
      <c r="X397" s="103" t="n">
        <f aca="false">IF(AND(OR($F397="Analogy",$F397="Assumed"),$G397&lt;&gt;"低",$G397&lt;&gt;"高",NOT(ISNUMBER($K397)),NOT(ISNUMBER($L397)),OR($M397="—",$M397="")),1,0)</f>
        <v>0</v>
      </c>
      <c r="Y397" s="103" t="n">
        <f aca="false">IF(AND(OR($F397="Analogy",$F397="Assumed",$F397="Derived（待改公式）",$F397="Derived（公式）"),OR($N397="—",$N397="",$N397=0)),1,0)</f>
        <v>0</v>
      </c>
      <c r="Z397" s="103" t="n">
        <f aca="false">IF(AND($F397="Decision",OR($J397="—",$J397="")),1,0)</f>
        <v>0</v>
      </c>
      <c r="AA397" s="84" t="n">
        <f aca="false">IF(OR($J397="—",$J397=""),0,IF(COUNTIF(Decisions!$A$5:$A$300,$J397)=0,1,0))</f>
        <v>0</v>
      </c>
      <c r="AB397" s="103" t="n">
        <f aca="false">IF(AND($F397="原始數據",$S397&lt;&gt;"Active"),1,0)</f>
        <v>0</v>
      </c>
      <c r="AC397" s="103" t="n">
        <f aca="false">IF(AND(ISNUMBER($K397),ISNUMBER($L397),ISNUMBER($Q397)),IF(OR($Q397&lt;MIN($K397,$L397),$Q397&gt;MAX($K397,$L397)),1,0),0)</f>
        <v>0</v>
      </c>
      <c r="AD397" s="103" t="n">
        <f aca="false">IF(AND(ISNUMBER($T397),$P397="高"),IF($T397=3,1,0),0)</f>
        <v>0</v>
      </c>
      <c r="AE397" s="103" t="n">
        <f aca="false">IF(AND($S397="不存在",$B397="切片一"),1,0)</f>
        <v>0</v>
      </c>
    </row>
    <row r="398" customFormat="false" ht="15" hidden="false" customHeight="false" outlineLevel="0" collapsed="false">
      <c r="A398" s="53" t="s">
        <v>3198</v>
      </c>
      <c r="B398" s="52" t="s">
        <v>2297</v>
      </c>
      <c r="C398" s="53" t="s">
        <v>3187</v>
      </c>
      <c r="D398" s="53" t="s">
        <v>2465</v>
      </c>
      <c r="E398" s="6" t="s">
        <v>1967</v>
      </c>
      <c r="F398" s="53" t="s">
        <v>70</v>
      </c>
      <c r="G398" s="52" t="s">
        <v>1079</v>
      </c>
      <c r="H398" s="53" t="s">
        <v>554</v>
      </c>
      <c r="I398" s="6" t="s">
        <v>554</v>
      </c>
      <c r="J398" s="53" t="s">
        <v>554</v>
      </c>
      <c r="K398" s="52"/>
      <c r="L398" s="52"/>
      <c r="M398" s="53" t="s">
        <v>554</v>
      </c>
      <c r="N398" s="204" t="str">
        <f aca="false">NonNV!$L$6</f>
        <v>自用為主，無公開同口徑實測</v>
      </c>
      <c r="O398" s="6" t="s">
        <v>554</v>
      </c>
      <c r="P398" s="52" t="s">
        <v>2307</v>
      </c>
      <c r="Q398" s="89" t="n">
        <f aca="false">NonNV!D6</f>
        <v>1.1</v>
      </c>
      <c r="R398" s="53" t="s">
        <v>554</v>
      </c>
      <c r="S398" s="83" t="str">
        <f aca="false">IF(OR($H398="—",$H398=""),"—",IF(ISNUMBER(MATCH($H398,SRC_HW!$A$5:$A$400,0)),INDEX(SRC_HW!$O$5:$O$400,MATCH($H398,SRC_HW!$A$5:$A$400,0)),IF(ISNUMBER(MATCH($H398,SRC_DC!$A$5:$A$400,0)),INDEX(SRC_DC!$O$5:$O$400,MATCH($H398,SRC_DC!$A$5:$A$400,0)),IF(ISNUMBER(MATCH($H398,SRC_Model!$A$5:$A$400,0)),INDEX(SRC_Model!$O$5:$O$400,MATCH($H398,SRC_Model!$A$5:$A$400,0)),IF(ISNUMBER(MATCH($H398,SRC_Perf!$A$5:$A$400,0)),INDEX(SRC_Perf!$O$5:$O$400,MATCH($H398,SRC_Perf!$A$5:$A$400,0)),"不存在")))))</f>
        <v>—</v>
      </c>
      <c r="T398" s="83" t="str">
        <f aca="false">IF(OR($H398="—",$H398=""),"—",IF(ISNUMBER(MATCH($H398,SRC_HW!$A$5:$A$400,0)),INDEX(SRC_HW!$K$5:$K$400,MATCH($H398,SRC_HW!$A$5:$A$400,0)),IF(ISNUMBER(MATCH($H398,SRC_DC!$A$5:$A$400,0)),INDEX(SRC_DC!$K$5:$K$400,MATCH($H398,SRC_DC!$A$5:$A$400,0)),IF(ISNUMBER(MATCH($H398,SRC_Model!$A$5:$A$400,0)),INDEX(SRC_Model!$K$5:$K$400,MATCH($H398,SRC_Model!$A$5:$A$400,0)),IF(ISNUMBER(MATCH($H398,SRC_Perf!$A$5:$A$400,0)),INDEX(SRC_Perf!$K$5:$K$400,MATCH($H398,SRC_Perf!$A$5:$A$400,0)),"不存在")))))</f>
        <v>—</v>
      </c>
      <c r="U398" s="52" t="s">
        <v>2302</v>
      </c>
      <c r="V398" s="103" t="n">
        <f aca="false">IF(AND($F398="原始數據",$U398&lt;&gt;"連結 SRC"),1,0)</f>
        <v>0</v>
      </c>
      <c r="W398" s="103" t="n">
        <f aca="false">IF(AND($F398="Analogy",OR($H398="—",$H398="")),1,0)</f>
        <v>0</v>
      </c>
      <c r="X398" s="103" t="n">
        <f aca="false">IF(AND(OR($F398="Analogy",$F398="Assumed"),$G398&lt;&gt;"低",$G398&lt;&gt;"高",NOT(ISNUMBER($K398)),NOT(ISNUMBER($L398)),OR($M398="—",$M398="")),1,0)</f>
        <v>0</v>
      </c>
      <c r="Y398" s="103" t="n">
        <f aca="false">IF(AND(OR($F398="Analogy",$F398="Assumed",$F398="Derived（待改公式）",$F398="Derived（公式）"),OR($N398="—",$N398="",$N398=0)),1,0)</f>
        <v>0</v>
      </c>
      <c r="Z398" s="103" t="n">
        <f aca="false">IF(AND($F398="Decision",OR($J398="—",$J398="")),1,0)</f>
        <v>0</v>
      </c>
      <c r="AA398" s="84" t="n">
        <f aca="false">IF(OR($J398="—",$J398=""),0,IF(COUNTIF(Decisions!$A$5:$A$300,$J398)=0,1,0))</f>
        <v>0</v>
      </c>
      <c r="AB398" s="103" t="n">
        <f aca="false">IF(AND($F398="原始數據",$S398&lt;&gt;"Active"),1,0)</f>
        <v>0</v>
      </c>
      <c r="AC398" s="103" t="n">
        <f aca="false">IF(AND(ISNUMBER($K398),ISNUMBER($L398),ISNUMBER($Q398)),IF(OR($Q398&lt;MIN($K398,$L398),$Q398&gt;MAX($K398,$L398)),1,0),0)</f>
        <v>0</v>
      </c>
      <c r="AD398" s="103" t="n">
        <f aca="false">IF(AND(ISNUMBER($T398),$P398="高"),IF($T398=3,1,0),0)</f>
        <v>0</v>
      </c>
      <c r="AE398" s="103" t="n">
        <f aca="false">IF(AND($S398="不存在",$B398="切片一"),1,0)</f>
        <v>0</v>
      </c>
    </row>
    <row r="399" customFormat="false" ht="15" hidden="false" customHeight="false" outlineLevel="0" collapsed="false">
      <c r="A399" s="53" t="s">
        <v>3199</v>
      </c>
      <c r="B399" s="52" t="s">
        <v>2297</v>
      </c>
      <c r="C399" s="53" t="s">
        <v>3187</v>
      </c>
      <c r="D399" s="53" t="s">
        <v>2213</v>
      </c>
      <c r="E399" s="6" t="s">
        <v>1967</v>
      </c>
      <c r="F399" s="53" t="s">
        <v>70</v>
      </c>
      <c r="G399" s="52" t="s">
        <v>1078</v>
      </c>
      <c r="H399" s="53" t="s">
        <v>554</v>
      </c>
      <c r="I399" s="6" t="s">
        <v>554</v>
      </c>
      <c r="J399" s="53" t="s">
        <v>554</v>
      </c>
      <c r="K399" s="52"/>
      <c r="L399" s="52"/>
      <c r="M399" s="53" t="s">
        <v>554</v>
      </c>
      <c r="N399" s="204" t="str">
        <f aca="false">NonNV!$L$6</f>
        <v>自用為主，無公開同口徑實測</v>
      </c>
      <c r="O399" s="6" t="s">
        <v>554</v>
      </c>
      <c r="P399" s="52" t="s">
        <v>2307</v>
      </c>
      <c r="Q399" s="89" t="n">
        <f aca="false">NonNV!E6</f>
        <v>0.7</v>
      </c>
      <c r="R399" s="53" t="s">
        <v>554</v>
      </c>
      <c r="S399" s="83" t="str">
        <f aca="false">IF(OR($H399="—",$H399=""),"—",IF(ISNUMBER(MATCH($H399,SRC_HW!$A$5:$A$400,0)),INDEX(SRC_HW!$O$5:$O$400,MATCH($H399,SRC_HW!$A$5:$A$400,0)),IF(ISNUMBER(MATCH($H399,SRC_DC!$A$5:$A$400,0)),INDEX(SRC_DC!$O$5:$O$400,MATCH($H399,SRC_DC!$A$5:$A$400,0)),IF(ISNUMBER(MATCH($H399,SRC_Model!$A$5:$A$400,0)),INDEX(SRC_Model!$O$5:$O$400,MATCH($H399,SRC_Model!$A$5:$A$400,0)),IF(ISNUMBER(MATCH($H399,SRC_Perf!$A$5:$A$400,0)),INDEX(SRC_Perf!$O$5:$O$400,MATCH($H399,SRC_Perf!$A$5:$A$400,0)),"不存在")))))</f>
        <v>—</v>
      </c>
      <c r="T399" s="83" t="str">
        <f aca="false">IF(OR($H399="—",$H399=""),"—",IF(ISNUMBER(MATCH($H399,SRC_HW!$A$5:$A$400,0)),INDEX(SRC_HW!$K$5:$K$400,MATCH($H399,SRC_HW!$A$5:$A$400,0)),IF(ISNUMBER(MATCH($H399,SRC_DC!$A$5:$A$400,0)),INDEX(SRC_DC!$K$5:$K$400,MATCH($H399,SRC_DC!$A$5:$A$400,0)),IF(ISNUMBER(MATCH($H399,SRC_Model!$A$5:$A$400,0)),INDEX(SRC_Model!$K$5:$K$400,MATCH($H399,SRC_Model!$A$5:$A$400,0)),IF(ISNUMBER(MATCH($H399,SRC_Perf!$A$5:$A$400,0)),INDEX(SRC_Perf!$K$5:$K$400,MATCH($H399,SRC_Perf!$A$5:$A$400,0)),"不存在")))))</f>
        <v>—</v>
      </c>
      <c r="U399" s="52" t="s">
        <v>2302</v>
      </c>
      <c r="V399" s="103" t="n">
        <f aca="false">IF(AND($F399="原始數據",$U399&lt;&gt;"連結 SRC"),1,0)</f>
        <v>0</v>
      </c>
      <c r="W399" s="103" t="n">
        <f aca="false">IF(AND($F399="Analogy",OR($H399="—",$H399="")),1,0)</f>
        <v>0</v>
      </c>
      <c r="X399" s="103" t="n">
        <f aca="false">IF(AND(OR($F399="Analogy",$F399="Assumed"),$G399&lt;&gt;"低",$G399&lt;&gt;"高",NOT(ISNUMBER($K399)),NOT(ISNUMBER($L399)),OR($M399="—",$M399="")),1,0)</f>
        <v>0</v>
      </c>
      <c r="Y399" s="103" t="n">
        <f aca="false">IF(AND(OR($F399="Analogy",$F399="Assumed",$F399="Derived（待改公式）",$F399="Derived（公式）"),OR($N399="—",$N399="",$N399=0)),1,0)</f>
        <v>0</v>
      </c>
      <c r="Z399" s="103" t="n">
        <f aca="false">IF(AND($F399="Decision",OR($J399="—",$J399="")),1,0)</f>
        <v>0</v>
      </c>
      <c r="AA399" s="84" t="n">
        <f aca="false">IF(OR($J399="—",$J399=""),0,IF(COUNTIF(Decisions!$A$5:$A$300,$J399)=0,1,0))</f>
        <v>0</v>
      </c>
      <c r="AB399" s="103" t="n">
        <f aca="false">IF(AND($F399="原始數據",$S399&lt;&gt;"Active"),1,0)</f>
        <v>0</v>
      </c>
      <c r="AC399" s="103" t="n">
        <f aca="false">IF(AND(ISNUMBER($K399),ISNUMBER($L399),ISNUMBER($Q399)),IF(OR($Q399&lt;MIN($K399,$L399),$Q399&gt;MAX($K399,$L399)),1,0),0)</f>
        <v>0</v>
      </c>
      <c r="AD399" s="103" t="n">
        <f aca="false">IF(AND(ISNUMBER($T399),$P399="高"),IF($T399=3,1,0),0)</f>
        <v>0</v>
      </c>
      <c r="AE399" s="103" t="n">
        <f aca="false">IF(AND($S399="不存在",$B399="切片一"),1,0)</f>
        <v>0</v>
      </c>
    </row>
    <row r="400" customFormat="false" ht="15" hidden="false" customHeight="false" outlineLevel="0" collapsed="false">
      <c r="A400" s="53" t="s">
        <v>3200</v>
      </c>
      <c r="B400" s="52" t="s">
        <v>2297</v>
      </c>
      <c r="C400" s="53" t="s">
        <v>3187</v>
      </c>
      <c r="D400" s="53" t="s">
        <v>2471</v>
      </c>
      <c r="E400" s="6" t="s">
        <v>1967</v>
      </c>
      <c r="F400" s="53" t="s">
        <v>70</v>
      </c>
      <c r="G400" s="52" t="s">
        <v>1079</v>
      </c>
      <c r="H400" s="53" t="s">
        <v>554</v>
      </c>
      <c r="I400" s="6" t="s">
        <v>554</v>
      </c>
      <c r="J400" s="53" t="s">
        <v>554</v>
      </c>
      <c r="K400" s="52"/>
      <c r="L400" s="52"/>
      <c r="M400" s="53" t="s">
        <v>554</v>
      </c>
      <c r="N400" s="204" t="str">
        <f aca="false">NonNV!$L$6</f>
        <v>自用為主，無公開同口徑實測</v>
      </c>
      <c r="O400" s="6" t="s">
        <v>554</v>
      </c>
      <c r="P400" s="52" t="s">
        <v>2307</v>
      </c>
      <c r="Q400" s="89" t="n">
        <f aca="false">NonNV!G6</f>
        <v>1</v>
      </c>
      <c r="R400" s="53" t="s">
        <v>554</v>
      </c>
      <c r="S400" s="83" t="str">
        <f aca="false">IF(OR($H400="—",$H400=""),"—",IF(ISNUMBER(MATCH($H400,SRC_HW!$A$5:$A$400,0)),INDEX(SRC_HW!$O$5:$O$400,MATCH($H400,SRC_HW!$A$5:$A$400,0)),IF(ISNUMBER(MATCH($H400,SRC_DC!$A$5:$A$400,0)),INDEX(SRC_DC!$O$5:$O$400,MATCH($H400,SRC_DC!$A$5:$A$400,0)),IF(ISNUMBER(MATCH($H400,SRC_Model!$A$5:$A$400,0)),INDEX(SRC_Model!$O$5:$O$400,MATCH($H400,SRC_Model!$A$5:$A$400,0)),IF(ISNUMBER(MATCH($H400,SRC_Perf!$A$5:$A$400,0)),INDEX(SRC_Perf!$O$5:$O$400,MATCH($H400,SRC_Perf!$A$5:$A$400,0)),"不存在")))))</f>
        <v>—</v>
      </c>
      <c r="T400" s="83" t="str">
        <f aca="false">IF(OR($H400="—",$H400=""),"—",IF(ISNUMBER(MATCH($H400,SRC_HW!$A$5:$A$400,0)),INDEX(SRC_HW!$K$5:$K$400,MATCH($H400,SRC_HW!$A$5:$A$400,0)),IF(ISNUMBER(MATCH($H400,SRC_DC!$A$5:$A$400,0)),INDEX(SRC_DC!$K$5:$K$400,MATCH($H400,SRC_DC!$A$5:$A$400,0)),IF(ISNUMBER(MATCH($H400,SRC_Model!$A$5:$A$400,0)),INDEX(SRC_Model!$K$5:$K$400,MATCH($H400,SRC_Model!$A$5:$A$400,0)),IF(ISNUMBER(MATCH($H400,SRC_Perf!$A$5:$A$400,0)),INDEX(SRC_Perf!$K$5:$K$400,MATCH($H400,SRC_Perf!$A$5:$A$400,0)),"不存在")))))</f>
        <v>—</v>
      </c>
      <c r="U400" s="52" t="s">
        <v>2302</v>
      </c>
      <c r="V400" s="103" t="n">
        <f aca="false">IF(AND($F400="原始數據",$U400&lt;&gt;"連結 SRC"),1,0)</f>
        <v>0</v>
      </c>
      <c r="W400" s="103" t="n">
        <f aca="false">IF(AND($F400="Analogy",OR($H400="—",$H400="")),1,0)</f>
        <v>0</v>
      </c>
      <c r="X400" s="103" t="n">
        <f aca="false">IF(AND(OR($F400="Analogy",$F400="Assumed"),$G400&lt;&gt;"低",$G400&lt;&gt;"高",NOT(ISNUMBER($K400)),NOT(ISNUMBER($L400)),OR($M400="—",$M400="")),1,0)</f>
        <v>0</v>
      </c>
      <c r="Y400" s="103" t="n">
        <f aca="false">IF(AND(OR($F400="Analogy",$F400="Assumed",$F400="Derived（待改公式）",$F400="Derived（公式）"),OR($N400="—",$N400="",$N400=0)),1,0)</f>
        <v>0</v>
      </c>
      <c r="Z400" s="103" t="n">
        <f aca="false">IF(AND($F400="Decision",OR($J400="—",$J400="")),1,0)</f>
        <v>0</v>
      </c>
      <c r="AA400" s="84" t="n">
        <f aca="false">IF(OR($J400="—",$J400=""),0,IF(COUNTIF(Decisions!$A$5:$A$300,$J400)=0,1,0))</f>
        <v>0</v>
      </c>
      <c r="AB400" s="103" t="n">
        <f aca="false">IF(AND($F400="原始數據",$S400&lt;&gt;"Active"),1,0)</f>
        <v>0</v>
      </c>
      <c r="AC400" s="103" t="n">
        <f aca="false">IF(AND(ISNUMBER($K400),ISNUMBER($L400),ISNUMBER($Q400)),IF(OR($Q400&lt;MIN($K400,$L400),$Q400&gt;MAX($K400,$L400)),1,0),0)</f>
        <v>0</v>
      </c>
      <c r="AD400" s="103" t="n">
        <f aca="false">IF(AND(ISNUMBER($T400),$P400="高"),IF($T400=3,1,0),0)</f>
        <v>0</v>
      </c>
      <c r="AE400" s="103" t="n">
        <f aca="false">IF(AND($S400="不存在",$B400="切片一"),1,0)</f>
        <v>0</v>
      </c>
    </row>
    <row r="401" customFormat="false" ht="15" hidden="false" customHeight="false" outlineLevel="0" collapsed="false">
      <c r="A401" s="53" t="s">
        <v>3201</v>
      </c>
      <c r="B401" s="52" t="s">
        <v>2297</v>
      </c>
      <c r="C401" s="53" t="s">
        <v>3187</v>
      </c>
      <c r="D401" s="53" t="s">
        <v>2767</v>
      </c>
      <c r="E401" s="6" t="s">
        <v>1969</v>
      </c>
      <c r="F401" s="53" t="s">
        <v>70</v>
      </c>
      <c r="G401" s="52" t="s">
        <v>55</v>
      </c>
      <c r="H401" s="53" t="s">
        <v>554</v>
      </c>
      <c r="I401" s="6" t="s">
        <v>554</v>
      </c>
      <c r="J401" s="53" t="s">
        <v>554</v>
      </c>
      <c r="K401" s="89" t="n">
        <f aca="false">NonNV!B7</f>
        <v>0.3</v>
      </c>
      <c r="L401" s="89" t="n">
        <f aca="false">NonNV!D7</f>
        <v>0.8</v>
      </c>
      <c r="M401" s="53" t="s">
        <v>554</v>
      </c>
      <c r="N401" s="204" t="str">
        <f aca="false">NonNV!$L$7</f>
        <v>OpenAI v0.5 以 2GW Trainium 合約為輸入</v>
      </c>
      <c r="O401" s="6" t="s">
        <v>554</v>
      </c>
      <c r="P401" s="52" t="s">
        <v>2307</v>
      </c>
      <c r="Q401" s="89" t="n">
        <f aca="false">NonNV!C7</f>
        <v>0.5</v>
      </c>
      <c r="R401" s="53" t="s">
        <v>554</v>
      </c>
      <c r="S401" s="83" t="str">
        <f aca="false">IF(OR($H401="—",$H401=""),"—",IF(ISNUMBER(MATCH($H401,SRC_HW!$A$5:$A$400,0)),INDEX(SRC_HW!$O$5:$O$400,MATCH($H401,SRC_HW!$A$5:$A$400,0)),IF(ISNUMBER(MATCH($H401,SRC_DC!$A$5:$A$400,0)),INDEX(SRC_DC!$O$5:$O$400,MATCH($H401,SRC_DC!$A$5:$A$400,0)),IF(ISNUMBER(MATCH($H401,SRC_Model!$A$5:$A$400,0)),INDEX(SRC_Model!$O$5:$O$400,MATCH($H401,SRC_Model!$A$5:$A$400,0)),IF(ISNUMBER(MATCH($H401,SRC_Perf!$A$5:$A$400,0)),INDEX(SRC_Perf!$O$5:$O$400,MATCH($H401,SRC_Perf!$A$5:$A$400,0)),"不存在")))))</f>
        <v>—</v>
      </c>
      <c r="T401" s="83" t="str">
        <f aca="false">IF(OR($H401="—",$H401=""),"—",IF(ISNUMBER(MATCH($H401,SRC_HW!$A$5:$A$400,0)),INDEX(SRC_HW!$K$5:$K$400,MATCH($H401,SRC_HW!$A$5:$A$400,0)),IF(ISNUMBER(MATCH($H401,SRC_DC!$A$5:$A$400,0)),INDEX(SRC_DC!$K$5:$K$400,MATCH($H401,SRC_DC!$A$5:$A$400,0)),IF(ISNUMBER(MATCH($H401,SRC_Model!$A$5:$A$400,0)),INDEX(SRC_Model!$K$5:$K$400,MATCH($H401,SRC_Model!$A$5:$A$400,0)),IF(ISNUMBER(MATCH($H401,SRC_Perf!$A$5:$A$400,0)),INDEX(SRC_Perf!$K$5:$K$400,MATCH($H401,SRC_Perf!$A$5:$A$400,0)),"不存在")))))</f>
        <v>—</v>
      </c>
      <c r="U401" s="52" t="s">
        <v>2302</v>
      </c>
      <c r="V401" s="103" t="n">
        <f aca="false">IF(AND($F401="原始數據",$U401&lt;&gt;"連結 SRC"),1,0)</f>
        <v>0</v>
      </c>
      <c r="W401" s="103" t="n">
        <f aca="false">IF(AND($F401="Analogy",OR($H401="—",$H401="")),1,0)</f>
        <v>0</v>
      </c>
      <c r="X401" s="103" t="n">
        <f aca="false">IF(AND(OR($F401="Analogy",$F401="Assumed"),$G401&lt;&gt;"低",$G401&lt;&gt;"高",NOT(ISNUMBER($K401)),NOT(ISNUMBER($L401)),OR($M401="—",$M401="")),1,0)</f>
        <v>0</v>
      </c>
      <c r="Y401" s="103" t="n">
        <f aca="false">IF(AND(OR($F401="Analogy",$F401="Assumed",$F401="Derived（待改公式）",$F401="Derived（公式）"),OR($N401="—",$N401="",$N401=0)),1,0)</f>
        <v>0</v>
      </c>
      <c r="Z401" s="103" t="n">
        <f aca="false">IF(AND($F401="Decision",OR($J401="—",$J401="")),1,0)</f>
        <v>0</v>
      </c>
      <c r="AA401" s="84" t="n">
        <f aca="false">IF(OR($J401="—",$J401=""),0,IF(COUNTIF(Decisions!$A$5:$A$300,$J401)=0,1,0))</f>
        <v>0</v>
      </c>
      <c r="AB401" s="103" t="n">
        <f aca="false">IF(AND($F401="原始數據",$S401&lt;&gt;"Active"),1,0)</f>
        <v>0</v>
      </c>
      <c r="AC401" s="103" t="n">
        <f aca="false">IF(AND(ISNUMBER($K401),ISNUMBER($L401),ISNUMBER($Q401)),IF(OR($Q401&lt;MIN($K401,$L401),$Q401&gt;MAX($K401,$L401)),1,0),0)</f>
        <v>0</v>
      </c>
      <c r="AD401" s="103" t="n">
        <f aca="false">IF(AND(ISNUMBER($T401),$P401="高"),IF($T401=3,1,0),0)</f>
        <v>0</v>
      </c>
      <c r="AE401" s="103" t="n">
        <f aca="false">IF(AND($S401="不存在",$B401="切片一"),1,0)</f>
        <v>0</v>
      </c>
    </row>
    <row r="402" customFormat="false" ht="15" hidden="false" customHeight="false" outlineLevel="0" collapsed="false">
      <c r="A402" s="53" t="s">
        <v>3202</v>
      </c>
      <c r="B402" s="52" t="s">
        <v>2297</v>
      </c>
      <c r="C402" s="53" t="s">
        <v>3187</v>
      </c>
      <c r="D402" s="53" t="s">
        <v>2939</v>
      </c>
      <c r="E402" s="6" t="s">
        <v>1969</v>
      </c>
      <c r="F402" s="53" t="s">
        <v>70</v>
      </c>
      <c r="G402" s="52" t="s">
        <v>55</v>
      </c>
      <c r="H402" s="53" t="s">
        <v>554</v>
      </c>
      <c r="I402" s="6" t="s">
        <v>554</v>
      </c>
      <c r="J402" s="53" t="s">
        <v>554</v>
      </c>
      <c r="K402" s="89" t="n">
        <f aca="false">NonNV!E7</f>
        <v>0.6</v>
      </c>
      <c r="L402" s="89" t="n">
        <f aca="false">NonNV!G7</f>
        <v>0.9</v>
      </c>
      <c r="M402" s="53" t="s">
        <v>554</v>
      </c>
      <c r="N402" s="204" t="str">
        <f aca="false">NonNV!$L$7</f>
        <v>OpenAI v0.5 以 2GW Trainium 合約為輸入</v>
      </c>
      <c r="O402" s="6" t="s">
        <v>554</v>
      </c>
      <c r="P402" s="52" t="s">
        <v>2307</v>
      </c>
      <c r="Q402" s="89" t="n">
        <f aca="false">NonNV!F7</f>
        <v>0.7</v>
      </c>
      <c r="R402" s="53" t="s">
        <v>554</v>
      </c>
      <c r="S402" s="83" t="str">
        <f aca="false">IF(OR($H402="—",$H402=""),"—",IF(ISNUMBER(MATCH($H402,SRC_HW!$A$5:$A$400,0)),INDEX(SRC_HW!$O$5:$O$400,MATCH($H402,SRC_HW!$A$5:$A$400,0)),IF(ISNUMBER(MATCH($H402,SRC_DC!$A$5:$A$400,0)),INDEX(SRC_DC!$O$5:$O$400,MATCH($H402,SRC_DC!$A$5:$A$400,0)),IF(ISNUMBER(MATCH($H402,SRC_Model!$A$5:$A$400,0)),INDEX(SRC_Model!$O$5:$O$400,MATCH($H402,SRC_Model!$A$5:$A$400,0)),IF(ISNUMBER(MATCH($H402,SRC_Perf!$A$5:$A$400,0)),INDEX(SRC_Perf!$O$5:$O$400,MATCH($H402,SRC_Perf!$A$5:$A$400,0)),"不存在")))))</f>
        <v>—</v>
      </c>
      <c r="T402" s="83" t="str">
        <f aca="false">IF(OR($H402="—",$H402=""),"—",IF(ISNUMBER(MATCH($H402,SRC_HW!$A$5:$A$400,0)),INDEX(SRC_HW!$K$5:$K$400,MATCH($H402,SRC_HW!$A$5:$A$400,0)),IF(ISNUMBER(MATCH($H402,SRC_DC!$A$5:$A$400,0)),INDEX(SRC_DC!$K$5:$K$400,MATCH($H402,SRC_DC!$A$5:$A$400,0)),IF(ISNUMBER(MATCH($H402,SRC_Model!$A$5:$A$400,0)),INDEX(SRC_Model!$K$5:$K$400,MATCH($H402,SRC_Model!$A$5:$A$400,0)),IF(ISNUMBER(MATCH($H402,SRC_Perf!$A$5:$A$400,0)),INDEX(SRC_Perf!$K$5:$K$400,MATCH($H402,SRC_Perf!$A$5:$A$400,0)),"不存在")))))</f>
        <v>—</v>
      </c>
      <c r="U402" s="52" t="s">
        <v>2302</v>
      </c>
      <c r="V402" s="103" t="n">
        <f aca="false">IF(AND($F402="原始數據",$U402&lt;&gt;"連結 SRC"),1,0)</f>
        <v>0</v>
      </c>
      <c r="W402" s="103" t="n">
        <f aca="false">IF(AND($F402="Analogy",OR($H402="—",$H402="")),1,0)</f>
        <v>0</v>
      </c>
      <c r="X402" s="103" t="n">
        <f aca="false">IF(AND(OR($F402="Analogy",$F402="Assumed"),$G402&lt;&gt;"低",$G402&lt;&gt;"高",NOT(ISNUMBER($K402)),NOT(ISNUMBER($L402)),OR($M402="—",$M402="")),1,0)</f>
        <v>0</v>
      </c>
      <c r="Y402" s="103" t="n">
        <f aca="false">IF(AND(OR($F402="Analogy",$F402="Assumed",$F402="Derived（待改公式）",$F402="Derived（公式）"),OR($N402="—",$N402="",$N402=0)),1,0)</f>
        <v>0</v>
      </c>
      <c r="Z402" s="103" t="n">
        <f aca="false">IF(AND($F402="Decision",OR($J402="—",$J402="")),1,0)</f>
        <v>0</v>
      </c>
      <c r="AA402" s="84" t="n">
        <f aca="false">IF(OR($J402="—",$J402=""),0,IF(COUNTIF(Decisions!$A$5:$A$300,$J402)=0,1,0))</f>
        <v>0</v>
      </c>
      <c r="AB402" s="103" t="n">
        <f aca="false">IF(AND($F402="原始數據",$S402&lt;&gt;"Active"),1,0)</f>
        <v>0</v>
      </c>
      <c r="AC402" s="103" t="n">
        <f aca="false">IF(AND(ISNUMBER($K402),ISNUMBER($L402),ISNUMBER($Q402)),IF(OR($Q402&lt;MIN($K402,$L402),$Q402&gt;MAX($K402,$L402)),1,0),0)</f>
        <v>0</v>
      </c>
      <c r="AD402" s="103" t="n">
        <f aca="false">IF(AND(ISNUMBER($T402),$P402="高"),IF($T402=3,1,0),0)</f>
        <v>0</v>
      </c>
      <c r="AE402" s="103" t="n">
        <f aca="false">IF(AND($S402="不存在",$B402="切片一"),1,0)</f>
        <v>0</v>
      </c>
    </row>
    <row r="403" customFormat="false" ht="15" hidden="false" customHeight="false" outlineLevel="0" collapsed="false">
      <c r="A403" s="53" t="s">
        <v>3203</v>
      </c>
      <c r="B403" s="52" t="s">
        <v>2297</v>
      </c>
      <c r="C403" s="53" t="s">
        <v>3187</v>
      </c>
      <c r="D403" s="53" t="s">
        <v>3204</v>
      </c>
      <c r="E403" s="6" t="s">
        <v>1969</v>
      </c>
      <c r="F403" s="53" t="s">
        <v>70</v>
      </c>
      <c r="G403" s="52" t="s">
        <v>1078</v>
      </c>
      <c r="H403" s="53" t="s">
        <v>554</v>
      </c>
      <c r="I403" s="6" t="s">
        <v>554</v>
      </c>
      <c r="J403" s="53" t="s">
        <v>554</v>
      </c>
      <c r="K403" s="52"/>
      <c r="L403" s="52"/>
      <c r="M403" s="53" t="s">
        <v>554</v>
      </c>
      <c r="N403" s="204" t="str">
        <f aca="false">NonNV!$L$7</f>
        <v>OpenAI v0.5 以 2GW Trainium 合約為輸入</v>
      </c>
      <c r="O403" s="6" t="s">
        <v>554</v>
      </c>
      <c r="P403" s="52" t="s">
        <v>2307</v>
      </c>
      <c r="Q403" s="89" t="n">
        <f aca="false">NonNV!B7</f>
        <v>0.3</v>
      </c>
      <c r="R403" s="53" t="s">
        <v>554</v>
      </c>
      <c r="S403" s="83" t="str">
        <f aca="false">IF(OR($H403="—",$H403=""),"—",IF(ISNUMBER(MATCH($H403,SRC_HW!$A$5:$A$400,0)),INDEX(SRC_HW!$O$5:$O$400,MATCH($H403,SRC_HW!$A$5:$A$400,0)),IF(ISNUMBER(MATCH($H403,SRC_DC!$A$5:$A$400,0)),INDEX(SRC_DC!$O$5:$O$400,MATCH($H403,SRC_DC!$A$5:$A$400,0)),IF(ISNUMBER(MATCH($H403,SRC_Model!$A$5:$A$400,0)),INDEX(SRC_Model!$O$5:$O$400,MATCH($H403,SRC_Model!$A$5:$A$400,0)),IF(ISNUMBER(MATCH($H403,SRC_Perf!$A$5:$A$400,0)),INDEX(SRC_Perf!$O$5:$O$400,MATCH($H403,SRC_Perf!$A$5:$A$400,0)),"不存在")))))</f>
        <v>—</v>
      </c>
      <c r="T403" s="83" t="str">
        <f aca="false">IF(OR($H403="—",$H403=""),"—",IF(ISNUMBER(MATCH($H403,SRC_HW!$A$5:$A$400,0)),INDEX(SRC_HW!$K$5:$K$400,MATCH($H403,SRC_HW!$A$5:$A$400,0)),IF(ISNUMBER(MATCH($H403,SRC_DC!$A$5:$A$400,0)),INDEX(SRC_DC!$K$5:$K$400,MATCH($H403,SRC_DC!$A$5:$A$400,0)),IF(ISNUMBER(MATCH($H403,SRC_Model!$A$5:$A$400,0)),INDEX(SRC_Model!$K$5:$K$400,MATCH($H403,SRC_Model!$A$5:$A$400,0)),IF(ISNUMBER(MATCH($H403,SRC_Perf!$A$5:$A$400,0)),INDEX(SRC_Perf!$K$5:$K$400,MATCH($H403,SRC_Perf!$A$5:$A$400,0)),"不存在")))))</f>
        <v>—</v>
      </c>
      <c r="U403" s="52" t="s">
        <v>2302</v>
      </c>
      <c r="V403" s="103" t="n">
        <f aca="false">IF(AND($F403="原始數據",$U403&lt;&gt;"連結 SRC"),1,0)</f>
        <v>0</v>
      </c>
      <c r="W403" s="103" t="n">
        <f aca="false">IF(AND($F403="Analogy",OR($H403="—",$H403="")),1,0)</f>
        <v>0</v>
      </c>
      <c r="X403" s="103" t="n">
        <f aca="false">IF(AND(OR($F403="Analogy",$F403="Assumed"),$G403&lt;&gt;"低",$G403&lt;&gt;"高",NOT(ISNUMBER($K403)),NOT(ISNUMBER($L403)),OR($M403="—",$M403="")),1,0)</f>
        <v>0</v>
      </c>
      <c r="Y403" s="103" t="n">
        <f aca="false">IF(AND(OR($F403="Analogy",$F403="Assumed",$F403="Derived（待改公式）",$F403="Derived（公式）"),OR($N403="—",$N403="",$N403=0)),1,0)</f>
        <v>0</v>
      </c>
      <c r="Z403" s="103" t="n">
        <f aca="false">IF(AND($F403="Decision",OR($J403="—",$J403="")),1,0)</f>
        <v>0</v>
      </c>
      <c r="AA403" s="84" t="n">
        <f aca="false">IF(OR($J403="—",$J403=""),0,IF(COUNTIF(Decisions!$A$5:$A$300,$J403)=0,1,0))</f>
        <v>0</v>
      </c>
      <c r="AB403" s="103" t="n">
        <f aca="false">IF(AND($F403="原始數據",$S403&lt;&gt;"Active"),1,0)</f>
        <v>0</v>
      </c>
      <c r="AC403" s="103" t="n">
        <f aca="false">IF(AND(ISNUMBER($K403),ISNUMBER($L403),ISNUMBER($Q403)),IF(OR($Q403&lt;MIN($K403,$L403),$Q403&gt;MAX($K403,$L403)),1,0),0)</f>
        <v>0</v>
      </c>
      <c r="AD403" s="103" t="n">
        <f aca="false">IF(AND(ISNUMBER($T403),$P403="高"),IF($T403=3,1,0),0)</f>
        <v>0</v>
      </c>
      <c r="AE403" s="103" t="n">
        <f aca="false">IF(AND($S403="不存在",$B403="切片一"),1,0)</f>
        <v>0</v>
      </c>
    </row>
    <row r="404" customFormat="false" ht="15" hidden="false" customHeight="false" outlineLevel="0" collapsed="false">
      <c r="A404" s="53" t="s">
        <v>3205</v>
      </c>
      <c r="B404" s="52" t="s">
        <v>2297</v>
      </c>
      <c r="C404" s="53" t="s">
        <v>3187</v>
      </c>
      <c r="D404" s="53" t="s">
        <v>2770</v>
      </c>
      <c r="E404" s="6" t="s">
        <v>1969</v>
      </c>
      <c r="F404" s="53" t="s">
        <v>70</v>
      </c>
      <c r="G404" s="52" t="s">
        <v>1079</v>
      </c>
      <c r="H404" s="53" t="s">
        <v>554</v>
      </c>
      <c r="I404" s="6" t="s">
        <v>554</v>
      </c>
      <c r="J404" s="53" t="s">
        <v>554</v>
      </c>
      <c r="K404" s="52"/>
      <c r="L404" s="52"/>
      <c r="M404" s="53" t="s">
        <v>554</v>
      </c>
      <c r="N404" s="204" t="str">
        <f aca="false">NonNV!$L$7</f>
        <v>OpenAI v0.5 以 2GW Trainium 合約為輸入</v>
      </c>
      <c r="O404" s="6" t="s">
        <v>554</v>
      </c>
      <c r="P404" s="52" t="s">
        <v>2307</v>
      </c>
      <c r="Q404" s="89" t="n">
        <f aca="false">NonNV!D7</f>
        <v>0.8</v>
      </c>
      <c r="R404" s="53" t="s">
        <v>554</v>
      </c>
      <c r="S404" s="83" t="str">
        <f aca="false">IF(OR($H404="—",$H404=""),"—",IF(ISNUMBER(MATCH($H404,SRC_HW!$A$5:$A$400,0)),INDEX(SRC_HW!$O$5:$O$400,MATCH($H404,SRC_HW!$A$5:$A$400,0)),IF(ISNUMBER(MATCH($H404,SRC_DC!$A$5:$A$400,0)),INDEX(SRC_DC!$O$5:$O$400,MATCH($H404,SRC_DC!$A$5:$A$400,0)),IF(ISNUMBER(MATCH($H404,SRC_Model!$A$5:$A$400,0)),INDEX(SRC_Model!$O$5:$O$400,MATCH($H404,SRC_Model!$A$5:$A$400,0)),IF(ISNUMBER(MATCH($H404,SRC_Perf!$A$5:$A$400,0)),INDEX(SRC_Perf!$O$5:$O$400,MATCH($H404,SRC_Perf!$A$5:$A$400,0)),"不存在")))))</f>
        <v>—</v>
      </c>
      <c r="T404" s="83" t="str">
        <f aca="false">IF(OR($H404="—",$H404=""),"—",IF(ISNUMBER(MATCH($H404,SRC_HW!$A$5:$A$400,0)),INDEX(SRC_HW!$K$5:$K$400,MATCH($H404,SRC_HW!$A$5:$A$400,0)),IF(ISNUMBER(MATCH($H404,SRC_DC!$A$5:$A$400,0)),INDEX(SRC_DC!$K$5:$K$400,MATCH($H404,SRC_DC!$A$5:$A$400,0)),IF(ISNUMBER(MATCH($H404,SRC_Model!$A$5:$A$400,0)),INDEX(SRC_Model!$K$5:$K$400,MATCH($H404,SRC_Model!$A$5:$A$400,0)),IF(ISNUMBER(MATCH($H404,SRC_Perf!$A$5:$A$400,0)),INDEX(SRC_Perf!$K$5:$K$400,MATCH($H404,SRC_Perf!$A$5:$A$400,0)),"不存在")))))</f>
        <v>—</v>
      </c>
      <c r="U404" s="52" t="s">
        <v>2302</v>
      </c>
      <c r="V404" s="103" t="n">
        <f aca="false">IF(AND($F404="原始數據",$U404&lt;&gt;"連結 SRC"),1,0)</f>
        <v>0</v>
      </c>
      <c r="W404" s="103" t="n">
        <f aca="false">IF(AND($F404="Analogy",OR($H404="—",$H404="")),1,0)</f>
        <v>0</v>
      </c>
      <c r="X404" s="103" t="n">
        <f aca="false">IF(AND(OR($F404="Analogy",$F404="Assumed"),$G404&lt;&gt;"低",$G404&lt;&gt;"高",NOT(ISNUMBER($K404)),NOT(ISNUMBER($L404)),OR($M404="—",$M404="")),1,0)</f>
        <v>0</v>
      </c>
      <c r="Y404" s="103" t="n">
        <f aca="false">IF(AND(OR($F404="Analogy",$F404="Assumed",$F404="Derived（待改公式）",$F404="Derived（公式）"),OR($N404="—",$N404="",$N404=0)),1,0)</f>
        <v>0</v>
      </c>
      <c r="Z404" s="103" t="n">
        <f aca="false">IF(AND($F404="Decision",OR($J404="—",$J404="")),1,0)</f>
        <v>0</v>
      </c>
      <c r="AA404" s="84" t="n">
        <f aca="false">IF(OR($J404="—",$J404=""),0,IF(COUNTIF(Decisions!$A$5:$A$300,$J404)=0,1,0))</f>
        <v>0</v>
      </c>
      <c r="AB404" s="103" t="n">
        <f aca="false">IF(AND($F404="原始數據",$S404&lt;&gt;"Active"),1,0)</f>
        <v>0</v>
      </c>
      <c r="AC404" s="103" t="n">
        <f aca="false">IF(AND(ISNUMBER($K404),ISNUMBER($L404),ISNUMBER($Q404)),IF(OR($Q404&lt;MIN($K404,$L404),$Q404&gt;MAX($K404,$L404)),1,0),0)</f>
        <v>0</v>
      </c>
      <c r="AD404" s="103" t="n">
        <f aca="false">IF(AND(ISNUMBER($T404),$P404="高"),IF($T404=3,1,0),0)</f>
        <v>0</v>
      </c>
      <c r="AE404" s="103" t="n">
        <f aca="false">IF(AND($S404="不存在",$B404="切片一"),1,0)</f>
        <v>0</v>
      </c>
    </row>
    <row r="405" customFormat="false" ht="15" hidden="false" customHeight="false" outlineLevel="0" collapsed="false">
      <c r="A405" s="53" t="s">
        <v>3206</v>
      </c>
      <c r="B405" s="52" t="s">
        <v>2297</v>
      </c>
      <c r="C405" s="53" t="s">
        <v>3187</v>
      </c>
      <c r="D405" s="53" t="s">
        <v>2216</v>
      </c>
      <c r="E405" s="6" t="s">
        <v>1969</v>
      </c>
      <c r="F405" s="53" t="s">
        <v>70</v>
      </c>
      <c r="G405" s="52" t="s">
        <v>1078</v>
      </c>
      <c r="H405" s="53" t="s">
        <v>554</v>
      </c>
      <c r="I405" s="6" t="s">
        <v>554</v>
      </c>
      <c r="J405" s="53" t="s">
        <v>554</v>
      </c>
      <c r="K405" s="52"/>
      <c r="L405" s="52"/>
      <c r="M405" s="53" t="s">
        <v>554</v>
      </c>
      <c r="N405" s="204" t="str">
        <f aca="false">NonNV!$L$7</f>
        <v>OpenAI v0.5 以 2GW Trainium 合約為輸入</v>
      </c>
      <c r="O405" s="6" t="s">
        <v>554</v>
      </c>
      <c r="P405" s="52" t="s">
        <v>2307</v>
      </c>
      <c r="Q405" s="89" t="n">
        <f aca="false">NonNV!E7</f>
        <v>0.6</v>
      </c>
      <c r="R405" s="53" t="s">
        <v>554</v>
      </c>
      <c r="S405" s="83" t="str">
        <f aca="false">IF(OR($H405="—",$H405=""),"—",IF(ISNUMBER(MATCH($H405,SRC_HW!$A$5:$A$400,0)),INDEX(SRC_HW!$O$5:$O$400,MATCH($H405,SRC_HW!$A$5:$A$400,0)),IF(ISNUMBER(MATCH($H405,SRC_DC!$A$5:$A$400,0)),INDEX(SRC_DC!$O$5:$O$400,MATCH($H405,SRC_DC!$A$5:$A$400,0)),IF(ISNUMBER(MATCH($H405,SRC_Model!$A$5:$A$400,0)),INDEX(SRC_Model!$O$5:$O$400,MATCH($H405,SRC_Model!$A$5:$A$400,0)),IF(ISNUMBER(MATCH($H405,SRC_Perf!$A$5:$A$400,0)),INDEX(SRC_Perf!$O$5:$O$400,MATCH($H405,SRC_Perf!$A$5:$A$400,0)),"不存在")))))</f>
        <v>—</v>
      </c>
      <c r="T405" s="83" t="str">
        <f aca="false">IF(OR($H405="—",$H405=""),"—",IF(ISNUMBER(MATCH($H405,SRC_HW!$A$5:$A$400,0)),INDEX(SRC_HW!$K$5:$K$400,MATCH($H405,SRC_HW!$A$5:$A$400,0)),IF(ISNUMBER(MATCH($H405,SRC_DC!$A$5:$A$400,0)),INDEX(SRC_DC!$K$5:$K$400,MATCH($H405,SRC_DC!$A$5:$A$400,0)),IF(ISNUMBER(MATCH($H405,SRC_Model!$A$5:$A$400,0)),INDEX(SRC_Model!$K$5:$K$400,MATCH($H405,SRC_Model!$A$5:$A$400,0)),IF(ISNUMBER(MATCH($H405,SRC_Perf!$A$5:$A$400,0)),INDEX(SRC_Perf!$K$5:$K$400,MATCH($H405,SRC_Perf!$A$5:$A$400,0)),"不存在")))))</f>
        <v>—</v>
      </c>
      <c r="U405" s="52" t="s">
        <v>2302</v>
      </c>
      <c r="V405" s="103" t="n">
        <f aca="false">IF(AND($F405="原始數據",$U405&lt;&gt;"連結 SRC"),1,0)</f>
        <v>0</v>
      </c>
      <c r="W405" s="103" t="n">
        <f aca="false">IF(AND($F405="Analogy",OR($H405="—",$H405="")),1,0)</f>
        <v>0</v>
      </c>
      <c r="X405" s="103" t="n">
        <f aca="false">IF(AND(OR($F405="Analogy",$F405="Assumed"),$G405&lt;&gt;"低",$G405&lt;&gt;"高",NOT(ISNUMBER($K405)),NOT(ISNUMBER($L405)),OR($M405="—",$M405="")),1,0)</f>
        <v>0</v>
      </c>
      <c r="Y405" s="103" t="n">
        <f aca="false">IF(AND(OR($F405="Analogy",$F405="Assumed",$F405="Derived（待改公式）",$F405="Derived（公式）"),OR($N405="—",$N405="",$N405=0)),1,0)</f>
        <v>0</v>
      </c>
      <c r="Z405" s="103" t="n">
        <f aca="false">IF(AND($F405="Decision",OR($J405="—",$J405="")),1,0)</f>
        <v>0</v>
      </c>
      <c r="AA405" s="84" t="n">
        <f aca="false">IF(OR($J405="—",$J405=""),0,IF(COUNTIF(Decisions!$A$5:$A$300,$J405)=0,1,0))</f>
        <v>0</v>
      </c>
      <c r="AB405" s="103" t="n">
        <f aca="false">IF(AND($F405="原始數據",$S405&lt;&gt;"Active"),1,0)</f>
        <v>0</v>
      </c>
      <c r="AC405" s="103" t="n">
        <f aca="false">IF(AND(ISNUMBER($K405),ISNUMBER($L405),ISNUMBER($Q405)),IF(OR($Q405&lt;MIN($K405,$L405),$Q405&gt;MAX($K405,$L405)),1,0),0)</f>
        <v>0</v>
      </c>
      <c r="AD405" s="103" t="n">
        <f aca="false">IF(AND(ISNUMBER($T405),$P405="高"),IF($T405=3,1,0),0)</f>
        <v>0</v>
      </c>
      <c r="AE405" s="103" t="n">
        <f aca="false">IF(AND($S405="不存在",$B405="切片一"),1,0)</f>
        <v>0</v>
      </c>
    </row>
    <row r="406" customFormat="false" ht="15" hidden="false" customHeight="false" outlineLevel="0" collapsed="false">
      <c r="A406" s="53" t="s">
        <v>3207</v>
      </c>
      <c r="B406" s="52" t="s">
        <v>2297</v>
      </c>
      <c r="C406" s="53" t="s">
        <v>3187</v>
      </c>
      <c r="D406" s="53" t="s">
        <v>2941</v>
      </c>
      <c r="E406" s="6" t="s">
        <v>1969</v>
      </c>
      <c r="F406" s="53" t="s">
        <v>70</v>
      </c>
      <c r="G406" s="52" t="s">
        <v>1079</v>
      </c>
      <c r="H406" s="53" t="s">
        <v>554</v>
      </c>
      <c r="I406" s="6" t="s">
        <v>554</v>
      </c>
      <c r="J406" s="53" t="s">
        <v>554</v>
      </c>
      <c r="K406" s="52"/>
      <c r="L406" s="52"/>
      <c r="M406" s="53" t="s">
        <v>554</v>
      </c>
      <c r="N406" s="204" t="str">
        <f aca="false">NonNV!$L$7</f>
        <v>OpenAI v0.5 以 2GW Trainium 合約為輸入</v>
      </c>
      <c r="O406" s="6" t="s">
        <v>554</v>
      </c>
      <c r="P406" s="52" t="s">
        <v>2307</v>
      </c>
      <c r="Q406" s="89" t="n">
        <f aca="false">NonNV!G7</f>
        <v>0.9</v>
      </c>
      <c r="R406" s="53" t="s">
        <v>554</v>
      </c>
      <c r="S406" s="83" t="str">
        <f aca="false">IF(OR($H406="—",$H406=""),"—",IF(ISNUMBER(MATCH($H406,SRC_HW!$A$5:$A$400,0)),INDEX(SRC_HW!$O$5:$O$400,MATCH($H406,SRC_HW!$A$5:$A$400,0)),IF(ISNUMBER(MATCH($H406,SRC_DC!$A$5:$A$400,0)),INDEX(SRC_DC!$O$5:$O$400,MATCH($H406,SRC_DC!$A$5:$A$400,0)),IF(ISNUMBER(MATCH($H406,SRC_Model!$A$5:$A$400,0)),INDEX(SRC_Model!$O$5:$O$400,MATCH($H406,SRC_Model!$A$5:$A$400,0)),IF(ISNUMBER(MATCH($H406,SRC_Perf!$A$5:$A$400,0)),INDEX(SRC_Perf!$O$5:$O$400,MATCH($H406,SRC_Perf!$A$5:$A$400,0)),"不存在")))))</f>
        <v>—</v>
      </c>
      <c r="T406" s="83" t="str">
        <f aca="false">IF(OR($H406="—",$H406=""),"—",IF(ISNUMBER(MATCH($H406,SRC_HW!$A$5:$A$400,0)),INDEX(SRC_HW!$K$5:$K$400,MATCH($H406,SRC_HW!$A$5:$A$400,0)),IF(ISNUMBER(MATCH($H406,SRC_DC!$A$5:$A$400,0)),INDEX(SRC_DC!$K$5:$K$400,MATCH($H406,SRC_DC!$A$5:$A$400,0)),IF(ISNUMBER(MATCH($H406,SRC_Model!$A$5:$A$400,0)),INDEX(SRC_Model!$K$5:$K$400,MATCH($H406,SRC_Model!$A$5:$A$400,0)),IF(ISNUMBER(MATCH($H406,SRC_Perf!$A$5:$A$400,0)),INDEX(SRC_Perf!$K$5:$K$400,MATCH($H406,SRC_Perf!$A$5:$A$400,0)),"不存在")))))</f>
        <v>—</v>
      </c>
      <c r="U406" s="52" t="s">
        <v>2302</v>
      </c>
      <c r="V406" s="103" t="n">
        <f aca="false">IF(AND($F406="原始數據",$U406&lt;&gt;"連結 SRC"),1,0)</f>
        <v>0</v>
      </c>
      <c r="W406" s="103" t="n">
        <f aca="false">IF(AND($F406="Analogy",OR($H406="—",$H406="")),1,0)</f>
        <v>0</v>
      </c>
      <c r="X406" s="103" t="n">
        <f aca="false">IF(AND(OR($F406="Analogy",$F406="Assumed"),$G406&lt;&gt;"低",$G406&lt;&gt;"高",NOT(ISNUMBER($K406)),NOT(ISNUMBER($L406)),OR($M406="—",$M406="")),1,0)</f>
        <v>0</v>
      </c>
      <c r="Y406" s="103" t="n">
        <f aca="false">IF(AND(OR($F406="Analogy",$F406="Assumed",$F406="Derived（待改公式）",$F406="Derived（公式）"),OR($N406="—",$N406="",$N406=0)),1,0)</f>
        <v>0</v>
      </c>
      <c r="Z406" s="103" t="n">
        <f aca="false">IF(AND($F406="Decision",OR($J406="—",$J406="")),1,0)</f>
        <v>0</v>
      </c>
      <c r="AA406" s="84" t="n">
        <f aca="false">IF(OR($J406="—",$J406=""),0,IF(COUNTIF(Decisions!$A$5:$A$300,$J406)=0,1,0))</f>
        <v>0</v>
      </c>
      <c r="AB406" s="103" t="n">
        <f aca="false">IF(AND($F406="原始數據",$S406&lt;&gt;"Active"),1,0)</f>
        <v>0</v>
      </c>
      <c r="AC406" s="103" t="n">
        <f aca="false">IF(AND(ISNUMBER($K406),ISNUMBER($L406),ISNUMBER($Q406)),IF(OR($Q406&lt;MIN($K406,$L406),$Q406&gt;MAX($K406,$L406)),1,0),0)</f>
        <v>0</v>
      </c>
      <c r="AD406" s="103" t="n">
        <f aca="false">IF(AND(ISNUMBER($T406),$P406="高"),IF($T406=3,1,0),0)</f>
        <v>0</v>
      </c>
      <c r="AE406" s="103" t="n">
        <f aca="false">IF(AND($S406="不存在",$B406="切片一"),1,0)</f>
        <v>0</v>
      </c>
    </row>
    <row r="407" customFormat="false" ht="29.85" hidden="false" customHeight="false" outlineLevel="0" collapsed="false">
      <c r="A407" s="53" t="s">
        <v>3208</v>
      </c>
      <c r="B407" s="52" t="s">
        <v>2297</v>
      </c>
      <c r="C407" s="53" t="s">
        <v>3187</v>
      </c>
      <c r="D407" s="53" t="s">
        <v>2474</v>
      </c>
      <c r="E407" s="6" t="s">
        <v>1971</v>
      </c>
      <c r="F407" s="53" t="s">
        <v>70</v>
      </c>
      <c r="G407" s="52" t="s">
        <v>55</v>
      </c>
      <c r="H407" s="53" t="s">
        <v>554</v>
      </c>
      <c r="I407" s="6" t="s">
        <v>554</v>
      </c>
      <c r="J407" s="53" t="s">
        <v>554</v>
      </c>
      <c r="K407" s="89" t="n">
        <f aca="false">NonNV!B8</f>
        <v>0.2</v>
      </c>
      <c r="L407" s="89" t="n">
        <f aca="false">NonNV!D8</f>
        <v>0.8</v>
      </c>
      <c r="M407" s="53" t="s">
        <v>554</v>
      </c>
      <c r="N407" s="204" t="str">
        <f aca="false">NonNV!$L$8</f>
        <v>高互動性利基；每 GW 吞吐低、單用戶速度高</v>
      </c>
      <c r="O407" s="6" t="s">
        <v>554</v>
      </c>
      <c r="P407" s="52" t="s">
        <v>2307</v>
      </c>
      <c r="Q407" s="89" t="n">
        <f aca="false">NonNV!C8</f>
        <v>0.4</v>
      </c>
      <c r="R407" s="53" t="s">
        <v>554</v>
      </c>
      <c r="S407" s="83" t="str">
        <f aca="false">IF(OR($H407="—",$H407=""),"—",IF(ISNUMBER(MATCH($H407,SRC_HW!$A$5:$A$400,0)),INDEX(SRC_HW!$O$5:$O$400,MATCH($H407,SRC_HW!$A$5:$A$400,0)),IF(ISNUMBER(MATCH($H407,SRC_DC!$A$5:$A$400,0)),INDEX(SRC_DC!$O$5:$O$400,MATCH($H407,SRC_DC!$A$5:$A$400,0)),IF(ISNUMBER(MATCH($H407,SRC_Model!$A$5:$A$400,0)),INDEX(SRC_Model!$O$5:$O$400,MATCH($H407,SRC_Model!$A$5:$A$400,0)),IF(ISNUMBER(MATCH($H407,SRC_Perf!$A$5:$A$400,0)),INDEX(SRC_Perf!$O$5:$O$400,MATCH($H407,SRC_Perf!$A$5:$A$400,0)),"不存在")))))</f>
        <v>—</v>
      </c>
      <c r="T407" s="83" t="str">
        <f aca="false">IF(OR($H407="—",$H407=""),"—",IF(ISNUMBER(MATCH($H407,SRC_HW!$A$5:$A$400,0)),INDEX(SRC_HW!$K$5:$K$400,MATCH($H407,SRC_HW!$A$5:$A$400,0)),IF(ISNUMBER(MATCH($H407,SRC_DC!$A$5:$A$400,0)),INDEX(SRC_DC!$K$5:$K$400,MATCH($H407,SRC_DC!$A$5:$A$400,0)),IF(ISNUMBER(MATCH($H407,SRC_Model!$A$5:$A$400,0)),INDEX(SRC_Model!$K$5:$K$400,MATCH($H407,SRC_Model!$A$5:$A$400,0)),IF(ISNUMBER(MATCH($H407,SRC_Perf!$A$5:$A$400,0)),INDEX(SRC_Perf!$K$5:$K$400,MATCH($H407,SRC_Perf!$A$5:$A$400,0)),"不存在")))))</f>
        <v>—</v>
      </c>
      <c r="U407" s="52" t="s">
        <v>2302</v>
      </c>
      <c r="V407" s="103" t="n">
        <f aca="false">IF(AND($F407="原始數據",$U407&lt;&gt;"連結 SRC"),1,0)</f>
        <v>0</v>
      </c>
      <c r="W407" s="103" t="n">
        <f aca="false">IF(AND($F407="Analogy",OR($H407="—",$H407="")),1,0)</f>
        <v>0</v>
      </c>
      <c r="X407" s="103" t="n">
        <f aca="false">IF(AND(OR($F407="Analogy",$F407="Assumed"),$G407&lt;&gt;"低",$G407&lt;&gt;"高",NOT(ISNUMBER($K407)),NOT(ISNUMBER($L407)),OR($M407="—",$M407="")),1,0)</f>
        <v>0</v>
      </c>
      <c r="Y407" s="103" t="n">
        <f aca="false">IF(AND(OR($F407="Analogy",$F407="Assumed",$F407="Derived（待改公式）",$F407="Derived（公式）"),OR($N407="—",$N407="",$N407=0)),1,0)</f>
        <v>0</v>
      </c>
      <c r="Z407" s="103" t="n">
        <f aca="false">IF(AND($F407="Decision",OR($J407="—",$J407="")),1,0)</f>
        <v>0</v>
      </c>
      <c r="AA407" s="84" t="n">
        <f aca="false">IF(OR($J407="—",$J407=""),0,IF(COUNTIF(Decisions!$A$5:$A$300,$J407)=0,1,0))</f>
        <v>0</v>
      </c>
      <c r="AB407" s="103" t="n">
        <f aca="false">IF(AND($F407="原始數據",$S407&lt;&gt;"Active"),1,0)</f>
        <v>0</v>
      </c>
      <c r="AC407" s="103" t="n">
        <f aca="false">IF(AND(ISNUMBER($K407),ISNUMBER($L407),ISNUMBER($Q407)),IF(OR($Q407&lt;MIN($K407,$L407),$Q407&gt;MAX($K407,$L407)),1,0),0)</f>
        <v>0</v>
      </c>
      <c r="AD407" s="103" t="n">
        <f aca="false">IF(AND(ISNUMBER($T407),$P407="高"),IF($T407=3,1,0),0)</f>
        <v>0</v>
      </c>
      <c r="AE407" s="103" t="n">
        <f aca="false">IF(AND($S407="不存在",$B407="切片一"),1,0)</f>
        <v>0</v>
      </c>
    </row>
    <row r="408" customFormat="false" ht="29.85" hidden="false" customHeight="false" outlineLevel="0" collapsed="false">
      <c r="A408" s="53" t="s">
        <v>3209</v>
      </c>
      <c r="B408" s="52" t="s">
        <v>2297</v>
      </c>
      <c r="C408" s="53" t="s">
        <v>3187</v>
      </c>
      <c r="D408" s="53" t="s">
        <v>2483</v>
      </c>
      <c r="E408" s="6" t="s">
        <v>1971</v>
      </c>
      <c r="F408" s="53" t="s">
        <v>70</v>
      </c>
      <c r="G408" s="52" t="s">
        <v>55</v>
      </c>
      <c r="H408" s="53" t="s">
        <v>554</v>
      </c>
      <c r="I408" s="6" t="s">
        <v>554</v>
      </c>
      <c r="J408" s="53" t="s">
        <v>554</v>
      </c>
      <c r="K408" s="89" t="n">
        <f aca="false">NonNV!E8</f>
        <v>0.8</v>
      </c>
      <c r="L408" s="89" t="n">
        <f aca="false">NonNV!G8</f>
        <v>1.2</v>
      </c>
      <c r="M408" s="53" t="s">
        <v>554</v>
      </c>
      <c r="N408" s="204" t="str">
        <f aca="false">NonNV!$L$8</f>
        <v>高互動性利基；每 GW 吞吐低、單用戶速度高</v>
      </c>
      <c r="O408" s="6" t="s">
        <v>554</v>
      </c>
      <c r="P408" s="52" t="s">
        <v>2307</v>
      </c>
      <c r="Q408" s="89" t="n">
        <f aca="false">NonNV!F8</f>
        <v>1</v>
      </c>
      <c r="R408" s="53" t="s">
        <v>554</v>
      </c>
      <c r="S408" s="83" t="str">
        <f aca="false">IF(OR($H408="—",$H408=""),"—",IF(ISNUMBER(MATCH($H408,SRC_HW!$A$5:$A$400,0)),INDEX(SRC_HW!$O$5:$O$400,MATCH($H408,SRC_HW!$A$5:$A$400,0)),IF(ISNUMBER(MATCH($H408,SRC_DC!$A$5:$A$400,0)),INDEX(SRC_DC!$O$5:$O$400,MATCH($H408,SRC_DC!$A$5:$A$400,0)),IF(ISNUMBER(MATCH($H408,SRC_Model!$A$5:$A$400,0)),INDEX(SRC_Model!$O$5:$O$400,MATCH($H408,SRC_Model!$A$5:$A$400,0)),IF(ISNUMBER(MATCH($H408,SRC_Perf!$A$5:$A$400,0)),INDEX(SRC_Perf!$O$5:$O$400,MATCH($H408,SRC_Perf!$A$5:$A$400,0)),"不存在")))))</f>
        <v>—</v>
      </c>
      <c r="T408" s="83" t="str">
        <f aca="false">IF(OR($H408="—",$H408=""),"—",IF(ISNUMBER(MATCH($H408,SRC_HW!$A$5:$A$400,0)),INDEX(SRC_HW!$K$5:$K$400,MATCH($H408,SRC_HW!$A$5:$A$400,0)),IF(ISNUMBER(MATCH($H408,SRC_DC!$A$5:$A$400,0)),INDEX(SRC_DC!$K$5:$K$400,MATCH($H408,SRC_DC!$A$5:$A$400,0)),IF(ISNUMBER(MATCH($H408,SRC_Model!$A$5:$A$400,0)),INDEX(SRC_Model!$K$5:$K$400,MATCH($H408,SRC_Model!$A$5:$A$400,0)),IF(ISNUMBER(MATCH($H408,SRC_Perf!$A$5:$A$400,0)),INDEX(SRC_Perf!$K$5:$K$400,MATCH($H408,SRC_Perf!$A$5:$A$400,0)),"不存在")))))</f>
        <v>—</v>
      </c>
      <c r="U408" s="52" t="s">
        <v>2302</v>
      </c>
      <c r="V408" s="103" t="n">
        <f aca="false">IF(AND($F408="原始數據",$U408&lt;&gt;"連結 SRC"),1,0)</f>
        <v>0</v>
      </c>
      <c r="W408" s="103" t="n">
        <f aca="false">IF(AND($F408="Analogy",OR($H408="—",$H408="")),1,0)</f>
        <v>0</v>
      </c>
      <c r="X408" s="103" t="n">
        <f aca="false">IF(AND(OR($F408="Analogy",$F408="Assumed"),$G408&lt;&gt;"低",$G408&lt;&gt;"高",NOT(ISNUMBER($K408)),NOT(ISNUMBER($L408)),OR($M408="—",$M408="")),1,0)</f>
        <v>0</v>
      </c>
      <c r="Y408" s="103" t="n">
        <f aca="false">IF(AND(OR($F408="Analogy",$F408="Assumed",$F408="Derived（待改公式）",$F408="Derived（公式）"),OR($N408="—",$N408="",$N408=0)),1,0)</f>
        <v>0</v>
      </c>
      <c r="Z408" s="103" t="n">
        <f aca="false">IF(AND($F408="Decision",OR($J408="—",$J408="")),1,0)</f>
        <v>0</v>
      </c>
      <c r="AA408" s="84" t="n">
        <f aca="false">IF(OR($J408="—",$J408=""),0,IF(COUNTIF(Decisions!$A$5:$A$300,$J408)=0,1,0))</f>
        <v>0</v>
      </c>
      <c r="AB408" s="103" t="n">
        <f aca="false">IF(AND($F408="原始數據",$S408&lt;&gt;"Active"),1,0)</f>
        <v>0</v>
      </c>
      <c r="AC408" s="103" t="n">
        <f aca="false">IF(AND(ISNUMBER($K408),ISNUMBER($L408),ISNUMBER($Q408)),IF(OR($Q408&lt;MIN($K408,$L408),$Q408&gt;MAX($K408,$L408)),1,0),0)</f>
        <v>0</v>
      </c>
      <c r="AD408" s="103" t="n">
        <f aca="false">IF(AND(ISNUMBER($T408),$P408="高"),IF($T408=3,1,0),0)</f>
        <v>0</v>
      </c>
      <c r="AE408" s="103" t="n">
        <f aca="false">IF(AND($S408="不存在",$B408="切片一"),1,0)</f>
        <v>0</v>
      </c>
    </row>
    <row r="409" customFormat="false" ht="29.85" hidden="false" customHeight="false" outlineLevel="0" collapsed="false">
      <c r="A409" s="53" t="s">
        <v>3210</v>
      </c>
      <c r="B409" s="52" t="s">
        <v>2297</v>
      </c>
      <c r="C409" s="53" t="s">
        <v>3187</v>
      </c>
      <c r="D409" s="53" t="s">
        <v>3211</v>
      </c>
      <c r="E409" s="6" t="s">
        <v>1971</v>
      </c>
      <c r="F409" s="53" t="s">
        <v>70</v>
      </c>
      <c r="G409" s="52" t="s">
        <v>1078</v>
      </c>
      <c r="H409" s="53" t="s">
        <v>554</v>
      </c>
      <c r="I409" s="6" t="s">
        <v>554</v>
      </c>
      <c r="J409" s="53" t="s">
        <v>554</v>
      </c>
      <c r="K409" s="52"/>
      <c r="L409" s="52"/>
      <c r="M409" s="53" t="s">
        <v>554</v>
      </c>
      <c r="N409" s="204" t="str">
        <f aca="false">NonNV!$L$8</f>
        <v>高互動性利基；每 GW 吞吐低、單用戶速度高</v>
      </c>
      <c r="O409" s="6" t="s">
        <v>554</v>
      </c>
      <c r="P409" s="52" t="s">
        <v>2307</v>
      </c>
      <c r="Q409" s="89" t="n">
        <f aca="false">NonNV!B8</f>
        <v>0.2</v>
      </c>
      <c r="R409" s="53" t="s">
        <v>554</v>
      </c>
      <c r="S409" s="83" t="str">
        <f aca="false">IF(OR($H409="—",$H409=""),"—",IF(ISNUMBER(MATCH($H409,SRC_HW!$A$5:$A$400,0)),INDEX(SRC_HW!$O$5:$O$400,MATCH($H409,SRC_HW!$A$5:$A$400,0)),IF(ISNUMBER(MATCH($H409,SRC_DC!$A$5:$A$400,0)),INDEX(SRC_DC!$O$5:$O$400,MATCH($H409,SRC_DC!$A$5:$A$400,0)),IF(ISNUMBER(MATCH($H409,SRC_Model!$A$5:$A$400,0)),INDEX(SRC_Model!$O$5:$O$400,MATCH($H409,SRC_Model!$A$5:$A$400,0)),IF(ISNUMBER(MATCH($H409,SRC_Perf!$A$5:$A$400,0)),INDEX(SRC_Perf!$O$5:$O$400,MATCH($H409,SRC_Perf!$A$5:$A$400,0)),"不存在")))))</f>
        <v>—</v>
      </c>
      <c r="T409" s="83" t="str">
        <f aca="false">IF(OR($H409="—",$H409=""),"—",IF(ISNUMBER(MATCH($H409,SRC_HW!$A$5:$A$400,0)),INDEX(SRC_HW!$K$5:$K$400,MATCH($H409,SRC_HW!$A$5:$A$400,0)),IF(ISNUMBER(MATCH($H409,SRC_DC!$A$5:$A$400,0)),INDEX(SRC_DC!$K$5:$K$400,MATCH($H409,SRC_DC!$A$5:$A$400,0)),IF(ISNUMBER(MATCH($H409,SRC_Model!$A$5:$A$400,0)),INDEX(SRC_Model!$K$5:$K$400,MATCH($H409,SRC_Model!$A$5:$A$400,0)),IF(ISNUMBER(MATCH($H409,SRC_Perf!$A$5:$A$400,0)),INDEX(SRC_Perf!$K$5:$K$400,MATCH($H409,SRC_Perf!$A$5:$A$400,0)),"不存在")))))</f>
        <v>—</v>
      </c>
      <c r="U409" s="52" t="s">
        <v>2302</v>
      </c>
      <c r="V409" s="103" t="n">
        <f aca="false">IF(AND($F409="原始數據",$U409&lt;&gt;"連結 SRC"),1,0)</f>
        <v>0</v>
      </c>
      <c r="W409" s="103" t="n">
        <f aca="false">IF(AND($F409="Analogy",OR($H409="—",$H409="")),1,0)</f>
        <v>0</v>
      </c>
      <c r="X409" s="103" t="n">
        <f aca="false">IF(AND(OR($F409="Analogy",$F409="Assumed"),$G409&lt;&gt;"低",$G409&lt;&gt;"高",NOT(ISNUMBER($K409)),NOT(ISNUMBER($L409)),OR($M409="—",$M409="")),1,0)</f>
        <v>0</v>
      </c>
      <c r="Y409" s="103" t="n">
        <f aca="false">IF(AND(OR($F409="Analogy",$F409="Assumed",$F409="Derived（待改公式）",$F409="Derived（公式）"),OR($N409="—",$N409="",$N409=0)),1,0)</f>
        <v>0</v>
      </c>
      <c r="Z409" s="103" t="n">
        <f aca="false">IF(AND($F409="Decision",OR($J409="—",$J409="")),1,0)</f>
        <v>0</v>
      </c>
      <c r="AA409" s="84" t="n">
        <f aca="false">IF(OR($J409="—",$J409=""),0,IF(COUNTIF(Decisions!$A$5:$A$300,$J409)=0,1,0))</f>
        <v>0</v>
      </c>
      <c r="AB409" s="103" t="n">
        <f aca="false">IF(AND($F409="原始數據",$S409&lt;&gt;"Active"),1,0)</f>
        <v>0</v>
      </c>
      <c r="AC409" s="103" t="n">
        <f aca="false">IF(AND(ISNUMBER($K409),ISNUMBER($L409),ISNUMBER($Q409)),IF(OR($Q409&lt;MIN($K409,$L409),$Q409&gt;MAX($K409,$L409)),1,0),0)</f>
        <v>0</v>
      </c>
      <c r="AD409" s="103" t="n">
        <f aca="false">IF(AND(ISNUMBER($T409),$P409="高"),IF($T409=3,1,0),0)</f>
        <v>0</v>
      </c>
      <c r="AE409" s="103" t="n">
        <f aca="false">IF(AND($S409="不存在",$B409="切片一"),1,0)</f>
        <v>0</v>
      </c>
    </row>
    <row r="410" customFormat="false" ht="29.85" hidden="false" customHeight="false" outlineLevel="0" collapsed="false">
      <c r="A410" s="53" t="s">
        <v>3212</v>
      </c>
      <c r="B410" s="52" t="s">
        <v>2297</v>
      </c>
      <c r="C410" s="53" t="s">
        <v>3187</v>
      </c>
      <c r="D410" s="53" t="s">
        <v>2478</v>
      </c>
      <c r="E410" s="6" t="s">
        <v>1971</v>
      </c>
      <c r="F410" s="53" t="s">
        <v>70</v>
      </c>
      <c r="G410" s="52" t="s">
        <v>1079</v>
      </c>
      <c r="H410" s="53" t="s">
        <v>554</v>
      </c>
      <c r="I410" s="6" t="s">
        <v>554</v>
      </c>
      <c r="J410" s="53" t="s">
        <v>554</v>
      </c>
      <c r="K410" s="52"/>
      <c r="L410" s="52"/>
      <c r="M410" s="53" t="s">
        <v>554</v>
      </c>
      <c r="N410" s="204" t="str">
        <f aca="false">NonNV!$L$8</f>
        <v>高互動性利基；每 GW 吞吐低、單用戶速度高</v>
      </c>
      <c r="O410" s="6" t="s">
        <v>554</v>
      </c>
      <c r="P410" s="52" t="s">
        <v>2307</v>
      </c>
      <c r="Q410" s="89" t="n">
        <f aca="false">NonNV!D8</f>
        <v>0.8</v>
      </c>
      <c r="R410" s="53" t="s">
        <v>554</v>
      </c>
      <c r="S410" s="83" t="str">
        <f aca="false">IF(OR($H410="—",$H410=""),"—",IF(ISNUMBER(MATCH($H410,SRC_HW!$A$5:$A$400,0)),INDEX(SRC_HW!$O$5:$O$400,MATCH($H410,SRC_HW!$A$5:$A$400,0)),IF(ISNUMBER(MATCH($H410,SRC_DC!$A$5:$A$400,0)),INDEX(SRC_DC!$O$5:$O$400,MATCH($H410,SRC_DC!$A$5:$A$400,0)),IF(ISNUMBER(MATCH($H410,SRC_Model!$A$5:$A$400,0)),INDEX(SRC_Model!$O$5:$O$400,MATCH($H410,SRC_Model!$A$5:$A$400,0)),IF(ISNUMBER(MATCH($H410,SRC_Perf!$A$5:$A$400,0)),INDEX(SRC_Perf!$O$5:$O$400,MATCH($H410,SRC_Perf!$A$5:$A$400,0)),"不存在")))))</f>
        <v>—</v>
      </c>
      <c r="T410" s="83" t="str">
        <f aca="false">IF(OR($H410="—",$H410=""),"—",IF(ISNUMBER(MATCH($H410,SRC_HW!$A$5:$A$400,0)),INDEX(SRC_HW!$K$5:$K$400,MATCH($H410,SRC_HW!$A$5:$A$400,0)),IF(ISNUMBER(MATCH($H410,SRC_DC!$A$5:$A$400,0)),INDEX(SRC_DC!$K$5:$K$400,MATCH($H410,SRC_DC!$A$5:$A$400,0)),IF(ISNUMBER(MATCH($H410,SRC_Model!$A$5:$A$400,0)),INDEX(SRC_Model!$K$5:$K$400,MATCH($H410,SRC_Model!$A$5:$A$400,0)),IF(ISNUMBER(MATCH($H410,SRC_Perf!$A$5:$A$400,0)),INDEX(SRC_Perf!$K$5:$K$400,MATCH($H410,SRC_Perf!$A$5:$A$400,0)),"不存在")))))</f>
        <v>—</v>
      </c>
      <c r="U410" s="52" t="s">
        <v>2302</v>
      </c>
      <c r="V410" s="103" t="n">
        <f aca="false">IF(AND($F410="原始數據",$U410&lt;&gt;"連結 SRC"),1,0)</f>
        <v>0</v>
      </c>
      <c r="W410" s="103" t="n">
        <f aca="false">IF(AND($F410="Analogy",OR($H410="—",$H410="")),1,0)</f>
        <v>0</v>
      </c>
      <c r="X410" s="103" t="n">
        <f aca="false">IF(AND(OR($F410="Analogy",$F410="Assumed"),$G410&lt;&gt;"低",$G410&lt;&gt;"高",NOT(ISNUMBER($K410)),NOT(ISNUMBER($L410)),OR($M410="—",$M410="")),1,0)</f>
        <v>0</v>
      </c>
      <c r="Y410" s="103" t="n">
        <f aca="false">IF(AND(OR($F410="Analogy",$F410="Assumed",$F410="Derived（待改公式）",$F410="Derived（公式）"),OR($N410="—",$N410="",$N410=0)),1,0)</f>
        <v>0</v>
      </c>
      <c r="Z410" s="103" t="n">
        <f aca="false">IF(AND($F410="Decision",OR($J410="—",$J410="")),1,0)</f>
        <v>0</v>
      </c>
      <c r="AA410" s="84" t="n">
        <f aca="false">IF(OR($J410="—",$J410=""),0,IF(COUNTIF(Decisions!$A$5:$A$300,$J410)=0,1,0))</f>
        <v>0</v>
      </c>
      <c r="AB410" s="103" t="n">
        <f aca="false">IF(AND($F410="原始數據",$S410&lt;&gt;"Active"),1,0)</f>
        <v>0</v>
      </c>
      <c r="AC410" s="103" t="n">
        <f aca="false">IF(AND(ISNUMBER($K410),ISNUMBER($L410),ISNUMBER($Q410)),IF(OR($Q410&lt;MIN($K410,$L410),$Q410&gt;MAX($K410,$L410)),1,0),0)</f>
        <v>0</v>
      </c>
      <c r="AD410" s="103" t="n">
        <f aca="false">IF(AND(ISNUMBER($T410),$P410="高"),IF($T410=3,1,0),0)</f>
        <v>0</v>
      </c>
      <c r="AE410" s="103" t="n">
        <f aca="false">IF(AND($S410="不存在",$B410="切片一"),1,0)</f>
        <v>0</v>
      </c>
    </row>
    <row r="411" customFormat="false" ht="29.85" hidden="false" customHeight="false" outlineLevel="0" collapsed="false">
      <c r="A411" s="53" t="s">
        <v>3213</v>
      </c>
      <c r="B411" s="52" t="s">
        <v>2297</v>
      </c>
      <c r="C411" s="53" t="s">
        <v>3187</v>
      </c>
      <c r="D411" s="53" t="s">
        <v>2219</v>
      </c>
      <c r="E411" s="6" t="s">
        <v>1971</v>
      </c>
      <c r="F411" s="53" t="s">
        <v>70</v>
      </c>
      <c r="G411" s="52" t="s">
        <v>1078</v>
      </c>
      <c r="H411" s="53" t="s">
        <v>554</v>
      </c>
      <c r="I411" s="6" t="s">
        <v>554</v>
      </c>
      <c r="J411" s="53" t="s">
        <v>554</v>
      </c>
      <c r="K411" s="52"/>
      <c r="L411" s="52"/>
      <c r="M411" s="53" t="s">
        <v>554</v>
      </c>
      <c r="N411" s="204" t="str">
        <f aca="false">NonNV!$L$8</f>
        <v>高互動性利基；每 GW 吞吐低、單用戶速度高</v>
      </c>
      <c r="O411" s="6" t="s">
        <v>554</v>
      </c>
      <c r="P411" s="52" t="s">
        <v>2307</v>
      </c>
      <c r="Q411" s="89" t="n">
        <f aca="false">NonNV!E8</f>
        <v>0.8</v>
      </c>
      <c r="R411" s="53" t="s">
        <v>554</v>
      </c>
      <c r="S411" s="83" t="str">
        <f aca="false">IF(OR($H411="—",$H411=""),"—",IF(ISNUMBER(MATCH($H411,SRC_HW!$A$5:$A$400,0)),INDEX(SRC_HW!$O$5:$O$400,MATCH($H411,SRC_HW!$A$5:$A$400,0)),IF(ISNUMBER(MATCH($H411,SRC_DC!$A$5:$A$400,0)),INDEX(SRC_DC!$O$5:$O$400,MATCH($H411,SRC_DC!$A$5:$A$400,0)),IF(ISNUMBER(MATCH($H411,SRC_Model!$A$5:$A$400,0)),INDEX(SRC_Model!$O$5:$O$400,MATCH($H411,SRC_Model!$A$5:$A$400,0)),IF(ISNUMBER(MATCH($H411,SRC_Perf!$A$5:$A$400,0)),INDEX(SRC_Perf!$O$5:$O$400,MATCH($H411,SRC_Perf!$A$5:$A$400,0)),"不存在")))))</f>
        <v>—</v>
      </c>
      <c r="T411" s="83" t="str">
        <f aca="false">IF(OR($H411="—",$H411=""),"—",IF(ISNUMBER(MATCH($H411,SRC_HW!$A$5:$A$400,0)),INDEX(SRC_HW!$K$5:$K$400,MATCH($H411,SRC_HW!$A$5:$A$400,0)),IF(ISNUMBER(MATCH($H411,SRC_DC!$A$5:$A$400,0)),INDEX(SRC_DC!$K$5:$K$400,MATCH($H411,SRC_DC!$A$5:$A$400,0)),IF(ISNUMBER(MATCH($H411,SRC_Model!$A$5:$A$400,0)),INDEX(SRC_Model!$K$5:$K$400,MATCH($H411,SRC_Model!$A$5:$A$400,0)),IF(ISNUMBER(MATCH($H411,SRC_Perf!$A$5:$A$400,0)),INDEX(SRC_Perf!$K$5:$K$400,MATCH($H411,SRC_Perf!$A$5:$A$400,0)),"不存在")))))</f>
        <v>—</v>
      </c>
      <c r="U411" s="52" t="s">
        <v>2302</v>
      </c>
      <c r="V411" s="103" t="n">
        <f aca="false">IF(AND($F411="原始數據",$U411&lt;&gt;"連結 SRC"),1,0)</f>
        <v>0</v>
      </c>
      <c r="W411" s="103" t="n">
        <f aca="false">IF(AND($F411="Analogy",OR($H411="—",$H411="")),1,0)</f>
        <v>0</v>
      </c>
      <c r="X411" s="103" t="n">
        <f aca="false">IF(AND(OR($F411="Analogy",$F411="Assumed"),$G411&lt;&gt;"低",$G411&lt;&gt;"高",NOT(ISNUMBER($K411)),NOT(ISNUMBER($L411)),OR($M411="—",$M411="")),1,0)</f>
        <v>0</v>
      </c>
      <c r="Y411" s="103" t="n">
        <f aca="false">IF(AND(OR($F411="Analogy",$F411="Assumed",$F411="Derived（待改公式）",$F411="Derived（公式）"),OR($N411="—",$N411="",$N411=0)),1,0)</f>
        <v>0</v>
      </c>
      <c r="Z411" s="103" t="n">
        <f aca="false">IF(AND($F411="Decision",OR($J411="—",$J411="")),1,0)</f>
        <v>0</v>
      </c>
      <c r="AA411" s="84" t="n">
        <f aca="false">IF(OR($J411="—",$J411=""),0,IF(COUNTIF(Decisions!$A$5:$A$300,$J411)=0,1,0))</f>
        <v>0</v>
      </c>
      <c r="AB411" s="103" t="n">
        <f aca="false">IF(AND($F411="原始數據",$S411&lt;&gt;"Active"),1,0)</f>
        <v>0</v>
      </c>
      <c r="AC411" s="103" t="n">
        <f aca="false">IF(AND(ISNUMBER($K411),ISNUMBER($L411),ISNUMBER($Q411)),IF(OR($Q411&lt;MIN($K411,$L411),$Q411&gt;MAX($K411,$L411)),1,0),0)</f>
        <v>0</v>
      </c>
      <c r="AD411" s="103" t="n">
        <f aca="false">IF(AND(ISNUMBER($T411),$P411="高"),IF($T411=3,1,0),0)</f>
        <v>0</v>
      </c>
      <c r="AE411" s="103" t="n">
        <f aca="false">IF(AND($S411="不存在",$B411="切片一"),1,0)</f>
        <v>0</v>
      </c>
    </row>
    <row r="412" customFormat="false" ht="29.85" hidden="false" customHeight="false" outlineLevel="0" collapsed="false">
      <c r="A412" s="53" t="s">
        <v>3214</v>
      </c>
      <c r="B412" s="52" t="s">
        <v>2297</v>
      </c>
      <c r="C412" s="53" t="s">
        <v>3187</v>
      </c>
      <c r="D412" s="53" t="s">
        <v>2486</v>
      </c>
      <c r="E412" s="6" t="s">
        <v>1971</v>
      </c>
      <c r="F412" s="53" t="s">
        <v>70</v>
      </c>
      <c r="G412" s="52" t="s">
        <v>1079</v>
      </c>
      <c r="H412" s="53" t="s">
        <v>554</v>
      </c>
      <c r="I412" s="6" t="s">
        <v>554</v>
      </c>
      <c r="J412" s="53" t="s">
        <v>554</v>
      </c>
      <c r="K412" s="52"/>
      <c r="L412" s="52"/>
      <c r="M412" s="53" t="s">
        <v>554</v>
      </c>
      <c r="N412" s="204" t="str">
        <f aca="false">NonNV!$L$8</f>
        <v>高互動性利基；每 GW 吞吐低、單用戶速度高</v>
      </c>
      <c r="O412" s="6" t="s">
        <v>554</v>
      </c>
      <c r="P412" s="52" t="s">
        <v>2307</v>
      </c>
      <c r="Q412" s="89" t="n">
        <f aca="false">NonNV!G8</f>
        <v>1.2</v>
      </c>
      <c r="R412" s="53" t="s">
        <v>554</v>
      </c>
      <c r="S412" s="83" t="str">
        <f aca="false">IF(OR($H412="—",$H412=""),"—",IF(ISNUMBER(MATCH($H412,SRC_HW!$A$5:$A$400,0)),INDEX(SRC_HW!$O$5:$O$400,MATCH($H412,SRC_HW!$A$5:$A$400,0)),IF(ISNUMBER(MATCH($H412,SRC_DC!$A$5:$A$400,0)),INDEX(SRC_DC!$O$5:$O$400,MATCH($H412,SRC_DC!$A$5:$A$400,0)),IF(ISNUMBER(MATCH($H412,SRC_Model!$A$5:$A$400,0)),INDEX(SRC_Model!$O$5:$O$400,MATCH($H412,SRC_Model!$A$5:$A$400,0)),IF(ISNUMBER(MATCH($H412,SRC_Perf!$A$5:$A$400,0)),INDEX(SRC_Perf!$O$5:$O$400,MATCH($H412,SRC_Perf!$A$5:$A$400,0)),"不存在")))))</f>
        <v>—</v>
      </c>
      <c r="T412" s="83" t="str">
        <f aca="false">IF(OR($H412="—",$H412=""),"—",IF(ISNUMBER(MATCH($H412,SRC_HW!$A$5:$A$400,0)),INDEX(SRC_HW!$K$5:$K$400,MATCH($H412,SRC_HW!$A$5:$A$400,0)),IF(ISNUMBER(MATCH($H412,SRC_DC!$A$5:$A$400,0)),INDEX(SRC_DC!$K$5:$K$400,MATCH($H412,SRC_DC!$A$5:$A$400,0)),IF(ISNUMBER(MATCH($H412,SRC_Model!$A$5:$A$400,0)),INDEX(SRC_Model!$K$5:$K$400,MATCH($H412,SRC_Model!$A$5:$A$400,0)),IF(ISNUMBER(MATCH($H412,SRC_Perf!$A$5:$A$400,0)),INDEX(SRC_Perf!$K$5:$K$400,MATCH($H412,SRC_Perf!$A$5:$A$400,0)),"不存在")))))</f>
        <v>—</v>
      </c>
      <c r="U412" s="52" t="s">
        <v>2302</v>
      </c>
      <c r="V412" s="103" t="n">
        <f aca="false">IF(AND($F412="原始數據",$U412&lt;&gt;"連結 SRC"),1,0)</f>
        <v>0</v>
      </c>
      <c r="W412" s="103" t="n">
        <f aca="false">IF(AND($F412="Analogy",OR($H412="—",$H412="")),1,0)</f>
        <v>0</v>
      </c>
      <c r="X412" s="103" t="n">
        <f aca="false">IF(AND(OR($F412="Analogy",$F412="Assumed"),$G412&lt;&gt;"低",$G412&lt;&gt;"高",NOT(ISNUMBER($K412)),NOT(ISNUMBER($L412)),OR($M412="—",$M412="")),1,0)</f>
        <v>0</v>
      </c>
      <c r="Y412" s="103" t="n">
        <f aca="false">IF(AND(OR($F412="Analogy",$F412="Assumed",$F412="Derived（待改公式）",$F412="Derived（公式）"),OR($N412="—",$N412="",$N412=0)),1,0)</f>
        <v>0</v>
      </c>
      <c r="Z412" s="103" t="n">
        <f aca="false">IF(AND($F412="Decision",OR($J412="—",$J412="")),1,0)</f>
        <v>0</v>
      </c>
      <c r="AA412" s="84" t="n">
        <f aca="false">IF(OR($J412="—",$J412=""),0,IF(COUNTIF(Decisions!$A$5:$A$300,$J412)=0,1,0))</f>
        <v>0</v>
      </c>
      <c r="AB412" s="103" t="n">
        <f aca="false">IF(AND($F412="原始數據",$S412&lt;&gt;"Active"),1,0)</f>
        <v>0</v>
      </c>
      <c r="AC412" s="103" t="n">
        <f aca="false">IF(AND(ISNUMBER($K412),ISNUMBER($L412),ISNUMBER($Q412)),IF(OR($Q412&lt;MIN($K412,$L412),$Q412&gt;MAX($K412,$L412)),1,0),0)</f>
        <v>0</v>
      </c>
      <c r="AD412" s="103" t="n">
        <f aca="false">IF(AND(ISNUMBER($T412),$P412="高"),IF($T412=3,1,0),0)</f>
        <v>0</v>
      </c>
      <c r="AE412" s="103" t="n">
        <f aca="false">IF(AND($S412="不存在",$B412="切片一"),1,0)</f>
        <v>0</v>
      </c>
    </row>
    <row r="413" customFormat="false" ht="29.85" hidden="false" customHeight="false" outlineLevel="0" collapsed="false">
      <c r="A413" s="53" t="s">
        <v>3215</v>
      </c>
      <c r="B413" s="52" t="s">
        <v>2297</v>
      </c>
      <c r="C413" s="53" t="s">
        <v>3187</v>
      </c>
      <c r="D413" s="53" t="s">
        <v>2489</v>
      </c>
      <c r="E413" s="6" t="s">
        <v>1973</v>
      </c>
      <c r="F413" s="53" t="s">
        <v>70</v>
      </c>
      <c r="G413" s="52" t="s">
        <v>55</v>
      </c>
      <c r="H413" s="53" t="s">
        <v>554</v>
      </c>
      <c r="I413" s="6" t="s">
        <v>554</v>
      </c>
      <c r="J413" s="53" t="s">
        <v>554</v>
      </c>
      <c r="K413" s="89" t="n">
        <f aca="false">NonNV!B9</f>
        <v>0.4</v>
      </c>
      <c r="L413" s="89" t="n">
        <f aca="false">NonNV!D9</f>
        <v>0.9</v>
      </c>
      <c r="M413" s="53" t="s">
        <v>554</v>
      </c>
      <c r="N413" s="204" t="str">
        <f aca="false">NonNV!$L$9</f>
        <v>無公開規格；沿用 v0.5「自研／其他 0.6（0.4–1.0）」</v>
      </c>
      <c r="O413" s="6" t="s">
        <v>554</v>
      </c>
      <c r="P413" s="52" t="s">
        <v>2307</v>
      </c>
      <c r="Q413" s="89" t="n">
        <f aca="false">NonNV!C9</f>
        <v>0.6</v>
      </c>
      <c r="R413" s="53" t="s">
        <v>554</v>
      </c>
      <c r="S413" s="83" t="str">
        <f aca="false">IF(OR($H413="—",$H413=""),"—",IF(ISNUMBER(MATCH($H413,SRC_HW!$A$5:$A$400,0)),INDEX(SRC_HW!$O$5:$O$400,MATCH($H413,SRC_HW!$A$5:$A$400,0)),IF(ISNUMBER(MATCH($H413,SRC_DC!$A$5:$A$400,0)),INDEX(SRC_DC!$O$5:$O$400,MATCH($H413,SRC_DC!$A$5:$A$400,0)),IF(ISNUMBER(MATCH($H413,SRC_Model!$A$5:$A$400,0)),INDEX(SRC_Model!$O$5:$O$400,MATCH($H413,SRC_Model!$A$5:$A$400,0)),IF(ISNUMBER(MATCH($H413,SRC_Perf!$A$5:$A$400,0)),INDEX(SRC_Perf!$O$5:$O$400,MATCH($H413,SRC_Perf!$A$5:$A$400,0)),"不存在")))))</f>
        <v>—</v>
      </c>
      <c r="T413" s="83" t="str">
        <f aca="false">IF(OR($H413="—",$H413=""),"—",IF(ISNUMBER(MATCH($H413,SRC_HW!$A$5:$A$400,0)),INDEX(SRC_HW!$K$5:$K$400,MATCH($H413,SRC_HW!$A$5:$A$400,0)),IF(ISNUMBER(MATCH($H413,SRC_DC!$A$5:$A$400,0)),INDEX(SRC_DC!$K$5:$K$400,MATCH($H413,SRC_DC!$A$5:$A$400,0)),IF(ISNUMBER(MATCH($H413,SRC_Model!$A$5:$A$400,0)),INDEX(SRC_Model!$K$5:$K$400,MATCH($H413,SRC_Model!$A$5:$A$400,0)),IF(ISNUMBER(MATCH($H413,SRC_Perf!$A$5:$A$400,0)),INDEX(SRC_Perf!$K$5:$K$400,MATCH($H413,SRC_Perf!$A$5:$A$400,0)),"不存在")))))</f>
        <v>—</v>
      </c>
      <c r="U413" s="52" t="s">
        <v>2302</v>
      </c>
      <c r="V413" s="103" t="n">
        <f aca="false">IF(AND($F413="原始數據",$U413&lt;&gt;"連結 SRC"),1,0)</f>
        <v>0</v>
      </c>
      <c r="W413" s="103" t="n">
        <f aca="false">IF(AND($F413="Analogy",OR($H413="—",$H413="")),1,0)</f>
        <v>0</v>
      </c>
      <c r="X413" s="103" t="n">
        <f aca="false">IF(AND(OR($F413="Analogy",$F413="Assumed"),$G413&lt;&gt;"低",$G413&lt;&gt;"高",NOT(ISNUMBER($K413)),NOT(ISNUMBER($L413)),OR($M413="—",$M413="")),1,0)</f>
        <v>0</v>
      </c>
      <c r="Y413" s="103" t="n">
        <f aca="false">IF(AND(OR($F413="Analogy",$F413="Assumed",$F413="Derived（待改公式）",$F413="Derived（公式）"),OR($N413="—",$N413="",$N413=0)),1,0)</f>
        <v>0</v>
      </c>
      <c r="Z413" s="103" t="n">
        <f aca="false">IF(AND($F413="Decision",OR($J413="—",$J413="")),1,0)</f>
        <v>0</v>
      </c>
      <c r="AA413" s="84" t="n">
        <f aca="false">IF(OR($J413="—",$J413=""),0,IF(COUNTIF(Decisions!$A$5:$A$300,$J413)=0,1,0))</f>
        <v>0</v>
      </c>
      <c r="AB413" s="103" t="n">
        <f aca="false">IF(AND($F413="原始數據",$S413&lt;&gt;"Active"),1,0)</f>
        <v>0</v>
      </c>
      <c r="AC413" s="103" t="n">
        <f aca="false">IF(AND(ISNUMBER($K413),ISNUMBER($L413),ISNUMBER($Q413)),IF(OR($Q413&lt;MIN($K413,$L413),$Q413&gt;MAX($K413,$L413)),1,0),0)</f>
        <v>0</v>
      </c>
      <c r="AD413" s="103" t="n">
        <f aca="false">IF(AND(ISNUMBER($T413),$P413="高"),IF($T413=3,1,0),0)</f>
        <v>0</v>
      </c>
      <c r="AE413" s="103" t="n">
        <f aca="false">IF(AND($S413="不存在",$B413="切片一"),1,0)</f>
        <v>0</v>
      </c>
    </row>
    <row r="414" customFormat="false" ht="29.85" hidden="false" customHeight="false" outlineLevel="0" collapsed="false">
      <c r="A414" s="53" t="s">
        <v>3216</v>
      </c>
      <c r="B414" s="52" t="s">
        <v>2297</v>
      </c>
      <c r="C414" s="53" t="s">
        <v>3187</v>
      </c>
      <c r="D414" s="53" t="s">
        <v>2316</v>
      </c>
      <c r="E414" s="6" t="s">
        <v>1973</v>
      </c>
      <c r="F414" s="53" t="s">
        <v>70</v>
      </c>
      <c r="G414" s="52" t="s">
        <v>55</v>
      </c>
      <c r="H414" s="53" t="s">
        <v>554</v>
      </c>
      <c r="I414" s="6" t="s">
        <v>554</v>
      </c>
      <c r="J414" s="53" t="s">
        <v>554</v>
      </c>
      <c r="K414" s="89" t="n">
        <f aca="false">NonNV!E9</f>
        <v>0.7</v>
      </c>
      <c r="L414" s="89" t="n">
        <f aca="false">NonNV!G9</f>
        <v>1</v>
      </c>
      <c r="M414" s="53" t="s">
        <v>554</v>
      </c>
      <c r="N414" s="204" t="str">
        <f aca="false">NonNV!$L$9</f>
        <v>無公開規格；沿用 v0.5「自研／其他 0.6（0.4–1.0）」</v>
      </c>
      <c r="O414" s="6" t="s">
        <v>554</v>
      </c>
      <c r="P414" s="52" t="s">
        <v>2307</v>
      </c>
      <c r="Q414" s="89" t="n">
        <f aca="false">NonNV!F9</f>
        <v>0.8</v>
      </c>
      <c r="R414" s="53" t="s">
        <v>554</v>
      </c>
      <c r="S414" s="83" t="str">
        <f aca="false">IF(OR($H414="—",$H414=""),"—",IF(ISNUMBER(MATCH($H414,SRC_HW!$A$5:$A$400,0)),INDEX(SRC_HW!$O$5:$O$400,MATCH($H414,SRC_HW!$A$5:$A$400,0)),IF(ISNUMBER(MATCH($H414,SRC_DC!$A$5:$A$400,0)),INDEX(SRC_DC!$O$5:$O$400,MATCH($H414,SRC_DC!$A$5:$A$400,0)),IF(ISNUMBER(MATCH($H414,SRC_Model!$A$5:$A$400,0)),INDEX(SRC_Model!$O$5:$O$400,MATCH($H414,SRC_Model!$A$5:$A$400,0)),IF(ISNUMBER(MATCH($H414,SRC_Perf!$A$5:$A$400,0)),INDEX(SRC_Perf!$O$5:$O$400,MATCH($H414,SRC_Perf!$A$5:$A$400,0)),"不存在")))))</f>
        <v>—</v>
      </c>
      <c r="T414" s="83" t="str">
        <f aca="false">IF(OR($H414="—",$H414=""),"—",IF(ISNUMBER(MATCH($H414,SRC_HW!$A$5:$A$400,0)),INDEX(SRC_HW!$K$5:$K$400,MATCH($H414,SRC_HW!$A$5:$A$400,0)),IF(ISNUMBER(MATCH($H414,SRC_DC!$A$5:$A$400,0)),INDEX(SRC_DC!$K$5:$K$400,MATCH($H414,SRC_DC!$A$5:$A$400,0)),IF(ISNUMBER(MATCH($H414,SRC_Model!$A$5:$A$400,0)),INDEX(SRC_Model!$K$5:$K$400,MATCH($H414,SRC_Model!$A$5:$A$400,0)),IF(ISNUMBER(MATCH($H414,SRC_Perf!$A$5:$A$400,0)),INDEX(SRC_Perf!$K$5:$K$400,MATCH($H414,SRC_Perf!$A$5:$A$400,0)),"不存在")))))</f>
        <v>—</v>
      </c>
      <c r="U414" s="52" t="s">
        <v>2302</v>
      </c>
      <c r="V414" s="103" t="n">
        <f aca="false">IF(AND($F414="原始數據",$U414&lt;&gt;"連結 SRC"),1,0)</f>
        <v>0</v>
      </c>
      <c r="W414" s="103" t="n">
        <f aca="false">IF(AND($F414="Analogy",OR($H414="—",$H414="")),1,0)</f>
        <v>0</v>
      </c>
      <c r="X414" s="103" t="n">
        <f aca="false">IF(AND(OR($F414="Analogy",$F414="Assumed"),$G414&lt;&gt;"低",$G414&lt;&gt;"高",NOT(ISNUMBER($K414)),NOT(ISNUMBER($L414)),OR($M414="—",$M414="")),1,0)</f>
        <v>0</v>
      </c>
      <c r="Y414" s="103" t="n">
        <f aca="false">IF(AND(OR($F414="Analogy",$F414="Assumed",$F414="Derived（待改公式）",$F414="Derived（公式）"),OR($N414="—",$N414="",$N414=0)),1,0)</f>
        <v>0</v>
      </c>
      <c r="Z414" s="103" t="n">
        <f aca="false">IF(AND($F414="Decision",OR($J414="—",$J414="")),1,0)</f>
        <v>0</v>
      </c>
      <c r="AA414" s="84" t="n">
        <f aca="false">IF(OR($J414="—",$J414=""),0,IF(COUNTIF(Decisions!$A$5:$A$300,$J414)=0,1,0))</f>
        <v>0</v>
      </c>
      <c r="AB414" s="103" t="n">
        <f aca="false">IF(AND($F414="原始數據",$S414&lt;&gt;"Active"),1,0)</f>
        <v>0</v>
      </c>
      <c r="AC414" s="103" t="n">
        <f aca="false">IF(AND(ISNUMBER($K414),ISNUMBER($L414),ISNUMBER($Q414)),IF(OR($Q414&lt;MIN($K414,$L414),$Q414&gt;MAX($K414,$L414)),1,0),0)</f>
        <v>0</v>
      </c>
      <c r="AD414" s="103" t="n">
        <f aca="false">IF(AND(ISNUMBER($T414),$P414="高"),IF($T414=3,1,0),0)</f>
        <v>0</v>
      </c>
      <c r="AE414" s="103" t="n">
        <f aca="false">IF(AND($S414="不存在",$B414="切片一"),1,0)</f>
        <v>0</v>
      </c>
    </row>
    <row r="415" customFormat="false" ht="29.85" hidden="false" customHeight="false" outlineLevel="0" collapsed="false">
      <c r="A415" s="53" t="s">
        <v>3217</v>
      </c>
      <c r="B415" s="52" t="s">
        <v>2297</v>
      </c>
      <c r="C415" s="53" t="s">
        <v>3187</v>
      </c>
      <c r="D415" s="53" t="s">
        <v>3218</v>
      </c>
      <c r="E415" s="6" t="s">
        <v>1973</v>
      </c>
      <c r="F415" s="53" t="s">
        <v>70</v>
      </c>
      <c r="G415" s="52" t="s">
        <v>1078</v>
      </c>
      <c r="H415" s="53" t="s">
        <v>554</v>
      </c>
      <c r="I415" s="6" t="s">
        <v>554</v>
      </c>
      <c r="J415" s="53" t="s">
        <v>554</v>
      </c>
      <c r="K415" s="52"/>
      <c r="L415" s="52"/>
      <c r="M415" s="53" t="s">
        <v>554</v>
      </c>
      <c r="N415" s="204" t="str">
        <f aca="false">NonNV!$L$9</f>
        <v>無公開規格；沿用 v0.5「自研／其他 0.6（0.4–1.0）」</v>
      </c>
      <c r="O415" s="6" t="s">
        <v>554</v>
      </c>
      <c r="P415" s="52" t="s">
        <v>2307</v>
      </c>
      <c r="Q415" s="89" t="n">
        <f aca="false">NonNV!B9</f>
        <v>0.4</v>
      </c>
      <c r="R415" s="53" t="s">
        <v>554</v>
      </c>
      <c r="S415" s="83" t="str">
        <f aca="false">IF(OR($H415="—",$H415=""),"—",IF(ISNUMBER(MATCH($H415,SRC_HW!$A$5:$A$400,0)),INDEX(SRC_HW!$O$5:$O$400,MATCH($H415,SRC_HW!$A$5:$A$400,0)),IF(ISNUMBER(MATCH($H415,SRC_DC!$A$5:$A$400,0)),INDEX(SRC_DC!$O$5:$O$400,MATCH($H415,SRC_DC!$A$5:$A$400,0)),IF(ISNUMBER(MATCH($H415,SRC_Model!$A$5:$A$400,0)),INDEX(SRC_Model!$O$5:$O$400,MATCH($H415,SRC_Model!$A$5:$A$400,0)),IF(ISNUMBER(MATCH($H415,SRC_Perf!$A$5:$A$400,0)),INDEX(SRC_Perf!$O$5:$O$400,MATCH($H415,SRC_Perf!$A$5:$A$400,0)),"不存在")))))</f>
        <v>—</v>
      </c>
      <c r="T415" s="83" t="str">
        <f aca="false">IF(OR($H415="—",$H415=""),"—",IF(ISNUMBER(MATCH($H415,SRC_HW!$A$5:$A$400,0)),INDEX(SRC_HW!$K$5:$K$400,MATCH($H415,SRC_HW!$A$5:$A$400,0)),IF(ISNUMBER(MATCH($H415,SRC_DC!$A$5:$A$400,0)),INDEX(SRC_DC!$K$5:$K$400,MATCH($H415,SRC_DC!$A$5:$A$400,0)),IF(ISNUMBER(MATCH($H415,SRC_Model!$A$5:$A$400,0)),INDEX(SRC_Model!$K$5:$K$400,MATCH($H415,SRC_Model!$A$5:$A$400,0)),IF(ISNUMBER(MATCH($H415,SRC_Perf!$A$5:$A$400,0)),INDEX(SRC_Perf!$K$5:$K$400,MATCH($H415,SRC_Perf!$A$5:$A$400,0)),"不存在")))))</f>
        <v>—</v>
      </c>
      <c r="U415" s="52" t="s">
        <v>2302</v>
      </c>
      <c r="V415" s="103" t="n">
        <f aca="false">IF(AND($F415="原始數據",$U415&lt;&gt;"連結 SRC"),1,0)</f>
        <v>0</v>
      </c>
      <c r="W415" s="103" t="n">
        <f aca="false">IF(AND($F415="Analogy",OR($H415="—",$H415="")),1,0)</f>
        <v>0</v>
      </c>
      <c r="X415" s="103" t="n">
        <f aca="false">IF(AND(OR($F415="Analogy",$F415="Assumed"),$G415&lt;&gt;"低",$G415&lt;&gt;"高",NOT(ISNUMBER($K415)),NOT(ISNUMBER($L415)),OR($M415="—",$M415="")),1,0)</f>
        <v>0</v>
      </c>
      <c r="Y415" s="103" t="n">
        <f aca="false">IF(AND(OR($F415="Analogy",$F415="Assumed",$F415="Derived（待改公式）",$F415="Derived（公式）"),OR($N415="—",$N415="",$N415=0)),1,0)</f>
        <v>0</v>
      </c>
      <c r="Z415" s="103" t="n">
        <f aca="false">IF(AND($F415="Decision",OR($J415="—",$J415="")),1,0)</f>
        <v>0</v>
      </c>
      <c r="AA415" s="84" t="n">
        <f aca="false">IF(OR($J415="—",$J415=""),0,IF(COUNTIF(Decisions!$A$5:$A$300,$J415)=0,1,0))</f>
        <v>0</v>
      </c>
      <c r="AB415" s="103" t="n">
        <f aca="false">IF(AND($F415="原始數據",$S415&lt;&gt;"Active"),1,0)</f>
        <v>0</v>
      </c>
      <c r="AC415" s="103" t="n">
        <f aca="false">IF(AND(ISNUMBER($K415),ISNUMBER($L415),ISNUMBER($Q415)),IF(OR($Q415&lt;MIN($K415,$L415),$Q415&gt;MAX($K415,$L415)),1,0),0)</f>
        <v>0</v>
      </c>
      <c r="AD415" s="103" t="n">
        <f aca="false">IF(AND(ISNUMBER($T415),$P415="高"),IF($T415=3,1,0),0)</f>
        <v>0</v>
      </c>
      <c r="AE415" s="103" t="n">
        <f aca="false">IF(AND($S415="不存在",$B415="切片一"),1,0)</f>
        <v>0</v>
      </c>
    </row>
    <row r="416" customFormat="false" ht="29.85" hidden="false" customHeight="false" outlineLevel="0" collapsed="false">
      <c r="A416" s="53" t="s">
        <v>3219</v>
      </c>
      <c r="B416" s="52" t="s">
        <v>2297</v>
      </c>
      <c r="C416" s="53" t="s">
        <v>3187</v>
      </c>
      <c r="D416" s="53" t="s">
        <v>2314</v>
      </c>
      <c r="E416" s="6" t="s">
        <v>1973</v>
      </c>
      <c r="F416" s="53" t="s">
        <v>70</v>
      </c>
      <c r="G416" s="52" t="s">
        <v>1079</v>
      </c>
      <c r="H416" s="53" t="s">
        <v>554</v>
      </c>
      <c r="I416" s="6" t="s">
        <v>554</v>
      </c>
      <c r="J416" s="53" t="s">
        <v>554</v>
      </c>
      <c r="K416" s="52"/>
      <c r="L416" s="52"/>
      <c r="M416" s="53" t="s">
        <v>554</v>
      </c>
      <c r="N416" s="204" t="str">
        <f aca="false">NonNV!$L$9</f>
        <v>無公開規格；沿用 v0.5「自研／其他 0.6（0.4–1.0）」</v>
      </c>
      <c r="O416" s="6" t="s">
        <v>554</v>
      </c>
      <c r="P416" s="52" t="s">
        <v>2307</v>
      </c>
      <c r="Q416" s="89" t="n">
        <f aca="false">NonNV!D9</f>
        <v>0.9</v>
      </c>
      <c r="R416" s="53" t="s">
        <v>554</v>
      </c>
      <c r="S416" s="83" t="str">
        <f aca="false">IF(OR($H416="—",$H416=""),"—",IF(ISNUMBER(MATCH($H416,SRC_HW!$A$5:$A$400,0)),INDEX(SRC_HW!$O$5:$O$400,MATCH($H416,SRC_HW!$A$5:$A$400,0)),IF(ISNUMBER(MATCH($H416,SRC_DC!$A$5:$A$400,0)),INDEX(SRC_DC!$O$5:$O$400,MATCH($H416,SRC_DC!$A$5:$A$400,0)),IF(ISNUMBER(MATCH($H416,SRC_Model!$A$5:$A$400,0)),INDEX(SRC_Model!$O$5:$O$400,MATCH($H416,SRC_Model!$A$5:$A$400,0)),IF(ISNUMBER(MATCH($H416,SRC_Perf!$A$5:$A$400,0)),INDEX(SRC_Perf!$O$5:$O$400,MATCH($H416,SRC_Perf!$A$5:$A$400,0)),"不存在")))))</f>
        <v>—</v>
      </c>
      <c r="T416" s="83" t="str">
        <f aca="false">IF(OR($H416="—",$H416=""),"—",IF(ISNUMBER(MATCH($H416,SRC_HW!$A$5:$A$400,0)),INDEX(SRC_HW!$K$5:$K$400,MATCH($H416,SRC_HW!$A$5:$A$400,0)),IF(ISNUMBER(MATCH($H416,SRC_DC!$A$5:$A$400,0)),INDEX(SRC_DC!$K$5:$K$400,MATCH($H416,SRC_DC!$A$5:$A$400,0)),IF(ISNUMBER(MATCH($H416,SRC_Model!$A$5:$A$400,0)),INDEX(SRC_Model!$K$5:$K$400,MATCH($H416,SRC_Model!$A$5:$A$400,0)),IF(ISNUMBER(MATCH($H416,SRC_Perf!$A$5:$A$400,0)),INDEX(SRC_Perf!$K$5:$K$400,MATCH($H416,SRC_Perf!$A$5:$A$400,0)),"不存在")))))</f>
        <v>—</v>
      </c>
      <c r="U416" s="52" t="s">
        <v>2302</v>
      </c>
      <c r="V416" s="103" t="n">
        <f aca="false">IF(AND($F416="原始數據",$U416&lt;&gt;"連結 SRC"),1,0)</f>
        <v>0</v>
      </c>
      <c r="W416" s="103" t="n">
        <f aca="false">IF(AND($F416="Analogy",OR($H416="—",$H416="")),1,0)</f>
        <v>0</v>
      </c>
      <c r="X416" s="103" t="n">
        <f aca="false">IF(AND(OR($F416="Analogy",$F416="Assumed"),$G416&lt;&gt;"低",$G416&lt;&gt;"高",NOT(ISNUMBER($K416)),NOT(ISNUMBER($L416)),OR($M416="—",$M416="")),1,0)</f>
        <v>0</v>
      </c>
      <c r="Y416" s="103" t="n">
        <f aca="false">IF(AND(OR($F416="Analogy",$F416="Assumed",$F416="Derived（待改公式）",$F416="Derived（公式）"),OR($N416="—",$N416="",$N416=0)),1,0)</f>
        <v>0</v>
      </c>
      <c r="Z416" s="103" t="n">
        <f aca="false">IF(AND($F416="Decision",OR($J416="—",$J416="")),1,0)</f>
        <v>0</v>
      </c>
      <c r="AA416" s="84" t="n">
        <f aca="false">IF(OR($J416="—",$J416=""),0,IF(COUNTIF(Decisions!$A$5:$A$300,$J416)=0,1,0))</f>
        <v>0</v>
      </c>
      <c r="AB416" s="103" t="n">
        <f aca="false">IF(AND($F416="原始數據",$S416&lt;&gt;"Active"),1,0)</f>
        <v>0</v>
      </c>
      <c r="AC416" s="103" t="n">
        <f aca="false">IF(AND(ISNUMBER($K416),ISNUMBER($L416),ISNUMBER($Q416)),IF(OR($Q416&lt;MIN($K416,$L416),$Q416&gt;MAX($K416,$L416)),1,0),0)</f>
        <v>0</v>
      </c>
      <c r="AD416" s="103" t="n">
        <f aca="false">IF(AND(ISNUMBER($T416),$P416="高"),IF($T416=3,1,0),0)</f>
        <v>0</v>
      </c>
      <c r="AE416" s="103" t="n">
        <f aca="false">IF(AND($S416="不存在",$B416="切片一"),1,0)</f>
        <v>0</v>
      </c>
    </row>
    <row r="417" customFormat="false" ht="29.85" hidden="false" customHeight="false" outlineLevel="0" collapsed="false">
      <c r="A417" s="53" t="s">
        <v>3220</v>
      </c>
      <c r="B417" s="52" t="s">
        <v>2297</v>
      </c>
      <c r="C417" s="53" t="s">
        <v>3187</v>
      </c>
      <c r="D417" s="53" t="s">
        <v>2222</v>
      </c>
      <c r="E417" s="6" t="s">
        <v>1973</v>
      </c>
      <c r="F417" s="53" t="s">
        <v>70</v>
      </c>
      <c r="G417" s="52" t="s">
        <v>1078</v>
      </c>
      <c r="H417" s="53" t="s">
        <v>554</v>
      </c>
      <c r="I417" s="6" t="s">
        <v>554</v>
      </c>
      <c r="J417" s="53" t="s">
        <v>554</v>
      </c>
      <c r="K417" s="52"/>
      <c r="L417" s="52"/>
      <c r="M417" s="53" t="s">
        <v>554</v>
      </c>
      <c r="N417" s="204" t="str">
        <f aca="false">NonNV!$L$9</f>
        <v>無公開規格；沿用 v0.5「自研／其他 0.6（0.4–1.0）」</v>
      </c>
      <c r="O417" s="6" t="s">
        <v>554</v>
      </c>
      <c r="P417" s="52" t="s">
        <v>2307</v>
      </c>
      <c r="Q417" s="89" t="n">
        <f aca="false">NonNV!E9</f>
        <v>0.7</v>
      </c>
      <c r="R417" s="53" t="s">
        <v>554</v>
      </c>
      <c r="S417" s="83" t="str">
        <f aca="false">IF(OR($H417="—",$H417=""),"—",IF(ISNUMBER(MATCH($H417,SRC_HW!$A$5:$A$400,0)),INDEX(SRC_HW!$O$5:$O$400,MATCH($H417,SRC_HW!$A$5:$A$400,0)),IF(ISNUMBER(MATCH($H417,SRC_DC!$A$5:$A$400,0)),INDEX(SRC_DC!$O$5:$O$400,MATCH($H417,SRC_DC!$A$5:$A$400,0)),IF(ISNUMBER(MATCH($H417,SRC_Model!$A$5:$A$400,0)),INDEX(SRC_Model!$O$5:$O$400,MATCH($H417,SRC_Model!$A$5:$A$400,0)),IF(ISNUMBER(MATCH($H417,SRC_Perf!$A$5:$A$400,0)),INDEX(SRC_Perf!$O$5:$O$400,MATCH($H417,SRC_Perf!$A$5:$A$400,0)),"不存在")))))</f>
        <v>—</v>
      </c>
      <c r="T417" s="83" t="str">
        <f aca="false">IF(OR($H417="—",$H417=""),"—",IF(ISNUMBER(MATCH($H417,SRC_HW!$A$5:$A$400,0)),INDEX(SRC_HW!$K$5:$K$400,MATCH($H417,SRC_HW!$A$5:$A$400,0)),IF(ISNUMBER(MATCH($H417,SRC_DC!$A$5:$A$400,0)),INDEX(SRC_DC!$K$5:$K$400,MATCH($H417,SRC_DC!$A$5:$A$400,0)),IF(ISNUMBER(MATCH($H417,SRC_Model!$A$5:$A$400,0)),INDEX(SRC_Model!$K$5:$K$400,MATCH($H417,SRC_Model!$A$5:$A$400,0)),IF(ISNUMBER(MATCH($H417,SRC_Perf!$A$5:$A$400,0)),INDEX(SRC_Perf!$K$5:$K$400,MATCH($H417,SRC_Perf!$A$5:$A$400,0)),"不存在")))))</f>
        <v>—</v>
      </c>
      <c r="U417" s="52" t="s">
        <v>2302</v>
      </c>
      <c r="V417" s="103" t="n">
        <f aca="false">IF(AND($F417="原始數據",$U417&lt;&gt;"連結 SRC"),1,0)</f>
        <v>0</v>
      </c>
      <c r="W417" s="103" t="n">
        <f aca="false">IF(AND($F417="Analogy",OR($H417="—",$H417="")),1,0)</f>
        <v>0</v>
      </c>
      <c r="X417" s="103" t="n">
        <f aca="false">IF(AND(OR($F417="Analogy",$F417="Assumed"),$G417&lt;&gt;"低",$G417&lt;&gt;"高",NOT(ISNUMBER($K417)),NOT(ISNUMBER($L417)),OR($M417="—",$M417="")),1,0)</f>
        <v>0</v>
      </c>
      <c r="Y417" s="103" t="n">
        <f aca="false">IF(AND(OR($F417="Analogy",$F417="Assumed",$F417="Derived（待改公式）",$F417="Derived（公式）"),OR($N417="—",$N417="",$N417=0)),1,0)</f>
        <v>0</v>
      </c>
      <c r="Z417" s="103" t="n">
        <f aca="false">IF(AND($F417="Decision",OR($J417="—",$J417="")),1,0)</f>
        <v>0</v>
      </c>
      <c r="AA417" s="84" t="n">
        <f aca="false">IF(OR($J417="—",$J417=""),0,IF(COUNTIF(Decisions!$A$5:$A$300,$J417)=0,1,0))</f>
        <v>0</v>
      </c>
      <c r="AB417" s="103" t="n">
        <f aca="false">IF(AND($F417="原始數據",$S417&lt;&gt;"Active"),1,0)</f>
        <v>0</v>
      </c>
      <c r="AC417" s="103" t="n">
        <f aca="false">IF(AND(ISNUMBER($K417),ISNUMBER($L417),ISNUMBER($Q417)),IF(OR($Q417&lt;MIN($K417,$L417),$Q417&gt;MAX($K417,$L417)),1,0),0)</f>
        <v>0</v>
      </c>
      <c r="AD417" s="103" t="n">
        <f aca="false">IF(AND(ISNUMBER($T417),$P417="高"),IF($T417=3,1,0),0)</f>
        <v>0</v>
      </c>
      <c r="AE417" s="103" t="n">
        <f aca="false">IF(AND($S417="不存在",$B417="切片一"),1,0)</f>
        <v>0</v>
      </c>
    </row>
    <row r="418" customFormat="false" ht="29.85" hidden="false" customHeight="false" outlineLevel="0" collapsed="false">
      <c r="A418" s="53" t="s">
        <v>3221</v>
      </c>
      <c r="B418" s="52" t="s">
        <v>2297</v>
      </c>
      <c r="C418" s="53" t="s">
        <v>3187</v>
      </c>
      <c r="D418" s="53" t="s">
        <v>2504</v>
      </c>
      <c r="E418" s="6" t="s">
        <v>1973</v>
      </c>
      <c r="F418" s="53" t="s">
        <v>70</v>
      </c>
      <c r="G418" s="52" t="s">
        <v>1079</v>
      </c>
      <c r="H418" s="53" t="s">
        <v>554</v>
      </c>
      <c r="I418" s="6" t="s">
        <v>554</v>
      </c>
      <c r="J418" s="53" t="s">
        <v>554</v>
      </c>
      <c r="K418" s="52"/>
      <c r="L418" s="52"/>
      <c r="M418" s="53" t="s">
        <v>554</v>
      </c>
      <c r="N418" s="204" t="str">
        <f aca="false">NonNV!$L$9</f>
        <v>無公開規格；沿用 v0.5「自研／其他 0.6（0.4–1.0）」</v>
      </c>
      <c r="O418" s="6" t="s">
        <v>554</v>
      </c>
      <c r="P418" s="52" t="s">
        <v>2307</v>
      </c>
      <c r="Q418" s="89" t="n">
        <f aca="false">NonNV!G9</f>
        <v>1</v>
      </c>
      <c r="R418" s="53" t="s">
        <v>554</v>
      </c>
      <c r="S418" s="83" t="str">
        <f aca="false">IF(OR($H418="—",$H418=""),"—",IF(ISNUMBER(MATCH($H418,SRC_HW!$A$5:$A$400,0)),INDEX(SRC_HW!$O$5:$O$400,MATCH($H418,SRC_HW!$A$5:$A$400,0)),IF(ISNUMBER(MATCH($H418,SRC_DC!$A$5:$A$400,0)),INDEX(SRC_DC!$O$5:$O$400,MATCH($H418,SRC_DC!$A$5:$A$400,0)),IF(ISNUMBER(MATCH($H418,SRC_Model!$A$5:$A$400,0)),INDEX(SRC_Model!$O$5:$O$400,MATCH($H418,SRC_Model!$A$5:$A$400,0)),IF(ISNUMBER(MATCH($H418,SRC_Perf!$A$5:$A$400,0)),INDEX(SRC_Perf!$O$5:$O$400,MATCH($H418,SRC_Perf!$A$5:$A$400,0)),"不存在")))))</f>
        <v>—</v>
      </c>
      <c r="T418" s="83" t="str">
        <f aca="false">IF(OR($H418="—",$H418=""),"—",IF(ISNUMBER(MATCH($H418,SRC_HW!$A$5:$A$400,0)),INDEX(SRC_HW!$K$5:$K$400,MATCH($H418,SRC_HW!$A$5:$A$400,0)),IF(ISNUMBER(MATCH($H418,SRC_DC!$A$5:$A$400,0)),INDEX(SRC_DC!$K$5:$K$400,MATCH($H418,SRC_DC!$A$5:$A$400,0)),IF(ISNUMBER(MATCH($H418,SRC_Model!$A$5:$A$400,0)),INDEX(SRC_Model!$K$5:$K$400,MATCH($H418,SRC_Model!$A$5:$A$400,0)),IF(ISNUMBER(MATCH($H418,SRC_Perf!$A$5:$A$400,0)),INDEX(SRC_Perf!$K$5:$K$400,MATCH($H418,SRC_Perf!$A$5:$A$400,0)),"不存在")))))</f>
        <v>—</v>
      </c>
      <c r="U418" s="52" t="s">
        <v>2302</v>
      </c>
      <c r="V418" s="103" t="n">
        <f aca="false">IF(AND($F418="原始數據",$U418&lt;&gt;"連結 SRC"),1,0)</f>
        <v>0</v>
      </c>
      <c r="W418" s="103" t="n">
        <f aca="false">IF(AND($F418="Analogy",OR($H418="—",$H418="")),1,0)</f>
        <v>0</v>
      </c>
      <c r="X418" s="103" t="n">
        <f aca="false">IF(AND(OR($F418="Analogy",$F418="Assumed"),$G418&lt;&gt;"低",$G418&lt;&gt;"高",NOT(ISNUMBER($K418)),NOT(ISNUMBER($L418)),OR($M418="—",$M418="")),1,0)</f>
        <v>0</v>
      </c>
      <c r="Y418" s="103" t="n">
        <f aca="false">IF(AND(OR($F418="Analogy",$F418="Assumed",$F418="Derived（待改公式）",$F418="Derived（公式）"),OR($N418="—",$N418="",$N418=0)),1,0)</f>
        <v>0</v>
      </c>
      <c r="Z418" s="103" t="n">
        <f aca="false">IF(AND($F418="Decision",OR($J418="—",$J418="")),1,0)</f>
        <v>0</v>
      </c>
      <c r="AA418" s="84" t="n">
        <f aca="false">IF(OR($J418="—",$J418=""),0,IF(COUNTIF(Decisions!$A$5:$A$300,$J418)=0,1,0))</f>
        <v>0</v>
      </c>
      <c r="AB418" s="103" t="n">
        <f aca="false">IF(AND($F418="原始數據",$S418&lt;&gt;"Active"),1,0)</f>
        <v>0</v>
      </c>
      <c r="AC418" s="103" t="n">
        <f aca="false">IF(AND(ISNUMBER($K418),ISNUMBER($L418),ISNUMBER($Q418)),IF(OR($Q418&lt;MIN($K418,$L418),$Q418&gt;MAX($K418,$L418)),1,0),0)</f>
        <v>0</v>
      </c>
      <c r="AD418" s="103" t="n">
        <f aca="false">IF(AND(ISNUMBER($T418),$P418="高"),IF($T418=3,1,0),0)</f>
        <v>0</v>
      </c>
      <c r="AE418" s="103" t="n">
        <f aca="false">IF(AND($S418="不存在",$B418="切片一"),1,0)</f>
        <v>0</v>
      </c>
    </row>
    <row r="419" customFormat="false" ht="15" hidden="false" customHeight="false" outlineLevel="0" collapsed="false">
      <c r="A419" s="53" t="s">
        <v>3222</v>
      </c>
      <c r="B419" s="52" t="s">
        <v>2297</v>
      </c>
      <c r="C419" s="53" t="s">
        <v>3223</v>
      </c>
      <c r="D419" s="53" t="s">
        <v>3224</v>
      </c>
      <c r="E419" s="5" t="s">
        <v>390</v>
      </c>
      <c r="F419" s="52" t="s">
        <v>3000</v>
      </c>
      <c r="G419" s="52" t="s">
        <v>3001</v>
      </c>
      <c r="H419" s="53" t="s">
        <v>554</v>
      </c>
      <c r="I419" s="6" t="s">
        <v>554</v>
      </c>
      <c r="J419" s="53" t="s">
        <v>554</v>
      </c>
      <c r="K419" s="52"/>
      <c r="L419" s="52"/>
      <c r="M419" s="53" t="s">
        <v>554</v>
      </c>
      <c r="N419" s="5" t="s">
        <v>3225</v>
      </c>
      <c r="O419" s="6" t="s">
        <v>554</v>
      </c>
      <c r="P419" s="53" t="s">
        <v>554</v>
      </c>
      <c r="Q419" s="83" t="s">
        <v>554</v>
      </c>
      <c r="R419" s="53" t="s">
        <v>554</v>
      </c>
      <c r="S419" s="83" t="str">
        <f aca="false">IF(OR($H419="—",$H419=""),"—",IF(ISNUMBER(MATCH($H419,SRC_HW!$A$5:$A$400,0)),INDEX(SRC_HW!$O$5:$O$400,MATCH($H419,SRC_HW!$A$5:$A$400,0)),IF(ISNUMBER(MATCH($H419,SRC_DC!$A$5:$A$400,0)),INDEX(SRC_DC!$O$5:$O$400,MATCH($H419,SRC_DC!$A$5:$A$400,0)),IF(ISNUMBER(MATCH($H419,SRC_Model!$A$5:$A$400,0)),INDEX(SRC_Model!$O$5:$O$400,MATCH($H419,SRC_Model!$A$5:$A$400,0)),IF(ISNUMBER(MATCH($H419,SRC_Perf!$A$5:$A$400,0)),INDEX(SRC_Perf!$O$5:$O$400,MATCH($H419,SRC_Perf!$A$5:$A$400,0)),"不存在")))))</f>
        <v>—</v>
      </c>
      <c r="T419" s="83" t="str">
        <f aca="false">IF(OR($H419="—",$H419=""),"—",IF(ISNUMBER(MATCH($H419,SRC_HW!$A$5:$A$400,0)),INDEX(SRC_HW!$K$5:$K$400,MATCH($H419,SRC_HW!$A$5:$A$400,0)),IF(ISNUMBER(MATCH($H419,SRC_DC!$A$5:$A$400,0)),INDEX(SRC_DC!$K$5:$K$400,MATCH($H419,SRC_DC!$A$5:$A$400,0)),IF(ISNUMBER(MATCH($H419,SRC_Model!$A$5:$A$400,0)),INDEX(SRC_Model!$K$5:$K$400,MATCH($H419,SRC_Model!$A$5:$A$400,0)),IF(ISNUMBER(MATCH($H419,SRC_Perf!$A$5:$A$400,0)),INDEX(SRC_Perf!$K$5:$K$400,MATCH($H419,SRC_Perf!$A$5:$A$400,0)),"不存在")))))</f>
        <v>—</v>
      </c>
      <c r="U419" s="53" t="s">
        <v>554</v>
      </c>
      <c r="V419" s="103" t="n">
        <f aca="false">IF(AND($F419="原始數據",$U419&lt;&gt;"連結 SRC"),1,0)</f>
        <v>0</v>
      </c>
      <c r="W419" s="103" t="n">
        <f aca="false">IF(AND($F419="Analogy",OR($H419="—",$H419="")),1,0)</f>
        <v>0</v>
      </c>
      <c r="X419" s="103" t="n">
        <f aca="false">IF(AND(OR($F419="Analogy",$F419="Assumed"),$G419&lt;&gt;"低",$G419&lt;&gt;"高",NOT(ISNUMBER($K419)),NOT(ISNUMBER($L419)),OR($M419="—",$M419="")),1,0)</f>
        <v>0</v>
      </c>
      <c r="Y419" s="103" t="n">
        <f aca="false">IF(AND(OR($F419="Analogy",$F419="Assumed",$F419="Derived（待改公式）",$F419="Derived（公式）"),OR($N419="—",$N419="",$N419=0)),1,0)</f>
        <v>0</v>
      </c>
      <c r="Z419" s="103" t="n">
        <f aca="false">IF(AND($F419="Decision",OR($J419="—",$J419="")),1,0)</f>
        <v>0</v>
      </c>
      <c r="AA419" s="84" t="n">
        <f aca="false">IF(OR($J419="—",$J419=""),0,IF(COUNTIF(Decisions!$A$5:$A$300,$J419)=0,1,0))</f>
        <v>0</v>
      </c>
      <c r="AB419" s="103" t="n">
        <f aca="false">IF(AND($F419="原始數據",$S419&lt;&gt;"Active"),1,0)</f>
        <v>0</v>
      </c>
      <c r="AC419" s="103" t="n">
        <f aca="false">IF(AND(ISNUMBER($K419),ISNUMBER($L419),ISNUMBER($Q419)),IF(OR($Q419&lt;MIN($K419,$L419),$Q419&gt;MAX($K419,$L419)),1,0),0)</f>
        <v>0</v>
      </c>
      <c r="AD419" s="103" t="n">
        <f aca="false">IF(AND(ISNUMBER($T419),$P419="高"),IF($T419=3,1,0),0)</f>
        <v>0</v>
      </c>
      <c r="AE419" s="103" t="n">
        <f aca="false">IF(AND($S419="不存在",$B419="切片一"),1,0)</f>
        <v>0</v>
      </c>
    </row>
    <row r="420" customFormat="false" ht="15" hidden="false" customHeight="false" outlineLevel="0" collapsed="false">
      <c r="A420" s="53" t="s">
        <v>3226</v>
      </c>
      <c r="B420" s="52" t="s">
        <v>2297</v>
      </c>
      <c r="C420" s="53" t="s">
        <v>3223</v>
      </c>
      <c r="D420" s="53" t="s">
        <v>3227</v>
      </c>
      <c r="E420" s="5" t="s">
        <v>654</v>
      </c>
      <c r="F420" s="52" t="s">
        <v>3000</v>
      </c>
      <c r="G420" s="52" t="s">
        <v>3001</v>
      </c>
      <c r="H420" s="53" t="s">
        <v>554</v>
      </c>
      <c r="I420" s="6" t="s">
        <v>554</v>
      </c>
      <c r="J420" s="53" t="s">
        <v>554</v>
      </c>
      <c r="K420" s="52"/>
      <c r="L420" s="52"/>
      <c r="M420" s="53" t="s">
        <v>554</v>
      </c>
      <c r="N420" s="5" t="s">
        <v>3225</v>
      </c>
      <c r="O420" s="6" t="s">
        <v>554</v>
      </c>
      <c r="P420" s="53" t="s">
        <v>554</v>
      </c>
      <c r="Q420" s="83" t="s">
        <v>554</v>
      </c>
      <c r="R420" s="53" t="s">
        <v>554</v>
      </c>
      <c r="S420" s="83" t="str">
        <f aca="false">IF(OR($H420="—",$H420=""),"—",IF(ISNUMBER(MATCH($H420,SRC_HW!$A$5:$A$400,0)),INDEX(SRC_HW!$O$5:$O$400,MATCH($H420,SRC_HW!$A$5:$A$400,0)),IF(ISNUMBER(MATCH($H420,SRC_DC!$A$5:$A$400,0)),INDEX(SRC_DC!$O$5:$O$400,MATCH($H420,SRC_DC!$A$5:$A$400,0)),IF(ISNUMBER(MATCH($H420,SRC_Model!$A$5:$A$400,0)),INDEX(SRC_Model!$O$5:$O$400,MATCH($H420,SRC_Model!$A$5:$A$400,0)),IF(ISNUMBER(MATCH($H420,SRC_Perf!$A$5:$A$400,0)),INDEX(SRC_Perf!$O$5:$O$400,MATCH($H420,SRC_Perf!$A$5:$A$400,0)),"不存在")))))</f>
        <v>—</v>
      </c>
      <c r="T420" s="83" t="str">
        <f aca="false">IF(OR($H420="—",$H420=""),"—",IF(ISNUMBER(MATCH($H420,SRC_HW!$A$5:$A$400,0)),INDEX(SRC_HW!$K$5:$K$400,MATCH($H420,SRC_HW!$A$5:$A$400,0)),IF(ISNUMBER(MATCH($H420,SRC_DC!$A$5:$A$400,0)),INDEX(SRC_DC!$K$5:$K$400,MATCH($H420,SRC_DC!$A$5:$A$400,0)),IF(ISNUMBER(MATCH($H420,SRC_Model!$A$5:$A$400,0)),INDEX(SRC_Model!$K$5:$K$400,MATCH($H420,SRC_Model!$A$5:$A$400,0)),IF(ISNUMBER(MATCH($H420,SRC_Perf!$A$5:$A$400,0)),INDEX(SRC_Perf!$K$5:$K$400,MATCH($H420,SRC_Perf!$A$5:$A$400,0)),"不存在")))))</f>
        <v>—</v>
      </c>
      <c r="U420" s="53" t="s">
        <v>554</v>
      </c>
      <c r="V420" s="103" t="n">
        <f aca="false">IF(AND($F420="原始數據",$U420&lt;&gt;"連結 SRC"),1,0)</f>
        <v>0</v>
      </c>
      <c r="W420" s="103" t="n">
        <f aca="false">IF(AND($F420="Analogy",OR($H420="—",$H420="")),1,0)</f>
        <v>0</v>
      </c>
      <c r="X420" s="103" t="n">
        <f aca="false">IF(AND(OR($F420="Analogy",$F420="Assumed"),$G420&lt;&gt;"低",$G420&lt;&gt;"高",NOT(ISNUMBER($K420)),NOT(ISNUMBER($L420)),OR($M420="—",$M420="")),1,0)</f>
        <v>0</v>
      </c>
      <c r="Y420" s="103" t="n">
        <f aca="false">IF(AND(OR($F420="Analogy",$F420="Assumed",$F420="Derived（待改公式）",$F420="Derived（公式）"),OR($N420="—",$N420="",$N420=0)),1,0)</f>
        <v>0</v>
      </c>
      <c r="Z420" s="103" t="n">
        <f aca="false">IF(AND($F420="Decision",OR($J420="—",$J420="")),1,0)</f>
        <v>0</v>
      </c>
      <c r="AA420" s="84" t="n">
        <f aca="false">IF(OR($J420="—",$J420=""),0,IF(COUNTIF(Decisions!$A$5:$A$300,$J420)=0,1,0))</f>
        <v>0</v>
      </c>
      <c r="AB420" s="103" t="n">
        <f aca="false">IF(AND($F420="原始數據",$S420&lt;&gt;"Active"),1,0)</f>
        <v>0</v>
      </c>
      <c r="AC420" s="103" t="n">
        <f aca="false">IF(AND(ISNUMBER($K420),ISNUMBER($L420),ISNUMBER($Q420)),IF(OR($Q420&lt;MIN($K420,$L420),$Q420&gt;MAX($K420,$L420)),1,0),0)</f>
        <v>0</v>
      </c>
      <c r="AD420" s="103" t="n">
        <f aca="false">IF(AND(ISNUMBER($T420),$P420="高"),IF($T420=3,1,0),0)</f>
        <v>0</v>
      </c>
      <c r="AE420" s="103" t="n">
        <f aca="false">IF(AND($S420="不存在",$B420="切片一"),1,0)</f>
        <v>0</v>
      </c>
    </row>
    <row r="421" customFormat="false" ht="15" hidden="false" customHeight="false" outlineLevel="0" collapsed="false">
      <c r="A421" s="53" t="s">
        <v>3228</v>
      </c>
      <c r="B421" s="52" t="s">
        <v>2297</v>
      </c>
      <c r="C421" s="53" t="s">
        <v>2062</v>
      </c>
      <c r="D421" s="53" t="s">
        <v>3229</v>
      </c>
      <c r="E421" s="5" t="s">
        <v>390</v>
      </c>
      <c r="F421" s="52" t="s">
        <v>3000</v>
      </c>
      <c r="G421" s="52" t="s">
        <v>3001</v>
      </c>
      <c r="H421" s="53" t="s">
        <v>554</v>
      </c>
      <c r="I421" s="6" t="s">
        <v>554</v>
      </c>
      <c r="J421" s="53" t="s">
        <v>554</v>
      </c>
      <c r="K421" s="52"/>
      <c r="L421" s="52"/>
      <c r="M421" s="53" t="s">
        <v>554</v>
      </c>
      <c r="N421" s="5" t="s">
        <v>3225</v>
      </c>
      <c r="O421" s="6" t="s">
        <v>554</v>
      </c>
      <c r="P421" s="53" t="s">
        <v>554</v>
      </c>
      <c r="Q421" s="83" t="s">
        <v>554</v>
      </c>
      <c r="R421" s="53" t="s">
        <v>554</v>
      </c>
      <c r="S421" s="83" t="str">
        <f aca="false">IF(OR($H421="—",$H421=""),"—",IF(ISNUMBER(MATCH($H421,SRC_HW!$A$5:$A$400,0)),INDEX(SRC_HW!$O$5:$O$400,MATCH($H421,SRC_HW!$A$5:$A$400,0)),IF(ISNUMBER(MATCH($H421,SRC_DC!$A$5:$A$400,0)),INDEX(SRC_DC!$O$5:$O$400,MATCH($H421,SRC_DC!$A$5:$A$400,0)),IF(ISNUMBER(MATCH($H421,SRC_Model!$A$5:$A$400,0)),INDEX(SRC_Model!$O$5:$O$400,MATCH($H421,SRC_Model!$A$5:$A$400,0)),IF(ISNUMBER(MATCH($H421,SRC_Perf!$A$5:$A$400,0)),INDEX(SRC_Perf!$O$5:$O$400,MATCH($H421,SRC_Perf!$A$5:$A$400,0)),"不存在")))))</f>
        <v>—</v>
      </c>
      <c r="T421" s="83" t="str">
        <f aca="false">IF(OR($H421="—",$H421=""),"—",IF(ISNUMBER(MATCH($H421,SRC_HW!$A$5:$A$400,0)),INDEX(SRC_HW!$K$5:$K$400,MATCH($H421,SRC_HW!$A$5:$A$400,0)),IF(ISNUMBER(MATCH($H421,SRC_DC!$A$5:$A$400,0)),INDEX(SRC_DC!$K$5:$K$400,MATCH($H421,SRC_DC!$A$5:$A$400,0)),IF(ISNUMBER(MATCH($H421,SRC_Model!$A$5:$A$400,0)),INDEX(SRC_Model!$K$5:$K$400,MATCH($H421,SRC_Model!$A$5:$A$400,0)),IF(ISNUMBER(MATCH($H421,SRC_Perf!$A$5:$A$400,0)),INDEX(SRC_Perf!$K$5:$K$400,MATCH($H421,SRC_Perf!$A$5:$A$400,0)),"不存在")))))</f>
        <v>—</v>
      </c>
      <c r="U421" s="53" t="s">
        <v>554</v>
      </c>
      <c r="V421" s="103" t="n">
        <f aca="false">IF(AND($F421="原始數據",$U421&lt;&gt;"連結 SRC"),1,0)</f>
        <v>0</v>
      </c>
      <c r="W421" s="103" t="n">
        <f aca="false">IF(AND($F421="Analogy",OR($H421="—",$H421="")),1,0)</f>
        <v>0</v>
      </c>
      <c r="X421" s="103" t="n">
        <f aca="false">IF(AND(OR($F421="Analogy",$F421="Assumed"),$G421&lt;&gt;"低",$G421&lt;&gt;"高",NOT(ISNUMBER($K421)),NOT(ISNUMBER($L421)),OR($M421="—",$M421="")),1,0)</f>
        <v>0</v>
      </c>
      <c r="Y421" s="103" t="n">
        <f aca="false">IF(AND(OR($F421="Analogy",$F421="Assumed",$F421="Derived（待改公式）",$F421="Derived（公式）"),OR($N421="—",$N421="",$N421=0)),1,0)</f>
        <v>0</v>
      </c>
      <c r="Z421" s="103" t="n">
        <f aca="false">IF(AND($F421="Decision",OR($J421="—",$J421="")),1,0)</f>
        <v>0</v>
      </c>
      <c r="AA421" s="84" t="n">
        <f aca="false">IF(OR($J421="—",$J421=""),0,IF(COUNTIF(Decisions!$A$5:$A$300,$J421)=0,1,0))</f>
        <v>0</v>
      </c>
      <c r="AB421" s="103" t="n">
        <f aca="false">IF(AND($F421="原始數據",$S421&lt;&gt;"Active"),1,0)</f>
        <v>0</v>
      </c>
      <c r="AC421" s="103" t="n">
        <f aca="false">IF(AND(ISNUMBER($K421),ISNUMBER($L421),ISNUMBER($Q421)),IF(OR($Q421&lt;MIN($K421,$L421),$Q421&gt;MAX($K421,$L421)),1,0),0)</f>
        <v>0</v>
      </c>
      <c r="AD421" s="103" t="n">
        <f aca="false">IF(AND(ISNUMBER($T421),$P421="高"),IF($T421=3,1,0),0)</f>
        <v>0</v>
      </c>
      <c r="AE421" s="103" t="n">
        <f aca="false">IF(AND($S421="不存在",$B421="切片一"),1,0)</f>
        <v>0</v>
      </c>
    </row>
    <row r="422" customFormat="false" ht="15" hidden="false" customHeight="false" outlineLevel="0" collapsed="false">
      <c r="A422" s="53" t="s">
        <v>3230</v>
      </c>
      <c r="B422" s="52" t="s">
        <v>2297</v>
      </c>
      <c r="C422" s="53" t="s">
        <v>2062</v>
      </c>
      <c r="D422" s="53" t="s">
        <v>3231</v>
      </c>
      <c r="E422" s="5" t="s">
        <v>654</v>
      </c>
      <c r="F422" s="52" t="s">
        <v>3000</v>
      </c>
      <c r="G422" s="52" t="s">
        <v>3001</v>
      </c>
      <c r="H422" s="53" t="s">
        <v>554</v>
      </c>
      <c r="I422" s="6" t="s">
        <v>554</v>
      </c>
      <c r="J422" s="53" t="s">
        <v>554</v>
      </c>
      <c r="K422" s="52"/>
      <c r="L422" s="52"/>
      <c r="M422" s="53" t="s">
        <v>554</v>
      </c>
      <c r="N422" s="5" t="s">
        <v>3225</v>
      </c>
      <c r="O422" s="6" t="s">
        <v>554</v>
      </c>
      <c r="P422" s="53" t="s">
        <v>554</v>
      </c>
      <c r="Q422" s="83" t="s">
        <v>554</v>
      </c>
      <c r="R422" s="53" t="s">
        <v>554</v>
      </c>
      <c r="S422" s="83" t="str">
        <f aca="false">IF(OR($H422="—",$H422=""),"—",IF(ISNUMBER(MATCH($H422,SRC_HW!$A$5:$A$400,0)),INDEX(SRC_HW!$O$5:$O$400,MATCH($H422,SRC_HW!$A$5:$A$400,0)),IF(ISNUMBER(MATCH($H422,SRC_DC!$A$5:$A$400,0)),INDEX(SRC_DC!$O$5:$O$400,MATCH($H422,SRC_DC!$A$5:$A$400,0)),IF(ISNUMBER(MATCH($H422,SRC_Model!$A$5:$A$400,0)),INDEX(SRC_Model!$O$5:$O$400,MATCH($H422,SRC_Model!$A$5:$A$400,0)),IF(ISNUMBER(MATCH($H422,SRC_Perf!$A$5:$A$400,0)),INDEX(SRC_Perf!$O$5:$O$400,MATCH($H422,SRC_Perf!$A$5:$A$400,0)),"不存在")))))</f>
        <v>—</v>
      </c>
      <c r="T422" s="83" t="str">
        <f aca="false">IF(OR($H422="—",$H422=""),"—",IF(ISNUMBER(MATCH($H422,SRC_HW!$A$5:$A$400,0)),INDEX(SRC_HW!$K$5:$K$400,MATCH($H422,SRC_HW!$A$5:$A$400,0)),IF(ISNUMBER(MATCH($H422,SRC_DC!$A$5:$A$400,0)),INDEX(SRC_DC!$K$5:$K$400,MATCH($H422,SRC_DC!$A$5:$A$400,0)),IF(ISNUMBER(MATCH($H422,SRC_Model!$A$5:$A$400,0)),INDEX(SRC_Model!$K$5:$K$400,MATCH($H422,SRC_Model!$A$5:$A$400,0)),IF(ISNUMBER(MATCH($H422,SRC_Perf!$A$5:$A$400,0)),INDEX(SRC_Perf!$K$5:$K$400,MATCH($H422,SRC_Perf!$A$5:$A$400,0)),"不存在")))))</f>
        <v>—</v>
      </c>
      <c r="U422" s="53" t="s">
        <v>554</v>
      </c>
      <c r="V422" s="103" t="n">
        <f aca="false">IF(AND($F422="原始數據",$U422&lt;&gt;"連結 SRC"),1,0)</f>
        <v>0</v>
      </c>
      <c r="W422" s="103" t="n">
        <f aca="false">IF(AND($F422="Analogy",OR($H422="—",$H422="")),1,0)</f>
        <v>0</v>
      </c>
      <c r="X422" s="103" t="n">
        <f aca="false">IF(AND(OR($F422="Analogy",$F422="Assumed"),$G422&lt;&gt;"低",$G422&lt;&gt;"高",NOT(ISNUMBER($K422)),NOT(ISNUMBER($L422)),OR($M422="—",$M422="")),1,0)</f>
        <v>0</v>
      </c>
      <c r="Y422" s="103" t="n">
        <f aca="false">IF(AND(OR($F422="Analogy",$F422="Assumed",$F422="Derived（待改公式）",$F422="Derived（公式）"),OR($N422="—",$N422="",$N422=0)),1,0)</f>
        <v>0</v>
      </c>
      <c r="Z422" s="103" t="n">
        <f aca="false">IF(AND($F422="Decision",OR($J422="—",$J422="")),1,0)</f>
        <v>0</v>
      </c>
      <c r="AA422" s="84" t="n">
        <f aca="false">IF(OR($J422="—",$J422=""),0,IF(COUNTIF(Decisions!$A$5:$A$300,$J422)=0,1,0))</f>
        <v>0</v>
      </c>
      <c r="AB422" s="103" t="n">
        <f aca="false">IF(AND($F422="原始數據",$S422&lt;&gt;"Active"),1,0)</f>
        <v>0</v>
      </c>
      <c r="AC422" s="103" t="n">
        <f aca="false">IF(AND(ISNUMBER($K422),ISNUMBER($L422),ISNUMBER($Q422)),IF(OR($Q422&lt;MIN($K422,$L422),$Q422&gt;MAX($K422,$L422)),1,0),0)</f>
        <v>0</v>
      </c>
      <c r="AD422" s="103" t="n">
        <f aca="false">IF(AND(ISNUMBER($T422),$P422="高"),IF($T422=3,1,0),0)</f>
        <v>0</v>
      </c>
      <c r="AE422" s="103" t="n">
        <f aca="false">IF(AND($S422="不存在",$B422="切片一"),1,0)</f>
        <v>0</v>
      </c>
    </row>
    <row r="423" customFormat="false" ht="15" hidden="false" customHeight="false" outlineLevel="0" collapsed="false">
      <c r="A423" s="53" t="s">
        <v>3232</v>
      </c>
      <c r="B423" s="52" t="s">
        <v>2297</v>
      </c>
      <c r="C423" s="53" t="s">
        <v>2062</v>
      </c>
      <c r="D423" s="53" t="s">
        <v>3233</v>
      </c>
      <c r="E423" s="5" t="s">
        <v>413</v>
      </c>
      <c r="F423" s="52" t="s">
        <v>3102</v>
      </c>
      <c r="G423" s="52" t="s">
        <v>3001</v>
      </c>
      <c r="H423" s="53" t="s">
        <v>554</v>
      </c>
      <c r="I423" s="6" t="s">
        <v>554</v>
      </c>
      <c r="J423" s="53" t="s">
        <v>554</v>
      </c>
      <c r="K423" s="52"/>
      <c r="L423" s="52"/>
      <c r="M423" s="53" t="s">
        <v>554</v>
      </c>
      <c r="N423" s="5" t="s">
        <v>3234</v>
      </c>
      <c r="O423" s="6" t="s">
        <v>554</v>
      </c>
      <c r="P423" s="53" t="s">
        <v>554</v>
      </c>
      <c r="Q423" s="86" t="n">
        <f aca="false">Sens_Perf!M14</f>
        <v>50</v>
      </c>
      <c r="R423" s="53" t="s">
        <v>554</v>
      </c>
      <c r="S423" s="83" t="str">
        <f aca="false">IF(OR($H423="—",$H423=""),"—",IF(ISNUMBER(MATCH($H423,SRC_HW!$A$5:$A$400,0)),INDEX(SRC_HW!$O$5:$O$400,MATCH($H423,SRC_HW!$A$5:$A$400,0)),IF(ISNUMBER(MATCH($H423,SRC_DC!$A$5:$A$400,0)),INDEX(SRC_DC!$O$5:$O$400,MATCH($H423,SRC_DC!$A$5:$A$400,0)),IF(ISNUMBER(MATCH($H423,SRC_Model!$A$5:$A$400,0)),INDEX(SRC_Model!$O$5:$O$400,MATCH($H423,SRC_Model!$A$5:$A$400,0)),IF(ISNUMBER(MATCH($H423,SRC_Perf!$A$5:$A$400,0)),INDEX(SRC_Perf!$O$5:$O$400,MATCH($H423,SRC_Perf!$A$5:$A$400,0)),"不存在")))))</f>
        <v>—</v>
      </c>
      <c r="T423" s="83" t="str">
        <f aca="false">IF(OR($H423="—",$H423=""),"—",IF(ISNUMBER(MATCH($H423,SRC_HW!$A$5:$A$400,0)),INDEX(SRC_HW!$K$5:$K$400,MATCH($H423,SRC_HW!$A$5:$A$400,0)),IF(ISNUMBER(MATCH($H423,SRC_DC!$A$5:$A$400,0)),INDEX(SRC_DC!$K$5:$K$400,MATCH($H423,SRC_DC!$A$5:$A$400,0)),IF(ISNUMBER(MATCH($H423,SRC_Model!$A$5:$A$400,0)),INDEX(SRC_Model!$K$5:$K$400,MATCH($H423,SRC_Model!$A$5:$A$400,0)),IF(ISNUMBER(MATCH($H423,SRC_Perf!$A$5:$A$400,0)),INDEX(SRC_Perf!$K$5:$K$400,MATCH($H423,SRC_Perf!$A$5:$A$400,0)),"不存在")))))</f>
        <v>—</v>
      </c>
      <c r="U423" s="52" t="s">
        <v>2302</v>
      </c>
      <c r="V423" s="103" t="n">
        <f aca="false">IF(AND($F423="原始數據",$U423&lt;&gt;"連結 SRC"),1,0)</f>
        <v>0</v>
      </c>
      <c r="W423" s="103" t="n">
        <f aca="false">IF(AND($F423="Analogy",OR($H423="—",$H423="")),1,0)</f>
        <v>0</v>
      </c>
      <c r="X423" s="103" t="n">
        <f aca="false">IF(AND(OR($F423="Analogy",$F423="Assumed"),$G423&lt;&gt;"低",$G423&lt;&gt;"高",NOT(ISNUMBER($K423)),NOT(ISNUMBER($L423)),OR($M423="—",$M423="")),1,0)</f>
        <v>0</v>
      </c>
      <c r="Y423" s="103" t="n">
        <f aca="false">IF(AND(OR($F423="Analogy",$F423="Assumed",$F423="Derived（待改公式）",$F423="Derived（公式）"),OR($N423="—",$N423="",$N423=0)),1,0)</f>
        <v>0</v>
      </c>
      <c r="Z423" s="103" t="n">
        <f aca="false">IF(AND($F423="Decision",OR($J423="—",$J423="")),1,0)</f>
        <v>0</v>
      </c>
      <c r="AA423" s="84" t="n">
        <f aca="false">IF(OR($J423="—",$J423=""),0,IF(COUNTIF(Decisions!$A$5:$A$300,$J423)=0,1,0))</f>
        <v>0</v>
      </c>
      <c r="AB423" s="103" t="n">
        <f aca="false">IF(AND($F423="原始數據",$S423&lt;&gt;"Active"),1,0)</f>
        <v>0</v>
      </c>
      <c r="AC423" s="103" t="n">
        <f aca="false">IF(AND(ISNUMBER($K423),ISNUMBER($L423),ISNUMBER($Q423)),IF(OR($Q423&lt;MIN($K423,$L423),$Q423&gt;MAX($K423,$L423)),1,0),0)</f>
        <v>0</v>
      </c>
      <c r="AD423" s="103" t="n">
        <f aca="false">IF(AND(ISNUMBER($T423),$P423="高"),IF($T423=3,1,0),0)</f>
        <v>0</v>
      </c>
      <c r="AE423" s="103" t="n">
        <f aca="false">IF(AND($S423="不存在",$B423="切片一"),1,0)</f>
        <v>0</v>
      </c>
    </row>
    <row r="424" customFormat="false" ht="15" hidden="false" customHeight="false" outlineLevel="0" collapsed="false">
      <c r="A424" s="53" t="s">
        <v>3235</v>
      </c>
      <c r="B424" s="52" t="s">
        <v>2297</v>
      </c>
      <c r="C424" s="53" t="s">
        <v>2062</v>
      </c>
      <c r="D424" s="53" t="s">
        <v>3236</v>
      </c>
      <c r="E424" s="6" t="s">
        <v>311</v>
      </c>
      <c r="F424" s="52" t="s">
        <v>3102</v>
      </c>
      <c r="G424" s="52" t="s">
        <v>3001</v>
      </c>
      <c r="H424" s="53" t="s">
        <v>554</v>
      </c>
      <c r="I424" s="6" t="s">
        <v>554</v>
      </c>
      <c r="J424" s="53" t="s">
        <v>554</v>
      </c>
      <c r="K424" s="52"/>
      <c r="L424" s="52"/>
      <c r="M424" s="53" t="s">
        <v>554</v>
      </c>
      <c r="N424" s="5" t="s">
        <v>3234</v>
      </c>
      <c r="O424" s="6" t="s">
        <v>554</v>
      </c>
      <c r="P424" s="53" t="s">
        <v>554</v>
      </c>
      <c r="Q424" s="83" t="s">
        <v>554</v>
      </c>
      <c r="R424" s="53" t="s">
        <v>554</v>
      </c>
      <c r="S424" s="83" t="str">
        <f aca="false">IF(OR($H424="—",$H424=""),"—",IF(ISNUMBER(MATCH($H424,SRC_HW!$A$5:$A$400,0)),INDEX(SRC_HW!$O$5:$O$400,MATCH($H424,SRC_HW!$A$5:$A$400,0)),IF(ISNUMBER(MATCH($H424,SRC_DC!$A$5:$A$400,0)),INDEX(SRC_DC!$O$5:$O$400,MATCH($H424,SRC_DC!$A$5:$A$400,0)),IF(ISNUMBER(MATCH($H424,SRC_Model!$A$5:$A$400,0)),INDEX(SRC_Model!$O$5:$O$400,MATCH($H424,SRC_Model!$A$5:$A$400,0)),IF(ISNUMBER(MATCH($H424,SRC_Perf!$A$5:$A$400,0)),INDEX(SRC_Perf!$O$5:$O$400,MATCH($H424,SRC_Perf!$A$5:$A$400,0)),"不存在")))))</f>
        <v>—</v>
      </c>
      <c r="T424" s="83" t="str">
        <f aca="false">IF(OR($H424="—",$H424=""),"—",IF(ISNUMBER(MATCH($H424,SRC_HW!$A$5:$A$400,0)),INDEX(SRC_HW!$K$5:$K$400,MATCH($H424,SRC_HW!$A$5:$A$400,0)),IF(ISNUMBER(MATCH($H424,SRC_DC!$A$5:$A$400,0)),INDEX(SRC_DC!$K$5:$K$400,MATCH($H424,SRC_DC!$A$5:$A$400,0)),IF(ISNUMBER(MATCH($H424,SRC_Model!$A$5:$A$400,0)),INDEX(SRC_Model!$K$5:$K$400,MATCH($H424,SRC_Model!$A$5:$A$400,0)),IF(ISNUMBER(MATCH($H424,SRC_Perf!$A$5:$A$400,0)),INDEX(SRC_Perf!$K$5:$K$400,MATCH($H424,SRC_Perf!$A$5:$A$400,0)),"不存在")))))</f>
        <v>—</v>
      </c>
      <c r="U424" s="53" t="s">
        <v>554</v>
      </c>
      <c r="V424" s="103" t="n">
        <f aca="false">IF(AND($F424="原始數據",$U424&lt;&gt;"連結 SRC"),1,0)</f>
        <v>0</v>
      </c>
      <c r="W424" s="103" t="n">
        <f aca="false">IF(AND($F424="Analogy",OR($H424="—",$H424="")),1,0)</f>
        <v>0</v>
      </c>
      <c r="X424" s="103" t="n">
        <f aca="false">IF(AND(OR($F424="Analogy",$F424="Assumed"),$G424&lt;&gt;"低",$G424&lt;&gt;"高",NOT(ISNUMBER($K424)),NOT(ISNUMBER($L424)),OR($M424="—",$M424="")),1,0)</f>
        <v>0</v>
      </c>
      <c r="Y424" s="103" t="n">
        <f aca="false">IF(AND(OR($F424="Analogy",$F424="Assumed",$F424="Derived（待改公式）",$F424="Derived（公式）"),OR($N424="—",$N424="",$N424=0)),1,0)</f>
        <v>0</v>
      </c>
      <c r="Z424" s="103" t="n">
        <f aca="false">IF(AND($F424="Decision",OR($J424="—",$J424="")),1,0)</f>
        <v>0</v>
      </c>
      <c r="AA424" s="84" t="n">
        <f aca="false">IF(OR($J424="—",$J424=""),0,IF(COUNTIF(Decisions!$A$5:$A$300,$J424)=0,1,0))</f>
        <v>0</v>
      </c>
      <c r="AB424" s="103" t="n">
        <f aca="false">IF(AND($F424="原始數據",$S424&lt;&gt;"Active"),1,0)</f>
        <v>0</v>
      </c>
      <c r="AC424" s="103" t="n">
        <f aca="false">IF(AND(ISNUMBER($K424),ISNUMBER($L424),ISNUMBER($Q424)),IF(OR($Q424&lt;MIN($K424,$L424),$Q424&gt;MAX($K424,$L424)),1,0),0)</f>
        <v>0</v>
      </c>
      <c r="AD424" s="103" t="n">
        <f aca="false">IF(AND(ISNUMBER($T424),$P424="高"),IF($T424=3,1,0),0)</f>
        <v>0</v>
      </c>
      <c r="AE424" s="103" t="n">
        <f aca="false">IF(AND($S424="不存在",$B424="切片一"),1,0)</f>
        <v>0</v>
      </c>
    </row>
    <row r="425" customFormat="false" ht="15" hidden="false" customHeight="false" outlineLevel="0" collapsed="false">
      <c r="A425" s="53" t="s">
        <v>3237</v>
      </c>
      <c r="B425" s="52" t="s">
        <v>2297</v>
      </c>
      <c r="C425" s="53" t="s">
        <v>2062</v>
      </c>
      <c r="D425" s="53" t="s">
        <v>3238</v>
      </c>
      <c r="E425" s="5" t="s">
        <v>681</v>
      </c>
      <c r="F425" s="52" t="s">
        <v>3102</v>
      </c>
      <c r="G425" s="52" t="s">
        <v>3001</v>
      </c>
      <c r="H425" s="53" t="s">
        <v>554</v>
      </c>
      <c r="I425" s="6" t="s">
        <v>554</v>
      </c>
      <c r="J425" s="53" t="s">
        <v>554</v>
      </c>
      <c r="K425" s="52"/>
      <c r="L425" s="52"/>
      <c r="M425" s="53" t="s">
        <v>554</v>
      </c>
      <c r="N425" s="5" t="s">
        <v>3234</v>
      </c>
      <c r="O425" s="6" t="s">
        <v>554</v>
      </c>
      <c r="P425" s="53" t="s">
        <v>554</v>
      </c>
      <c r="Q425" s="83" t="s">
        <v>554</v>
      </c>
      <c r="R425" s="53" t="s">
        <v>554</v>
      </c>
      <c r="S425" s="83" t="str">
        <f aca="false">IF(OR($H425="—",$H425=""),"—",IF(ISNUMBER(MATCH($H425,SRC_HW!$A$5:$A$400,0)),INDEX(SRC_HW!$O$5:$O$400,MATCH($H425,SRC_HW!$A$5:$A$400,0)),IF(ISNUMBER(MATCH($H425,SRC_DC!$A$5:$A$400,0)),INDEX(SRC_DC!$O$5:$O$400,MATCH($H425,SRC_DC!$A$5:$A$400,0)),IF(ISNUMBER(MATCH($H425,SRC_Model!$A$5:$A$400,0)),INDEX(SRC_Model!$O$5:$O$400,MATCH($H425,SRC_Model!$A$5:$A$400,0)),IF(ISNUMBER(MATCH($H425,SRC_Perf!$A$5:$A$400,0)),INDEX(SRC_Perf!$O$5:$O$400,MATCH($H425,SRC_Perf!$A$5:$A$400,0)),"不存在")))))</f>
        <v>—</v>
      </c>
      <c r="T425" s="83" t="str">
        <f aca="false">IF(OR($H425="—",$H425=""),"—",IF(ISNUMBER(MATCH($H425,SRC_HW!$A$5:$A$400,0)),INDEX(SRC_HW!$K$5:$K$400,MATCH($H425,SRC_HW!$A$5:$A$400,0)),IF(ISNUMBER(MATCH($H425,SRC_DC!$A$5:$A$400,0)),INDEX(SRC_DC!$K$5:$K$400,MATCH($H425,SRC_DC!$A$5:$A$400,0)),IF(ISNUMBER(MATCH($H425,SRC_Model!$A$5:$A$400,0)),INDEX(SRC_Model!$K$5:$K$400,MATCH($H425,SRC_Model!$A$5:$A$400,0)),IF(ISNUMBER(MATCH($H425,SRC_Perf!$A$5:$A$400,0)),INDEX(SRC_Perf!$K$5:$K$400,MATCH($H425,SRC_Perf!$A$5:$A$400,0)),"不存在")))))</f>
        <v>—</v>
      </c>
      <c r="U425" s="53" t="s">
        <v>554</v>
      </c>
      <c r="V425" s="103" t="n">
        <f aca="false">IF(AND($F425="原始數據",$U425&lt;&gt;"連結 SRC"),1,0)</f>
        <v>0</v>
      </c>
      <c r="W425" s="103" t="n">
        <f aca="false">IF(AND($F425="Analogy",OR($H425="—",$H425="")),1,0)</f>
        <v>0</v>
      </c>
      <c r="X425" s="103" t="n">
        <f aca="false">IF(AND(OR($F425="Analogy",$F425="Assumed"),$G425&lt;&gt;"低",$G425&lt;&gt;"高",NOT(ISNUMBER($K425)),NOT(ISNUMBER($L425)),OR($M425="—",$M425="")),1,0)</f>
        <v>0</v>
      </c>
      <c r="Y425" s="103" t="n">
        <f aca="false">IF(AND(OR($F425="Analogy",$F425="Assumed",$F425="Derived（待改公式）",$F425="Derived（公式）"),OR($N425="—",$N425="",$N425=0)),1,0)</f>
        <v>0</v>
      </c>
      <c r="Z425" s="103" t="n">
        <f aca="false">IF(AND($F425="Decision",OR($J425="—",$J425="")),1,0)</f>
        <v>0</v>
      </c>
      <c r="AA425" s="84" t="n">
        <f aca="false">IF(OR($J425="—",$J425=""),0,IF(COUNTIF(Decisions!$A$5:$A$300,$J425)=0,1,0))</f>
        <v>0</v>
      </c>
      <c r="AB425" s="103" t="n">
        <f aca="false">IF(AND($F425="原始數據",$S425&lt;&gt;"Active"),1,0)</f>
        <v>0</v>
      </c>
      <c r="AC425" s="103" t="n">
        <f aca="false">IF(AND(ISNUMBER($K425),ISNUMBER($L425),ISNUMBER($Q425)),IF(OR($Q425&lt;MIN($K425,$L425),$Q425&gt;MAX($K425,$L425)),1,0),0)</f>
        <v>0</v>
      </c>
      <c r="AD425" s="103" t="n">
        <f aca="false">IF(AND(ISNUMBER($T425),$P425="高"),IF($T425=3,1,0),0)</f>
        <v>0</v>
      </c>
      <c r="AE425" s="103" t="n">
        <f aca="false">IF(AND($S425="不存在",$B425="切片一"),1,0)</f>
        <v>0</v>
      </c>
    </row>
    <row r="426" customFormat="false" ht="15" hidden="false" customHeight="false" outlineLevel="0" collapsed="false">
      <c r="A426" s="53" t="s">
        <v>3239</v>
      </c>
      <c r="B426" s="52" t="s">
        <v>2297</v>
      </c>
      <c r="C426" s="53" t="s">
        <v>2062</v>
      </c>
      <c r="D426" s="53" t="s">
        <v>3240</v>
      </c>
      <c r="E426" s="5" t="s">
        <v>683</v>
      </c>
      <c r="F426" s="52" t="s">
        <v>3102</v>
      </c>
      <c r="G426" s="52" t="s">
        <v>3001</v>
      </c>
      <c r="H426" s="53" t="s">
        <v>554</v>
      </c>
      <c r="I426" s="6" t="s">
        <v>554</v>
      </c>
      <c r="J426" s="53" t="s">
        <v>554</v>
      </c>
      <c r="K426" s="52"/>
      <c r="L426" s="52"/>
      <c r="M426" s="53" t="s">
        <v>554</v>
      </c>
      <c r="N426" s="5" t="s">
        <v>3234</v>
      </c>
      <c r="O426" s="6" t="s">
        <v>554</v>
      </c>
      <c r="P426" s="53" t="s">
        <v>554</v>
      </c>
      <c r="Q426" s="83" t="s">
        <v>554</v>
      </c>
      <c r="R426" s="53" t="s">
        <v>554</v>
      </c>
      <c r="S426" s="83" t="str">
        <f aca="false">IF(OR($H426="—",$H426=""),"—",IF(ISNUMBER(MATCH($H426,SRC_HW!$A$5:$A$400,0)),INDEX(SRC_HW!$O$5:$O$400,MATCH($H426,SRC_HW!$A$5:$A$400,0)),IF(ISNUMBER(MATCH($H426,SRC_DC!$A$5:$A$400,0)),INDEX(SRC_DC!$O$5:$O$400,MATCH($H426,SRC_DC!$A$5:$A$400,0)),IF(ISNUMBER(MATCH($H426,SRC_Model!$A$5:$A$400,0)),INDEX(SRC_Model!$O$5:$O$400,MATCH($H426,SRC_Model!$A$5:$A$400,0)),IF(ISNUMBER(MATCH($H426,SRC_Perf!$A$5:$A$400,0)),INDEX(SRC_Perf!$O$5:$O$400,MATCH($H426,SRC_Perf!$A$5:$A$400,0)),"不存在")))))</f>
        <v>—</v>
      </c>
      <c r="T426" s="83" t="str">
        <f aca="false">IF(OR($H426="—",$H426=""),"—",IF(ISNUMBER(MATCH($H426,SRC_HW!$A$5:$A$400,0)),INDEX(SRC_HW!$K$5:$K$400,MATCH($H426,SRC_HW!$A$5:$A$400,0)),IF(ISNUMBER(MATCH($H426,SRC_DC!$A$5:$A$400,0)),INDEX(SRC_DC!$K$5:$K$400,MATCH($H426,SRC_DC!$A$5:$A$400,0)),IF(ISNUMBER(MATCH($H426,SRC_Model!$A$5:$A$400,0)),INDEX(SRC_Model!$K$5:$K$400,MATCH($H426,SRC_Model!$A$5:$A$400,0)),IF(ISNUMBER(MATCH($H426,SRC_Perf!$A$5:$A$400,0)),INDEX(SRC_Perf!$K$5:$K$400,MATCH($H426,SRC_Perf!$A$5:$A$400,0)),"不存在")))))</f>
        <v>—</v>
      </c>
      <c r="U426" s="53" t="s">
        <v>554</v>
      </c>
      <c r="V426" s="103" t="n">
        <f aca="false">IF(AND($F426="原始數據",$U426&lt;&gt;"連結 SRC"),1,0)</f>
        <v>0</v>
      </c>
      <c r="W426" s="103" t="n">
        <f aca="false">IF(AND($F426="Analogy",OR($H426="—",$H426="")),1,0)</f>
        <v>0</v>
      </c>
      <c r="X426" s="103" t="n">
        <f aca="false">IF(AND(OR($F426="Analogy",$F426="Assumed"),$G426&lt;&gt;"低",$G426&lt;&gt;"高",NOT(ISNUMBER($K426)),NOT(ISNUMBER($L426)),OR($M426="—",$M426="")),1,0)</f>
        <v>0</v>
      </c>
      <c r="Y426" s="103" t="n">
        <f aca="false">IF(AND(OR($F426="Analogy",$F426="Assumed",$F426="Derived（待改公式）",$F426="Derived（公式）"),OR($N426="—",$N426="",$N426=0)),1,0)</f>
        <v>0</v>
      </c>
      <c r="Z426" s="103" t="n">
        <f aca="false">IF(AND($F426="Decision",OR($J426="—",$J426="")),1,0)</f>
        <v>0</v>
      </c>
      <c r="AA426" s="84" t="n">
        <f aca="false">IF(OR($J426="—",$J426=""),0,IF(COUNTIF(Decisions!$A$5:$A$300,$J426)=0,1,0))</f>
        <v>0</v>
      </c>
      <c r="AB426" s="103" t="n">
        <f aca="false">IF(AND($F426="原始數據",$S426&lt;&gt;"Active"),1,0)</f>
        <v>0</v>
      </c>
      <c r="AC426" s="103" t="n">
        <f aca="false">IF(AND(ISNUMBER($K426),ISNUMBER($L426),ISNUMBER($Q426)),IF(OR($Q426&lt;MIN($K426,$L426),$Q426&gt;MAX($K426,$L426)),1,0),0)</f>
        <v>0</v>
      </c>
      <c r="AD426" s="103" t="n">
        <f aca="false">IF(AND(ISNUMBER($T426),$P426="高"),IF($T426=3,1,0),0)</f>
        <v>0</v>
      </c>
      <c r="AE426" s="103" t="n">
        <f aca="false">IF(AND($S426="不存在",$B426="切片一"),1,0)</f>
        <v>0</v>
      </c>
    </row>
    <row r="427" customFormat="false" ht="15" hidden="false" customHeight="false" outlineLevel="0" collapsed="false">
      <c r="A427" s="53" t="s">
        <v>3241</v>
      </c>
      <c r="B427" s="52" t="s">
        <v>2297</v>
      </c>
      <c r="C427" s="53" t="s">
        <v>2062</v>
      </c>
      <c r="D427" s="53" t="s">
        <v>3242</v>
      </c>
      <c r="E427" s="5" t="s">
        <v>307</v>
      </c>
      <c r="F427" s="52" t="s">
        <v>3102</v>
      </c>
      <c r="G427" s="52" t="s">
        <v>3001</v>
      </c>
      <c r="H427" s="53" t="s">
        <v>554</v>
      </c>
      <c r="I427" s="6" t="s">
        <v>554</v>
      </c>
      <c r="J427" s="53" t="s">
        <v>554</v>
      </c>
      <c r="K427" s="52"/>
      <c r="L427" s="52"/>
      <c r="M427" s="53" t="s">
        <v>554</v>
      </c>
      <c r="N427" s="5" t="s">
        <v>3234</v>
      </c>
      <c r="O427" s="6" t="s">
        <v>554</v>
      </c>
      <c r="P427" s="53" t="s">
        <v>554</v>
      </c>
      <c r="Q427" s="83" t="s">
        <v>554</v>
      </c>
      <c r="R427" s="53" t="s">
        <v>554</v>
      </c>
      <c r="S427" s="83" t="str">
        <f aca="false">IF(OR($H427="—",$H427=""),"—",IF(ISNUMBER(MATCH($H427,SRC_HW!$A$5:$A$400,0)),INDEX(SRC_HW!$O$5:$O$400,MATCH($H427,SRC_HW!$A$5:$A$400,0)),IF(ISNUMBER(MATCH($H427,SRC_DC!$A$5:$A$400,0)),INDEX(SRC_DC!$O$5:$O$400,MATCH($H427,SRC_DC!$A$5:$A$400,0)),IF(ISNUMBER(MATCH($H427,SRC_Model!$A$5:$A$400,0)),INDEX(SRC_Model!$O$5:$O$400,MATCH($H427,SRC_Model!$A$5:$A$400,0)),IF(ISNUMBER(MATCH($H427,SRC_Perf!$A$5:$A$400,0)),INDEX(SRC_Perf!$O$5:$O$400,MATCH($H427,SRC_Perf!$A$5:$A$400,0)),"不存在")))))</f>
        <v>—</v>
      </c>
      <c r="T427" s="83" t="str">
        <f aca="false">IF(OR($H427="—",$H427=""),"—",IF(ISNUMBER(MATCH($H427,SRC_HW!$A$5:$A$400,0)),INDEX(SRC_HW!$K$5:$K$400,MATCH($H427,SRC_HW!$A$5:$A$400,0)),IF(ISNUMBER(MATCH($H427,SRC_DC!$A$5:$A$400,0)),INDEX(SRC_DC!$K$5:$K$400,MATCH($H427,SRC_DC!$A$5:$A$400,0)),IF(ISNUMBER(MATCH($H427,SRC_Model!$A$5:$A$400,0)),INDEX(SRC_Model!$K$5:$K$400,MATCH($H427,SRC_Model!$A$5:$A$400,0)),IF(ISNUMBER(MATCH($H427,SRC_Perf!$A$5:$A$400,0)),INDEX(SRC_Perf!$K$5:$K$400,MATCH($H427,SRC_Perf!$A$5:$A$400,0)),"不存在")))))</f>
        <v>—</v>
      </c>
      <c r="U427" s="53" t="s">
        <v>554</v>
      </c>
      <c r="V427" s="103" t="n">
        <f aca="false">IF(AND($F427="原始數據",$U427&lt;&gt;"連結 SRC"),1,0)</f>
        <v>0</v>
      </c>
      <c r="W427" s="103" t="n">
        <f aca="false">IF(AND($F427="Analogy",OR($H427="—",$H427="")),1,0)</f>
        <v>0</v>
      </c>
      <c r="X427" s="103" t="n">
        <f aca="false">IF(AND(OR($F427="Analogy",$F427="Assumed"),$G427&lt;&gt;"低",$G427&lt;&gt;"高",NOT(ISNUMBER($K427)),NOT(ISNUMBER($L427)),OR($M427="—",$M427="")),1,0)</f>
        <v>0</v>
      </c>
      <c r="Y427" s="103" t="n">
        <f aca="false">IF(AND(OR($F427="Analogy",$F427="Assumed",$F427="Derived（待改公式）",$F427="Derived（公式）"),OR($N427="—",$N427="",$N427=0)),1,0)</f>
        <v>0</v>
      </c>
      <c r="Z427" s="103" t="n">
        <f aca="false">IF(AND($F427="Decision",OR($J427="—",$J427="")),1,0)</f>
        <v>0</v>
      </c>
      <c r="AA427" s="84" t="n">
        <f aca="false">IF(OR($J427="—",$J427=""),0,IF(COUNTIF(Decisions!$A$5:$A$300,$J427)=0,1,0))</f>
        <v>0</v>
      </c>
      <c r="AB427" s="103" t="n">
        <f aca="false">IF(AND($F427="原始數據",$S427&lt;&gt;"Active"),1,0)</f>
        <v>0</v>
      </c>
      <c r="AC427" s="103" t="n">
        <f aca="false">IF(AND(ISNUMBER($K427),ISNUMBER($L427),ISNUMBER($Q427)),IF(OR($Q427&lt;MIN($K427,$L427),$Q427&gt;MAX($K427,$L427)),1,0),0)</f>
        <v>0</v>
      </c>
      <c r="AD427" s="103" t="n">
        <f aca="false">IF(AND(ISNUMBER($T427),$P427="高"),IF($T427=3,1,0),0)</f>
        <v>0</v>
      </c>
      <c r="AE427" s="103" t="n">
        <f aca="false">IF(AND($S427="不存在",$B427="切片一"),1,0)</f>
        <v>0</v>
      </c>
    </row>
    <row r="428" customFormat="false" ht="44" hidden="false" customHeight="false" outlineLevel="0" collapsed="false">
      <c r="A428" s="53" t="s">
        <v>3243</v>
      </c>
      <c r="B428" s="52" t="s">
        <v>2297</v>
      </c>
      <c r="C428" s="53" t="s">
        <v>2062</v>
      </c>
      <c r="D428" s="53" t="s">
        <v>3244</v>
      </c>
      <c r="E428" s="6" t="s">
        <v>686</v>
      </c>
      <c r="F428" s="52" t="s">
        <v>3102</v>
      </c>
      <c r="G428" s="52" t="s">
        <v>3001</v>
      </c>
      <c r="H428" s="53" t="s">
        <v>554</v>
      </c>
      <c r="I428" s="6" t="s">
        <v>554</v>
      </c>
      <c r="J428" s="53" t="s">
        <v>554</v>
      </c>
      <c r="K428" s="52"/>
      <c r="L428" s="52"/>
      <c r="M428" s="53" t="s">
        <v>554</v>
      </c>
      <c r="N428" s="5" t="s">
        <v>3234</v>
      </c>
      <c r="O428" s="6" t="s">
        <v>554</v>
      </c>
      <c r="P428" s="53" t="s">
        <v>554</v>
      </c>
      <c r="Q428" s="83" t="s">
        <v>554</v>
      </c>
      <c r="R428" s="53" t="s">
        <v>554</v>
      </c>
      <c r="S428" s="83" t="str">
        <f aca="false">IF(OR($H428="—",$H428=""),"—",IF(ISNUMBER(MATCH($H428,SRC_HW!$A$5:$A$400,0)),INDEX(SRC_HW!$O$5:$O$400,MATCH($H428,SRC_HW!$A$5:$A$400,0)),IF(ISNUMBER(MATCH($H428,SRC_DC!$A$5:$A$400,0)),INDEX(SRC_DC!$O$5:$O$400,MATCH($H428,SRC_DC!$A$5:$A$400,0)),IF(ISNUMBER(MATCH($H428,SRC_Model!$A$5:$A$400,0)),INDEX(SRC_Model!$O$5:$O$400,MATCH($H428,SRC_Model!$A$5:$A$400,0)),IF(ISNUMBER(MATCH($H428,SRC_Perf!$A$5:$A$400,0)),INDEX(SRC_Perf!$O$5:$O$400,MATCH($H428,SRC_Perf!$A$5:$A$400,0)),"不存在")))))</f>
        <v>—</v>
      </c>
      <c r="T428" s="83" t="str">
        <f aca="false">IF(OR($H428="—",$H428=""),"—",IF(ISNUMBER(MATCH($H428,SRC_HW!$A$5:$A$400,0)),INDEX(SRC_HW!$K$5:$K$400,MATCH($H428,SRC_HW!$A$5:$A$400,0)),IF(ISNUMBER(MATCH($H428,SRC_DC!$A$5:$A$400,0)),INDEX(SRC_DC!$K$5:$K$400,MATCH($H428,SRC_DC!$A$5:$A$400,0)),IF(ISNUMBER(MATCH($H428,SRC_Model!$A$5:$A$400,0)),INDEX(SRC_Model!$K$5:$K$400,MATCH($H428,SRC_Model!$A$5:$A$400,0)),IF(ISNUMBER(MATCH($H428,SRC_Perf!$A$5:$A$400,0)),INDEX(SRC_Perf!$K$5:$K$400,MATCH($H428,SRC_Perf!$A$5:$A$400,0)),"不存在")))))</f>
        <v>—</v>
      </c>
      <c r="U428" s="53" t="s">
        <v>554</v>
      </c>
      <c r="V428" s="103" t="n">
        <f aca="false">IF(AND($F428="原始數據",$U428&lt;&gt;"連結 SRC"),1,0)</f>
        <v>0</v>
      </c>
      <c r="W428" s="103" t="n">
        <f aca="false">IF(AND($F428="Analogy",OR($H428="—",$H428="")),1,0)</f>
        <v>0</v>
      </c>
      <c r="X428" s="103" t="n">
        <f aca="false">IF(AND(OR($F428="Analogy",$F428="Assumed"),$G428&lt;&gt;"低",$G428&lt;&gt;"高",NOT(ISNUMBER($K428)),NOT(ISNUMBER($L428)),OR($M428="—",$M428="")),1,0)</f>
        <v>0</v>
      </c>
      <c r="Y428" s="103" t="n">
        <f aca="false">IF(AND(OR($F428="Analogy",$F428="Assumed",$F428="Derived（待改公式）",$F428="Derived（公式）"),OR($N428="—",$N428="",$N428=0)),1,0)</f>
        <v>0</v>
      </c>
      <c r="Z428" s="103" t="n">
        <f aca="false">IF(AND($F428="Decision",OR($J428="—",$J428="")),1,0)</f>
        <v>0</v>
      </c>
      <c r="AA428" s="84" t="n">
        <f aca="false">IF(OR($J428="—",$J428=""),0,IF(COUNTIF(Decisions!$A$5:$A$300,$J428)=0,1,0))</f>
        <v>0</v>
      </c>
      <c r="AB428" s="103" t="n">
        <f aca="false">IF(AND($F428="原始數據",$S428&lt;&gt;"Active"),1,0)</f>
        <v>0</v>
      </c>
      <c r="AC428" s="103" t="n">
        <f aca="false">IF(AND(ISNUMBER($K428),ISNUMBER($L428),ISNUMBER($Q428)),IF(OR($Q428&lt;MIN($K428,$L428),$Q428&gt;MAX($K428,$L428)),1,0),0)</f>
        <v>0</v>
      </c>
      <c r="AD428" s="103" t="n">
        <f aca="false">IF(AND(ISNUMBER($T428),$P428="高"),IF($T428=3,1,0),0)</f>
        <v>0</v>
      </c>
      <c r="AE428" s="103" t="n">
        <f aca="false">IF(AND($S428="不存在",$B428="切片一"),1,0)</f>
        <v>0</v>
      </c>
    </row>
    <row r="429" customFormat="false" ht="29.85" hidden="false" customHeight="false" outlineLevel="0" collapsed="false">
      <c r="A429" s="53" t="s">
        <v>3245</v>
      </c>
      <c r="B429" s="52" t="s">
        <v>2297</v>
      </c>
      <c r="C429" s="53" t="s">
        <v>2062</v>
      </c>
      <c r="D429" s="53" t="s">
        <v>3246</v>
      </c>
      <c r="E429" s="5" t="s">
        <v>688</v>
      </c>
      <c r="F429" s="52" t="s">
        <v>3102</v>
      </c>
      <c r="G429" s="52" t="s">
        <v>3001</v>
      </c>
      <c r="H429" s="53" t="s">
        <v>554</v>
      </c>
      <c r="I429" s="6" t="s">
        <v>554</v>
      </c>
      <c r="J429" s="53" t="s">
        <v>554</v>
      </c>
      <c r="K429" s="52"/>
      <c r="L429" s="52"/>
      <c r="M429" s="53" t="s">
        <v>554</v>
      </c>
      <c r="N429" s="5" t="s">
        <v>3234</v>
      </c>
      <c r="O429" s="6" t="s">
        <v>554</v>
      </c>
      <c r="P429" s="53" t="s">
        <v>554</v>
      </c>
      <c r="Q429" s="83" t="s">
        <v>554</v>
      </c>
      <c r="R429" s="53" t="s">
        <v>554</v>
      </c>
      <c r="S429" s="83" t="str">
        <f aca="false">IF(OR($H429="—",$H429=""),"—",IF(ISNUMBER(MATCH($H429,SRC_HW!$A$5:$A$400,0)),INDEX(SRC_HW!$O$5:$O$400,MATCH($H429,SRC_HW!$A$5:$A$400,0)),IF(ISNUMBER(MATCH($H429,SRC_DC!$A$5:$A$400,0)),INDEX(SRC_DC!$O$5:$O$400,MATCH($H429,SRC_DC!$A$5:$A$400,0)),IF(ISNUMBER(MATCH($H429,SRC_Model!$A$5:$A$400,0)),INDEX(SRC_Model!$O$5:$O$400,MATCH($H429,SRC_Model!$A$5:$A$400,0)),IF(ISNUMBER(MATCH($H429,SRC_Perf!$A$5:$A$400,0)),INDEX(SRC_Perf!$O$5:$O$400,MATCH($H429,SRC_Perf!$A$5:$A$400,0)),"不存在")))))</f>
        <v>—</v>
      </c>
      <c r="T429" s="83" t="str">
        <f aca="false">IF(OR($H429="—",$H429=""),"—",IF(ISNUMBER(MATCH($H429,SRC_HW!$A$5:$A$400,0)),INDEX(SRC_HW!$K$5:$K$400,MATCH($H429,SRC_HW!$A$5:$A$400,0)),IF(ISNUMBER(MATCH($H429,SRC_DC!$A$5:$A$400,0)),INDEX(SRC_DC!$K$5:$K$400,MATCH($H429,SRC_DC!$A$5:$A$400,0)),IF(ISNUMBER(MATCH($H429,SRC_Model!$A$5:$A$400,0)),INDEX(SRC_Model!$K$5:$K$400,MATCH($H429,SRC_Model!$A$5:$A$400,0)),IF(ISNUMBER(MATCH($H429,SRC_Perf!$A$5:$A$400,0)),INDEX(SRC_Perf!$K$5:$K$400,MATCH($H429,SRC_Perf!$A$5:$A$400,0)),"不存在")))))</f>
        <v>—</v>
      </c>
      <c r="U429" s="53" t="s">
        <v>554</v>
      </c>
      <c r="V429" s="103" t="n">
        <f aca="false">IF(AND($F429="原始數據",$U429&lt;&gt;"連結 SRC"),1,0)</f>
        <v>0</v>
      </c>
      <c r="W429" s="103" t="n">
        <f aca="false">IF(AND($F429="Analogy",OR($H429="—",$H429="")),1,0)</f>
        <v>0</v>
      </c>
      <c r="X429" s="103" t="n">
        <f aca="false">IF(AND(OR($F429="Analogy",$F429="Assumed"),$G429&lt;&gt;"低",$G429&lt;&gt;"高",NOT(ISNUMBER($K429)),NOT(ISNUMBER($L429)),OR($M429="—",$M429="")),1,0)</f>
        <v>0</v>
      </c>
      <c r="Y429" s="103" t="n">
        <f aca="false">IF(AND(OR($F429="Analogy",$F429="Assumed",$F429="Derived（待改公式）",$F429="Derived（公式）"),OR($N429="—",$N429="",$N429=0)),1,0)</f>
        <v>0</v>
      </c>
      <c r="Z429" s="103" t="n">
        <f aca="false">IF(AND($F429="Decision",OR($J429="—",$J429="")),1,0)</f>
        <v>0</v>
      </c>
      <c r="AA429" s="84" t="n">
        <f aca="false">IF(OR($J429="—",$J429=""),0,IF(COUNTIF(Decisions!$A$5:$A$300,$J429)=0,1,0))</f>
        <v>0</v>
      </c>
      <c r="AB429" s="103" t="n">
        <f aca="false">IF(AND($F429="原始數據",$S429&lt;&gt;"Active"),1,0)</f>
        <v>0</v>
      </c>
      <c r="AC429" s="103" t="n">
        <f aca="false">IF(AND(ISNUMBER($K429),ISNUMBER($L429),ISNUMBER($Q429)),IF(OR($Q429&lt;MIN($K429,$L429),$Q429&gt;MAX($K429,$L429)),1,0),0)</f>
        <v>0</v>
      </c>
      <c r="AD429" s="103" t="n">
        <f aca="false">IF(AND(ISNUMBER($T429),$P429="高"),IF($T429=3,1,0),0)</f>
        <v>0</v>
      </c>
      <c r="AE429" s="103" t="n">
        <f aca="false">IF(AND($S429="不存在",$B429="切片一"),1,0)</f>
        <v>0</v>
      </c>
    </row>
    <row r="430" customFormat="false" ht="15" hidden="false" customHeight="false" outlineLevel="0" collapsed="false">
      <c r="A430" s="53" t="s">
        <v>3247</v>
      </c>
      <c r="B430" s="52" t="s">
        <v>2297</v>
      </c>
      <c r="C430" s="53" t="s">
        <v>3248</v>
      </c>
      <c r="D430" s="53" t="s">
        <v>3224</v>
      </c>
      <c r="E430" s="5" t="s">
        <v>390</v>
      </c>
      <c r="F430" s="52" t="s">
        <v>3000</v>
      </c>
      <c r="G430" s="52" t="s">
        <v>3001</v>
      </c>
      <c r="H430" s="53" t="s">
        <v>554</v>
      </c>
      <c r="I430" s="6" t="s">
        <v>554</v>
      </c>
      <c r="J430" s="53" t="s">
        <v>554</v>
      </c>
      <c r="K430" s="52"/>
      <c r="L430" s="52"/>
      <c r="M430" s="53" t="s">
        <v>554</v>
      </c>
      <c r="N430" s="5" t="s">
        <v>3225</v>
      </c>
      <c r="O430" s="6" t="s">
        <v>554</v>
      </c>
      <c r="P430" s="53" t="s">
        <v>554</v>
      </c>
      <c r="Q430" s="83" t="s">
        <v>554</v>
      </c>
      <c r="R430" s="53" t="s">
        <v>554</v>
      </c>
      <c r="S430" s="83" t="str">
        <f aca="false">IF(OR($H430="—",$H430=""),"—",IF(ISNUMBER(MATCH($H430,SRC_HW!$A$5:$A$400,0)),INDEX(SRC_HW!$O$5:$O$400,MATCH($H430,SRC_HW!$A$5:$A$400,0)),IF(ISNUMBER(MATCH($H430,SRC_DC!$A$5:$A$400,0)),INDEX(SRC_DC!$O$5:$O$400,MATCH($H430,SRC_DC!$A$5:$A$400,0)),IF(ISNUMBER(MATCH($H430,SRC_Model!$A$5:$A$400,0)),INDEX(SRC_Model!$O$5:$O$400,MATCH($H430,SRC_Model!$A$5:$A$400,0)),IF(ISNUMBER(MATCH($H430,SRC_Perf!$A$5:$A$400,0)),INDEX(SRC_Perf!$O$5:$O$400,MATCH($H430,SRC_Perf!$A$5:$A$400,0)),"不存在")))))</f>
        <v>—</v>
      </c>
      <c r="T430" s="83" t="str">
        <f aca="false">IF(OR($H430="—",$H430=""),"—",IF(ISNUMBER(MATCH($H430,SRC_HW!$A$5:$A$400,0)),INDEX(SRC_HW!$K$5:$K$400,MATCH($H430,SRC_HW!$A$5:$A$400,0)),IF(ISNUMBER(MATCH($H430,SRC_DC!$A$5:$A$400,0)),INDEX(SRC_DC!$K$5:$K$400,MATCH($H430,SRC_DC!$A$5:$A$400,0)),IF(ISNUMBER(MATCH($H430,SRC_Model!$A$5:$A$400,0)),INDEX(SRC_Model!$K$5:$K$400,MATCH($H430,SRC_Model!$A$5:$A$400,0)),IF(ISNUMBER(MATCH($H430,SRC_Perf!$A$5:$A$400,0)),INDEX(SRC_Perf!$K$5:$K$400,MATCH($H430,SRC_Perf!$A$5:$A$400,0)),"不存在")))))</f>
        <v>—</v>
      </c>
      <c r="U430" s="53" t="s">
        <v>554</v>
      </c>
      <c r="V430" s="103" t="n">
        <f aca="false">IF(AND($F430="原始數據",$U430&lt;&gt;"連結 SRC"),1,0)</f>
        <v>0</v>
      </c>
      <c r="W430" s="103" t="n">
        <f aca="false">IF(AND($F430="Analogy",OR($H430="—",$H430="")),1,0)</f>
        <v>0</v>
      </c>
      <c r="X430" s="103" t="n">
        <f aca="false">IF(AND(OR($F430="Analogy",$F430="Assumed"),$G430&lt;&gt;"低",$G430&lt;&gt;"高",NOT(ISNUMBER($K430)),NOT(ISNUMBER($L430)),OR($M430="—",$M430="")),1,0)</f>
        <v>0</v>
      </c>
      <c r="Y430" s="103" t="n">
        <f aca="false">IF(AND(OR($F430="Analogy",$F430="Assumed",$F430="Derived（待改公式）",$F430="Derived（公式）"),OR($N430="—",$N430="",$N430=0)),1,0)</f>
        <v>0</v>
      </c>
      <c r="Z430" s="103" t="n">
        <f aca="false">IF(AND($F430="Decision",OR($J430="—",$J430="")),1,0)</f>
        <v>0</v>
      </c>
      <c r="AA430" s="84" t="n">
        <f aca="false">IF(OR($J430="—",$J430=""),0,IF(COUNTIF(Decisions!$A$5:$A$300,$J430)=0,1,0))</f>
        <v>0</v>
      </c>
      <c r="AB430" s="103" t="n">
        <f aca="false">IF(AND($F430="原始數據",$S430&lt;&gt;"Active"),1,0)</f>
        <v>0</v>
      </c>
      <c r="AC430" s="103" t="n">
        <f aca="false">IF(AND(ISNUMBER($K430),ISNUMBER($L430),ISNUMBER($Q430)),IF(OR($Q430&lt;MIN($K430,$L430),$Q430&gt;MAX($K430,$L430)),1,0),0)</f>
        <v>0</v>
      </c>
      <c r="AD430" s="103" t="n">
        <f aca="false">IF(AND(ISNUMBER($T430),$P430="高"),IF($T430=3,1,0),0)</f>
        <v>0</v>
      </c>
      <c r="AE430" s="103" t="n">
        <f aca="false">IF(AND($S430="不存在",$B430="切片一"),1,0)</f>
        <v>0</v>
      </c>
    </row>
    <row r="431" customFormat="false" ht="15" hidden="false" customHeight="false" outlineLevel="0" collapsed="false">
      <c r="A431" s="53" t="s">
        <v>3249</v>
      </c>
      <c r="B431" s="52" t="s">
        <v>3250</v>
      </c>
      <c r="C431" s="53" t="s">
        <v>3251</v>
      </c>
      <c r="D431" s="53" t="s">
        <v>2594</v>
      </c>
      <c r="E431" s="5" t="s">
        <v>883</v>
      </c>
      <c r="F431" s="52" t="s">
        <v>2337</v>
      </c>
      <c r="G431" s="52" t="s">
        <v>2299</v>
      </c>
      <c r="H431" s="53" t="s">
        <v>3252</v>
      </c>
      <c r="I431" s="5" t="s">
        <v>2339</v>
      </c>
      <c r="J431" s="53" t="s">
        <v>554</v>
      </c>
      <c r="K431" s="52"/>
      <c r="L431" s="52"/>
      <c r="M431" s="53" t="s">
        <v>554</v>
      </c>
      <c r="N431" s="5" t="s">
        <v>2340</v>
      </c>
      <c r="O431" s="6" t="s">
        <v>554</v>
      </c>
      <c r="P431" s="52" t="s">
        <v>1079</v>
      </c>
      <c r="Q431" s="90" t="n">
        <f aca="false">Train_In!C25</f>
        <v>32</v>
      </c>
      <c r="R431" s="83" t="n">
        <f aca="false">SRC_MOD_029</f>
        <v>32</v>
      </c>
      <c r="S431" s="83" t="str">
        <f aca="false">IF(OR($H431="—",$H431=""),"—",IF(ISNUMBER(MATCH($H431,SRC_HW!$A$5:$A$400,0)),INDEX(SRC_HW!$O$5:$O$400,MATCH($H431,SRC_HW!$A$5:$A$400,0)),IF(ISNUMBER(MATCH($H431,SRC_DC!$A$5:$A$400,0)),INDEX(SRC_DC!$O$5:$O$400,MATCH($H431,SRC_DC!$A$5:$A$400,0)),IF(ISNUMBER(MATCH($H431,SRC_Model!$A$5:$A$400,0)),INDEX(SRC_Model!$O$5:$O$400,MATCH($H431,SRC_Model!$A$5:$A$400,0)),IF(ISNUMBER(MATCH($H431,SRC_Perf!$A$5:$A$400,0)),INDEX(SRC_Perf!$O$5:$O$400,MATCH($H431,SRC_Perf!$A$5:$A$400,0)),"不存在")))))</f>
        <v>Active</v>
      </c>
      <c r="T431" s="83" t="n">
        <f aca="false">IF(OR($H431="—",$H431=""),"—",IF(ISNUMBER(MATCH($H431,SRC_HW!$A$5:$A$400,0)),INDEX(SRC_HW!$K$5:$K$400,MATCH($H431,SRC_HW!$A$5:$A$400,0)),IF(ISNUMBER(MATCH($H431,SRC_DC!$A$5:$A$400,0)),INDEX(SRC_DC!$K$5:$K$400,MATCH($H431,SRC_DC!$A$5:$A$400,0)),IF(ISNUMBER(MATCH($H431,SRC_Model!$A$5:$A$400,0)),INDEX(SRC_Model!$K$5:$K$400,MATCH($H431,SRC_Model!$A$5:$A$400,0)),IF(ISNUMBER(MATCH($H431,SRC_Perf!$A$5:$A$400,0)),INDEX(SRC_Perf!$K$5:$K$400,MATCH($H431,SRC_Perf!$A$5:$A$400,0)),"不存在")))))</f>
        <v>1</v>
      </c>
      <c r="U431" s="52" t="s">
        <v>2341</v>
      </c>
      <c r="V431" s="103" t="n">
        <f aca="false">IF(AND($F431="原始數據",$U431&lt;&gt;"連結 SRC"),1,0)</f>
        <v>0</v>
      </c>
      <c r="W431" s="103" t="n">
        <f aca="false">IF(AND($F431="Analogy",OR($H431="—",$H431="")),1,0)</f>
        <v>0</v>
      </c>
      <c r="X431" s="103" t="n">
        <f aca="false">IF(AND(OR($F431="Analogy",$F431="Assumed"),$G431&lt;&gt;"低",$G431&lt;&gt;"高",NOT(ISNUMBER($K431)),NOT(ISNUMBER($L431)),OR($M431="—",$M431="")),1,0)</f>
        <v>0</v>
      </c>
      <c r="Y431" s="103" t="n">
        <f aca="false">IF(AND(OR($F431="Analogy",$F431="Assumed",$F431="Derived（待改公式）",$F431="Derived（公式）"),OR($N431="—",$N431="",$N431=0)),1,0)</f>
        <v>0</v>
      </c>
      <c r="Z431" s="103" t="n">
        <f aca="false">IF(AND($F431="Decision",OR($J431="—",$J431="")),1,0)</f>
        <v>0</v>
      </c>
      <c r="AA431" s="84" t="n">
        <f aca="false">IF(OR($J431="—",$J431=""),0,IF(COUNTIF(Decisions!$A$5:$A$300,$J431)=0,1,0))</f>
        <v>0</v>
      </c>
      <c r="AB431" s="103" t="n">
        <f aca="false">IF(AND($F431="原始數據",$S431&lt;&gt;"Active"),1,0)</f>
        <v>0</v>
      </c>
      <c r="AC431" s="103" t="n">
        <f aca="false">IF(AND(ISNUMBER($K431),ISNUMBER($L431),ISNUMBER($Q431)),IF(OR($Q431&lt;MIN($K431,$L431),$Q431&gt;MAX($K431,$L431)),1,0),0)</f>
        <v>0</v>
      </c>
      <c r="AD431" s="103" t="n">
        <f aca="false">IF(AND(ISNUMBER($T431),$P431="高"),IF($T431=3,1,0),0)</f>
        <v>0</v>
      </c>
      <c r="AE431" s="103" t="n">
        <f aca="false">IF(AND($S431="不存在",$B431="切片一"),1,0)</f>
        <v>0</v>
      </c>
    </row>
    <row r="432" customFormat="false" ht="15" hidden="false" customHeight="false" outlineLevel="0" collapsed="false">
      <c r="A432" s="53" t="s">
        <v>3253</v>
      </c>
      <c r="B432" s="52" t="s">
        <v>3250</v>
      </c>
      <c r="C432" s="53" t="s">
        <v>3251</v>
      </c>
      <c r="D432" s="53" t="s">
        <v>2597</v>
      </c>
      <c r="E432" s="5" t="s">
        <v>883</v>
      </c>
      <c r="F432" s="52" t="s">
        <v>2337</v>
      </c>
      <c r="G432" s="52" t="s">
        <v>2299</v>
      </c>
      <c r="H432" s="53" t="s">
        <v>3254</v>
      </c>
      <c r="I432" s="5" t="s">
        <v>2339</v>
      </c>
      <c r="J432" s="53" t="s">
        <v>554</v>
      </c>
      <c r="K432" s="52"/>
      <c r="L432" s="52"/>
      <c r="M432" s="53" t="s">
        <v>554</v>
      </c>
      <c r="N432" s="5" t="s">
        <v>2340</v>
      </c>
      <c r="O432" s="6" t="s">
        <v>554</v>
      </c>
      <c r="P432" s="52" t="s">
        <v>1079</v>
      </c>
      <c r="Q432" s="90" t="n">
        <f aca="false">Train_In!D25</f>
        <v>33</v>
      </c>
      <c r="R432" s="83" t="n">
        <f aca="false">SRC_MOD_030</f>
        <v>33</v>
      </c>
      <c r="S432" s="83" t="str">
        <f aca="false">IF(OR($H432="—",$H432=""),"—",IF(ISNUMBER(MATCH($H432,SRC_HW!$A$5:$A$400,0)),INDEX(SRC_HW!$O$5:$O$400,MATCH($H432,SRC_HW!$A$5:$A$400,0)),IF(ISNUMBER(MATCH($H432,SRC_DC!$A$5:$A$400,0)),INDEX(SRC_DC!$O$5:$O$400,MATCH($H432,SRC_DC!$A$5:$A$400,0)),IF(ISNUMBER(MATCH($H432,SRC_Model!$A$5:$A$400,0)),INDEX(SRC_Model!$O$5:$O$400,MATCH($H432,SRC_Model!$A$5:$A$400,0)),IF(ISNUMBER(MATCH($H432,SRC_Perf!$A$5:$A$400,0)),INDEX(SRC_Perf!$O$5:$O$400,MATCH($H432,SRC_Perf!$A$5:$A$400,0)),"不存在")))))</f>
        <v>Active</v>
      </c>
      <c r="T432" s="83" t="n">
        <f aca="false">IF(OR($H432="—",$H432=""),"—",IF(ISNUMBER(MATCH($H432,SRC_HW!$A$5:$A$400,0)),INDEX(SRC_HW!$K$5:$K$400,MATCH($H432,SRC_HW!$A$5:$A$400,0)),IF(ISNUMBER(MATCH($H432,SRC_DC!$A$5:$A$400,0)),INDEX(SRC_DC!$K$5:$K$400,MATCH($H432,SRC_DC!$A$5:$A$400,0)),IF(ISNUMBER(MATCH($H432,SRC_Model!$A$5:$A$400,0)),INDEX(SRC_Model!$K$5:$K$400,MATCH($H432,SRC_Model!$A$5:$A$400,0)),IF(ISNUMBER(MATCH($H432,SRC_Perf!$A$5:$A$400,0)),INDEX(SRC_Perf!$K$5:$K$400,MATCH($H432,SRC_Perf!$A$5:$A$400,0)),"不存在")))))</f>
        <v>1</v>
      </c>
      <c r="U432" s="52" t="s">
        <v>2341</v>
      </c>
      <c r="V432" s="103" t="n">
        <f aca="false">IF(AND($F432="原始數據",$U432&lt;&gt;"連結 SRC"),1,0)</f>
        <v>0</v>
      </c>
      <c r="W432" s="103" t="n">
        <f aca="false">IF(AND($F432="Analogy",OR($H432="—",$H432="")),1,0)</f>
        <v>0</v>
      </c>
      <c r="X432" s="103" t="n">
        <f aca="false">IF(AND(OR($F432="Analogy",$F432="Assumed"),$G432&lt;&gt;"低",$G432&lt;&gt;"高",NOT(ISNUMBER($K432)),NOT(ISNUMBER($L432)),OR($M432="—",$M432="")),1,0)</f>
        <v>0</v>
      </c>
      <c r="Y432" s="103" t="n">
        <f aca="false">IF(AND(OR($F432="Analogy",$F432="Assumed",$F432="Derived（待改公式）",$F432="Derived（公式）"),OR($N432="—",$N432="",$N432=0)),1,0)</f>
        <v>0</v>
      </c>
      <c r="Z432" s="103" t="n">
        <f aca="false">IF(AND($F432="Decision",OR($J432="—",$J432="")),1,0)</f>
        <v>0</v>
      </c>
      <c r="AA432" s="84" t="n">
        <f aca="false">IF(OR($J432="—",$J432=""),0,IF(COUNTIF(Decisions!$A$5:$A$300,$J432)=0,1,0))</f>
        <v>0</v>
      </c>
      <c r="AB432" s="103" t="n">
        <f aca="false">IF(AND($F432="原始數據",$S432&lt;&gt;"Active"),1,0)</f>
        <v>0</v>
      </c>
      <c r="AC432" s="103" t="n">
        <f aca="false">IF(AND(ISNUMBER($K432),ISNUMBER($L432),ISNUMBER($Q432)),IF(OR($Q432&lt;MIN($K432,$L432),$Q432&gt;MAX($K432,$L432)),1,0),0)</f>
        <v>0</v>
      </c>
      <c r="AD432" s="103" t="n">
        <f aca="false">IF(AND(ISNUMBER($T432),$P432="高"),IF($T432=3,1,0),0)</f>
        <v>0</v>
      </c>
      <c r="AE432" s="103" t="n">
        <f aca="false">IF(AND($S432="不存在",$B432="切片一"),1,0)</f>
        <v>0</v>
      </c>
    </row>
    <row r="433" customFormat="false" ht="15" hidden="false" customHeight="false" outlineLevel="0" collapsed="false">
      <c r="A433" s="53" t="s">
        <v>3255</v>
      </c>
      <c r="B433" s="52" t="s">
        <v>3250</v>
      </c>
      <c r="C433" s="53" t="s">
        <v>3251</v>
      </c>
      <c r="D433" s="53" t="s">
        <v>2609</v>
      </c>
      <c r="E433" s="5" t="s">
        <v>886</v>
      </c>
      <c r="F433" s="52" t="s">
        <v>2337</v>
      </c>
      <c r="G433" s="52" t="s">
        <v>2299</v>
      </c>
      <c r="H433" s="53" t="s">
        <v>3256</v>
      </c>
      <c r="I433" s="5" t="s">
        <v>2339</v>
      </c>
      <c r="J433" s="53" t="s">
        <v>554</v>
      </c>
      <c r="K433" s="52"/>
      <c r="L433" s="52"/>
      <c r="M433" s="53" t="s">
        <v>554</v>
      </c>
      <c r="N433" s="5" t="s">
        <v>2340</v>
      </c>
      <c r="O433" s="6" t="s">
        <v>554</v>
      </c>
      <c r="P433" s="52" t="s">
        <v>2364</v>
      </c>
      <c r="Q433" s="54" t="n">
        <f aca="false">Train_In!C26</f>
        <v>4096</v>
      </c>
      <c r="R433" s="83" t="n">
        <f aca="false">SRC_MOD_031</f>
        <v>4096</v>
      </c>
      <c r="S433" s="83" t="str">
        <f aca="false">IF(OR($H433="—",$H433=""),"—",IF(ISNUMBER(MATCH($H433,SRC_HW!$A$5:$A$400,0)),INDEX(SRC_HW!$O$5:$O$400,MATCH($H433,SRC_HW!$A$5:$A$400,0)),IF(ISNUMBER(MATCH($H433,SRC_DC!$A$5:$A$400,0)),INDEX(SRC_DC!$O$5:$O$400,MATCH($H433,SRC_DC!$A$5:$A$400,0)),IF(ISNUMBER(MATCH($H433,SRC_Model!$A$5:$A$400,0)),INDEX(SRC_Model!$O$5:$O$400,MATCH($H433,SRC_Model!$A$5:$A$400,0)),IF(ISNUMBER(MATCH($H433,SRC_Perf!$A$5:$A$400,0)),INDEX(SRC_Perf!$O$5:$O$400,MATCH($H433,SRC_Perf!$A$5:$A$400,0)),"不存在")))))</f>
        <v>Active</v>
      </c>
      <c r="T433" s="83" t="n">
        <f aca="false">IF(OR($H433="—",$H433=""),"—",IF(ISNUMBER(MATCH($H433,SRC_HW!$A$5:$A$400,0)),INDEX(SRC_HW!$K$5:$K$400,MATCH($H433,SRC_HW!$A$5:$A$400,0)),IF(ISNUMBER(MATCH($H433,SRC_DC!$A$5:$A$400,0)),INDEX(SRC_DC!$K$5:$K$400,MATCH($H433,SRC_DC!$A$5:$A$400,0)),IF(ISNUMBER(MATCH($H433,SRC_Model!$A$5:$A$400,0)),INDEX(SRC_Model!$K$5:$K$400,MATCH($H433,SRC_Model!$A$5:$A$400,0)),IF(ISNUMBER(MATCH($H433,SRC_Perf!$A$5:$A$400,0)),INDEX(SRC_Perf!$K$5:$K$400,MATCH($H433,SRC_Perf!$A$5:$A$400,0)),"不存在")))))</f>
        <v>1</v>
      </c>
      <c r="U433" s="52" t="s">
        <v>2341</v>
      </c>
      <c r="V433" s="103" t="n">
        <f aca="false">IF(AND($F433="原始數據",$U433&lt;&gt;"連結 SRC"),1,0)</f>
        <v>0</v>
      </c>
      <c r="W433" s="103" t="n">
        <f aca="false">IF(AND($F433="Analogy",OR($H433="—",$H433="")),1,0)</f>
        <v>0</v>
      </c>
      <c r="X433" s="103" t="n">
        <f aca="false">IF(AND(OR($F433="Analogy",$F433="Assumed"),$G433&lt;&gt;"低",$G433&lt;&gt;"高",NOT(ISNUMBER($K433)),NOT(ISNUMBER($L433)),OR($M433="—",$M433="")),1,0)</f>
        <v>0</v>
      </c>
      <c r="Y433" s="103" t="n">
        <f aca="false">IF(AND(OR($F433="Analogy",$F433="Assumed",$F433="Derived（待改公式）",$F433="Derived（公式）"),OR($N433="—",$N433="",$N433=0)),1,0)</f>
        <v>0</v>
      </c>
      <c r="Z433" s="103" t="n">
        <f aca="false">IF(AND($F433="Decision",OR($J433="—",$J433="")),1,0)</f>
        <v>0</v>
      </c>
      <c r="AA433" s="84" t="n">
        <f aca="false">IF(OR($J433="—",$J433=""),0,IF(COUNTIF(Decisions!$A$5:$A$300,$J433)=0,1,0))</f>
        <v>0</v>
      </c>
      <c r="AB433" s="103" t="n">
        <f aca="false">IF(AND($F433="原始數據",$S433&lt;&gt;"Active"),1,0)</f>
        <v>0</v>
      </c>
      <c r="AC433" s="103" t="n">
        <f aca="false">IF(AND(ISNUMBER($K433),ISNUMBER($L433),ISNUMBER($Q433)),IF(OR($Q433&lt;MIN($K433,$L433),$Q433&gt;MAX($K433,$L433)),1,0),0)</f>
        <v>0</v>
      </c>
      <c r="AD433" s="103" t="n">
        <f aca="false">IF(AND(ISNUMBER($T433),$P433="高"),IF($T433=3,1,0),0)</f>
        <v>0</v>
      </c>
      <c r="AE433" s="103" t="n">
        <f aca="false">IF(AND($S433="不存在",$B433="切片一"),1,0)</f>
        <v>0</v>
      </c>
    </row>
    <row r="434" customFormat="false" ht="15" hidden="false" customHeight="false" outlineLevel="0" collapsed="false">
      <c r="A434" s="53" t="s">
        <v>3257</v>
      </c>
      <c r="B434" s="52" t="s">
        <v>3250</v>
      </c>
      <c r="C434" s="53" t="s">
        <v>3251</v>
      </c>
      <c r="D434" s="53" t="s">
        <v>2612</v>
      </c>
      <c r="E434" s="5" t="s">
        <v>886</v>
      </c>
      <c r="F434" s="52" t="s">
        <v>2337</v>
      </c>
      <c r="G434" s="52" t="s">
        <v>2299</v>
      </c>
      <c r="H434" s="53" t="s">
        <v>3256</v>
      </c>
      <c r="I434" s="5" t="s">
        <v>2339</v>
      </c>
      <c r="J434" s="53" t="s">
        <v>554</v>
      </c>
      <c r="K434" s="52"/>
      <c r="L434" s="52"/>
      <c r="M434" s="53" t="s">
        <v>554</v>
      </c>
      <c r="N434" s="5" t="s">
        <v>2340</v>
      </c>
      <c r="O434" s="6" t="s">
        <v>554</v>
      </c>
      <c r="P434" s="52" t="s">
        <v>2364</v>
      </c>
      <c r="Q434" s="54" t="n">
        <f aca="false">Train_In!D26</f>
        <v>4096</v>
      </c>
      <c r="R434" s="83" t="n">
        <f aca="false">SRC_MOD_031</f>
        <v>4096</v>
      </c>
      <c r="S434" s="83" t="str">
        <f aca="false">IF(OR($H434="—",$H434=""),"—",IF(ISNUMBER(MATCH($H434,SRC_HW!$A$5:$A$400,0)),INDEX(SRC_HW!$O$5:$O$400,MATCH($H434,SRC_HW!$A$5:$A$400,0)),IF(ISNUMBER(MATCH($H434,SRC_DC!$A$5:$A$400,0)),INDEX(SRC_DC!$O$5:$O$400,MATCH($H434,SRC_DC!$A$5:$A$400,0)),IF(ISNUMBER(MATCH($H434,SRC_Model!$A$5:$A$400,0)),INDEX(SRC_Model!$O$5:$O$400,MATCH($H434,SRC_Model!$A$5:$A$400,0)),IF(ISNUMBER(MATCH($H434,SRC_Perf!$A$5:$A$400,0)),INDEX(SRC_Perf!$O$5:$O$400,MATCH($H434,SRC_Perf!$A$5:$A$400,0)),"不存在")))))</f>
        <v>Active</v>
      </c>
      <c r="T434" s="83" t="n">
        <f aca="false">IF(OR($H434="—",$H434=""),"—",IF(ISNUMBER(MATCH($H434,SRC_HW!$A$5:$A$400,0)),INDEX(SRC_HW!$K$5:$K$400,MATCH($H434,SRC_HW!$A$5:$A$400,0)),IF(ISNUMBER(MATCH($H434,SRC_DC!$A$5:$A$400,0)),INDEX(SRC_DC!$K$5:$K$400,MATCH($H434,SRC_DC!$A$5:$A$400,0)),IF(ISNUMBER(MATCH($H434,SRC_Model!$A$5:$A$400,0)),INDEX(SRC_Model!$K$5:$K$400,MATCH($H434,SRC_Model!$A$5:$A$400,0)),IF(ISNUMBER(MATCH($H434,SRC_Perf!$A$5:$A$400,0)),INDEX(SRC_Perf!$K$5:$K$400,MATCH($H434,SRC_Perf!$A$5:$A$400,0)),"不存在")))))</f>
        <v>1</v>
      </c>
      <c r="U434" s="52" t="s">
        <v>2341</v>
      </c>
      <c r="V434" s="103" t="n">
        <f aca="false">IF(AND($F434="原始數據",$U434&lt;&gt;"連結 SRC"),1,0)</f>
        <v>0</v>
      </c>
      <c r="W434" s="103" t="n">
        <f aca="false">IF(AND($F434="Analogy",OR($H434="—",$H434="")),1,0)</f>
        <v>0</v>
      </c>
      <c r="X434" s="103" t="n">
        <f aca="false">IF(AND(OR($F434="Analogy",$F434="Assumed"),$G434&lt;&gt;"低",$G434&lt;&gt;"高",NOT(ISNUMBER($K434)),NOT(ISNUMBER($L434)),OR($M434="—",$M434="")),1,0)</f>
        <v>0</v>
      </c>
      <c r="Y434" s="103" t="n">
        <f aca="false">IF(AND(OR($F434="Analogy",$F434="Assumed",$F434="Derived（待改公式）",$F434="Derived（公式）"),OR($N434="—",$N434="",$N434=0)),1,0)</f>
        <v>0</v>
      </c>
      <c r="Z434" s="103" t="n">
        <f aca="false">IF(AND($F434="Decision",OR($J434="—",$J434="")),1,0)</f>
        <v>0</v>
      </c>
      <c r="AA434" s="84" t="n">
        <f aca="false">IF(OR($J434="—",$J434=""),0,IF(COUNTIF(Decisions!$A$5:$A$300,$J434)=0,1,0))</f>
        <v>0</v>
      </c>
      <c r="AB434" s="103" t="n">
        <f aca="false">IF(AND($F434="原始數據",$S434&lt;&gt;"Active"),1,0)</f>
        <v>0</v>
      </c>
      <c r="AC434" s="103" t="n">
        <f aca="false">IF(AND(ISNUMBER($K434),ISNUMBER($L434),ISNUMBER($Q434)),IF(OR($Q434&lt;MIN($K434,$L434),$Q434&gt;MAX($K434,$L434)),1,0),0)</f>
        <v>0</v>
      </c>
      <c r="AD434" s="103" t="n">
        <f aca="false">IF(AND(ISNUMBER($T434),$P434="高"),IF($T434=3,1,0),0)</f>
        <v>0</v>
      </c>
      <c r="AE434" s="103" t="n">
        <f aca="false">IF(AND($S434="不存在",$B434="切片一"),1,0)</f>
        <v>0</v>
      </c>
    </row>
    <row r="435" customFormat="false" ht="15" hidden="false" customHeight="false" outlineLevel="0" collapsed="false">
      <c r="A435" s="53" t="s">
        <v>3258</v>
      </c>
      <c r="B435" s="52" t="s">
        <v>3250</v>
      </c>
      <c r="C435" s="53" t="s">
        <v>3251</v>
      </c>
      <c r="D435" s="53" t="s">
        <v>2747</v>
      </c>
      <c r="E435" s="6" t="s">
        <v>909</v>
      </c>
      <c r="F435" s="52" t="s">
        <v>2337</v>
      </c>
      <c r="G435" s="52" t="s">
        <v>2299</v>
      </c>
      <c r="H435" s="53" t="s">
        <v>3259</v>
      </c>
      <c r="I435" s="5" t="s">
        <v>2339</v>
      </c>
      <c r="J435" s="53" t="s">
        <v>554</v>
      </c>
      <c r="K435" s="52"/>
      <c r="L435" s="52"/>
      <c r="M435" s="53" t="s">
        <v>554</v>
      </c>
      <c r="N435" s="5" t="s">
        <v>2340</v>
      </c>
      <c r="O435" s="6" t="s">
        <v>554</v>
      </c>
      <c r="P435" s="52" t="s">
        <v>2307</v>
      </c>
      <c r="Q435" s="90" t="n">
        <f aca="false">Train_In!C41</f>
        <v>14.8</v>
      </c>
      <c r="R435" s="83" t="n">
        <f aca="false">SRC_MOD_039</f>
        <v>14.8</v>
      </c>
      <c r="S435" s="83" t="str">
        <f aca="false">IF(OR($H435="—",$H435=""),"—",IF(ISNUMBER(MATCH($H435,SRC_HW!$A$5:$A$400,0)),INDEX(SRC_HW!$O$5:$O$400,MATCH($H435,SRC_HW!$A$5:$A$400,0)),IF(ISNUMBER(MATCH($H435,SRC_DC!$A$5:$A$400,0)),INDEX(SRC_DC!$O$5:$O$400,MATCH($H435,SRC_DC!$A$5:$A$400,0)),IF(ISNUMBER(MATCH($H435,SRC_Model!$A$5:$A$400,0)),INDEX(SRC_Model!$O$5:$O$400,MATCH($H435,SRC_Model!$A$5:$A$400,0)),IF(ISNUMBER(MATCH($H435,SRC_Perf!$A$5:$A$400,0)),INDEX(SRC_Perf!$O$5:$O$400,MATCH($H435,SRC_Perf!$A$5:$A$400,0)),"不存在")))))</f>
        <v>Active</v>
      </c>
      <c r="T435" s="83" t="n">
        <f aca="false">IF(OR($H435="—",$H435=""),"—",IF(ISNUMBER(MATCH($H435,SRC_HW!$A$5:$A$400,0)),INDEX(SRC_HW!$K$5:$K$400,MATCH($H435,SRC_HW!$A$5:$A$400,0)),IF(ISNUMBER(MATCH($H435,SRC_DC!$A$5:$A$400,0)),INDEX(SRC_DC!$K$5:$K$400,MATCH($H435,SRC_DC!$A$5:$A$400,0)),IF(ISNUMBER(MATCH($H435,SRC_Model!$A$5:$A$400,0)),INDEX(SRC_Model!$K$5:$K$400,MATCH($H435,SRC_Model!$A$5:$A$400,0)),IF(ISNUMBER(MATCH($H435,SRC_Perf!$A$5:$A$400,0)),INDEX(SRC_Perf!$K$5:$K$400,MATCH($H435,SRC_Perf!$A$5:$A$400,0)),"不存在")))))</f>
        <v>3</v>
      </c>
      <c r="U435" s="52" t="s">
        <v>2341</v>
      </c>
      <c r="V435" s="103" t="n">
        <f aca="false">IF(AND($F435="原始數據",$U435&lt;&gt;"連結 SRC"),1,0)</f>
        <v>0</v>
      </c>
      <c r="W435" s="103" t="n">
        <f aca="false">IF(AND($F435="Analogy",OR($H435="—",$H435="")),1,0)</f>
        <v>0</v>
      </c>
      <c r="X435" s="103" t="n">
        <f aca="false">IF(AND(OR($F435="Analogy",$F435="Assumed"),$G435&lt;&gt;"低",$G435&lt;&gt;"高",NOT(ISNUMBER($K435)),NOT(ISNUMBER($L435)),OR($M435="—",$M435="")),1,0)</f>
        <v>0</v>
      </c>
      <c r="Y435" s="103" t="n">
        <f aca="false">IF(AND(OR($F435="Analogy",$F435="Assumed",$F435="Derived（待改公式）",$F435="Derived（公式）"),OR($N435="—",$N435="",$N435=0)),1,0)</f>
        <v>0</v>
      </c>
      <c r="Z435" s="103" t="n">
        <f aca="false">IF(AND($F435="Decision",OR($J435="—",$J435="")),1,0)</f>
        <v>0</v>
      </c>
      <c r="AA435" s="84" t="n">
        <f aca="false">IF(OR($J435="—",$J435=""),0,IF(COUNTIF(Decisions!$A$5:$A$300,$J435)=0,1,0))</f>
        <v>0</v>
      </c>
      <c r="AB435" s="103" t="n">
        <f aca="false">IF(AND($F435="原始數據",$S435&lt;&gt;"Active"),1,0)</f>
        <v>0</v>
      </c>
      <c r="AC435" s="103" t="n">
        <f aca="false">IF(AND(ISNUMBER($K435),ISNUMBER($L435),ISNUMBER($Q435)),IF(OR($Q435&lt;MIN($K435,$L435),$Q435&gt;MAX($K435,$L435)),1,0),0)</f>
        <v>0</v>
      </c>
      <c r="AD435" s="103" t="n">
        <f aca="false">IF(AND(ISNUMBER($T435),$P435="高"),IF($T435=3,1,0),0)</f>
        <v>0</v>
      </c>
      <c r="AE435" s="103" t="n">
        <f aca="false">IF(AND($S435="不存在",$B435="切片一"),1,0)</f>
        <v>0</v>
      </c>
    </row>
    <row r="436" customFormat="false" ht="29.85" hidden="false" customHeight="false" outlineLevel="0" collapsed="false">
      <c r="A436" s="53" t="s">
        <v>3260</v>
      </c>
      <c r="B436" s="52" t="s">
        <v>3250</v>
      </c>
      <c r="C436" s="53" t="s">
        <v>3251</v>
      </c>
      <c r="D436" s="53" t="s">
        <v>3261</v>
      </c>
      <c r="E436" s="6" t="s">
        <v>911</v>
      </c>
      <c r="F436" s="52" t="s">
        <v>2337</v>
      </c>
      <c r="G436" s="52" t="s">
        <v>2299</v>
      </c>
      <c r="H436" s="53" t="s">
        <v>3262</v>
      </c>
      <c r="I436" s="5" t="s">
        <v>2339</v>
      </c>
      <c r="J436" s="53" t="s">
        <v>554</v>
      </c>
      <c r="K436" s="52"/>
      <c r="L436" s="52"/>
      <c r="M436" s="53" t="s">
        <v>554</v>
      </c>
      <c r="N436" s="5" t="s">
        <v>2340</v>
      </c>
      <c r="O436" s="6" t="s">
        <v>554</v>
      </c>
      <c r="P436" s="52" t="s">
        <v>2307</v>
      </c>
      <c r="Q436" s="86" t="n">
        <f aca="false">Train_In!C42</f>
        <v>2.664</v>
      </c>
      <c r="R436" s="83" t="n">
        <f aca="false">SRC_MOD_040</f>
        <v>2.664</v>
      </c>
      <c r="S436" s="83" t="str">
        <f aca="false">IF(OR($H436="—",$H436=""),"—",IF(ISNUMBER(MATCH($H436,SRC_HW!$A$5:$A$400,0)),INDEX(SRC_HW!$O$5:$O$400,MATCH($H436,SRC_HW!$A$5:$A$400,0)),IF(ISNUMBER(MATCH($H436,SRC_DC!$A$5:$A$400,0)),INDEX(SRC_DC!$O$5:$O$400,MATCH($H436,SRC_DC!$A$5:$A$400,0)),IF(ISNUMBER(MATCH($H436,SRC_Model!$A$5:$A$400,0)),INDEX(SRC_Model!$O$5:$O$400,MATCH($H436,SRC_Model!$A$5:$A$400,0)),IF(ISNUMBER(MATCH($H436,SRC_Perf!$A$5:$A$400,0)),INDEX(SRC_Perf!$O$5:$O$400,MATCH($H436,SRC_Perf!$A$5:$A$400,0)),"不存在")))))</f>
        <v>Active</v>
      </c>
      <c r="T436" s="83" t="n">
        <f aca="false">IF(OR($H436="—",$H436=""),"—",IF(ISNUMBER(MATCH($H436,SRC_HW!$A$5:$A$400,0)),INDEX(SRC_HW!$K$5:$K$400,MATCH($H436,SRC_HW!$A$5:$A$400,0)),IF(ISNUMBER(MATCH($H436,SRC_DC!$A$5:$A$400,0)),INDEX(SRC_DC!$K$5:$K$400,MATCH($H436,SRC_DC!$A$5:$A$400,0)),IF(ISNUMBER(MATCH($H436,SRC_Model!$A$5:$A$400,0)),INDEX(SRC_Model!$K$5:$K$400,MATCH($H436,SRC_Model!$A$5:$A$400,0)),IF(ISNUMBER(MATCH($H436,SRC_Perf!$A$5:$A$400,0)),INDEX(SRC_Perf!$K$5:$K$400,MATCH($H436,SRC_Perf!$A$5:$A$400,0)),"不存在")))))</f>
        <v>3</v>
      </c>
      <c r="U436" s="52" t="s">
        <v>2341</v>
      </c>
      <c r="V436" s="103" t="n">
        <f aca="false">IF(AND($F436="原始數據",$U436&lt;&gt;"連結 SRC"),1,0)</f>
        <v>0</v>
      </c>
      <c r="W436" s="103" t="n">
        <f aca="false">IF(AND($F436="Analogy",OR($H436="—",$H436="")),1,0)</f>
        <v>0</v>
      </c>
      <c r="X436" s="103" t="n">
        <f aca="false">IF(AND(OR($F436="Analogy",$F436="Assumed"),$G436&lt;&gt;"低",$G436&lt;&gt;"高",NOT(ISNUMBER($K436)),NOT(ISNUMBER($L436)),OR($M436="—",$M436="")),1,0)</f>
        <v>0</v>
      </c>
      <c r="Y436" s="103" t="n">
        <f aca="false">IF(AND(OR($F436="Analogy",$F436="Assumed",$F436="Derived（待改公式）",$F436="Derived（公式）"),OR($N436="—",$N436="",$N436=0)),1,0)</f>
        <v>0</v>
      </c>
      <c r="Z436" s="103" t="n">
        <f aca="false">IF(AND($F436="Decision",OR($J436="—",$J436="")),1,0)</f>
        <v>0</v>
      </c>
      <c r="AA436" s="84" t="n">
        <f aca="false">IF(OR($J436="—",$J436=""),0,IF(COUNTIF(Decisions!$A$5:$A$300,$J436)=0,1,0))</f>
        <v>0</v>
      </c>
      <c r="AB436" s="103" t="n">
        <f aca="false">IF(AND($F436="原始數據",$S436&lt;&gt;"Active"),1,0)</f>
        <v>0</v>
      </c>
      <c r="AC436" s="103" t="n">
        <f aca="false">IF(AND(ISNUMBER($K436),ISNUMBER($L436),ISNUMBER($Q436)),IF(OR($Q436&lt;MIN($K436,$L436),$Q436&gt;MAX($K436,$L436)),1,0),0)</f>
        <v>0</v>
      </c>
      <c r="AD436" s="103" t="n">
        <f aca="false">IF(AND(ISNUMBER($T436),$P436="高"),IF($T436=3,1,0),0)</f>
        <v>0</v>
      </c>
      <c r="AE436" s="103" t="n">
        <f aca="false">IF(AND($S436="不存在",$B436="切片一"),1,0)</f>
        <v>0</v>
      </c>
    </row>
    <row r="437" customFormat="false" ht="15" hidden="false" customHeight="false" outlineLevel="0" collapsed="false">
      <c r="A437" s="53" t="s">
        <v>3263</v>
      </c>
      <c r="B437" s="52" t="s">
        <v>3250</v>
      </c>
      <c r="C437" s="53" t="s">
        <v>3251</v>
      </c>
      <c r="D437" s="53" t="s">
        <v>3264</v>
      </c>
      <c r="E437" s="6" t="s">
        <v>914</v>
      </c>
      <c r="F437" s="52" t="s">
        <v>2337</v>
      </c>
      <c r="G437" s="52" t="s">
        <v>2299</v>
      </c>
      <c r="H437" s="53" t="s">
        <v>3265</v>
      </c>
      <c r="I437" s="5" t="s">
        <v>2339</v>
      </c>
      <c r="J437" s="53" t="s">
        <v>554</v>
      </c>
      <c r="K437" s="52"/>
      <c r="L437" s="52"/>
      <c r="M437" s="53" t="s">
        <v>554</v>
      </c>
      <c r="N437" s="5" t="s">
        <v>2340</v>
      </c>
      <c r="O437" s="6" t="s">
        <v>554</v>
      </c>
      <c r="P437" s="52" t="s">
        <v>2307</v>
      </c>
      <c r="Q437" s="54" t="n">
        <f aca="false">Train_In!C43</f>
        <v>4096</v>
      </c>
      <c r="R437" s="83" t="n">
        <f aca="false">SRC_MOD_042</f>
        <v>4096</v>
      </c>
      <c r="S437" s="83" t="str">
        <f aca="false">IF(OR($H437="—",$H437=""),"—",IF(ISNUMBER(MATCH($H437,SRC_HW!$A$5:$A$400,0)),INDEX(SRC_HW!$O$5:$O$400,MATCH($H437,SRC_HW!$A$5:$A$400,0)),IF(ISNUMBER(MATCH($H437,SRC_DC!$A$5:$A$400,0)),INDEX(SRC_DC!$O$5:$O$400,MATCH($H437,SRC_DC!$A$5:$A$400,0)),IF(ISNUMBER(MATCH($H437,SRC_Model!$A$5:$A$400,0)),INDEX(SRC_Model!$O$5:$O$400,MATCH($H437,SRC_Model!$A$5:$A$400,0)),IF(ISNUMBER(MATCH($H437,SRC_Perf!$A$5:$A$400,0)),INDEX(SRC_Perf!$O$5:$O$400,MATCH($H437,SRC_Perf!$A$5:$A$400,0)),"不存在")))))</f>
        <v>Active</v>
      </c>
      <c r="T437" s="83" t="n">
        <f aca="false">IF(OR($H437="—",$H437=""),"—",IF(ISNUMBER(MATCH($H437,SRC_HW!$A$5:$A$400,0)),INDEX(SRC_HW!$K$5:$K$400,MATCH($H437,SRC_HW!$A$5:$A$400,0)),IF(ISNUMBER(MATCH($H437,SRC_DC!$A$5:$A$400,0)),INDEX(SRC_DC!$K$5:$K$400,MATCH($H437,SRC_DC!$A$5:$A$400,0)),IF(ISNUMBER(MATCH($H437,SRC_Model!$A$5:$A$400,0)),INDEX(SRC_Model!$K$5:$K$400,MATCH($H437,SRC_Model!$A$5:$A$400,0)),IF(ISNUMBER(MATCH($H437,SRC_Perf!$A$5:$A$400,0)),INDEX(SRC_Perf!$K$5:$K$400,MATCH($H437,SRC_Perf!$A$5:$A$400,0)),"不存在")))))</f>
        <v>3</v>
      </c>
      <c r="U437" s="52" t="s">
        <v>2341</v>
      </c>
      <c r="V437" s="103" t="n">
        <f aca="false">IF(AND($F437="原始數據",$U437&lt;&gt;"連結 SRC"),1,0)</f>
        <v>0</v>
      </c>
      <c r="W437" s="103" t="n">
        <f aca="false">IF(AND($F437="Analogy",OR($H437="—",$H437="")),1,0)</f>
        <v>0</v>
      </c>
      <c r="X437" s="103" t="n">
        <f aca="false">IF(AND(OR($F437="Analogy",$F437="Assumed"),$G437&lt;&gt;"低",$G437&lt;&gt;"高",NOT(ISNUMBER($K437)),NOT(ISNUMBER($L437)),OR($M437="—",$M437="")),1,0)</f>
        <v>0</v>
      </c>
      <c r="Y437" s="103" t="n">
        <f aca="false">IF(AND(OR($F437="Analogy",$F437="Assumed",$F437="Derived（待改公式）",$F437="Derived（公式）"),OR($N437="—",$N437="",$N437=0)),1,0)</f>
        <v>0</v>
      </c>
      <c r="Z437" s="103" t="n">
        <f aca="false">IF(AND($F437="Decision",OR($J437="—",$J437="")),1,0)</f>
        <v>0</v>
      </c>
      <c r="AA437" s="84" t="n">
        <f aca="false">IF(OR($J437="—",$J437=""),0,IF(COUNTIF(Decisions!$A$5:$A$300,$J437)=0,1,0))</f>
        <v>0</v>
      </c>
      <c r="AB437" s="103" t="n">
        <f aca="false">IF(AND($F437="原始數據",$S437&lt;&gt;"Active"),1,0)</f>
        <v>0</v>
      </c>
      <c r="AC437" s="103" t="n">
        <f aca="false">IF(AND(ISNUMBER($K437),ISNUMBER($L437),ISNUMBER($Q437)),IF(OR($Q437&lt;MIN($K437,$L437),$Q437&gt;MAX($K437,$L437)),1,0),0)</f>
        <v>0</v>
      </c>
      <c r="AD437" s="103" t="n">
        <f aca="false">IF(AND(ISNUMBER($T437),$P437="高"),IF($T437=3,1,0),0)</f>
        <v>0</v>
      </c>
      <c r="AE437" s="103" t="n">
        <f aca="false">IF(AND($S437="不存在",$B437="切片一"),1,0)</f>
        <v>0</v>
      </c>
    </row>
    <row r="438" customFormat="false" ht="15" hidden="false" customHeight="false" outlineLevel="0" collapsed="false">
      <c r="A438" s="53" t="s">
        <v>3266</v>
      </c>
      <c r="B438" s="52" t="s">
        <v>3250</v>
      </c>
      <c r="C438" s="53" t="s">
        <v>3251</v>
      </c>
      <c r="D438" s="53" t="s">
        <v>3267</v>
      </c>
      <c r="E438" s="6" t="s">
        <v>918</v>
      </c>
      <c r="F438" s="52" t="s">
        <v>2337</v>
      </c>
      <c r="G438" s="52" t="s">
        <v>2299</v>
      </c>
      <c r="H438" s="53" t="s">
        <v>3268</v>
      </c>
      <c r="I438" s="5" t="s">
        <v>2339</v>
      </c>
      <c r="J438" s="53" t="s">
        <v>554</v>
      </c>
      <c r="K438" s="52"/>
      <c r="L438" s="52"/>
      <c r="M438" s="53" t="s">
        <v>554</v>
      </c>
      <c r="N438" s="5" t="s">
        <v>2340</v>
      </c>
      <c r="O438" s="6" t="s">
        <v>554</v>
      </c>
      <c r="P438" s="52" t="s">
        <v>2307</v>
      </c>
      <c r="Q438" s="100" t="n">
        <f aca="false">Train_In!C45</f>
        <v>1</v>
      </c>
      <c r="R438" s="83" t="n">
        <f aca="false">SRC_MOD_036</f>
        <v>1</v>
      </c>
      <c r="S438" s="83" t="str">
        <f aca="false">IF(OR($H438="—",$H438=""),"—",IF(ISNUMBER(MATCH($H438,SRC_HW!$A$5:$A$400,0)),INDEX(SRC_HW!$O$5:$O$400,MATCH($H438,SRC_HW!$A$5:$A$400,0)),IF(ISNUMBER(MATCH($H438,SRC_DC!$A$5:$A$400,0)),INDEX(SRC_DC!$O$5:$O$400,MATCH($H438,SRC_DC!$A$5:$A$400,0)),IF(ISNUMBER(MATCH($H438,SRC_Model!$A$5:$A$400,0)),INDEX(SRC_Model!$O$5:$O$400,MATCH($H438,SRC_Model!$A$5:$A$400,0)),IF(ISNUMBER(MATCH($H438,SRC_Perf!$A$5:$A$400,0)),INDEX(SRC_Perf!$O$5:$O$400,MATCH($H438,SRC_Perf!$A$5:$A$400,0)),"不存在")))))</f>
        <v>Active</v>
      </c>
      <c r="T438" s="83" t="n">
        <f aca="false">IF(OR($H438="—",$H438=""),"—",IF(ISNUMBER(MATCH($H438,SRC_HW!$A$5:$A$400,0)),INDEX(SRC_HW!$K$5:$K$400,MATCH($H438,SRC_HW!$A$5:$A$400,0)),IF(ISNUMBER(MATCH($H438,SRC_DC!$A$5:$A$400,0)),INDEX(SRC_DC!$K$5:$K$400,MATCH($H438,SRC_DC!$A$5:$A$400,0)),IF(ISNUMBER(MATCH($H438,SRC_Model!$A$5:$A$400,0)),INDEX(SRC_Model!$K$5:$K$400,MATCH($H438,SRC_Model!$A$5:$A$400,0)),IF(ISNUMBER(MATCH($H438,SRC_Perf!$A$5:$A$400,0)),INDEX(SRC_Perf!$K$5:$K$400,MATCH($H438,SRC_Perf!$A$5:$A$400,0)),"不存在")))))</f>
        <v>1</v>
      </c>
      <c r="U438" s="52" t="s">
        <v>2341</v>
      </c>
      <c r="V438" s="103" t="n">
        <f aca="false">IF(AND($F438="原始數據",$U438&lt;&gt;"連結 SRC"),1,0)</f>
        <v>0</v>
      </c>
      <c r="W438" s="103" t="n">
        <f aca="false">IF(AND($F438="Analogy",OR($H438="—",$H438="")),1,0)</f>
        <v>0</v>
      </c>
      <c r="X438" s="103" t="n">
        <f aca="false">IF(AND(OR($F438="Analogy",$F438="Assumed"),$G438&lt;&gt;"低",$G438&lt;&gt;"高",NOT(ISNUMBER($K438)),NOT(ISNUMBER($L438)),OR($M438="—",$M438="")),1,0)</f>
        <v>0</v>
      </c>
      <c r="Y438" s="103" t="n">
        <f aca="false">IF(AND(OR($F438="Analogy",$F438="Assumed",$F438="Derived（待改公式）",$F438="Derived（公式）"),OR($N438="—",$N438="",$N438=0)),1,0)</f>
        <v>0</v>
      </c>
      <c r="Z438" s="103" t="n">
        <f aca="false">IF(AND($F438="Decision",OR($J438="—",$J438="")),1,0)</f>
        <v>0</v>
      </c>
      <c r="AA438" s="84" t="n">
        <f aca="false">IF(OR($J438="—",$J438=""),0,IF(COUNTIF(Decisions!$A$5:$A$300,$J438)=0,1,0))</f>
        <v>0</v>
      </c>
      <c r="AB438" s="103" t="n">
        <f aca="false">IF(AND($F438="原始數據",$S438&lt;&gt;"Active"),1,0)</f>
        <v>0</v>
      </c>
      <c r="AC438" s="103" t="n">
        <f aca="false">IF(AND(ISNUMBER($K438),ISNUMBER($L438),ISNUMBER($Q438)),IF(OR($Q438&lt;MIN($K438,$L438),$Q438&gt;MAX($K438,$L438)),1,0),0)</f>
        <v>0</v>
      </c>
      <c r="AD438" s="103" t="n">
        <f aca="false">IF(AND(ISNUMBER($T438),$P438="高"),IF($T438=3,1,0),0)</f>
        <v>0</v>
      </c>
      <c r="AE438" s="103" t="n">
        <f aca="false">IF(AND($S438="不存在",$B438="切片一"),1,0)</f>
        <v>0</v>
      </c>
    </row>
    <row r="439" customFormat="false" ht="29.85" hidden="false" customHeight="false" outlineLevel="0" collapsed="false">
      <c r="A439" s="53" t="s">
        <v>3269</v>
      </c>
      <c r="B439" s="52" t="s">
        <v>3250</v>
      </c>
      <c r="C439" s="53" t="s">
        <v>22</v>
      </c>
      <c r="D439" s="53" t="s">
        <v>3270</v>
      </c>
      <c r="E439" s="6" t="s">
        <v>601</v>
      </c>
      <c r="F439" s="52" t="s">
        <v>2337</v>
      </c>
      <c r="G439" s="52" t="s">
        <v>2299</v>
      </c>
      <c r="H439" s="53" t="s">
        <v>3271</v>
      </c>
      <c r="I439" s="5" t="s">
        <v>3272</v>
      </c>
      <c r="J439" s="53" t="s">
        <v>554</v>
      </c>
      <c r="K439" s="52"/>
      <c r="L439" s="52"/>
      <c r="M439" s="53" t="s">
        <v>554</v>
      </c>
      <c r="N439" s="6" t="s">
        <v>3273</v>
      </c>
      <c r="O439" s="6" t="s">
        <v>554</v>
      </c>
      <c r="P439" s="52" t="s">
        <v>2307</v>
      </c>
      <c r="Q439" s="84" t="n">
        <f aca="false">Tech_Registry!J14</f>
        <v>4</v>
      </c>
      <c r="R439" s="83" t="n">
        <f aca="false">SRC_MOD_043</f>
        <v>1</v>
      </c>
      <c r="S439" s="83" t="str">
        <f aca="false">IF(OR($H439="—",$H439=""),"—",IF(ISNUMBER(MATCH($H439,SRC_HW!$A$5:$A$400,0)),INDEX(SRC_HW!$O$5:$O$400,MATCH($H439,SRC_HW!$A$5:$A$400,0)),IF(ISNUMBER(MATCH($H439,SRC_DC!$A$5:$A$400,0)),INDEX(SRC_DC!$O$5:$O$400,MATCH($H439,SRC_DC!$A$5:$A$400,0)),IF(ISNUMBER(MATCH($H439,SRC_Model!$A$5:$A$400,0)),INDEX(SRC_Model!$O$5:$O$400,MATCH($H439,SRC_Model!$A$5:$A$400,0)),IF(ISNUMBER(MATCH($H439,SRC_Perf!$A$5:$A$400,0)),INDEX(SRC_Perf!$O$5:$O$400,MATCH($H439,SRC_Perf!$A$5:$A$400,0)),"不存在")))))</f>
        <v>Active</v>
      </c>
      <c r="T439" s="83" t="n">
        <f aca="false">IF(OR($H439="—",$H439=""),"—",IF(ISNUMBER(MATCH($H439,SRC_HW!$A$5:$A$400,0)),INDEX(SRC_HW!$K$5:$K$400,MATCH($H439,SRC_HW!$A$5:$A$400,0)),IF(ISNUMBER(MATCH($H439,SRC_DC!$A$5:$A$400,0)),INDEX(SRC_DC!$K$5:$K$400,MATCH($H439,SRC_DC!$A$5:$A$400,0)),IF(ISNUMBER(MATCH($H439,SRC_Model!$A$5:$A$400,0)),INDEX(SRC_Model!$K$5:$K$400,MATCH($H439,SRC_Model!$A$5:$A$400,0)),IF(ISNUMBER(MATCH($H439,SRC_Perf!$A$5:$A$400,0)),INDEX(SRC_Perf!$K$5:$K$400,MATCH($H439,SRC_Perf!$A$5:$A$400,0)),"不存在")))))</f>
        <v>1</v>
      </c>
      <c r="U439" s="52" t="s">
        <v>2341</v>
      </c>
      <c r="V439" s="103" t="n">
        <f aca="false">IF(AND($F439="原始數據",$U439&lt;&gt;"連結 SRC"),1,0)</f>
        <v>0</v>
      </c>
      <c r="W439" s="103" t="n">
        <f aca="false">IF(AND($F439="Analogy",OR($H439="—",$H439="")),1,0)</f>
        <v>0</v>
      </c>
      <c r="X439" s="103" t="n">
        <f aca="false">IF(AND(OR($F439="Analogy",$F439="Assumed"),$G439&lt;&gt;"低",$G439&lt;&gt;"高",NOT(ISNUMBER($K439)),NOT(ISNUMBER($L439)),OR($M439="—",$M439="")),1,0)</f>
        <v>0</v>
      </c>
      <c r="Y439" s="103" t="n">
        <f aca="false">IF(AND(OR($F439="Analogy",$F439="Assumed",$F439="Derived（待改公式）",$F439="Derived（公式）"),OR($N439="—",$N439="",$N439=0)),1,0)</f>
        <v>0</v>
      </c>
      <c r="Z439" s="103" t="n">
        <f aca="false">IF(AND($F439="Decision",OR($J439="—",$J439="")),1,0)</f>
        <v>0</v>
      </c>
      <c r="AA439" s="84" t="n">
        <f aca="false">IF(OR($J439="—",$J439=""),0,IF(COUNTIF(Decisions!$A$5:$A$300,$J439)=0,1,0))</f>
        <v>0</v>
      </c>
      <c r="AB439" s="103" t="n">
        <f aca="false">IF(AND($F439="原始數據",$S439&lt;&gt;"Active"),1,0)</f>
        <v>0</v>
      </c>
      <c r="AC439" s="103" t="n">
        <f aca="false">IF(AND(ISNUMBER($K439),ISNUMBER($L439),ISNUMBER($Q439)),IF(OR($Q439&lt;MIN($K439,$L439),$Q439&gt;MAX($K439,$L439)),1,0),0)</f>
        <v>0</v>
      </c>
      <c r="AD439" s="103" t="n">
        <f aca="false">IF(AND(ISNUMBER($T439),$P439="高"),IF($T439=3,1,0),0)</f>
        <v>0</v>
      </c>
      <c r="AE439" s="103" t="n">
        <f aca="false">IF(AND($S439="不存在",$B439="切片一"),1,0)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10"/>
  </cols>
  <sheetData>
    <row r="1" customFormat="false" ht="20.1" hidden="false" customHeight="false" outlineLevel="0" collapsed="false">
      <c r="A1" s="49" t="s">
        <v>3274</v>
      </c>
    </row>
    <row r="2" customFormat="false" ht="15" hidden="false" customHeight="false" outlineLevel="0" collapsed="false">
      <c r="A2" s="50" t="s">
        <v>3275</v>
      </c>
    </row>
    <row r="4" customFormat="false" ht="29.85" hidden="false" customHeight="false" outlineLevel="0" collapsed="false">
      <c r="A4" s="74" t="s">
        <v>2276</v>
      </c>
      <c r="B4" s="74" t="s">
        <v>2272</v>
      </c>
      <c r="C4" s="74" t="s">
        <v>310</v>
      </c>
      <c r="D4" s="74" t="s">
        <v>3276</v>
      </c>
      <c r="E4" s="74" t="s">
        <v>3277</v>
      </c>
      <c r="F4" s="75" t="s">
        <v>3278</v>
      </c>
      <c r="G4" s="74" t="s">
        <v>541</v>
      </c>
      <c r="H4" s="74" t="s">
        <v>3279</v>
      </c>
      <c r="I4" s="74" t="s">
        <v>3280</v>
      </c>
      <c r="J4" s="74" t="s">
        <v>3281</v>
      </c>
    </row>
    <row r="5" customFormat="false" ht="29.85" hidden="false" customHeight="false" outlineLevel="0" collapsed="false">
      <c r="A5" s="53" t="s">
        <v>2300</v>
      </c>
      <c r="B5" s="53" t="s">
        <v>3282</v>
      </c>
      <c r="C5" s="5" t="s">
        <v>6</v>
      </c>
      <c r="D5" s="6" t="s">
        <v>3283</v>
      </c>
      <c r="E5" s="53" t="s">
        <v>3284</v>
      </c>
      <c r="F5" s="6" t="s">
        <v>554</v>
      </c>
      <c r="G5" s="52" t="s">
        <v>3285</v>
      </c>
      <c r="H5" s="6" t="s">
        <v>3286</v>
      </c>
      <c r="I5" s="52" t="s">
        <v>3287</v>
      </c>
      <c r="J5" s="52" t="s">
        <v>557</v>
      </c>
    </row>
    <row r="6" customFormat="false" ht="29.85" hidden="false" customHeight="false" outlineLevel="0" collapsed="false">
      <c r="A6" s="53" t="s">
        <v>3288</v>
      </c>
      <c r="B6" s="53" t="s">
        <v>3282</v>
      </c>
      <c r="C6" s="5" t="s">
        <v>134</v>
      </c>
      <c r="D6" s="6" t="s">
        <v>3289</v>
      </c>
      <c r="E6" s="53" t="s">
        <v>3284</v>
      </c>
      <c r="F6" s="6" t="s">
        <v>554</v>
      </c>
      <c r="G6" s="52" t="s">
        <v>3285</v>
      </c>
      <c r="H6" s="6" t="s">
        <v>554</v>
      </c>
      <c r="I6" s="52" t="s">
        <v>3287</v>
      </c>
      <c r="J6" s="52" t="s">
        <v>557</v>
      </c>
    </row>
    <row r="7" customFormat="false" ht="29.85" hidden="false" customHeight="false" outlineLevel="0" collapsed="false">
      <c r="A7" s="53" t="s">
        <v>2305</v>
      </c>
      <c r="B7" s="53" t="s">
        <v>3282</v>
      </c>
      <c r="C7" s="6" t="s">
        <v>3290</v>
      </c>
      <c r="D7" s="5" t="s">
        <v>3291</v>
      </c>
      <c r="E7" s="53" t="s">
        <v>3284</v>
      </c>
      <c r="F7" s="6" t="s">
        <v>554</v>
      </c>
      <c r="G7" s="52" t="s">
        <v>3285</v>
      </c>
      <c r="H7" s="6" t="s">
        <v>3292</v>
      </c>
      <c r="I7" s="52" t="s">
        <v>3287</v>
      </c>
      <c r="J7" s="52" t="s">
        <v>557</v>
      </c>
    </row>
    <row r="8" customFormat="false" ht="29.85" hidden="false" customHeight="false" outlineLevel="0" collapsed="false">
      <c r="A8" s="53" t="s">
        <v>2437</v>
      </c>
      <c r="B8" s="53" t="s">
        <v>3282</v>
      </c>
      <c r="C8" s="5" t="s">
        <v>3293</v>
      </c>
      <c r="D8" s="5" t="s">
        <v>3294</v>
      </c>
      <c r="E8" s="53" t="s">
        <v>3284</v>
      </c>
      <c r="F8" s="6" t="s">
        <v>554</v>
      </c>
      <c r="G8" s="52" t="s">
        <v>3285</v>
      </c>
      <c r="H8" s="6" t="s">
        <v>3295</v>
      </c>
      <c r="I8" s="52" t="s">
        <v>3287</v>
      </c>
      <c r="J8" s="52" t="s">
        <v>557</v>
      </c>
    </row>
    <row r="9" customFormat="false" ht="15" hidden="false" customHeight="false" outlineLevel="0" collapsed="false">
      <c r="A9" s="53" t="s">
        <v>2924</v>
      </c>
      <c r="B9" s="53" t="s">
        <v>3282</v>
      </c>
      <c r="C9" s="5" t="s">
        <v>219</v>
      </c>
      <c r="D9" s="5" t="s">
        <v>3296</v>
      </c>
      <c r="E9" s="53" t="s">
        <v>3284</v>
      </c>
      <c r="F9" s="6" t="s">
        <v>554</v>
      </c>
      <c r="G9" s="52" t="s">
        <v>3285</v>
      </c>
      <c r="H9" s="6" t="s">
        <v>554</v>
      </c>
      <c r="I9" s="52" t="s">
        <v>3287</v>
      </c>
      <c r="J9" s="52" t="s">
        <v>557</v>
      </c>
    </row>
    <row r="10" customFormat="false" ht="15" hidden="false" customHeight="false" outlineLevel="0" collapsed="false">
      <c r="A10" s="53" t="s">
        <v>2465</v>
      </c>
      <c r="B10" s="53" t="s">
        <v>3282</v>
      </c>
      <c r="C10" s="5" t="s">
        <v>3297</v>
      </c>
      <c r="D10" s="6" t="s">
        <v>3298</v>
      </c>
      <c r="E10" s="53" t="s">
        <v>3284</v>
      </c>
      <c r="F10" s="6" t="s">
        <v>554</v>
      </c>
      <c r="G10" s="52" t="s">
        <v>3285</v>
      </c>
      <c r="H10" s="6" t="s">
        <v>554</v>
      </c>
      <c r="I10" s="52" t="s">
        <v>3287</v>
      </c>
      <c r="J10" s="52" t="s">
        <v>557</v>
      </c>
    </row>
    <row r="11" customFormat="false" ht="15" hidden="false" customHeight="false" outlineLevel="0" collapsed="false">
      <c r="A11" s="53" t="s">
        <v>2770</v>
      </c>
      <c r="B11" s="53" t="s">
        <v>3282</v>
      </c>
      <c r="C11" s="5" t="s">
        <v>3299</v>
      </c>
      <c r="D11" s="6" t="s">
        <v>3300</v>
      </c>
      <c r="E11" s="53" t="s">
        <v>3284</v>
      </c>
      <c r="F11" s="6" t="s">
        <v>554</v>
      </c>
      <c r="G11" s="52" t="s">
        <v>3285</v>
      </c>
      <c r="H11" s="6" t="s">
        <v>554</v>
      </c>
      <c r="I11" s="52" t="s">
        <v>3287</v>
      </c>
      <c r="J11" s="52" t="s">
        <v>557</v>
      </c>
    </row>
    <row r="12" customFormat="false" ht="26.85" hidden="false" customHeight="false" outlineLevel="0" collapsed="false">
      <c r="A12" s="53" t="s">
        <v>2478</v>
      </c>
      <c r="B12" s="53" t="s">
        <v>3282</v>
      </c>
      <c r="C12" s="5" t="s">
        <v>3301</v>
      </c>
      <c r="D12" s="6" t="s">
        <v>3302</v>
      </c>
      <c r="E12" s="53" t="s">
        <v>3284</v>
      </c>
      <c r="F12" s="6" t="s">
        <v>554</v>
      </c>
      <c r="G12" s="52" t="s">
        <v>3285</v>
      </c>
      <c r="H12" s="6" t="s">
        <v>554</v>
      </c>
      <c r="I12" s="52" t="s">
        <v>3287</v>
      </c>
      <c r="J12" s="52" t="s">
        <v>557</v>
      </c>
    </row>
    <row r="13" customFormat="false" ht="15" hidden="false" customHeight="false" outlineLevel="0" collapsed="false">
      <c r="A13" s="53" t="s">
        <v>2314</v>
      </c>
      <c r="B13" s="53" t="s">
        <v>3282</v>
      </c>
      <c r="C13" s="5" t="s">
        <v>3303</v>
      </c>
      <c r="D13" s="5" t="s">
        <v>3304</v>
      </c>
      <c r="E13" s="53" t="s">
        <v>3284</v>
      </c>
      <c r="F13" s="6" t="s">
        <v>554</v>
      </c>
      <c r="G13" s="52" t="s">
        <v>3285</v>
      </c>
      <c r="H13" s="6" t="s">
        <v>554</v>
      </c>
      <c r="I13" s="52" t="s">
        <v>3287</v>
      </c>
      <c r="J13" s="52" t="s">
        <v>557</v>
      </c>
    </row>
    <row r="14" customFormat="false" ht="15" hidden="false" customHeight="false" outlineLevel="0" collapsed="false">
      <c r="A14" s="53" t="s">
        <v>2320</v>
      </c>
      <c r="B14" s="53" t="s">
        <v>3282</v>
      </c>
      <c r="C14" s="6" t="s">
        <v>834</v>
      </c>
      <c r="D14" s="5" t="s">
        <v>3305</v>
      </c>
      <c r="E14" s="53" t="s">
        <v>3284</v>
      </c>
      <c r="F14" s="6" t="s">
        <v>554</v>
      </c>
      <c r="G14" s="52" t="s">
        <v>3285</v>
      </c>
      <c r="H14" s="6" t="s">
        <v>3306</v>
      </c>
      <c r="I14" s="52" t="s">
        <v>3287</v>
      </c>
      <c r="J14" s="52" t="s">
        <v>557</v>
      </c>
    </row>
    <row r="15" customFormat="false" ht="29.85" hidden="false" customHeight="false" outlineLevel="0" collapsed="false">
      <c r="A15" s="53" t="s">
        <v>2327</v>
      </c>
      <c r="B15" s="53" t="s">
        <v>3282</v>
      </c>
      <c r="C15" s="5" t="s">
        <v>3307</v>
      </c>
      <c r="D15" s="6" t="s">
        <v>3308</v>
      </c>
      <c r="E15" s="53" t="s">
        <v>3284</v>
      </c>
      <c r="F15" s="6" t="s">
        <v>554</v>
      </c>
      <c r="G15" s="52" t="s">
        <v>3285</v>
      </c>
      <c r="H15" s="6" t="s">
        <v>554</v>
      </c>
      <c r="I15" s="52" t="s">
        <v>3287</v>
      </c>
      <c r="J15" s="52" t="s">
        <v>557</v>
      </c>
    </row>
    <row r="16" customFormat="false" ht="15" hidden="false" customHeight="false" outlineLevel="0" collapsed="false">
      <c r="A16" s="53" t="s">
        <v>2852</v>
      </c>
      <c r="B16" s="53" t="s">
        <v>3309</v>
      </c>
      <c r="C16" s="6" t="s">
        <v>3310</v>
      </c>
      <c r="D16" s="5" t="s">
        <v>3311</v>
      </c>
      <c r="E16" s="53" t="s">
        <v>3284</v>
      </c>
      <c r="F16" s="6" t="s">
        <v>554</v>
      </c>
      <c r="G16" s="52" t="s">
        <v>3285</v>
      </c>
      <c r="H16" s="6" t="s">
        <v>3312</v>
      </c>
      <c r="I16" s="52" t="s">
        <v>3287</v>
      </c>
      <c r="J16" s="52" t="s">
        <v>557</v>
      </c>
    </row>
    <row r="17" customFormat="false" ht="15" hidden="false" customHeight="false" outlineLevel="0" collapsed="false">
      <c r="A17" s="53" t="s">
        <v>2894</v>
      </c>
      <c r="B17" s="53" t="s">
        <v>3309</v>
      </c>
      <c r="C17" s="6" t="s">
        <v>3313</v>
      </c>
      <c r="D17" s="5" t="s">
        <v>3314</v>
      </c>
      <c r="E17" s="53" t="s">
        <v>3284</v>
      </c>
      <c r="F17" s="6" t="s">
        <v>554</v>
      </c>
      <c r="G17" s="52" t="s">
        <v>3285</v>
      </c>
      <c r="H17" s="6" t="s">
        <v>3315</v>
      </c>
      <c r="I17" s="52" t="s">
        <v>3287</v>
      </c>
      <c r="J17" s="52" t="s">
        <v>557</v>
      </c>
    </row>
    <row r="18" customFormat="false" ht="29.85" hidden="false" customHeight="false" outlineLevel="0" collapsed="false">
      <c r="A18" s="53" t="s">
        <v>2898</v>
      </c>
      <c r="B18" s="53" t="s">
        <v>3309</v>
      </c>
      <c r="C18" s="6" t="s">
        <v>3316</v>
      </c>
      <c r="D18" s="5" t="s">
        <v>3317</v>
      </c>
      <c r="E18" s="53" t="s">
        <v>3284</v>
      </c>
      <c r="F18" s="6" t="s">
        <v>554</v>
      </c>
      <c r="G18" s="52" t="s">
        <v>3285</v>
      </c>
      <c r="H18" s="6" t="s">
        <v>3318</v>
      </c>
      <c r="I18" s="52" t="s">
        <v>3287</v>
      </c>
      <c r="J18" s="52" t="s">
        <v>557</v>
      </c>
    </row>
    <row r="19" customFormat="false" ht="15" hidden="false" customHeight="false" outlineLevel="0" collapsed="false">
      <c r="A19" s="53" t="s">
        <v>3319</v>
      </c>
      <c r="B19" s="53" t="s">
        <v>3309</v>
      </c>
      <c r="C19" s="6" t="s">
        <v>3320</v>
      </c>
      <c r="D19" s="5" t="s">
        <v>3321</v>
      </c>
      <c r="E19" s="53" t="s">
        <v>3284</v>
      </c>
      <c r="F19" s="6" t="s">
        <v>554</v>
      </c>
      <c r="G19" s="52" t="s">
        <v>3285</v>
      </c>
      <c r="H19" s="6" t="s">
        <v>554</v>
      </c>
      <c r="I19" s="52" t="s">
        <v>3287</v>
      </c>
      <c r="J19" s="52" t="s">
        <v>557</v>
      </c>
    </row>
    <row r="20" customFormat="false" ht="15" hidden="false" customHeight="false" outlineLevel="0" collapsed="false">
      <c r="A20" s="53" t="s">
        <v>3322</v>
      </c>
      <c r="B20" s="53" t="s">
        <v>3309</v>
      </c>
      <c r="C20" s="5" t="s">
        <v>3323</v>
      </c>
      <c r="D20" s="5" t="s">
        <v>3324</v>
      </c>
      <c r="E20" s="53" t="s">
        <v>3284</v>
      </c>
      <c r="F20" s="6" t="s">
        <v>554</v>
      </c>
      <c r="G20" s="52" t="s">
        <v>3285</v>
      </c>
      <c r="H20" s="6" t="s">
        <v>554</v>
      </c>
      <c r="I20" s="52" t="s">
        <v>3287</v>
      </c>
      <c r="J20" s="52" t="s">
        <v>557</v>
      </c>
    </row>
    <row r="21" customFormat="false" ht="15" hidden="false" customHeight="false" outlineLevel="0" collapsed="false">
      <c r="A21" s="53" t="s">
        <v>3325</v>
      </c>
      <c r="B21" s="53" t="s">
        <v>3309</v>
      </c>
      <c r="C21" s="5" t="s">
        <v>3326</v>
      </c>
      <c r="D21" s="6" t="s">
        <v>3327</v>
      </c>
      <c r="E21" s="53" t="s">
        <v>3284</v>
      </c>
      <c r="F21" s="6" t="s">
        <v>554</v>
      </c>
      <c r="G21" s="52" t="s">
        <v>3328</v>
      </c>
      <c r="H21" s="6" t="s">
        <v>3329</v>
      </c>
      <c r="I21" s="52" t="s">
        <v>3287</v>
      </c>
      <c r="J21" s="52" t="s">
        <v>557</v>
      </c>
    </row>
    <row r="22" customFormat="false" ht="29.85" hidden="false" customHeight="false" outlineLevel="0" collapsed="false">
      <c r="A22" s="53" t="s">
        <v>3330</v>
      </c>
      <c r="B22" s="53" t="s">
        <v>3309</v>
      </c>
      <c r="C22" s="5" t="s">
        <v>3331</v>
      </c>
      <c r="D22" s="6" t="s">
        <v>3332</v>
      </c>
      <c r="E22" s="53" t="s">
        <v>3284</v>
      </c>
      <c r="F22" s="5" t="s">
        <v>3333</v>
      </c>
      <c r="G22" s="52" t="s">
        <v>3328</v>
      </c>
      <c r="H22" s="6" t="s">
        <v>3334</v>
      </c>
      <c r="I22" s="52" t="s">
        <v>3287</v>
      </c>
      <c r="J22" s="52" t="s">
        <v>557</v>
      </c>
    </row>
    <row r="23" customFormat="false" ht="29.85" hidden="false" customHeight="false" outlineLevel="0" collapsed="false">
      <c r="A23" s="53" t="s">
        <v>3335</v>
      </c>
      <c r="B23" s="52" t="s">
        <v>3336</v>
      </c>
      <c r="C23" s="5" t="s">
        <v>46</v>
      </c>
      <c r="D23" s="6" t="s">
        <v>3337</v>
      </c>
      <c r="E23" s="53" t="s">
        <v>3338</v>
      </c>
      <c r="F23" s="6" t="s">
        <v>554</v>
      </c>
      <c r="G23" s="52" t="s">
        <v>3285</v>
      </c>
      <c r="H23" s="6" t="s">
        <v>554</v>
      </c>
      <c r="I23" s="52" t="s">
        <v>3287</v>
      </c>
      <c r="J23" s="52" t="s">
        <v>557</v>
      </c>
    </row>
    <row r="24" customFormat="false" ht="15" hidden="false" customHeight="false" outlineLevel="0" collapsed="false">
      <c r="A24" s="53" t="s">
        <v>3339</v>
      </c>
      <c r="B24" s="53" t="s">
        <v>3309</v>
      </c>
      <c r="C24" s="5" t="s">
        <v>3340</v>
      </c>
      <c r="D24" s="6" t="s">
        <v>3341</v>
      </c>
      <c r="E24" s="53" t="s">
        <v>3284</v>
      </c>
      <c r="F24" s="6" t="s">
        <v>554</v>
      </c>
      <c r="G24" s="52" t="s">
        <v>3285</v>
      </c>
      <c r="H24" s="6" t="s">
        <v>554</v>
      </c>
      <c r="I24" s="52" t="s">
        <v>3287</v>
      </c>
      <c r="J24" s="52" t="s">
        <v>557</v>
      </c>
    </row>
    <row r="25" customFormat="false" ht="29.85" hidden="false" customHeight="false" outlineLevel="0" collapsed="false">
      <c r="A25" s="53" t="s">
        <v>3342</v>
      </c>
      <c r="B25" s="53" t="s">
        <v>3309</v>
      </c>
      <c r="C25" s="6" t="s">
        <v>3343</v>
      </c>
      <c r="D25" s="5" t="s">
        <v>3344</v>
      </c>
      <c r="E25" s="53" t="s">
        <v>3284</v>
      </c>
      <c r="F25" s="6" t="s">
        <v>554</v>
      </c>
      <c r="G25" s="52" t="s">
        <v>3285</v>
      </c>
      <c r="H25" s="6" t="s">
        <v>554</v>
      </c>
      <c r="I25" s="52" t="s">
        <v>3287</v>
      </c>
      <c r="J25" s="52" t="s">
        <v>557</v>
      </c>
    </row>
    <row r="26" customFormat="false" ht="44" hidden="false" customHeight="false" outlineLevel="0" collapsed="false">
      <c r="A26" s="53" t="s">
        <v>3345</v>
      </c>
      <c r="B26" s="53" t="s">
        <v>3309</v>
      </c>
      <c r="C26" s="6" t="s">
        <v>3346</v>
      </c>
      <c r="D26" s="5" t="s">
        <v>3347</v>
      </c>
      <c r="E26" s="53" t="s">
        <v>1164</v>
      </c>
      <c r="F26" s="6" t="s">
        <v>554</v>
      </c>
      <c r="G26" s="52" t="s">
        <v>3285</v>
      </c>
      <c r="H26" s="6" t="s">
        <v>554</v>
      </c>
      <c r="I26" s="52" t="s">
        <v>3287</v>
      </c>
      <c r="J26" s="52" t="s">
        <v>557</v>
      </c>
    </row>
    <row r="27" customFormat="false" ht="15" hidden="false" customHeight="false" outlineLevel="0" collapsed="false">
      <c r="A27" s="53" t="s">
        <v>3348</v>
      </c>
      <c r="B27" s="53" t="s">
        <v>3309</v>
      </c>
      <c r="C27" s="5" t="s">
        <v>1028</v>
      </c>
      <c r="D27" s="5" t="s">
        <v>3349</v>
      </c>
      <c r="E27" s="53" t="s">
        <v>3284</v>
      </c>
      <c r="F27" s="6" t="s">
        <v>554</v>
      </c>
      <c r="G27" s="52" t="s">
        <v>3285</v>
      </c>
      <c r="H27" s="6" t="s">
        <v>554</v>
      </c>
      <c r="I27" s="52" t="s">
        <v>3287</v>
      </c>
      <c r="J27" s="52" t="s">
        <v>557</v>
      </c>
    </row>
    <row r="28" customFormat="false" ht="15" hidden="false" customHeight="false" outlineLevel="0" collapsed="false">
      <c r="A28" s="53" t="s">
        <v>3350</v>
      </c>
      <c r="B28" s="53" t="s">
        <v>3309</v>
      </c>
      <c r="C28" s="5" t="s">
        <v>3351</v>
      </c>
      <c r="D28" s="6" t="s">
        <v>3352</v>
      </c>
      <c r="E28" s="53" t="s">
        <v>3284</v>
      </c>
      <c r="F28" s="6" t="s">
        <v>554</v>
      </c>
      <c r="G28" s="52" t="s">
        <v>3285</v>
      </c>
      <c r="H28" s="6" t="s">
        <v>554</v>
      </c>
      <c r="I28" s="52" t="s">
        <v>3287</v>
      </c>
      <c r="J28" s="52" t="s">
        <v>557</v>
      </c>
    </row>
    <row r="29" customFormat="false" ht="15" hidden="false" customHeight="false" outlineLevel="0" collapsed="false">
      <c r="A29" s="53" t="s">
        <v>3353</v>
      </c>
      <c r="B29" s="53" t="s">
        <v>3309</v>
      </c>
      <c r="C29" s="6" t="s">
        <v>3354</v>
      </c>
      <c r="D29" s="6" t="s">
        <v>3355</v>
      </c>
      <c r="E29" s="53" t="s">
        <v>3284</v>
      </c>
      <c r="F29" s="6" t="s">
        <v>554</v>
      </c>
      <c r="G29" s="52" t="s">
        <v>3285</v>
      </c>
      <c r="H29" s="6" t="s">
        <v>554</v>
      </c>
      <c r="I29" s="52" t="s">
        <v>3287</v>
      </c>
      <c r="J29" s="52" t="s">
        <v>557</v>
      </c>
    </row>
    <row r="30" customFormat="false" ht="15" hidden="false" customHeight="false" outlineLevel="0" collapsed="false">
      <c r="A30" s="53" t="s">
        <v>3356</v>
      </c>
      <c r="B30" s="53" t="s">
        <v>3309</v>
      </c>
      <c r="C30" s="5" t="s">
        <v>3357</v>
      </c>
      <c r="D30" s="6" t="s">
        <v>3358</v>
      </c>
      <c r="E30" s="53" t="s">
        <v>3338</v>
      </c>
      <c r="F30" s="6" t="s">
        <v>554</v>
      </c>
      <c r="G30" s="52" t="s">
        <v>3285</v>
      </c>
      <c r="H30" s="6" t="s">
        <v>3359</v>
      </c>
      <c r="I30" s="52" t="s">
        <v>3287</v>
      </c>
      <c r="J30" s="52" t="s">
        <v>557</v>
      </c>
    </row>
    <row r="31" customFormat="false" ht="15" hidden="false" customHeight="false" outlineLevel="0" collapsed="false">
      <c r="A31" s="53" t="s">
        <v>3270</v>
      </c>
      <c r="B31" s="53" t="s">
        <v>3309</v>
      </c>
      <c r="C31" s="5" t="s">
        <v>3360</v>
      </c>
      <c r="D31" s="5" t="s">
        <v>3361</v>
      </c>
      <c r="E31" s="53" t="s">
        <v>3284</v>
      </c>
      <c r="F31" s="6" t="s">
        <v>554</v>
      </c>
      <c r="G31" s="52" t="s">
        <v>3285</v>
      </c>
      <c r="H31" s="6" t="s">
        <v>554</v>
      </c>
      <c r="I31" s="52" t="s">
        <v>3287</v>
      </c>
      <c r="J31" s="52" t="s">
        <v>557</v>
      </c>
    </row>
    <row r="32" customFormat="false" ht="44" hidden="false" customHeight="false" outlineLevel="0" collapsed="false">
      <c r="A32" s="53" t="s">
        <v>3362</v>
      </c>
      <c r="B32" s="52" t="s">
        <v>3336</v>
      </c>
      <c r="C32" s="5" t="s">
        <v>3363</v>
      </c>
      <c r="D32" s="6" t="s">
        <v>3364</v>
      </c>
      <c r="E32" s="53" t="s">
        <v>3365</v>
      </c>
      <c r="F32" s="6" t="s">
        <v>554</v>
      </c>
      <c r="G32" s="52" t="s">
        <v>3285</v>
      </c>
      <c r="H32" s="6" t="s">
        <v>554</v>
      </c>
      <c r="I32" s="52" t="s">
        <v>3287</v>
      </c>
      <c r="J32" s="52" t="s">
        <v>557</v>
      </c>
    </row>
    <row r="33" customFormat="false" ht="44" hidden="false" customHeight="false" outlineLevel="0" collapsed="false">
      <c r="A33" s="53" t="s">
        <v>3366</v>
      </c>
      <c r="B33" s="52" t="s">
        <v>3336</v>
      </c>
      <c r="C33" s="6" t="s">
        <v>3367</v>
      </c>
      <c r="D33" s="5" t="s">
        <v>3368</v>
      </c>
      <c r="E33" s="53" t="s">
        <v>3284</v>
      </c>
      <c r="F33" s="6" t="s">
        <v>554</v>
      </c>
      <c r="G33" s="52" t="s">
        <v>3285</v>
      </c>
      <c r="H33" s="6" t="s">
        <v>554</v>
      </c>
      <c r="I33" s="52" t="s">
        <v>3287</v>
      </c>
      <c r="J33" s="52" t="s">
        <v>557</v>
      </c>
    </row>
    <row r="34" customFormat="false" ht="44" hidden="false" customHeight="false" outlineLevel="0" collapsed="false">
      <c r="A34" s="53" t="s">
        <v>3369</v>
      </c>
      <c r="B34" s="52" t="s">
        <v>3336</v>
      </c>
      <c r="C34" s="6" t="s">
        <v>3370</v>
      </c>
      <c r="D34" s="5" t="s">
        <v>3371</v>
      </c>
      <c r="E34" s="53" t="s">
        <v>1164</v>
      </c>
      <c r="F34" s="6" t="s">
        <v>554</v>
      </c>
      <c r="G34" s="52" t="s">
        <v>3285</v>
      </c>
      <c r="H34" s="6" t="s">
        <v>554</v>
      </c>
      <c r="I34" s="52" t="s">
        <v>3287</v>
      </c>
      <c r="J34" s="52" t="s">
        <v>557</v>
      </c>
    </row>
    <row r="35" customFormat="false" ht="44" hidden="false" customHeight="false" outlineLevel="0" collapsed="false">
      <c r="A35" s="53" t="s">
        <v>3372</v>
      </c>
      <c r="B35" s="52" t="s">
        <v>3336</v>
      </c>
      <c r="C35" s="5" t="s">
        <v>3373</v>
      </c>
      <c r="D35" s="6" t="s">
        <v>3374</v>
      </c>
      <c r="E35" s="53" t="s">
        <v>1164</v>
      </c>
      <c r="F35" s="6" t="s">
        <v>554</v>
      </c>
      <c r="G35" s="52" t="s">
        <v>3285</v>
      </c>
      <c r="H35" s="6" t="s">
        <v>554</v>
      </c>
      <c r="I35" s="52" t="s">
        <v>3287</v>
      </c>
      <c r="J35" s="52" t="s">
        <v>557</v>
      </c>
    </row>
    <row r="36" customFormat="false" ht="15" hidden="false" customHeight="false" outlineLevel="0" collapsed="false">
      <c r="A36" s="53" t="s">
        <v>3375</v>
      </c>
      <c r="B36" s="52" t="s">
        <v>3336</v>
      </c>
      <c r="C36" s="5" t="s">
        <v>3376</v>
      </c>
      <c r="D36" s="5" t="s">
        <v>3377</v>
      </c>
      <c r="E36" s="53" t="s">
        <v>3284</v>
      </c>
      <c r="F36" s="6" t="s">
        <v>554</v>
      </c>
      <c r="G36" s="52" t="s">
        <v>3285</v>
      </c>
      <c r="H36" s="6" t="s">
        <v>554</v>
      </c>
      <c r="I36" s="52" t="s">
        <v>3287</v>
      </c>
      <c r="J36" s="52" t="s">
        <v>557</v>
      </c>
    </row>
    <row r="37" customFormat="false" ht="15" hidden="false" customHeight="false" outlineLevel="0" collapsed="false">
      <c r="A37" s="53" t="s">
        <v>3378</v>
      </c>
      <c r="B37" s="53" t="s">
        <v>646</v>
      </c>
      <c r="C37" s="5" t="s">
        <v>3379</v>
      </c>
      <c r="D37" s="6" t="s">
        <v>3380</v>
      </c>
      <c r="E37" s="53" t="s">
        <v>1164</v>
      </c>
      <c r="F37" s="6" t="s">
        <v>554</v>
      </c>
      <c r="G37" s="52" t="s">
        <v>3285</v>
      </c>
      <c r="H37" s="6" t="s">
        <v>554</v>
      </c>
      <c r="I37" s="52" t="s">
        <v>3287</v>
      </c>
      <c r="J37" s="52" t="s">
        <v>557</v>
      </c>
    </row>
    <row r="38" customFormat="false" ht="29.85" hidden="false" customHeight="false" outlineLevel="0" collapsed="false">
      <c r="A38" s="53" t="s">
        <v>3381</v>
      </c>
      <c r="B38" s="53" t="s">
        <v>646</v>
      </c>
      <c r="C38" s="5" t="s">
        <v>3382</v>
      </c>
      <c r="D38" s="6" t="s">
        <v>3383</v>
      </c>
      <c r="E38" s="53" t="s">
        <v>3284</v>
      </c>
      <c r="F38" s="6" t="s">
        <v>554</v>
      </c>
      <c r="G38" s="52" t="s">
        <v>3285</v>
      </c>
      <c r="H38" s="6" t="s">
        <v>554</v>
      </c>
      <c r="I38" s="52" t="s">
        <v>3287</v>
      </c>
      <c r="J38" s="52" t="s">
        <v>557</v>
      </c>
    </row>
    <row r="39" customFormat="false" ht="29.85" hidden="false" customHeight="false" outlineLevel="0" collapsed="false">
      <c r="A39" s="53" t="s">
        <v>3384</v>
      </c>
      <c r="B39" s="53" t="s">
        <v>646</v>
      </c>
      <c r="C39" s="5" t="s">
        <v>3385</v>
      </c>
      <c r="D39" s="6" t="s">
        <v>3386</v>
      </c>
      <c r="E39" s="53" t="s">
        <v>3284</v>
      </c>
      <c r="F39" s="6" t="s">
        <v>554</v>
      </c>
      <c r="G39" s="52" t="s">
        <v>3285</v>
      </c>
      <c r="H39" s="6" t="s">
        <v>554</v>
      </c>
      <c r="I39" s="52" t="s">
        <v>3287</v>
      </c>
      <c r="J39" s="52" t="s">
        <v>557</v>
      </c>
    </row>
    <row r="40" customFormat="false" ht="44" hidden="false" customHeight="false" outlineLevel="0" collapsed="false">
      <c r="A40" s="53" t="s">
        <v>3387</v>
      </c>
      <c r="B40" s="53" t="s">
        <v>646</v>
      </c>
      <c r="C40" s="5" t="s">
        <v>3388</v>
      </c>
      <c r="D40" s="6" t="s">
        <v>3389</v>
      </c>
      <c r="E40" s="53" t="s">
        <v>3284</v>
      </c>
      <c r="F40" s="5" t="s">
        <v>3390</v>
      </c>
      <c r="G40" s="52" t="s">
        <v>3285</v>
      </c>
      <c r="H40" s="6" t="s">
        <v>554</v>
      </c>
      <c r="I40" s="52" t="s">
        <v>3287</v>
      </c>
      <c r="J40" s="52" t="s">
        <v>557</v>
      </c>
    </row>
    <row r="41" customFormat="false" ht="15" hidden="false" customHeight="false" outlineLevel="0" collapsed="false">
      <c r="A41" s="53" t="s">
        <v>3391</v>
      </c>
      <c r="B41" s="53" t="s">
        <v>646</v>
      </c>
      <c r="C41" s="5" t="s">
        <v>3392</v>
      </c>
      <c r="D41" s="6" t="s">
        <v>3393</v>
      </c>
      <c r="E41" s="53" t="s">
        <v>3284</v>
      </c>
      <c r="F41" s="6" t="s">
        <v>554</v>
      </c>
      <c r="G41" s="52" t="s">
        <v>3285</v>
      </c>
      <c r="H41" s="6" t="s">
        <v>554</v>
      </c>
      <c r="I41" s="52" t="s">
        <v>3287</v>
      </c>
      <c r="J41" s="52" t="s">
        <v>557</v>
      </c>
    </row>
    <row r="42" customFormat="false" ht="44" hidden="false" customHeight="false" outlineLevel="0" collapsed="false">
      <c r="A42" s="53" t="s">
        <v>3394</v>
      </c>
      <c r="B42" s="53" t="s">
        <v>646</v>
      </c>
      <c r="C42" s="5" t="s">
        <v>3395</v>
      </c>
      <c r="D42" s="5" t="s">
        <v>3396</v>
      </c>
      <c r="E42" s="53" t="s">
        <v>1164</v>
      </c>
      <c r="F42" s="6" t="s">
        <v>554</v>
      </c>
      <c r="G42" s="52" t="s">
        <v>3285</v>
      </c>
      <c r="H42" s="6" t="s">
        <v>3397</v>
      </c>
      <c r="I42" s="52" t="s">
        <v>3287</v>
      </c>
      <c r="J42" s="52" t="s">
        <v>557</v>
      </c>
    </row>
    <row r="43" customFormat="false" ht="29.85" hidden="false" customHeight="false" outlineLevel="0" collapsed="false">
      <c r="A43" s="53" t="s">
        <v>3398</v>
      </c>
      <c r="B43" s="53" t="s">
        <v>646</v>
      </c>
      <c r="C43" s="6" t="s">
        <v>3399</v>
      </c>
      <c r="D43" s="5" t="s">
        <v>3400</v>
      </c>
      <c r="E43" s="53" t="s">
        <v>3284</v>
      </c>
      <c r="F43" s="6" t="s">
        <v>554</v>
      </c>
      <c r="G43" s="52" t="s">
        <v>3285</v>
      </c>
      <c r="H43" s="6" t="s">
        <v>554</v>
      </c>
      <c r="I43" s="52" t="s">
        <v>3287</v>
      </c>
      <c r="J43" s="52" t="s">
        <v>557</v>
      </c>
    </row>
    <row r="44" customFormat="false" ht="15" hidden="false" customHeight="false" outlineLevel="0" collapsed="false">
      <c r="A44" s="53" t="s">
        <v>3401</v>
      </c>
      <c r="B44" s="53" t="s">
        <v>646</v>
      </c>
      <c r="C44" s="5" t="s">
        <v>3402</v>
      </c>
      <c r="D44" s="5" t="s">
        <v>3403</v>
      </c>
      <c r="E44" s="53" t="s">
        <v>3284</v>
      </c>
      <c r="F44" s="6" t="s">
        <v>554</v>
      </c>
      <c r="G44" s="52" t="s">
        <v>3285</v>
      </c>
      <c r="H44" s="6" t="s">
        <v>554</v>
      </c>
      <c r="I44" s="52" t="s">
        <v>3287</v>
      </c>
      <c r="J44" s="52" t="s">
        <v>557</v>
      </c>
    </row>
    <row r="45" customFormat="false" ht="29.85" hidden="false" customHeight="false" outlineLevel="0" collapsed="false">
      <c r="A45" s="53" t="s">
        <v>3404</v>
      </c>
      <c r="B45" s="53" t="s">
        <v>646</v>
      </c>
      <c r="C45" s="5" t="s">
        <v>3405</v>
      </c>
      <c r="D45" s="5" t="s">
        <v>3406</v>
      </c>
      <c r="E45" s="53" t="s">
        <v>3284</v>
      </c>
      <c r="F45" s="6" t="s">
        <v>554</v>
      </c>
      <c r="G45" s="52" t="s">
        <v>3285</v>
      </c>
      <c r="H45" s="6" t="s">
        <v>554</v>
      </c>
      <c r="I45" s="52" t="s">
        <v>3287</v>
      </c>
      <c r="J45" s="52" t="s">
        <v>557</v>
      </c>
    </row>
    <row r="46" customFormat="false" ht="26.85" hidden="false" customHeight="false" outlineLevel="0" collapsed="false">
      <c r="A46" s="53" t="s">
        <v>3407</v>
      </c>
      <c r="B46" s="53" t="s">
        <v>646</v>
      </c>
      <c r="C46" s="5" t="s">
        <v>3408</v>
      </c>
      <c r="D46" s="5" t="s">
        <v>3409</v>
      </c>
      <c r="E46" s="53" t="s">
        <v>3284</v>
      </c>
      <c r="F46" s="6" t="s">
        <v>554</v>
      </c>
      <c r="G46" s="52" t="s">
        <v>3285</v>
      </c>
      <c r="H46" s="6" t="s">
        <v>554</v>
      </c>
      <c r="I46" s="52" t="s">
        <v>3287</v>
      </c>
      <c r="J46" s="52" t="s">
        <v>557</v>
      </c>
    </row>
    <row r="47" customFormat="false" ht="29.85" hidden="false" customHeight="false" outlineLevel="0" collapsed="false">
      <c r="A47" s="53" t="s">
        <v>2889</v>
      </c>
      <c r="B47" s="53" t="s">
        <v>646</v>
      </c>
      <c r="C47" s="5" t="s">
        <v>3410</v>
      </c>
      <c r="D47" s="5" t="s">
        <v>3411</v>
      </c>
      <c r="E47" s="53" t="s">
        <v>3412</v>
      </c>
      <c r="F47" s="5" t="s">
        <v>3413</v>
      </c>
      <c r="G47" s="52" t="s">
        <v>3328</v>
      </c>
      <c r="H47" s="6" t="s">
        <v>3414</v>
      </c>
      <c r="I47" s="52" t="s">
        <v>3287</v>
      </c>
      <c r="J47" s="52" t="s">
        <v>557</v>
      </c>
    </row>
    <row r="48" customFormat="false" ht="15" hidden="false" customHeight="false" outlineLevel="0" collapsed="false">
      <c r="A48" s="53" t="s">
        <v>3415</v>
      </c>
      <c r="B48" s="53" t="s">
        <v>646</v>
      </c>
      <c r="C48" s="5" t="s">
        <v>3416</v>
      </c>
      <c r="D48" s="5" t="s">
        <v>3417</v>
      </c>
      <c r="E48" s="53" t="s">
        <v>3284</v>
      </c>
      <c r="F48" s="6" t="s">
        <v>554</v>
      </c>
      <c r="G48" s="52" t="s">
        <v>3285</v>
      </c>
      <c r="H48" s="6" t="s">
        <v>554</v>
      </c>
      <c r="I48" s="52" t="s">
        <v>3287</v>
      </c>
      <c r="J48" s="52" t="s">
        <v>557</v>
      </c>
    </row>
    <row r="49" customFormat="false" ht="15" hidden="false" customHeight="false" outlineLevel="0" collapsed="false">
      <c r="A49" s="53" t="s">
        <v>3418</v>
      </c>
      <c r="B49" s="53" t="s">
        <v>646</v>
      </c>
      <c r="C49" s="5" t="s">
        <v>3419</v>
      </c>
      <c r="D49" s="5" t="s">
        <v>3420</v>
      </c>
      <c r="E49" s="53" t="s">
        <v>3284</v>
      </c>
      <c r="F49" s="6" t="s">
        <v>554</v>
      </c>
      <c r="G49" s="52" t="s">
        <v>3285</v>
      </c>
      <c r="H49" s="6" t="s">
        <v>554</v>
      </c>
      <c r="I49" s="52" t="s">
        <v>3287</v>
      </c>
      <c r="J49" s="52" t="s">
        <v>557</v>
      </c>
    </row>
    <row r="50" customFormat="false" ht="15" hidden="false" customHeight="false" outlineLevel="0" collapsed="false">
      <c r="A50" s="53" t="s">
        <v>3421</v>
      </c>
      <c r="B50" s="53" t="s">
        <v>646</v>
      </c>
      <c r="C50" s="5" t="s">
        <v>3422</v>
      </c>
      <c r="D50" s="5" t="s">
        <v>3423</v>
      </c>
      <c r="E50" s="53" t="s">
        <v>3284</v>
      </c>
      <c r="F50" s="6" t="s">
        <v>554</v>
      </c>
      <c r="G50" s="52" t="s">
        <v>3285</v>
      </c>
      <c r="H50" s="6" t="s">
        <v>554</v>
      </c>
      <c r="I50" s="52" t="s">
        <v>3287</v>
      </c>
      <c r="J50" s="52" t="s">
        <v>557</v>
      </c>
    </row>
    <row r="51" customFormat="false" ht="44" hidden="false" customHeight="false" outlineLevel="0" collapsed="false">
      <c r="A51" s="53" t="s">
        <v>2971</v>
      </c>
      <c r="B51" s="53" t="s">
        <v>3424</v>
      </c>
      <c r="C51" s="6" t="s">
        <v>3425</v>
      </c>
      <c r="D51" s="5" t="s">
        <v>3426</v>
      </c>
      <c r="E51" s="53" t="s">
        <v>1164</v>
      </c>
      <c r="F51" s="5" t="s">
        <v>3427</v>
      </c>
      <c r="G51" s="52" t="s">
        <v>3285</v>
      </c>
      <c r="H51" s="6" t="s">
        <v>3428</v>
      </c>
      <c r="I51" s="52" t="s">
        <v>3287</v>
      </c>
      <c r="J51" s="52" t="s">
        <v>557</v>
      </c>
    </row>
    <row r="52" customFormat="false" ht="29.85" hidden="false" customHeight="false" outlineLevel="0" collapsed="false">
      <c r="A52" s="53" t="s">
        <v>3429</v>
      </c>
      <c r="B52" s="53" t="s">
        <v>3424</v>
      </c>
      <c r="C52" s="5" t="s">
        <v>3430</v>
      </c>
      <c r="D52" s="6" t="s">
        <v>3431</v>
      </c>
      <c r="E52" s="53" t="s">
        <v>3284</v>
      </c>
      <c r="F52" s="5" t="s">
        <v>3432</v>
      </c>
      <c r="G52" s="52" t="s">
        <v>3285</v>
      </c>
      <c r="H52" s="6" t="s">
        <v>554</v>
      </c>
      <c r="I52" s="52" t="s">
        <v>3287</v>
      </c>
      <c r="J52" s="52" t="s">
        <v>557</v>
      </c>
    </row>
    <row r="53" customFormat="false" ht="29.85" hidden="false" customHeight="false" outlineLevel="0" collapsed="false">
      <c r="A53" s="53" t="s">
        <v>2974</v>
      </c>
      <c r="B53" s="53" t="s">
        <v>3424</v>
      </c>
      <c r="C53" s="5" t="s">
        <v>3433</v>
      </c>
      <c r="D53" s="5" t="s">
        <v>3434</v>
      </c>
      <c r="E53" s="53" t="s">
        <v>3284</v>
      </c>
      <c r="F53" s="5" t="s">
        <v>3435</v>
      </c>
      <c r="G53" s="52" t="s">
        <v>3285</v>
      </c>
      <c r="H53" s="6" t="s">
        <v>3436</v>
      </c>
      <c r="I53" s="52" t="s">
        <v>3287</v>
      </c>
      <c r="J53" s="52" t="s">
        <v>557</v>
      </c>
    </row>
    <row r="54" customFormat="false" ht="29.85" hidden="false" customHeight="false" outlineLevel="0" collapsed="false">
      <c r="A54" s="53" t="s">
        <v>3437</v>
      </c>
      <c r="B54" s="53" t="s">
        <v>3424</v>
      </c>
      <c r="C54" s="6" t="s">
        <v>3438</v>
      </c>
      <c r="D54" s="5" t="s">
        <v>3439</v>
      </c>
      <c r="E54" s="53" t="s">
        <v>3284</v>
      </c>
      <c r="F54" s="6" t="s">
        <v>554</v>
      </c>
      <c r="G54" s="52" t="s">
        <v>3285</v>
      </c>
      <c r="H54" s="6" t="s">
        <v>554</v>
      </c>
      <c r="I54" s="52" t="s">
        <v>3287</v>
      </c>
      <c r="J54" s="52" t="s">
        <v>557</v>
      </c>
    </row>
    <row r="55" customFormat="false" ht="15" hidden="false" customHeight="false" outlineLevel="0" collapsed="false">
      <c r="A55" s="53" t="s">
        <v>3440</v>
      </c>
      <c r="B55" s="53" t="s">
        <v>3424</v>
      </c>
      <c r="C55" s="5" t="s">
        <v>3441</v>
      </c>
      <c r="D55" s="5" t="s">
        <v>3442</v>
      </c>
      <c r="E55" s="53" t="s">
        <v>3284</v>
      </c>
      <c r="F55" s="6" t="s">
        <v>554</v>
      </c>
      <c r="G55" s="52" t="s">
        <v>3285</v>
      </c>
      <c r="H55" s="6" t="s">
        <v>554</v>
      </c>
      <c r="I55" s="52" t="s">
        <v>3287</v>
      </c>
      <c r="J55" s="52" t="s">
        <v>557</v>
      </c>
    </row>
    <row r="56" customFormat="false" ht="15" hidden="false" customHeight="false" outlineLevel="0" collapsed="false">
      <c r="A56" s="53" t="s">
        <v>3443</v>
      </c>
      <c r="B56" s="53" t="s">
        <v>3424</v>
      </c>
      <c r="C56" s="5" t="s">
        <v>3444</v>
      </c>
      <c r="D56" s="5" t="s">
        <v>3445</v>
      </c>
      <c r="E56" s="53" t="s">
        <v>3284</v>
      </c>
      <c r="F56" s="6" t="s">
        <v>554</v>
      </c>
      <c r="G56" s="52" t="s">
        <v>3285</v>
      </c>
      <c r="H56" s="6" t="s">
        <v>554</v>
      </c>
      <c r="I56" s="52" t="s">
        <v>3287</v>
      </c>
      <c r="J56" s="52" t="s">
        <v>557</v>
      </c>
    </row>
    <row r="57" customFormat="false" ht="29.85" hidden="false" customHeight="false" outlineLevel="0" collapsed="false">
      <c r="A57" s="53" t="s">
        <v>3446</v>
      </c>
      <c r="B57" s="53" t="s">
        <v>3424</v>
      </c>
      <c r="C57" s="6" t="s">
        <v>3447</v>
      </c>
      <c r="D57" s="5" t="s">
        <v>3448</v>
      </c>
      <c r="E57" s="53" t="s">
        <v>3284</v>
      </c>
      <c r="F57" s="6" t="s">
        <v>554</v>
      </c>
      <c r="G57" s="52" t="s">
        <v>3285</v>
      </c>
      <c r="H57" s="6" t="s">
        <v>554</v>
      </c>
      <c r="I57" s="52" t="s">
        <v>3287</v>
      </c>
      <c r="J57" s="52" t="s">
        <v>557</v>
      </c>
    </row>
    <row r="58" customFormat="false" ht="29.85" hidden="false" customHeight="false" outlineLevel="0" collapsed="false">
      <c r="A58" s="53" t="s">
        <v>3449</v>
      </c>
      <c r="B58" s="53" t="s">
        <v>3424</v>
      </c>
      <c r="C58" s="5" t="s">
        <v>3450</v>
      </c>
      <c r="D58" s="6" t="s">
        <v>3451</v>
      </c>
      <c r="E58" s="53" t="s">
        <v>1164</v>
      </c>
      <c r="F58" s="6" t="s">
        <v>554</v>
      </c>
      <c r="G58" s="52" t="s">
        <v>3285</v>
      </c>
      <c r="H58" s="6" t="s">
        <v>3452</v>
      </c>
      <c r="I58" s="52" t="s">
        <v>3287</v>
      </c>
      <c r="J58" s="52" t="s">
        <v>557</v>
      </c>
    </row>
    <row r="59" customFormat="false" ht="44" hidden="false" customHeight="false" outlineLevel="0" collapsed="false">
      <c r="A59" s="53" t="s">
        <v>601</v>
      </c>
      <c r="B59" s="53" t="s">
        <v>22</v>
      </c>
      <c r="C59" s="5" t="s">
        <v>3453</v>
      </c>
      <c r="D59" s="5" t="s">
        <v>3454</v>
      </c>
      <c r="E59" s="53" t="s">
        <v>1164</v>
      </c>
      <c r="F59" s="6" t="s">
        <v>554</v>
      </c>
      <c r="G59" s="52" t="s">
        <v>3285</v>
      </c>
      <c r="H59" s="6" t="s">
        <v>554</v>
      </c>
      <c r="I59" s="52" t="s">
        <v>3287</v>
      </c>
      <c r="J59" s="52" t="s">
        <v>557</v>
      </c>
    </row>
    <row r="60" customFormat="false" ht="44" hidden="false" customHeight="false" outlineLevel="0" collapsed="false">
      <c r="A60" s="53" t="s">
        <v>3455</v>
      </c>
      <c r="B60" s="52" t="s">
        <v>3456</v>
      </c>
      <c r="C60" s="6" t="s">
        <v>3457</v>
      </c>
      <c r="D60" s="6" t="s">
        <v>3458</v>
      </c>
      <c r="E60" s="53" t="s">
        <v>3412</v>
      </c>
      <c r="F60" s="6" t="s">
        <v>554</v>
      </c>
      <c r="G60" s="52" t="s">
        <v>3285</v>
      </c>
      <c r="H60" s="6" t="s">
        <v>554</v>
      </c>
      <c r="I60" s="52" t="s">
        <v>3287</v>
      </c>
      <c r="J60" s="52" t="s">
        <v>557</v>
      </c>
    </row>
    <row r="61" customFormat="false" ht="58.2" hidden="false" customHeight="false" outlineLevel="0" collapsed="false">
      <c r="A61" s="53" t="s">
        <v>3459</v>
      </c>
      <c r="B61" s="52" t="s">
        <v>3456</v>
      </c>
      <c r="C61" s="5" t="s">
        <v>3460</v>
      </c>
      <c r="D61" s="5" t="s">
        <v>3461</v>
      </c>
      <c r="E61" s="53" t="s">
        <v>3284</v>
      </c>
      <c r="F61" s="6" t="s">
        <v>554</v>
      </c>
      <c r="G61" s="52" t="s">
        <v>3285</v>
      </c>
      <c r="H61" s="6" t="s">
        <v>554</v>
      </c>
      <c r="I61" s="52" t="s">
        <v>3287</v>
      </c>
      <c r="J61" s="52" t="s">
        <v>557</v>
      </c>
    </row>
    <row r="62" customFormat="false" ht="29.85" hidden="false" customHeight="false" outlineLevel="0" collapsed="false">
      <c r="A62" s="53" t="s">
        <v>3462</v>
      </c>
      <c r="B62" s="52" t="s">
        <v>3456</v>
      </c>
      <c r="C62" s="5" t="s">
        <v>3463</v>
      </c>
      <c r="D62" s="6" t="s">
        <v>3464</v>
      </c>
      <c r="E62" s="53" t="s">
        <v>3284</v>
      </c>
      <c r="F62" s="6" t="s">
        <v>554</v>
      </c>
      <c r="G62" s="52" t="s">
        <v>3285</v>
      </c>
      <c r="H62" s="6" t="s">
        <v>554</v>
      </c>
      <c r="I62" s="52" t="s">
        <v>3287</v>
      </c>
      <c r="J62" s="52" t="s">
        <v>557</v>
      </c>
    </row>
    <row r="63" customFormat="false" ht="15" hidden="false" customHeight="false" outlineLevel="0" collapsed="false">
      <c r="A63" s="53" t="s">
        <v>3465</v>
      </c>
      <c r="B63" s="52" t="s">
        <v>3456</v>
      </c>
      <c r="C63" s="5" t="s">
        <v>3466</v>
      </c>
      <c r="D63" s="5" t="s">
        <v>3467</v>
      </c>
      <c r="E63" s="53" t="s">
        <v>3284</v>
      </c>
      <c r="F63" s="6" t="s">
        <v>554</v>
      </c>
      <c r="G63" s="52" t="s">
        <v>3285</v>
      </c>
      <c r="H63" s="6" t="s">
        <v>554</v>
      </c>
      <c r="I63" s="52" t="s">
        <v>3287</v>
      </c>
      <c r="J63" s="52" t="s">
        <v>557</v>
      </c>
    </row>
    <row r="64" customFormat="false" ht="29.85" hidden="false" customHeight="false" outlineLevel="0" collapsed="false">
      <c r="A64" s="53" t="s">
        <v>2929</v>
      </c>
      <c r="B64" s="52" t="s">
        <v>3456</v>
      </c>
      <c r="C64" s="5" t="s">
        <v>3468</v>
      </c>
      <c r="D64" s="5" t="s">
        <v>3469</v>
      </c>
      <c r="E64" s="53" t="s">
        <v>3284</v>
      </c>
      <c r="F64" s="5" t="s">
        <v>3470</v>
      </c>
      <c r="G64" s="52" t="s">
        <v>3285</v>
      </c>
      <c r="H64" s="6" t="s">
        <v>554</v>
      </c>
      <c r="I64" s="52" t="s">
        <v>3287</v>
      </c>
      <c r="J64" s="52" t="s">
        <v>557</v>
      </c>
    </row>
    <row r="65" customFormat="false" ht="29.85" hidden="false" customHeight="false" outlineLevel="0" collapsed="false">
      <c r="A65" s="53" t="s">
        <v>2471</v>
      </c>
      <c r="B65" s="52" t="s">
        <v>3456</v>
      </c>
      <c r="C65" s="6" t="s">
        <v>3471</v>
      </c>
      <c r="D65" s="6" t="s">
        <v>3472</v>
      </c>
      <c r="E65" s="53" t="s">
        <v>3284</v>
      </c>
      <c r="F65" s="6" t="s">
        <v>554</v>
      </c>
      <c r="G65" s="52" t="s">
        <v>3285</v>
      </c>
      <c r="H65" s="6" t="s">
        <v>554</v>
      </c>
      <c r="I65" s="52" t="s">
        <v>3287</v>
      </c>
      <c r="J65" s="52" t="s">
        <v>557</v>
      </c>
    </row>
    <row r="66" customFormat="false" ht="58.2" hidden="false" customHeight="false" outlineLevel="0" collapsed="false">
      <c r="A66" s="53" t="s">
        <v>2941</v>
      </c>
      <c r="B66" s="52" t="s">
        <v>3456</v>
      </c>
      <c r="C66" s="6" t="s">
        <v>3473</v>
      </c>
      <c r="D66" s="5" t="s">
        <v>3474</v>
      </c>
      <c r="E66" s="53" t="s">
        <v>3284</v>
      </c>
      <c r="F66" s="6" t="s">
        <v>554</v>
      </c>
      <c r="G66" s="52" t="s">
        <v>3285</v>
      </c>
      <c r="H66" s="6" t="s">
        <v>554</v>
      </c>
      <c r="I66" s="52" t="s">
        <v>3287</v>
      </c>
      <c r="J66" s="52" t="s">
        <v>557</v>
      </c>
    </row>
    <row r="67" customFormat="false" ht="44" hidden="false" customHeight="false" outlineLevel="0" collapsed="false">
      <c r="A67" s="53" t="s">
        <v>2486</v>
      </c>
      <c r="B67" s="52" t="s">
        <v>3456</v>
      </c>
      <c r="C67" s="5" t="s">
        <v>3475</v>
      </c>
      <c r="D67" s="5" t="s">
        <v>3476</v>
      </c>
      <c r="E67" s="53" t="s">
        <v>3284</v>
      </c>
      <c r="F67" s="6" t="s">
        <v>554</v>
      </c>
      <c r="G67" s="52" t="s">
        <v>3285</v>
      </c>
      <c r="H67" s="6" t="s">
        <v>554</v>
      </c>
      <c r="I67" s="52" t="s">
        <v>3287</v>
      </c>
      <c r="J67" s="52" t="s">
        <v>557</v>
      </c>
    </row>
    <row r="68" customFormat="false" ht="58.2" hidden="false" customHeight="false" outlineLevel="0" collapsed="false">
      <c r="A68" s="53" t="s">
        <v>2504</v>
      </c>
      <c r="B68" s="52" t="s">
        <v>3456</v>
      </c>
      <c r="C68" s="5" t="s">
        <v>3477</v>
      </c>
      <c r="D68" s="5" t="s">
        <v>3478</v>
      </c>
      <c r="E68" s="53" t="s">
        <v>3284</v>
      </c>
      <c r="F68" s="5" t="s">
        <v>3479</v>
      </c>
      <c r="G68" s="52" t="s">
        <v>3285</v>
      </c>
      <c r="H68" s="6" t="s">
        <v>554</v>
      </c>
      <c r="I68" s="52" t="s">
        <v>3287</v>
      </c>
      <c r="J68" s="52" t="s">
        <v>557</v>
      </c>
    </row>
    <row r="69" customFormat="false" ht="29.85" hidden="false" customHeight="false" outlineLevel="0" collapsed="false">
      <c r="A69" s="53" t="s">
        <v>2516</v>
      </c>
      <c r="B69" s="52" t="s">
        <v>3456</v>
      </c>
      <c r="C69" s="5" t="s">
        <v>3480</v>
      </c>
      <c r="D69" s="5" t="s">
        <v>3481</v>
      </c>
      <c r="E69" s="53" t="s">
        <v>3284</v>
      </c>
      <c r="F69" s="6" t="s">
        <v>554</v>
      </c>
      <c r="G69" s="52" t="s">
        <v>3285</v>
      </c>
      <c r="H69" s="6" t="s">
        <v>554</v>
      </c>
      <c r="I69" s="52" t="s">
        <v>3287</v>
      </c>
      <c r="J69" s="52" t="s">
        <v>557</v>
      </c>
    </row>
    <row r="70" customFormat="false" ht="15" hidden="false" customHeight="false" outlineLevel="0" collapsed="false">
      <c r="A70" s="53" t="s">
        <v>2532</v>
      </c>
      <c r="B70" s="52" t="s">
        <v>3456</v>
      </c>
      <c r="C70" s="5" t="s">
        <v>3482</v>
      </c>
      <c r="D70" s="5" t="s">
        <v>3483</v>
      </c>
      <c r="E70" s="53" t="s">
        <v>3284</v>
      </c>
      <c r="F70" s="6" t="s">
        <v>554</v>
      </c>
      <c r="G70" s="52" t="s">
        <v>3285</v>
      </c>
      <c r="H70" s="6" t="s">
        <v>554</v>
      </c>
      <c r="I70" s="52" t="s">
        <v>3287</v>
      </c>
      <c r="J70" s="52" t="s">
        <v>557</v>
      </c>
    </row>
    <row r="71" customFormat="false" ht="29.85" hidden="false" customHeight="false" outlineLevel="0" collapsed="false">
      <c r="A71" s="53" t="s">
        <v>2547</v>
      </c>
      <c r="B71" s="52" t="s">
        <v>3456</v>
      </c>
      <c r="C71" s="5" t="s">
        <v>3484</v>
      </c>
      <c r="D71" s="5" t="s">
        <v>3485</v>
      </c>
      <c r="E71" s="53" t="s">
        <v>3412</v>
      </c>
      <c r="F71" s="6" t="s">
        <v>554</v>
      </c>
      <c r="G71" s="52" t="s">
        <v>3285</v>
      </c>
      <c r="H71" s="6" t="s">
        <v>554</v>
      </c>
      <c r="I71" s="52" t="s">
        <v>3287</v>
      </c>
      <c r="J71" s="52" t="s">
        <v>557</v>
      </c>
    </row>
    <row r="72" customFormat="false" ht="129.1" hidden="false" customHeight="false" outlineLevel="0" collapsed="false">
      <c r="A72" s="53" t="s">
        <v>2984</v>
      </c>
      <c r="B72" s="52" t="s">
        <v>3456</v>
      </c>
      <c r="C72" s="6" t="s">
        <v>3486</v>
      </c>
      <c r="D72" s="6" t="s">
        <v>3487</v>
      </c>
      <c r="E72" s="53" t="s">
        <v>3412</v>
      </c>
      <c r="F72" s="5" t="s">
        <v>3488</v>
      </c>
      <c r="G72" s="52" t="s">
        <v>3285</v>
      </c>
      <c r="H72" s="6" t="s">
        <v>554</v>
      </c>
      <c r="I72" s="52" t="s">
        <v>3287</v>
      </c>
      <c r="J72" s="52" t="s">
        <v>557</v>
      </c>
    </row>
    <row r="73" customFormat="false" ht="58.2" hidden="false" customHeight="false" outlineLevel="0" collapsed="false">
      <c r="A73" s="53" t="s">
        <v>2562</v>
      </c>
      <c r="B73" s="52" t="s">
        <v>3456</v>
      </c>
      <c r="C73" s="5" t="s">
        <v>3489</v>
      </c>
      <c r="D73" s="5" t="s">
        <v>3490</v>
      </c>
      <c r="E73" s="53" t="s">
        <v>3412</v>
      </c>
      <c r="F73" s="5" t="s">
        <v>3491</v>
      </c>
      <c r="G73" s="52" t="s">
        <v>3285</v>
      </c>
      <c r="H73" s="6" t="s">
        <v>554</v>
      </c>
      <c r="I73" s="52" t="s">
        <v>3287</v>
      </c>
      <c r="J73" s="52" t="s">
        <v>557</v>
      </c>
    </row>
    <row r="74" customFormat="false" ht="29.85" hidden="false" customHeight="false" outlineLevel="0" collapsed="false">
      <c r="A74" s="53" t="s">
        <v>3492</v>
      </c>
      <c r="B74" s="53" t="s">
        <v>3424</v>
      </c>
      <c r="C74" s="5" t="s">
        <v>3493</v>
      </c>
      <c r="D74" s="6" t="s">
        <v>3494</v>
      </c>
      <c r="E74" s="53" t="s">
        <v>3412</v>
      </c>
      <c r="F74" s="6" t="s">
        <v>3495</v>
      </c>
      <c r="G74" s="52" t="s">
        <v>3285</v>
      </c>
      <c r="H74" s="6" t="s">
        <v>3496</v>
      </c>
      <c r="I74" s="52" t="s">
        <v>3497</v>
      </c>
      <c r="J74" s="52" t="s">
        <v>557</v>
      </c>
    </row>
    <row r="75" customFormat="false" ht="15" hidden="false" customHeight="false" outlineLevel="0" collapsed="false">
      <c r="A75" s="53" t="s">
        <v>3498</v>
      </c>
      <c r="B75" s="53" t="s">
        <v>3499</v>
      </c>
      <c r="C75" s="5" t="s">
        <v>3500</v>
      </c>
      <c r="D75" s="5" t="s">
        <v>3501</v>
      </c>
      <c r="E75" s="53" t="s">
        <v>3412</v>
      </c>
      <c r="F75" s="5" t="s">
        <v>3502</v>
      </c>
      <c r="G75" s="52" t="s">
        <v>3503</v>
      </c>
      <c r="H75" s="6" t="s">
        <v>3504</v>
      </c>
      <c r="I75" s="52" t="s">
        <v>3505</v>
      </c>
      <c r="J75" s="52" t="s">
        <v>557</v>
      </c>
    </row>
    <row r="76" customFormat="false" ht="15" hidden="false" customHeight="false" outlineLevel="0" collapsed="false">
      <c r="A76" s="53" t="s">
        <v>3506</v>
      </c>
      <c r="B76" s="53" t="s">
        <v>3499</v>
      </c>
      <c r="C76" s="5" t="s">
        <v>3507</v>
      </c>
      <c r="D76" s="5" t="s">
        <v>3508</v>
      </c>
      <c r="E76" s="53" t="s">
        <v>3412</v>
      </c>
      <c r="F76" s="5" t="s">
        <v>3502</v>
      </c>
      <c r="G76" s="52" t="s">
        <v>3503</v>
      </c>
      <c r="H76" s="6" t="s">
        <v>3504</v>
      </c>
      <c r="I76" s="52" t="s">
        <v>3505</v>
      </c>
      <c r="J76" s="52" t="s">
        <v>557</v>
      </c>
    </row>
    <row r="77" customFormat="false" ht="15" hidden="false" customHeight="false" outlineLevel="0" collapsed="false">
      <c r="A77" s="53" t="s">
        <v>3509</v>
      </c>
      <c r="B77" s="53" t="s">
        <v>3499</v>
      </c>
      <c r="C77" s="6" t="s">
        <v>3510</v>
      </c>
      <c r="D77" s="5" t="s">
        <v>3511</v>
      </c>
      <c r="E77" s="53" t="s">
        <v>3412</v>
      </c>
      <c r="F77" s="5" t="s">
        <v>3502</v>
      </c>
      <c r="G77" s="52" t="s">
        <v>3503</v>
      </c>
      <c r="H77" s="6" t="s">
        <v>3504</v>
      </c>
      <c r="I77" s="52" t="s">
        <v>3505</v>
      </c>
      <c r="J77" s="52" t="s">
        <v>557</v>
      </c>
    </row>
    <row r="78" customFormat="false" ht="15" hidden="false" customHeight="false" outlineLevel="0" collapsed="false">
      <c r="A78" s="53" t="s">
        <v>3512</v>
      </c>
      <c r="B78" s="53" t="s">
        <v>3499</v>
      </c>
      <c r="C78" s="5" t="s">
        <v>3513</v>
      </c>
      <c r="D78" s="5" t="s">
        <v>3514</v>
      </c>
      <c r="E78" s="53" t="s">
        <v>3412</v>
      </c>
      <c r="F78" s="5" t="s">
        <v>3502</v>
      </c>
      <c r="G78" s="52" t="s">
        <v>3503</v>
      </c>
      <c r="H78" s="6" t="s">
        <v>3504</v>
      </c>
      <c r="I78" s="52" t="s">
        <v>3505</v>
      </c>
      <c r="J78" s="52" t="s">
        <v>557</v>
      </c>
    </row>
    <row r="79" customFormat="false" ht="29.85" hidden="false" customHeight="false" outlineLevel="0" collapsed="false">
      <c r="A79" s="53" t="s">
        <v>3515</v>
      </c>
      <c r="B79" s="53" t="s">
        <v>3499</v>
      </c>
      <c r="C79" s="6" t="s">
        <v>3516</v>
      </c>
      <c r="D79" s="5" t="s">
        <v>3517</v>
      </c>
      <c r="E79" s="53" t="s">
        <v>3412</v>
      </c>
      <c r="F79" s="5" t="s">
        <v>3502</v>
      </c>
      <c r="G79" s="52" t="s">
        <v>3503</v>
      </c>
      <c r="H79" s="6" t="s">
        <v>3504</v>
      </c>
      <c r="I79" s="52" t="s">
        <v>3505</v>
      </c>
      <c r="J79" s="52" t="s">
        <v>557</v>
      </c>
    </row>
    <row r="80" customFormat="false" ht="15" hidden="false" customHeight="false" outlineLevel="0" collapsed="false">
      <c r="A80" s="53" t="s">
        <v>3518</v>
      </c>
      <c r="B80" s="53" t="s">
        <v>3499</v>
      </c>
      <c r="C80" s="5" t="s">
        <v>3519</v>
      </c>
      <c r="D80" s="5" t="s">
        <v>3520</v>
      </c>
      <c r="E80" s="53" t="s">
        <v>3412</v>
      </c>
      <c r="F80" s="5" t="s">
        <v>3502</v>
      </c>
      <c r="G80" s="52" t="s">
        <v>3503</v>
      </c>
      <c r="H80" s="6" t="s">
        <v>3504</v>
      </c>
      <c r="I80" s="52" t="s">
        <v>3505</v>
      </c>
      <c r="J80" s="52" t="s">
        <v>557</v>
      </c>
    </row>
    <row r="81" customFormat="false" ht="15" hidden="false" customHeight="false" outlineLevel="0" collapsed="false">
      <c r="A81" s="53" t="s">
        <v>3521</v>
      </c>
      <c r="B81" s="53" t="s">
        <v>3499</v>
      </c>
      <c r="C81" s="5" t="s">
        <v>3522</v>
      </c>
      <c r="D81" s="5" t="s">
        <v>3523</v>
      </c>
      <c r="E81" s="53" t="s">
        <v>3412</v>
      </c>
      <c r="F81" s="5" t="s">
        <v>3502</v>
      </c>
      <c r="G81" s="52" t="s">
        <v>3503</v>
      </c>
      <c r="H81" s="6" t="s">
        <v>3504</v>
      </c>
      <c r="I81" s="52" t="s">
        <v>3505</v>
      </c>
      <c r="J81" s="52" t="s">
        <v>557</v>
      </c>
    </row>
    <row r="82" customFormat="false" ht="15" hidden="false" customHeight="false" outlineLevel="0" collapsed="false">
      <c r="A82" s="53" t="s">
        <v>3524</v>
      </c>
      <c r="B82" s="53" t="s">
        <v>3499</v>
      </c>
      <c r="C82" s="5" t="s">
        <v>3525</v>
      </c>
      <c r="D82" s="5" t="s">
        <v>3526</v>
      </c>
      <c r="E82" s="53" t="s">
        <v>3412</v>
      </c>
      <c r="F82" s="5" t="s">
        <v>3502</v>
      </c>
      <c r="G82" s="52" t="s">
        <v>3503</v>
      </c>
      <c r="H82" s="6" t="s">
        <v>3504</v>
      </c>
      <c r="I82" s="52" t="s">
        <v>3505</v>
      </c>
      <c r="J82" s="52" t="s">
        <v>557</v>
      </c>
    </row>
    <row r="83" customFormat="false" ht="15" hidden="false" customHeight="false" outlineLevel="0" collapsed="false">
      <c r="A83" s="53" t="s">
        <v>3527</v>
      </c>
      <c r="B83" s="52" t="s">
        <v>3528</v>
      </c>
      <c r="C83" s="5" t="s">
        <v>3529</v>
      </c>
      <c r="D83" s="5" t="s">
        <v>3530</v>
      </c>
      <c r="E83" s="53" t="s">
        <v>3412</v>
      </c>
      <c r="F83" s="5" t="s">
        <v>3531</v>
      </c>
      <c r="G83" s="52" t="s">
        <v>3285</v>
      </c>
      <c r="H83" s="6" t="s">
        <v>554</v>
      </c>
      <c r="I83" s="52" t="s">
        <v>3532</v>
      </c>
      <c r="J83" s="52" t="s">
        <v>557</v>
      </c>
    </row>
    <row r="84" customFormat="false" ht="44" hidden="false" customHeight="false" outlineLevel="0" collapsed="false">
      <c r="A84" s="53" t="s">
        <v>3533</v>
      </c>
      <c r="B84" s="52" t="s">
        <v>3528</v>
      </c>
      <c r="C84" s="6" t="s">
        <v>3534</v>
      </c>
      <c r="D84" s="5" t="s">
        <v>3535</v>
      </c>
      <c r="E84" s="53" t="s">
        <v>3412</v>
      </c>
      <c r="F84" s="5" t="s">
        <v>3536</v>
      </c>
      <c r="G84" s="52" t="s">
        <v>3285</v>
      </c>
      <c r="H84" s="6" t="s">
        <v>3537</v>
      </c>
      <c r="I84" s="52" t="s">
        <v>3532</v>
      </c>
      <c r="J84" s="52" t="s">
        <v>585</v>
      </c>
    </row>
    <row r="85" customFormat="false" ht="26.85" hidden="false" customHeight="false" outlineLevel="0" collapsed="false">
      <c r="A85" s="53" t="s">
        <v>3538</v>
      </c>
      <c r="B85" s="52" t="s">
        <v>3528</v>
      </c>
      <c r="C85" s="6" t="s">
        <v>3539</v>
      </c>
      <c r="D85" s="6" t="s">
        <v>3540</v>
      </c>
      <c r="E85" s="53" t="s">
        <v>3412</v>
      </c>
      <c r="F85" s="5" t="s">
        <v>3536</v>
      </c>
      <c r="G85" s="52" t="s">
        <v>3285</v>
      </c>
      <c r="H85" s="6" t="s">
        <v>3541</v>
      </c>
      <c r="I85" s="52" t="s">
        <v>3532</v>
      </c>
      <c r="J85" s="52" t="s">
        <v>585</v>
      </c>
    </row>
    <row r="86" customFormat="false" ht="29.85" hidden="false" customHeight="false" outlineLevel="0" collapsed="false">
      <c r="A86" s="53" t="s">
        <v>3542</v>
      </c>
      <c r="B86" s="52" t="s">
        <v>3528</v>
      </c>
      <c r="C86" s="5" t="s">
        <v>3543</v>
      </c>
      <c r="D86" s="5" t="s">
        <v>3544</v>
      </c>
      <c r="E86" s="53" t="s">
        <v>3412</v>
      </c>
      <c r="F86" s="5" t="s">
        <v>3536</v>
      </c>
      <c r="G86" s="52" t="s">
        <v>3285</v>
      </c>
      <c r="H86" s="6" t="s">
        <v>554</v>
      </c>
      <c r="I86" s="52" t="s">
        <v>3532</v>
      </c>
      <c r="J86" s="52" t="s">
        <v>585</v>
      </c>
    </row>
    <row r="87" customFormat="false" ht="29.85" hidden="false" customHeight="false" outlineLevel="0" collapsed="false">
      <c r="A87" s="53" t="s">
        <v>3545</v>
      </c>
      <c r="B87" s="52" t="s">
        <v>3528</v>
      </c>
      <c r="C87" s="5" t="s">
        <v>3546</v>
      </c>
      <c r="D87" s="5" t="s">
        <v>3547</v>
      </c>
      <c r="E87" s="53" t="s">
        <v>3412</v>
      </c>
      <c r="F87" s="5" t="s">
        <v>3531</v>
      </c>
      <c r="G87" s="52" t="s">
        <v>3285</v>
      </c>
      <c r="H87" s="6" t="s">
        <v>3548</v>
      </c>
      <c r="I87" s="52" t="s">
        <v>3532</v>
      </c>
      <c r="J87" s="52" t="s">
        <v>557</v>
      </c>
    </row>
    <row r="88" customFormat="false" ht="29.85" hidden="false" customHeight="false" outlineLevel="0" collapsed="false">
      <c r="A88" s="53" t="s">
        <v>3549</v>
      </c>
      <c r="B88" s="52" t="s">
        <v>3528</v>
      </c>
      <c r="C88" s="6" t="s">
        <v>3550</v>
      </c>
      <c r="D88" s="6" t="s">
        <v>3551</v>
      </c>
      <c r="E88" s="53" t="s">
        <v>3412</v>
      </c>
      <c r="F88" s="5" t="s">
        <v>3536</v>
      </c>
      <c r="G88" s="52" t="s">
        <v>3285</v>
      </c>
      <c r="H88" s="6" t="s">
        <v>3552</v>
      </c>
      <c r="I88" s="52" t="s">
        <v>3532</v>
      </c>
      <c r="J88" s="52" t="s">
        <v>585</v>
      </c>
    </row>
    <row r="89" customFormat="false" ht="29.85" hidden="false" customHeight="false" outlineLevel="0" collapsed="false">
      <c r="A89" s="53" t="s">
        <v>3553</v>
      </c>
      <c r="B89" s="52" t="s">
        <v>3528</v>
      </c>
      <c r="C89" s="5" t="s">
        <v>3554</v>
      </c>
      <c r="D89" s="6" t="s">
        <v>3555</v>
      </c>
      <c r="E89" s="53" t="s">
        <v>3412</v>
      </c>
      <c r="F89" s="5" t="s">
        <v>3536</v>
      </c>
      <c r="G89" s="52" t="s">
        <v>3285</v>
      </c>
      <c r="H89" s="6" t="s">
        <v>554</v>
      </c>
      <c r="I89" s="52" t="s">
        <v>3532</v>
      </c>
      <c r="J89" s="52" t="s">
        <v>585</v>
      </c>
    </row>
    <row r="90" customFormat="false" ht="44" hidden="false" customHeight="false" outlineLevel="0" collapsed="false">
      <c r="A90" s="53" t="s">
        <v>3556</v>
      </c>
      <c r="B90" s="52" t="s">
        <v>3528</v>
      </c>
      <c r="C90" s="5" t="s">
        <v>3557</v>
      </c>
      <c r="D90" s="5" t="s">
        <v>3558</v>
      </c>
      <c r="E90" s="53" t="s">
        <v>3412</v>
      </c>
      <c r="F90" s="5" t="s">
        <v>3559</v>
      </c>
      <c r="G90" s="52" t="s">
        <v>3285</v>
      </c>
      <c r="H90" s="6" t="s">
        <v>554</v>
      </c>
      <c r="I90" s="52" t="s">
        <v>3532</v>
      </c>
      <c r="J90" s="52" t="s">
        <v>585</v>
      </c>
    </row>
    <row r="91" customFormat="false" ht="29.85" hidden="false" customHeight="false" outlineLevel="0" collapsed="false">
      <c r="A91" s="53" t="s">
        <v>3560</v>
      </c>
      <c r="B91" s="52" t="s">
        <v>3528</v>
      </c>
      <c r="C91" s="5" t="s">
        <v>3561</v>
      </c>
      <c r="D91" s="6" t="s">
        <v>3562</v>
      </c>
      <c r="E91" s="53" t="s">
        <v>3412</v>
      </c>
      <c r="F91" s="6" t="s">
        <v>554</v>
      </c>
      <c r="G91" s="52" t="s">
        <v>3285</v>
      </c>
      <c r="H91" s="6" t="s">
        <v>554</v>
      </c>
      <c r="I91" s="52" t="s">
        <v>3532</v>
      </c>
      <c r="J91" s="52" t="s">
        <v>557</v>
      </c>
    </row>
    <row r="92" customFormat="false" ht="15" hidden="false" customHeight="false" outlineLevel="0" collapsed="false">
      <c r="A92" s="53" t="s">
        <v>3563</v>
      </c>
      <c r="B92" s="52" t="s">
        <v>3528</v>
      </c>
      <c r="C92" s="5" t="s">
        <v>3564</v>
      </c>
      <c r="D92" s="5" t="s">
        <v>3565</v>
      </c>
      <c r="E92" s="53" t="s">
        <v>3412</v>
      </c>
      <c r="F92" s="6" t="s">
        <v>554</v>
      </c>
      <c r="G92" s="52" t="s">
        <v>3285</v>
      </c>
      <c r="H92" s="6" t="s">
        <v>554</v>
      </c>
      <c r="I92" s="52" t="s">
        <v>3532</v>
      </c>
      <c r="J92" s="52" t="s">
        <v>557</v>
      </c>
    </row>
    <row r="93" customFormat="false" ht="29.85" hidden="false" customHeight="false" outlineLevel="0" collapsed="false">
      <c r="A93" s="53" t="s">
        <v>3566</v>
      </c>
      <c r="B93" s="52" t="s">
        <v>3528</v>
      </c>
      <c r="C93" s="6" t="s">
        <v>3567</v>
      </c>
      <c r="D93" s="5" t="s">
        <v>3568</v>
      </c>
      <c r="E93" s="53" t="s">
        <v>3412</v>
      </c>
      <c r="F93" s="5" t="s">
        <v>3569</v>
      </c>
      <c r="G93" s="52" t="s">
        <v>3285</v>
      </c>
      <c r="H93" s="6" t="s">
        <v>3414</v>
      </c>
      <c r="I93" s="52" t="s">
        <v>3532</v>
      </c>
      <c r="J93" s="52" t="s">
        <v>585</v>
      </c>
    </row>
    <row r="94" customFormat="false" ht="29.85" hidden="false" customHeight="false" outlineLevel="0" collapsed="false">
      <c r="A94" s="53" t="s">
        <v>2462</v>
      </c>
      <c r="B94" s="52" t="s">
        <v>3570</v>
      </c>
      <c r="C94" s="6" t="s">
        <v>3571</v>
      </c>
      <c r="D94" s="6" t="s">
        <v>3572</v>
      </c>
      <c r="E94" s="53" t="s">
        <v>3573</v>
      </c>
      <c r="F94" s="5" t="s">
        <v>3574</v>
      </c>
      <c r="G94" s="52" t="s">
        <v>3575</v>
      </c>
      <c r="H94" s="6" t="s">
        <v>3576</v>
      </c>
      <c r="I94" s="53" t="s">
        <v>3577</v>
      </c>
      <c r="J94" s="52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</cols>
  <sheetData>
    <row r="1" customFormat="false" ht="20.1" hidden="false" customHeight="false" outlineLevel="0" collapsed="false">
      <c r="A1" s="49" t="s">
        <v>3578</v>
      </c>
    </row>
    <row r="2" customFormat="false" ht="15" hidden="false" customHeight="false" outlineLevel="0" collapsed="false">
      <c r="A2" s="64" t="s">
        <v>3579</v>
      </c>
    </row>
    <row r="3" customFormat="false" ht="15" hidden="false" customHeight="false" outlineLevel="0" collapsed="false">
      <c r="A3" s="64" t="s">
        <v>3580</v>
      </c>
    </row>
    <row r="4" customFormat="false" ht="44" hidden="false" customHeight="false" outlineLevel="0" collapsed="false">
      <c r="A4" s="75" t="s">
        <v>3581</v>
      </c>
      <c r="B4" s="74" t="s">
        <v>1649</v>
      </c>
      <c r="C4" s="74" t="s">
        <v>3582</v>
      </c>
      <c r="D4" s="74" t="s">
        <v>1078</v>
      </c>
      <c r="E4" s="74" t="s">
        <v>1079</v>
      </c>
      <c r="F4" s="74" t="s">
        <v>53</v>
      </c>
      <c r="G4" s="74" t="s">
        <v>410</v>
      </c>
      <c r="H4" s="74" t="s">
        <v>3583</v>
      </c>
      <c r="I4" s="74" t="s">
        <v>3277</v>
      </c>
      <c r="J4" s="74" t="s">
        <v>3280</v>
      </c>
      <c r="K4" s="74" t="s">
        <v>3463</v>
      </c>
      <c r="L4" s="74" t="s">
        <v>3584</v>
      </c>
      <c r="M4" s="74" t="s">
        <v>3585</v>
      </c>
      <c r="N4" s="74" t="s">
        <v>3586</v>
      </c>
      <c r="O4" s="74" t="s">
        <v>541</v>
      </c>
      <c r="P4" s="74" t="s">
        <v>3587</v>
      </c>
      <c r="Q4" s="75" t="s">
        <v>3588</v>
      </c>
      <c r="R4" s="74" t="s">
        <v>3589</v>
      </c>
      <c r="S4" s="74" t="s">
        <v>3590</v>
      </c>
      <c r="T4" s="75" t="s">
        <v>3591</v>
      </c>
      <c r="U4" s="74" t="s">
        <v>3592</v>
      </c>
      <c r="V4" s="74" t="s">
        <v>3593</v>
      </c>
      <c r="W4" s="74" t="s">
        <v>3594</v>
      </c>
      <c r="X4" s="74" t="s">
        <v>3595</v>
      </c>
      <c r="Y4" s="74" t="s">
        <v>3596</v>
      </c>
      <c r="Z4" s="74" t="s">
        <v>3597</v>
      </c>
    </row>
    <row r="5" customFormat="false" ht="29.85" hidden="false" customHeight="false" outlineLevel="0" collapsed="false">
      <c r="A5" s="53" t="s">
        <v>2492</v>
      </c>
      <c r="B5" s="6" t="s">
        <v>3598</v>
      </c>
      <c r="C5" s="128" t="n">
        <v>10.2</v>
      </c>
      <c r="D5" s="52"/>
      <c r="E5" s="52"/>
      <c r="F5" s="53" t="s">
        <v>3599</v>
      </c>
      <c r="G5" s="52" t="s">
        <v>3600</v>
      </c>
      <c r="H5" s="53" t="s">
        <v>3601</v>
      </c>
      <c r="I5" s="53" t="s">
        <v>3602</v>
      </c>
      <c r="J5" s="6" t="s">
        <v>3603</v>
      </c>
      <c r="K5" s="52" t="n">
        <v>3</v>
      </c>
      <c r="L5" s="52" t="s">
        <v>3604</v>
      </c>
      <c r="M5" s="6" t="s">
        <v>3605</v>
      </c>
      <c r="N5" s="52" t="s">
        <v>3606</v>
      </c>
      <c r="O5" s="53" t="s">
        <v>3607</v>
      </c>
      <c r="P5" s="53" t="s">
        <v>554</v>
      </c>
      <c r="Q5" s="53" t="s">
        <v>3608</v>
      </c>
      <c r="R5" s="53" t="s">
        <v>554</v>
      </c>
      <c r="S5" s="53" t="s">
        <v>554</v>
      </c>
      <c r="T5" s="53" t="s">
        <v>554</v>
      </c>
      <c r="U5" s="53" t="s">
        <v>3609</v>
      </c>
      <c r="V5" s="6" t="s">
        <v>3610</v>
      </c>
      <c r="W5" s="6" t="s">
        <v>3611</v>
      </c>
      <c r="X5" s="103" t="n">
        <f aca="false">IF($O5="Active",SUMPRODUCT(($B$5:$B$400=$B5)*($G$5:$G$400=$G5)*($H$5:$H$400=$H5)*($O$5:$O$400="Active")),0)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</row>
    <row r="6" customFormat="false" ht="29.85" hidden="false" customHeight="false" outlineLevel="0" collapsed="false">
      <c r="A6" s="53" t="s">
        <v>3612</v>
      </c>
      <c r="B6" s="6" t="s">
        <v>3613</v>
      </c>
      <c r="C6" s="128" t="n">
        <v>30000</v>
      </c>
      <c r="D6" s="52"/>
      <c r="E6" s="52"/>
      <c r="F6" s="53" t="s">
        <v>86</v>
      </c>
      <c r="G6" s="52" t="s">
        <v>3614</v>
      </c>
      <c r="H6" s="53" t="s">
        <v>135</v>
      </c>
      <c r="I6" s="53" t="s">
        <v>3615</v>
      </c>
      <c r="J6" s="6" t="s">
        <v>3616</v>
      </c>
      <c r="K6" s="52" t="n">
        <v>3</v>
      </c>
      <c r="L6" s="52" t="s">
        <v>3604</v>
      </c>
      <c r="M6" s="6" t="s">
        <v>3617</v>
      </c>
      <c r="N6" s="52" t="s">
        <v>3618</v>
      </c>
      <c r="O6" s="53" t="s">
        <v>3607</v>
      </c>
      <c r="P6" s="53" t="s">
        <v>554</v>
      </c>
      <c r="Q6" s="53" t="s">
        <v>3619</v>
      </c>
      <c r="R6" s="53" t="s">
        <v>554</v>
      </c>
      <c r="S6" s="53" t="s">
        <v>554</v>
      </c>
      <c r="T6" s="53" t="s">
        <v>554</v>
      </c>
      <c r="U6" s="53" t="s">
        <v>3620</v>
      </c>
      <c r="V6" s="6" t="s">
        <v>554</v>
      </c>
      <c r="W6" s="6" t="s">
        <v>554</v>
      </c>
      <c r="X6" s="103" t="n">
        <f aca="false">IF($O6="Active",SUMPRODUCT(($B$5:$B$400=$B6)*($G$5:$G$400=$G6)*($H$5:$H$400=$H6)*($O$5:$O$400="Active")),0)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1</v>
      </c>
    </row>
    <row r="7" customFormat="false" ht="29.85" hidden="false" customHeight="false" outlineLevel="0" collapsed="false">
      <c r="A7" s="53" t="s">
        <v>2520</v>
      </c>
      <c r="B7" s="6" t="s">
        <v>3621</v>
      </c>
      <c r="C7" s="52"/>
      <c r="D7" s="128" t="n">
        <v>220000</v>
      </c>
      <c r="E7" s="128" t="n">
        <v>320000</v>
      </c>
      <c r="F7" s="53" t="s">
        <v>3622</v>
      </c>
      <c r="G7" s="52" t="s">
        <v>3623</v>
      </c>
      <c r="H7" s="53" t="s">
        <v>135</v>
      </c>
      <c r="I7" s="53" t="s">
        <v>3615</v>
      </c>
      <c r="J7" s="6" t="s">
        <v>3616</v>
      </c>
      <c r="K7" s="52" t="n">
        <v>3</v>
      </c>
      <c r="L7" s="52" t="s">
        <v>3604</v>
      </c>
      <c r="M7" s="6" t="s">
        <v>3617</v>
      </c>
      <c r="N7" s="52" t="s">
        <v>3618</v>
      </c>
      <c r="O7" s="53" t="s">
        <v>3607</v>
      </c>
      <c r="P7" s="53" t="s">
        <v>554</v>
      </c>
      <c r="Q7" s="53" t="s">
        <v>3619</v>
      </c>
      <c r="R7" s="53" t="s">
        <v>554</v>
      </c>
      <c r="S7" s="53" t="s">
        <v>554</v>
      </c>
      <c r="T7" s="53" t="s">
        <v>554</v>
      </c>
      <c r="U7" s="53" t="s">
        <v>3620</v>
      </c>
      <c r="V7" s="6" t="s">
        <v>3624</v>
      </c>
      <c r="W7" s="6" t="s">
        <v>3625</v>
      </c>
      <c r="X7" s="103" t="n">
        <f aca="false">IF($O7="Active",SUMPRODUCT(($B$5:$B$400=$B7)*($G$5:$G$400=$G7)*($H$5:$H$400=$H7)*($O$5:$O$400="Active")),0)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1</v>
      </c>
    </row>
    <row r="8" customFormat="false" ht="29.85" hidden="false" customHeight="false" outlineLevel="0" collapsed="false">
      <c r="A8" s="53" t="s">
        <v>2479</v>
      </c>
      <c r="B8" s="6" t="s">
        <v>3626</v>
      </c>
      <c r="C8" s="52"/>
      <c r="D8" s="128" t="n">
        <v>120</v>
      </c>
      <c r="E8" s="128" t="n">
        <v>130</v>
      </c>
      <c r="F8" s="53" t="s">
        <v>3627</v>
      </c>
      <c r="G8" s="52" t="s">
        <v>3628</v>
      </c>
      <c r="H8" s="53" t="s">
        <v>136</v>
      </c>
      <c r="I8" s="53" t="s">
        <v>3629</v>
      </c>
      <c r="J8" s="6" t="s">
        <v>3630</v>
      </c>
      <c r="K8" s="52" t="n">
        <v>3</v>
      </c>
      <c r="L8" s="52" t="s">
        <v>3604</v>
      </c>
      <c r="M8" s="6" t="s">
        <v>3631</v>
      </c>
      <c r="N8" s="52" t="s">
        <v>3618</v>
      </c>
      <c r="O8" s="53" t="s">
        <v>3607</v>
      </c>
      <c r="P8" s="53" t="s">
        <v>554</v>
      </c>
      <c r="Q8" s="53" t="s">
        <v>3632</v>
      </c>
      <c r="R8" s="53" t="s">
        <v>554</v>
      </c>
      <c r="S8" s="53" t="s">
        <v>554</v>
      </c>
      <c r="T8" s="53" t="s">
        <v>554</v>
      </c>
      <c r="U8" s="53" t="s">
        <v>3633</v>
      </c>
      <c r="V8" s="6" t="s">
        <v>3634</v>
      </c>
      <c r="W8" s="5" t="s">
        <v>3635</v>
      </c>
      <c r="X8" s="103" t="n">
        <f aca="false">IF($O8="Active",SUMPRODUCT(($B$5:$B$400=$B8)*($G$5:$G$400=$G8)*($H$5:$H$400=$H8)*($O$5:$O$400="Active")),0)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</row>
    <row r="9" customFormat="false" ht="29.85" hidden="false" customHeight="false" outlineLevel="0" collapsed="false">
      <c r="A9" s="53" t="s">
        <v>2481</v>
      </c>
      <c r="B9" s="6" t="s">
        <v>3636</v>
      </c>
      <c r="C9" s="52"/>
      <c r="D9" s="128" t="n">
        <v>132</v>
      </c>
      <c r="E9" s="128" t="n">
        <v>142</v>
      </c>
      <c r="F9" s="53" t="s">
        <v>3627</v>
      </c>
      <c r="G9" s="52" t="s">
        <v>3637</v>
      </c>
      <c r="H9" s="53" t="s">
        <v>137</v>
      </c>
      <c r="I9" s="53" t="s">
        <v>3629</v>
      </c>
      <c r="J9" s="6" t="s">
        <v>3630</v>
      </c>
      <c r="K9" s="52" t="n">
        <v>3</v>
      </c>
      <c r="L9" s="52" t="s">
        <v>3604</v>
      </c>
      <c r="M9" s="6" t="s">
        <v>3631</v>
      </c>
      <c r="N9" s="52" t="s">
        <v>3618</v>
      </c>
      <c r="O9" s="53" t="s">
        <v>3607</v>
      </c>
      <c r="P9" s="53" t="s">
        <v>554</v>
      </c>
      <c r="Q9" s="53" t="s">
        <v>3632</v>
      </c>
      <c r="R9" s="53" t="s">
        <v>554</v>
      </c>
      <c r="S9" s="53" t="s">
        <v>554</v>
      </c>
      <c r="T9" s="53" t="s">
        <v>554</v>
      </c>
      <c r="U9" s="53" t="s">
        <v>3633</v>
      </c>
      <c r="V9" s="6" t="s">
        <v>3638</v>
      </c>
      <c r="W9" s="5" t="s">
        <v>3639</v>
      </c>
      <c r="X9" s="103" t="n">
        <f aca="false">IF($O9="Active",SUMPRODUCT(($B$5:$B$400=$B9)*($G$5:$G$400=$G9)*($H$5:$H$400=$H9)*($O$5:$O$400="Active")),0)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</row>
    <row r="10" customFormat="false" ht="44" hidden="false" customHeight="false" outlineLevel="0" collapsed="false">
      <c r="A10" s="53" t="s">
        <v>2524</v>
      </c>
      <c r="B10" s="6" t="s">
        <v>3640</v>
      </c>
      <c r="C10" s="52"/>
      <c r="D10" s="128" t="n">
        <v>2.8</v>
      </c>
      <c r="E10" s="128" t="n">
        <v>3.4</v>
      </c>
      <c r="F10" s="53" t="s">
        <v>3641</v>
      </c>
      <c r="G10" s="52" t="s">
        <v>3642</v>
      </c>
      <c r="H10" s="53" t="s">
        <v>136</v>
      </c>
      <c r="I10" s="53" t="s">
        <v>3643</v>
      </c>
      <c r="J10" s="6" t="s">
        <v>3644</v>
      </c>
      <c r="K10" s="52" t="n">
        <v>3</v>
      </c>
      <c r="L10" s="52" t="s">
        <v>3604</v>
      </c>
      <c r="M10" s="5" t="s">
        <v>3645</v>
      </c>
      <c r="N10" s="52" t="s">
        <v>3618</v>
      </c>
      <c r="O10" s="53" t="s">
        <v>3607</v>
      </c>
      <c r="P10" s="53" t="s">
        <v>554</v>
      </c>
      <c r="Q10" s="53" t="s">
        <v>3646</v>
      </c>
      <c r="R10" s="53" t="s">
        <v>554</v>
      </c>
      <c r="S10" s="53" t="s">
        <v>554</v>
      </c>
      <c r="T10" s="53" t="s">
        <v>554</v>
      </c>
      <c r="U10" s="53" t="s">
        <v>3647</v>
      </c>
      <c r="V10" s="6" t="s">
        <v>3648</v>
      </c>
      <c r="W10" s="5" t="s">
        <v>3649</v>
      </c>
      <c r="X10" s="103" t="n">
        <f aca="false">IF($O10="Active",SUMPRODUCT(($B$5:$B$400=$B10)*($G$5:$G$400=$G10)*($H$5:$H$400=$H10)*($O$5:$O$400="Active")),0)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1</v>
      </c>
    </row>
    <row r="11" customFormat="false" ht="29.85" hidden="false" customHeight="false" outlineLevel="0" collapsed="false">
      <c r="A11" s="53" t="s">
        <v>2556</v>
      </c>
      <c r="B11" s="6" t="s">
        <v>3650</v>
      </c>
      <c r="C11" s="52"/>
      <c r="D11" s="128" t="n">
        <v>6</v>
      </c>
      <c r="E11" s="128" t="n">
        <v>6.5</v>
      </c>
      <c r="F11" s="53" t="s">
        <v>3641</v>
      </c>
      <c r="G11" s="52" t="s">
        <v>3642</v>
      </c>
      <c r="H11" s="53" t="s">
        <v>137</v>
      </c>
      <c r="I11" s="53" t="s">
        <v>3643</v>
      </c>
      <c r="J11" s="6" t="s">
        <v>3644</v>
      </c>
      <c r="K11" s="52" t="n">
        <v>3</v>
      </c>
      <c r="L11" s="52" t="s">
        <v>3604</v>
      </c>
      <c r="M11" s="5" t="s">
        <v>3645</v>
      </c>
      <c r="N11" s="52" t="s">
        <v>3618</v>
      </c>
      <c r="O11" s="53" t="s">
        <v>3607</v>
      </c>
      <c r="P11" s="53" t="s">
        <v>554</v>
      </c>
      <c r="Q11" s="53" t="s">
        <v>3646</v>
      </c>
      <c r="R11" s="53" t="s">
        <v>554</v>
      </c>
      <c r="S11" s="53" t="s">
        <v>554</v>
      </c>
      <c r="T11" s="53" t="s">
        <v>554</v>
      </c>
      <c r="U11" s="53" t="s">
        <v>3647</v>
      </c>
      <c r="V11" s="6" t="s">
        <v>3651</v>
      </c>
      <c r="W11" s="6" t="s">
        <v>554</v>
      </c>
      <c r="X11" s="103" t="n">
        <f aca="false">IF($O11="Active",SUMPRODUCT(($B$5:$B$400=$B11)*($G$5:$G$400=$G11)*($H$5:$H$400=$H11)*($O$5:$O$400="Active")),0)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</row>
    <row r="12" customFormat="false" ht="29.85" hidden="false" customHeight="false" outlineLevel="0" collapsed="false">
      <c r="A12" s="53" t="s">
        <v>3652</v>
      </c>
      <c r="B12" s="6" t="s">
        <v>3653</v>
      </c>
      <c r="C12" s="52"/>
      <c r="D12" s="128" t="n">
        <v>5</v>
      </c>
      <c r="E12" s="128" t="n">
        <v>7</v>
      </c>
      <c r="F12" s="53" t="s">
        <v>3641</v>
      </c>
      <c r="G12" s="52" t="s">
        <v>3642</v>
      </c>
      <c r="H12" s="53" t="s">
        <v>138</v>
      </c>
      <c r="I12" s="53" t="s">
        <v>3643</v>
      </c>
      <c r="J12" s="6" t="s">
        <v>3644</v>
      </c>
      <c r="K12" s="52" t="n">
        <v>3</v>
      </c>
      <c r="L12" s="52" t="s">
        <v>3604</v>
      </c>
      <c r="M12" s="5" t="s">
        <v>3645</v>
      </c>
      <c r="N12" s="52" t="s">
        <v>3618</v>
      </c>
      <c r="O12" s="53" t="s">
        <v>3654</v>
      </c>
      <c r="P12" s="53" t="s">
        <v>554</v>
      </c>
      <c r="Q12" s="53" t="s">
        <v>3646</v>
      </c>
      <c r="R12" s="53" t="s">
        <v>554</v>
      </c>
      <c r="S12" s="53" t="s">
        <v>554</v>
      </c>
      <c r="T12" s="53" t="s">
        <v>554</v>
      </c>
      <c r="U12" s="53" t="s">
        <v>3647</v>
      </c>
      <c r="V12" s="6" t="s">
        <v>554</v>
      </c>
      <c r="W12" s="5" t="s">
        <v>3655</v>
      </c>
      <c r="X12" s="103" t="n">
        <f aca="false">IF($O12="Active",SUMPRODUCT(($B$5:$B$400=$B12)*($G$5:$G$400=$G12)*($H$5:$H$400=$H12)*($O$5:$O$400="Active")),0)</f>
        <v>0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0</v>
      </c>
    </row>
    <row r="13" customFormat="false" ht="15" hidden="false" customHeight="false" outlineLevel="0" collapsed="false">
      <c r="A13" s="53" t="s">
        <v>3656</v>
      </c>
      <c r="B13" s="6" t="s">
        <v>3657</v>
      </c>
      <c r="C13" s="52"/>
      <c r="D13" s="128" t="n">
        <v>132</v>
      </c>
      <c r="E13" s="128" t="n">
        <v>140</v>
      </c>
      <c r="F13" s="53" t="s">
        <v>3627</v>
      </c>
      <c r="G13" s="52" t="s">
        <v>3658</v>
      </c>
      <c r="H13" s="53" t="s">
        <v>137</v>
      </c>
      <c r="I13" s="53" t="s">
        <v>1155</v>
      </c>
      <c r="J13" s="6" t="s">
        <v>3659</v>
      </c>
      <c r="K13" s="52" t="n">
        <v>3</v>
      </c>
      <c r="L13" s="52" t="s">
        <v>3604</v>
      </c>
      <c r="M13" s="6" t="s">
        <v>3660</v>
      </c>
      <c r="N13" s="52" t="s">
        <v>3618</v>
      </c>
      <c r="O13" s="53" t="s">
        <v>3607</v>
      </c>
      <c r="P13" s="53" t="s">
        <v>554</v>
      </c>
      <c r="Q13" s="53" t="s">
        <v>3661</v>
      </c>
      <c r="R13" s="53" t="s">
        <v>554</v>
      </c>
      <c r="S13" s="53" t="s">
        <v>554</v>
      </c>
      <c r="T13" s="53" t="s">
        <v>554</v>
      </c>
      <c r="U13" s="53" t="s">
        <v>3662</v>
      </c>
      <c r="V13" s="6" t="s">
        <v>3663</v>
      </c>
      <c r="W13" s="6" t="s">
        <v>554</v>
      </c>
      <c r="X13" s="103" t="n">
        <f aca="false">IF($O13="Active",SUMPRODUCT(($B$5:$B$400=$B13)*($G$5:$G$400=$G13)*($H$5:$H$400=$H13)*($O$5:$O$400="Active")),0)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</row>
    <row r="14" customFormat="false" ht="29.85" hidden="false" customHeight="false" outlineLevel="0" collapsed="false">
      <c r="A14" s="53" t="s">
        <v>2542</v>
      </c>
      <c r="B14" s="6" t="s">
        <v>3664</v>
      </c>
      <c r="C14" s="128" t="n">
        <v>5</v>
      </c>
      <c r="D14" s="52"/>
      <c r="E14" s="52"/>
      <c r="F14" s="53" t="s">
        <v>3641</v>
      </c>
      <c r="G14" s="52" t="s">
        <v>3665</v>
      </c>
      <c r="H14" s="53" t="s">
        <v>137</v>
      </c>
      <c r="I14" s="53" t="s">
        <v>1155</v>
      </c>
      <c r="J14" s="6" t="s">
        <v>3666</v>
      </c>
      <c r="K14" s="52" t="n">
        <v>3</v>
      </c>
      <c r="L14" s="52" t="s">
        <v>3604</v>
      </c>
      <c r="M14" s="5" t="s">
        <v>3667</v>
      </c>
      <c r="N14" s="52" t="s">
        <v>3618</v>
      </c>
      <c r="O14" s="53" t="s">
        <v>3607</v>
      </c>
      <c r="P14" s="53" t="s">
        <v>554</v>
      </c>
      <c r="Q14" s="53" t="s">
        <v>3668</v>
      </c>
      <c r="R14" s="53" t="s">
        <v>554</v>
      </c>
      <c r="S14" s="53" t="s">
        <v>554</v>
      </c>
      <c r="T14" s="53" t="s">
        <v>554</v>
      </c>
      <c r="U14" s="53" t="s">
        <v>3669</v>
      </c>
      <c r="V14" s="6" t="s">
        <v>3670</v>
      </c>
      <c r="W14" s="6" t="s">
        <v>554</v>
      </c>
      <c r="X14" s="103" t="n">
        <f aca="false">IF($O14="Active",SUMPRODUCT(($B$5:$B$400=$B14)*($G$5:$G$400=$G14)*($H$5:$H$400=$H14)*($O$5:$O$400="Active")),0)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</row>
    <row r="15" customFormat="false" ht="44" hidden="false" customHeight="false" outlineLevel="0" collapsed="false">
      <c r="A15" s="53" t="s">
        <v>2484</v>
      </c>
      <c r="B15" s="6" t="s">
        <v>3671</v>
      </c>
      <c r="C15" s="128" t="n">
        <v>190</v>
      </c>
      <c r="D15" s="52"/>
      <c r="E15" s="52"/>
      <c r="F15" s="53" t="s">
        <v>3627</v>
      </c>
      <c r="G15" s="52" t="s">
        <v>3672</v>
      </c>
      <c r="H15" s="53" t="s">
        <v>138</v>
      </c>
      <c r="I15" s="53" t="s">
        <v>3615</v>
      </c>
      <c r="J15" s="6" t="s">
        <v>3673</v>
      </c>
      <c r="K15" s="52" t="n">
        <v>3</v>
      </c>
      <c r="L15" s="52" t="s">
        <v>3604</v>
      </c>
      <c r="M15" s="5" t="s">
        <v>3674</v>
      </c>
      <c r="N15" s="52" t="s">
        <v>3618</v>
      </c>
      <c r="O15" s="53" t="s">
        <v>3607</v>
      </c>
      <c r="P15" s="53" t="s">
        <v>554</v>
      </c>
      <c r="Q15" s="53" t="s">
        <v>3675</v>
      </c>
      <c r="R15" s="53" t="s">
        <v>554</v>
      </c>
      <c r="S15" s="53" t="s">
        <v>554</v>
      </c>
      <c r="T15" s="53" t="s">
        <v>554</v>
      </c>
      <c r="U15" s="53" t="s">
        <v>3676</v>
      </c>
      <c r="V15" s="6" t="s">
        <v>3677</v>
      </c>
      <c r="W15" s="6" t="s">
        <v>2305</v>
      </c>
      <c r="X15" s="103" t="n">
        <f aca="false">IF($O15="Active",SUMPRODUCT(($B$5:$B$400=$B15)*($G$5:$G$400=$G15)*($H$5:$H$400=$H15)*($O$5:$O$400="Active")),0)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</row>
    <row r="16" customFormat="false" ht="44" hidden="false" customHeight="false" outlineLevel="0" collapsed="false">
      <c r="A16" s="53" t="s">
        <v>2514</v>
      </c>
      <c r="B16" s="6" t="s">
        <v>3678</v>
      </c>
      <c r="C16" s="128" t="n">
        <v>230</v>
      </c>
      <c r="D16" s="52"/>
      <c r="E16" s="52"/>
      <c r="F16" s="53" t="s">
        <v>3627</v>
      </c>
      <c r="G16" s="52" t="s">
        <v>3679</v>
      </c>
      <c r="H16" s="53" t="s">
        <v>138</v>
      </c>
      <c r="I16" s="53" t="s">
        <v>3615</v>
      </c>
      <c r="J16" s="6" t="s">
        <v>3673</v>
      </c>
      <c r="K16" s="52" t="n">
        <v>3</v>
      </c>
      <c r="L16" s="52" t="s">
        <v>3604</v>
      </c>
      <c r="M16" s="5" t="s">
        <v>3674</v>
      </c>
      <c r="N16" s="52" t="s">
        <v>3618</v>
      </c>
      <c r="O16" s="53" t="s">
        <v>3607</v>
      </c>
      <c r="P16" s="53" t="s">
        <v>554</v>
      </c>
      <c r="Q16" s="53" t="s">
        <v>3675</v>
      </c>
      <c r="R16" s="53" t="s">
        <v>554</v>
      </c>
      <c r="S16" s="53" t="s">
        <v>554</v>
      </c>
      <c r="T16" s="53" t="s">
        <v>554</v>
      </c>
      <c r="U16" s="53" t="s">
        <v>3676</v>
      </c>
      <c r="V16" s="6" t="s">
        <v>3680</v>
      </c>
      <c r="W16" s="6" t="s">
        <v>2305</v>
      </c>
      <c r="X16" s="103" t="n">
        <f aca="false">IF($O16="Active",SUMPRODUCT(($B$5:$B$400=$B16)*($G$5:$G$400=$G16)*($H$5:$H$400=$H16)*($O$5:$O$400="Active")),0)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</row>
    <row r="17" customFormat="false" ht="44" hidden="false" customHeight="false" outlineLevel="0" collapsed="false">
      <c r="A17" s="53" t="s">
        <v>2505</v>
      </c>
      <c r="B17" s="6" t="s">
        <v>3681</v>
      </c>
      <c r="C17" s="128" t="n">
        <v>600</v>
      </c>
      <c r="D17" s="52"/>
      <c r="E17" s="52"/>
      <c r="F17" s="53" t="s">
        <v>3627</v>
      </c>
      <c r="G17" s="52" t="s">
        <v>3682</v>
      </c>
      <c r="H17" s="53" t="s">
        <v>139</v>
      </c>
      <c r="I17" s="53" t="s">
        <v>3615</v>
      </c>
      <c r="J17" s="6" t="s">
        <v>3673</v>
      </c>
      <c r="K17" s="52" t="n">
        <v>3</v>
      </c>
      <c r="L17" s="52" t="s">
        <v>3604</v>
      </c>
      <c r="M17" s="5" t="s">
        <v>3674</v>
      </c>
      <c r="N17" s="52" t="s">
        <v>3618</v>
      </c>
      <c r="O17" s="53" t="s">
        <v>3607</v>
      </c>
      <c r="P17" s="53" t="s">
        <v>554</v>
      </c>
      <c r="Q17" s="53" t="s">
        <v>3675</v>
      </c>
      <c r="R17" s="53" t="s">
        <v>554</v>
      </c>
      <c r="S17" s="53" t="s">
        <v>554</v>
      </c>
      <c r="T17" s="53" t="s">
        <v>554</v>
      </c>
      <c r="U17" s="53" t="s">
        <v>3676</v>
      </c>
      <c r="V17" s="6" t="s">
        <v>3683</v>
      </c>
      <c r="W17" s="5" t="s">
        <v>3684</v>
      </c>
      <c r="X17" s="103" t="n">
        <f aca="false">IF($O17="Active",SUMPRODUCT(($B$5:$B$400=$B17)*($G$5:$G$400=$G17)*($H$5:$H$400=$H17)*($O$5:$O$400="Active")),0)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1</v>
      </c>
    </row>
    <row r="18" customFormat="false" ht="15" hidden="false" customHeight="false" outlineLevel="0" collapsed="false">
      <c r="A18" s="53" t="s">
        <v>2502</v>
      </c>
      <c r="B18" s="6" t="s">
        <v>3685</v>
      </c>
      <c r="C18" s="128" t="n">
        <v>227</v>
      </c>
      <c r="D18" s="52"/>
      <c r="E18" s="52"/>
      <c r="F18" s="53" t="s">
        <v>3627</v>
      </c>
      <c r="G18" s="53" t="s">
        <v>3686</v>
      </c>
      <c r="H18" s="53" t="s">
        <v>138</v>
      </c>
      <c r="I18" s="53" t="s">
        <v>1152</v>
      </c>
      <c r="J18" s="6" t="s">
        <v>3687</v>
      </c>
      <c r="K18" s="52" t="n">
        <v>3</v>
      </c>
      <c r="L18" s="52" t="s">
        <v>3604</v>
      </c>
      <c r="M18" s="6" t="s">
        <v>3688</v>
      </c>
      <c r="N18" s="52" t="s">
        <v>3618</v>
      </c>
      <c r="O18" s="53" t="s">
        <v>3607</v>
      </c>
      <c r="P18" s="53" t="s">
        <v>554</v>
      </c>
      <c r="Q18" s="53" t="s">
        <v>3689</v>
      </c>
      <c r="R18" s="53" t="s">
        <v>554</v>
      </c>
      <c r="S18" s="53" t="s">
        <v>554</v>
      </c>
      <c r="T18" s="53" t="s">
        <v>554</v>
      </c>
      <c r="U18" s="53" t="s">
        <v>3690</v>
      </c>
      <c r="V18" s="6" t="s">
        <v>3691</v>
      </c>
      <c r="W18" s="6" t="s">
        <v>3692</v>
      </c>
      <c r="X18" s="103" t="n">
        <f aca="false">IF($O18="Active",SUMPRODUCT(($B$5:$B$400=$B18)*($G$5:$G$400=$G18)*($H$5:$H$400=$H18)*($O$5:$O$400="Active")),0)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1</v>
      </c>
    </row>
    <row r="19" customFormat="false" ht="41" hidden="false" customHeight="false" outlineLevel="0" collapsed="false">
      <c r="A19" s="53" t="s">
        <v>2545</v>
      </c>
      <c r="B19" s="6" t="s">
        <v>3693</v>
      </c>
      <c r="C19" s="128" t="n">
        <v>7.8</v>
      </c>
      <c r="D19" s="52"/>
      <c r="E19" s="52"/>
      <c r="F19" s="53" t="s">
        <v>3641</v>
      </c>
      <c r="G19" s="52" t="s">
        <v>3694</v>
      </c>
      <c r="H19" s="53" t="s">
        <v>138</v>
      </c>
      <c r="I19" s="53" t="s">
        <v>3695</v>
      </c>
      <c r="J19" s="6" t="s">
        <v>3696</v>
      </c>
      <c r="K19" s="52" t="n">
        <v>3</v>
      </c>
      <c r="L19" s="52" t="s">
        <v>3697</v>
      </c>
      <c r="M19" s="6" t="s">
        <v>3698</v>
      </c>
      <c r="N19" s="52" t="s">
        <v>3618</v>
      </c>
      <c r="O19" s="53" t="s">
        <v>3607</v>
      </c>
      <c r="P19" s="53" t="s">
        <v>554</v>
      </c>
      <c r="Q19" s="53" t="s">
        <v>3699</v>
      </c>
      <c r="R19" s="53" t="s">
        <v>554</v>
      </c>
      <c r="S19" s="53" t="s">
        <v>554</v>
      </c>
      <c r="T19" s="53" t="s">
        <v>554</v>
      </c>
      <c r="U19" s="53" t="s">
        <v>3700</v>
      </c>
      <c r="V19" s="6" t="s">
        <v>3701</v>
      </c>
      <c r="W19" s="6" t="s">
        <v>554</v>
      </c>
      <c r="X19" s="103" t="n">
        <f aca="false">IF($O19="Active",SUMPRODUCT(($B$5:$B$400=$B19)*($G$5:$G$400=$G19)*($H$5:$H$400=$H19)*($O$5:$O$400="Active")),0)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0</v>
      </c>
    </row>
    <row r="20" customFormat="false" ht="41" hidden="false" customHeight="false" outlineLevel="0" collapsed="false">
      <c r="A20" s="53" t="s">
        <v>2528</v>
      </c>
      <c r="B20" s="6" t="s">
        <v>3702</v>
      </c>
      <c r="C20" s="128" t="n">
        <v>6.7</v>
      </c>
      <c r="D20" s="52"/>
      <c r="E20" s="52"/>
      <c r="F20" s="53" t="s">
        <v>3641</v>
      </c>
      <c r="G20" s="52" t="s">
        <v>3703</v>
      </c>
      <c r="H20" s="53" t="s">
        <v>138</v>
      </c>
      <c r="I20" s="53" t="s">
        <v>3695</v>
      </c>
      <c r="J20" s="6" t="s">
        <v>3696</v>
      </c>
      <c r="K20" s="52" t="n">
        <v>3</v>
      </c>
      <c r="L20" s="52" t="s">
        <v>3697</v>
      </c>
      <c r="M20" s="6" t="s">
        <v>3698</v>
      </c>
      <c r="N20" s="52" t="s">
        <v>3618</v>
      </c>
      <c r="O20" s="53" t="s">
        <v>3654</v>
      </c>
      <c r="P20" s="53" t="s">
        <v>554</v>
      </c>
      <c r="Q20" s="53" t="s">
        <v>3699</v>
      </c>
      <c r="R20" s="53" t="s">
        <v>554</v>
      </c>
      <c r="S20" s="53" t="s">
        <v>554</v>
      </c>
      <c r="T20" s="53" t="s">
        <v>554</v>
      </c>
      <c r="U20" s="53" t="s">
        <v>3700</v>
      </c>
      <c r="V20" s="6" t="s">
        <v>3704</v>
      </c>
      <c r="W20" s="5" t="s">
        <v>3705</v>
      </c>
      <c r="X20" s="103" t="n">
        <f aca="false">IF($O20="Active",SUMPRODUCT(($B$5:$B$400=$B20)*($G$5:$G$400=$G20)*($H$5:$H$400=$H20)*($O$5:$O$400="Active")),0)</f>
        <v>0</v>
      </c>
      <c r="Y20" s="103" t="n">
        <f aca="false">IF(AND($O20="Active",OR($Q20="—",$Q20="")),1,0)</f>
        <v>0</v>
      </c>
      <c r="Z20" s="103" t="n">
        <f aca="false">IF(AND($O20="Active",$L20="利害關係方",OR($R20="—",$R20="")),1,0)</f>
        <v>0</v>
      </c>
    </row>
    <row r="21" customFormat="false" ht="41" hidden="false" customHeight="false" outlineLevel="0" collapsed="false">
      <c r="A21" s="53" t="s">
        <v>2558</v>
      </c>
      <c r="B21" s="6" t="s">
        <v>3706</v>
      </c>
      <c r="C21" s="128" t="n">
        <v>9.09</v>
      </c>
      <c r="D21" s="52"/>
      <c r="E21" s="52"/>
      <c r="F21" s="53" t="s">
        <v>3641</v>
      </c>
      <c r="G21" s="52" t="s">
        <v>3694</v>
      </c>
      <c r="H21" s="53" t="s">
        <v>138</v>
      </c>
      <c r="I21" s="53" t="s">
        <v>3629</v>
      </c>
      <c r="J21" s="6" t="s">
        <v>3696</v>
      </c>
      <c r="K21" s="52" t="n">
        <v>3</v>
      </c>
      <c r="L21" s="52" t="s">
        <v>3697</v>
      </c>
      <c r="M21" s="6" t="s">
        <v>3698</v>
      </c>
      <c r="N21" s="52" t="s">
        <v>3618</v>
      </c>
      <c r="O21" s="53" t="s">
        <v>3654</v>
      </c>
      <c r="P21" s="53" t="s">
        <v>554</v>
      </c>
      <c r="Q21" s="53" t="s">
        <v>3699</v>
      </c>
      <c r="R21" s="53" t="s">
        <v>554</v>
      </c>
      <c r="S21" s="53" t="s">
        <v>554</v>
      </c>
      <c r="T21" s="53" t="s">
        <v>554</v>
      </c>
      <c r="U21" s="53" t="s">
        <v>3700</v>
      </c>
      <c r="V21" s="6" t="s">
        <v>3707</v>
      </c>
      <c r="W21" s="5" t="s">
        <v>3708</v>
      </c>
      <c r="X21" s="103" t="n">
        <f aca="false">IF($O21="Active",SUMPRODUCT(($B$5:$B$400=$B21)*($G$5:$G$400=$G21)*($H$5:$H$400=$H21)*($O$5:$O$400="Active")),0)</f>
        <v>0</v>
      </c>
      <c r="Y21" s="103" t="n">
        <f aca="false">IF(AND($O21="Active",OR($Q21="—",$Q21="")),1,0)</f>
        <v>0</v>
      </c>
      <c r="Z21" s="103" t="n">
        <f aca="false">IF(AND($O21="Active",$L21="利害關係方",OR($R21="—",$R21="")),1,0)</f>
        <v>0</v>
      </c>
    </row>
    <row r="22" customFormat="false" ht="29.85" hidden="false" customHeight="false" outlineLevel="0" collapsed="false">
      <c r="A22" s="53" t="s">
        <v>3709</v>
      </c>
      <c r="B22" s="6" t="s">
        <v>3710</v>
      </c>
      <c r="C22" s="128" t="n">
        <v>1</v>
      </c>
      <c r="D22" s="52"/>
      <c r="E22" s="52"/>
      <c r="F22" s="53" t="s">
        <v>3641</v>
      </c>
      <c r="G22" s="52" t="s">
        <v>3682</v>
      </c>
      <c r="H22" s="53" t="s">
        <v>138</v>
      </c>
      <c r="I22" s="53" t="s">
        <v>3615</v>
      </c>
      <c r="J22" s="6" t="s">
        <v>3711</v>
      </c>
      <c r="K22" s="52" t="n">
        <v>3</v>
      </c>
      <c r="L22" s="52" t="s">
        <v>3604</v>
      </c>
      <c r="M22" s="6" t="s">
        <v>3712</v>
      </c>
      <c r="N22" s="52" t="s">
        <v>3618</v>
      </c>
      <c r="O22" s="53" t="s">
        <v>3654</v>
      </c>
      <c r="P22" s="53" t="s">
        <v>554</v>
      </c>
      <c r="Q22" s="53" t="s">
        <v>3713</v>
      </c>
      <c r="R22" s="53" t="s">
        <v>554</v>
      </c>
      <c r="S22" s="53" t="s">
        <v>554</v>
      </c>
      <c r="T22" s="53" t="s">
        <v>554</v>
      </c>
      <c r="U22" s="53" t="s">
        <v>3714</v>
      </c>
      <c r="V22" s="6" t="s">
        <v>554</v>
      </c>
      <c r="W22" s="5" t="s">
        <v>3715</v>
      </c>
      <c r="X22" s="103" t="n">
        <f aca="false">IF($O22="Active",SUMPRODUCT(($B$5:$B$400=$B22)*($G$5:$G$400=$G22)*($H$5:$H$400=$H22)*($O$5:$O$400="Active")),0)</f>
        <v>0</v>
      </c>
      <c r="Y22" s="103" t="n">
        <f aca="false">IF(AND($O22="Active",OR($Q22="—",$Q22="")),1,0)</f>
        <v>0</v>
      </c>
      <c r="Z22" s="103" t="n">
        <f aca="false">IF(AND($O22="Active",$L22="利害關係方",OR($R22="—",$R22="")),1,0)</f>
        <v>0</v>
      </c>
    </row>
    <row r="23" customFormat="false" ht="29.85" hidden="false" customHeight="false" outlineLevel="0" collapsed="false">
      <c r="A23" s="53" t="s">
        <v>2720</v>
      </c>
      <c r="B23" s="6" t="s">
        <v>3716</v>
      </c>
      <c r="C23" s="128" t="n">
        <v>0.989</v>
      </c>
      <c r="D23" s="52"/>
      <c r="E23" s="52"/>
      <c r="F23" s="53" t="s">
        <v>414</v>
      </c>
      <c r="G23" s="53" t="s">
        <v>3717</v>
      </c>
      <c r="H23" s="53" t="s">
        <v>135</v>
      </c>
      <c r="I23" s="53" t="s">
        <v>3718</v>
      </c>
      <c r="J23" s="5" t="s">
        <v>3719</v>
      </c>
      <c r="K23" s="52" t="n">
        <v>3</v>
      </c>
      <c r="L23" s="52" t="s">
        <v>3604</v>
      </c>
      <c r="M23" s="6" t="s">
        <v>3720</v>
      </c>
      <c r="N23" s="52" t="s">
        <v>3606</v>
      </c>
      <c r="O23" s="53" t="s">
        <v>3607</v>
      </c>
      <c r="P23" s="53" t="s">
        <v>554</v>
      </c>
      <c r="Q23" s="53" t="s">
        <v>3721</v>
      </c>
      <c r="R23" s="53" t="s">
        <v>554</v>
      </c>
      <c r="S23" s="53" t="s">
        <v>554</v>
      </c>
      <c r="T23" s="53" t="s">
        <v>554</v>
      </c>
      <c r="U23" s="53" t="s">
        <v>3722</v>
      </c>
      <c r="V23" s="6" t="s">
        <v>3723</v>
      </c>
      <c r="W23" s="6" t="s">
        <v>3724</v>
      </c>
      <c r="X23" s="103" t="n">
        <f aca="false">IF($O23="Active",SUMPRODUCT(($B$5:$B$400=$B23)*($G$5:$G$400=$G23)*($H$5:$H$400=$H23)*($O$5:$O$400="Active")),0)</f>
        <v>1</v>
      </c>
      <c r="Y23" s="103" t="n">
        <f aca="false">IF(AND($O23="Active",OR($Q23="—",$Q23="")),1,0)</f>
        <v>0</v>
      </c>
      <c r="Z23" s="103" t="n">
        <f aca="false">IF(AND($O23="Active",$L23="利害關係方",OR($R23="—",$R23="")),1,0)</f>
        <v>1</v>
      </c>
    </row>
    <row r="24" customFormat="false" ht="15" hidden="false" customHeight="false" outlineLevel="0" collapsed="false">
      <c r="A24" s="53" t="s">
        <v>2595</v>
      </c>
      <c r="B24" s="6" t="s">
        <v>3725</v>
      </c>
      <c r="C24" s="128" t="n">
        <v>80</v>
      </c>
      <c r="D24" s="52"/>
      <c r="E24" s="52"/>
      <c r="F24" s="53" t="s">
        <v>660</v>
      </c>
      <c r="G24" s="53" t="s">
        <v>554</v>
      </c>
      <c r="H24" s="53" t="s">
        <v>135</v>
      </c>
      <c r="I24" s="53" t="s">
        <v>3718</v>
      </c>
      <c r="J24" s="5" t="s">
        <v>3719</v>
      </c>
      <c r="K24" s="52" t="n">
        <v>3</v>
      </c>
      <c r="L24" s="52" t="s">
        <v>3604</v>
      </c>
      <c r="M24" s="6" t="s">
        <v>3720</v>
      </c>
      <c r="N24" s="52" t="s">
        <v>3606</v>
      </c>
      <c r="O24" s="53" t="s">
        <v>3607</v>
      </c>
      <c r="P24" s="53" t="s">
        <v>554</v>
      </c>
      <c r="Q24" s="53" t="s">
        <v>3721</v>
      </c>
      <c r="R24" s="53" t="s">
        <v>554</v>
      </c>
      <c r="S24" s="53" t="s">
        <v>554</v>
      </c>
      <c r="T24" s="53" t="s">
        <v>554</v>
      </c>
      <c r="U24" s="53" t="s">
        <v>3722</v>
      </c>
      <c r="V24" s="6" t="s">
        <v>3726</v>
      </c>
      <c r="W24" s="6" t="s">
        <v>554</v>
      </c>
      <c r="X24" s="103" t="n">
        <f aca="false">IF($O24="Active",SUMPRODUCT(($B$5:$B$400=$B24)*($G$5:$G$400=$G24)*($H$5:$H$400=$H24)*($O$5:$O$400="Active")),0)</f>
        <v>1</v>
      </c>
      <c r="Y24" s="103" t="n">
        <f aca="false">IF(AND($O24="Active",OR($Q24="—",$Q24="")),1,0)</f>
        <v>0</v>
      </c>
      <c r="Z24" s="103" t="n">
        <f aca="false">IF(AND($O24="Active",$L24="利害關係方",OR($R24="—",$R24="")),1,0)</f>
        <v>1</v>
      </c>
    </row>
    <row r="25" customFormat="false" ht="15" hidden="false" customHeight="false" outlineLevel="0" collapsed="false">
      <c r="A25" s="53" t="s">
        <v>2610</v>
      </c>
      <c r="B25" s="6" t="s">
        <v>3727</v>
      </c>
      <c r="C25" s="128" t="n">
        <v>3.35</v>
      </c>
      <c r="D25" s="52"/>
      <c r="E25" s="52"/>
      <c r="F25" s="53" t="s">
        <v>301</v>
      </c>
      <c r="G25" s="53" t="s">
        <v>554</v>
      </c>
      <c r="H25" s="53" t="s">
        <v>135</v>
      </c>
      <c r="I25" s="53" t="s">
        <v>3718</v>
      </c>
      <c r="J25" s="5" t="s">
        <v>3719</v>
      </c>
      <c r="K25" s="52" t="n">
        <v>3</v>
      </c>
      <c r="L25" s="52" t="s">
        <v>3604</v>
      </c>
      <c r="M25" s="6" t="s">
        <v>3720</v>
      </c>
      <c r="N25" s="52" t="s">
        <v>3606</v>
      </c>
      <c r="O25" s="53" t="s">
        <v>3607</v>
      </c>
      <c r="P25" s="53" t="s">
        <v>554</v>
      </c>
      <c r="Q25" s="53" t="s">
        <v>3721</v>
      </c>
      <c r="R25" s="53" t="s">
        <v>554</v>
      </c>
      <c r="S25" s="53" t="s">
        <v>554</v>
      </c>
      <c r="T25" s="53" t="s">
        <v>554</v>
      </c>
      <c r="U25" s="53" t="s">
        <v>3722</v>
      </c>
      <c r="V25" s="6" t="s">
        <v>3728</v>
      </c>
      <c r="W25" s="6" t="s">
        <v>554</v>
      </c>
      <c r="X25" s="103" t="n">
        <f aca="false">IF($O25="Active",SUMPRODUCT(($B$5:$B$400=$B25)*($G$5:$G$400=$G25)*($H$5:$H$400=$H25)*($O$5:$O$400="Active")),0)</f>
        <v>1</v>
      </c>
      <c r="Y25" s="103" t="n">
        <f aca="false">IF(AND($O25="Active",OR($Q25="—",$Q25="")),1,0)</f>
        <v>0</v>
      </c>
      <c r="Z25" s="103" t="n">
        <f aca="false">IF(AND($O25="Active",$L25="利害關係方",OR($R25="—",$R25="")),1,0)</f>
        <v>1</v>
      </c>
    </row>
    <row r="26" customFormat="false" ht="29.85" hidden="false" customHeight="false" outlineLevel="0" collapsed="false">
      <c r="A26" s="53" t="s">
        <v>2568</v>
      </c>
      <c r="B26" s="6" t="s">
        <v>3729</v>
      </c>
      <c r="C26" s="128" t="n">
        <v>10</v>
      </c>
      <c r="D26" s="52"/>
      <c r="E26" s="52"/>
      <c r="F26" s="53" t="s">
        <v>414</v>
      </c>
      <c r="G26" s="53" t="s">
        <v>3717</v>
      </c>
      <c r="H26" s="53" t="s">
        <v>136</v>
      </c>
      <c r="I26" s="53" t="s">
        <v>3718</v>
      </c>
      <c r="J26" s="5" t="s">
        <v>3719</v>
      </c>
      <c r="K26" s="52" t="n">
        <v>3</v>
      </c>
      <c r="L26" s="52" t="s">
        <v>3604</v>
      </c>
      <c r="M26" s="6" t="s">
        <v>3720</v>
      </c>
      <c r="N26" s="52" t="s">
        <v>3606</v>
      </c>
      <c r="O26" s="53" t="s">
        <v>3607</v>
      </c>
      <c r="P26" s="53" t="s">
        <v>554</v>
      </c>
      <c r="Q26" s="53" t="s">
        <v>3721</v>
      </c>
      <c r="R26" s="53" t="s">
        <v>554</v>
      </c>
      <c r="S26" s="53" t="s">
        <v>554</v>
      </c>
      <c r="T26" s="53" t="s">
        <v>554</v>
      </c>
      <c r="U26" s="53" t="s">
        <v>3722</v>
      </c>
      <c r="V26" s="6" t="s">
        <v>3730</v>
      </c>
      <c r="W26" s="5" t="s">
        <v>3731</v>
      </c>
      <c r="X26" s="103" t="n">
        <f aca="false">IF($O26="Active",SUMPRODUCT(($B$5:$B$400=$B26)*($G$5:$G$400=$G26)*($H$5:$H$400=$H26)*($O$5:$O$400="Active")),0)</f>
        <v>1</v>
      </c>
      <c r="Y26" s="103" t="n">
        <f aca="false">IF(AND($O26="Active",OR($Q26="—",$Q26="")),1,0)</f>
        <v>0</v>
      </c>
      <c r="Z26" s="103" t="n">
        <f aca="false">IF(AND($O26="Active",$L26="利害關係方",OR($R26="—",$R26="")),1,0)</f>
        <v>1</v>
      </c>
    </row>
    <row r="27" customFormat="false" ht="15" hidden="false" customHeight="false" outlineLevel="0" collapsed="false">
      <c r="A27" s="53" t="s">
        <v>2613</v>
      </c>
      <c r="B27" s="6" t="s">
        <v>3732</v>
      </c>
      <c r="C27" s="128" t="n">
        <v>8</v>
      </c>
      <c r="D27" s="52"/>
      <c r="E27" s="52"/>
      <c r="F27" s="53" t="s">
        <v>301</v>
      </c>
      <c r="G27" s="53" t="s">
        <v>554</v>
      </c>
      <c r="H27" s="53" t="s">
        <v>136</v>
      </c>
      <c r="I27" s="53" t="s">
        <v>3718</v>
      </c>
      <c r="J27" s="5" t="s">
        <v>3719</v>
      </c>
      <c r="K27" s="52" t="n">
        <v>3</v>
      </c>
      <c r="L27" s="52" t="s">
        <v>3604</v>
      </c>
      <c r="M27" s="6" t="s">
        <v>3720</v>
      </c>
      <c r="N27" s="52" t="s">
        <v>3606</v>
      </c>
      <c r="O27" s="53" t="s">
        <v>3607</v>
      </c>
      <c r="P27" s="53" t="s">
        <v>554</v>
      </c>
      <c r="Q27" s="53" t="s">
        <v>3721</v>
      </c>
      <c r="R27" s="53" t="s">
        <v>554</v>
      </c>
      <c r="S27" s="53" t="s">
        <v>554</v>
      </c>
      <c r="T27" s="53" t="s">
        <v>554</v>
      </c>
      <c r="U27" s="53" t="s">
        <v>3722</v>
      </c>
      <c r="V27" s="6" t="s">
        <v>3733</v>
      </c>
      <c r="W27" s="6" t="s">
        <v>554</v>
      </c>
      <c r="X27" s="103" t="n">
        <f aca="false">IF($O27="Active",SUMPRODUCT(($B$5:$B$400=$B27)*($G$5:$G$400=$G27)*($H$5:$H$400=$H27)*($O$5:$O$400="Active")),0)</f>
        <v>1</v>
      </c>
      <c r="Y27" s="103" t="n">
        <f aca="false">IF(AND($O27="Active",OR($Q27="—",$Q27="")),1,0)</f>
        <v>0</v>
      </c>
      <c r="Z27" s="103" t="n">
        <f aca="false">IF(AND($O27="Active",$L27="利害關係方",OR($R27="—",$R27="")),1,0)</f>
        <v>1</v>
      </c>
    </row>
    <row r="28" customFormat="false" ht="29.85" hidden="false" customHeight="false" outlineLevel="0" collapsed="false">
      <c r="A28" s="53" t="s">
        <v>3734</v>
      </c>
      <c r="B28" s="6" t="s">
        <v>3735</v>
      </c>
      <c r="C28" s="128" t="n">
        <v>186</v>
      </c>
      <c r="D28" s="52"/>
      <c r="E28" s="52"/>
      <c r="F28" s="53" t="s">
        <v>660</v>
      </c>
      <c r="G28" s="53" t="s">
        <v>554</v>
      </c>
      <c r="H28" s="53" t="s">
        <v>136</v>
      </c>
      <c r="I28" s="53" t="s">
        <v>3718</v>
      </c>
      <c r="J28" s="5" t="s">
        <v>3719</v>
      </c>
      <c r="K28" s="52" t="n">
        <v>3</v>
      </c>
      <c r="L28" s="52" t="s">
        <v>3604</v>
      </c>
      <c r="M28" s="6" t="s">
        <v>3720</v>
      </c>
      <c r="N28" s="52" t="s">
        <v>3606</v>
      </c>
      <c r="O28" s="53" t="s">
        <v>3654</v>
      </c>
      <c r="P28" s="53" t="s">
        <v>554</v>
      </c>
      <c r="Q28" s="53" t="s">
        <v>3721</v>
      </c>
      <c r="R28" s="53" t="s">
        <v>554</v>
      </c>
      <c r="S28" s="53" t="s">
        <v>554</v>
      </c>
      <c r="T28" s="53" t="s">
        <v>554</v>
      </c>
      <c r="U28" s="53" t="s">
        <v>3722</v>
      </c>
      <c r="V28" s="6" t="s">
        <v>554</v>
      </c>
      <c r="W28" s="5" t="s">
        <v>3736</v>
      </c>
      <c r="X28" s="103" t="n">
        <f aca="false">IF($O28="Active",SUMPRODUCT(($B$5:$B$400=$B28)*($G$5:$G$400=$G28)*($H$5:$H$400=$H28)*($O$5:$O$400="Active")),0)</f>
        <v>0</v>
      </c>
      <c r="Y28" s="103" t="n">
        <f aca="false">IF(AND($O28="Active",OR($Q28="—",$Q28="")),1,0)</f>
        <v>0</v>
      </c>
      <c r="Z28" s="103" t="n">
        <f aca="false">IF(AND($O28="Active",$L28="利害關係方",OR($R28="—",$R28="")),1,0)</f>
        <v>0</v>
      </c>
    </row>
    <row r="29" customFormat="false" ht="29.85" hidden="false" customHeight="false" outlineLevel="0" collapsed="false">
      <c r="A29" s="53" t="s">
        <v>2570</v>
      </c>
      <c r="B29" s="6" t="s">
        <v>3737</v>
      </c>
      <c r="C29" s="128" t="n">
        <v>15</v>
      </c>
      <c r="D29" s="52"/>
      <c r="E29" s="52"/>
      <c r="F29" s="53" t="s">
        <v>414</v>
      </c>
      <c r="G29" s="53" t="s">
        <v>3717</v>
      </c>
      <c r="H29" s="53" t="s">
        <v>137</v>
      </c>
      <c r="I29" s="53" t="s">
        <v>3718</v>
      </c>
      <c r="J29" s="5" t="s">
        <v>3719</v>
      </c>
      <c r="K29" s="52" t="n">
        <v>3</v>
      </c>
      <c r="L29" s="52" t="s">
        <v>3604</v>
      </c>
      <c r="M29" s="6" t="s">
        <v>3720</v>
      </c>
      <c r="N29" s="52" t="s">
        <v>3606</v>
      </c>
      <c r="O29" s="53" t="s">
        <v>3607</v>
      </c>
      <c r="P29" s="53" t="s">
        <v>554</v>
      </c>
      <c r="Q29" s="53" t="s">
        <v>3721</v>
      </c>
      <c r="R29" s="53" t="s">
        <v>554</v>
      </c>
      <c r="S29" s="53" t="s">
        <v>554</v>
      </c>
      <c r="T29" s="53" t="s">
        <v>554</v>
      </c>
      <c r="U29" s="53" t="s">
        <v>3722</v>
      </c>
      <c r="V29" s="6" t="s">
        <v>3738</v>
      </c>
      <c r="W29" s="6" t="s">
        <v>554</v>
      </c>
      <c r="X29" s="103" t="n">
        <f aca="false">IF($O29="Active",SUMPRODUCT(($B$5:$B$400=$B29)*($G$5:$G$400=$G29)*($H$5:$H$400=$H29)*($O$5:$O$400="Active")),0)</f>
        <v>1</v>
      </c>
      <c r="Y29" s="103" t="n">
        <f aca="false">IF(AND($O29="Active",OR($Q29="—",$Q29="")),1,0)</f>
        <v>0</v>
      </c>
      <c r="Z29" s="103" t="n">
        <f aca="false">IF(AND($O29="Active",$L29="利害關係方",OR($R29="—",$R29="")),1,0)</f>
        <v>1</v>
      </c>
    </row>
    <row r="30" customFormat="false" ht="15" hidden="false" customHeight="false" outlineLevel="0" collapsed="false">
      <c r="A30" s="53" t="s">
        <v>2602</v>
      </c>
      <c r="B30" s="6" t="s">
        <v>3739</v>
      </c>
      <c r="C30" s="128" t="n">
        <v>288</v>
      </c>
      <c r="D30" s="52"/>
      <c r="E30" s="52"/>
      <c r="F30" s="53" t="s">
        <v>660</v>
      </c>
      <c r="G30" s="53" t="s">
        <v>554</v>
      </c>
      <c r="H30" s="53" t="s">
        <v>137</v>
      </c>
      <c r="I30" s="53" t="s">
        <v>3718</v>
      </c>
      <c r="J30" s="5" t="s">
        <v>3719</v>
      </c>
      <c r="K30" s="52" t="n">
        <v>3</v>
      </c>
      <c r="L30" s="52" t="s">
        <v>3604</v>
      </c>
      <c r="M30" s="6" t="s">
        <v>3720</v>
      </c>
      <c r="N30" s="52" t="s">
        <v>3606</v>
      </c>
      <c r="O30" s="53" t="s">
        <v>3607</v>
      </c>
      <c r="P30" s="53" t="s">
        <v>554</v>
      </c>
      <c r="Q30" s="53" t="s">
        <v>3721</v>
      </c>
      <c r="R30" s="53" t="s">
        <v>554</v>
      </c>
      <c r="S30" s="53" t="s">
        <v>554</v>
      </c>
      <c r="T30" s="53" t="s">
        <v>554</v>
      </c>
      <c r="U30" s="53" t="s">
        <v>3722</v>
      </c>
      <c r="V30" s="6" t="s">
        <v>3740</v>
      </c>
      <c r="W30" s="6" t="s">
        <v>554</v>
      </c>
      <c r="X30" s="103" t="n">
        <f aca="false">IF($O30="Active",SUMPRODUCT(($B$5:$B$400=$B30)*($G$5:$G$400=$G30)*($H$5:$H$400=$H30)*($O$5:$O$400="Active")),0)</f>
        <v>1</v>
      </c>
      <c r="Y30" s="103" t="n">
        <f aca="false">IF(AND($O30="Active",OR($Q30="—",$Q30="")),1,0)</f>
        <v>0</v>
      </c>
      <c r="Z30" s="103" t="n">
        <f aca="false">IF(AND($O30="Active",$L30="利害關係方",OR($R30="—",$R30="")),1,0)</f>
        <v>1</v>
      </c>
    </row>
    <row r="31" customFormat="false" ht="15" hidden="false" customHeight="false" outlineLevel="0" collapsed="false">
      <c r="A31" s="53" t="s">
        <v>2587</v>
      </c>
      <c r="B31" s="6" t="s">
        <v>3741</v>
      </c>
      <c r="C31" s="128" t="n">
        <v>50</v>
      </c>
      <c r="D31" s="52"/>
      <c r="E31" s="52"/>
      <c r="F31" s="53" t="s">
        <v>414</v>
      </c>
      <c r="G31" s="52" t="s">
        <v>3742</v>
      </c>
      <c r="H31" s="53" t="s">
        <v>138</v>
      </c>
      <c r="I31" s="53" t="s">
        <v>3718</v>
      </c>
      <c r="J31" s="5" t="s">
        <v>3719</v>
      </c>
      <c r="K31" s="52" t="n">
        <v>3</v>
      </c>
      <c r="L31" s="52" t="s">
        <v>3604</v>
      </c>
      <c r="M31" s="6" t="s">
        <v>3720</v>
      </c>
      <c r="N31" s="52" t="s">
        <v>3606</v>
      </c>
      <c r="O31" s="53" t="s">
        <v>3607</v>
      </c>
      <c r="P31" s="53" t="s">
        <v>554</v>
      </c>
      <c r="Q31" s="53" t="s">
        <v>3721</v>
      </c>
      <c r="R31" s="53" t="s">
        <v>554</v>
      </c>
      <c r="S31" s="53" t="s">
        <v>554</v>
      </c>
      <c r="T31" s="53" t="s">
        <v>554</v>
      </c>
      <c r="U31" s="53" t="s">
        <v>3722</v>
      </c>
      <c r="V31" s="6" t="s">
        <v>3743</v>
      </c>
      <c r="W31" s="6" t="s">
        <v>3744</v>
      </c>
      <c r="X31" s="103" t="n">
        <f aca="false">IF($O31="Active",SUMPRODUCT(($B$5:$B$400=$B31)*($G$5:$G$400=$G31)*($H$5:$H$400=$H31)*($O$5:$O$400="Active")),0)</f>
        <v>1</v>
      </c>
      <c r="Y31" s="103" t="n">
        <f aca="false">IF(AND($O31="Active",OR($Q31="—",$Q31="")),1,0)</f>
        <v>0</v>
      </c>
      <c r="Z31" s="103" t="n">
        <f aca="false">IF(AND($O31="Active",$L31="利害關係方",OR($R31="—",$R31="")),1,0)</f>
        <v>1</v>
      </c>
    </row>
    <row r="32" customFormat="false" ht="15" hidden="false" customHeight="false" outlineLevel="0" collapsed="false">
      <c r="A32" s="53" t="s">
        <v>2572</v>
      </c>
      <c r="B32" s="6" t="s">
        <v>3745</v>
      </c>
      <c r="C32" s="128" t="n">
        <v>35</v>
      </c>
      <c r="D32" s="52"/>
      <c r="E32" s="52"/>
      <c r="F32" s="53" t="s">
        <v>414</v>
      </c>
      <c r="G32" s="53" t="s">
        <v>3717</v>
      </c>
      <c r="H32" s="53" t="s">
        <v>138</v>
      </c>
      <c r="I32" s="53" t="s">
        <v>3718</v>
      </c>
      <c r="J32" s="5" t="s">
        <v>3719</v>
      </c>
      <c r="K32" s="52" t="n">
        <v>3</v>
      </c>
      <c r="L32" s="52" t="s">
        <v>3604</v>
      </c>
      <c r="M32" s="6" t="s">
        <v>3720</v>
      </c>
      <c r="N32" s="52" t="s">
        <v>3606</v>
      </c>
      <c r="O32" s="53" t="s">
        <v>3607</v>
      </c>
      <c r="P32" s="53" t="s">
        <v>554</v>
      </c>
      <c r="Q32" s="53" t="s">
        <v>3721</v>
      </c>
      <c r="R32" s="53" t="s">
        <v>554</v>
      </c>
      <c r="S32" s="53" t="s">
        <v>554</v>
      </c>
      <c r="T32" s="53" t="s">
        <v>554</v>
      </c>
      <c r="U32" s="53" t="s">
        <v>3722</v>
      </c>
      <c r="V32" s="6" t="s">
        <v>3746</v>
      </c>
      <c r="W32" s="5" t="s">
        <v>3747</v>
      </c>
      <c r="X32" s="103" t="n">
        <f aca="false">IF($O32="Active",SUMPRODUCT(($B$5:$B$400=$B32)*($G$5:$G$400=$G32)*($H$5:$H$400=$H32)*($O$5:$O$400="Active")),0)</f>
        <v>1</v>
      </c>
      <c r="Y32" s="103" t="n">
        <f aca="false">IF(AND($O32="Active",OR($Q32="—",$Q32="")),1,0)</f>
        <v>0</v>
      </c>
      <c r="Z32" s="103" t="n">
        <f aca="false">IF(AND($O32="Active",$L32="利害關係方",OR($R32="—",$R32="")),1,0)</f>
        <v>1</v>
      </c>
    </row>
    <row r="33" customFormat="false" ht="15" hidden="false" customHeight="false" outlineLevel="0" collapsed="false">
      <c r="A33" s="53" t="s">
        <v>2605</v>
      </c>
      <c r="B33" s="6" t="s">
        <v>3748</v>
      </c>
      <c r="C33" s="128" t="n">
        <v>288</v>
      </c>
      <c r="D33" s="52"/>
      <c r="E33" s="52"/>
      <c r="F33" s="53" t="s">
        <v>660</v>
      </c>
      <c r="G33" s="53" t="s">
        <v>554</v>
      </c>
      <c r="H33" s="53" t="s">
        <v>138</v>
      </c>
      <c r="I33" s="53" t="s">
        <v>3718</v>
      </c>
      <c r="J33" s="5" t="s">
        <v>3719</v>
      </c>
      <c r="K33" s="52" t="n">
        <v>3</v>
      </c>
      <c r="L33" s="52" t="s">
        <v>3604</v>
      </c>
      <c r="M33" s="6" t="s">
        <v>3720</v>
      </c>
      <c r="N33" s="52" t="s">
        <v>3606</v>
      </c>
      <c r="O33" s="53" t="s">
        <v>3607</v>
      </c>
      <c r="P33" s="53" t="s">
        <v>554</v>
      </c>
      <c r="Q33" s="53" t="s">
        <v>3721</v>
      </c>
      <c r="R33" s="53" t="s">
        <v>554</v>
      </c>
      <c r="S33" s="53" t="s">
        <v>554</v>
      </c>
      <c r="T33" s="53" t="s">
        <v>554</v>
      </c>
      <c r="U33" s="53" t="s">
        <v>3722</v>
      </c>
      <c r="V33" s="6" t="s">
        <v>3749</v>
      </c>
      <c r="W33" s="6" t="s">
        <v>554</v>
      </c>
      <c r="X33" s="103" t="n">
        <f aca="false">IF($O33="Active",SUMPRODUCT(($B$5:$B$400=$B33)*($G$5:$G$400=$G33)*($H$5:$H$400=$H33)*($O$5:$O$400="Active")),0)</f>
        <v>1</v>
      </c>
      <c r="Y33" s="103" t="n">
        <f aca="false">IF(AND($O33="Active",OR($Q33="—",$Q33="")),1,0)</f>
        <v>0</v>
      </c>
      <c r="Z33" s="103" t="n">
        <f aca="false">IF(AND($O33="Active",$L33="利害關係方",OR($R33="—",$R33="")),1,0)</f>
        <v>1</v>
      </c>
    </row>
    <row r="34" customFormat="false" ht="15" hidden="false" customHeight="false" outlineLevel="0" collapsed="false">
      <c r="A34" s="53" t="s">
        <v>2618</v>
      </c>
      <c r="B34" s="6" t="s">
        <v>3750</v>
      </c>
      <c r="C34" s="128" t="n">
        <v>22</v>
      </c>
      <c r="D34" s="52"/>
      <c r="E34" s="52"/>
      <c r="F34" s="53" t="s">
        <v>301</v>
      </c>
      <c r="G34" s="53" t="s">
        <v>3751</v>
      </c>
      <c r="H34" s="53" t="s">
        <v>138</v>
      </c>
      <c r="I34" s="53" t="s">
        <v>3718</v>
      </c>
      <c r="J34" s="5" t="s">
        <v>3719</v>
      </c>
      <c r="K34" s="52" t="n">
        <v>3</v>
      </c>
      <c r="L34" s="52" t="s">
        <v>3604</v>
      </c>
      <c r="M34" s="6" t="s">
        <v>3720</v>
      </c>
      <c r="N34" s="52" t="s">
        <v>3606</v>
      </c>
      <c r="O34" s="53" t="s">
        <v>3607</v>
      </c>
      <c r="P34" s="53" t="s">
        <v>554</v>
      </c>
      <c r="Q34" s="53" t="s">
        <v>3721</v>
      </c>
      <c r="R34" s="53" t="s">
        <v>554</v>
      </c>
      <c r="S34" s="53" t="s">
        <v>554</v>
      </c>
      <c r="T34" s="53" t="s">
        <v>554</v>
      </c>
      <c r="U34" s="53" t="s">
        <v>3722</v>
      </c>
      <c r="V34" s="6" t="s">
        <v>3752</v>
      </c>
      <c r="W34" s="6" t="s">
        <v>554</v>
      </c>
      <c r="X34" s="103" t="n">
        <f aca="false">IF($O34="Active",SUMPRODUCT(($B$5:$B$400=$B34)*($G$5:$G$400=$G34)*($H$5:$H$400=$H34)*($O$5:$O$400="Active")),0)</f>
        <v>1</v>
      </c>
      <c r="Y34" s="103" t="n">
        <f aca="false">IF(AND($O34="Active",OR($Q34="—",$Q34="")),1,0)</f>
        <v>0</v>
      </c>
      <c r="Z34" s="103" t="n">
        <f aca="false">IF(AND($O34="Active",$L34="利害關係方",OR($R34="—",$R34="")),1,0)</f>
        <v>1</v>
      </c>
    </row>
    <row r="35" customFormat="false" ht="15" hidden="false" customHeight="false" outlineLevel="0" collapsed="false">
      <c r="A35" s="53" t="s">
        <v>2590</v>
      </c>
      <c r="B35" s="6" t="s">
        <v>3753</v>
      </c>
      <c r="C35" s="128" t="n">
        <v>15000</v>
      </c>
      <c r="D35" s="52"/>
      <c r="E35" s="52"/>
      <c r="F35" s="53" t="s">
        <v>3754</v>
      </c>
      <c r="G35" s="53" t="s">
        <v>3755</v>
      </c>
      <c r="H35" s="53" t="s">
        <v>139</v>
      </c>
      <c r="I35" s="53" t="s">
        <v>3718</v>
      </c>
      <c r="J35" s="5" t="s">
        <v>3719</v>
      </c>
      <c r="K35" s="52" t="n">
        <v>3</v>
      </c>
      <c r="L35" s="52" t="s">
        <v>3604</v>
      </c>
      <c r="M35" s="6" t="s">
        <v>3720</v>
      </c>
      <c r="N35" s="52" t="s">
        <v>3606</v>
      </c>
      <c r="O35" s="53" t="s">
        <v>3607</v>
      </c>
      <c r="P35" s="53" t="s">
        <v>554</v>
      </c>
      <c r="Q35" s="53" t="s">
        <v>3721</v>
      </c>
      <c r="R35" s="53" t="s">
        <v>554</v>
      </c>
      <c r="S35" s="53" t="s">
        <v>554</v>
      </c>
      <c r="T35" s="53" t="s">
        <v>554</v>
      </c>
      <c r="U35" s="53" t="s">
        <v>3722</v>
      </c>
      <c r="V35" s="6" t="s">
        <v>3756</v>
      </c>
      <c r="W35" s="6" t="s">
        <v>3757</v>
      </c>
      <c r="X35" s="103" t="n">
        <f aca="false">IF($O35="Active",SUMPRODUCT(($B$5:$B$400=$B35)*($G$5:$G$400=$G35)*($H$5:$H$400=$H35)*($O$5:$O$400="Active")),0)</f>
        <v>1</v>
      </c>
      <c r="Y35" s="103" t="n">
        <f aca="false">IF(AND($O35="Active",OR($Q35="—",$Q35="")),1,0)</f>
        <v>0</v>
      </c>
      <c r="Z35" s="103" t="n">
        <f aca="false">IF(AND($O35="Active",$L35="利害關係方",OR($R35="—",$R35="")),1,0)</f>
        <v>1</v>
      </c>
    </row>
    <row r="36" customFormat="false" ht="15" hidden="false" customHeight="false" outlineLevel="0" collapsed="false">
      <c r="A36" s="53" t="s">
        <v>2708</v>
      </c>
      <c r="B36" s="6" t="s">
        <v>3758</v>
      </c>
      <c r="C36" s="128" t="n">
        <v>3.9</v>
      </c>
      <c r="D36" s="52"/>
      <c r="E36" s="52"/>
      <c r="F36" s="53" t="s">
        <v>3759</v>
      </c>
      <c r="G36" s="52" t="s">
        <v>3760</v>
      </c>
      <c r="H36" s="53" t="s">
        <v>3761</v>
      </c>
      <c r="I36" s="53" t="s">
        <v>554</v>
      </c>
      <c r="J36" s="5" t="s">
        <v>3762</v>
      </c>
      <c r="K36" s="52" t="n">
        <v>3</v>
      </c>
      <c r="L36" s="52" t="s">
        <v>3697</v>
      </c>
      <c r="M36" s="5" t="s">
        <v>3763</v>
      </c>
      <c r="N36" s="53" t="s">
        <v>554</v>
      </c>
      <c r="O36" s="53" t="s">
        <v>3607</v>
      </c>
      <c r="P36" s="53" t="s">
        <v>554</v>
      </c>
      <c r="Q36" s="53" t="s">
        <v>3764</v>
      </c>
      <c r="R36" s="53" t="s">
        <v>554</v>
      </c>
      <c r="S36" s="53" t="s">
        <v>554</v>
      </c>
      <c r="T36" s="53" t="s">
        <v>554</v>
      </c>
      <c r="U36" s="53" t="s">
        <v>3765</v>
      </c>
      <c r="V36" s="6" t="s">
        <v>3766</v>
      </c>
      <c r="W36" s="6" t="s">
        <v>3767</v>
      </c>
      <c r="X36" s="103" t="n">
        <f aca="false">IF($O36="Active",SUMPRODUCT(($B$5:$B$400=$B36)*($G$5:$G$400=$G36)*($H$5:$H$400=$H36)*($O$5:$O$400="Active")),0)</f>
        <v>1</v>
      </c>
      <c r="Y36" s="103" t="n">
        <f aca="false">IF(AND($O36="Active",OR($Q36="—",$Q36="")),1,0)</f>
        <v>0</v>
      </c>
      <c r="Z36" s="103" t="n">
        <f aca="false">IF(AND($O36="Active",$L36="利害關係方",OR($R36="—",$R36="")),1,0)</f>
        <v>0</v>
      </c>
    </row>
    <row r="37" customFormat="false" ht="29.85" hidden="false" customHeight="false" outlineLevel="0" collapsed="false">
      <c r="A37" s="53" t="s">
        <v>2712</v>
      </c>
      <c r="B37" s="6" t="s">
        <v>3768</v>
      </c>
      <c r="C37" s="128" t="n">
        <v>3</v>
      </c>
      <c r="D37" s="52"/>
      <c r="E37" s="52"/>
      <c r="F37" s="53" t="s">
        <v>3759</v>
      </c>
      <c r="G37" s="52" t="s">
        <v>3760</v>
      </c>
      <c r="H37" s="53" t="s">
        <v>3769</v>
      </c>
      <c r="I37" s="53" t="s">
        <v>554</v>
      </c>
      <c r="J37" s="5" t="s">
        <v>3762</v>
      </c>
      <c r="K37" s="52" t="n">
        <v>3</v>
      </c>
      <c r="L37" s="52" t="s">
        <v>3697</v>
      </c>
      <c r="M37" s="5" t="s">
        <v>3763</v>
      </c>
      <c r="N37" s="53" t="s">
        <v>554</v>
      </c>
      <c r="O37" s="53" t="s">
        <v>3607</v>
      </c>
      <c r="P37" s="53" t="s">
        <v>554</v>
      </c>
      <c r="Q37" s="53" t="s">
        <v>3764</v>
      </c>
      <c r="R37" s="53" t="s">
        <v>554</v>
      </c>
      <c r="S37" s="53" t="s">
        <v>554</v>
      </c>
      <c r="T37" s="53" t="s">
        <v>554</v>
      </c>
      <c r="U37" s="53" t="s">
        <v>3765</v>
      </c>
      <c r="V37" s="6" t="s">
        <v>3770</v>
      </c>
      <c r="W37" s="6" t="s">
        <v>3771</v>
      </c>
      <c r="X37" s="103" t="n">
        <f aca="false">IF($O37="Active",SUMPRODUCT(($B$5:$B$400=$B37)*($G$5:$G$400=$G37)*($H$5:$H$400=$H37)*($O$5:$O$400="Active")),0)</f>
        <v>1</v>
      </c>
      <c r="Y37" s="103" t="n">
        <f aca="false">IF(AND($O37="Active",OR($Q37="—",$Q37="")),1,0)</f>
        <v>0</v>
      </c>
      <c r="Z37" s="103" t="n">
        <f aca="false">IF(AND($O37="Active",$L37="利害關係方",OR($R37="—",$R37="")),1,0)</f>
        <v>0</v>
      </c>
    </row>
    <row r="38" customFormat="false" ht="15" hidden="false" customHeight="false" outlineLevel="0" collapsed="false">
      <c r="A38" s="53" t="s">
        <v>2715</v>
      </c>
      <c r="B38" s="6" t="s">
        <v>3772</v>
      </c>
      <c r="C38" s="128" t="n">
        <v>2.5</v>
      </c>
      <c r="D38" s="52"/>
      <c r="E38" s="52"/>
      <c r="F38" s="53" t="s">
        <v>3759</v>
      </c>
      <c r="G38" s="52" t="s">
        <v>3760</v>
      </c>
      <c r="H38" s="53" t="s">
        <v>3773</v>
      </c>
      <c r="I38" s="53" t="s">
        <v>554</v>
      </c>
      <c r="J38" s="5" t="s">
        <v>3762</v>
      </c>
      <c r="K38" s="52" t="n">
        <v>3</v>
      </c>
      <c r="L38" s="52" t="s">
        <v>3697</v>
      </c>
      <c r="M38" s="5" t="s">
        <v>3763</v>
      </c>
      <c r="N38" s="53" t="s">
        <v>554</v>
      </c>
      <c r="O38" s="53" t="s">
        <v>3607</v>
      </c>
      <c r="P38" s="53" t="s">
        <v>554</v>
      </c>
      <c r="Q38" s="53" t="s">
        <v>3764</v>
      </c>
      <c r="R38" s="53" t="s">
        <v>554</v>
      </c>
      <c r="S38" s="53" t="s">
        <v>554</v>
      </c>
      <c r="T38" s="53" t="s">
        <v>554</v>
      </c>
      <c r="U38" s="53" t="s">
        <v>3765</v>
      </c>
      <c r="V38" s="6" t="s">
        <v>3774</v>
      </c>
      <c r="W38" s="6" t="s">
        <v>3775</v>
      </c>
      <c r="X38" s="103" t="n">
        <f aca="false">IF($O38="Active",SUMPRODUCT(($B$5:$B$400=$B38)*($G$5:$G$400=$G38)*($H$5:$H$400=$H38)*($O$5:$O$400="Active")),0)</f>
        <v>1</v>
      </c>
      <c r="Y38" s="103" t="n">
        <f aca="false">IF(AND($O38="Active",OR($Q38="—",$Q38="")),1,0)</f>
        <v>0</v>
      </c>
      <c r="Z38" s="103" t="n">
        <f aca="false">IF(AND($O38="Active",$L38="利害關係方",OR($R38="—",$R38="")),1,0)</f>
        <v>0</v>
      </c>
    </row>
    <row r="39" customFormat="false" ht="15" hidden="false" customHeight="false" outlineLevel="0" collapsed="false">
      <c r="A39" s="53" t="s">
        <v>3181</v>
      </c>
      <c r="B39" s="6" t="s">
        <v>3776</v>
      </c>
      <c r="C39" s="52"/>
      <c r="D39" s="128" t="n">
        <v>1</v>
      </c>
      <c r="E39" s="128" t="n">
        <v>2</v>
      </c>
      <c r="F39" s="53" t="s">
        <v>3759</v>
      </c>
      <c r="G39" s="52" t="s">
        <v>3760</v>
      </c>
      <c r="H39" s="53" t="s">
        <v>554</v>
      </c>
      <c r="I39" s="53" t="s">
        <v>554</v>
      </c>
      <c r="J39" s="5" t="s">
        <v>3762</v>
      </c>
      <c r="K39" s="52" t="n">
        <v>3</v>
      </c>
      <c r="L39" s="52" t="s">
        <v>3697</v>
      </c>
      <c r="M39" s="5" t="s">
        <v>3763</v>
      </c>
      <c r="N39" s="53" t="s">
        <v>554</v>
      </c>
      <c r="O39" s="53" t="s">
        <v>3607</v>
      </c>
      <c r="P39" s="53" t="s">
        <v>554</v>
      </c>
      <c r="Q39" s="53" t="s">
        <v>3764</v>
      </c>
      <c r="R39" s="53" t="s">
        <v>554</v>
      </c>
      <c r="S39" s="53" t="s">
        <v>554</v>
      </c>
      <c r="T39" s="53" t="s">
        <v>554</v>
      </c>
      <c r="U39" s="53" t="s">
        <v>3765</v>
      </c>
      <c r="V39" s="6" t="s">
        <v>554</v>
      </c>
      <c r="W39" s="6" t="s">
        <v>554</v>
      </c>
      <c r="X39" s="103" t="n">
        <f aca="false">IF($O39="Active",SUMPRODUCT(($B$5:$B$400=$B39)*($G$5:$G$400=$G39)*($H$5:$H$400=$H39)*($O$5:$O$400="Active")),0)</f>
        <v>1</v>
      </c>
      <c r="Y39" s="103" t="n">
        <f aca="false">IF(AND($O39="Active",OR($Q39="—",$Q39="")),1,0)</f>
        <v>0</v>
      </c>
      <c r="Z39" s="103" t="n">
        <f aca="false">IF(AND($O39="Active",$L39="利害關係方",OR($R39="—",$R39="")),1,0)</f>
        <v>0</v>
      </c>
    </row>
    <row r="40" customFormat="false" ht="29.85" hidden="false" customHeight="false" outlineLevel="0" collapsed="false">
      <c r="A40" s="53" t="s">
        <v>3777</v>
      </c>
      <c r="B40" s="6" t="s">
        <v>3778</v>
      </c>
      <c r="C40" s="128" t="n">
        <v>3600</v>
      </c>
      <c r="D40" s="52"/>
      <c r="E40" s="52"/>
      <c r="F40" s="53" t="s">
        <v>3754</v>
      </c>
      <c r="G40" s="53" t="s">
        <v>3779</v>
      </c>
      <c r="H40" s="53" t="s">
        <v>138</v>
      </c>
      <c r="I40" s="53" t="s">
        <v>3615</v>
      </c>
      <c r="J40" s="6" t="s">
        <v>3780</v>
      </c>
      <c r="K40" s="52" t="n">
        <v>2</v>
      </c>
      <c r="L40" s="52" t="s">
        <v>3604</v>
      </c>
      <c r="M40" s="6" t="s">
        <v>3781</v>
      </c>
      <c r="N40" s="52" t="s">
        <v>3782</v>
      </c>
      <c r="O40" s="53" t="s">
        <v>3607</v>
      </c>
      <c r="P40" s="53" t="s">
        <v>554</v>
      </c>
      <c r="Q40" s="53" t="s">
        <v>3783</v>
      </c>
      <c r="R40" s="53" t="s">
        <v>554</v>
      </c>
      <c r="S40" s="53" t="s">
        <v>554</v>
      </c>
      <c r="T40" s="53" t="s">
        <v>554</v>
      </c>
      <c r="U40" s="53" t="s">
        <v>3784</v>
      </c>
      <c r="V40" s="6" t="s">
        <v>3785</v>
      </c>
      <c r="W40" s="6" t="s">
        <v>3786</v>
      </c>
      <c r="X40" s="103" t="n">
        <f aca="false">IF($O40="Active",SUMPRODUCT(($B$5:$B$400=$B40)*($G$5:$G$400=$G40)*($H$5:$H$400=$H40)*($O$5:$O$400="Active")),0)</f>
        <v>1</v>
      </c>
      <c r="Y40" s="103" t="n">
        <f aca="false">IF(AND($O40="Active",OR($Q40="—",$Q40="")),1,0)</f>
        <v>0</v>
      </c>
      <c r="Z40" s="103" t="n">
        <f aca="false">IF(AND($O40="Active",$L40="利害關係方",OR($R40="—",$R40="")),1,0)</f>
        <v>1</v>
      </c>
    </row>
    <row r="41" customFormat="false" ht="29.85" hidden="false" customHeight="false" outlineLevel="0" collapsed="false">
      <c r="A41" s="53" t="s">
        <v>2751</v>
      </c>
      <c r="B41" s="6" t="s">
        <v>3787</v>
      </c>
      <c r="C41" s="128" t="n">
        <v>2520</v>
      </c>
      <c r="D41" s="52"/>
      <c r="E41" s="52"/>
      <c r="F41" s="53" t="s">
        <v>3754</v>
      </c>
      <c r="G41" s="53" t="s">
        <v>3779</v>
      </c>
      <c r="H41" s="53" t="s">
        <v>138</v>
      </c>
      <c r="I41" s="53" t="s">
        <v>3615</v>
      </c>
      <c r="J41" s="6" t="s">
        <v>3780</v>
      </c>
      <c r="K41" s="52" t="n">
        <v>2</v>
      </c>
      <c r="L41" s="52" t="s">
        <v>3604</v>
      </c>
      <c r="M41" s="6" t="s">
        <v>3781</v>
      </c>
      <c r="N41" s="52" t="s">
        <v>3782</v>
      </c>
      <c r="O41" s="53" t="s">
        <v>3607</v>
      </c>
      <c r="P41" s="53" t="s">
        <v>554</v>
      </c>
      <c r="Q41" s="53" t="s">
        <v>3783</v>
      </c>
      <c r="R41" s="53" t="s">
        <v>554</v>
      </c>
      <c r="S41" s="53" t="s">
        <v>554</v>
      </c>
      <c r="T41" s="53" t="s">
        <v>554</v>
      </c>
      <c r="U41" s="53" t="s">
        <v>3784</v>
      </c>
      <c r="V41" s="6" t="s">
        <v>3788</v>
      </c>
      <c r="W41" s="6" t="s">
        <v>3789</v>
      </c>
      <c r="X41" s="103" t="n">
        <f aca="false">IF($O41="Active",SUMPRODUCT(($B$5:$B$400=$B41)*($G$5:$G$400=$G41)*($H$5:$H$400=$H41)*($O$5:$O$400="Active")),0)</f>
        <v>1</v>
      </c>
      <c r="Y41" s="103" t="n">
        <f aca="false">IF(AND($O41="Active",OR($Q41="—",$Q41="")),1,0)</f>
        <v>0</v>
      </c>
      <c r="Z41" s="103" t="n">
        <f aca="false">IF(AND($O41="Active",$L41="利害關係方",OR($R41="—",$R41="")),1,0)</f>
        <v>1</v>
      </c>
    </row>
    <row r="42" customFormat="false" ht="29.85" hidden="false" customHeight="false" outlineLevel="0" collapsed="false">
      <c r="A42" s="53" t="s">
        <v>2740</v>
      </c>
      <c r="B42" s="6" t="s">
        <v>3790</v>
      </c>
      <c r="C42" s="128" t="n">
        <v>1260</v>
      </c>
      <c r="D42" s="52"/>
      <c r="E42" s="52"/>
      <c r="F42" s="53" t="s">
        <v>3754</v>
      </c>
      <c r="G42" s="53" t="s">
        <v>3779</v>
      </c>
      <c r="H42" s="53" t="s">
        <v>138</v>
      </c>
      <c r="I42" s="53" t="s">
        <v>3615</v>
      </c>
      <c r="J42" s="6" t="s">
        <v>3780</v>
      </c>
      <c r="K42" s="52" t="n">
        <v>2</v>
      </c>
      <c r="L42" s="52" t="s">
        <v>3604</v>
      </c>
      <c r="M42" s="6" t="s">
        <v>3781</v>
      </c>
      <c r="N42" s="52" t="s">
        <v>3782</v>
      </c>
      <c r="O42" s="53" t="s">
        <v>3607</v>
      </c>
      <c r="P42" s="53" t="s">
        <v>554</v>
      </c>
      <c r="Q42" s="53" t="s">
        <v>3783</v>
      </c>
      <c r="R42" s="53" t="s">
        <v>554</v>
      </c>
      <c r="S42" s="53" t="s">
        <v>554</v>
      </c>
      <c r="T42" s="53" t="s">
        <v>554</v>
      </c>
      <c r="U42" s="53" t="s">
        <v>3784</v>
      </c>
      <c r="V42" s="6" t="s">
        <v>3791</v>
      </c>
      <c r="W42" s="6" t="s">
        <v>3792</v>
      </c>
      <c r="X42" s="103" t="n">
        <f aca="false">IF($O42="Active",SUMPRODUCT(($B$5:$B$400=$B42)*($G$5:$G$400=$G42)*($H$5:$H$400=$H42)*($O$5:$O$400="Active")),0)</f>
        <v>1</v>
      </c>
      <c r="Y42" s="103" t="n">
        <f aca="false">IF(AND($O42="Active",OR($Q42="—",$Q42="")),1,0)</f>
        <v>0</v>
      </c>
      <c r="Z42" s="103" t="n">
        <f aca="false">IF(AND($O42="Active",$L42="利害關係方",OR($R42="—",$R42="")),1,0)</f>
        <v>1</v>
      </c>
    </row>
    <row r="43" customFormat="false" ht="29.85" hidden="false" customHeight="false" outlineLevel="0" collapsed="false">
      <c r="A43" s="53" t="s">
        <v>2728</v>
      </c>
      <c r="B43" s="6" t="s">
        <v>3793</v>
      </c>
      <c r="C43" s="128" t="n">
        <v>288</v>
      </c>
      <c r="D43" s="52"/>
      <c r="E43" s="52"/>
      <c r="F43" s="53" t="s">
        <v>3754</v>
      </c>
      <c r="G43" s="53" t="s">
        <v>3779</v>
      </c>
      <c r="H43" s="53" t="s">
        <v>138</v>
      </c>
      <c r="I43" s="53" t="s">
        <v>3615</v>
      </c>
      <c r="J43" s="6" t="s">
        <v>3780</v>
      </c>
      <c r="K43" s="52" t="n">
        <v>2</v>
      </c>
      <c r="L43" s="52" t="s">
        <v>3604</v>
      </c>
      <c r="M43" s="6" t="s">
        <v>3781</v>
      </c>
      <c r="N43" s="52" t="s">
        <v>3782</v>
      </c>
      <c r="O43" s="53" t="s">
        <v>3607</v>
      </c>
      <c r="P43" s="53" t="s">
        <v>554</v>
      </c>
      <c r="Q43" s="53" t="s">
        <v>3783</v>
      </c>
      <c r="R43" s="53" t="s">
        <v>554</v>
      </c>
      <c r="S43" s="53" t="s">
        <v>554</v>
      </c>
      <c r="T43" s="53" t="s">
        <v>554</v>
      </c>
      <c r="U43" s="53" t="s">
        <v>3784</v>
      </c>
      <c r="V43" s="6" t="s">
        <v>3794</v>
      </c>
      <c r="W43" s="6" t="s">
        <v>3795</v>
      </c>
      <c r="X43" s="103" t="n">
        <f aca="false">IF($O43="Active",SUMPRODUCT(($B$5:$B$400=$B43)*($G$5:$G$400=$G43)*($H$5:$H$400=$H43)*($O$5:$O$400="Active")),0)</f>
        <v>1</v>
      </c>
      <c r="Y43" s="103" t="n">
        <f aca="false">IF(AND($O43="Active",OR($Q43="—",$Q43="")),1,0)</f>
        <v>0</v>
      </c>
      <c r="Z43" s="103" t="n">
        <f aca="false">IF(AND($O43="Active",$L43="利害關係方",OR($R43="—",$R43="")),1,0)</f>
        <v>1</v>
      </c>
    </row>
    <row r="44" customFormat="false" ht="29.85" hidden="false" customHeight="false" outlineLevel="0" collapsed="false">
      <c r="A44" s="53" t="s">
        <v>2566</v>
      </c>
      <c r="B44" s="6" t="s">
        <v>3796</v>
      </c>
      <c r="C44" s="128" t="n">
        <v>1.979</v>
      </c>
      <c r="D44" s="52"/>
      <c r="E44" s="52"/>
      <c r="F44" s="53" t="s">
        <v>414</v>
      </c>
      <c r="G44" s="53" t="s">
        <v>3717</v>
      </c>
      <c r="H44" s="53" t="s">
        <v>135</v>
      </c>
      <c r="I44" s="53" t="s">
        <v>3338</v>
      </c>
      <c r="J44" s="6" t="s">
        <v>3797</v>
      </c>
      <c r="K44" s="52" t="n">
        <v>3</v>
      </c>
      <c r="L44" s="52" t="s">
        <v>3604</v>
      </c>
      <c r="M44" s="6" t="s">
        <v>3798</v>
      </c>
      <c r="N44" s="52" t="s">
        <v>3606</v>
      </c>
      <c r="O44" s="53" t="s">
        <v>3607</v>
      </c>
      <c r="P44" s="53" t="s">
        <v>554</v>
      </c>
      <c r="Q44" s="53" t="s">
        <v>3799</v>
      </c>
      <c r="R44" s="53" t="s">
        <v>554</v>
      </c>
      <c r="S44" s="53" t="s">
        <v>554</v>
      </c>
      <c r="T44" s="53" t="s">
        <v>554</v>
      </c>
      <c r="U44" s="53" t="s">
        <v>3800</v>
      </c>
      <c r="V44" s="6" t="s">
        <v>3801</v>
      </c>
      <c r="W44" s="5" t="s">
        <v>3802</v>
      </c>
      <c r="X44" s="103" t="n">
        <f aca="false">IF($O44="Active",SUMPRODUCT(($B$5:$B$400=$B44)*($G$5:$G$400=$G44)*($H$5:$H$400=$H44)*($O$5:$O$400="Active")),0)</f>
        <v>1</v>
      </c>
      <c r="Y44" s="103" t="n">
        <f aca="false">IF(AND($O44="Active",OR($Q44="—",$Q44="")),1,0)</f>
        <v>0</v>
      </c>
      <c r="Z44" s="103" t="n">
        <f aca="false">IF(AND($O44="Active",$L44="利害關係方",OR($R44="—",$R44="")),1,0)</f>
        <v>1</v>
      </c>
    </row>
    <row r="45" customFormat="false" ht="29.85" hidden="false" customHeight="false" outlineLevel="0" collapsed="false">
      <c r="A45" s="53" t="s">
        <v>2598</v>
      </c>
      <c r="B45" s="6" t="s">
        <v>3803</v>
      </c>
      <c r="C45" s="128" t="n">
        <v>13.4</v>
      </c>
      <c r="D45" s="52"/>
      <c r="E45" s="52"/>
      <c r="F45" s="53" t="s">
        <v>3804</v>
      </c>
      <c r="G45" s="53" t="s">
        <v>3779</v>
      </c>
      <c r="H45" s="53" t="s">
        <v>136</v>
      </c>
      <c r="I45" s="53" t="s">
        <v>554</v>
      </c>
      <c r="J45" s="6" t="s">
        <v>3805</v>
      </c>
      <c r="K45" s="52" t="n">
        <v>3</v>
      </c>
      <c r="L45" s="52" t="s">
        <v>3604</v>
      </c>
      <c r="M45" s="6" t="s">
        <v>3806</v>
      </c>
      <c r="N45" s="52" t="s">
        <v>3606</v>
      </c>
      <c r="O45" s="53" t="s">
        <v>3607</v>
      </c>
      <c r="P45" s="53" t="s">
        <v>554</v>
      </c>
      <c r="Q45" s="53" t="s">
        <v>3807</v>
      </c>
      <c r="R45" s="53" t="s">
        <v>554</v>
      </c>
      <c r="S45" s="53" t="s">
        <v>554</v>
      </c>
      <c r="T45" s="53" t="s">
        <v>554</v>
      </c>
      <c r="U45" s="53" t="s">
        <v>3808</v>
      </c>
      <c r="V45" s="6" t="s">
        <v>3809</v>
      </c>
      <c r="W45" s="6" t="s">
        <v>3810</v>
      </c>
      <c r="X45" s="103" t="n">
        <f aca="false">IF($O45="Active",SUMPRODUCT(($B$5:$B$400=$B45)*($G$5:$G$400=$G45)*($H$5:$H$400=$H45)*($O$5:$O$400="Active")),0)</f>
        <v>1</v>
      </c>
      <c r="Y45" s="103" t="n">
        <f aca="false">IF(AND($O45="Active",OR($Q45="—",$Q45="")),1,0)</f>
        <v>0</v>
      </c>
      <c r="Z45" s="103" t="n">
        <f aca="false">IF(AND($O45="Active",$L45="利害關係方",OR($R45="—",$R45="")),1,0)</f>
        <v>1</v>
      </c>
    </row>
    <row r="46" customFormat="false" ht="29.85" hidden="false" customHeight="false" outlineLevel="0" collapsed="false">
      <c r="A46" s="53" t="s">
        <v>2723</v>
      </c>
      <c r="B46" s="6" t="s">
        <v>3811</v>
      </c>
      <c r="C46" s="128" t="n">
        <v>2.5</v>
      </c>
      <c r="D46" s="52"/>
      <c r="E46" s="52"/>
      <c r="F46" s="53" t="s">
        <v>414</v>
      </c>
      <c r="G46" s="53" t="s">
        <v>3717</v>
      </c>
      <c r="H46" s="53" t="s">
        <v>3812</v>
      </c>
      <c r="I46" s="53" t="s">
        <v>554</v>
      </c>
      <c r="J46" s="6" t="s">
        <v>3805</v>
      </c>
      <c r="K46" s="52" t="n">
        <v>3</v>
      </c>
      <c r="L46" s="52" t="s">
        <v>3604</v>
      </c>
      <c r="M46" s="6" t="s">
        <v>3806</v>
      </c>
      <c r="N46" s="52" t="s">
        <v>3606</v>
      </c>
      <c r="O46" s="53" t="s">
        <v>3607</v>
      </c>
      <c r="P46" s="53" t="s">
        <v>554</v>
      </c>
      <c r="Q46" s="53" t="s">
        <v>3807</v>
      </c>
      <c r="R46" s="53" t="s">
        <v>554</v>
      </c>
      <c r="S46" s="53" t="s">
        <v>554</v>
      </c>
      <c r="T46" s="53" t="s">
        <v>554</v>
      </c>
      <c r="U46" s="53" t="s">
        <v>3808</v>
      </c>
      <c r="V46" s="6" t="s">
        <v>3813</v>
      </c>
      <c r="W46" s="6" t="s">
        <v>554</v>
      </c>
      <c r="X46" s="103" t="n">
        <f aca="false">IF($O46="Active",SUMPRODUCT(($B$5:$B$400=$B46)*($G$5:$G$400=$G46)*($H$5:$H$400=$H46)*($O$5:$O$400="Active")),0)</f>
        <v>1</v>
      </c>
      <c r="Y46" s="103" t="n">
        <f aca="false">IF(AND($O46="Active",OR($Q46="—",$Q46="")),1,0)</f>
        <v>0</v>
      </c>
      <c r="Z46" s="103" t="n">
        <f aca="false">IF(AND($O46="Active",$L46="利害關係方",OR($R46="—",$R46="")),1,0)</f>
        <v>1</v>
      </c>
    </row>
    <row r="47" customFormat="false" ht="29.85" hidden="false" customHeight="false" outlineLevel="0" collapsed="false">
      <c r="A47" s="53" t="s">
        <v>2735</v>
      </c>
      <c r="B47" s="6" t="s">
        <v>3814</v>
      </c>
      <c r="C47" s="128" t="n">
        <v>5</v>
      </c>
      <c r="D47" s="52"/>
      <c r="E47" s="52"/>
      <c r="F47" s="53" t="s">
        <v>414</v>
      </c>
      <c r="G47" s="53" t="s">
        <v>3815</v>
      </c>
      <c r="H47" s="53" t="s">
        <v>3812</v>
      </c>
      <c r="I47" s="53" t="s">
        <v>554</v>
      </c>
      <c r="J47" s="6" t="s">
        <v>3805</v>
      </c>
      <c r="K47" s="52" t="n">
        <v>3</v>
      </c>
      <c r="L47" s="52" t="s">
        <v>3604</v>
      </c>
      <c r="M47" s="6" t="s">
        <v>3806</v>
      </c>
      <c r="N47" s="52" t="s">
        <v>3606</v>
      </c>
      <c r="O47" s="53" t="s">
        <v>3607</v>
      </c>
      <c r="P47" s="53" t="s">
        <v>554</v>
      </c>
      <c r="Q47" s="53" t="s">
        <v>3807</v>
      </c>
      <c r="R47" s="53" t="s">
        <v>554</v>
      </c>
      <c r="S47" s="53" t="s">
        <v>554</v>
      </c>
      <c r="T47" s="53" t="s">
        <v>554</v>
      </c>
      <c r="U47" s="53" t="s">
        <v>3808</v>
      </c>
      <c r="V47" s="6" t="s">
        <v>3816</v>
      </c>
      <c r="W47" s="6" t="s">
        <v>554</v>
      </c>
      <c r="X47" s="103" t="n">
        <f aca="false">IF($O47="Active",SUMPRODUCT(($B$5:$B$400=$B47)*($G$5:$G$400=$G47)*($H$5:$H$400=$H47)*($O$5:$O$400="Active")),0)</f>
        <v>1</v>
      </c>
      <c r="Y47" s="103" t="n">
        <f aca="false">IF(AND($O47="Active",OR($Q47="—",$Q47="")),1,0)</f>
        <v>0</v>
      </c>
      <c r="Z47" s="103" t="n">
        <f aca="false">IF(AND($O47="Active",$L47="利害關係方",OR($R47="—",$R47="")),1,0)</f>
        <v>1</v>
      </c>
    </row>
    <row r="48" customFormat="false" ht="29.85" hidden="false" customHeight="false" outlineLevel="0" collapsed="false">
      <c r="A48" s="53" t="s">
        <v>2621</v>
      </c>
      <c r="B48" s="6" t="s">
        <v>3817</v>
      </c>
      <c r="C48" s="128" t="n">
        <v>4600</v>
      </c>
      <c r="D48" s="52"/>
      <c r="E48" s="52"/>
      <c r="F48" s="53" t="s">
        <v>3818</v>
      </c>
      <c r="G48" s="53" t="s">
        <v>3755</v>
      </c>
      <c r="H48" s="53" t="s">
        <v>139</v>
      </c>
      <c r="I48" s="53" t="s">
        <v>554</v>
      </c>
      <c r="J48" s="6" t="s">
        <v>3805</v>
      </c>
      <c r="K48" s="52" t="n">
        <v>3</v>
      </c>
      <c r="L48" s="52" t="s">
        <v>3604</v>
      </c>
      <c r="M48" s="6" t="s">
        <v>3806</v>
      </c>
      <c r="N48" s="52" t="s">
        <v>3606</v>
      </c>
      <c r="O48" s="53" t="s">
        <v>3607</v>
      </c>
      <c r="P48" s="53" t="s">
        <v>554</v>
      </c>
      <c r="Q48" s="53" t="s">
        <v>3807</v>
      </c>
      <c r="R48" s="53" t="s">
        <v>554</v>
      </c>
      <c r="S48" s="53" t="s">
        <v>554</v>
      </c>
      <c r="T48" s="53" t="s">
        <v>554</v>
      </c>
      <c r="U48" s="53" t="s">
        <v>3808</v>
      </c>
      <c r="V48" s="6" t="s">
        <v>3819</v>
      </c>
      <c r="W48" s="6" t="s">
        <v>3820</v>
      </c>
      <c r="X48" s="103" t="n">
        <f aca="false">IF($O48="Active",SUMPRODUCT(($B$5:$B$400=$B48)*($G$5:$G$400=$G48)*($H$5:$H$400=$H48)*($O$5:$O$400="Active")),0)</f>
        <v>1</v>
      </c>
      <c r="Y48" s="103" t="n">
        <f aca="false">IF(AND($O48="Active",OR($Q48="—",$Q48="")),1,0)</f>
        <v>0</v>
      </c>
      <c r="Z48" s="103" t="n">
        <f aca="false">IF(AND($O48="Active",$L48="利害關係方",OR($R48="—",$R48="")),1,0)</f>
        <v>1</v>
      </c>
    </row>
    <row r="49" customFormat="false" ht="29.85" hidden="false" customHeight="false" outlineLevel="0" collapsed="false">
      <c r="A49" s="53" t="s">
        <v>2743</v>
      </c>
      <c r="B49" s="6" t="s">
        <v>3821</v>
      </c>
      <c r="C49" s="128" t="n">
        <v>5000</v>
      </c>
      <c r="D49" s="52"/>
      <c r="E49" s="52"/>
      <c r="F49" s="53" t="s">
        <v>3754</v>
      </c>
      <c r="G49" s="53" t="s">
        <v>3755</v>
      </c>
      <c r="H49" s="53" t="s">
        <v>139</v>
      </c>
      <c r="I49" s="53" t="s">
        <v>554</v>
      </c>
      <c r="J49" s="6" t="s">
        <v>3805</v>
      </c>
      <c r="K49" s="52" t="n">
        <v>3</v>
      </c>
      <c r="L49" s="52" t="s">
        <v>3604</v>
      </c>
      <c r="M49" s="6" t="s">
        <v>3806</v>
      </c>
      <c r="N49" s="52" t="s">
        <v>3606</v>
      </c>
      <c r="O49" s="53" t="s">
        <v>3607</v>
      </c>
      <c r="P49" s="53" t="s">
        <v>554</v>
      </c>
      <c r="Q49" s="53" t="s">
        <v>3807</v>
      </c>
      <c r="R49" s="53" t="s">
        <v>554</v>
      </c>
      <c r="S49" s="53" t="s">
        <v>554</v>
      </c>
      <c r="T49" s="53" t="s">
        <v>554</v>
      </c>
      <c r="U49" s="53" t="s">
        <v>3808</v>
      </c>
      <c r="V49" s="6" t="s">
        <v>3822</v>
      </c>
      <c r="W49" s="6" t="s">
        <v>3823</v>
      </c>
      <c r="X49" s="103" t="n">
        <f aca="false">IF($O49="Active",SUMPRODUCT(($B$5:$B$400=$B49)*($G$5:$G$400=$G49)*($H$5:$H$400=$H49)*($O$5:$O$400="Active")),0)</f>
        <v>1</v>
      </c>
      <c r="Y49" s="103" t="n">
        <f aca="false">IF(AND($O49="Active",OR($Q49="—",$Q49="")),1,0)</f>
        <v>0</v>
      </c>
      <c r="Z49" s="103" t="n">
        <f aca="false">IF(AND($O49="Active",$L49="利害關係方",OR($R49="—",$R49="")),1,0)</f>
        <v>1</v>
      </c>
    </row>
    <row r="50" customFormat="false" ht="29.85" hidden="false" customHeight="false" outlineLevel="0" collapsed="false">
      <c r="A50" s="53" t="s">
        <v>2703</v>
      </c>
      <c r="B50" s="6" t="s">
        <v>3824</v>
      </c>
      <c r="C50" s="128" t="n">
        <v>1.8</v>
      </c>
      <c r="D50" s="52"/>
      <c r="E50" s="52"/>
      <c r="F50" s="53" t="s">
        <v>3825</v>
      </c>
      <c r="G50" s="52" t="s">
        <v>3682</v>
      </c>
      <c r="H50" s="53" t="s">
        <v>3826</v>
      </c>
      <c r="I50" s="53" t="s">
        <v>554</v>
      </c>
      <c r="J50" s="6" t="s">
        <v>3805</v>
      </c>
      <c r="K50" s="52" t="n">
        <v>3</v>
      </c>
      <c r="L50" s="52" t="s">
        <v>3604</v>
      </c>
      <c r="M50" s="6" t="s">
        <v>3806</v>
      </c>
      <c r="N50" s="52" t="s">
        <v>3606</v>
      </c>
      <c r="O50" s="53" t="s">
        <v>3607</v>
      </c>
      <c r="P50" s="53" t="s">
        <v>554</v>
      </c>
      <c r="Q50" s="53" t="s">
        <v>3807</v>
      </c>
      <c r="R50" s="53" t="s">
        <v>554</v>
      </c>
      <c r="S50" s="53" t="s">
        <v>554</v>
      </c>
      <c r="T50" s="53" t="s">
        <v>554</v>
      </c>
      <c r="U50" s="53" t="s">
        <v>3808</v>
      </c>
      <c r="V50" s="6" t="s">
        <v>3827</v>
      </c>
      <c r="W50" s="5" t="s">
        <v>3828</v>
      </c>
      <c r="X50" s="103" t="n">
        <f aca="false">IF($O50="Active",SUMPRODUCT(($B$5:$B$400=$B50)*($G$5:$G$400=$G50)*($H$5:$H$400=$H50)*($O$5:$O$400="Active")),0)</f>
        <v>1</v>
      </c>
      <c r="Y50" s="103" t="n">
        <f aca="false">IF(AND($O50="Active",OR($Q50="—",$Q50="")),1,0)</f>
        <v>0</v>
      </c>
      <c r="Z50" s="103" t="n">
        <f aca="false">IF(AND($O50="Active",$L50="利害關係方",OR($R50="—",$R50="")),1,0)</f>
        <v>1</v>
      </c>
    </row>
    <row r="51" customFormat="false" ht="72.35" hidden="false" customHeight="false" outlineLevel="0" collapsed="false">
      <c r="A51" s="53" t="s">
        <v>2466</v>
      </c>
      <c r="B51" s="6" t="s">
        <v>3829</v>
      </c>
      <c r="C51" s="128" t="n">
        <v>72</v>
      </c>
      <c r="D51" s="52"/>
      <c r="E51" s="52"/>
      <c r="F51" s="53" t="s">
        <v>662</v>
      </c>
      <c r="G51" s="53" t="s">
        <v>3830</v>
      </c>
      <c r="H51" s="53" t="s">
        <v>3831</v>
      </c>
      <c r="I51" s="53" t="s">
        <v>554</v>
      </c>
      <c r="J51" s="6" t="s">
        <v>3805</v>
      </c>
      <c r="K51" s="52" t="n">
        <v>3</v>
      </c>
      <c r="L51" s="52" t="s">
        <v>3604</v>
      </c>
      <c r="M51" s="6" t="s">
        <v>3806</v>
      </c>
      <c r="N51" s="52" t="s">
        <v>3606</v>
      </c>
      <c r="O51" s="53" t="s">
        <v>3607</v>
      </c>
      <c r="P51" s="53" t="s">
        <v>554</v>
      </c>
      <c r="Q51" s="53" t="s">
        <v>3807</v>
      </c>
      <c r="R51" s="53" t="s">
        <v>554</v>
      </c>
      <c r="S51" s="53" t="s">
        <v>554</v>
      </c>
      <c r="T51" s="53" t="s">
        <v>554</v>
      </c>
      <c r="U51" s="53" t="s">
        <v>3808</v>
      </c>
      <c r="V51" s="6" t="s">
        <v>3832</v>
      </c>
      <c r="W51" s="5" t="s">
        <v>3833</v>
      </c>
      <c r="X51" s="103" t="n">
        <f aca="false">IF($O51="Active",SUMPRODUCT(($B$5:$B$400=$B51)*($G$5:$G$400=$G51)*($H$5:$H$400=$H51)*($O$5:$O$400="Active")),0)</f>
        <v>1</v>
      </c>
      <c r="Y51" s="103" t="n">
        <f aca="false">IF(AND($O51="Active",OR($Q51="—",$Q51="")),1,0)</f>
        <v>0</v>
      </c>
      <c r="Z51" s="103" t="n">
        <f aca="false">IF(AND($O51="Active",$L51="利害關係方",OR($R51="—",$R51="")),1,0)</f>
        <v>1</v>
      </c>
    </row>
    <row r="52" customFormat="false" ht="29.85" hidden="false" customHeight="false" outlineLevel="0" collapsed="false">
      <c r="A52" s="53" t="s">
        <v>2630</v>
      </c>
      <c r="B52" s="6" t="s">
        <v>3834</v>
      </c>
      <c r="C52" s="128" t="n">
        <v>0.9</v>
      </c>
      <c r="D52" s="52"/>
      <c r="E52" s="52"/>
      <c r="F52" s="53" t="s">
        <v>301</v>
      </c>
      <c r="G52" s="52" t="s">
        <v>3835</v>
      </c>
      <c r="H52" s="53" t="s">
        <v>3812</v>
      </c>
      <c r="I52" s="53" t="s">
        <v>554</v>
      </c>
      <c r="J52" s="6" t="s">
        <v>3805</v>
      </c>
      <c r="K52" s="52" t="n">
        <v>3</v>
      </c>
      <c r="L52" s="52" t="s">
        <v>3604</v>
      </c>
      <c r="M52" s="6" t="s">
        <v>3806</v>
      </c>
      <c r="N52" s="52" t="s">
        <v>3606</v>
      </c>
      <c r="O52" s="53" t="s">
        <v>3607</v>
      </c>
      <c r="P52" s="53" t="s">
        <v>554</v>
      </c>
      <c r="Q52" s="53" t="s">
        <v>3807</v>
      </c>
      <c r="R52" s="53" t="s">
        <v>554</v>
      </c>
      <c r="S52" s="53" t="s">
        <v>554</v>
      </c>
      <c r="T52" s="53" t="s">
        <v>554</v>
      </c>
      <c r="U52" s="53" t="s">
        <v>3808</v>
      </c>
      <c r="V52" s="6" t="s">
        <v>3836</v>
      </c>
      <c r="W52" s="5" t="s">
        <v>3837</v>
      </c>
      <c r="X52" s="103" t="n">
        <f aca="false">IF($O52="Active",SUMPRODUCT(($B$5:$B$400=$B52)*($G$5:$G$400=$G52)*($H$5:$H$400=$H52)*($O$5:$O$400="Active")),0)</f>
        <v>1</v>
      </c>
      <c r="Y52" s="103" t="n">
        <f aca="false">IF(AND($O52="Active",OR($Q52="—",$Q52="")),1,0)</f>
        <v>0</v>
      </c>
      <c r="Z52" s="103" t="n">
        <f aca="false">IF(AND($O52="Active",$L52="利害關係方",OR($R52="—",$R52="")),1,0)</f>
        <v>1</v>
      </c>
    </row>
    <row r="53" customFormat="false" ht="29.85" hidden="false" customHeight="false" outlineLevel="0" collapsed="false">
      <c r="A53" s="53" t="s">
        <v>2634</v>
      </c>
      <c r="B53" s="6" t="s">
        <v>3838</v>
      </c>
      <c r="C53" s="128" t="n">
        <v>1.8</v>
      </c>
      <c r="D53" s="52"/>
      <c r="E53" s="52"/>
      <c r="F53" s="53" t="s">
        <v>301</v>
      </c>
      <c r="G53" s="52" t="s">
        <v>3835</v>
      </c>
      <c r="H53" s="53" t="s">
        <v>3826</v>
      </c>
      <c r="I53" s="53" t="s">
        <v>554</v>
      </c>
      <c r="J53" s="6" t="s">
        <v>3805</v>
      </c>
      <c r="K53" s="52" t="n">
        <v>3</v>
      </c>
      <c r="L53" s="52" t="s">
        <v>3604</v>
      </c>
      <c r="M53" s="6" t="s">
        <v>3806</v>
      </c>
      <c r="N53" s="52" t="s">
        <v>3606</v>
      </c>
      <c r="O53" s="53" t="s">
        <v>3607</v>
      </c>
      <c r="P53" s="53" t="s">
        <v>554</v>
      </c>
      <c r="Q53" s="53" t="s">
        <v>3807</v>
      </c>
      <c r="R53" s="53" t="s">
        <v>554</v>
      </c>
      <c r="S53" s="53" t="s">
        <v>554</v>
      </c>
      <c r="T53" s="53" t="s">
        <v>554</v>
      </c>
      <c r="U53" s="53" t="s">
        <v>3808</v>
      </c>
      <c r="V53" s="6" t="s">
        <v>3839</v>
      </c>
      <c r="W53" s="6" t="s">
        <v>554</v>
      </c>
      <c r="X53" s="103" t="n">
        <f aca="false">IF($O53="Active",SUMPRODUCT(($B$5:$B$400=$B53)*($G$5:$G$400=$G53)*($H$5:$H$400=$H53)*($O$5:$O$400="Active")),0)</f>
        <v>1</v>
      </c>
      <c r="Y53" s="103" t="n">
        <f aca="false">IF(AND($O53="Active",OR($Q53="—",$Q53="")),1,0)</f>
        <v>0</v>
      </c>
      <c r="Z53" s="103" t="n">
        <f aca="false">IF(AND($O53="Active",$L53="利害關係方",OR($R53="—",$R53="")),1,0)</f>
        <v>1</v>
      </c>
    </row>
    <row r="54" customFormat="false" ht="58.2" hidden="false" customHeight="false" outlineLevel="0" collapsed="false">
      <c r="A54" s="53" t="s">
        <v>2668</v>
      </c>
      <c r="B54" s="6" t="s">
        <v>3840</v>
      </c>
      <c r="C54" s="128" t="n">
        <v>0.5625</v>
      </c>
      <c r="D54" s="52"/>
      <c r="E54" s="52"/>
      <c r="F54" s="53" t="s">
        <v>3841</v>
      </c>
      <c r="G54" s="52" t="s">
        <v>3842</v>
      </c>
      <c r="H54" s="53" t="s">
        <v>180</v>
      </c>
      <c r="I54" s="53" t="s">
        <v>554</v>
      </c>
      <c r="J54" s="6" t="s">
        <v>3805</v>
      </c>
      <c r="K54" s="52" t="n">
        <v>3</v>
      </c>
      <c r="L54" s="52" t="s">
        <v>3604</v>
      </c>
      <c r="M54" s="6" t="s">
        <v>3806</v>
      </c>
      <c r="N54" s="52" t="s">
        <v>3606</v>
      </c>
      <c r="O54" s="53" t="s">
        <v>3607</v>
      </c>
      <c r="P54" s="53" t="s">
        <v>554</v>
      </c>
      <c r="Q54" s="53" t="s">
        <v>3807</v>
      </c>
      <c r="R54" s="53" t="s">
        <v>554</v>
      </c>
      <c r="S54" s="53" t="s">
        <v>554</v>
      </c>
      <c r="T54" s="53" t="s">
        <v>554</v>
      </c>
      <c r="U54" s="53" t="s">
        <v>3808</v>
      </c>
      <c r="V54" s="6" t="s">
        <v>3843</v>
      </c>
      <c r="W54" s="6" t="s">
        <v>554</v>
      </c>
      <c r="X54" s="103" t="n">
        <f aca="false">IF($O54="Active",SUMPRODUCT(($B$5:$B$400=$B54)*($G$5:$G$400=$G54)*($H$5:$H$400=$H54)*($O$5:$O$400="Active")),0)</f>
        <v>1</v>
      </c>
      <c r="Y54" s="103" t="n">
        <f aca="false">IF(AND($O54="Active",OR($Q54="—",$Q54="")),1,0)</f>
        <v>0</v>
      </c>
      <c r="Z54" s="103" t="n">
        <f aca="false">IF(AND($O54="Active",$L54="利害關係方",OR($R54="—",$R54="")),1,0)</f>
        <v>1</v>
      </c>
    </row>
    <row r="55" customFormat="false" ht="44" hidden="false" customHeight="false" outlineLevel="0" collapsed="false">
      <c r="A55" s="53" t="s">
        <v>3844</v>
      </c>
      <c r="B55" s="6" t="s">
        <v>3845</v>
      </c>
      <c r="C55" s="128" t="n">
        <v>3</v>
      </c>
      <c r="D55" s="52"/>
      <c r="E55" s="52"/>
      <c r="F55" s="53" t="s">
        <v>3641</v>
      </c>
      <c r="G55" s="52" t="s">
        <v>3682</v>
      </c>
      <c r="H55" s="53" t="s">
        <v>136</v>
      </c>
      <c r="I55" s="53" t="s">
        <v>554</v>
      </c>
      <c r="J55" s="5" t="s">
        <v>3846</v>
      </c>
      <c r="K55" s="52" t="n">
        <v>3</v>
      </c>
      <c r="L55" s="52" t="s">
        <v>3697</v>
      </c>
      <c r="M55" s="6" t="s">
        <v>3847</v>
      </c>
      <c r="N55" s="52" t="s">
        <v>3618</v>
      </c>
      <c r="O55" s="53" t="s">
        <v>3607</v>
      </c>
      <c r="P55" s="53" t="s">
        <v>554</v>
      </c>
      <c r="Q55" s="53" t="s">
        <v>3848</v>
      </c>
      <c r="R55" s="53" t="s">
        <v>554</v>
      </c>
      <c r="S55" s="53" t="s">
        <v>554</v>
      </c>
      <c r="T55" s="53" t="s">
        <v>554</v>
      </c>
      <c r="U55" s="53" t="s">
        <v>3849</v>
      </c>
      <c r="V55" s="6" t="s">
        <v>554</v>
      </c>
      <c r="W55" s="5" t="s">
        <v>3850</v>
      </c>
      <c r="X55" s="103" t="n">
        <f aca="false">IF($O55="Active",SUMPRODUCT(($B$5:$B$400=$B55)*($G$5:$G$400=$G55)*($H$5:$H$400=$H55)*($O$5:$O$400="Active")),0)</f>
        <v>1</v>
      </c>
      <c r="Y55" s="103" t="n">
        <f aca="false">IF(AND($O55="Active",OR($Q55="—",$Q55="")),1,0)</f>
        <v>0</v>
      </c>
      <c r="Z55" s="103" t="n">
        <f aca="false">IF(AND($O55="Active",$L55="利害關係方",OR($R55="—",$R55="")),1,0)</f>
        <v>0</v>
      </c>
    </row>
    <row r="56" customFormat="false" ht="44" hidden="false" customHeight="false" outlineLevel="0" collapsed="false">
      <c r="A56" s="53" t="s">
        <v>2526</v>
      </c>
      <c r="B56" s="6" t="s">
        <v>3851</v>
      </c>
      <c r="C56" s="128" t="n">
        <v>4</v>
      </c>
      <c r="D56" s="52"/>
      <c r="E56" s="52"/>
      <c r="F56" s="53" t="s">
        <v>3641</v>
      </c>
      <c r="G56" s="52" t="s">
        <v>3694</v>
      </c>
      <c r="H56" s="53" t="s">
        <v>137</v>
      </c>
      <c r="I56" s="53" t="s">
        <v>554</v>
      </c>
      <c r="J56" s="5" t="s">
        <v>3846</v>
      </c>
      <c r="K56" s="52" t="n">
        <v>3</v>
      </c>
      <c r="L56" s="52" t="s">
        <v>3697</v>
      </c>
      <c r="M56" s="6" t="s">
        <v>3847</v>
      </c>
      <c r="N56" s="52" t="s">
        <v>3618</v>
      </c>
      <c r="O56" s="53" t="s">
        <v>3607</v>
      </c>
      <c r="P56" s="53" t="s">
        <v>554</v>
      </c>
      <c r="Q56" s="53" t="s">
        <v>3848</v>
      </c>
      <c r="R56" s="53" t="s">
        <v>554</v>
      </c>
      <c r="S56" s="53" t="s">
        <v>554</v>
      </c>
      <c r="T56" s="53" t="s">
        <v>554</v>
      </c>
      <c r="U56" s="53" t="s">
        <v>3849</v>
      </c>
      <c r="V56" s="6" t="s">
        <v>3852</v>
      </c>
      <c r="W56" s="5" t="s">
        <v>3853</v>
      </c>
      <c r="X56" s="103" t="n">
        <f aca="false">IF($O56="Active",SUMPRODUCT(($B$5:$B$400=$B56)*($G$5:$G$400=$G56)*($H$5:$H$400=$H56)*($O$5:$O$400="Active")),0)</f>
        <v>1</v>
      </c>
      <c r="Y56" s="103" t="n">
        <f aca="false">IF(AND($O56="Active",OR($Q56="—",$Q56="")),1,0)</f>
        <v>0</v>
      </c>
      <c r="Z56" s="103" t="n">
        <f aca="false">IF(AND($O56="Active",$L56="利害關係方",OR($R56="—",$R56="")),1,0)</f>
        <v>0</v>
      </c>
    </row>
    <row r="57" customFormat="false" ht="29.85" hidden="false" customHeight="false" outlineLevel="0" collapsed="false">
      <c r="A57" s="53" t="s">
        <v>2641</v>
      </c>
      <c r="B57" s="6" t="s">
        <v>3854</v>
      </c>
      <c r="C57" s="128" t="n">
        <v>8</v>
      </c>
      <c r="D57" s="52"/>
      <c r="E57" s="52"/>
      <c r="F57" s="53" t="s">
        <v>662</v>
      </c>
      <c r="G57" s="53" t="s">
        <v>3855</v>
      </c>
      <c r="H57" s="53" t="s">
        <v>3856</v>
      </c>
      <c r="I57" s="53" t="s">
        <v>554</v>
      </c>
      <c r="J57" s="6" t="s">
        <v>3857</v>
      </c>
      <c r="K57" s="52" t="n">
        <v>3</v>
      </c>
      <c r="L57" s="52" t="s">
        <v>3604</v>
      </c>
      <c r="M57" s="6" t="s">
        <v>3605</v>
      </c>
      <c r="N57" s="52" t="s">
        <v>3606</v>
      </c>
      <c r="O57" s="53" t="s">
        <v>3607</v>
      </c>
      <c r="P57" s="53" t="s">
        <v>554</v>
      </c>
      <c r="Q57" s="53" t="s">
        <v>3858</v>
      </c>
      <c r="R57" s="53" t="s">
        <v>554</v>
      </c>
      <c r="S57" s="53" t="s">
        <v>554</v>
      </c>
      <c r="T57" s="53" t="s">
        <v>554</v>
      </c>
      <c r="U57" s="53" t="s">
        <v>3859</v>
      </c>
      <c r="V57" s="6" t="s">
        <v>554</v>
      </c>
      <c r="W57" s="6" t="s">
        <v>3860</v>
      </c>
      <c r="X57" s="103" t="n">
        <f aca="false">IF($O57="Active",SUMPRODUCT(($B$5:$B$400=$B57)*($G$5:$G$400=$G57)*($H$5:$H$400=$H57)*($O$5:$O$400="Active")),0)</f>
        <v>1</v>
      </c>
      <c r="Y57" s="103" t="n">
        <f aca="false">IF(AND($O57="Active",OR($Q57="—",$Q57="")),1,0)</f>
        <v>0</v>
      </c>
      <c r="Z57" s="103" t="n">
        <f aca="false">IF(AND($O57="Active",$L57="利害關係方",OR($R57="—",$R57="")),1,0)</f>
        <v>1</v>
      </c>
    </row>
    <row r="58" customFormat="false" ht="29.85" hidden="false" customHeight="false" outlineLevel="0" collapsed="false">
      <c r="A58" s="53" t="s">
        <v>2472</v>
      </c>
      <c r="B58" s="6" t="s">
        <v>3861</v>
      </c>
      <c r="C58" s="128" t="n">
        <v>144</v>
      </c>
      <c r="D58" s="52"/>
      <c r="E58" s="52"/>
      <c r="F58" s="52" t="s">
        <v>3862</v>
      </c>
      <c r="G58" s="53" t="s">
        <v>3863</v>
      </c>
      <c r="H58" s="53" t="s">
        <v>139</v>
      </c>
      <c r="I58" s="53" t="s">
        <v>554</v>
      </c>
      <c r="J58" s="6" t="s">
        <v>3857</v>
      </c>
      <c r="K58" s="52" t="n">
        <v>3</v>
      </c>
      <c r="L58" s="52" t="s">
        <v>3604</v>
      </c>
      <c r="M58" s="6" t="s">
        <v>3864</v>
      </c>
      <c r="N58" s="52" t="s">
        <v>3606</v>
      </c>
      <c r="O58" s="53" t="s">
        <v>3607</v>
      </c>
      <c r="P58" s="53" t="s">
        <v>554</v>
      </c>
      <c r="Q58" s="53" t="s">
        <v>3858</v>
      </c>
      <c r="R58" s="53" t="s">
        <v>554</v>
      </c>
      <c r="S58" s="53" t="s">
        <v>554</v>
      </c>
      <c r="T58" s="53" t="s">
        <v>554</v>
      </c>
      <c r="U58" s="53" t="s">
        <v>3859</v>
      </c>
      <c r="V58" s="6" t="s">
        <v>554</v>
      </c>
      <c r="W58" s="6" t="s">
        <v>3860</v>
      </c>
      <c r="X58" s="103" t="n">
        <f aca="false">IF($O58="Active",SUMPRODUCT(($B$5:$B$400=$B58)*($G$5:$G$400=$G58)*($H$5:$H$400=$H58)*($O$5:$O$400="Active")),0)</f>
        <v>1</v>
      </c>
      <c r="Y58" s="103" t="n">
        <f aca="false">IF(AND($O58="Active",OR($Q58="—",$Q58="")),1,0)</f>
        <v>0</v>
      </c>
      <c r="Z58" s="103" t="n">
        <f aca="false">IF(AND($O58="Active",$L58="利害關係方",OR($R58="—",$R58="")),1,0)</f>
        <v>1</v>
      </c>
    </row>
    <row r="59" customFormat="false" ht="29.85" hidden="false" customHeight="false" outlineLevel="0" collapsed="false">
      <c r="A59" s="53" t="s">
        <v>2666</v>
      </c>
      <c r="B59" s="6" t="s">
        <v>3865</v>
      </c>
      <c r="C59" s="128" t="n">
        <v>1</v>
      </c>
      <c r="D59" s="52"/>
      <c r="E59" s="52"/>
      <c r="F59" s="53" t="s">
        <v>3841</v>
      </c>
      <c r="G59" s="52" t="s">
        <v>3842</v>
      </c>
      <c r="H59" s="53" t="s">
        <v>179</v>
      </c>
      <c r="I59" s="53" t="s">
        <v>554</v>
      </c>
      <c r="J59" s="6" t="s">
        <v>3857</v>
      </c>
      <c r="K59" s="52" t="n">
        <v>3</v>
      </c>
      <c r="L59" s="52" t="s">
        <v>3697</v>
      </c>
      <c r="M59" s="5" t="s">
        <v>3866</v>
      </c>
      <c r="N59" s="52" t="s">
        <v>3606</v>
      </c>
      <c r="O59" s="53" t="s">
        <v>3607</v>
      </c>
      <c r="P59" s="53" t="s">
        <v>554</v>
      </c>
      <c r="Q59" s="53" t="s">
        <v>3858</v>
      </c>
      <c r="R59" s="53" t="s">
        <v>554</v>
      </c>
      <c r="S59" s="53" t="s">
        <v>554</v>
      </c>
      <c r="T59" s="53" t="s">
        <v>554</v>
      </c>
      <c r="U59" s="53" t="s">
        <v>3859</v>
      </c>
      <c r="V59" s="6" t="s">
        <v>554</v>
      </c>
      <c r="W59" s="6" t="s">
        <v>3860</v>
      </c>
      <c r="X59" s="103" t="n">
        <f aca="false">IF($O59="Active",SUMPRODUCT(($B$5:$B$400=$B59)*($G$5:$G$400=$G59)*($H$5:$H$400=$H59)*($O$5:$O$400="Active")),0)</f>
        <v>1</v>
      </c>
      <c r="Y59" s="103" t="n">
        <f aca="false">IF(AND($O59="Active",OR($Q59="—",$Q59="")),1,0)</f>
        <v>0</v>
      </c>
      <c r="Z59" s="103" t="n">
        <f aca="false">IF(AND($O59="Active",$L59="利害關係方",OR($R59="—",$R59="")),1,0)</f>
        <v>0</v>
      </c>
    </row>
    <row r="60" customFormat="false" ht="29.85" hidden="false" customHeight="false" outlineLevel="0" collapsed="false">
      <c r="A60" s="53" t="s">
        <v>2697</v>
      </c>
      <c r="B60" s="6" t="s">
        <v>3867</v>
      </c>
      <c r="C60" s="128" t="n">
        <v>700</v>
      </c>
      <c r="D60" s="52"/>
      <c r="E60" s="52"/>
      <c r="F60" s="53" t="s">
        <v>3868</v>
      </c>
      <c r="G60" s="53" t="s">
        <v>3869</v>
      </c>
      <c r="H60" s="53" t="s">
        <v>135</v>
      </c>
      <c r="I60" s="53" t="s">
        <v>554</v>
      </c>
      <c r="J60" s="6" t="s">
        <v>3857</v>
      </c>
      <c r="K60" s="52" t="n">
        <v>3</v>
      </c>
      <c r="L60" s="52" t="s">
        <v>3604</v>
      </c>
      <c r="M60" s="6" t="s">
        <v>3605</v>
      </c>
      <c r="N60" s="52" t="s">
        <v>3606</v>
      </c>
      <c r="O60" s="53" t="s">
        <v>3607</v>
      </c>
      <c r="P60" s="53" t="s">
        <v>554</v>
      </c>
      <c r="Q60" s="53" t="s">
        <v>3858</v>
      </c>
      <c r="R60" s="53" t="s">
        <v>554</v>
      </c>
      <c r="S60" s="53" t="s">
        <v>554</v>
      </c>
      <c r="T60" s="53" t="s">
        <v>554</v>
      </c>
      <c r="U60" s="53" t="s">
        <v>3859</v>
      </c>
      <c r="V60" s="6" t="s">
        <v>554</v>
      </c>
      <c r="W60" s="6" t="s">
        <v>3860</v>
      </c>
      <c r="X60" s="103" t="n">
        <f aca="false">IF($O60="Active",SUMPRODUCT(($B$5:$B$400=$B60)*($G$5:$G$400=$G60)*($H$5:$H$400=$H60)*($O$5:$O$400="Active")),0)</f>
        <v>1</v>
      </c>
      <c r="Y60" s="103" t="n">
        <f aca="false">IF(AND($O60="Active",OR($Q60="—",$Q60="")),1,0)</f>
        <v>0</v>
      </c>
      <c r="Z60" s="103" t="n">
        <f aca="false">IF(AND($O60="Active",$L60="利害關係方",OR($R60="—",$R60="")),1,0)</f>
        <v>1</v>
      </c>
    </row>
    <row r="61" customFormat="false" ht="29.85" hidden="false" customHeight="false" outlineLevel="0" collapsed="false">
      <c r="A61" s="53" t="s">
        <v>2699</v>
      </c>
      <c r="B61" s="6" t="s">
        <v>3870</v>
      </c>
      <c r="C61" s="128" t="n">
        <v>1200</v>
      </c>
      <c r="D61" s="52"/>
      <c r="E61" s="52"/>
      <c r="F61" s="53" t="s">
        <v>3868</v>
      </c>
      <c r="G61" s="52" t="s">
        <v>3871</v>
      </c>
      <c r="H61" s="53" t="s">
        <v>136</v>
      </c>
      <c r="I61" s="53" t="s">
        <v>554</v>
      </c>
      <c r="J61" s="6" t="s">
        <v>3857</v>
      </c>
      <c r="K61" s="52" t="n">
        <v>3</v>
      </c>
      <c r="L61" s="52" t="s">
        <v>3604</v>
      </c>
      <c r="M61" s="6" t="s">
        <v>3605</v>
      </c>
      <c r="N61" s="52" t="s">
        <v>3606</v>
      </c>
      <c r="O61" s="53" t="s">
        <v>3607</v>
      </c>
      <c r="P61" s="53" t="s">
        <v>554</v>
      </c>
      <c r="Q61" s="53" t="s">
        <v>3858</v>
      </c>
      <c r="R61" s="53" t="s">
        <v>554</v>
      </c>
      <c r="S61" s="53" t="s">
        <v>554</v>
      </c>
      <c r="T61" s="53" t="s">
        <v>554</v>
      </c>
      <c r="U61" s="53" t="s">
        <v>3859</v>
      </c>
      <c r="V61" s="6" t="s">
        <v>554</v>
      </c>
      <c r="W61" s="6" t="s">
        <v>3860</v>
      </c>
      <c r="X61" s="103" t="n">
        <f aca="false">IF($O61="Active",SUMPRODUCT(($B$5:$B$400=$B61)*($G$5:$G$400=$G61)*($H$5:$H$400=$H61)*($O$5:$O$400="Active")),0)</f>
        <v>1</v>
      </c>
      <c r="Y61" s="103" t="n">
        <f aca="false">IF(AND($O61="Active",OR($Q61="—",$Q61="")),1,0)</f>
        <v>0</v>
      </c>
      <c r="Z61" s="103" t="n">
        <f aca="false">IF(AND($O61="Active",$L61="利害關係方",OR($R61="—",$R61="")),1,0)</f>
        <v>1</v>
      </c>
    </row>
    <row r="62" customFormat="false" ht="29.85" hidden="false" customHeight="false" outlineLevel="0" collapsed="false">
      <c r="A62" s="53" t="s">
        <v>2701</v>
      </c>
      <c r="B62" s="6" t="s">
        <v>3872</v>
      </c>
      <c r="C62" s="128" t="n">
        <v>1400</v>
      </c>
      <c r="D62" s="52"/>
      <c r="E62" s="52"/>
      <c r="F62" s="53" t="s">
        <v>3868</v>
      </c>
      <c r="G62" s="52" t="s">
        <v>3871</v>
      </c>
      <c r="H62" s="53" t="s">
        <v>137</v>
      </c>
      <c r="I62" s="53" t="s">
        <v>554</v>
      </c>
      <c r="J62" s="6" t="s">
        <v>3857</v>
      </c>
      <c r="K62" s="52" t="n">
        <v>3</v>
      </c>
      <c r="L62" s="52" t="s">
        <v>3604</v>
      </c>
      <c r="M62" s="6" t="s">
        <v>3605</v>
      </c>
      <c r="N62" s="52" t="s">
        <v>3606</v>
      </c>
      <c r="O62" s="53" t="s">
        <v>3607</v>
      </c>
      <c r="P62" s="53" t="s">
        <v>554</v>
      </c>
      <c r="Q62" s="53" t="s">
        <v>3858</v>
      </c>
      <c r="R62" s="53" t="s">
        <v>554</v>
      </c>
      <c r="S62" s="53" t="s">
        <v>554</v>
      </c>
      <c r="T62" s="53" t="s">
        <v>554</v>
      </c>
      <c r="U62" s="53" t="s">
        <v>3859</v>
      </c>
      <c r="V62" s="6" t="s">
        <v>554</v>
      </c>
      <c r="W62" s="6" t="s">
        <v>3860</v>
      </c>
      <c r="X62" s="103" t="n">
        <f aca="false">IF($O62="Active",SUMPRODUCT(($B$5:$B$400=$B62)*($G$5:$G$400=$G62)*($H$5:$H$400=$H62)*($O$5:$O$400="Active")),0)</f>
        <v>1</v>
      </c>
      <c r="Y62" s="103" t="n">
        <f aca="false">IF(AND($O62="Active",OR($Q62="—",$Q62="")),1,0)</f>
        <v>0</v>
      </c>
      <c r="Z62" s="103" t="n">
        <f aca="false">IF(AND($O62="Active",$L62="利害關係方",OR($R62="—",$R62="")),1,0)</f>
        <v>1</v>
      </c>
    </row>
    <row r="63" customFormat="false" ht="29.85" hidden="false" customHeight="false" outlineLevel="0" collapsed="false">
      <c r="A63" s="53" t="s">
        <v>2615</v>
      </c>
      <c r="B63" s="6" t="s">
        <v>3873</v>
      </c>
      <c r="C63" s="128" t="n">
        <v>8</v>
      </c>
      <c r="D63" s="52"/>
      <c r="E63" s="52"/>
      <c r="F63" s="53" t="s">
        <v>301</v>
      </c>
      <c r="G63" s="53" t="s">
        <v>3769</v>
      </c>
      <c r="H63" s="53" t="s">
        <v>137</v>
      </c>
      <c r="I63" s="53" t="s">
        <v>554</v>
      </c>
      <c r="J63" s="6" t="s">
        <v>3857</v>
      </c>
      <c r="K63" s="52" t="n">
        <v>3</v>
      </c>
      <c r="L63" s="52" t="s">
        <v>3604</v>
      </c>
      <c r="M63" s="6" t="s">
        <v>3605</v>
      </c>
      <c r="N63" s="52" t="s">
        <v>3606</v>
      </c>
      <c r="O63" s="53" t="s">
        <v>3607</v>
      </c>
      <c r="P63" s="53" t="s">
        <v>554</v>
      </c>
      <c r="Q63" s="53" t="s">
        <v>3858</v>
      </c>
      <c r="R63" s="53" t="s">
        <v>554</v>
      </c>
      <c r="S63" s="53" t="s">
        <v>554</v>
      </c>
      <c r="T63" s="53" t="s">
        <v>554</v>
      </c>
      <c r="U63" s="53" t="s">
        <v>3859</v>
      </c>
      <c r="V63" s="6" t="s">
        <v>554</v>
      </c>
      <c r="W63" s="6" t="s">
        <v>3860</v>
      </c>
      <c r="X63" s="103" t="n">
        <f aca="false">IF($O63="Active",SUMPRODUCT(($B$5:$B$400=$B63)*($G$5:$G$400=$G63)*($H$5:$H$400=$H63)*($O$5:$O$400="Active")),0)</f>
        <v>1</v>
      </c>
      <c r="Y63" s="103" t="n">
        <f aca="false">IF(AND($O63="Active",OR($Q63="—",$Q63="")),1,0)</f>
        <v>0</v>
      </c>
      <c r="Z63" s="103" t="n">
        <f aca="false">IF(AND($O63="Active",$L63="利害關係方",OR($R63="—",$R63="")),1,0)</f>
        <v>1</v>
      </c>
    </row>
    <row r="64" customFormat="false" ht="29.85" hidden="false" customHeight="false" outlineLevel="0" collapsed="false">
      <c r="A64" s="53" t="s">
        <v>2626</v>
      </c>
      <c r="B64" s="6" t="s">
        <v>3874</v>
      </c>
      <c r="C64" s="128" t="n">
        <v>400</v>
      </c>
      <c r="D64" s="52"/>
      <c r="E64" s="52"/>
      <c r="F64" s="53" t="s">
        <v>3875</v>
      </c>
      <c r="G64" s="52" t="s">
        <v>3876</v>
      </c>
      <c r="H64" s="53" t="s">
        <v>135</v>
      </c>
      <c r="I64" s="53" t="s">
        <v>554</v>
      </c>
      <c r="J64" s="6" t="s">
        <v>3857</v>
      </c>
      <c r="K64" s="52" t="n">
        <v>3</v>
      </c>
      <c r="L64" s="52" t="s">
        <v>3604</v>
      </c>
      <c r="M64" s="6" t="s">
        <v>3605</v>
      </c>
      <c r="N64" s="52" t="s">
        <v>3606</v>
      </c>
      <c r="O64" s="53" t="s">
        <v>3607</v>
      </c>
      <c r="P64" s="53" t="s">
        <v>554</v>
      </c>
      <c r="Q64" s="53" t="s">
        <v>3858</v>
      </c>
      <c r="R64" s="53" t="s">
        <v>554</v>
      </c>
      <c r="S64" s="53" t="s">
        <v>554</v>
      </c>
      <c r="T64" s="53" t="s">
        <v>554</v>
      </c>
      <c r="U64" s="53" t="s">
        <v>3859</v>
      </c>
      <c r="V64" s="6" t="s">
        <v>554</v>
      </c>
      <c r="W64" s="6" t="s">
        <v>3860</v>
      </c>
      <c r="X64" s="103" t="n">
        <f aca="false">IF($O64="Active",SUMPRODUCT(($B$5:$B$400=$B64)*($G$5:$G$400=$G64)*($H$5:$H$400=$H64)*($O$5:$O$400="Active")),0)</f>
        <v>1</v>
      </c>
      <c r="Y64" s="103" t="n">
        <f aca="false">IF(AND($O64="Active",OR($Q64="—",$Q64="")),1,0)</f>
        <v>0</v>
      </c>
      <c r="Z64" s="103" t="n">
        <f aca="false">IF(AND($O64="Active",$L64="利害關係方",OR($R64="—",$R64="")),1,0)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</cols>
  <sheetData>
    <row r="1" customFormat="false" ht="20.1" hidden="false" customHeight="false" outlineLevel="0" collapsed="false">
      <c r="A1" s="49" t="s">
        <v>3877</v>
      </c>
    </row>
    <row r="2" customFormat="false" ht="15" hidden="false" customHeight="false" outlineLevel="0" collapsed="false">
      <c r="A2" s="64" t="s">
        <v>3579</v>
      </c>
    </row>
    <row r="3" customFormat="false" ht="15" hidden="false" customHeight="false" outlineLevel="0" collapsed="false">
      <c r="A3" s="64" t="s">
        <v>3580</v>
      </c>
    </row>
    <row r="4" customFormat="false" ht="44" hidden="false" customHeight="false" outlineLevel="0" collapsed="false">
      <c r="A4" s="75" t="s">
        <v>3581</v>
      </c>
      <c r="B4" s="74" t="s">
        <v>1649</v>
      </c>
      <c r="C4" s="74" t="s">
        <v>3582</v>
      </c>
      <c r="D4" s="74" t="s">
        <v>1078</v>
      </c>
      <c r="E4" s="74" t="s">
        <v>1079</v>
      </c>
      <c r="F4" s="74" t="s">
        <v>53</v>
      </c>
      <c r="G4" s="74" t="s">
        <v>410</v>
      </c>
      <c r="H4" s="74" t="s">
        <v>3583</v>
      </c>
      <c r="I4" s="74" t="s">
        <v>3277</v>
      </c>
      <c r="J4" s="74" t="s">
        <v>3280</v>
      </c>
      <c r="K4" s="74" t="s">
        <v>3463</v>
      </c>
      <c r="L4" s="74" t="s">
        <v>3584</v>
      </c>
      <c r="M4" s="74" t="s">
        <v>3585</v>
      </c>
      <c r="N4" s="74" t="s">
        <v>3586</v>
      </c>
      <c r="O4" s="74" t="s">
        <v>541</v>
      </c>
      <c r="P4" s="74" t="s">
        <v>3587</v>
      </c>
      <c r="Q4" s="75" t="s">
        <v>3588</v>
      </c>
      <c r="R4" s="74" t="s">
        <v>3589</v>
      </c>
      <c r="S4" s="74" t="s">
        <v>3590</v>
      </c>
      <c r="T4" s="75" t="s">
        <v>3591</v>
      </c>
      <c r="U4" s="74" t="s">
        <v>3592</v>
      </c>
      <c r="V4" s="74" t="s">
        <v>3593</v>
      </c>
      <c r="W4" s="74" t="s">
        <v>3594</v>
      </c>
      <c r="X4" s="74" t="s">
        <v>3595</v>
      </c>
      <c r="Y4" s="74" t="s">
        <v>3596</v>
      </c>
      <c r="Z4" s="74" t="s">
        <v>3597</v>
      </c>
    </row>
    <row r="5" customFormat="false" ht="29.85" hidden="false" customHeight="false" outlineLevel="0" collapsed="false">
      <c r="A5" s="53" t="s">
        <v>2332</v>
      </c>
      <c r="B5" s="6" t="s">
        <v>3878</v>
      </c>
      <c r="C5" s="52"/>
      <c r="D5" s="128" t="n">
        <v>0.04</v>
      </c>
      <c r="E5" s="128" t="n">
        <v>0.08</v>
      </c>
      <c r="F5" s="53" t="s">
        <v>69</v>
      </c>
      <c r="G5" s="52" t="s">
        <v>3879</v>
      </c>
      <c r="H5" s="53" t="s">
        <v>554</v>
      </c>
      <c r="I5" s="53" t="s">
        <v>3615</v>
      </c>
      <c r="J5" s="6" t="s">
        <v>3880</v>
      </c>
      <c r="K5" s="52" t="n">
        <v>3</v>
      </c>
      <c r="L5" s="52" t="s">
        <v>3604</v>
      </c>
      <c r="M5" s="6" t="s">
        <v>3881</v>
      </c>
      <c r="N5" s="52" t="s">
        <v>3618</v>
      </c>
      <c r="O5" s="53" t="s">
        <v>3607</v>
      </c>
      <c r="P5" s="53" t="s">
        <v>554</v>
      </c>
      <c r="Q5" s="53" t="s">
        <v>3882</v>
      </c>
      <c r="R5" s="53" t="s">
        <v>554</v>
      </c>
      <c r="S5" s="53" t="s">
        <v>554</v>
      </c>
      <c r="T5" s="53" t="s">
        <v>554</v>
      </c>
      <c r="U5" s="53" t="s">
        <v>3883</v>
      </c>
      <c r="V5" s="6" t="s">
        <v>3884</v>
      </c>
      <c r="W5" s="5" t="s">
        <v>3885</v>
      </c>
      <c r="X5" s="103" t="n">
        <f aca="false">IF($O5="Active",SUMPRODUCT(($B$5:$B$400=$B5)*($G$5:$G$400=$G5)*($H$5:$H$400=$H5)*($O$5:$O$400="Active")),0)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</row>
    <row r="6" customFormat="false" ht="29.85" hidden="false" customHeight="false" outlineLevel="0" collapsed="false">
      <c r="A6" s="53" t="s">
        <v>2338</v>
      </c>
      <c r="B6" s="5" t="s">
        <v>3886</v>
      </c>
      <c r="C6" s="128" t="n">
        <v>0.15</v>
      </c>
      <c r="D6" s="52"/>
      <c r="E6" s="52"/>
      <c r="F6" s="53" t="s">
        <v>69</v>
      </c>
      <c r="G6" s="52" t="s">
        <v>3887</v>
      </c>
      <c r="H6" s="53" t="s">
        <v>554</v>
      </c>
      <c r="I6" s="53" t="s">
        <v>3615</v>
      </c>
      <c r="J6" s="6" t="s">
        <v>3880</v>
      </c>
      <c r="K6" s="52" t="n">
        <v>3</v>
      </c>
      <c r="L6" s="52" t="s">
        <v>3604</v>
      </c>
      <c r="M6" s="6" t="s">
        <v>3881</v>
      </c>
      <c r="N6" s="52" t="s">
        <v>3618</v>
      </c>
      <c r="O6" s="53" t="s">
        <v>3607</v>
      </c>
      <c r="P6" s="53" t="s">
        <v>554</v>
      </c>
      <c r="Q6" s="53" t="s">
        <v>3882</v>
      </c>
      <c r="R6" s="53" t="s">
        <v>554</v>
      </c>
      <c r="S6" s="53" t="s">
        <v>554</v>
      </c>
      <c r="T6" s="53" t="s">
        <v>554</v>
      </c>
      <c r="U6" s="53" t="s">
        <v>3883</v>
      </c>
      <c r="V6" s="6" t="s">
        <v>3888</v>
      </c>
      <c r="W6" s="6" t="s">
        <v>3889</v>
      </c>
      <c r="X6" s="103" t="n">
        <f aca="false">IF($O6="Active",SUMPRODUCT(($B$5:$B$400=$B6)*($G$5:$G$400=$G6)*($H$5:$H$400=$H6)*($O$5:$O$400="Active")),0)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1</v>
      </c>
    </row>
    <row r="7" customFormat="false" ht="29.85" hidden="false" customHeight="false" outlineLevel="0" collapsed="false">
      <c r="A7" s="53" t="s">
        <v>1868</v>
      </c>
      <c r="B7" s="5" t="s">
        <v>3890</v>
      </c>
      <c r="C7" s="128" t="n">
        <v>11.3</v>
      </c>
      <c r="D7" s="52"/>
      <c r="E7" s="52"/>
      <c r="F7" s="53" t="s">
        <v>90</v>
      </c>
      <c r="G7" s="52" t="s">
        <v>3891</v>
      </c>
      <c r="H7" s="52" t="s">
        <v>3892</v>
      </c>
      <c r="I7" s="53" t="s">
        <v>3615</v>
      </c>
      <c r="J7" s="6" t="s">
        <v>3893</v>
      </c>
      <c r="K7" s="52" t="n">
        <v>3</v>
      </c>
      <c r="L7" s="52" t="s">
        <v>3697</v>
      </c>
      <c r="M7" s="6" t="s">
        <v>3894</v>
      </c>
      <c r="N7" s="52" t="s">
        <v>3618</v>
      </c>
      <c r="O7" s="53" t="s">
        <v>3607</v>
      </c>
      <c r="P7" s="53" t="s">
        <v>554</v>
      </c>
      <c r="Q7" s="53" t="s">
        <v>3149</v>
      </c>
      <c r="R7" s="53" t="s">
        <v>554</v>
      </c>
      <c r="S7" s="53" t="s">
        <v>554</v>
      </c>
      <c r="T7" s="53" t="s">
        <v>554</v>
      </c>
      <c r="U7" s="53" t="s">
        <v>3895</v>
      </c>
      <c r="V7" s="6" t="s">
        <v>3896</v>
      </c>
      <c r="W7" s="6" t="s">
        <v>3897</v>
      </c>
      <c r="X7" s="103" t="n">
        <f aca="false">IF($O7="Active",SUMPRODUCT(($B$5:$B$400=$B7)*($G$5:$G$400=$G7)*($H$5:$H$400=$H7)*($O$5:$O$400="Active")),0)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0</v>
      </c>
    </row>
    <row r="8" customFormat="false" ht="29.85" hidden="false" customHeight="false" outlineLevel="0" collapsed="false">
      <c r="A8" s="53" t="s">
        <v>3898</v>
      </c>
      <c r="B8" s="5" t="s">
        <v>3899</v>
      </c>
      <c r="C8" s="52"/>
      <c r="D8" s="128" t="n">
        <v>0.07</v>
      </c>
      <c r="E8" s="128" t="n">
        <v>0.1</v>
      </c>
      <c r="F8" s="53" t="s">
        <v>69</v>
      </c>
      <c r="G8" s="52" t="s">
        <v>3900</v>
      </c>
      <c r="H8" s="52" t="s">
        <v>3901</v>
      </c>
      <c r="I8" s="53" t="s">
        <v>3615</v>
      </c>
      <c r="J8" s="6" t="s">
        <v>3893</v>
      </c>
      <c r="K8" s="52" t="n">
        <v>3</v>
      </c>
      <c r="L8" s="52" t="s">
        <v>3697</v>
      </c>
      <c r="M8" s="6" t="s">
        <v>3894</v>
      </c>
      <c r="N8" s="52" t="s">
        <v>3618</v>
      </c>
      <c r="O8" s="53" t="s">
        <v>3607</v>
      </c>
      <c r="P8" s="53" t="s">
        <v>554</v>
      </c>
      <c r="Q8" s="53" t="s">
        <v>3149</v>
      </c>
      <c r="R8" s="53" t="s">
        <v>554</v>
      </c>
      <c r="S8" s="53" t="s">
        <v>554</v>
      </c>
      <c r="T8" s="53" t="s">
        <v>554</v>
      </c>
      <c r="U8" s="53" t="s">
        <v>3895</v>
      </c>
      <c r="V8" s="6" t="s">
        <v>3896</v>
      </c>
      <c r="W8" s="6" t="s">
        <v>554</v>
      </c>
      <c r="X8" s="103" t="n">
        <f aca="false">IF($O8="Active",SUMPRODUCT(($B$5:$B$400=$B8)*($G$5:$G$400=$G8)*($H$5:$H$400=$H8)*($O$5:$O$400="Active")),0)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0</v>
      </c>
    </row>
    <row r="9" customFormat="false" ht="29.85" hidden="false" customHeight="false" outlineLevel="0" collapsed="false">
      <c r="A9" s="53" t="s">
        <v>3902</v>
      </c>
      <c r="B9" s="5" t="s">
        <v>3903</v>
      </c>
      <c r="C9" s="128" t="n">
        <v>0.0858</v>
      </c>
      <c r="D9" s="52"/>
      <c r="E9" s="52"/>
      <c r="F9" s="53" t="s">
        <v>79</v>
      </c>
      <c r="G9" s="52" t="s">
        <v>3904</v>
      </c>
      <c r="H9" s="52" t="s">
        <v>1141</v>
      </c>
      <c r="I9" s="53" t="s">
        <v>3643</v>
      </c>
      <c r="J9" s="6" t="s">
        <v>3905</v>
      </c>
      <c r="K9" s="52" t="n">
        <v>2</v>
      </c>
      <c r="L9" s="52" t="s">
        <v>3697</v>
      </c>
      <c r="M9" s="6" t="s">
        <v>3906</v>
      </c>
      <c r="N9" s="52" t="s">
        <v>3907</v>
      </c>
      <c r="O9" s="53" t="s">
        <v>3607</v>
      </c>
      <c r="P9" s="53" t="s">
        <v>554</v>
      </c>
      <c r="Q9" s="53" t="s">
        <v>3160</v>
      </c>
      <c r="R9" s="53" t="s">
        <v>554</v>
      </c>
      <c r="S9" s="53" t="s">
        <v>554</v>
      </c>
      <c r="T9" s="53" t="s">
        <v>554</v>
      </c>
      <c r="U9" s="53" t="s">
        <v>3908</v>
      </c>
      <c r="V9" s="6" t="s">
        <v>554</v>
      </c>
      <c r="W9" s="6" t="s">
        <v>554</v>
      </c>
      <c r="X9" s="103" t="n">
        <f aca="false">IF($O9="Active",SUMPRODUCT(($B$5:$B$400=$B9)*($G$5:$G$400=$G9)*($H$5:$H$400=$H9)*($O$5:$O$400="Active")),0)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0</v>
      </c>
    </row>
    <row r="10" customFormat="false" ht="29.85" hidden="false" customHeight="false" outlineLevel="0" collapsed="false">
      <c r="A10" s="53" t="s">
        <v>2324</v>
      </c>
      <c r="B10" s="5" t="s">
        <v>3909</v>
      </c>
      <c r="C10" s="128" t="n">
        <v>0.0871</v>
      </c>
      <c r="D10" s="52"/>
      <c r="E10" s="52"/>
      <c r="F10" s="53" t="s">
        <v>79</v>
      </c>
      <c r="G10" s="52" t="s">
        <v>3904</v>
      </c>
      <c r="H10" s="52" t="s">
        <v>1141</v>
      </c>
      <c r="I10" s="53" t="s">
        <v>3695</v>
      </c>
      <c r="J10" s="6" t="s">
        <v>3905</v>
      </c>
      <c r="K10" s="52" t="n">
        <v>2</v>
      </c>
      <c r="L10" s="52" t="s">
        <v>3697</v>
      </c>
      <c r="M10" s="6" t="s">
        <v>3906</v>
      </c>
      <c r="N10" s="52" t="s">
        <v>3907</v>
      </c>
      <c r="O10" s="53" t="s">
        <v>3607</v>
      </c>
      <c r="P10" s="53" t="s">
        <v>554</v>
      </c>
      <c r="Q10" s="53" t="s">
        <v>3160</v>
      </c>
      <c r="R10" s="53" t="s">
        <v>554</v>
      </c>
      <c r="S10" s="53" t="s">
        <v>554</v>
      </c>
      <c r="T10" s="53" t="s">
        <v>554</v>
      </c>
      <c r="U10" s="53" t="s">
        <v>3908</v>
      </c>
      <c r="V10" s="6" t="s">
        <v>3910</v>
      </c>
      <c r="W10" s="5" t="s">
        <v>3911</v>
      </c>
      <c r="X10" s="103" t="n">
        <f aca="false">IF($O10="Active",SUMPRODUCT(($B$5:$B$400=$B10)*($G$5:$G$400=$G10)*($H$5:$H$400=$H10)*($O$5:$O$400="Active")),0)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0</v>
      </c>
    </row>
    <row r="11" customFormat="false" ht="29.85" hidden="false" customHeight="false" outlineLevel="0" collapsed="false">
      <c r="A11" s="53" t="s">
        <v>2436</v>
      </c>
      <c r="B11" s="6" t="s">
        <v>3912</v>
      </c>
      <c r="C11" s="128" t="n">
        <v>6</v>
      </c>
      <c r="D11" s="52"/>
      <c r="E11" s="52"/>
      <c r="F11" s="52" t="s">
        <v>104</v>
      </c>
      <c r="G11" s="52" t="s">
        <v>3913</v>
      </c>
      <c r="H11" s="53" t="s">
        <v>3914</v>
      </c>
      <c r="I11" s="53" t="s">
        <v>3718</v>
      </c>
      <c r="J11" s="6" t="s">
        <v>3915</v>
      </c>
      <c r="K11" s="52" t="n">
        <v>2</v>
      </c>
      <c r="L11" s="52" t="s">
        <v>3604</v>
      </c>
      <c r="M11" s="5" t="s">
        <v>3916</v>
      </c>
      <c r="N11" s="52" t="s">
        <v>3618</v>
      </c>
      <c r="O11" s="53" t="s">
        <v>3607</v>
      </c>
      <c r="P11" s="53" t="s">
        <v>554</v>
      </c>
      <c r="Q11" s="53" t="s">
        <v>3172</v>
      </c>
      <c r="R11" s="53" t="s">
        <v>554</v>
      </c>
      <c r="S11" s="53" t="s">
        <v>554</v>
      </c>
      <c r="T11" s="53" t="s">
        <v>554</v>
      </c>
      <c r="U11" s="53" t="s">
        <v>3917</v>
      </c>
      <c r="V11" s="6" t="s">
        <v>3918</v>
      </c>
      <c r="W11" s="6" t="s">
        <v>3919</v>
      </c>
      <c r="X11" s="103" t="n">
        <f aca="false">IF($O11="Active",SUMPRODUCT(($B$5:$B$400=$B11)*($G$5:$G$400=$G11)*($H$5:$H$400=$H11)*($O$5:$O$400="Active")),0)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</row>
    <row r="12" customFormat="false" ht="29.85" hidden="false" customHeight="false" outlineLevel="0" collapsed="false">
      <c r="A12" s="53" t="s">
        <v>2442</v>
      </c>
      <c r="B12" s="6" t="s">
        <v>3920</v>
      </c>
      <c r="C12" s="128" t="n">
        <v>4</v>
      </c>
      <c r="D12" s="52"/>
      <c r="E12" s="52"/>
      <c r="F12" s="52" t="s">
        <v>104</v>
      </c>
      <c r="G12" s="52" t="s">
        <v>3913</v>
      </c>
      <c r="H12" s="53" t="s">
        <v>3921</v>
      </c>
      <c r="I12" s="53" t="s">
        <v>3718</v>
      </c>
      <c r="J12" s="6" t="s">
        <v>3915</v>
      </c>
      <c r="K12" s="52" t="n">
        <v>2</v>
      </c>
      <c r="L12" s="52" t="s">
        <v>3604</v>
      </c>
      <c r="M12" s="5" t="s">
        <v>3916</v>
      </c>
      <c r="N12" s="52" t="s">
        <v>3618</v>
      </c>
      <c r="O12" s="53" t="s">
        <v>3607</v>
      </c>
      <c r="P12" s="53" t="s">
        <v>554</v>
      </c>
      <c r="Q12" s="53" t="s">
        <v>3172</v>
      </c>
      <c r="R12" s="53" t="s">
        <v>554</v>
      </c>
      <c r="S12" s="53" t="s">
        <v>554</v>
      </c>
      <c r="T12" s="53" t="s">
        <v>554</v>
      </c>
      <c r="U12" s="53" t="s">
        <v>3917</v>
      </c>
      <c r="V12" s="6" t="s">
        <v>3922</v>
      </c>
      <c r="W12" s="6" t="s">
        <v>554</v>
      </c>
      <c r="X12" s="103" t="n">
        <f aca="false">IF($O12="Active",SUMPRODUCT(($B$5:$B$400=$B12)*($G$5:$G$400=$G12)*($H$5:$H$400=$H12)*($O$5:$O$400="Active")),0)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</row>
    <row r="13" customFormat="false" ht="29.85" hidden="false" customHeight="false" outlineLevel="0" collapsed="false">
      <c r="A13" s="53" t="s">
        <v>3923</v>
      </c>
      <c r="B13" s="6" t="s">
        <v>3924</v>
      </c>
      <c r="C13" s="128" t="n">
        <v>5</v>
      </c>
      <c r="D13" s="52"/>
      <c r="E13" s="52"/>
      <c r="F13" s="52" t="s">
        <v>104</v>
      </c>
      <c r="G13" s="52" t="s">
        <v>3913</v>
      </c>
      <c r="H13" s="53" t="s">
        <v>3925</v>
      </c>
      <c r="I13" s="53" t="s">
        <v>3718</v>
      </c>
      <c r="J13" s="6" t="s">
        <v>3915</v>
      </c>
      <c r="K13" s="52" t="n">
        <v>2</v>
      </c>
      <c r="L13" s="52" t="s">
        <v>3604</v>
      </c>
      <c r="M13" s="5" t="s">
        <v>3916</v>
      </c>
      <c r="N13" s="52" t="s">
        <v>3618</v>
      </c>
      <c r="O13" s="53" t="s">
        <v>3607</v>
      </c>
      <c r="P13" s="53" t="s">
        <v>554</v>
      </c>
      <c r="Q13" s="53" t="s">
        <v>3172</v>
      </c>
      <c r="R13" s="53" t="s">
        <v>554</v>
      </c>
      <c r="S13" s="53" t="s">
        <v>554</v>
      </c>
      <c r="T13" s="53" t="s">
        <v>554</v>
      </c>
      <c r="U13" s="53" t="s">
        <v>3917</v>
      </c>
      <c r="V13" s="6" t="s">
        <v>554</v>
      </c>
      <c r="W13" s="6" t="s">
        <v>554</v>
      </c>
      <c r="X13" s="103" t="n">
        <f aca="false">IF($O13="Active",SUMPRODUCT(($B$5:$B$400=$B13)*($G$5:$G$400=$G13)*($H$5:$H$400=$H13)*($O$5:$O$400="Active")),0)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</row>
    <row r="14" customFormat="false" ht="29.85" hidden="false" customHeight="false" outlineLevel="0" collapsed="false">
      <c r="A14" s="53" t="s">
        <v>1852</v>
      </c>
      <c r="B14" s="5" t="s">
        <v>3926</v>
      </c>
      <c r="C14" s="52"/>
      <c r="D14" s="128" t="n">
        <v>50</v>
      </c>
      <c r="E14" s="128" t="n">
        <v>60</v>
      </c>
      <c r="F14" s="53" t="s">
        <v>1840</v>
      </c>
      <c r="G14" s="53" t="s">
        <v>3927</v>
      </c>
      <c r="H14" s="53" t="s">
        <v>554</v>
      </c>
      <c r="I14" s="53" t="s">
        <v>3928</v>
      </c>
      <c r="J14" s="6" t="s">
        <v>3929</v>
      </c>
      <c r="K14" s="52" t="n">
        <v>3</v>
      </c>
      <c r="L14" s="52" t="s">
        <v>3604</v>
      </c>
      <c r="M14" s="6" t="s">
        <v>3930</v>
      </c>
      <c r="N14" s="52" t="s">
        <v>3618</v>
      </c>
      <c r="O14" s="53" t="s">
        <v>3607</v>
      </c>
      <c r="P14" s="53" t="s">
        <v>554</v>
      </c>
      <c r="Q14" s="53" t="s">
        <v>3931</v>
      </c>
      <c r="R14" s="53" t="s">
        <v>554</v>
      </c>
      <c r="S14" s="53" t="s">
        <v>554</v>
      </c>
      <c r="T14" s="53" t="s">
        <v>554</v>
      </c>
      <c r="U14" s="53" t="s">
        <v>3932</v>
      </c>
      <c r="V14" s="6" t="s">
        <v>3933</v>
      </c>
      <c r="W14" s="6" t="s">
        <v>554</v>
      </c>
      <c r="X14" s="103" t="n">
        <f aca="false">IF($O14="Active",SUMPRODUCT(($B$5:$B$400=$B14)*($G$5:$G$400=$G14)*($H$5:$H$400=$H14)*($O$5:$O$400="Active")),0)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</row>
    <row r="15" customFormat="false" ht="29.85" hidden="false" customHeight="false" outlineLevel="0" collapsed="false">
      <c r="A15" s="53" t="s">
        <v>1859</v>
      </c>
      <c r="B15" s="5" t="s">
        <v>3934</v>
      </c>
      <c r="C15" s="128" t="n">
        <v>35</v>
      </c>
      <c r="D15" s="52"/>
      <c r="E15" s="52"/>
      <c r="F15" s="53" t="s">
        <v>1840</v>
      </c>
      <c r="G15" s="53" t="s">
        <v>3927</v>
      </c>
      <c r="H15" s="53" t="s">
        <v>554</v>
      </c>
      <c r="I15" s="53" t="s">
        <v>3928</v>
      </c>
      <c r="J15" s="6" t="s">
        <v>3929</v>
      </c>
      <c r="K15" s="52" t="n">
        <v>3</v>
      </c>
      <c r="L15" s="52" t="s">
        <v>3604</v>
      </c>
      <c r="M15" s="6" t="s">
        <v>3930</v>
      </c>
      <c r="N15" s="52" t="s">
        <v>3618</v>
      </c>
      <c r="O15" s="53" t="s">
        <v>3607</v>
      </c>
      <c r="P15" s="53" t="s">
        <v>554</v>
      </c>
      <c r="Q15" s="53" t="s">
        <v>3931</v>
      </c>
      <c r="R15" s="53" t="s">
        <v>554</v>
      </c>
      <c r="S15" s="53" t="s">
        <v>554</v>
      </c>
      <c r="T15" s="53" t="s">
        <v>554</v>
      </c>
      <c r="U15" s="53" t="s">
        <v>3932</v>
      </c>
      <c r="V15" s="6" t="s">
        <v>3935</v>
      </c>
      <c r="W15" s="6" t="s">
        <v>554</v>
      </c>
      <c r="X15" s="103" t="n">
        <f aca="false">IF($O15="Active",SUMPRODUCT(($B$5:$B$400=$B15)*($G$5:$G$400=$G15)*($H$5:$H$400=$H15)*($O$5:$O$400="Active")),0)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</row>
    <row r="16" customFormat="false" ht="29.85" hidden="false" customHeight="false" outlineLevel="0" collapsed="false">
      <c r="A16" s="53" t="s">
        <v>1893</v>
      </c>
      <c r="B16" s="6" t="s">
        <v>3936</v>
      </c>
      <c r="C16" s="128" t="n">
        <v>2.21</v>
      </c>
      <c r="D16" s="52"/>
      <c r="E16" s="52"/>
      <c r="F16" s="53" t="s">
        <v>783</v>
      </c>
      <c r="G16" s="52" t="s">
        <v>3937</v>
      </c>
      <c r="H16" s="53" t="s">
        <v>136</v>
      </c>
      <c r="I16" s="53" t="s">
        <v>3695</v>
      </c>
      <c r="J16" s="6" t="s">
        <v>3938</v>
      </c>
      <c r="K16" s="52" t="n">
        <v>2</v>
      </c>
      <c r="L16" s="52" t="s">
        <v>3604</v>
      </c>
      <c r="M16" s="6" t="s">
        <v>3939</v>
      </c>
      <c r="N16" s="52" t="s">
        <v>3940</v>
      </c>
      <c r="O16" s="53" t="s">
        <v>3607</v>
      </c>
      <c r="P16" s="53" t="s">
        <v>554</v>
      </c>
      <c r="Q16" s="53" t="s">
        <v>3941</v>
      </c>
      <c r="R16" s="53" t="s">
        <v>554</v>
      </c>
      <c r="S16" s="53" t="s">
        <v>554</v>
      </c>
      <c r="T16" s="53" t="s">
        <v>554</v>
      </c>
      <c r="U16" s="53" t="s">
        <v>3942</v>
      </c>
      <c r="V16" s="6" t="s">
        <v>3943</v>
      </c>
      <c r="W16" s="5" t="s">
        <v>3944</v>
      </c>
      <c r="X16" s="103" t="n">
        <f aca="false">IF($O16="Active",SUMPRODUCT(($B$5:$B$400=$B16)*($G$5:$G$400=$G16)*($H$5:$H$400=$H16)*($O$5:$O$400="Active")),0)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</row>
    <row r="17" customFormat="false" ht="29.85" hidden="false" customHeight="false" outlineLevel="0" collapsed="false">
      <c r="A17" s="53" t="s">
        <v>1897</v>
      </c>
      <c r="B17" s="6" t="s">
        <v>3945</v>
      </c>
      <c r="C17" s="128" t="n">
        <v>2.65</v>
      </c>
      <c r="D17" s="52"/>
      <c r="E17" s="52"/>
      <c r="F17" s="53" t="s">
        <v>783</v>
      </c>
      <c r="G17" s="52" t="s">
        <v>3937</v>
      </c>
      <c r="H17" s="53" t="s">
        <v>137</v>
      </c>
      <c r="I17" s="53" t="s">
        <v>3695</v>
      </c>
      <c r="J17" s="6" t="s">
        <v>3938</v>
      </c>
      <c r="K17" s="52" t="n">
        <v>2</v>
      </c>
      <c r="L17" s="52" t="s">
        <v>3604</v>
      </c>
      <c r="M17" s="6" t="s">
        <v>3939</v>
      </c>
      <c r="N17" s="52" t="s">
        <v>3940</v>
      </c>
      <c r="O17" s="53" t="s">
        <v>3607</v>
      </c>
      <c r="P17" s="53" t="s">
        <v>554</v>
      </c>
      <c r="Q17" s="53" t="s">
        <v>3941</v>
      </c>
      <c r="R17" s="53" t="s">
        <v>554</v>
      </c>
      <c r="S17" s="53" t="s">
        <v>554</v>
      </c>
      <c r="T17" s="53" t="s">
        <v>554</v>
      </c>
      <c r="U17" s="53" t="s">
        <v>3942</v>
      </c>
      <c r="V17" s="6" t="s">
        <v>3946</v>
      </c>
      <c r="W17" s="5" t="s">
        <v>3944</v>
      </c>
      <c r="X17" s="103" t="n">
        <f aca="false">IF($O17="Active",SUMPRODUCT(($B$5:$B$400=$B17)*($G$5:$G$400=$G17)*($H$5:$H$400=$H17)*($O$5:$O$400="Active")),0)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</cols>
  <sheetData>
    <row r="1" customFormat="false" ht="20.1" hidden="false" customHeight="false" outlineLevel="0" collapsed="false">
      <c r="A1" s="49" t="s">
        <v>3947</v>
      </c>
    </row>
    <row r="2" customFormat="false" ht="15" hidden="false" customHeight="false" outlineLevel="0" collapsed="false">
      <c r="A2" s="64" t="s">
        <v>3579</v>
      </c>
    </row>
    <row r="3" customFormat="false" ht="15" hidden="false" customHeight="false" outlineLevel="0" collapsed="false">
      <c r="A3" s="64" t="s">
        <v>3580</v>
      </c>
    </row>
    <row r="4" customFormat="false" ht="44" hidden="false" customHeight="false" outlineLevel="0" collapsed="false">
      <c r="A4" s="75" t="s">
        <v>3581</v>
      </c>
      <c r="B4" s="74" t="s">
        <v>1649</v>
      </c>
      <c r="C4" s="74" t="s">
        <v>3582</v>
      </c>
      <c r="D4" s="74" t="s">
        <v>1078</v>
      </c>
      <c r="E4" s="74" t="s">
        <v>1079</v>
      </c>
      <c r="F4" s="74" t="s">
        <v>53</v>
      </c>
      <c r="G4" s="74" t="s">
        <v>410</v>
      </c>
      <c r="H4" s="74" t="s">
        <v>3583</v>
      </c>
      <c r="I4" s="74" t="s">
        <v>3277</v>
      </c>
      <c r="J4" s="74" t="s">
        <v>3280</v>
      </c>
      <c r="K4" s="74" t="s">
        <v>3463</v>
      </c>
      <c r="L4" s="74" t="s">
        <v>3584</v>
      </c>
      <c r="M4" s="74" t="s">
        <v>3585</v>
      </c>
      <c r="N4" s="74" t="s">
        <v>3586</v>
      </c>
      <c r="O4" s="74" t="s">
        <v>541</v>
      </c>
      <c r="P4" s="74" t="s">
        <v>3587</v>
      </c>
      <c r="Q4" s="75" t="s">
        <v>3588</v>
      </c>
      <c r="R4" s="74" t="s">
        <v>3589</v>
      </c>
      <c r="S4" s="74" t="s">
        <v>3590</v>
      </c>
      <c r="T4" s="75" t="s">
        <v>3591</v>
      </c>
      <c r="U4" s="74" t="s">
        <v>3592</v>
      </c>
      <c r="V4" s="74" t="s">
        <v>3593</v>
      </c>
      <c r="W4" s="74" t="s">
        <v>3594</v>
      </c>
      <c r="X4" s="74" t="s">
        <v>3595</v>
      </c>
      <c r="Y4" s="74" t="s">
        <v>3596</v>
      </c>
      <c r="Z4" s="74" t="s">
        <v>3597</v>
      </c>
    </row>
    <row r="5" customFormat="false" ht="29.85" hidden="false" customHeight="false" outlineLevel="0" collapsed="false">
      <c r="A5" s="53" t="s">
        <v>2765</v>
      </c>
      <c r="B5" s="6" t="s">
        <v>3948</v>
      </c>
      <c r="C5" s="128" t="n">
        <v>1600</v>
      </c>
      <c r="D5" s="52"/>
      <c r="E5" s="52"/>
      <c r="F5" s="53" t="s">
        <v>225</v>
      </c>
      <c r="G5" s="53" t="s">
        <v>554</v>
      </c>
      <c r="H5" s="53" t="s">
        <v>3949</v>
      </c>
      <c r="I5" s="53" t="s">
        <v>3615</v>
      </c>
      <c r="J5" s="6" t="s">
        <v>3950</v>
      </c>
      <c r="K5" s="52" t="n">
        <v>3</v>
      </c>
      <c r="L5" s="52" t="s">
        <v>3604</v>
      </c>
      <c r="M5" s="6" t="s">
        <v>3951</v>
      </c>
      <c r="N5" s="52" t="s">
        <v>3618</v>
      </c>
      <c r="O5" s="53" t="s">
        <v>3607</v>
      </c>
      <c r="P5" s="53" t="s">
        <v>554</v>
      </c>
      <c r="Q5" s="53" t="s">
        <v>3952</v>
      </c>
      <c r="R5" s="53" t="s">
        <v>554</v>
      </c>
      <c r="S5" s="53" t="s">
        <v>554</v>
      </c>
      <c r="T5" s="53" t="s">
        <v>554</v>
      </c>
      <c r="U5" s="53" t="s">
        <v>2088</v>
      </c>
      <c r="V5" s="6" t="s">
        <v>3953</v>
      </c>
      <c r="W5" s="5" t="s">
        <v>3954</v>
      </c>
      <c r="X5" s="103" t="n">
        <f aca="false">IF($O5="Active",SUMPRODUCT(($B$5:$B$400=$B5)*($G$5:$G$400=$G5)*($H$5:$H$400=$H5)*($O$5:$O$400="Active")),0)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</row>
    <row r="6" customFormat="false" ht="29.85" hidden="false" customHeight="false" outlineLevel="0" collapsed="false">
      <c r="A6" s="53" t="s">
        <v>2771</v>
      </c>
      <c r="B6" s="6" t="s">
        <v>3955</v>
      </c>
      <c r="C6" s="128" t="n">
        <v>49</v>
      </c>
      <c r="D6" s="52"/>
      <c r="E6" s="52"/>
      <c r="F6" s="53" t="s">
        <v>225</v>
      </c>
      <c r="G6" s="53" t="s">
        <v>554</v>
      </c>
      <c r="H6" s="53" t="s">
        <v>3949</v>
      </c>
      <c r="I6" s="53" t="s">
        <v>3615</v>
      </c>
      <c r="J6" s="6" t="s">
        <v>3950</v>
      </c>
      <c r="K6" s="52" t="n">
        <v>3</v>
      </c>
      <c r="L6" s="52" t="s">
        <v>3604</v>
      </c>
      <c r="M6" s="6" t="s">
        <v>3951</v>
      </c>
      <c r="N6" s="52" t="s">
        <v>3618</v>
      </c>
      <c r="O6" s="53" t="s">
        <v>3607</v>
      </c>
      <c r="P6" s="53" t="s">
        <v>554</v>
      </c>
      <c r="Q6" s="53" t="s">
        <v>3952</v>
      </c>
      <c r="R6" s="53" t="s">
        <v>554</v>
      </c>
      <c r="S6" s="53" t="s">
        <v>554</v>
      </c>
      <c r="T6" s="53" t="s">
        <v>554</v>
      </c>
      <c r="U6" s="53" t="s">
        <v>2088</v>
      </c>
      <c r="V6" s="6" t="s">
        <v>3956</v>
      </c>
      <c r="W6" s="6" t="s">
        <v>554</v>
      </c>
      <c r="X6" s="103" t="n">
        <f aca="false">IF($O6="Active",SUMPRODUCT(($B$5:$B$400=$B6)*($G$5:$G$400=$G6)*($H$5:$H$400=$H6)*($O$5:$O$400="Active")),0)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1</v>
      </c>
    </row>
    <row r="7" customFormat="false" ht="29.85" hidden="false" customHeight="false" outlineLevel="0" collapsed="false">
      <c r="A7" s="53" t="s">
        <v>2775</v>
      </c>
      <c r="B7" s="6" t="s">
        <v>3957</v>
      </c>
      <c r="C7" s="128" t="n">
        <v>61</v>
      </c>
      <c r="D7" s="52"/>
      <c r="E7" s="52"/>
      <c r="F7" s="52" t="s">
        <v>231</v>
      </c>
      <c r="G7" s="53" t="s">
        <v>554</v>
      </c>
      <c r="H7" s="53" t="s">
        <v>3949</v>
      </c>
      <c r="I7" s="53" t="s">
        <v>3615</v>
      </c>
      <c r="J7" s="6" t="s">
        <v>3950</v>
      </c>
      <c r="K7" s="52" t="n">
        <v>3</v>
      </c>
      <c r="L7" s="52" t="s">
        <v>3604</v>
      </c>
      <c r="M7" s="6" t="s">
        <v>3951</v>
      </c>
      <c r="N7" s="52" t="s">
        <v>3618</v>
      </c>
      <c r="O7" s="53" t="s">
        <v>3607</v>
      </c>
      <c r="P7" s="53" t="s">
        <v>554</v>
      </c>
      <c r="Q7" s="53" t="s">
        <v>3952</v>
      </c>
      <c r="R7" s="53" t="s">
        <v>554</v>
      </c>
      <c r="S7" s="53" t="s">
        <v>554</v>
      </c>
      <c r="T7" s="53" t="s">
        <v>554</v>
      </c>
      <c r="U7" s="53" t="s">
        <v>2088</v>
      </c>
      <c r="V7" s="6" t="s">
        <v>3958</v>
      </c>
      <c r="W7" s="6" t="s">
        <v>554</v>
      </c>
      <c r="X7" s="103" t="n">
        <f aca="false">IF($O7="Active",SUMPRODUCT(($B$5:$B$400=$B7)*($G$5:$G$400=$G7)*($H$5:$H$400=$H7)*($O$5:$O$400="Active")),0)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1</v>
      </c>
    </row>
    <row r="8" customFormat="false" ht="29.85" hidden="false" customHeight="false" outlineLevel="0" collapsed="false">
      <c r="A8" s="53" t="s">
        <v>2808</v>
      </c>
      <c r="B8" s="6" t="s">
        <v>3959</v>
      </c>
      <c r="C8" s="128" t="n">
        <v>7168</v>
      </c>
      <c r="D8" s="52"/>
      <c r="E8" s="52"/>
      <c r="F8" s="52" t="s">
        <v>3960</v>
      </c>
      <c r="G8" s="53" t="s">
        <v>554</v>
      </c>
      <c r="H8" s="53" t="s">
        <v>3949</v>
      </c>
      <c r="I8" s="53" t="s">
        <v>3615</v>
      </c>
      <c r="J8" s="6" t="s">
        <v>3950</v>
      </c>
      <c r="K8" s="52" t="n">
        <v>3</v>
      </c>
      <c r="L8" s="52" t="s">
        <v>3604</v>
      </c>
      <c r="M8" s="6" t="s">
        <v>3951</v>
      </c>
      <c r="N8" s="52" t="s">
        <v>3618</v>
      </c>
      <c r="O8" s="53" t="s">
        <v>3607</v>
      </c>
      <c r="P8" s="53" t="s">
        <v>554</v>
      </c>
      <c r="Q8" s="53" t="s">
        <v>3952</v>
      </c>
      <c r="R8" s="53" t="s">
        <v>554</v>
      </c>
      <c r="S8" s="53" t="s">
        <v>554</v>
      </c>
      <c r="T8" s="53" t="s">
        <v>554</v>
      </c>
      <c r="U8" s="53" t="s">
        <v>2088</v>
      </c>
      <c r="V8" s="6" t="s">
        <v>3961</v>
      </c>
      <c r="W8" s="6" t="s">
        <v>554</v>
      </c>
      <c r="X8" s="103" t="n">
        <f aca="false">IF($O8="Active",SUMPRODUCT(($B$5:$B$400=$B8)*($G$5:$G$400=$G8)*($H$5:$H$400=$H8)*($O$5:$O$400="Active")),0)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</row>
    <row r="9" customFormat="false" ht="29.85" hidden="false" customHeight="false" outlineLevel="0" collapsed="false">
      <c r="A9" s="53" t="s">
        <v>2763</v>
      </c>
      <c r="B9" s="6" t="s">
        <v>3962</v>
      </c>
      <c r="C9" s="128" t="n">
        <v>284</v>
      </c>
      <c r="D9" s="52"/>
      <c r="E9" s="52"/>
      <c r="F9" s="53" t="s">
        <v>225</v>
      </c>
      <c r="G9" s="53" t="s">
        <v>554</v>
      </c>
      <c r="H9" s="53" t="s">
        <v>3963</v>
      </c>
      <c r="I9" s="53" t="s">
        <v>3615</v>
      </c>
      <c r="J9" s="6" t="s">
        <v>3950</v>
      </c>
      <c r="K9" s="52" t="n">
        <v>3</v>
      </c>
      <c r="L9" s="52" t="s">
        <v>3604</v>
      </c>
      <c r="M9" s="6" t="s">
        <v>3951</v>
      </c>
      <c r="N9" s="52" t="s">
        <v>3618</v>
      </c>
      <c r="O9" s="53" t="s">
        <v>3607</v>
      </c>
      <c r="P9" s="53" t="s">
        <v>554</v>
      </c>
      <c r="Q9" s="53" t="s">
        <v>3952</v>
      </c>
      <c r="R9" s="53" t="s">
        <v>554</v>
      </c>
      <c r="S9" s="53" t="s">
        <v>554</v>
      </c>
      <c r="T9" s="53" t="s">
        <v>554</v>
      </c>
      <c r="U9" s="53" t="s">
        <v>2088</v>
      </c>
      <c r="V9" s="6" t="s">
        <v>3964</v>
      </c>
      <c r="W9" s="6" t="s">
        <v>554</v>
      </c>
      <c r="X9" s="103" t="n">
        <f aca="false">IF($O9="Active",SUMPRODUCT(($B$5:$B$400=$B9)*($G$5:$G$400=$G9)*($H$5:$H$400=$H9)*($O$5:$O$400="Active")),0)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</row>
    <row r="10" customFormat="false" ht="29.85" hidden="false" customHeight="false" outlineLevel="0" collapsed="false">
      <c r="A10" s="53" t="s">
        <v>2768</v>
      </c>
      <c r="B10" s="6" t="s">
        <v>3965</v>
      </c>
      <c r="C10" s="128" t="n">
        <v>13</v>
      </c>
      <c r="D10" s="52"/>
      <c r="E10" s="52"/>
      <c r="F10" s="53" t="s">
        <v>225</v>
      </c>
      <c r="G10" s="53" t="s">
        <v>554</v>
      </c>
      <c r="H10" s="53" t="s">
        <v>3963</v>
      </c>
      <c r="I10" s="53" t="s">
        <v>3615</v>
      </c>
      <c r="J10" s="6" t="s">
        <v>3950</v>
      </c>
      <c r="K10" s="52" t="n">
        <v>3</v>
      </c>
      <c r="L10" s="52" t="s">
        <v>3604</v>
      </c>
      <c r="M10" s="6" t="s">
        <v>3951</v>
      </c>
      <c r="N10" s="52" t="s">
        <v>3618</v>
      </c>
      <c r="O10" s="53" t="s">
        <v>3607</v>
      </c>
      <c r="P10" s="53" t="s">
        <v>554</v>
      </c>
      <c r="Q10" s="53" t="s">
        <v>3952</v>
      </c>
      <c r="R10" s="53" t="s">
        <v>554</v>
      </c>
      <c r="S10" s="53" t="s">
        <v>554</v>
      </c>
      <c r="T10" s="53" t="s">
        <v>554</v>
      </c>
      <c r="U10" s="53" t="s">
        <v>2088</v>
      </c>
      <c r="V10" s="6" t="s">
        <v>3966</v>
      </c>
      <c r="W10" s="6" t="s">
        <v>554</v>
      </c>
      <c r="X10" s="103" t="n">
        <f aca="false">IF($O10="Active",SUMPRODUCT(($B$5:$B$400=$B10)*($G$5:$G$400=$G10)*($H$5:$H$400=$H10)*($O$5:$O$400="Active")),0)</f>
        <v>1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1</v>
      </c>
    </row>
    <row r="11" customFormat="false" ht="44" hidden="false" customHeight="false" outlineLevel="0" collapsed="false">
      <c r="A11" s="53" t="s">
        <v>2773</v>
      </c>
      <c r="B11" s="6" t="s">
        <v>3967</v>
      </c>
      <c r="C11" s="128" t="n">
        <v>43</v>
      </c>
      <c r="D11" s="52"/>
      <c r="E11" s="52"/>
      <c r="F11" s="52" t="s">
        <v>231</v>
      </c>
      <c r="G11" s="52" t="s">
        <v>3618</v>
      </c>
      <c r="H11" s="53" t="s">
        <v>3968</v>
      </c>
      <c r="I11" s="53" t="s">
        <v>554</v>
      </c>
      <c r="J11" s="6" t="s">
        <v>3969</v>
      </c>
      <c r="K11" s="52" t="n">
        <v>3</v>
      </c>
      <c r="L11" s="52" t="s">
        <v>3604</v>
      </c>
      <c r="M11" s="6" t="s">
        <v>3970</v>
      </c>
      <c r="N11" s="52" t="s">
        <v>3606</v>
      </c>
      <c r="O11" s="53" t="s">
        <v>3607</v>
      </c>
      <c r="P11" s="53" t="s">
        <v>554</v>
      </c>
      <c r="Q11" s="53" t="s">
        <v>3971</v>
      </c>
      <c r="R11" s="53" t="s">
        <v>554</v>
      </c>
      <c r="S11" s="53" t="s">
        <v>554</v>
      </c>
      <c r="T11" s="53" t="s">
        <v>554</v>
      </c>
      <c r="U11" s="53" t="s">
        <v>3972</v>
      </c>
      <c r="V11" s="6" t="s">
        <v>3973</v>
      </c>
      <c r="W11" s="6" t="s">
        <v>554</v>
      </c>
      <c r="X11" s="103" t="n">
        <f aca="false">IF($O11="Active",SUMPRODUCT(($B$5:$B$400=$B11)*($G$5:$G$400=$G11)*($H$5:$H$400=$H11)*($O$5:$O$400="Active")),0)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</row>
    <row r="12" customFormat="false" ht="44" hidden="false" customHeight="false" outlineLevel="0" collapsed="false">
      <c r="A12" s="53" t="s">
        <v>2810</v>
      </c>
      <c r="B12" s="6" t="s">
        <v>3974</v>
      </c>
      <c r="C12" s="128" t="n">
        <v>128</v>
      </c>
      <c r="D12" s="52"/>
      <c r="E12" s="52"/>
      <c r="F12" s="52" t="s">
        <v>340</v>
      </c>
      <c r="G12" s="53" t="s">
        <v>554</v>
      </c>
      <c r="H12" s="53" t="s">
        <v>3975</v>
      </c>
      <c r="I12" s="53" t="s">
        <v>554</v>
      </c>
      <c r="J12" s="6" t="s">
        <v>3969</v>
      </c>
      <c r="K12" s="52" t="n">
        <v>3</v>
      </c>
      <c r="L12" s="52" t="s">
        <v>3604</v>
      </c>
      <c r="M12" s="6" t="s">
        <v>3970</v>
      </c>
      <c r="N12" s="52" t="s">
        <v>3606</v>
      </c>
      <c r="O12" s="53" t="s">
        <v>3607</v>
      </c>
      <c r="P12" s="53" t="s">
        <v>554</v>
      </c>
      <c r="Q12" s="53" t="s">
        <v>3971</v>
      </c>
      <c r="R12" s="53" t="s">
        <v>554</v>
      </c>
      <c r="S12" s="53" t="s">
        <v>554</v>
      </c>
      <c r="T12" s="53" t="s">
        <v>554</v>
      </c>
      <c r="U12" s="53" t="s">
        <v>3972</v>
      </c>
      <c r="V12" s="6" t="s">
        <v>3976</v>
      </c>
      <c r="W12" s="6" t="s">
        <v>3977</v>
      </c>
      <c r="X12" s="103" t="n">
        <f aca="false">IF($O12="Active",SUMPRODUCT(($B$5:$B$400=$B12)*($G$5:$G$400=$G12)*($H$5:$H$400=$H12)*($O$5:$O$400="Active")),0)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</row>
    <row r="13" customFormat="false" ht="44" hidden="false" customHeight="false" outlineLevel="0" collapsed="false">
      <c r="A13" s="53" t="s">
        <v>2777</v>
      </c>
      <c r="B13" s="6" t="s">
        <v>3978</v>
      </c>
      <c r="C13" s="128" t="n">
        <v>512</v>
      </c>
      <c r="D13" s="52"/>
      <c r="E13" s="52"/>
      <c r="F13" s="52" t="s">
        <v>3960</v>
      </c>
      <c r="G13" s="52" t="s">
        <v>3979</v>
      </c>
      <c r="H13" s="53" t="s">
        <v>3980</v>
      </c>
      <c r="I13" s="53" t="s">
        <v>554</v>
      </c>
      <c r="J13" s="6" t="s">
        <v>3969</v>
      </c>
      <c r="K13" s="52" t="n">
        <v>3</v>
      </c>
      <c r="L13" s="52" t="s">
        <v>3604</v>
      </c>
      <c r="M13" s="6" t="s">
        <v>3970</v>
      </c>
      <c r="N13" s="52" t="s">
        <v>3606</v>
      </c>
      <c r="O13" s="53" t="s">
        <v>3607</v>
      </c>
      <c r="P13" s="53" t="s">
        <v>554</v>
      </c>
      <c r="Q13" s="53" t="s">
        <v>3971</v>
      </c>
      <c r="R13" s="53" t="s">
        <v>554</v>
      </c>
      <c r="S13" s="53" t="s">
        <v>554</v>
      </c>
      <c r="T13" s="53" t="s">
        <v>554</v>
      </c>
      <c r="U13" s="53" t="s">
        <v>3972</v>
      </c>
      <c r="V13" s="6" t="s">
        <v>3981</v>
      </c>
      <c r="W13" s="6" t="s">
        <v>554</v>
      </c>
      <c r="X13" s="103" t="n">
        <f aca="false">IF($O13="Active",SUMPRODUCT(($B$5:$B$400=$B13)*($G$5:$G$400=$G13)*($H$5:$H$400=$H13)*($O$5:$O$400="Active")),0)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</row>
    <row r="14" customFormat="false" ht="44" hidden="false" customHeight="false" outlineLevel="0" collapsed="false">
      <c r="A14" s="53" t="s">
        <v>2780</v>
      </c>
      <c r="B14" s="6" t="s">
        <v>3982</v>
      </c>
      <c r="C14" s="128" t="n">
        <v>256</v>
      </c>
      <c r="D14" s="52"/>
      <c r="E14" s="52"/>
      <c r="F14" s="52" t="s">
        <v>340</v>
      </c>
      <c r="G14" s="53" t="s">
        <v>554</v>
      </c>
      <c r="H14" s="53" t="s">
        <v>3968</v>
      </c>
      <c r="I14" s="53" t="s">
        <v>554</v>
      </c>
      <c r="J14" s="6" t="s">
        <v>3969</v>
      </c>
      <c r="K14" s="52" t="n">
        <v>3</v>
      </c>
      <c r="L14" s="52" t="s">
        <v>3604</v>
      </c>
      <c r="M14" s="6" t="s">
        <v>3970</v>
      </c>
      <c r="N14" s="52" t="s">
        <v>3606</v>
      </c>
      <c r="O14" s="53" t="s">
        <v>3607</v>
      </c>
      <c r="P14" s="53" t="s">
        <v>554</v>
      </c>
      <c r="Q14" s="53" t="s">
        <v>3971</v>
      </c>
      <c r="R14" s="53" t="s">
        <v>554</v>
      </c>
      <c r="S14" s="53" t="s">
        <v>554</v>
      </c>
      <c r="T14" s="53" t="s">
        <v>554</v>
      </c>
      <c r="U14" s="53" t="s">
        <v>3972</v>
      </c>
      <c r="V14" s="6" t="s">
        <v>3983</v>
      </c>
      <c r="W14" s="6" t="s">
        <v>554</v>
      </c>
      <c r="X14" s="103" t="n">
        <f aca="false">IF($O14="Active",SUMPRODUCT(($B$5:$B$400=$B14)*($G$5:$G$400=$G14)*($H$5:$H$400=$H14)*($O$5:$O$400="Active")),0)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</row>
    <row r="15" customFormat="false" ht="44" hidden="false" customHeight="false" outlineLevel="0" collapsed="false">
      <c r="A15" s="53" t="s">
        <v>2782</v>
      </c>
      <c r="B15" s="6" t="s">
        <v>3984</v>
      </c>
      <c r="C15" s="128" t="n">
        <v>384</v>
      </c>
      <c r="D15" s="52"/>
      <c r="E15" s="52"/>
      <c r="F15" s="52" t="s">
        <v>340</v>
      </c>
      <c r="G15" s="53" t="s">
        <v>554</v>
      </c>
      <c r="H15" s="53" t="s">
        <v>3975</v>
      </c>
      <c r="I15" s="53" t="s">
        <v>554</v>
      </c>
      <c r="J15" s="6" t="s">
        <v>3969</v>
      </c>
      <c r="K15" s="52" t="n">
        <v>3</v>
      </c>
      <c r="L15" s="52" t="s">
        <v>3604</v>
      </c>
      <c r="M15" s="6" t="s">
        <v>3970</v>
      </c>
      <c r="N15" s="52" t="s">
        <v>3606</v>
      </c>
      <c r="O15" s="53" t="s">
        <v>3607</v>
      </c>
      <c r="P15" s="53" t="s">
        <v>554</v>
      </c>
      <c r="Q15" s="53" t="s">
        <v>3971</v>
      </c>
      <c r="R15" s="53" t="s">
        <v>554</v>
      </c>
      <c r="S15" s="53" t="s">
        <v>554</v>
      </c>
      <c r="T15" s="53" t="s">
        <v>554</v>
      </c>
      <c r="U15" s="53" t="s">
        <v>3972</v>
      </c>
      <c r="V15" s="6" t="s">
        <v>3985</v>
      </c>
      <c r="W15" s="6" t="s">
        <v>554</v>
      </c>
      <c r="X15" s="103" t="n">
        <f aca="false">IF($O15="Active",SUMPRODUCT(($B$5:$B$400=$B15)*($G$5:$G$400=$G15)*($H$5:$H$400=$H15)*($O$5:$O$400="Active")),0)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</row>
    <row r="16" customFormat="false" ht="44" hidden="false" customHeight="false" outlineLevel="0" collapsed="false">
      <c r="A16" s="53" t="s">
        <v>2784</v>
      </c>
      <c r="B16" s="6" t="s">
        <v>3986</v>
      </c>
      <c r="C16" s="128" t="n">
        <v>6</v>
      </c>
      <c r="D16" s="52"/>
      <c r="E16" s="52"/>
      <c r="F16" s="52" t="s">
        <v>340</v>
      </c>
      <c r="G16" s="53" t="s">
        <v>554</v>
      </c>
      <c r="H16" s="53" t="s">
        <v>3980</v>
      </c>
      <c r="I16" s="53" t="s">
        <v>554</v>
      </c>
      <c r="J16" s="6" t="s">
        <v>3969</v>
      </c>
      <c r="K16" s="52" t="n">
        <v>3</v>
      </c>
      <c r="L16" s="52" t="s">
        <v>3604</v>
      </c>
      <c r="M16" s="6" t="s">
        <v>3970</v>
      </c>
      <c r="N16" s="52" t="s">
        <v>3606</v>
      </c>
      <c r="O16" s="53" t="s">
        <v>3607</v>
      </c>
      <c r="P16" s="53" t="s">
        <v>554</v>
      </c>
      <c r="Q16" s="53" t="s">
        <v>3971</v>
      </c>
      <c r="R16" s="53" t="s">
        <v>554</v>
      </c>
      <c r="S16" s="53" t="s">
        <v>554</v>
      </c>
      <c r="T16" s="53" t="s">
        <v>554</v>
      </c>
      <c r="U16" s="53" t="s">
        <v>3972</v>
      </c>
      <c r="V16" s="6" t="s">
        <v>3987</v>
      </c>
      <c r="W16" s="6" t="s">
        <v>554</v>
      </c>
      <c r="X16" s="103" t="n">
        <f aca="false">IF($O16="Active",SUMPRODUCT(($B$5:$B$400=$B16)*($G$5:$G$400=$G16)*($H$5:$H$400=$H16)*($O$5:$O$400="Active")),0)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</row>
    <row r="17" customFormat="false" ht="44" hidden="false" customHeight="false" outlineLevel="0" collapsed="false">
      <c r="A17" s="53" t="s">
        <v>2788</v>
      </c>
      <c r="B17" s="6" t="s">
        <v>3988</v>
      </c>
      <c r="C17" s="128" t="n">
        <v>1</v>
      </c>
      <c r="D17" s="52"/>
      <c r="E17" s="52"/>
      <c r="F17" s="52" t="s">
        <v>340</v>
      </c>
      <c r="G17" s="53" t="s">
        <v>554</v>
      </c>
      <c r="H17" s="53" t="s">
        <v>3980</v>
      </c>
      <c r="I17" s="53" t="s">
        <v>554</v>
      </c>
      <c r="J17" s="6" t="s">
        <v>3969</v>
      </c>
      <c r="K17" s="52" t="n">
        <v>3</v>
      </c>
      <c r="L17" s="52" t="s">
        <v>3604</v>
      </c>
      <c r="M17" s="6" t="s">
        <v>3970</v>
      </c>
      <c r="N17" s="52" t="s">
        <v>3606</v>
      </c>
      <c r="O17" s="53" t="s">
        <v>3607</v>
      </c>
      <c r="P17" s="53" t="s">
        <v>554</v>
      </c>
      <c r="Q17" s="53" t="s">
        <v>3971</v>
      </c>
      <c r="R17" s="53" t="s">
        <v>554</v>
      </c>
      <c r="S17" s="53" t="s">
        <v>554</v>
      </c>
      <c r="T17" s="53" t="s">
        <v>554</v>
      </c>
      <c r="U17" s="53" t="s">
        <v>3972</v>
      </c>
      <c r="V17" s="6" t="s">
        <v>3989</v>
      </c>
      <c r="W17" s="6" t="s">
        <v>554</v>
      </c>
      <c r="X17" s="103" t="n">
        <f aca="false">IF($O17="Active",SUMPRODUCT(($B$5:$B$400=$B17)*($G$5:$G$400=$G17)*($H$5:$H$400=$H17)*($O$5:$O$400="Active")),0)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1</v>
      </c>
    </row>
    <row r="18" customFormat="false" ht="44" hidden="false" customHeight="false" outlineLevel="0" collapsed="false">
      <c r="A18" s="53" t="s">
        <v>2792</v>
      </c>
      <c r="B18" s="6" t="s">
        <v>3990</v>
      </c>
      <c r="C18" s="128" t="n">
        <v>129280</v>
      </c>
      <c r="D18" s="52"/>
      <c r="E18" s="52"/>
      <c r="F18" s="53" t="s">
        <v>3991</v>
      </c>
      <c r="G18" s="53" t="s">
        <v>554</v>
      </c>
      <c r="H18" s="53" t="s">
        <v>3980</v>
      </c>
      <c r="I18" s="53" t="s">
        <v>554</v>
      </c>
      <c r="J18" s="6" t="s">
        <v>3969</v>
      </c>
      <c r="K18" s="52" t="n">
        <v>3</v>
      </c>
      <c r="L18" s="52" t="s">
        <v>3604</v>
      </c>
      <c r="M18" s="6" t="s">
        <v>3970</v>
      </c>
      <c r="N18" s="52" t="s">
        <v>3606</v>
      </c>
      <c r="O18" s="53" t="s">
        <v>3607</v>
      </c>
      <c r="P18" s="53" t="s">
        <v>554</v>
      </c>
      <c r="Q18" s="53" t="s">
        <v>3971</v>
      </c>
      <c r="R18" s="53" t="s">
        <v>554</v>
      </c>
      <c r="S18" s="53" t="s">
        <v>554</v>
      </c>
      <c r="T18" s="53" t="s">
        <v>554</v>
      </c>
      <c r="U18" s="53" t="s">
        <v>3972</v>
      </c>
      <c r="V18" s="6" t="s">
        <v>3992</v>
      </c>
      <c r="W18" s="6" t="s">
        <v>554</v>
      </c>
      <c r="X18" s="103" t="n">
        <f aca="false">IF($O18="Active",SUMPRODUCT(($B$5:$B$400=$B18)*($G$5:$G$400=$G18)*($H$5:$H$400=$H18)*($O$5:$O$400="Active")),0)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1</v>
      </c>
    </row>
    <row r="19" customFormat="false" ht="44" hidden="false" customHeight="false" outlineLevel="0" collapsed="false">
      <c r="A19" s="53" t="s">
        <v>2797</v>
      </c>
      <c r="B19" s="6" t="s">
        <v>3993</v>
      </c>
      <c r="C19" s="128" t="n">
        <v>0.5</v>
      </c>
      <c r="D19" s="52"/>
      <c r="E19" s="52"/>
      <c r="F19" s="53" t="s">
        <v>69</v>
      </c>
      <c r="G19" s="52" t="s">
        <v>3682</v>
      </c>
      <c r="H19" s="53" t="s">
        <v>3980</v>
      </c>
      <c r="I19" s="53" t="s">
        <v>554</v>
      </c>
      <c r="J19" s="6" t="s">
        <v>3969</v>
      </c>
      <c r="K19" s="52" t="n">
        <v>3</v>
      </c>
      <c r="L19" s="52" t="s">
        <v>3604</v>
      </c>
      <c r="M19" s="6" t="s">
        <v>3970</v>
      </c>
      <c r="N19" s="52" t="s">
        <v>3606</v>
      </c>
      <c r="O19" s="53" t="s">
        <v>3607</v>
      </c>
      <c r="P19" s="53" t="s">
        <v>554</v>
      </c>
      <c r="Q19" s="53" t="s">
        <v>3971</v>
      </c>
      <c r="R19" s="53" t="s">
        <v>554</v>
      </c>
      <c r="S19" s="53" t="s">
        <v>554</v>
      </c>
      <c r="T19" s="53" t="s">
        <v>554</v>
      </c>
      <c r="U19" s="53" t="s">
        <v>3972</v>
      </c>
      <c r="V19" s="6" t="s">
        <v>3994</v>
      </c>
      <c r="W19" s="6" t="s">
        <v>554</v>
      </c>
      <c r="X19" s="103" t="n">
        <f aca="false">IF($O19="Active",SUMPRODUCT(($B$5:$B$400=$B19)*($G$5:$G$400=$G19)*($H$5:$H$400=$H19)*($O$5:$O$400="Active")),0)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1</v>
      </c>
    </row>
    <row r="20" customFormat="false" ht="44" hidden="false" customHeight="false" outlineLevel="0" collapsed="false">
      <c r="A20" s="53" t="s">
        <v>2801</v>
      </c>
      <c r="B20" s="6" t="s">
        <v>3995</v>
      </c>
      <c r="C20" s="128" t="n">
        <v>128</v>
      </c>
      <c r="D20" s="52"/>
      <c r="E20" s="52"/>
      <c r="F20" s="53" t="s">
        <v>73</v>
      </c>
      <c r="G20" s="53" t="s">
        <v>554</v>
      </c>
      <c r="H20" s="53" t="s">
        <v>3980</v>
      </c>
      <c r="I20" s="53" t="s">
        <v>554</v>
      </c>
      <c r="J20" s="6" t="s">
        <v>3969</v>
      </c>
      <c r="K20" s="52" t="n">
        <v>3</v>
      </c>
      <c r="L20" s="52" t="s">
        <v>3604</v>
      </c>
      <c r="M20" s="6" t="s">
        <v>3970</v>
      </c>
      <c r="N20" s="52" t="s">
        <v>3606</v>
      </c>
      <c r="O20" s="53" t="s">
        <v>3607</v>
      </c>
      <c r="P20" s="53" t="s">
        <v>554</v>
      </c>
      <c r="Q20" s="53" t="s">
        <v>3971</v>
      </c>
      <c r="R20" s="53" t="s">
        <v>554</v>
      </c>
      <c r="S20" s="53" t="s">
        <v>554</v>
      </c>
      <c r="T20" s="53" t="s">
        <v>554</v>
      </c>
      <c r="U20" s="53" t="s">
        <v>3972</v>
      </c>
      <c r="V20" s="6" t="s">
        <v>3996</v>
      </c>
      <c r="W20" s="6" t="s">
        <v>554</v>
      </c>
      <c r="X20" s="103" t="n">
        <f aca="false">IF($O20="Active",SUMPRODUCT(($B$5:$B$400=$B20)*($G$5:$G$400=$G20)*($H$5:$H$400=$H20)*($O$5:$O$400="Active")),0)</f>
        <v>1</v>
      </c>
      <c r="Y20" s="103" t="n">
        <f aca="false">IF(AND($O20="Active",OR($Q20="—",$Q20="")),1,0)</f>
        <v>0</v>
      </c>
      <c r="Z20" s="103" t="n">
        <f aca="false">IF(AND($O20="Active",$L20="利害關係方",OR($R20="—",$R20="")),1,0)</f>
        <v>1</v>
      </c>
    </row>
    <row r="21" customFormat="false" ht="44" hidden="false" customHeight="false" outlineLevel="0" collapsed="false">
      <c r="A21" s="53" t="s">
        <v>2805</v>
      </c>
      <c r="B21" s="6" t="s">
        <v>3997</v>
      </c>
      <c r="C21" s="128" t="n">
        <v>128</v>
      </c>
      <c r="D21" s="52"/>
      <c r="E21" s="52"/>
      <c r="F21" s="53" t="s">
        <v>248</v>
      </c>
      <c r="G21" s="53" t="s">
        <v>554</v>
      </c>
      <c r="H21" s="53" t="s">
        <v>3980</v>
      </c>
      <c r="I21" s="53" t="s">
        <v>554</v>
      </c>
      <c r="J21" s="6" t="s">
        <v>3969</v>
      </c>
      <c r="K21" s="52" t="n">
        <v>3</v>
      </c>
      <c r="L21" s="52" t="s">
        <v>3604</v>
      </c>
      <c r="M21" s="6" t="s">
        <v>3970</v>
      </c>
      <c r="N21" s="52" t="s">
        <v>3606</v>
      </c>
      <c r="O21" s="53" t="s">
        <v>3607</v>
      </c>
      <c r="P21" s="53" t="s">
        <v>554</v>
      </c>
      <c r="Q21" s="53" t="s">
        <v>3971</v>
      </c>
      <c r="R21" s="53" t="s">
        <v>554</v>
      </c>
      <c r="S21" s="53" t="s">
        <v>554</v>
      </c>
      <c r="T21" s="53" t="s">
        <v>554</v>
      </c>
      <c r="U21" s="53" t="s">
        <v>3972</v>
      </c>
      <c r="V21" s="6" t="s">
        <v>3998</v>
      </c>
      <c r="W21" s="6" t="s">
        <v>554</v>
      </c>
      <c r="X21" s="103" t="n">
        <f aca="false">IF($O21="Active",SUMPRODUCT(($B$5:$B$400=$B21)*($G$5:$G$400=$G21)*($H$5:$H$400=$H21)*($O$5:$O$400="Active")),0)</f>
        <v>1</v>
      </c>
      <c r="Y21" s="103" t="n">
        <f aca="false">IF(AND($O21="Active",OR($Q21="—",$Q21="")),1,0)</f>
        <v>0</v>
      </c>
      <c r="Z21" s="103" t="n">
        <f aca="false">IF(AND($O21="Active",$L21="利害關係方",OR($R21="—",$R21="")),1,0)</f>
        <v>1</v>
      </c>
    </row>
    <row r="22" customFormat="false" ht="44" hidden="false" customHeight="false" outlineLevel="0" collapsed="false">
      <c r="A22" s="53" t="s">
        <v>2819</v>
      </c>
      <c r="B22" s="6" t="s">
        <v>3999</v>
      </c>
      <c r="C22" s="128" t="n">
        <v>1024</v>
      </c>
      <c r="D22" s="52"/>
      <c r="E22" s="52"/>
      <c r="F22" s="52" t="s">
        <v>4000</v>
      </c>
      <c r="G22" s="53" t="s">
        <v>554</v>
      </c>
      <c r="H22" s="53" t="s">
        <v>3980</v>
      </c>
      <c r="I22" s="53" t="s">
        <v>554</v>
      </c>
      <c r="J22" s="6" t="s">
        <v>3969</v>
      </c>
      <c r="K22" s="52" t="n">
        <v>3</v>
      </c>
      <c r="L22" s="52" t="s">
        <v>3604</v>
      </c>
      <c r="M22" s="6" t="s">
        <v>3970</v>
      </c>
      <c r="N22" s="52" t="s">
        <v>3606</v>
      </c>
      <c r="O22" s="53" t="s">
        <v>3607</v>
      </c>
      <c r="P22" s="53" t="s">
        <v>554</v>
      </c>
      <c r="Q22" s="53" t="s">
        <v>3971</v>
      </c>
      <c r="R22" s="53" t="s">
        <v>554</v>
      </c>
      <c r="S22" s="53" t="s">
        <v>554</v>
      </c>
      <c r="T22" s="53" t="s">
        <v>554</v>
      </c>
      <c r="U22" s="53" t="s">
        <v>3972</v>
      </c>
      <c r="V22" s="6" t="s">
        <v>4001</v>
      </c>
      <c r="W22" s="6" t="s">
        <v>4002</v>
      </c>
      <c r="X22" s="103" t="n">
        <f aca="false">IF($O22="Active",SUMPRODUCT(($B$5:$B$400=$B22)*($G$5:$G$400=$G22)*($H$5:$H$400=$H22)*($O$5:$O$400="Active")),0)</f>
        <v>1</v>
      </c>
      <c r="Y22" s="103" t="n">
        <f aca="false">IF(AND($O22="Active",OR($Q22="—",$Q22="")),1,0)</f>
        <v>0</v>
      </c>
      <c r="Z22" s="103" t="n">
        <f aca="false">IF(AND($O22="Active",$L22="利害關係方",OR($R22="—",$R22="")),1,0)</f>
        <v>1</v>
      </c>
    </row>
    <row r="23" customFormat="false" ht="44" hidden="false" customHeight="false" outlineLevel="0" collapsed="false">
      <c r="A23" s="53" t="s">
        <v>4003</v>
      </c>
      <c r="B23" s="6" t="s">
        <v>4004</v>
      </c>
      <c r="C23" s="128" t="n">
        <v>4</v>
      </c>
      <c r="D23" s="52"/>
      <c r="E23" s="52"/>
      <c r="F23" s="53" t="s">
        <v>4005</v>
      </c>
      <c r="G23" s="53" t="s">
        <v>554</v>
      </c>
      <c r="H23" s="53" t="s">
        <v>3980</v>
      </c>
      <c r="I23" s="53" t="s">
        <v>554</v>
      </c>
      <c r="J23" s="6" t="s">
        <v>3969</v>
      </c>
      <c r="K23" s="52" t="n">
        <v>3</v>
      </c>
      <c r="L23" s="52" t="s">
        <v>3604</v>
      </c>
      <c r="M23" s="6" t="s">
        <v>3970</v>
      </c>
      <c r="N23" s="52" t="s">
        <v>3606</v>
      </c>
      <c r="O23" s="53" t="s">
        <v>3607</v>
      </c>
      <c r="P23" s="53" t="s">
        <v>554</v>
      </c>
      <c r="Q23" s="53" t="s">
        <v>3971</v>
      </c>
      <c r="R23" s="53" t="s">
        <v>554</v>
      </c>
      <c r="S23" s="53" t="s">
        <v>554</v>
      </c>
      <c r="T23" s="53" t="s">
        <v>554</v>
      </c>
      <c r="U23" s="53" t="s">
        <v>3972</v>
      </c>
      <c r="V23" s="6" t="s">
        <v>4001</v>
      </c>
      <c r="W23" s="6" t="s">
        <v>554</v>
      </c>
      <c r="X23" s="103" t="n">
        <f aca="false">IF($O23="Active",SUMPRODUCT(($B$5:$B$400=$B23)*($G$5:$G$400=$G23)*($H$5:$H$400=$H23)*($O$5:$O$400="Active")),0)</f>
        <v>1</v>
      </c>
      <c r="Y23" s="103" t="n">
        <f aca="false">IF(AND($O23="Active",OR($Q23="—",$Q23="")),1,0)</f>
        <v>0</v>
      </c>
      <c r="Z23" s="103" t="n">
        <f aca="false">IF(AND($O23="Active",$L23="利害關係方",OR($R23="—",$R23="")),1,0)</f>
        <v>1</v>
      </c>
    </row>
    <row r="24" customFormat="false" ht="44" hidden="false" customHeight="false" outlineLevel="0" collapsed="false">
      <c r="A24" s="53" t="s">
        <v>3106</v>
      </c>
      <c r="B24" s="6" t="s">
        <v>4006</v>
      </c>
      <c r="C24" s="128" t="n">
        <v>671</v>
      </c>
      <c r="D24" s="52"/>
      <c r="E24" s="52"/>
      <c r="F24" s="53" t="s">
        <v>225</v>
      </c>
      <c r="G24" s="53" t="s">
        <v>554</v>
      </c>
      <c r="H24" s="53" t="s">
        <v>4007</v>
      </c>
      <c r="I24" s="53" t="s">
        <v>554</v>
      </c>
      <c r="J24" s="6" t="s">
        <v>3969</v>
      </c>
      <c r="K24" s="52" t="n">
        <v>3</v>
      </c>
      <c r="L24" s="52" t="s">
        <v>3604</v>
      </c>
      <c r="M24" s="6" t="s">
        <v>3970</v>
      </c>
      <c r="N24" s="52" t="s">
        <v>3606</v>
      </c>
      <c r="O24" s="53" t="s">
        <v>3607</v>
      </c>
      <c r="P24" s="53" t="s">
        <v>554</v>
      </c>
      <c r="Q24" s="53" t="s">
        <v>3971</v>
      </c>
      <c r="R24" s="53" t="s">
        <v>554</v>
      </c>
      <c r="S24" s="53" t="s">
        <v>554</v>
      </c>
      <c r="T24" s="53" t="s">
        <v>554</v>
      </c>
      <c r="U24" s="53" t="s">
        <v>3972</v>
      </c>
      <c r="V24" s="6" t="s">
        <v>4008</v>
      </c>
      <c r="W24" s="6" t="s">
        <v>554</v>
      </c>
      <c r="X24" s="103" t="n">
        <f aca="false">IF($O24="Active",SUMPRODUCT(($B$5:$B$400=$B24)*($G$5:$G$400=$G24)*($H$5:$H$400=$H24)*($O$5:$O$400="Active")),0)</f>
        <v>1</v>
      </c>
      <c r="Y24" s="103" t="n">
        <f aca="false">IF(AND($O24="Active",OR($Q24="—",$Q24="")),1,0)</f>
        <v>0</v>
      </c>
      <c r="Z24" s="103" t="n">
        <f aca="false">IF(AND($O24="Active",$L24="利害關係方",OR($R24="—",$R24="")),1,0)</f>
        <v>1</v>
      </c>
    </row>
    <row r="25" customFormat="false" ht="44" hidden="false" customHeight="false" outlineLevel="0" collapsed="false">
      <c r="A25" s="53" t="s">
        <v>3109</v>
      </c>
      <c r="B25" s="6" t="s">
        <v>4009</v>
      </c>
      <c r="C25" s="128" t="n">
        <v>37</v>
      </c>
      <c r="D25" s="52"/>
      <c r="E25" s="52"/>
      <c r="F25" s="53" t="s">
        <v>225</v>
      </c>
      <c r="G25" s="53" t="s">
        <v>554</v>
      </c>
      <c r="H25" s="53" t="s">
        <v>4007</v>
      </c>
      <c r="I25" s="53" t="s">
        <v>554</v>
      </c>
      <c r="J25" s="6" t="s">
        <v>3969</v>
      </c>
      <c r="K25" s="52" t="n">
        <v>3</v>
      </c>
      <c r="L25" s="52" t="s">
        <v>3604</v>
      </c>
      <c r="M25" s="6" t="s">
        <v>3970</v>
      </c>
      <c r="N25" s="52" t="s">
        <v>3606</v>
      </c>
      <c r="O25" s="53" t="s">
        <v>3607</v>
      </c>
      <c r="P25" s="53" t="s">
        <v>554</v>
      </c>
      <c r="Q25" s="53" t="s">
        <v>3971</v>
      </c>
      <c r="R25" s="53" t="s">
        <v>554</v>
      </c>
      <c r="S25" s="53" t="s">
        <v>554</v>
      </c>
      <c r="T25" s="53" t="s">
        <v>554</v>
      </c>
      <c r="U25" s="53" t="s">
        <v>3972</v>
      </c>
      <c r="V25" s="6" t="s">
        <v>4010</v>
      </c>
      <c r="W25" s="6" t="s">
        <v>554</v>
      </c>
      <c r="X25" s="103" t="n">
        <f aca="false">IF($O25="Active",SUMPRODUCT(($B$5:$B$400=$B25)*($G$5:$G$400=$G25)*($H$5:$H$400=$H25)*($O$5:$O$400="Active")),0)</f>
        <v>1</v>
      </c>
      <c r="Y25" s="103" t="n">
        <f aca="false">IF(AND($O25="Active",OR($Q25="—",$Q25="")),1,0)</f>
        <v>0</v>
      </c>
      <c r="Z25" s="103" t="n">
        <f aca="false">IF(AND($O25="Active",$L25="利害關係方",OR($R25="—",$R25="")),1,0)</f>
        <v>1</v>
      </c>
    </row>
    <row r="26" customFormat="false" ht="44" hidden="false" customHeight="false" outlineLevel="0" collapsed="false">
      <c r="A26" s="53" t="s">
        <v>3112</v>
      </c>
      <c r="B26" s="6" t="s">
        <v>4011</v>
      </c>
      <c r="C26" s="128" t="n">
        <v>61</v>
      </c>
      <c r="D26" s="52"/>
      <c r="E26" s="52"/>
      <c r="F26" s="52" t="s">
        <v>231</v>
      </c>
      <c r="G26" s="53" t="s">
        <v>554</v>
      </c>
      <c r="H26" s="53" t="s">
        <v>4007</v>
      </c>
      <c r="I26" s="53" t="s">
        <v>554</v>
      </c>
      <c r="J26" s="6" t="s">
        <v>3969</v>
      </c>
      <c r="K26" s="52" t="n">
        <v>3</v>
      </c>
      <c r="L26" s="52" t="s">
        <v>3604</v>
      </c>
      <c r="M26" s="6" t="s">
        <v>3970</v>
      </c>
      <c r="N26" s="52" t="s">
        <v>3606</v>
      </c>
      <c r="O26" s="53" t="s">
        <v>3607</v>
      </c>
      <c r="P26" s="53" t="s">
        <v>554</v>
      </c>
      <c r="Q26" s="53" t="s">
        <v>3971</v>
      </c>
      <c r="R26" s="53" t="s">
        <v>554</v>
      </c>
      <c r="S26" s="53" t="s">
        <v>554</v>
      </c>
      <c r="T26" s="53" t="s">
        <v>554</v>
      </c>
      <c r="U26" s="53" t="s">
        <v>3972</v>
      </c>
      <c r="V26" s="6" t="s">
        <v>4012</v>
      </c>
      <c r="W26" s="6" t="s">
        <v>554</v>
      </c>
      <c r="X26" s="103" t="n">
        <f aca="false">IF($O26="Active",SUMPRODUCT(($B$5:$B$400=$B26)*($G$5:$G$400=$G26)*($H$5:$H$400=$H26)*($O$5:$O$400="Active")),0)</f>
        <v>1</v>
      </c>
      <c r="Y26" s="103" t="n">
        <f aca="false">IF(AND($O26="Active",OR($Q26="—",$Q26="")),1,0)</f>
        <v>0</v>
      </c>
      <c r="Z26" s="103" t="n">
        <f aca="false">IF(AND($O26="Active",$L26="利害關係方",OR($R26="—",$R26="")),1,0)</f>
        <v>1</v>
      </c>
    </row>
    <row r="27" customFormat="false" ht="44" hidden="false" customHeight="false" outlineLevel="0" collapsed="false">
      <c r="A27" s="53" t="s">
        <v>3115</v>
      </c>
      <c r="B27" s="6" t="s">
        <v>4013</v>
      </c>
      <c r="C27" s="128" t="n">
        <v>7168</v>
      </c>
      <c r="D27" s="52"/>
      <c r="E27" s="52"/>
      <c r="F27" s="52" t="s">
        <v>3960</v>
      </c>
      <c r="G27" s="53" t="s">
        <v>554</v>
      </c>
      <c r="H27" s="53" t="s">
        <v>4007</v>
      </c>
      <c r="I27" s="53" t="s">
        <v>554</v>
      </c>
      <c r="J27" s="6" t="s">
        <v>3969</v>
      </c>
      <c r="K27" s="52" t="n">
        <v>3</v>
      </c>
      <c r="L27" s="52" t="s">
        <v>3604</v>
      </c>
      <c r="M27" s="6" t="s">
        <v>3970</v>
      </c>
      <c r="N27" s="52" t="s">
        <v>3606</v>
      </c>
      <c r="O27" s="53" t="s">
        <v>3607</v>
      </c>
      <c r="P27" s="53" t="s">
        <v>554</v>
      </c>
      <c r="Q27" s="53" t="s">
        <v>3971</v>
      </c>
      <c r="R27" s="53" t="s">
        <v>554</v>
      </c>
      <c r="S27" s="53" t="s">
        <v>554</v>
      </c>
      <c r="T27" s="53" t="s">
        <v>554</v>
      </c>
      <c r="U27" s="53" t="s">
        <v>3972</v>
      </c>
      <c r="V27" s="6" t="s">
        <v>4014</v>
      </c>
      <c r="W27" s="6" t="s">
        <v>554</v>
      </c>
      <c r="X27" s="103" t="n">
        <f aca="false">IF($O27="Active",SUMPRODUCT(($B$5:$B$400=$B27)*($G$5:$G$400=$G27)*($H$5:$H$400=$H27)*($O$5:$O$400="Active")),0)</f>
        <v>1</v>
      </c>
      <c r="Y27" s="103" t="n">
        <f aca="false">IF(AND($O27="Active",OR($Q27="—",$Q27="")),1,0)</f>
        <v>0</v>
      </c>
      <c r="Z27" s="103" t="n">
        <f aca="false">IF(AND($O27="Active",$L27="利害關係方",OR($R27="—",$R27="")),1,0)</f>
        <v>1</v>
      </c>
    </row>
    <row r="28" customFormat="false" ht="44" hidden="false" customHeight="false" outlineLevel="0" collapsed="false">
      <c r="A28" s="53" t="s">
        <v>3118</v>
      </c>
      <c r="B28" s="6" t="s">
        <v>4015</v>
      </c>
      <c r="C28" s="128" t="n">
        <v>256</v>
      </c>
      <c r="D28" s="52"/>
      <c r="E28" s="52"/>
      <c r="F28" s="52" t="s">
        <v>340</v>
      </c>
      <c r="G28" s="53" t="s">
        <v>554</v>
      </c>
      <c r="H28" s="53" t="s">
        <v>4007</v>
      </c>
      <c r="I28" s="53" t="s">
        <v>554</v>
      </c>
      <c r="J28" s="6" t="s">
        <v>3969</v>
      </c>
      <c r="K28" s="52" t="n">
        <v>3</v>
      </c>
      <c r="L28" s="52" t="s">
        <v>3604</v>
      </c>
      <c r="M28" s="6" t="s">
        <v>3970</v>
      </c>
      <c r="N28" s="52" t="s">
        <v>3606</v>
      </c>
      <c r="O28" s="53" t="s">
        <v>3607</v>
      </c>
      <c r="P28" s="53" t="s">
        <v>554</v>
      </c>
      <c r="Q28" s="53" t="s">
        <v>3971</v>
      </c>
      <c r="R28" s="53" t="s">
        <v>554</v>
      </c>
      <c r="S28" s="53" t="s">
        <v>554</v>
      </c>
      <c r="T28" s="53" t="s">
        <v>554</v>
      </c>
      <c r="U28" s="53" t="s">
        <v>3972</v>
      </c>
      <c r="V28" s="6" t="s">
        <v>4016</v>
      </c>
      <c r="W28" s="6" t="s">
        <v>554</v>
      </c>
      <c r="X28" s="103" t="n">
        <f aca="false">IF($O28="Active",SUMPRODUCT(($B$5:$B$400=$B28)*($G$5:$G$400=$G28)*($H$5:$H$400=$H28)*($O$5:$O$400="Active")),0)</f>
        <v>1</v>
      </c>
      <c r="Y28" s="103" t="n">
        <f aca="false">IF(AND($O28="Active",OR($Q28="—",$Q28="")),1,0)</f>
        <v>0</v>
      </c>
      <c r="Z28" s="103" t="n">
        <f aca="false">IF(AND($O28="Active",$L28="利害關係方",OR($R28="—",$R28="")),1,0)</f>
        <v>1</v>
      </c>
    </row>
    <row r="29" customFormat="false" ht="44" hidden="false" customHeight="false" outlineLevel="0" collapsed="false">
      <c r="A29" s="53" t="s">
        <v>3121</v>
      </c>
      <c r="B29" s="6" t="s">
        <v>4017</v>
      </c>
      <c r="C29" s="128" t="n">
        <v>8</v>
      </c>
      <c r="D29" s="52"/>
      <c r="E29" s="52"/>
      <c r="F29" s="52" t="s">
        <v>340</v>
      </c>
      <c r="G29" s="53" t="s">
        <v>554</v>
      </c>
      <c r="H29" s="53" t="s">
        <v>4007</v>
      </c>
      <c r="I29" s="53" t="s">
        <v>554</v>
      </c>
      <c r="J29" s="6" t="s">
        <v>3969</v>
      </c>
      <c r="K29" s="52" t="n">
        <v>3</v>
      </c>
      <c r="L29" s="52" t="s">
        <v>3604</v>
      </c>
      <c r="M29" s="6" t="s">
        <v>3970</v>
      </c>
      <c r="N29" s="52" t="s">
        <v>3606</v>
      </c>
      <c r="O29" s="53" t="s">
        <v>3607</v>
      </c>
      <c r="P29" s="53" t="s">
        <v>554</v>
      </c>
      <c r="Q29" s="53" t="s">
        <v>3971</v>
      </c>
      <c r="R29" s="53" t="s">
        <v>554</v>
      </c>
      <c r="S29" s="53" t="s">
        <v>554</v>
      </c>
      <c r="T29" s="53" t="s">
        <v>554</v>
      </c>
      <c r="U29" s="53" t="s">
        <v>3972</v>
      </c>
      <c r="V29" s="6" t="s">
        <v>4018</v>
      </c>
      <c r="W29" s="6" t="s">
        <v>554</v>
      </c>
      <c r="X29" s="103" t="n">
        <f aca="false">IF($O29="Active",SUMPRODUCT(($B$5:$B$400=$B29)*($G$5:$G$400=$G29)*($H$5:$H$400=$H29)*($O$5:$O$400="Active")),0)</f>
        <v>1</v>
      </c>
      <c r="Y29" s="103" t="n">
        <f aca="false">IF(AND($O29="Active",OR($Q29="—",$Q29="")),1,0)</f>
        <v>0</v>
      </c>
      <c r="Z29" s="103" t="n">
        <f aca="false">IF(AND($O29="Active",$L29="利害關係方",OR($R29="—",$R29="")),1,0)</f>
        <v>1</v>
      </c>
    </row>
    <row r="30" customFormat="false" ht="44" hidden="false" customHeight="false" outlineLevel="0" collapsed="false">
      <c r="A30" s="53" t="s">
        <v>3124</v>
      </c>
      <c r="B30" s="6" t="s">
        <v>4019</v>
      </c>
      <c r="C30" s="128" t="n">
        <v>1</v>
      </c>
      <c r="D30" s="52"/>
      <c r="E30" s="52"/>
      <c r="F30" s="52" t="s">
        <v>340</v>
      </c>
      <c r="G30" s="53" t="s">
        <v>554</v>
      </c>
      <c r="H30" s="53" t="s">
        <v>4007</v>
      </c>
      <c r="I30" s="53" t="s">
        <v>554</v>
      </c>
      <c r="J30" s="6" t="s">
        <v>3969</v>
      </c>
      <c r="K30" s="52" t="n">
        <v>3</v>
      </c>
      <c r="L30" s="52" t="s">
        <v>3604</v>
      </c>
      <c r="M30" s="6" t="s">
        <v>3970</v>
      </c>
      <c r="N30" s="52" t="s">
        <v>3606</v>
      </c>
      <c r="O30" s="53" t="s">
        <v>3607</v>
      </c>
      <c r="P30" s="53" t="s">
        <v>554</v>
      </c>
      <c r="Q30" s="53" t="s">
        <v>3971</v>
      </c>
      <c r="R30" s="53" t="s">
        <v>554</v>
      </c>
      <c r="S30" s="53" t="s">
        <v>554</v>
      </c>
      <c r="T30" s="53" t="s">
        <v>554</v>
      </c>
      <c r="U30" s="53" t="s">
        <v>3972</v>
      </c>
      <c r="V30" s="6" t="s">
        <v>4020</v>
      </c>
      <c r="W30" s="6" t="s">
        <v>554</v>
      </c>
      <c r="X30" s="103" t="n">
        <f aca="false">IF($O30="Active",SUMPRODUCT(($B$5:$B$400=$B30)*($G$5:$G$400=$G30)*($H$5:$H$400=$H30)*($O$5:$O$400="Active")),0)</f>
        <v>1</v>
      </c>
      <c r="Y30" s="103" t="n">
        <f aca="false">IF(AND($O30="Active",OR($Q30="—",$Q30="")),1,0)</f>
        <v>0</v>
      </c>
      <c r="Z30" s="103" t="n">
        <f aca="false">IF(AND($O30="Active",$L30="利害關係方",OR($R30="—",$R30="")),1,0)</f>
        <v>1</v>
      </c>
    </row>
    <row r="31" customFormat="false" ht="44" hidden="false" customHeight="false" outlineLevel="0" collapsed="false">
      <c r="A31" s="53" t="s">
        <v>3127</v>
      </c>
      <c r="B31" s="6" t="s">
        <v>4021</v>
      </c>
      <c r="C31" s="128" t="n">
        <v>129280</v>
      </c>
      <c r="D31" s="52"/>
      <c r="E31" s="52"/>
      <c r="F31" s="53" t="s">
        <v>3991</v>
      </c>
      <c r="G31" s="53" t="s">
        <v>554</v>
      </c>
      <c r="H31" s="53" t="s">
        <v>4007</v>
      </c>
      <c r="I31" s="53" t="s">
        <v>554</v>
      </c>
      <c r="J31" s="6" t="s">
        <v>3969</v>
      </c>
      <c r="K31" s="52" t="n">
        <v>3</v>
      </c>
      <c r="L31" s="52" t="s">
        <v>3604</v>
      </c>
      <c r="M31" s="6" t="s">
        <v>3970</v>
      </c>
      <c r="N31" s="52" t="s">
        <v>3606</v>
      </c>
      <c r="O31" s="53" t="s">
        <v>3607</v>
      </c>
      <c r="P31" s="53" t="s">
        <v>554</v>
      </c>
      <c r="Q31" s="53" t="s">
        <v>3971</v>
      </c>
      <c r="R31" s="53" t="s">
        <v>554</v>
      </c>
      <c r="S31" s="53" t="s">
        <v>554</v>
      </c>
      <c r="T31" s="53" t="s">
        <v>554</v>
      </c>
      <c r="U31" s="53" t="s">
        <v>3972</v>
      </c>
      <c r="V31" s="6" t="s">
        <v>4022</v>
      </c>
      <c r="W31" s="6" t="s">
        <v>554</v>
      </c>
      <c r="X31" s="103" t="n">
        <f aca="false">IF($O31="Active",SUMPRODUCT(($B$5:$B$400=$B31)*($G$5:$G$400=$G31)*($H$5:$H$400=$H31)*($O$5:$O$400="Active")),0)</f>
        <v>1</v>
      </c>
      <c r="Y31" s="103" t="n">
        <f aca="false">IF(AND($O31="Active",OR($Q31="—",$Q31="")),1,0)</f>
        <v>0</v>
      </c>
      <c r="Z31" s="103" t="n">
        <f aca="false">IF(AND($O31="Active",$L31="利害關係方",OR($R31="—",$R31="")),1,0)</f>
        <v>1</v>
      </c>
    </row>
    <row r="32" customFormat="false" ht="44" hidden="false" customHeight="false" outlineLevel="0" collapsed="false">
      <c r="A32" s="53" t="s">
        <v>3130</v>
      </c>
      <c r="B32" s="6" t="s">
        <v>4023</v>
      </c>
      <c r="C32" s="128" t="n">
        <v>576</v>
      </c>
      <c r="D32" s="52"/>
      <c r="E32" s="52"/>
      <c r="F32" s="52" t="s">
        <v>3960</v>
      </c>
      <c r="G32" s="53" t="s">
        <v>4024</v>
      </c>
      <c r="H32" s="53" t="s">
        <v>4007</v>
      </c>
      <c r="I32" s="53" t="s">
        <v>554</v>
      </c>
      <c r="J32" s="6" t="s">
        <v>3969</v>
      </c>
      <c r="K32" s="52" t="n">
        <v>3</v>
      </c>
      <c r="L32" s="52" t="s">
        <v>3604</v>
      </c>
      <c r="M32" s="6" t="s">
        <v>3970</v>
      </c>
      <c r="N32" s="52" t="s">
        <v>3606</v>
      </c>
      <c r="O32" s="53" t="s">
        <v>3607</v>
      </c>
      <c r="P32" s="53" t="s">
        <v>554</v>
      </c>
      <c r="Q32" s="53" t="s">
        <v>3971</v>
      </c>
      <c r="R32" s="53" t="s">
        <v>554</v>
      </c>
      <c r="S32" s="53" t="s">
        <v>554</v>
      </c>
      <c r="T32" s="53" t="s">
        <v>554</v>
      </c>
      <c r="U32" s="53" t="s">
        <v>3972</v>
      </c>
      <c r="V32" s="6" t="s">
        <v>4025</v>
      </c>
      <c r="W32" s="6" t="s">
        <v>4026</v>
      </c>
      <c r="X32" s="103" t="n">
        <f aca="false">IF($O32="Active",SUMPRODUCT(($B$5:$B$400=$B32)*($G$5:$G$400=$G32)*($H$5:$H$400=$H32)*($O$5:$O$400="Active")),0)</f>
        <v>1</v>
      </c>
      <c r="Y32" s="103" t="n">
        <f aca="false">IF(AND($O32="Active",OR($Q32="—",$Q32="")),1,0)</f>
        <v>0</v>
      </c>
      <c r="Z32" s="103" t="n">
        <f aca="false">IF(AND($O32="Active",$L32="利害關係方",OR($R32="—",$R32="")),1,0)</f>
        <v>1</v>
      </c>
    </row>
    <row r="33" customFormat="false" ht="15" hidden="false" customHeight="false" outlineLevel="0" collapsed="false">
      <c r="A33" s="53" t="s">
        <v>3252</v>
      </c>
      <c r="B33" s="6" t="s">
        <v>4027</v>
      </c>
      <c r="C33" s="128" t="n">
        <v>32</v>
      </c>
      <c r="D33" s="52"/>
      <c r="E33" s="52"/>
      <c r="F33" s="53" t="s">
        <v>884</v>
      </c>
      <c r="G33" s="53" t="s">
        <v>554</v>
      </c>
      <c r="H33" s="53" t="s">
        <v>3963</v>
      </c>
      <c r="I33" s="53" t="s">
        <v>3629</v>
      </c>
      <c r="J33" s="6" t="s">
        <v>4028</v>
      </c>
      <c r="K33" s="52" t="n">
        <v>1</v>
      </c>
      <c r="L33" s="52" t="s">
        <v>3604</v>
      </c>
      <c r="M33" s="6" t="s">
        <v>4029</v>
      </c>
      <c r="N33" s="52" t="s">
        <v>4030</v>
      </c>
      <c r="O33" s="53" t="s">
        <v>3607</v>
      </c>
      <c r="P33" s="53" t="s">
        <v>554</v>
      </c>
      <c r="Q33" s="53" t="s">
        <v>4031</v>
      </c>
      <c r="R33" s="53" t="s">
        <v>554</v>
      </c>
      <c r="S33" s="53" t="s">
        <v>554</v>
      </c>
      <c r="T33" s="53" t="s">
        <v>554</v>
      </c>
      <c r="U33" s="53" t="s">
        <v>4032</v>
      </c>
      <c r="V33" s="6" t="s">
        <v>4033</v>
      </c>
      <c r="W33" s="6" t="s">
        <v>554</v>
      </c>
      <c r="X33" s="103" t="n">
        <f aca="false">IF($O33="Active",SUMPRODUCT(($B$5:$B$400=$B33)*($G$5:$G$400=$G33)*($H$5:$H$400=$H33)*($O$5:$O$400="Active")),0)</f>
        <v>1</v>
      </c>
      <c r="Y33" s="103" t="n">
        <f aca="false">IF(AND($O33="Active",OR($Q33="—",$Q33="")),1,0)</f>
        <v>0</v>
      </c>
      <c r="Z33" s="103" t="n">
        <f aca="false">IF(AND($O33="Active",$L33="利害關係方",OR($R33="—",$R33="")),1,0)</f>
        <v>1</v>
      </c>
    </row>
    <row r="34" customFormat="false" ht="15" hidden="false" customHeight="false" outlineLevel="0" collapsed="false">
      <c r="A34" s="53" t="s">
        <v>3254</v>
      </c>
      <c r="B34" s="6" t="s">
        <v>4034</v>
      </c>
      <c r="C34" s="128" t="n">
        <v>33</v>
      </c>
      <c r="D34" s="52"/>
      <c r="E34" s="52"/>
      <c r="F34" s="53" t="s">
        <v>884</v>
      </c>
      <c r="G34" s="53" t="s">
        <v>554</v>
      </c>
      <c r="H34" s="53" t="s">
        <v>3949</v>
      </c>
      <c r="I34" s="53" t="s">
        <v>3629</v>
      </c>
      <c r="J34" s="6" t="s">
        <v>4028</v>
      </c>
      <c r="K34" s="52" t="n">
        <v>1</v>
      </c>
      <c r="L34" s="52" t="s">
        <v>3604</v>
      </c>
      <c r="M34" s="6" t="s">
        <v>4029</v>
      </c>
      <c r="N34" s="52" t="s">
        <v>4030</v>
      </c>
      <c r="O34" s="53" t="s">
        <v>3607</v>
      </c>
      <c r="P34" s="53" t="s">
        <v>554</v>
      </c>
      <c r="Q34" s="53" t="s">
        <v>4031</v>
      </c>
      <c r="R34" s="53" t="s">
        <v>554</v>
      </c>
      <c r="S34" s="53" t="s">
        <v>554</v>
      </c>
      <c r="T34" s="53" t="s">
        <v>554</v>
      </c>
      <c r="U34" s="53" t="s">
        <v>4032</v>
      </c>
      <c r="V34" s="6" t="s">
        <v>4035</v>
      </c>
      <c r="W34" s="6" t="s">
        <v>554</v>
      </c>
      <c r="X34" s="103" t="n">
        <f aca="false">IF($O34="Active",SUMPRODUCT(($B$5:$B$400=$B34)*($G$5:$G$400=$G34)*($H$5:$H$400=$H34)*($O$5:$O$400="Active")),0)</f>
        <v>1</v>
      </c>
      <c r="Y34" s="103" t="n">
        <f aca="false">IF(AND($O34="Active",OR($Q34="—",$Q34="")),1,0)</f>
        <v>0</v>
      </c>
      <c r="Z34" s="103" t="n">
        <f aca="false">IF(AND($O34="Active",$L34="利害關係方",OR($R34="—",$R34="")),1,0)</f>
        <v>1</v>
      </c>
    </row>
    <row r="35" customFormat="false" ht="29.85" hidden="false" customHeight="false" outlineLevel="0" collapsed="false">
      <c r="A35" s="53" t="s">
        <v>3256</v>
      </c>
      <c r="B35" s="6" t="s">
        <v>4036</v>
      </c>
      <c r="C35" s="128" t="n">
        <v>4096</v>
      </c>
      <c r="D35" s="52"/>
      <c r="E35" s="52"/>
      <c r="F35" s="53" t="s">
        <v>248</v>
      </c>
      <c r="G35" s="53" t="s">
        <v>4037</v>
      </c>
      <c r="H35" s="53" t="s">
        <v>3980</v>
      </c>
      <c r="I35" s="53" t="s">
        <v>3629</v>
      </c>
      <c r="J35" s="6" t="s">
        <v>4028</v>
      </c>
      <c r="K35" s="52" t="n">
        <v>1</v>
      </c>
      <c r="L35" s="52" t="s">
        <v>3604</v>
      </c>
      <c r="M35" s="6" t="s">
        <v>4029</v>
      </c>
      <c r="N35" s="52" t="s">
        <v>4030</v>
      </c>
      <c r="O35" s="53" t="s">
        <v>3607</v>
      </c>
      <c r="P35" s="53" t="s">
        <v>554</v>
      </c>
      <c r="Q35" s="53" t="s">
        <v>4031</v>
      </c>
      <c r="R35" s="53" t="s">
        <v>554</v>
      </c>
      <c r="S35" s="53" t="s">
        <v>554</v>
      </c>
      <c r="T35" s="53" t="s">
        <v>554</v>
      </c>
      <c r="U35" s="53" t="s">
        <v>4032</v>
      </c>
      <c r="V35" s="6" t="s">
        <v>4038</v>
      </c>
      <c r="W35" s="6" t="s">
        <v>554</v>
      </c>
      <c r="X35" s="103" t="n">
        <f aca="false">IF($O35="Active",SUMPRODUCT(($B$5:$B$400=$B35)*($G$5:$G$400=$G35)*($H$5:$H$400=$H35)*($O$5:$O$400="Active")),0)</f>
        <v>1</v>
      </c>
      <c r="Y35" s="103" t="n">
        <f aca="false">IF(AND($O35="Active",OR($Q35="—",$Q35="")),1,0)</f>
        <v>0</v>
      </c>
      <c r="Z35" s="103" t="n">
        <f aca="false">IF(AND($O35="Active",$L35="利害關係方",OR($R35="—",$R35="")),1,0)</f>
        <v>1</v>
      </c>
    </row>
    <row r="36" customFormat="false" ht="29.85" hidden="false" customHeight="false" outlineLevel="0" collapsed="false">
      <c r="A36" s="53" t="s">
        <v>4039</v>
      </c>
      <c r="B36" s="6" t="s">
        <v>4040</v>
      </c>
      <c r="C36" s="128" t="n">
        <v>16384</v>
      </c>
      <c r="D36" s="52"/>
      <c r="E36" s="52"/>
      <c r="F36" s="53" t="s">
        <v>248</v>
      </c>
      <c r="G36" s="52" t="s">
        <v>4041</v>
      </c>
      <c r="H36" s="53" t="s">
        <v>3980</v>
      </c>
      <c r="I36" s="53" t="s">
        <v>3629</v>
      </c>
      <c r="J36" s="6" t="s">
        <v>4028</v>
      </c>
      <c r="K36" s="52" t="n">
        <v>1</v>
      </c>
      <c r="L36" s="52" t="s">
        <v>3604</v>
      </c>
      <c r="M36" s="6" t="s">
        <v>4029</v>
      </c>
      <c r="N36" s="52" t="s">
        <v>4030</v>
      </c>
      <c r="O36" s="53" t="s">
        <v>3607</v>
      </c>
      <c r="P36" s="53" t="s">
        <v>554</v>
      </c>
      <c r="Q36" s="53" t="s">
        <v>4031</v>
      </c>
      <c r="R36" s="53" t="s">
        <v>554</v>
      </c>
      <c r="S36" s="53" t="s">
        <v>554</v>
      </c>
      <c r="T36" s="53" t="s">
        <v>554</v>
      </c>
      <c r="U36" s="53" t="s">
        <v>4032</v>
      </c>
      <c r="V36" s="6" t="s">
        <v>554</v>
      </c>
      <c r="W36" s="6" t="s">
        <v>554</v>
      </c>
      <c r="X36" s="103" t="n">
        <f aca="false">IF($O36="Active",SUMPRODUCT(($B$5:$B$400=$B36)*($G$5:$G$400=$G36)*($H$5:$H$400=$H36)*($O$5:$O$400="Active")),0)</f>
        <v>1</v>
      </c>
      <c r="Y36" s="103" t="n">
        <f aca="false">IF(AND($O36="Active",OR($Q36="—",$Q36="")),1,0)</f>
        <v>0</v>
      </c>
      <c r="Z36" s="103" t="n">
        <f aca="false">IF(AND($O36="Active",$L36="利害關係方",OR($R36="—",$R36="")),1,0)</f>
        <v>1</v>
      </c>
    </row>
    <row r="37" customFormat="false" ht="29.85" hidden="false" customHeight="false" outlineLevel="0" collapsed="false">
      <c r="A37" s="53" t="s">
        <v>4042</v>
      </c>
      <c r="B37" s="6" t="s">
        <v>4043</v>
      </c>
      <c r="C37" s="128" t="n">
        <v>4.6E+026</v>
      </c>
      <c r="D37" s="52"/>
      <c r="E37" s="52"/>
      <c r="F37" s="53" t="s">
        <v>271</v>
      </c>
      <c r="G37" s="52" t="s">
        <v>4044</v>
      </c>
      <c r="H37" s="53" t="s">
        <v>4045</v>
      </c>
      <c r="I37" s="53" t="s">
        <v>4046</v>
      </c>
      <c r="J37" s="6" t="s">
        <v>4047</v>
      </c>
      <c r="K37" s="52" t="n">
        <v>1</v>
      </c>
      <c r="L37" s="52" t="s">
        <v>3697</v>
      </c>
      <c r="M37" s="6" t="s">
        <v>4048</v>
      </c>
      <c r="N37" s="52" t="s">
        <v>4049</v>
      </c>
      <c r="O37" s="53" t="s">
        <v>3607</v>
      </c>
      <c r="P37" s="53" t="s">
        <v>554</v>
      </c>
      <c r="Q37" s="53" t="s">
        <v>4050</v>
      </c>
      <c r="R37" s="53" t="s">
        <v>554</v>
      </c>
      <c r="S37" s="53" t="s">
        <v>554</v>
      </c>
      <c r="T37" s="53" t="s">
        <v>554</v>
      </c>
      <c r="U37" s="53" t="s">
        <v>2112</v>
      </c>
      <c r="V37" s="6" t="s">
        <v>4051</v>
      </c>
      <c r="W37" s="5" t="s">
        <v>4052</v>
      </c>
      <c r="X37" s="103" t="n">
        <f aca="false">IF($O37="Active",SUMPRODUCT(($B$5:$B$400=$B37)*($G$5:$G$400=$G37)*($H$5:$H$400=$H37)*($O$5:$O$400="Active")),0)</f>
        <v>1</v>
      </c>
      <c r="Y37" s="103" t="n">
        <f aca="false">IF(AND($O37="Active",OR($Q37="—",$Q37="")),1,0)</f>
        <v>0</v>
      </c>
      <c r="Z37" s="103" t="n">
        <f aca="false">IF(AND($O37="Active",$L37="利害關係方",OR($R37="—",$R37="")),1,0)</f>
        <v>0</v>
      </c>
    </row>
    <row r="38" customFormat="false" ht="15" hidden="false" customHeight="false" outlineLevel="0" collapsed="false">
      <c r="A38" s="53" t="s">
        <v>4053</v>
      </c>
      <c r="B38" s="6" t="s">
        <v>4054</v>
      </c>
      <c r="C38" s="128" t="n">
        <v>0.147</v>
      </c>
      <c r="D38" s="52"/>
      <c r="E38" s="52"/>
      <c r="F38" s="53" t="s">
        <v>4055</v>
      </c>
      <c r="G38" s="53" t="s">
        <v>4056</v>
      </c>
      <c r="H38" s="53" t="s">
        <v>4057</v>
      </c>
      <c r="I38" s="53" t="s">
        <v>4058</v>
      </c>
      <c r="J38" s="6" t="s">
        <v>4059</v>
      </c>
      <c r="K38" s="52" t="n">
        <v>2</v>
      </c>
      <c r="L38" s="52" t="s">
        <v>3604</v>
      </c>
      <c r="M38" s="6" t="s">
        <v>4060</v>
      </c>
      <c r="N38" s="52" t="s">
        <v>3618</v>
      </c>
      <c r="O38" s="53" t="s">
        <v>3607</v>
      </c>
      <c r="P38" s="53" t="s">
        <v>554</v>
      </c>
      <c r="Q38" s="53" t="s">
        <v>4061</v>
      </c>
      <c r="R38" s="53" t="s">
        <v>554</v>
      </c>
      <c r="S38" s="53" t="s">
        <v>554</v>
      </c>
      <c r="T38" s="53" t="s">
        <v>554</v>
      </c>
      <c r="U38" s="53" t="s">
        <v>2097</v>
      </c>
      <c r="V38" s="6" t="s">
        <v>4062</v>
      </c>
      <c r="W38" s="6" t="s">
        <v>4063</v>
      </c>
      <c r="X38" s="103" t="n">
        <f aca="false">IF($O38="Active",SUMPRODUCT(($B$5:$B$400=$B38)*($G$5:$G$400=$G38)*($H$5:$H$400=$H38)*($O$5:$O$400="Active")),0)</f>
        <v>1</v>
      </c>
      <c r="Y38" s="103" t="n">
        <f aca="false">IF(AND($O38="Active",OR($Q38="—",$Q38="")),1,0)</f>
        <v>0</v>
      </c>
      <c r="Z38" s="103" t="n">
        <f aca="false">IF(AND($O38="Active",$L38="利害關係方",OR($R38="—",$R38="")),1,0)</f>
        <v>1</v>
      </c>
    </row>
    <row r="39" customFormat="false" ht="23.85" hidden="false" customHeight="false" outlineLevel="0" collapsed="false">
      <c r="A39" s="53" t="s">
        <v>4064</v>
      </c>
      <c r="B39" s="6" t="s">
        <v>4065</v>
      </c>
      <c r="C39" s="128" t="n">
        <v>0.14</v>
      </c>
      <c r="D39" s="52"/>
      <c r="E39" s="52"/>
      <c r="F39" s="53" t="s">
        <v>4066</v>
      </c>
      <c r="G39" s="52" t="s">
        <v>4067</v>
      </c>
      <c r="H39" s="53" t="s">
        <v>4068</v>
      </c>
      <c r="I39" s="53" t="s">
        <v>4069</v>
      </c>
      <c r="J39" s="6" t="s">
        <v>4070</v>
      </c>
      <c r="K39" s="52" t="n">
        <v>2</v>
      </c>
      <c r="L39" s="52" t="s">
        <v>3604</v>
      </c>
      <c r="M39" s="6" t="s">
        <v>4071</v>
      </c>
      <c r="N39" s="52" t="s">
        <v>3618</v>
      </c>
      <c r="O39" s="53" t="s">
        <v>3607</v>
      </c>
      <c r="P39" s="53" t="s">
        <v>554</v>
      </c>
      <c r="Q39" s="53" t="s">
        <v>4072</v>
      </c>
      <c r="R39" s="53" t="s">
        <v>554</v>
      </c>
      <c r="S39" s="53" t="s">
        <v>554</v>
      </c>
      <c r="T39" s="53" t="s">
        <v>554</v>
      </c>
      <c r="U39" s="53" t="s">
        <v>4073</v>
      </c>
      <c r="V39" s="6" t="s">
        <v>554</v>
      </c>
      <c r="W39" s="6" t="s">
        <v>554</v>
      </c>
      <c r="X39" s="103" t="n">
        <f aca="false">IF($O39="Active",SUMPRODUCT(($B$5:$B$400=$B39)*($G$5:$G$400=$G39)*($H$5:$H$400=$H39)*($O$5:$O$400="Active")),0)</f>
        <v>1</v>
      </c>
      <c r="Y39" s="103" t="n">
        <f aca="false">IF(AND($O39="Active",OR($Q39="—",$Q39="")),1,0)</f>
        <v>0</v>
      </c>
      <c r="Z39" s="103" t="n">
        <f aca="false">IF(AND($O39="Active",$L39="利害關係方",OR($R39="—",$R39="")),1,0)</f>
        <v>1</v>
      </c>
    </row>
    <row r="40" customFormat="false" ht="29.85" hidden="false" customHeight="false" outlineLevel="0" collapsed="false">
      <c r="A40" s="53" t="s">
        <v>3268</v>
      </c>
      <c r="B40" s="6" t="s">
        <v>4074</v>
      </c>
      <c r="C40" s="128" t="n">
        <v>1</v>
      </c>
      <c r="D40" s="52"/>
      <c r="E40" s="52"/>
      <c r="F40" s="53" t="s">
        <v>73</v>
      </c>
      <c r="G40" s="52" t="s">
        <v>4075</v>
      </c>
      <c r="H40" s="53" t="s">
        <v>4076</v>
      </c>
      <c r="I40" s="53" t="s">
        <v>4077</v>
      </c>
      <c r="J40" s="6" t="s">
        <v>4078</v>
      </c>
      <c r="K40" s="52" t="n">
        <v>1</v>
      </c>
      <c r="L40" s="52" t="s">
        <v>3604</v>
      </c>
      <c r="M40" s="6" t="s">
        <v>4079</v>
      </c>
      <c r="N40" s="52" t="s">
        <v>4030</v>
      </c>
      <c r="O40" s="53" t="s">
        <v>3607</v>
      </c>
      <c r="P40" s="53" t="s">
        <v>554</v>
      </c>
      <c r="Q40" s="53" t="s">
        <v>4080</v>
      </c>
      <c r="R40" s="53" t="s">
        <v>554</v>
      </c>
      <c r="S40" s="53" t="s">
        <v>554</v>
      </c>
      <c r="T40" s="53" t="s">
        <v>554</v>
      </c>
      <c r="U40" s="53" t="s">
        <v>2094</v>
      </c>
      <c r="V40" s="6" t="s">
        <v>4081</v>
      </c>
      <c r="W40" s="5" t="s">
        <v>4082</v>
      </c>
      <c r="X40" s="103" t="n">
        <f aca="false">IF($O40="Active",SUMPRODUCT(($B$5:$B$400=$B40)*($G$5:$G$400=$G40)*($H$5:$H$400=$H40)*($O$5:$O$400="Active")),0)</f>
        <v>1</v>
      </c>
      <c r="Y40" s="103" t="n">
        <f aca="false">IF(AND($O40="Active",OR($Q40="—",$Q40="")),1,0)</f>
        <v>0</v>
      </c>
      <c r="Z40" s="103" t="n">
        <f aca="false">IF(AND($O40="Active",$L40="利害關係方",OR($R40="—",$R40="")),1,0)</f>
        <v>1</v>
      </c>
    </row>
    <row r="41" customFormat="false" ht="29.85" hidden="false" customHeight="false" outlineLevel="0" collapsed="false">
      <c r="A41" s="53" t="s">
        <v>4083</v>
      </c>
      <c r="B41" s="6" t="s">
        <v>4084</v>
      </c>
      <c r="C41" s="128" t="n">
        <v>200000</v>
      </c>
      <c r="D41" s="52"/>
      <c r="E41" s="52"/>
      <c r="F41" s="53" t="s">
        <v>662</v>
      </c>
      <c r="G41" s="53" t="s">
        <v>554</v>
      </c>
      <c r="H41" s="53" t="s">
        <v>4076</v>
      </c>
      <c r="I41" s="53" t="s">
        <v>4077</v>
      </c>
      <c r="J41" s="6" t="s">
        <v>4078</v>
      </c>
      <c r="K41" s="52" t="n">
        <v>1</v>
      </c>
      <c r="L41" s="52" t="s">
        <v>3604</v>
      </c>
      <c r="M41" s="6" t="s">
        <v>4079</v>
      </c>
      <c r="N41" s="52" t="s">
        <v>4030</v>
      </c>
      <c r="O41" s="53" t="s">
        <v>3607</v>
      </c>
      <c r="P41" s="53" t="s">
        <v>554</v>
      </c>
      <c r="Q41" s="53" t="s">
        <v>4080</v>
      </c>
      <c r="R41" s="53" t="s">
        <v>554</v>
      </c>
      <c r="S41" s="53" t="s">
        <v>554</v>
      </c>
      <c r="T41" s="53" t="s">
        <v>554</v>
      </c>
      <c r="U41" s="53" t="s">
        <v>2094</v>
      </c>
      <c r="V41" s="6" t="s">
        <v>554</v>
      </c>
      <c r="W41" s="6" t="s">
        <v>554</v>
      </c>
      <c r="X41" s="103" t="n">
        <f aca="false">IF($O41="Active",SUMPRODUCT(($B$5:$B$400=$B41)*($G$5:$G$400=$G41)*($H$5:$H$400=$H41)*($O$5:$O$400="Active")),0)</f>
        <v>1</v>
      </c>
      <c r="Y41" s="103" t="n">
        <f aca="false">IF(AND($O41="Active",OR($Q41="—",$Q41="")),1,0)</f>
        <v>0</v>
      </c>
      <c r="Z41" s="103" t="n">
        <f aca="false">IF(AND($O41="Active",$L41="利害關係方",OR($R41="—",$R41="")),1,0)</f>
        <v>1</v>
      </c>
    </row>
    <row r="42" customFormat="false" ht="29.85" hidden="false" customHeight="false" outlineLevel="0" collapsed="false">
      <c r="A42" s="53" t="s">
        <v>4085</v>
      </c>
      <c r="B42" s="6" t="s">
        <v>4086</v>
      </c>
      <c r="C42" s="128" t="n">
        <v>10</v>
      </c>
      <c r="D42" s="52"/>
      <c r="E42" s="52"/>
      <c r="F42" s="53" t="s">
        <v>73</v>
      </c>
      <c r="G42" s="52" t="s">
        <v>4087</v>
      </c>
      <c r="H42" s="53" t="s">
        <v>4076</v>
      </c>
      <c r="I42" s="53" t="s">
        <v>4077</v>
      </c>
      <c r="J42" s="6" t="s">
        <v>4078</v>
      </c>
      <c r="K42" s="52" t="n">
        <v>1</v>
      </c>
      <c r="L42" s="52" t="s">
        <v>3604</v>
      </c>
      <c r="M42" s="6" t="s">
        <v>4079</v>
      </c>
      <c r="N42" s="52" t="s">
        <v>4030</v>
      </c>
      <c r="O42" s="53" t="s">
        <v>3607</v>
      </c>
      <c r="P42" s="53" t="s">
        <v>554</v>
      </c>
      <c r="Q42" s="53" t="s">
        <v>4080</v>
      </c>
      <c r="R42" s="53" t="s">
        <v>554</v>
      </c>
      <c r="S42" s="53" t="s">
        <v>554</v>
      </c>
      <c r="T42" s="53" t="s">
        <v>554</v>
      </c>
      <c r="U42" s="53" t="s">
        <v>2094</v>
      </c>
      <c r="V42" s="6" t="s">
        <v>554</v>
      </c>
      <c r="W42" s="6" t="s">
        <v>554</v>
      </c>
      <c r="X42" s="103" t="n">
        <f aca="false">IF($O42="Active",SUMPRODUCT(($B$5:$B$400=$B42)*($G$5:$G$400=$G42)*($H$5:$H$400=$H42)*($O$5:$O$400="Active")),0)</f>
        <v>1</v>
      </c>
      <c r="Y42" s="103" t="n">
        <f aca="false">IF(AND($O42="Active",OR($Q42="—",$Q42="")),1,0)</f>
        <v>0</v>
      </c>
      <c r="Z42" s="103" t="n">
        <f aca="false">IF(AND($O42="Active",$L42="利害關係方",OR($R42="—",$R42="")),1,0)</f>
        <v>1</v>
      </c>
    </row>
    <row r="43" customFormat="false" ht="29.85" hidden="false" customHeight="false" outlineLevel="0" collapsed="false">
      <c r="A43" s="53" t="s">
        <v>3259</v>
      </c>
      <c r="B43" s="6" t="s">
        <v>4088</v>
      </c>
      <c r="C43" s="128" t="n">
        <v>14.8</v>
      </c>
      <c r="D43" s="52"/>
      <c r="E43" s="52"/>
      <c r="F43" s="53" t="s">
        <v>884</v>
      </c>
      <c r="G43" s="53" t="s">
        <v>554</v>
      </c>
      <c r="H43" s="53" t="s">
        <v>4089</v>
      </c>
      <c r="I43" s="53" t="s">
        <v>4090</v>
      </c>
      <c r="J43" s="6" t="s">
        <v>4091</v>
      </c>
      <c r="K43" s="52" t="n">
        <v>3</v>
      </c>
      <c r="L43" s="52" t="s">
        <v>3604</v>
      </c>
      <c r="M43" s="6" t="s">
        <v>4092</v>
      </c>
      <c r="N43" s="52" t="s">
        <v>3606</v>
      </c>
      <c r="O43" s="53" t="s">
        <v>3607</v>
      </c>
      <c r="P43" s="53" t="s">
        <v>554</v>
      </c>
      <c r="Q43" s="53" t="s">
        <v>4093</v>
      </c>
      <c r="R43" s="53" t="s">
        <v>554</v>
      </c>
      <c r="S43" s="53" t="s">
        <v>554</v>
      </c>
      <c r="T43" s="53" t="s">
        <v>554</v>
      </c>
      <c r="U43" s="53" t="s">
        <v>915</v>
      </c>
      <c r="V43" s="6" t="s">
        <v>4094</v>
      </c>
      <c r="W43" s="6" t="s">
        <v>554</v>
      </c>
      <c r="X43" s="103" t="n">
        <f aca="false">IF($O43="Active",SUMPRODUCT(($B$5:$B$400=$B43)*($G$5:$G$400=$G43)*($H$5:$H$400=$H43)*($O$5:$O$400="Active")),0)</f>
        <v>1</v>
      </c>
      <c r="Y43" s="103" t="n">
        <f aca="false">IF(AND($O43="Active",OR($Q43="—",$Q43="")),1,0)</f>
        <v>0</v>
      </c>
      <c r="Z43" s="103" t="n">
        <f aca="false">IF(AND($O43="Active",$L43="利害關係方",OR($R43="—",$R43="")),1,0)</f>
        <v>1</v>
      </c>
    </row>
    <row r="44" customFormat="false" ht="29.85" hidden="false" customHeight="false" outlineLevel="0" collapsed="false">
      <c r="A44" s="53" t="s">
        <v>3262</v>
      </c>
      <c r="B44" s="6" t="s">
        <v>4095</v>
      </c>
      <c r="C44" s="128" t="n">
        <v>2.664</v>
      </c>
      <c r="D44" s="52"/>
      <c r="E44" s="52"/>
      <c r="F44" s="53" t="s">
        <v>4096</v>
      </c>
      <c r="G44" s="52" t="s">
        <v>4097</v>
      </c>
      <c r="H44" s="53" t="s">
        <v>4089</v>
      </c>
      <c r="I44" s="53" t="s">
        <v>4090</v>
      </c>
      <c r="J44" s="6" t="s">
        <v>4091</v>
      </c>
      <c r="K44" s="52" t="n">
        <v>3</v>
      </c>
      <c r="L44" s="52" t="s">
        <v>3604</v>
      </c>
      <c r="M44" s="6" t="s">
        <v>4092</v>
      </c>
      <c r="N44" s="52" t="s">
        <v>3606</v>
      </c>
      <c r="O44" s="53" t="s">
        <v>3607</v>
      </c>
      <c r="P44" s="53" t="s">
        <v>554</v>
      </c>
      <c r="Q44" s="53" t="s">
        <v>4093</v>
      </c>
      <c r="R44" s="53" t="s">
        <v>554</v>
      </c>
      <c r="S44" s="53" t="s">
        <v>554</v>
      </c>
      <c r="T44" s="53" t="s">
        <v>554</v>
      </c>
      <c r="U44" s="53" t="s">
        <v>915</v>
      </c>
      <c r="V44" s="6" t="s">
        <v>4098</v>
      </c>
      <c r="W44" s="6" t="s">
        <v>554</v>
      </c>
      <c r="X44" s="103" t="n">
        <f aca="false">IF($O44="Active",SUMPRODUCT(($B$5:$B$400=$B44)*($G$5:$G$400=$G44)*($H$5:$H$400=$H44)*($O$5:$O$400="Active")),0)</f>
        <v>1</v>
      </c>
      <c r="Y44" s="103" t="n">
        <f aca="false">IF(AND($O44="Active",OR($Q44="—",$Q44="")),1,0)</f>
        <v>0</v>
      </c>
      <c r="Z44" s="103" t="n">
        <f aca="false">IF(AND($O44="Active",$L44="利害關係方",OR($R44="—",$R44="")),1,0)</f>
        <v>1</v>
      </c>
    </row>
    <row r="45" customFormat="false" ht="29.85" hidden="false" customHeight="false" outlineLevel="0" collapsed="false">
      <c r="A45" s="53" t="s">
        <v>4099</v>
      </c>
      <c r="B45" s="6" t="s">
        <v>4100</v>
      </c>
      <c r="C45" s="128" t="n">
        <v>2.788</v>
      </c>
      <c r="D45" s="52"/>
      <c r="E45" s="52"/>
      <c r="F45" s="53" t="s">
        <v>4096</v>
      </c>
      <c r="G45" s="52" t="s">
        <v>4101</v>
      </c>
      <c r="H45" s="53" t="s">
        <v>4089</v>
      </c>
      <c r="I45" s="53" t="s">
        <v>4090</v>
      </c>
      <c r="J45" s="6" t="s">
        <v>4091</v>
      </c>
      <c r="K45" s="52" t="n">
        <v>3</v>
      </c>
      <c r="L45" s="52" t="s">
        <v>3604</v>
      </c>
      <c r="M45" s="6" t="s">
        <v>4092</v>
      </c>
      <c r="N45" s="52" t="s">
        <v>3606</v>
      </c>
      <c r="O45" s="53" t="s">
        <v>3607</v>
      </c>
      <c r="P45" s="53" t="s">
        <v>554</v>
      </c>
      <c r="Q45" s="53" t="s">
        <v>4093</v>
      </c>
      <c r="R45" s="53" t="s">
        <v>554</v>
      </c>
      <c r="S45" s="53" t="s">
        <v>554</v>
      </c>
      <c r="T45" s="53" t="s">
        <v>554</v>
      </c>
      <c r="U45" s="53" t="s">
        <v>915</v>
      </c>
      <c r="V45" s="6" t="s">
        <v>554</v>
      </c>
      <c r="W45" s="6" t="s">
        <v>554</v>
      </c>
      <c r="X45" s="103" t="n">
        <f aca="false">IF($O45="Active",SUMPRODUCT(($B$5:$B$400=$B45)*($G$5:$G$400=$G45)*($H$5:$H$400=$H45)*($O$5:$O$400="Active")),0)</f>
        <v>1</v>
      </c>
      <c r="Y45" s="103" t="n">
        <f aca="false">IF(AND($O45="Active",OR($Q45="—",$Q45="")),1,0)</f>
        <v>0</v>
      </c>
      <c r="Z45" s="103" t="n">
        <f aca="false">IF(AND($O45="Active",$L45="利害關係方",OR($R45="—",$R45="")),1,0)</f>
        <v>1</v>
      </c>
    </row>
    <row r="46" customFormat="false" ht="29.85" hidden="false" customHeight="false" outlineLevel="0" collapsed="false">
      <c r="A46" s="53" t="s">
        <v>3265</v>
      </c>
      <c r="B46" s="6" t="s">
        <v>4102</v>
      </c>
      <c r="C46" s="128" t="n">
        <v>4096</v>
      </c>
      <c r="D46" s="52"/>
      <c r="E46" s="52"/>
      <c r="F46" s="53" t="s">
        <v>248</v>
      </c>
      <c r="G46" s="53" t="s">
        <v>554</v>
      </c>
      <c r="H46" s="53" t="s">
        <v>4089</v>
      </c>
      <c r="I46" s="53" t="s">
        <v>4090</v>
      </c>
      <c r="J46" s="6" t="s">
        <v>4091</v>
      </c>
      <c r="K46" s="52" t="n">
        <v>3</v>
      </c>
      <c r="L46" s="52" t="s">
        <v>3604</v>
      </c>
      <c r="M46" s="6" t="s">
        <v>4092</v>
      </c>
      <c r="N46" s="52" t="s">
        <v>3606</v>
      </c>
      <c r="O46" s="53" t="s">
        <v>3607</v>
      </c>
      <c r="P46" s="53" t="s">
        <v>554</v>
      </c>
      <c r="Q46" s="53" t="s">
        <v>4093</v>
      </c>
      <c r="R46" s="53" t="s">
        <v>554</v>
      </c>
      <c r="S46" s="53" t="s">
        <v>554</v>
      </c>
      <c r="T46" s="53" t="s">
        <v>554</v>
      </c>
      <c r="U46" s="53" t="s">
        <v>915</v>
      </c>
      <c r="V46" s="6" t="s">
        <v>4103</v>
      </c>
      <c r="W46" s="6" t="s">
        <v>554</v>
      </c>
      <c r="X46" s="103" t="n">
        <f aca="false">IF($O46="Active",SUMPRODUCT(($B$5:$B$400=$B46)*($G$5:$G$400=$G46)*($H$5:$H$400=$H46)*($O$5:$O$400="Active")),0)</f>
        <v>1</v>
      </c>
      <c r="Y46" s="103" t="n">
        <f aca="false">IF(AND($O46="Active",OR($Q46="—",$Q46="")),1,0)</f>
        <v>0</v>
      </c>
      <c r="Z46" s="103" t="n">
        <f aca="false">IF(AND($O46="Active",$L46="利害關係方",OR($R46="—",$R46="")),1,0)</f>
        <v>1</v>
      </c>
    </row>
    <row r="47" customFormat="false" ht="15" hidden="false" customHeight="false" outlineLevel="0" collapsed="false">
      <c r="A47" s="53" t="s">
        <v>3271</v>
      </c>
      <c r="B47" s="5" t="s">
        <v>4104</v>
      </c>
      <c r="C47" s="128" t="n">
        <v>1</v>
      </c>
      <c r="D47" s="52"/>
      <c r="E47" s="52"/>
      <c r="F47" s="53" t="s">
        <v>4105</v>
      </c>
      <c r="G47" s="52" t="s">
        <v>4106</v>
      </c>
      <c r="H47" s="53" t="s">
        <v>1162</v>
      </c>
      <c r="I47" s="53" t="s">
        <v>1152</v>
      </c>
      <c r="J47" s="6" t="s">
        <v>4107</v>
      </c>
      <c r="K47" s="52" t="n">
        <v>1</v>
      </c>
      <c r="L47" s="52" t="s">
        <v>3604</v>
      </c>
      <c r="M47" s="6" t="s">
        <v>4029</v>
      </c>
      <c r="N47" s="52" t="s">
        <v>4030</v>
      </c>
      <c r="O47" s="53" t="s">
        <v>3607</v>
      </c>
      <c r="P47" s="53" t="s">
        <v>554</v>
      </c>
      <c r="Q47" s="53" t="s">
        <v>4108</v>
      </c>
      <c r="R47" s="53" t="s">
        <v>554</v>
      </c>
      <c r="S47" s="53" t="s">
        <v>554</v>
      </c>
      <c r="T47" s="53" t="s">
        <v>554</v>
      </c>
      <c r="U47" s="53" t="s">
        <v>4109</v>
      </c>
      <c r="V47" s="6" t="s">
        <v>4110</v>
      </c>
      <c r="W47" s="6" t="s">
        <v>4111</v>
      </c>
      <c r="X47" s="103" t="n">
        <f aca="false">IF($O47="Active",SUMPRODUCT(($B$5:$B$400=$B47)*($G$5:$G$400=$G47)*($H$5:$H$400=$H47)*($O$5:$O$400="Active")),0)</f>
        <v>1</v>
      </c>
      <c r="Y47" s="103" t="n">
        <f aca="false">IF(AND($O47="Active",OR($Q47="—",$Q47="")),1,0)</f>
        <v>0</v>
      </c>
      <c r="Z47" s="103" t="n">
        <f aca="false">IF(AND($O47="Active",$L47="利害關係方",OR($R47="—",$R47="")),1,0)</f>
        <v>1</v>
      </c>
    </row>
    <row r="48" customFormat="false" ht="15" hidden="false" customHeight="false" outlineLevel="0" collapsed="false">
      <c r="A48" s="53" t="s">
        <v>4112</v>
      </c>
      <c r="B48" s="5" t="s">
        <v>4113</v>
      </c>
      <c r="C48" s="128" t="n">
        <v>1</v>
      </c>
      <c r="D48" s="52"/>
      <c r="E48" s="52"/>
      <c r="F48" s="53" t="s">
        <v>4105</v>
      </c>
      <c r="G48" s="52" t="s">
        <v>4106</v>
      </c>
      <c r="H48" s="53" t="s">
        <v>4114</v>
      </c>
      <c r="I48" s="53" t="s">
        <v>4115</v>
      </c>
      <c r="J48" s="6" t="s">
        <v>4116</v>
      </c>
      <c r="K48" s="52" t="n">
        <v>1</v>
      </c>
      <c r="L48" s="52" t="s">
        <v>3604</v>
      </c>
      <c r="M48" s="6" t="s">
        <v>4117</v>
      </c>
      <c r="N48" s="52" t="s">
        <v>4030</v>
      </c>
      <c r="O48" s="53" t="s">
        <v>3607</v>
      </c>
      <c r="P48" s="53" t="s">
        <v>554</v>
      </c>
      <c r="Q48" s="53" t="s">
        <v>4118</v>
      </c>
      <c r="R48" s="53" t="s">
        <v>554</v>
      </c>
      <c r="S48" s="53" t="s">
        <v>554</v>
      </c>
      <c r="T48" s="53" t="s">
        <v>554</v>
      </c>
      <c r="U48" s="53" t="s">
        <v>4119</v>
      </c>
      <c r="V48" s="6" t="s">
        <v>4110</v>
      </c>
      <c r="W48" s="6" t="s">
        <v>554</v>
      </c>
      <c r="X48" s="103" t="n">
        <f aca="false">IF($O48="Active",SUMPRODUCT(($B$5:$B$400=$B48)*($G$5:$G$400=$G48)*($H$5:$H$400=$H48)*($O$5:$O$400="Active")),0)</f>
        <v>1</v>
      </c>
      <c r="Y48" s="103" t="n">
        <f aca="false">IF(AND($O48="Active",OR($Q48="—",$Q48="")),1,0)</f>
        <v>0</v>
      </c>
      <c r="Z48" s="103" t="n">
        <f aca="false">IF(AND($O48="Active",$L48="利害關係方",OR($R48="—",$R48="")),1,0)</f>
        <v>1</v>
      </c>
    </row>
    <row r="49" customFormat="false" ht="29.85" hidden="false" customHeight="false" outlineLevel="0" collapsed="false">
      <c r="A49" s="53" t="s">
        <v>4120</v>
      </c>
      <c r="B49" s="5" t="s">
        <v>4121</v>
      </c>
      <c r="C49" s="128" t="n">
        <v>1</v>
      </c>
      <c r="D49" s="52"/>
      <c r="E49" s="52"/>
      <c r="F49" s="53" t="s">
        <v>4105</v>
      </c>
      <c r="G49" s="52" t="s">
        <v>4106</v>
      </c>
      <c r="H49" s="53" t="s">
        <v>1179</v>
      </c>
      <c r="I49" s="53" t="s">
        <v>4058</v>
      </c>
      <c r="J49" s="6" t="s">
        <v>4122</v>
      </c>
      <c r="K49" s="52" t="n">
        <v>2</v>
      </c>
      <c r="L49" s="52" t="s">
        <v>3604</v>
      </c>
      <c r="M49" s="6" t="s">
        <v>4122</v>
      </c>
      <c r="N49" s="52" t="s">
        <v>3618</v>
      </c>
      <c r="O49" s="53" t="s">
        <v>3607</v>
      </c>
      <c r="P49" s="53" t="s">
        <v>554</v>
      </c>
      <c r="Q49" s="53" t="s">
        <v>4123</v>
      </c>
      <c r="R49" s="53" t="s">
        <v>554</v>
      </c>
      <c r="S49" s="53" t="s">
        <v>554</v>
      </c>
      <c r="T49" s="53" t="s">
        <v>554</v>
      </c>
      <c r="U49" s="53" t="s">
        <v>4124</v>
      </c>
      <c r="V49" s="6" t="s">
        <v>4110</v>
      </c>
      <c r="W49" s="6" t="s">
        <v>554</v>
      </c>
      <c r="X49" s="103" t="n">
        <f aca="false">IF($O49="Active",SUMPRODUCT(($B$5:$B$400=$B49)*($G$5:$G$400=$G49)*($H$5:$H$400=$H49)*($O$5:$O$400="Active")),0)</f>
        <v>1</v>
      </c>
      <c r="Y49" s="103" t="n">
        <f aca="false">IF(AND($O49="Active",OR($Q49="—",$Q49="")),1,0)</f>
        <v>0</v>
      </c>
      <c r="Z49" s="103" t="n">
        <f aca="false">IF(AND($O49="Active",$L49="利害關係方",OR($R49="—",$R49="")),1,0)</f>
        <v>1</v>
      </c>
    </row>
    <row r="50" customFormat="false" ht="29.85" hidden="false" customHeight="false" outlineLevel="0" collapsed="false">
      <c r="A50" s="53" t="s">
        <v>4125</v>
      </c>
      <c r="B50" s="6" t="s">
        <v>4126</v>
      </c>
      <c r="C50" s="128" t="n">
        <v>1.5</v>
      </c>
      <c r="D50" s="52"/>
      <c r="E50" s="52"/>
      <c r="F50" s="53" t="s">
        <v>73</v>
      </c>
      <c r="G50" s="52" t="s">
        <v>4127</v>
      </c>
      <c r="H50" s="53" t="s">
        <v>1179</v>
      </c>
      <c r="I50" s="53" t="s">
        <v>4058</v>
      </c>
      <c r="J50" s="6" t="s">
        <v>4122</v>
      </c>
      <c r="K50" s="52" t="n">
        <v>2</v>
      </c>
      <c r="L50" s="52" t="s">
        <v>3604</v>
      </c>
      <c r="M50" s="6" t="s">
        <v>4122</v>
      </c>
      <c r="N50" s="52" t="s">
        <v>3618</v>
      </c>
      <c r="O50" s="53" t="s">
        <v>3607</v>
      </c>
      <c r="P50" s="53" t="s">
        <v>554</v>
      </c>
      <c r="Q50" s="53" t="s">
        <v>4123</v>
      </c>
      <c r="R50" s="53" t="s">
        <v>554</v>
      </c>
      <c r="S50" s="53" t="s">
        <v>554</v>
      </c>
      <c r="T50" s="53" t="s">
        <v>554</v>
      </c>
      <c r="U50" s="53" t="s">
        <v>4124</v>
      </c>
      <c r="V50" s="6" t="s">
        <v>554</v>
      </c>
      <c r="W50" s="6" t="s">
        <v>554</v>
      </c>
      <c r="X50" s="103" t="n">
        <f aca="false">IF($O50="Active",SUMPRODUCT(($B$5:$B$400=$B50)*($G$5:$G$400=$G50)*($H$5:$H$400=$H50)*($O$5:$O$400="Active")),0)</f>
        <v>1</v>
      </c>
      <c r="Y50" s="103" t="n">
        <f aca="false">IF(AND($O50="Active",OR($Q50="—",$Q50="")),1,0)</f>
        <v>0</v>
      </c>
      <c r="Z50" s="103" t="n">
        <f aca="false">IF(AND($O50="Active",$L50="利害關係方",OR($R50="—",$R50="")),1,0)</f>
        <v>1</v>
      </c>
    </row>
    <row r="51" customFormat="false" ht="15" hidden="false" customHeight="false" outlineLevel="0" collapsed="false">
      <c r="A51" s="53" t="s">
        <v>4128</v>
      </c>
      <c r="B51" s="5" t="s">
        <v>4129</v>
      </c>
      <c r="C51" s="128" t="n">
        <v>1</v>
      </c>
      <c r="D51" s="52"/>
      <c r="E51" s="52"/>
      <c r="F51" s="53" t="s">
        <v>4105</v>
      </c>
      <c r="G51" s="52" t="s">
        <v>4106</v>
      </c>
      <c r="H51" s="53" t="s">
        <v>4130</v>
      </c>
      <c r="I51" s="53" t="s">
        <v>4077</v>
      </c>
      <c r="J51" s="6" t="s">
        <v>4131</v>
      </c>
      <c r="K51" s="52" t="n">
        <v>1</v>
      </c>
      <c r="L51" s="52" t="s">
        <v>3604</v>
      </c>
      <c r="M51" s="6" t="s">
        <v>4132</v>
      </c>
      <c r="N51" s="52" t="s">
        <v>4030</v>
      </c>
      <c r="O51" s="53" t="s">
        <v>3607</v>
      </c>
      <c r="P51" s="53" t="s">
        <v>554</v>
      </c>
      <c r="Q51" s="53" t="s">
        <v>4133</v>
      </c>
      <c r="R51" s="53" t="s">
        <v>554</v>
      </c>
      <c r="S51" s="53" t="s">
        <v>554</v>
      </c>
      <c r="T51" s="53" t="s">
        <v>554</v>
      </c>
      <c r="U51" s="53" t="s">
        <v>4134</v>
      </c>
      <c r="V51" s="6" t="s">
        <v>4110</v>
      </c>
      <c r="W51" s="6" t="s">
        <v>554</v>
      </c>
      <c r="X51" s="103" t="n">
        <f aca="false">IF($O51="Active",SUMPRODUCT(($B$5:$B$400=$B51)*($G$5:$G$400=$G51)*($H$5:$H$400=$H51)*($O$5:$O$400="Active")),0)</f>
        <v>1</v>
      </c>
      <c r="Y51" s="103" t="n">
        <f aca="false">IF(AND($O51="Active",OR($Q51="—",$Q51="")),1,0)</f>
        <v>0</v>
      </c>
      <c r="Z51" s="103" t="n">
        <f aca="false">IF(AND($O51="Active",$L51="利害關係方",OR($R51="—",$R51="")),1,0)</f>
        <v>1</v>
      </c>
    </row>
    <row r="52" customFormat="false" ht="15" hidden="false" customHeight="false" outlineLevel="0" collapsed="false">
      <c r="A52" s="53" t="s">
        <v>4135</v>
      </c>
      <c r="B52" s="6" t="s">
        <v>4136</v>
      </c>
      <c r="C52" s="128" t="n">
        <v>10.7</v>
      </c>
      <c r="D52" s="52"/>
      <c r="E52" s="52"/>
      <c r="F52" s="53" t="s">
        <v>73</v>
      </c>
      <c r="G52" s="52" t="s">
        <v>4137</v>
      </c>
      <c r="H52" s="53" t="s">
        <v>4130</v>
      </c>
      <c r="I52" s="53" t="s">
        <v>4077</v>
      </c>
      <c r="J52" s="6" t="s">
        <v>4131</v>
      </c>
      <c r="K52" s="52" t="n">
        <v>1</v>
      </c>
      <c r="L52" s="52" t="s">
        <v>3604</v>
      </c>
      <c r="M52" s="6" t="s">
        <v>4132</v>
      </c>
      <c r="N52" s="52" t="s">
        <v>4030</v>
      </c>
      <c r="O52" s="53" t="s">
        <v>3607</v>
      </c>
      <c r="P52" s="53" t="s">
        <v>554</v>
      </c>
      <c r="Q52" s="53" t="s">
        <v>4133</v>
      </c>
      <c r="R52" s="53" t="s">
        <v>554</v>
      </c>
      <c r="S52" s="53" t="s">
        <v>554</v>
      </c>
      <c r="T52" s="53" t="s">
        <v>554</v>
      </c>
      <c r="U52" s="53" t="s">
        <v>4134</v>
      </c>
      <c r="V52" s="6" t="s">
        <v>554</v>
      </c>
      <c r="W52" s="6" t="s">
        <v>554</v>
      </c>
      <c r="X52" s="103" t="n">
        <f aca="false">IF($O52="Active",SUMPRODUCT(($B$5:$B$400=$B52)*($G$5:$G$400=$G52)*($H$5:$H$400=$H52)*($O$5:$O$400="Active")),0)</f>
        <v>1</v>
      </c>
      <c r="Y52" s="103" t="n">
        <f aca="false">IF(AND($O52="Active",OR($Q52="—",$Q52="")),1,0)</f>
        <v>0</v>
      </c>
      <c r="Z52" s="103" t="n">
        <f aca="false">IF(AND($O52="Active",$L52="利害關係方",OR($R52="—",$R52="")),1,0)</f>
        <v>1</v>
      </c>
    </row>
    <row r="53" customFormat="false" ht="29.85" hidden="false" customHeight="false" outlineLevel="0" collapsed="false">
      <c r="A53" s="53" t="s">
        <v>3133</v>
      </c>
      <c r="B53" s="6" t="s">
        <v>4138</v>
      </c>
      <c r="C53" s="128" t="n">
        <v>128</v>
      </c>
      <c r="D53" s="52"/>
      <c r="E53" s="52"/>
      <c r="F53" s="52" t="s">
        <v>340</v>
      </c>
      <c r="G53" s="53" t="s">
        <v>4139</v>
      </c>
      <c r="H53" s="53" t="s">
        <v>4007</v>
      </c>
      <c r="I53" s="53" t="s">
        <v>554</v>
      </c>
      <c r="J53" s="6" t="s">
        <v>3857</v>
      </c>
      <c r="K53" s="52" t="n">
        <v>3</v>
      </c>
      <c r="L53" s="52" t="s">
        <v>3604</v>
      </c>
      <c r="M53" s="6" t="s">
        <v>4140</v>
      </c>
      <c r="N53" s="52" t="s">
        <v>3606</v>
      </c>
      <c r="O53" s="53" t="s">
        <v>3607</v>
      </c>
      <c r="P53" s="53" t="s">
        <v>554</v>
      </c>
      <c r="Q53" s="53" t="s">
        <v>3858</v>
      </c>
      <c r="R53" s="53" t="s">
        <v>554</v>
      </c>
      <c r="S53" s="53" t="s">
        <v>554</v>
      </c>
      <c r="T53" s="53" t="s">
        <v>554</v>
      </c>
      <c r="U53" s="53" t="s">
        <v>3859</v>
      </c>
      <c r="V53" s="6" t="s">
        <v>554</v>
      </c>
      <c r="W53" s="6" t="s">
        <v>3860</v>
      </c>
      <c r="X53" s="103" t="n">
        <f aca="false">IF($O53="Active",SUMPRODUCT(($B$5:$B$400=$B53)*($G$5:$G$400=$G53)*($H$5:$H$400=$H53)*($O$5:$O$400="Active")),0)</f>
        <v>1</v>
      </c>
      <c r="Y53" s="103" t="n">
        <f aca="false">IF(AND($O53="Active",OR($Q53="—",$Q53="")),1,0)</f>
        <v>0</v>
      </c>
      <c r="Z53" s="103" t="n">
        <f aca="false">IF(AND($O53="Active",$L53="利害關係方",OR($R53="—",$R53="")),1,0)</f>
        <v>1</v>
      </c>
    </row>
    <row r="54" customFormat="false" ht="29.85" hidden="false" customHeight="false" outlineLevel="0" collapsed="false">
      <c r="A54" s="53" t="s">
        <v>4141</v>
      </c>
      <c r="B54" s="6" t="s">
        <v>4142</v>
      </c>
      <c r="C54" s="128" t="n">
        <v>192</v>
      </c>
      <c r="D54" s="52"/>
      <c r="E54" s="52"/>
      <c r="F54" s="52" t="s">
        <v>3960</v>
      </c>
      <c r="G54" s="53" t="s">
        <v>4139</v>
      </c>
      <c r="H54" s="53" t="s">
        <v>4007</v>
      </c>
      <c r="I54" s="53" t="s">
        <v>554</v>
      </c>
      <c r="J54" s="6" t="s">
        <v>3857</v>
      </c>
      <c r="K54" s="52" t="n">
        <v>3</v>
      </c>
      <c r="L54" s="52" t="s">
        <v>3604</v>
      </c>
      <c r="M54" s="6" t="s">
        <v>4140</v>
      </c>
      <c r="N54" s="52" t="s">
        <v>3606</v>
      </c>
      <c r="O54" s="53" t="s">
        <v>3607</v>
      </c>
      <c r="P54" s="53" t="s">
        <v>554</v>
      </c>
      <c r="Q54" s="53" t="s">
        <v>3858</v>
      </c>
      <c r="R54" s="53" t="s">
        <v>554</v>
      </c>
      <c r="S54" s="53" t="s">
        <v>554</v>
      </c>
      <c r="T54" s="53" t="s">
        <v>554</v>
      </c>
      <c r="U54" s="53" t="s">
        <v>3859</v>
      </c>
      <c r="V54" s="6" t="s">
        <v>554</v>
      </c>
      <c r="W54" s="6" t="s">
        <v>3860</v>
      </c>
      <c r="X54" s="103" t="n">
        <f aca="false">IF($O54="Active",SUMPRODUCT(($B$5:$B$400=$B54)*($G$5:$G$400=$G54)*($H$5:$H$400=$H54)*($O$5:$O$400="Active")),0)</f>
        <v>1</v>
      </c>
      <c r="Y54" s="103" t="n">
        <f aca="false">IF(AND($O54="Active",OR($Q54="—",$Q54="")),1,0)</f>
        <v>0</v>
      </c>
      <c r="Z54" s="103" t="n">
        <f aca="false">IF(AND($O54="Active",$L54="利害關係方",OR($R54="—",$R54="")),1,0)</f>
        <v>1</v>
      </c>
    </row>
    <row r="55" customFormat="false" ht="29.85" hidden="false" customHeight="false" outlineLevel="0" collapsed="false">
      <c r="A55" s="53" t="s">
        <v>4143</v>
      </c>
      <c r="B55" s="6" t="s">
        <v>4144</v>
      </c>
      <c r="C55" s="128" t="n">
        <v>128</v>
      </c>
      <c r="D55" s="52"/>
      <c r="E55" s="52"/>
      <c r="F55" s="52" t="s">
        <v>3960</v>
      </c>
      <c r="G55" s="53" t="s">
        <v>4139</v>
      </c>
      <c r="H55" s="53" t="s">
        <v>4007</v>
      </c>
      <c r="I55" s="53" t="s">
        <v>554</v>
      </c>
      <c r="J55" s="6" t="s">
        <v>3857</v>
      </c>
      <c r="K55" s="52" t="n">
        <v>3</v>
      </c>
      <c r="L55" s="52" t="s">
        <v>3604</v>
      </c>
      <c r="M55" s="6" t="s">
        <v>4140</v>
      </c>
      <c r="N55" s="52" t="s">
        <v>3606</v>
      </c>
      <c r="O55" s="53" t="s">
        <v>3607</v>
      </c>
      <c r="P55" s="53" t="s">
        <v>554</v>
      </c>
      <c r="Q55" s="53" t="s">
        <v>3858</v>
      </c>
      <c r="R55" s="53" t="s">
        <v>554</v>
      </c>
      <c r="S55" s="53" t="s">
        <v>554</v>
      </c>
      <c r="T55" s="53" t="s">
        <v>554</v>
      </c>
      <c r="U55" s="53" t="s">
        <v>3859</v>
      </c>
      <c r="V55" s="6" t="s">
        <v>554</v>
      </c>
      <c r="W55" s="6" t="s">
        <v>3860</v>
      </c>
      <c r="X55" s="103" t="n">
        <f aca="false">IF($O55="Active",SUMPRODUCT(($B$5:$B$400=$B55)*($G$5:$G$400=$G55)*($H$5:$H$400=$H55)*($O$5:$O$400="Active")),0)</f>
        <v>1</v>
      </c>
      <c r="Y55" s="103" t="n">
        <f aca="false">IF(AND($O55="Active",OR($Q55="—",$Q55="")),1,0)</f>
        <v>0</v>
      </c>
      <c r="Z55" s="103" t="n">
        <f aca="false">IF(AND($O55="Active",$L55="利害關係方",OR($R55="—",$R55="")),1,0)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30"/>
    <col collapsed="false" customWidth="true" hidden="false" outlineLevel="0" max="23" min="23" style="0" width="36"/>
    <col collapsed="false" customWidth="true" hidden="false" outlineLevel="0" max="26" min="24" style="0" width="10"/>
    <col collapsed="false" customWidth="true" hidden="false" outlineLevel="0" max="27" min="27" style="0" width="16"/>
    <col collapsed="false" customWidth="true" hidden="false" outlineLevel="0" max="28" min="28" style="0" width="22"/>
    <col collapsed="false" customWidth="true" hidden="false" outlineLevel="0" max="30" min="29" style="0" width="7"/>
    <col collapsed="false" customWidth="true" hidden="false" outlineLevel="0" max="31" min="31" style="0" width="9"/>
    <col collapsed="false" customWidth="true" hidden="false" outlineLevel="0" max="32" min="32" style="0" width="8"/>
    <col collapsed="false" customWidth="true" hidden="false" outlineLevel="0" max="33" min="33" style="0" width="14"/>
  </cols>
  <sheetData>
    <row r="1" customFormat="false" ht="20.1" hidden="false" customHeight="false" outlineLevel="0" collapsed="false">
      <c r="A1" s="49" t="s">
        <v>4145</v>
      </c>
    </row>
    <row r="2" customFormat="false" ht="15" hidden="false" customHeight="false" outlineLevel="0" collapsed="false">
      <c r="A2" s="64" t="s">
        <v>3579</v>
      </c>
    </row>
    <row r="3" customFormat="false" ht="15" hidden="false" customHeight="false" outlineLevel="0" collapsed="false">
      <c r="A3" s="64" t="s">
        <v>3580</v>
      </c>
    </row>
    <row r="4" customFormat="false" ht="44" hidden="false" customHeight="false" outlineLevel="0" collapsed="false">
      <c r="A4" s="75" t="s">
        <v>3581</v>
      </c>
      <c r="B4" s="74" t="s">
        <v>1649</v>
      </c>
      <c r="C4" s="74" t="s">
        <v>3582</v>
      </c>
      <c r="D4" s="74" t="s">
        <v>1078</v>
      </c>
      <c r="E4" s="74" t="s">
        <v>1079</v>
      </c>
      <c r="F4" s="74" t="s">
        <v>53</v>
      </c>
      <c r="G4" s="74" t="s">
        <v>410</v>
      </c>
      <c r="H4" s="74" t="s">
        <v>3583</v>
      </c>
      <c r="I4" s="74" t="s">
        <v>3277</v>
      </c>
      <c r="J4" s="74" t="s">
        <v>3280</v>
      </c>
      <c r="K4" s="74" t="s">
        <v>3463</v>
      </c>
      <c r="L4" s="74" t="s">
        <v>3584</v>
      </c>
      <c r="M4" s="74" t="s">
        <v>3585</v>
      </c>
      <c r="N4" s="74" t="s">
        <v>3586</v>
      </c>
      <c r="O4" s="74" t="s">
        <v>541</v>
      </c>
      <c r="P4" s="74" t="s">
        <v>3587</v>
      </c>
      <c r="Q4" s="75" t="s">
        <v>3588</v>
      </c>
      <c r="R4" s="74" t="s">
        <v>3589</v>
      </c>
      <c r="S4" s="74" t="s">
        <v>3590</v>
      </c>
      <c r="T4" s="75" t="s">
        <v>3591</v>
      </c>
      <c r="U4" s="74" t="s">
        <v>3592</v>
      </c>
      <c r="V4" s="74" t="s">
        <v>3593</v>
      </c>
      <c r="W4" s="74" t="s">
        <v>3594</v>
      </c>
      <c r="X4" s="74" t="s">
        <v>3595</v>
      </c>
      <c r="Y4" s="74" t="s">
        <v>3596</v>
      </c>
      <c r="Z4" s="74" t="s">
        <v>3597</v>
      </c>
      <c r="AA4" s="74" t="s">
        <v>4146</v>
      </c>
      <c r="AB4" s="74" t="s">
        <v>391</v>
      </c>
      <c r="AC4" s="75" t="s">
        <v>398</v>
      </c>
      <c r="AD4" s="75" t="s">
        <v>399</v>
      </c>
      <c r="AE4" s="74" t="s">
        <v>4147</v>
      </c>
      <c r="AF4" s="75" t="s">
        <v>4148</v>
      </c>
      <c r="AG4" s="75" t="s">
        <v>4149</v>
      </c>
    </row>
    <row r="5" customFormat="false" ht="29.85" hidden="false" customHeight="false" outlineLevel="0" collapsed="false">
      <c r="A5" s="53" t="s">
        <v>3022</v>
      </c>
      <c r="B5" s="6" t="s">
        <v>4150</v>
      </c>
      <c r="C5" s="128" t="n">
        <v>6182</v>
      </c>
      <c r="D5" s="52"/>
      <c r="E5" s="52"/>
      <c r="F5" s="53" t="s">
        <v>4151</v>
      </c>
      <c r="G5" s="53" t="s">
        <v>4152</v>
      </c>
      <c r="H5" s="53" t="s">
        <v>137</v>
      </c>
      <c r="I5" s="53" t="s">
        <v>4153</v>
      </c>
      <c r="J5" s="6" t="s">
        <v>4154</v>
      </c>
      <c r="K5" s="52" t="n">
        <v>1</v>
      </c>
      <c r="L5" s="52" t="s">
        <v>3604</v>
      </c>
      <c r="M5" s="6" t="s">
        <v>4155</v>
      </c>
      <c r="N5" s="52" t="s">
        <v>4030</v>
      </c>
      <c r="O5" s="53" t="s">
        <v>3607</v>
      </c>
      <c r="P5" s="53" t="s">
        <v>554</v>
      </c>
      <c r="Q5" s="53" t="s">
        <v>4156</v>
      </c>
      <c r="R5" s="53" t="s">
        <v>554</v>
      </c>
      <c r="S5" s="53" t="s">
        <v>554</v>
      </c>
      <c r="T5" s="53" t="s">
        <v>554</v>
      </c>
      <c r="U5" s="53" t="s">
        <v>404</v>
      </c>
      <c r="V5" s="6" t="s">
        <v>4157</v>
      </c>
      <c r="W5" s="5" t="s">
        <v>4158</v>
      </c>
      <c r="X5" s="103" t="n">
        <f aca="false">IF($O5="Active",SUMPRODUCT(($B$5:$B$400=$B5)*($G$5:$G$400=$G5)*($H$5:$H$400=$H5)*($O$5:$O$400="Active")),0)</f>
        <v>1</v>
      </c>
      <c r="Y5" s="103" t="n">
        <f aca="false">IF(AND($O5="Active",OR($Q5="—",$Q5="")),1,0)</f>
        <v>0</v>
      </c>
      <c r="Z5" s="103" t="n">
        <f aca="false">IF(AND($O5="Active",$L5="利害關係方",OR($R5="—",$R5="")),1,0)</f>
        <v>1</v>
      </c>
      <c r="AA5" s="53" t="s">
        <v>4159</v>
      </c>
      <c r="AB5" s="53" t="s">
        <v>4160</v>
      </c>
      <c r="AC5" s="128" t="n">
        <v>8192</v>
      </c>
      <c r="AD5" s="128" t="n">
        <v>1024</v>
      </c>
      <c r="AE5" s="128" t="n">
        <v>27</v>
      </c>
      <c r="AF5" s="128" t="n">
        <v>0</v>
      </c>
      <c r="AG5" s="52" t="s">
        <v>4161</v>
      </c>
    </row>
    <row r="6" customFormat="false" ht="29.85" hidden="false" customHeight="false" outlineLevel="0" collapsed="false">
      <c r="A6" s="53" t="s">
        <v>3029</v>
      </c>
      <c r="B6" s="6" t="s">
        <v>4162</v>
      </c>
      <c r="C6" s="128" t="n">
        <v>2189</v>
      </c>
      <c r="D6" s="52"/>
      <c r="E6" s="52"/>
      <c r="F6" s="53" t="s">
        <v>4151</v>
      </c>
      <c r="G6" s="53" t="s">
        <v>4152</v>
      </c>
      <c r="H6" s="53" t="s">
        <v>136</v>
      </c>
      <c r="I6" s="53" t="s">
        <v>4153</v>
      </c>
      <c r="J6" s="6" t="s">
        <v>4154</v>
      </c>
      <c r="K6" s="52" t="n">
        <v>1</v>
      </c>
      <c r="L6" s="52" t="s">
        <v>3604</v>
      </c>
      <c r="M6" s="6" t="s">
        <v>4155</v>
      </c>
      <c r="N6" s="52" t="s">
        <v>4030</v>
      </c>
      <c r="O6" s="53" t="s">
        <v>3607</v>
      </c>
      <c r="P6" s="53" t="s">
        <v>554</v>
      </c>
      <c r="Q6" s="53" t="s">
        <v>4156</v>
      </c>
      <c r="R6" s="53" t="s">
        <v>554</v>
      </c>
      <c r="S6" s="53" t="s">
        <v>554</v>
      </c>
      <c r="T6" s="53" t="s">
        <v>554</v>
      </c>
      <c r="U6" s="53" t="s">
        <v>404</v>
      </c>
      <c r="V6" s="6" t="s">
        <v>4163</v>
      </c>
      <c r="W6" s="5" t="s">
        <v>4164</v>
      </c>
      <c r="X6" s="103" t="n">
        <f aca="false">IF($O6="Active",SUMPRODUCT(($B$5:$B$400=$B6)*($G$5:$G$400=$G6)*($H$5:$H$400=$H6)*($O$5:$O$400="Active")),0)</f>
        <v>1</v>
      </c>
      <c r="Y6" s="103" t="n">
        <f aca="false">IF(AND($O6="Active",OR($Q6="—",$Q6="")),1,0)</f>
        <v>0</v>
      </c>
      <c r="Z6" s="103" t="n">
        <f aca="false">IF(AND($O6="Active",$L6="利害關係方",OR($R6="—",$R6="")),1,0)</f>
        <v>1</v>
      </c>
      <c r="AA6" s="53" t="s">
        <v>4159</v>
      </c>
      <c r="AB6" s="53" t="s">
        <v>4160</v>
      </c>
      <c r="AC6" s="128" t="n">
        <v>8192</v>
      </c>
      <c r="AD6" s="128" t="n">
        <v>1024</v>
      </c>
      <c r="AE6" s="128" t="n">
        <v>27</v>
      </c>
      <c r="AF6" s="128" t="n">
        <v>0</v>
      </c>
      <c r="AG6" s="52" t="s">
        <v>4161</v>
      </c>
    </row>
    <row r="7" customFormat="false" ht="29.85" hidden="false" customHeight="false" outlineLevel="0" collapsed="false">
      <c r="A7" s="53" t="s">
        <v>4165</v>
      </c>
      <c r="B7" s="6" t="s">
        <v>4166</v>
      </c>
      <c r="C7" s="128" t="n">
        <v>11056</v>
      </c>
      <c r="D7" s="52"/>
      <c r="E7" s="52"/>
      <c r="F7" s="53" t="s">
        <v>510</v>
      </c>
      <c r="G7" s="53" t="s">
        <v>554</v>
      </c>
      <c r="H7" s="53" t="s">
        <v>137</v>
      </c>
      <c r="I7" s="53" t="s">
        <v>4153</v>
      </c>
      <c r="J7" s="6" t="s">
        <v>4154</v>
      </c>
      <c r="K7" s="52" t="n">
        <v>1</v>
      </c>
      <c r="L7" s="52" t="s">
        <v>3604</v>
      </c>
      <c r="M7" s="6" t="s">
        <v>4155</v>
      </c>
      <c r="N7" s="52" t="s">
        <v>4030</v>
      </c>
      <c r="O7" s="53" t="s">
        <v>3607</v>
      </c>
      <c r="P7" s="53" t="s">
        <v>554</v>
      </c>
      <c r="Q7" s="53" t="s">
        <v>4156</v>
      </c>
      <c r="R7" s="53" t="s">
        <v>554</v>
      </c>
      <c r="S7" s="53" t="s">
        <v>554</v>
      </c>
      <c r="T7" s="53" t="s">
        <v>554</v>
      </c>
      <c r="U7" s="53" t="s">
        <v>404</v>
      </c>
      <c r="V7" s="6" t="s">
        <v>554</v>
      </c>
      <c r="W7" s="6" t="s">
        <v>554</v>
      </c>
      <c r="X7" s="103" t="n">
        <f aca="false">IF($O7="Active",SUMPRODUCT(($B$5:$B$400=$B7)*($G$5:$G$400=$G7)*($H$5:$H$400=$H7)*($O$5:$O$400="Active")),0)</f>
        <v>1</v>
      </c>
      <c r="Y7" s="103" t="n">
        <f aca="false">IF(AND($O7="Active",OR($Q7="—",$Q7="")),1,0)</f>
        <v>0</v>
      </c>
      <c r="Z7" s="103" t="n">
        <f aca="false">IF(AND($O7="Active",$L7="利害關係方",OR($R7="—",$R7="")),1,0)</f>
        <v>1</v>
      </c>
    </row>
    <row r="8" customFormat="false" ht="23.85" hidden="false" customHeight="false" outlineLevel="0" collapsed="false">
      <c r="A8" s="53" t="s">
        <v>3016</v>
      </c>
      <c r="B8" s="6" t="s">
        <v>4167</v>
      </c>
      <c r="C8" s="128" t="n">
        <v>11200</v>
      </c>
      <c r="D8" s="52"/>
      <c r="E8" s="52"/>
      <c r="F8" s="53" t="s">
        <v>4151</v>
      </c>
      <c r="G8" s="53" t="s">
        <v>4152</v>
      </c>
      <c r="H8" s="53" t="s">
        <v>137</v>
      </c>
      <c r="I8" s="53" t="s">
        <v>4168</v>
      </c>
      <c r="J8" s="6" t="s">
        <v>4169</v>
      </c>
      <c r="K8" s="52" t="n">
        <v>1</v>
      </c>
      <c r="L8" s="52" t="s">
        <v>3604</v>
      </c>
      <c r="M8" s="6" t="s">
        <v>4170</v>
      </c>
      <c r="N8" s="52" t="s">
        <v>4030</v>
      </c>
      <c r="O8" s="53" t="s">
        <v>3607</v>
      </c>
      <c r="P8" s="53" t="s">
        <v>554</v>
      </c>
      <c r="Q8" s="53" t="s">
        <v>4171</v>
      </c>
      <c r="R8" s="53" t="s">
        <v>554</v>
      </c>
      <c r="S8" s="53" t="s">
        <v>554</v>
      </c>
      <c r="T8" s="53" t="s">
        <v>554</v>
      </c>
      <c r="U8" s="53" t="s">
        <v>403</v>
      </c>
      <c r="V8" s="6" t="s">
        <v>4172</v>
      </c>
      <c r="W8" s="6" t="s">
        <v>554</v>
      </c>
      <c r="X8" s="103" t="n">
        <f aca="false">IF($O8="Active",SUMPRODUCT(($B$5:$B$400=$B8)*($G$5:$G$400=$G8)*($H$5:$H$400=$H8)*($O$5:$O$400="Active")),0)</f>
        <v>1</v>
      </c>
      <c r="Y8" s="103" t="n">
        <f aca="false">IF(AND($O8="Active",OR($Q8="—",$Q8="")),1,0)</f>
        <v>0</v>
      </c>
      <c r="Z8" s="103" t="n">
        <f aca="false">IF(AND($O8="Active",$L8="利害關係方",OR($R8="—",$R8="")),1,0)</f>
        <v>1</v>
      </c>
      <c r="AA8" s="53" t="s">
        <v>4159</v>
      </c>
      <c r="AB8" s="53" t="s">
        <v>4173</v>
      </c>
      <c r="AC8" s="128" t="n">
        <v>8192</v>
      </c>
      <c r="AD8" s="128" t="n">
        <v>1024</v>
      </c>
      <c r="AE8" s="128" t="n">
        <v>50</v>
      </c>
      <c r="AF8" s="128" t="n">
        <v>1</v>
      </c>
      <c r="AG8" s="52" t="s">
        <v>4161</v>
      </c>
    </row>
    <row r="9" customFormat="false" ht="23.85" hidden="false" customHeight="false" outlineLevel="0" collapsed="false">
      <c r="A9" s="53" t="s">
        <v>2874</v>
      </c>
      <c r="B9" s="6" t="s">
        <v>4174</v>
      </c>
      <c r="C9" s="128" t="n">
        <v>0.7</v>
      </c>
      <c r="D9" s="52"/>
      <c r="E9" s="52"/>
      <c r="F9" s="53" t="s">
        <v>69</v>
      </c>
      <c r="G9" s="53" t="s">
        <v>4175</v>
      </c>
      <c r="H9" s="53" t="s">
        <v>3980</v>
      </c>
      <c r="I9" s="53" t="s">
        <v>4168</v>
      </c>
      <c r="J9" s="6" t="s">
        <v>4169</v>
      </c>
      <c r="K9" s="52" t="n">
        <v>1</v>
      </c>
      <c r="L9" s="52" t="s">
        <v>3604</v>
      </c>
      <c r="M9" s="6" t="s">
        <v>4170</v>
      </c>
      <c r="N9" s="52" t="s">
        <v>4030</v>
      </c>
      <c r="O9" s="53" t="s">
        <v>3607</v>
      </c>
      <c r="P9" s="53" t="s">
        <v>554</v>
      </c>
      <c r="Q9" s="53" t="s">
        <v>4171</v>
      </c>
      <c r="R9" s="53" t="s">
        <v>554</v>
      </c>
      <c r="S9" s="53" t="s">
        <v>554</v>
      </c>
      <c r="T9" s="53" t="s">
        <v>554</v>
      </c>
      <c r="U9" s="53" t="s">
        <v>403</v>
      </c>
      <c r="V9" s="6" t="s">
        <v>4176</v>
      </c>
      <c r="W9" s="5" t="s">
        <v>4177</v>
      </c>
      <c r="X9" s="103" t="n">
        <f aca="false">IF($O9="Active",SUMPRODUCT(($B$5:$B$400=$B9)*($G$5:$G$400=$G9)*($H$5:$H$400=$H9)*($O$5:$O$400="Active")),0)</f>
        <v>1</v>
      </c>
      <c r="Y9" s="103" t="n">
        <f aca="false">IF(AND($O9="Active",OR($Q9="—",$Q9="")),1,0)</f>
        <v>0</v>
      </c>
      <c r="Z9" s="103" t="n">
        <f aca="false">IF(AND($O9="Active",$L9="利害關係方",OR($R9="—",$R9="")),1,0)</f>
        <v>1</v>
      </c>
    </row>
    <row r="10" customFormat="false" ht="23.85" hidden="false" customHeight="false" outlineLevel="0" collapsed="false">
      <c r="A10" s="53" t="s">
        <v>4178</v>
      </c>
      <c r="B10" s="6" t="s">
        <v>4179</v>
      </c>
      <c r="C10" s="128" t="n">
        <v>0.57</v>
      </c>
      <c r="D10" s="52"/>
      <c r="E10" s="52"/>
      <c r="F10" s="53" t="s">
        <v>69</v>
      </c>
      <c r="G10" s="53" t="s">
        <v>4180</v>
      </c>
      <c r="H10" s="53" t="s">
        <v>3980</v>
      </c>
      <c r="I10" s="53" t="s">
        <v>4168</v>
      </c>
      <c r="J10" s="6" t="s">
        <v>4169</v>
      </c>
      <c r="K10" s="52" t="n">
        <v>1</v>
      </c>
      <c r="L10" s="52" t="s">
        <v>3604</v>
      </c>
      <c r="M10" s="6" t="s">
        <v>4170</v>
      </c>
      <c r="N10" s="52" t="s">
        <v>4030</v>
      </c>
      <c r="O10" s="53" t="s">
        <v>4181</v>
      </c>
      <c r="P10" s="53" t="s">
        <v>554</v>
      </c>
      <c r="Q10" s="53" t="s">
        <v>4171</v>
      </c>
      <c r="R10" s="53" t="s">
        <v>554</v>
      </c>
      <c r="S10" s="53" t="s">
        <v>554</v>
      </c>
      <c r="T10" s="53" t="s">
        <v>554</v>
      </c>
      <c r="U10" s="53" t="s">
        <v>403</v>
      </c>
      <c r="V10" s="6" t="s">
        <v>554</v>
      </c>
      <c r="W10" s="5" t="s">
        <v>4182</v>
      </c>
      <c r="X10" s="103" t="n">
        <f aca="false">IF($O10="Active",SUMPRODUCT(($B$5:$B$400=$B10)*($G$5:$G$400=$G10)*($H$5:$H$400=$H10)*($O$5:$O$400="Active")),0)</f>
        <v>0</v>
      </c>
      <c r="Y10" s="103" t="n">
        <f aca="false">IF(AND($O10="Active",OR($Q10="—",$Q10="")),1,0)</f>
        <v>0</v>
      </c>
      <c r="Z10" s="103" t="n">
        <f aca="false">IF(AND($O10="Active",$L10="利害關係方",OR($R10="—",$R10="")),1,0)</f>
        <v>0</v>
      </c>
    </row>
    <row r="11" customFormat="false" ht="23.85" hidden="false" customHeight="false" outlineLevel="0" collapsed="false">
      <c r="A11" s="53" t="s">
        <v>2687</v>
      </c>
      <c r="B11" s="6" t="s">
        <v>4183</v>
      </c>
      <c r="C11" s="128" t="n">
        <v>4</v>
      </c>
      <c r="D11" s="52"/>
      <c r="E11" s="52"/>
      <c r="F11" s="53" t="s">
        <v>662</v>
      </c>
      <c r="G11" s="53" t="s">
        <v>4184</v>
      </c>
      <c r="H11" s="53" t="s">
        <v>137</v>
      </c>
      <c r="I11" s="53" t="s">
        <v>4168</v>
      </c>
      <c r="J11" s="6" t="s">
        <v>4169</v>
      </c>
      <c r="K11" s="52" t="n">
        <v>1</v>
      </c>
      <c r="L11" s="52" t="s">
        <v>3604</v>
      </c>
      <c r="M11" s="6" t="s">
        <v>4170</v>
      </c>
      <c r="N11" s="52" t="s">
        <v>4030</v>
      </c>
      <c r="O11" s="53" t="s">
        <v>3607</v>
      </c>
      <c r="P11" s="53" t="s">
        <v>554</v>
      </c>
      <c r="Q11" s="53" t="s">
        <v>4171</v>
      </c>
      <c r="R11" s="53" t="s">
        <v>554</v>
      </c>
      <c r="S11" s="53" t="s">
        <v>554</v>
      </c>
      <c r="T11" s="53" t="s">
        <v>554</v>
      </c>
      <c r="U11" s="53" t="s">
        <v>403</v>
      </c>
      <c r="V11" s="6" t="s">
        <v>4185</v>
      </c>
      <c r="W11" s="6" t="s">
        <v>4186</v>
      </c>
      <c r="X11" s="103" t="n">
        <f aca="false">IF($O11="Active",SUMPRODUCT(($B$5:$B$400=$B11)*($G$5:$G$400=$G11)*($H$5:$H$400=$H11)*($O$5:$O$400="Active")),0)</f>
        <v>1</v>
      </c>
      <c r="Y11" s="103" t="n">
        <f aca="false">IF(AND($O11="Active",OR($Q11="—",$Q11="")),1,0)</f>
        <v>0</v>
      </c>
      <c r="Z11" s="103" t="n">
        <f aca="false">IF(AND($O11="Active",$L11="利害關係方",OR($R11="—",$R11="")),1,0)</f>
        <v>1</v>
      </c>
    </row>
    <row r="12" customFormat="false" ht="23.85" hidden="false" customHeight="false" outlineLevel="0" collapsed="false">
      <c r="A12" s="53" t="s">
        <v>2654</v>
      </c>
      <c r="B12" s="6" t="s">
        <v>4187</v>
      </c>
      <c r="C12" s="128" t="n">
        <v>32</v>
      </c>
      <c r="D12" s="52"/>
      <c r="E12" s="52"/>
      <c r="F12" s="53" t="s">
        <v>662</v>
      </c>
      <c r="G12" s="53" t="s">
        <v>4188</v>
      </c>
      <c r="H12" s="53" t="s">
        <v>137</v>
      </c>
      <c r="I12" s="53" t="s">
        <v>4168</v>
      </c>
      <c r="J12" s="6" t="s">
        <v>4169</v>
      </c>
      <c r="K12" s="52" t="n">
        <v>1</v>
      </c>
      <c r="L12" s="52" t="s">
        <v>3604</v>
      </c>
      <c r="M12" s="6" t="s">
        <v>4170</v>
      </c>
      <c r="N12" s="52" t="s">
        <v>4030</v>
      </c>
      <c r="O12" s="53" t="s">
        <v>3607</v>
      </c>
      <c r="P12" s="53" t="s">
        <v>554</v>
      </c>
      <c r="Q12" s="53" t="s">
        <v>4171</v>
      </c>
      <c r="R12" s="53" t="s">
        <v>554</v>
      </c>
      <c r="S12" s="53" t="s">
        <v>554</v>
      </c>
      <c r="T12" s="53" t="s">
        <v>554</v>
      </c>
      <c r="U12" s="53" t="s">
        <v>403</v>
      </c>
      <c r="V12" s="6" t="s">
        <v>4189</v>
      </c>
      <c r="W12" s="6" t="s">
        <v>4186</v>
      </c>
      <c r="X12" s="103" t="n">
        <f aca="false">IF($O12="Active",SUMPRODUCT(($B$5:$B$400=$B12)*($G$5:$G$400=$G12)*($H$5:$H$400=$H12)*($O$5:$O$400="Active")),0)</f>
        <v>1</v>
      </c>
      <c r="Y12" s="103" t="n">
        <f aca="false">IF(AND($O12="Active",OR($Q12="—",$Q12="")),1,0)</f>
        <v>0</v>
      </c>
      <c r="Z12" s="103" t="n">
        <f aca="false">IF(AND($O12="Active",$L12="利害關係方",OR($R12="—",$R12="")),1,0)</f>
        <v>1</v>
      </c>
    </row>
    <row r="13" customFormat="false" ht="29.85" hidden="false" customHeight="false" outlineLevel="0" collapsed="false">
      <c r="A13" s="53" t="s">
        <v>3004</v>
      </c>
      <c r="B13" s="6" t="s">
        <v>4190</v>
      </c>
      <c r="C13" s="128" t="n">
        <v>9384.4</v>
      </c>
      <c r="D13" s="52"/>
      <c r="E13" s="52"/>
      <c r="F13" s="53" t="s">
        <v>4151</v>
      </c>
      <c r="G13" s="53" t="s">
        <v>4191</v>
      </c>
      <c r="H13" s="53" t="s">
        <v>137</v>
      </c>
      <c r="I13" s="52" t="s">
        <v>4192</v>
      </c>
      <c r="J13" s="6" t="s">
        <v>4193</v>
      </c>
      <c r="K13" s="52" t="n">
        <v>3</v>
      </c>
      <c r="L13" s="52" t="s">
        <v>3604</v>
      </c>
      <c r="M13" s="6" t="s">
        <v>4194</v>
      </c>
      <c r="N13" s="52" t="s">
        <v>4195</v>
      </c>
      <c r="O13" s="53" t="s">
        <v>3607</v>
      </c>
      <c r="P13" s="53" t="s">
        <v>554</v>
      </c>
      <c r="Q13" s="53" t="s">
        <v>4196</v>
      </c>
      <c r="R13" s="53" t="s">
        <v>554</v>
      </c>
      <c r="S13" s="53" t="s">
        <v>554</v>
      </c>
      <c r="T13" s="53" t="s">
        <v>554</v>
      </c>
      <c r="U13" s="53" t="s">
        <v>402</v>
      </c>
      <c r="V13" s="6" t="s">
        <v>4197</v>
      </c>
      <c r="W13" s="5" t="s">
        <v>4198</v>
      </c>
      <c r="X13" s="103" t="n">
        <f aca="false">IF($O13="Active",SUMPRODUCT(($B$5:$B$400=$B13)*($G$5:$G$400=$G13)*($H$5:$H$400=$H13)*($O$5:$O$400="Active")),0)</f>
        <v>1</v>
      </c>
      <c r="Y13" s="103" t="n">
        <f aca="false">IF(AND($O13="Active",OR($Q13="—",$Q13="")),1,0)</f>
        <v>0</v>
      </c>
      <c r="Z13" s="103" t="n">
        <f aca="false">IF(AND($O13="Active",$L13="利害關係方",OR($R13="—",$R13="")),1,0)</f>
        <v>1</v>
      </c>
      <c r="AA13" s="53" t="s">
        <v>4159</v>
      </c>
      <c r="AB13" s="53" t="s">
        <v>4199</v>
      </c>
      <c r="AC13" s="128" t="n">
        <v>8192</v>
      </c>
      <c r="AD13" s="128" t="n">
        <v>1024</v>
      </c>
      <c r="AE13" s="128" t="n">
        <v>72</v>
      </c>
      <c r="AF13" s="128" t="n">
        <v>1</v>
      </c>
      <c r="AG13" s="52" t="s">
        <v>4161</v>
      </c>
    </row>
    <row r="14" customFormat="false" ht="29.85" hidden="false" customHeight="false" outlineLevel="0" collapsed="false">
      <c r="A14" s="53" t="s">
        <v>3010</v>
      </c>
      <c r="B14" s="6" t="s">
        <v>4200</v>
      </c>
      <c r="C14" s="128" t="n">
        <v>3473.9</v>
      </c>
      <c r="D14" s="52"/>
      <c r="E14" s="52"/>
      <c r="F14" s="53" t="s">
        <v>4151</v>
      </c>
      <c r="G14" s="53" t="s">
        <v>4191</v>
      </c>
      <c r="H14" s="53" t="s">
        <v>137</v>
      </c>
      <c r="I14" s="52" t="s">
        <v>4192</v>
      </c>
      <c r="J14" s="6" t="s">
        <v>4193</v>
      </c>
      <c r="K14" s="52" t="n">
        <v>3</v>
      </c>
      <c r="L14" s="52" t="s">
        <v>3604</v>
      </c>
      <c r="M14" s="6" t="s">
        <v>4194</v>
      </c>
      <c r="N14" s="52" t="s">
        <v>4195</v>
      </c>
      <c r="O14" s="53" t="s">
        <v>3607</v>
      </c>
      <c r="P14" s="53" t="s">
        <v>554</v>
      </c>
      <c r="Q14" s="53" t="s">
        <v>4196</v>
      </c>
      <c r="R14" s="53" t="s">
        <v>554</v>
      </c>
      <c r="S14" s="53" t="s">
        <v>554</v>
      </c>
      <c r="T14" s="53" t="s">
        <v>554</v>
      </c>
      <c r="U14" s="53" t="s">
        <v>402</v>
      </c>
      <c r="V14" s="6" t="s">
        <v>4201</v>
      </c>
      <c r="W14" s="5" t="s">
        <v>4202</v>
      </c>
      <c r="X14" s="103" t="n">
        <f aca="false">IF($O14="Active",SUMPRODUCT(($B$5:$B$400=$B14)*($G$5:$G$400=$G14)*($H$5:$H$400=$H14)*($O$5:$O$400="Active")),0)</f>
        <v>1</v>
      </c>
      <c r="Y14" s="103" t="n">
        <f aca="false">IF(AND($O14="Active",OR($Q14="—",$Q14="")),1,0)</f>
        <v>0</v>
      </c>
      <c r="Z14" s="103" t="n">
        <f aca="false">IF(AND($O14="Active",$L14="利害關係方",OR($R14="—",$R14="")),1,0)</f>
        <v>1</v>
      </c>
      <c r="AA14" s="53" t="s">
        <v>4159</v>
      </c>
      <c r="AB14" s="53" t="s">
        <v>4199</v>
      </c>
      <c r="AC14" s="128" t="n">
        <v>8192</v>
      </c>
      <c r="AD14" s="128" t="n">
        <v>1024</v>
      </c>
      <c r="AE14" s="128" t="n">
        <v>130</v>
      </c>
      <c r="AF14" s="128" t="n">
        <v>1</v>
      </c>
      <c r="AG14" s="52" t="s">
        <v>4161</v>
      </c>
    </row>
    <row r="15" customFormat="false" ht="29.85" hidden="false" customHeight="false" outlineLevel="0" collapsed="false">
      <c r="A15" s="53" t="s">
        <v>1925</v>
      </c>
      <c r="B15" s="6" t="s">
        <v>4203</v>
      </c>
      <c r="C15" s="128" t="n">
        <v>0.078</v>
      </c>
      <c r="D15" s="52"/>
      <c r="E15" s="52"/>
      <c r="F15" s="53" t="s">
        <v>4204</v>
      </c>
      <c r="G15" s="53" t="s">
        <v>4205</v>
      </c>
      <c r="H15" s="53" t="s">
        <v>137</v>
      </c>
      <c r="I15" s="52" t="s">
        <v>4192</v>
      </c>
      <c r="J15" s="6" t="s">
        <v>4193</v>
      </c>
      <c r="K15" s="52" t="n">
        <v>3</v>
      </c>
      <c r="L15" s="52" t="s">
        <v>3604</v>
      </c>
      <c r="M15" s="6" t="s">
        <v>4194</v>
      </c>
      <c r="N15" s="52" t="s">
        <v>4195</v>
      </c>
      <c r="O15" s="53" t="s">
        <v>3607</v>
      </c>
      <c r="P15" s="53" t="s">
        <v>554</v>
      </c>
      <c r="Q15" s="53" t="s">
        <v>4196</v>
      </c>
      <c r="R15" s="53" t="s">
        <v>554</v>
      </c>
      <c r="S15" s="53" t="s">
        <v>554</v>
      </c>
      <c r="T15" s="53" t="s">
        <v>554</v>
      </c>
      <c r="U15" s="53" t="s">
        <v>402</v>
      </c>
      <c r="V15" s="6" t="s">
        <v>4206</v>
      </c>
      <c r="W15" s="6" t="s">
        <v>554</v>
      </c>
      <c r="X15" s="103" t="n">
        <f aca="false">IF($O15="Active",SUMPRODUCT(($B$5:$B$400=$B15)*($G$5:$G$400=$G15)*($H$5:$H$400=$H15)*($O$5:$O$400="Active")),0)</f>
        <v>1</v>
      </c>
      <c r="Y15" s="103" t="n">
        <f aca="false">IF(AND($O15="Active",OR($Q15="—",$Q15="")),1,0)</f>
        <v>0</v>
      </c>
      <c r="Z15" s="103" t="n">
        <f aca="false">IF(AND($O15="Active",$L15="利害關係方",OR($R15="—",$R15="")),1,0)</f>
        <v>1</v>
      </c>
    </row>
    <row r="16" customFormat="false" ht="29.85" hidden="false" customHeight="false" outlineLevel="0" collapsed="false">
      <c r="A16" s="53" t="s">
        <v>4207</v>
      </c>
      <c r="B16" s="6" t="s">
        <v>4208</v>
      </c>
      <c r="C16" s="128" t="n">
        <v>0.216</v>
      </c>
      <c r="D16" s="52"/>
      <c r="E16" s="52"/>
      <c r="F16" s="53" t="s">
        <v>4204</v>
      </c>
      <c r="G16" s="53" t="s">
        <v>4205</v>
      </c>
      <c r="H16" s="53" t="s">
        <v>137</v>
      </c>
      <c r="I16" s="52" t="s">
        <v>4192</v>
      </c>
      <c r="J16" s="6" t="s">
        <v>4193</v>
      </c>
      <c r="K16" s="52" t="n">
        <v>3</v>
      </c>
      <c r="L16" s="52" t="s">
        <v>3604</v>
      </c>
      <c r="M16" s="6" t="s">
        <v>4194</v>
      </c>
      <c r="N16" s="52" t="s">
        <v>4195</v>
      </c>
      <c r="O16" s="53" t="s">
        <v>3607</v>
      </c>
      <c r="P16" s="53" t="s">
        <v>554</v>
      </c>
      <c r="Q16" s="53" t="s">
        <v>4196</v>
      </c>
      <c r="R16" s="53" t="s">
        <v>554</v>
      </c>
      <c r="S16" s="53" t="s">
        <v>554</v>
      </c>
      <c r="T16" s="53" t="s">
        <v>554</v>
      </c>
      <c r="U16" s="53" t="s">
        <v>402</v>
      </c>
      <c r="V16" s="6" t="s">
        <v>554</v>
      </c>
      <c r="W16" s="6" t="s">
        <v>554</v>
      </c>
      <c r="X16" s="103" t="n">
        <f aca="false">IF($O16="Active",SUMPRODUCT(($B$5:$B$400=$B16)*($G$5:$G$400=$G16)*($H$5:$H$400=$H16)*($O$5:$O$400="Active")),0)</f>
        <v>1</v>
      </c>
      <c r="Y16" s="103" t="n">
        <f aca="false">IF(AND($O16="Active",OR($Q16="—",$Q16="")),1,0)</f>
        <v>0</v>
      </c>
      <c r="Z16" s="103" t="n">
        <f aca="false">IF(AND($O16="Active",$L16="利害關係方",OR($R16="—",$R16="")),1,0)</f>
        <v>1</v>
      </c>
    </row>
    <row r="17" customFormat="false" ht="29.85" hidden="false" customHeight="false" outlineLevel="0" collapsed="false">
      <c r="A17" s="53" t="s">
        <v>4209</v>
      </c>
      <c r="B17" s="6" t="s">
        <v>4210</v>
      </c>
      <c r="C17" s="128" t="n">
        <v>1.436</v>
      </c>
      <c r="D17" s="52"/>
      <c r="E17" s="52"/>
      <c r="F17" s="53" t="s">
        <v>4204</v>
      </c>
      <c r="G17" s="53" t="s">
        <v>4205</v>
      </c>
      <c r="H17" s="53" t="s">
        <v>137</v>
      </c>
      <c r="I17" s="52" t="s">
        <v>4192</v>
      </c>
      <c r="J17" s="6" t="s">
        <v>4193</v>
      </c>
      <c r="K17" s="52" t="n">
        <v>3</v>
      </c>
      <c r="L17" s="52" t="s">
        <v>3604</v>
      </c>
      <c r="M17" s="6" t="s">
        <v>4194</v>
      </c>
      <c r="N17" s="52" t="s">
        <v>4195</v>
      </c>
      <c r="O17" s="53" t="s">
        <v>3607</v>
      </c>
      <c r="P17" s="53" t="s">
        <v>554</v>
      </c>
      <c r="Q17" s="53" t="s">
        <v>4196</v>
      </c>
      <c r="R17" s="53" t="s">
        <v>554</v>
      </c>
      <c r="S17" s="53" t="s">
        <v>554</v>
      </c>
      <c r="T17" s="53" t="s">
        <v>554</v>
      </c>
      <c r="U17" s="53" t="s">
        <v>402</v>
      </c>
      <c r="V17" s="6" t="s">
        <v>554</v>
      </c>
      <c r="W17" s="6" t="s">
        <v>554</v>
      </c>
      <c r="X17" s="103" t="n">
        <f aca="false">IF($O17="Active",SUMPRODUCT(($B$5:$B$400=$B17)*($G$5:$G$400=$G17)*($H$5:$H$400=$H17)*($O$5:$O$400="Active")),0)</f>
        <v>1</v>
      </c>
      <c r="Y17" s="103" t="n">
        <f aca="false">IF(AND($O17="Active",OR($Q17="—",$Q17="")),1,0)</f>
        <v>0</v>
      </c>
      <c r="Z17" s="103" t="n">
        <f aca="false">IF(AND($O17="Active",$L17="利害關係方",OR($R17="—",$R17="")),1,0)</f>
        <v>1</v>
      </c>
    </row>
    <row r="18" customFormat="false" ht="29.85" hidden="false" customHeight="false" outlineLevel="0" collapsed="false">
      <c r="A18" s="53" t="s">
        <v>3039</v>
      </c>
      <c r="B18" s="6" t="s">
        <v>4211</v>
      </c>
      <c r="C18" s="128" t="n">
        <v>3795.5</v>
      </c>
      <c r="D18" s="52"/>
      <c r="E18" s="52"/>
      <c r="F18" s="53" t="s">
        <v>510</v>
      </c>
      <c r="G18" s="52" t="s">
        <v>4212</v>
      </c>
      <c r="H18" s="53" t="s">
        <v>136</v>
      </c>
      <c r="I18" s="53" t="s">
        <v>4213</v>
      </c>
      <c r="J18" s="6" t="s">
        <v>4214</v>
      </c>
      <c r="K18" s="52" t="n">
        <v>1</v>
      </c>
      <c r="L18" s="52" t="s">
        <v>3604</v>
      </c>
      <c r="M18" s="6" t="s">
        <v>4215</v>
      </c>
      <c r="N18" s="52" t="s">
        <v>4030</v>
      </c>
      <c r="O18" s="53" t="s">
        <v>3607</v>
      </c>
      <c r="P18" s="53" t="s">
        <v>554</v>
      </c>
      <c r="Q18" s="53" t="s">
        <v>4216</v>
      </c>
      <c r="R18" s="53" t="s">
        <v>554</v>
      </c>
      <c r="S18" s="53" t="s">
        <v>554</v>
      </c>
      <c r="T18" s="53" t="s">
        <v>554</v>
      </c>
      <c r="U18" s="53" t="s">
        <v>405</v>
      </c>
      <c r="V18" s="6" t="s">
        <v>4217</v>
      </c>
      <c r="W18" s="5" t="s">
        <v>2056</v>
      </c>
      <c r="X18" s="103" t="n">
        <f aca="false">IF($O18="Active",SUMPRODUCT(($B$5:$B$400=$B18)*($G$5:$G$400=$G18)*($H$5:$H$400=$H18)*($O$5:$O$400="Active")),0)</f>
        <v>1</v>
      </c>
      <c r="Y18" s="103" t="n">
        <f aca="false">IF(AND($O18="Active",OR($Q18="—",$Q18="")),1,0)</f>
        <v>0</v>
      </c>
      <c r="Z18" s="103" t="n">
        <f aca="false">IF(AND($O18="Active",$L18="利害關係方",OR($R18="—",$R18="")),1,0)</f>
        <v>1</v>
      </c>
      <c r="AA18" s="53" t="s">
        <v>4159</v>
      </c>
      <c r="AB18" s="53" t="s">
        <v>4218</v>
      </c>
      <c r="AC18" s="128" t="n">
        <v>8192</v>
      </c>
      <c r="AD18" s="128" t="n">
        <v>1024</v>
      </c>
      <c r="AE18" s="128" t="n">
        <v>110</v>
      </c>
      <c r="AF18" s="128" t="n">
        <v>1</v>
      </c>
      <c r="AG18" s="52" t="s">
        <v>4161</v>
      </c>
    </row>
    <row r="19" customFormat="false" ht="29.85" hidden="false" customHeight="false" outlineLevel="0" collapsed="false">
      <c r="A19" s="53" t="s">
        <v>3050</v>
      </c>
      <c r="B19" s="6" t="s">
        <v>4219</v>
      </c>
      <c r="C19" s="128" t="n">
        <v>6522.4</v>
      </c>
      <c r="D19" s="52"/>
      <c r="E19" s="52"/>
      <c r="F19" s="53" t="s">
        <v>510</v>
      </c>
      <c r="G19" s="52" t="s">
        <v>95</v>
      </c>
      <c r="H19" s="53" t="s">
        <v>137</v>
      </c>
      <c r="I19" s="53" t="s">
        <v>4213</v>
      </c>
      <c r="J19" s="6" t="s">
        <v>4214</v>
      </c>
      <c r="K19" s="52" t="n">
        <v>1</v>
      </c>
      <c r="L19" s="52" t="s">
        <v>3604</v>
      </c>
      <c r="M19" s="6" t="s">
        <v>4215</v>
      </c>
      <c r="N19" s="52" t="s">
        <v>4030</v>
      </c>
      <c r="O19" s="53" t="s">
        <v>3607</v>
      </c>
      <c r="P19" s="53" t="s">
        <v>554</v>
      </c>
      <c r="Q19" s="53" t="s">
        <v>4216</v>
      </c>
      <c r="R19" s="53" t="s">
        <v>554</v>
      </c>
      <c r="S19" s="53" t="s">
        <v>554</v>
      </c>
      <c r="T19" s="53" t="s">
        <v>554</v>
      </c>
      <c r="U19" s="53" t="s">
        <v>405</v>
      </c>
      <c r="V19" s="6" t="s">
        <v>4220</v>
      </c>
      <c r="W19" s="5" t="s">
        <v>2056</v>
      </c>
      <c r="X19" s="103" t="n">
        <f aca="false">IF($O19="Active",SUMPRODUCT(($B$5:$B$400=$B19)*($G$5:$G$400=$G19)*($H$5:$H$400=$H19)*($O$5:$O$400="Active")),0)</f>
        <v>1</v>
      </c>
      <c r="Y19" s="103" t="n">
        <f aca="false">IF(AND($O19="Active",OR($Q19="—",$Q19="")),1,0)</f>
        <v>0</v>
      </c>
      <c r="Z19" s="103" t="n">
        <f aca="false">IF(AND($O19="Active",$L19="利害關係方",OR($R19="—",$R19="")),1,0)</f>
        <v>1</v>
      </c>
      <c r="AA19" s="53" t="s">
        <v>4159</v>
      </c>
      <c r="AB19" s="53" t="s">
        <v>4218</v>
      </c>
      <c r="AC19" s="128" t="n">
        <v>8192</v>
      </c>
      <c r="AD19" s="128" t="n">
        <v>1024</v>
      </c>
      <c r="AE19" s="128" t="n">
        <v>110</v>
      </c>
      <c r="AF19" s="128" t="n">
        <v>1</v>
      </c>
      <c r="AG19" s="52" t="s">
        <v>4161</v>
      </c>
    </row>
    <row r="20" customFormat="false" ht="29.85" hidden="false" customHeight="false" outlineLevel="0" collapsed="false">
      <c r="A20" s="53" t="s">
        <v>4221</v>
      </c>
      <c r="B20" s="6" t="s">
        <v>4222</v>
      </c>
      <c r="C20" s="128" t="n">
        <v>4036</v>
      </c>
      <c r="D20" s="52"/>
      <c r="E20" s="52"/>
      <c r="F20" s="53" t="s">
        <v>510</v>
      </c>
      <c r="G20" s="52" t="s">
        <v>2056</v>
      </c>
      <c r="H20" s="53" t="s">
        <v>4223</v>
      </c>
      <c r="I20" s="53" t="s">
        <v>1155</v>
      </c>
      <c r="J20" s="6" t="s">
        <v>4224</v>
      </c>
      <c r="K20" s="52" t="n">
        <v>1</v>
      </c>
      <c r="L20" s="52" t="s">
        <v>3604</v>
      </c>
      <c r="M20" s="6" t="s">
        <v>4225</v>
      </c>
      <c r="N20" s="52" t="s">
        <v>4030</v>
      </c>
      <c r="O20" s="53" t="s">
        <v>3607</v>
      </c>
      <c r="P20" s="53" t="s">
        <v>554</v>
      </c>
      <c r="Q20" s="53" t="s">
        <v>4226</v>
      </c>
      <c r="R20" s="53" t="s">
        <v>554</v>
      </c>
      <c r="S20" s="53" t="s">
        <v>554</v>
      </c>
      <c r="T20" s="53" t="s">
        <v>554</v>
      </c>
      <c r="U20" s="53" t="s">
        <v>4227</v>
      </c>
      <c r="V20" s="6" t="s">
        <v>554</v>
      </c>
      <c r="W20" s="5" t="s">
        <v>4228</v>
      </c>
      <c r="X20" s="103" t="n">
        <f aca="false">IF($O20="Active",SUMPRODUCT(($B$5:$B$400=$B20)*($G$5:$G$400=$G20)*($H$5:$H$400=$H20)*($O$5:$O$400="Active")),0)</f>
        <v>1</v>
      </c>
      <c r="Y20" s="103" t="n">
        <f aca="false">IF(AND($O20="Active",OR($Q20="—",$Q20="")),1,0)</f>
        <v>0</v>
      </c>
      <c r="Z20" s="103" t="n">
        <f aca="false">IF(AND($O20="Active",$L20="利害關係方",OR($R20="—",$R20="")),1,0)</f>
        <v>1</v>
      </c>
    </row>
    <row r="21" customFormat="false" ht="29.85" hidden="false" customHeight="false" outlineLevel="0" collapsed="false">
      <c r="A21" s="53" t="s">
        <v>4229</v>
      </c>
      <c r="B21" s="6" t="s">
        <v>4230</v>
      </c>
      <c r="C21" s="128" t="n">
        <v>3102</v>
      </c>
      <c r="D21" s="52"/>
      <c r="E21" s="52"/>
      <c r="F21" s="53" t="s">
        <v>510</v>
      </c>
      <c r="G21" s="52" t="s">
        <v>2056</v>
      </c>
      <c r="H21" s="53" t="s">
        <v>4223</v>
      </c>
      <c r="I21" s="53" t="s">
        <v>1155</v>
      </c>
      <c r="J21" s="6" t="s">
        <v>4224</v>
      </c>
      <c r="K21" s="52" t="n">
        <v>1</v>
      </c>
      <c r="L21" s="52" t="s">
        <v>3604</v>
      </c>
      <c r="M21" s="6" t="s">
        <v>4225</v>
      </c>
      <c r="N21" s="52" t="s">
        <v>4030</v>
      </c>
      <c r="O21" s="53" t="s">
        <v>3607</v>
      </c>
      <c r="P21" s="53" t="s">
        <v>554</v>
      </c>
      <c r="Q21" s="53" t="s">
        <v>4226</v>
      </c>
      <c r="R21" s="53" t="s">
        <v>554</v>
      </c>
      <c r="S21" s="53" t="s">
        <v>554</v>
      </c>
      <c r="T21" s="53" t="s">
        <v>554</v>
      </c>
      <c r="U21" s="53" t="s">
        <v>4227</v>
      </c>
      <c r="V21" s="6" t="s">
        <v>554</v>
      </c>
      <c r="W21" s="5" t="s">
        <v>4228</v>
      </c>
      <c r="X21" s="103" t="n">
        <f aca="false">IF($O21="Active",SUMPRODUCT(($B$5:$B$400=$B21)*($G$5:$G$400=$G21)*($H$5:$H$400=$H21)*($O$5:$O$400="Active")),0)</f>
        <v>1</v>
      </c>
      <c r="Y21" s="103" t="n">
        <f aca="false">IF(AND($O21="Active",OR($Q21="—",$Q21="")),1,0)</f>
        <v>0</v>
      </c>
      <c r="Z21" s="103" t="n">
        <f aca="false">IF(AND($O21="Active",$L21="利害關係方",OR($R21="—",$R21="")),1,0)</f>
        <v>1</v>
      </c>
    </row>
    <row r="22" customFormat="false" ht="29.85" hidden="false" customHeight="false" outlineLevel="0" collapsed="false">
      <c r="A22" s="53" t="s">
        <v>2897</v>
      </c>
      <c r="B22" s="5" t="s">
        <v>4231</v>
      </c>
      <c r="C22" s="128" t="n">
        <v>120</v>
      </c>
      <c r="D22" s="52"/>
      <c r="E22" s="52"/>
      <c r="F22" s="53" t="s">
        <v>4232</v>
      </c>
      <c r="G22" s="52" t="s">
        <v>4233</v>
      </c>
      <c r="H22" s="53" t="s">
        <v>4234</v>
      </c>
      <c r="I22" s="53" t="s">
        <v>1152</v>
      </c>
      <c r="J22" s="6" t="s">
        <v>4235</v>
      </c>
      <c r="K22" s="52" t="n">
        <v>1</v>
      </c>
      <c r="L22" s="52" t="s">
        <v>3697</v>
      </c>
      <c r="M22" s="6" t="s">
        <v>4236</v>
      </c>
      <c r="N22" s="52" t="s">
        <v>4030</v>
      </c>
      <c r="O22" s="53" t="s">
        <v>3607</v>
      </c>
      <c r="P22" s="53" t="s">
        <v>554</v>
      </c>
      <c r="Q22" s="53" t="s">
        <v>4237</v>
      </c>
      <c r="R22" s="53" t="s">
        <v>554</v>
      </c>
      <c r="S22" s="53" t="s">
        <v>554</v>
      </c>
      <c r="T22" s="53" t="s">
        <v>554</v>
      </c>
      <c r="U22" s="53" t="s">
        <v>4238</v>
      </c>
      <c r="V22" s="6" t="s">
        <v>4239</v>
      </c>
      <c r="W22" s="6" t="s">
        <v>2898</v>
      </c>
      <c r="X22" s="103" t="n">
        <f aca="false">IF($O22="Active",SUMPRODUCT(($B$5:$B$400=$B22)*($G$5:$G$400=$G22)*($H$5:$H$400=$H22)*($O$5:$O$400="Active")),0)</f>
        <v>1</v>
      </c>
      <c r="Y22" s="103" t="n">
        <f aca="false">IF(AND($O22="Active",OR($Q22="—",$Q22="")),1,0)</f>
        <v>0</v>
      </c>
      <c r="Z22" s="103" t="n">
        <f aca="false">IF(AND($O22="Active",$L22="利害關係方",OR($R22="—",$R22="")),1,0)</f>
        <v>0</v>
      </c>
    </row>
    <row r="23" customFormat="false" ht="29.85" hidden="false" customHeight="false" outlineLevel="0" collapsed="false">
      <c r="A23" s="53" t="s">
        <v>2900</v>
      </c>
      <c r="B23" s="5" t="s">
        <v>4240</v>
      </c>
      <c r="C23" s="128" t="n">
        <v>68</v>
      </c>
      <c r="D23" s="52"/>
      <c r="E23" s="52"/>
      <c r="F23" s="53" t="s">
        <v>4232</v>
      </c>
      <c r="G23" s="52" t="s">
        <v>4233</v>
      </c>
      <c r="H23" s="53" t="s">
        <v>4241</v>
      </c>
      <c r="I23" s="53" t="s">
        <v>1152</v>
      </c>
      <c r="J23" s="6" t="s">
        <v>4235</v>
      </c>
      <c r="K23" s="52" t="n">
        <v>1</v>
      </c>
      <c r="L23" s="52" t="s">
        <v>3697</v>
      </c>
      <c r="M23" s="6" t="s">
        <v>4236</v>
      </c>
      <c r="N23" s="52" t="s">
        <v>4030</v>
      </c>
      <c r="O23" s="53" t="s">
        <v>3607</v>
      </c>
      <c r="P23" s="53" t="s">
        <v>554</v>
      </c>
      <c r="Q23" s="53" t="s">
        <v>4237</v>
      </c>
      <c r="R23" s="53" t="s">
        <v>554</v>
      </c>
      <c r="S23" s="53" t="s">
        <v>554</v>
      </c>
      <c r="T23" s="53" t="s">
        <v>554</v>
      </c>
      <c r="U23" s="53" t="s">
        <v>4238</v>
      </c>
      <c r="V23" s="6" t="s">
        <v>4242</v>
      </c>
      <c r="W23" s="6" t="s">
        <v>4243</v>
      </c>
      <c r="X23" s="103" t="n">
        <f aca="false">IF($O23="Active",SUMPRODUCT(($B$5:$B$400=$B23)*($G$5:$G$400=$G23)*($H$5:$H$400=$H23)*($O$5:$O$400="Active")),0)</f>
        <v>1</v>
      </c>
      <c r="Y23" s="103" t="n">
        <f aca="false">IF(AND($O23="Active",OR($Q23="—",$Q23="")),1,0)</f>
        <v>0</v>
      </c>
      <c r="Z23" s="103" t="n">
        <f aca="false">IF(AND($O23="Active",$L23="利害關係方",OR($R23="—",$R23="")),1,0)</f>
        <v>0</v>
      </c>
    </row>
    <row r="24" customFormat="false" ht="29.85" hidden="false" customHeight="false" outlineLevel="0" collapsed="false">
      <c r="A24" s="53" t="s">
        <v>2904</v>
      </c>
      <c r="B24" s="5" t="s">
        <v>4244</v>
      </c>
      <c r="C24" s="52"/>
      <c r="D24" s="128" t="n">
        <v>52</v>
      </c>
      <c r="E24" s="128" t="n">
        <v>56</v>
      </c>
      <c r="F24" s="53" t="s">
        <v>4232</v>
      </c>
      <c r="G24" s="52" t="s">
        <v>4233</v>
      </c>
      <c r="H24" s="53" t="s">
        <v>1147</v>
      </c>
      <c r="I24" s="53" t="s">
        <v>1152</v>
      </c>
      <c r="J24" s="6" t="s">
        <v>4235</v>
      </c>
      <c r="K24" s="52" t="n">
        <v>1</v>
      </c>
      <c r="L24" s="52" t="s">
        <v>3697</v>
      </c>
      <c r="M24" s="6" t="s">
        <v>4236</v>
      </c>
      <c r="N24" s="52" t="s">
        <v>4030</v>
      </c>
      <c r="O24" s="53" t="s">
        <v>3607</v>
      </c>
      <c r="P24" s="53" t="s">
        <v>554</v>
      </c>
      <c r="Q24" s="53" t="s">
        <v>4237</v>
      </c>
      <c r="R24" s="53" t="s">
        <v>554</v>
      </c>
      <c r="S24" s="53" t="s">
        <v>554</v>
      </c>
      <c r="T24" s="53" t="s">
        <v>554</v>
      </c>
      <c r="U24" s="53" t="s">
        <v>4238</v>
      </c>
      <c r="V24" s="6" t="s">
        <v>4245</v>
      </c>
      <c r="W24" s="6" t="s">
        <v>4246</v>
      </c>
      <c r="X24" s="103" t="n">
        <f aca="false">IF($O24="Active",SUMPRODUCT(($B$5:$B$400=$B24)*($G$5:$G$400=$G24)*($H$5:$H$400=$H24)*($O$5:$O$400="Active")),0)</f>
        <v>1</v>
      </c>
      <c r="Y24" s="103" t="n">
        <f aca="false">IF(AND($O24="Active",OR($Q24="—",$Q24="")),1,0)</f>
        <v>0</v>
      </c>
      <c r="Z24" s="103" t="n">
        <f aca="false">IF(AND($O24="Active",$L24="利害關係方",OR($R24="—",$R24="")),1,0)</f>
        <v>0</v>
      </c>
    </row>
    <row r="25" customFormat="false" ht="29.85" hidden="false" customHeight="false" outlineLevel="0" collapsed="false">
      <c r="A25" s="53" t="s">
        <v>4247</v>
      </c>
      <c r="B25" s="5" t="s">
        <v>4248</v>
      </c>
      <c r="C25" s="128" t="n">
        <v>54</v>
      </c>
      <c r="D25" s="52"/>
      <c r="E25" s="52"/>
      <c r="F25" s="53" t="s">
        <v>4232</v>
      </c>
      <c r="G25" s="52" t="s">
        <v>4233</v>
      </c>
      <c r="H25" s="53" t="s">
        <v>1154</v>
      </c>
      <c r="I25" s="53" t="s">
        <v>1152</v>
      </c>
      <c r="J25" s="6" t="s">
        <v>4235</v>
      </c>
      <c r="K25" s="52" t="n">
        <v>1</v>
      </c>
      <c r="L25" s="52" t="s">
        <v>3697</v>
      </c>
      <c r="M25" s="6" t="s">
        <v>4236</v>
      </c>
      <c r="N25" s="52" t="s">
        <v>4030</v>
      </c>
      <c r="O25" s="53" t="s">
        <v>3607</v>
      </c>
      <c r="P25" s="53" t="s">
        <v>554</v>
      </c>
      <c r="Q25" s="53" t="s">
        <v>4237</v>
      </c>
      <c r="R25" s="53" t="s">
        <v>554</v>
      </c>
      <c r="S25" s="53" t="s">
        <v>554</v>
      </c>
      <c r="T25" s="53" t="s">
        <v>554</v>
      </c>
      <c r="U25" s="53" t="s">
        <v>4238</v>
      </c>
      <c r="V25" s="6" t="s">
        <v>554</v>
      </c>
      <c r="W25" s="6" t="s">
        <v>554</v>
      </c>
      <c r="X25" s="103" t="n">
        <f aca="false">IF($O25="Active",SUMPRODUCT(($B$5:$B$400=$B25)*($G$5:$G$400=$G25)*($H$5:$H$400=$H25)*($O$5:$O$400="Active")),0)</f>
        <v>1</v>
      </c>
      <c r="Y25" s="103" t="n">
        <f aca="false">IF(AND($O25="Active",OR($Q25="—",$Q25="")),1,0)</f>
        <v>0</v>
      </c>
      <c r="Z25" s="103" t="n">
        <f aca="false">IF(AND($O25="Active",$L25="利害關係方",OR($R25="—",$R25="")),1,0)</f>
        <v>0</v>
      </c>
    </row>
    <row r="26" customFormat="false" ht="29.85" hidden="false" customHeight="false" outlineLevel="0" collapsed="false">
      <c r="A26" s="53" t="s">
        <v>4249</v>
      </c>
      <c r="B26" s="5" t="s">
        <v>4250</v>
      </c>
      <c r="C26" s="52"/>
      <c r="D26" s="128" t="n">
        <v>290</v>
      </c>
      <c r="E26" s="128" t="n">
        <v>350</v>
      </c>
      <c r="F26" s="53" t="s">
        <v>4232</v>
      </c>
      <c r="G26" s="52" t="s">
        <v>4233</v>
      </c>
      <c r="H26" s="53" t="s">
        <v>4251</v>
      </c>
      <c r="I26" s="53" t="s">
        <v>1152</v>
      </c>
      <c r="J26" s="6" t="s">
        <v>4235</v>
      </c>
      <c r="K26" s="52" t="n">
        <v>1</v>
      </c>
      <c r="L26" s="52" t="s">
        <v>3697</v>
      </c>
      <c r="M26" s="6" t="s">
        <v>4236</v>
      </c>
      <c r="N26" s="52" t="s">
        <v>4030</v>
      </c>
      <c r="O26" s="53" t="s">
        <v>3607</v>
      </c>
      <c r="P26" s="53" t="s">
        <v>554</v>
      </c>
      <c r="Q26" s="53" t="s">
        <v>4237</v>
      </c>
      <c r="R26" s="53" t="s">
        <v>554</v>
      </c>
      <c r="S26" s="53" t="s">
        <v>554</v>
      </c>
      <c r="T26" s="53" t="s">
        <v>554</v>
      </c>
      <c r="U26" s="53" t="s">
        <v>4238</v>
      </c>
      <c r="V26" s="6" t="s">
        <v>554</v>
      </c>
      <c r="W26" s="6" t="s">
        <v>554</v>
      </c>
      <c r="X26" s="103" t="n">
        <f aca="false">IF($O26="Active",SUMPRODUCT(($B$5:$B$400=$B26)*($G$5:$G$400=$G26)*($H$5:$H$400=$H26)*($O$5:$O$400="Active")),0)</f>
        <v>1</v>
      </c>
      <c r="Y26" s="103" t="n">
        <f aca="false">IF(AND($O26="Active",OR($Q26="—",$Q26="")),1,0)</f>
        <v>0</v>
      </c>
      <c r="Z26" s="103" t="n">
        <f aca="false">IF(AND($O26="Active",$L26="利害關係方",OR($R26="—",$R26="")),1,0)</f>
        <v>0</v>
      </c>
    </row>
    <row r="27" customFormat="false" ht="29.85" hidden="false" customHeight="false" outlineLevel="0" collapsed="false">
      <c r="A27" s="53" t="s">
        <v>4252</v>
      </c>
      <c r="B27" s="6" t="s">
        <v>4253</v>
      </c>
      <c r="C27" s="128" t="n">
        <v>20</v>
      </c>
      <c r="D27" s="52"/>
      <c r="E27" s="52"/>
      <c r="F27" s="53" t="s">
        <v>4232</v>
      </c>
      <c r="G27" s="52" t="s">
        <v>4254</v>
      </c>
      <c r="H27" s="53" t="s">
        <v>4255</v>
      </c>
      <c r="I27" s="53" t="s">
        <v>4256</v>
      </c>
      <c r="J27" s="6" t="s">
        <v>4257</v>
      </c>
      <c r="K27" s="52" t="n">
        <v>3</v>
      </c>
      <c r="L27" s="52" t="s">
        <v>3604</v>
      </c>
      <c r="M27" s="6" t="s">
        <v>4258</v>
      </c>
      <c r="N27" s="52" t="s">
        <v>3606</v>
      </c>
      <c r="O27" s="53" t="s">
        <v>3607</v>
      </c>
      <c r="P27" s="53" t="s">
        <v>554</v>
      </c>
      <c r="Q27" s="53" t="s">
        <v>4259</v>
      </c>
      <c r="R27" s="53" t="s">
        <v>554</v>
      </c>
      <c r="S27" s="53" t="s">
        <v>554</v>
      </c>
      <c r="T27" s="53" t="s">
        <v>554</v>
      </c>
      <c r="U27" s="53" t="s">
        <v>4260</v>
      </c>
      <c r="V27" s="6" t="s">
        <v>554</v>
      </c>
      <c r="W27" s="5" t="s">
        <v>4261</v>
      </c>
      <c r="X27" s="103" t="n">
        <f aca="false">IF($O27="Active",SUMPRODUCT(($B$5:$B$400=$B27)*($G$5:$G$400=$G27)*($H$5:$H$400=$H27)*($O$5:$O$400="Active")),0)</f>
        <v>1</v>
      </c>
      <c r="Y27" s="103" t="n">
        <f aca="false">IF(AND($O27="Active",OR($Q27="—",$Q27="")),1,0)</f>
        <v>0</v>
      </c>
      <c r="Z27" s="103" t="n">
        <f aca="false">IF(AND($O27="Active",$L27="利害關係方",OR($R27="—",$R27="")),1,0)</f>
        <v>1</v>
      </c>
    </row>
    <row r="28" customFormat="false" ht="29.85" hidden="false" customHeight="false" outlineLevel="0" collapsed="false">
      <c r="A28" s="53" t="s">
        <v>4262</v>
      </c>
      <c r="B28" s="6" t="s">
        <v>4263</v>
      </c>
      <c r="C28" s="128" t="n">
        <v>250634</v>
      </c>
      <c r="D28" s="52"/>
      <c r="E28" s="52"/>
      <c r="F28" s="53" t="s">
        <v>4264</v>
      </c>
      <c r="G28" s="53" t="s">
        <v>4265</v>
      </c>
      <c r="H28" s="53" t="s">
        <v>137</v>
      </c>
      <c r="I28" s="53" t="s">
        <v>4266</v>
      </c>
      <c r="J28" s="6" t="s">
        <v>4267</v>
      </c>
      <c r="K28" s="52" t="n">
        <v>2</v>
      </c>
      <c r="L28" s="52" t="s">
        <v>3604</v>
      </c>
      <c r="M28" s="6" t="s">
        <v>4268</v>
      </c>
      <c r="N28" s="52" t="s">
        <v>4269</v>
      </c>
      <c r="O28" s="53" t="s">
        <v>3607</v>
      </c>
      <c r="P28" s="53" t="s">
        <v>554</v>
      </c>
      <c r="Q28" s="53" t="s">
        <v>4270</v>
      </c>
      <c r="R28" s="53" t="s">
        <v>554</v>
      </c>
      <c r="S28" s="53" t="s">
        <v>554</v>
      </c>
      <c r="T28" s="53" t="s">
        <v>554</v>
      </c>
      <c r="U28" s="53" t="s">
        <v>4271</v>
      </c>
      <c r="V28" s="6" t="s">
        <v>554</v>
      </c>
      <c r="W28" s="5" t="s">
        <v>4272</v>
      </c>
      <c r="X28" s="103" t="n">
        <f aca="false">IF($O28="Active",SUMPRODUCT(($B$5:$B$400=$B28)*($G$5:$G$400=$G28)*($H$5:$H$400=$H28)*($O$5:$O$400="Active")),0)</f>
        <v>1</v>
      </c>
      <c r="Y28" s="103" t="n">
        <f aca="false">IF(AND($O28="Active",OR($Q28="—",$Q28="")),1,0)</f>
        <v>0</v>
      </c>
      <c r="Z28" s="103" t="n">
        <f aca="false">IF(AND($O28="Active",$L28="利害關係方",OR($R28="—",$R28="")),1,0)</f>
        <v>1</v>
      </c>
    </row>
    <row r="29" customFormat="false" ht="29.85" hidden="false" customHeight="false" outlineLevel="0" collapsed="false">
      <c r="A29" s="53" t="s">
        <v>3170</v>
      </c>
      <c r="B29" s="6" t="s">
        <v>4273</v>
      </c>
      <c r="C29" s="128" t="n">
        <v>240318</v>
      </c>
      <c r="D29" s="52"/>
      <c r="E29" s="52"/>
      <c r="F29" s="53" t="s">
        <v>4264</v>
      </c>
      <c r="G29" s="53" t="s">
        <v>4265</v>
      </c>
      <c r="H29" s="53" t="s">
        <v>136</v>
      </c>
      <c r="I29" s="53" t="s">
        <v>4266</v>
      </c>
      <c r="J29" s="6" t="s">
        <v>4267</v>
      </c>
      <c r="K29" s="52" t="n">
        <v>2</v>
      </c>
      <c r="L29" s="52" t="s">
        <v>3604</v>
      </c>
      <c r="M29" s="6" t="s">
        <v>4268</v>
      </c>
      <c r="N29" s="52" t="s">
        <v>4269</v>
      </c>
      <c r="O29" s="53" t="s">
        <v>3607</v>
      </c>
      <c r="P29" s="53" t="s">
        <v>554</v>
      </c>
      <c r="Q29" s="53" t="s">
        <v>4270</v>
      </c>
      <c r="R29" s="53" t="s">
        <v>554</v>
      </c>
      <c r="S29" s="53" t="s">
        <v>554</v>
      </c>
      <c r="T29" s="53" t="s">
        <v>554</v>
      </c>
      <c r="U29" s="53" t="s">
        <v>4271</v>
      </c>
      <c r="V29" s="6" t="s">
        <v>4274</v>
      </c>
      <c r="W29" s="5" t="s">
        <v>4275</v>
      </c>
      <c r="X29" s="103" t="n">
        <f aca="false">IF($O29="Active",SUMPRODUCT(($B$5:$B$400=$B29)*($G$5:$G$400=$G29)*($H$5:$H$400=$H29)*($O$5:$O$400="Active")),0)</f>
        <v>1</v>
      </c>
      <c r="Y29" s="103" t="n">
        <f aca="false">IF(AND($O29="Active",OR($Q29="—",$Q29="")),1,0)</f>
        <v>0</v>
      </c>
      <c r="Z29" s="103" t="n">
        <f aca="false">IF(AND($O29="Active",$L29="利害關係方",OR($R29="—",$R29="")),1,0)</f>
        <v>1</v>
      </c>
    </row>
    <row r="30" customFormat="false" ht="29.85" hidden="false" customHeight="false" outlineLevel="0" collapsed="false">
      <c r="A30" s="53" t="s">
        <v>3176</v>
      </c>
      <c r="B30" s="6" t="s">
        <v>4276</v>
      </c>
      <c r="C30" s="128" t="n">
        <v>8064</v>
      </c>
      <c r="D30" s="52"/>
      <c r="E30" s="52"/>
      <c r="F30" s="53" t="s">
        <v>4277</v>
      </c>
      <c r="G30" s="53" t="s">
        <v>4278</v>
      </c>
      <c r="H30" s="53" t="s">
        <v>137</v>
      </c>
      <c r="I30" s="53" t="s">
        <v>4266</v>
      </c>
      <c r="J30" s="6" t="s">
        <v>4267</v>
      </c>
      <c r="K30" s="52" t="n">
        <v>2</v>
      </c>
      <c r="L30" s="52" t="s">
        <v>3604</v>
      </c>
      <c r="M30" s="6" t="s">
        <v>4268</v>
      </c>
      <c r="N30" s="52" t="s">
        <v>4269</v>
      </c>
      <c r="O30" s="53" t="s">
        <v>3607</v>
      </c>
      <c r="P30" s="53" t="s">
        <v>554</v>
      </c>
      <c r="Q30" s="53" t="s">
        <v>4270</v>
      </c>
      <c r="R30" s="53" t="s">
        <v>554</v>
      </c>
      <c r="S30" s="53" t="s">
        <v>554</v>
      </c>
      <c r="T30" s="53" t="s">
        <v>554</v>
      </c>
      <c r="U30" s="53" t="s">
        <v>4271</v>
      </c>
      <c r="V30" s="6" t="s">
        <v>4279</v>
      </c>
      <c r="W30" s="6" t="s">
        <v>554</v>
      </c>
      <c r="X30" s="103" t="n">
        <f aca="false">IF($O30="Active",SUMPRODUCT(($B$5:$B$400=$B30)*($G$5:$G$400=$G30)*($H$5:$H$400=$H30)*($O$5:$O$400="Active")),0)</f>
        <v>1</v>
      </c>
      <c r="Y30" s="103" t="n">
        <f aca="false">IF(AND($O30="Active",OR($Q30="—",$Q30="")),1,0)</f>
        <v>0</v>
      </c>
      <c r="Z30" s="103" t="n">
        <f aca="false">IF(AND($O30="Active",$L30="利害關係方",OR($R30="—",$R30="")),1,0)</f>
        <v>1</v>
      </c>
    </row>
    <row r="31" customFormat="false" ht="29.85" hidden="false" customHeight="false" outlineLevel="0" collapsed="false">
      <c r="A31" s="53" t="s">
        <v>3173</v>
      </c>
      <c r="B31" s="6" t="s">
        <v>4280</v>
      </c>
      <c r="C31" s="128" t="n">
        <v>652750</v>
      </c>
      <c r="D31" s="52"/>
      <c r="E31" s="52"/>
      <c r="F31" s="53" t="s">
        <v>4264</v>
      </c>
      <c r="G31" s="53" t="s">
        <v>4281</v>
      </c>
      <c r="H31" s="53" t="s">
        <v>138</v>
      </c>
      <c r="I31" s="53" t="s">
        <v>4282</v>
      </c>
      <c r="J31" s="6" t="s">
        <v>4283</v>
      </c>
      <c r="K31" s="52" t="n">
        <v>2</v>
      </c>
      <c r="L31" s="52" t="s">
        <v>3604</v>
      </c>
      <c r="M31" s="6" t="s">
        <v>4284</v>
      </c>
      <c r="N31" s="52" t="s">
        <v>3618</v>
      </c>
      <c r="O31" s="53" t="s">
        <v>3607</v>
      </c>
      <c r="P31" s="53" t="s">
        <v>554</v>
      </c>
      <c r="Q31" s="53" t="s">
        <v>4285</v>
      </c>
      <c r="R31" s="53" t="s">
        <v>554</v>
      </c>
      <c r="S31" s="53" t="s">
        <v>554</v>
      </c>
      <c r="T31" s="53" t="s">
        <v>554</v>
      </c>
      <c r="U31" s="53" t="s">
        <v>2074</v>
      </c>
      <c r="V31" s="6" t="s">
        <v>4286</v>
      </c>
      <c r="W31" s="5" t="s">
        <v>4287</v>
      </c>
      <c r="X31" s="103" t="n">
        <f aca="false">IF($O31="Active",SUMPRODUCT(($B$5:$B$400=$B31)*($G$5:$G$400=$G31)*($H$5:$H$400=$H31)*($O$5:$O$400="Active")),0)</f>
        <v>1</v>
      </c>
      <c r="Y31" s="103" t="n">
        <f aca="false">IF(AND($O31="Active",OR($Q31="—",$Q31="")),1,0)</f>
        <v>0</v>
      </c>
      <c r="Z31" s="103" t="n">
        <f aca="false">IF(AND($O31="Active",$L31="利害關係方",OR($R31="—",$R31="")),1,0)</f>
        <v>1</v>
      </c>
    </row>
    <row r="32" customFormat="false" ht="29.85" hidden="false" customHeight="false" outlineLevel="0" collapsed="false">
      <c r="A32" s="53" t="s">
        <v>3167</v>
      </c>
      <c r="B32" s="6" t="s">
        <v>4288</v>
      </c>
      <c r="C32" s="128" t="n">
        <v>253506</v>
      </c>
      <c r="D32" s="52"/>
      <c r="E32" s="52"/>
      <c r="F32" s="53" t="s">
        <v>4264</v>
      </c>
      <c r="G32" s="53" t="s">
        <v>4265</v>
      </c>
      <c r="H32" s="53" t="s">
        <v>137</v>
      </c>
      <c r="I32" s="53" t="s">
        <v>4282</v>
      </c>
      <c r="J32" s="6" t="s">
        <v>4283</v>
      </c>
      <c r="K32" s="52" t="n">
        <v>2</v>
      </c>
      <c r="L32" s="52" t="s">
        <v>3604</v>
      </c>
      <c r="M32" s="6" t="s">
        <v>4284</v>
      </c>
      <c r="N32" s="52" t="s">
        <v>3618</v>
      </c>
      <c r="O32" s="53" t="s">
        <v>3607</v>
      </c>
      <c r="P32" s="53" t="s">
        <v>554</v>
      </c>
      <c r="Q32" s="53" t="s">
        <v>4285</v>
      </c>
      <c r="R32" s="53" t="s">
        <v>554</v>
      </c>
      <c r="S32" s="53" t="s">
        <v>554</v>
      </c>
      <c r="T32" s="53" t="s">
        <v>554</v>
      </c>
      <c r="U32" s="53" t="s">
        <v>2074</v>
      </c>
      <c r="V32" s="6" t="s">
        <v>4289</v>
      </c>
      <c r="W32" s="5" t="s">
        <v>4290</v>
      </c>
      <c r="X32" s="103" t="n">
        <f aca="false">IF($O32="Active",SUMPRODUCT(($B$5:$B$400=$B32)*($G$5:$G$400=$G32)*($H$5:$H$400=$H32)*($O$5:$O$400="Active")),0)</f>
        <v>1</v>
      </c>
      <c r="Y32" s="103" t="n">
        <f aca="false">IF(AND($O32="Active",OR($Q32="—",$Q32="")),1,0)</f>
        <v>0</v>
      </c>
      <c r="Z32" s="103" t="n">
        <f aca="false">IF(AND($O32="Active",$L32="利害關係方",OR($R32="—",$R32="")),1,0)</f>
        <v>1</v>
      </c>
    </row>
    <row r="33" customFormat="false" ht="15" hidden="false" customHeight="false" outlineLevel="0" collapsed="false">
      <c r="A33" s="53" t="s">
        <v>3136</v>
      </c>
      <c r="B33" s="6" t="s">
        <v>4291</v>
      </c>
      <c r="C33" s="128" t="n">
        <v>800</v>
      </c>
      <c r="D33" s="52"/>
      <c r="E33" s="52"/>
      <c r="F33" s="53" t="s">
        <v>248</v>
      </c>
      <c r="G33" s="52" t="s">
        <v>4292</v>
      </c>
      <c r="H33" s="53" t="s">
        <v>4293</v>
      </c>
      <c r="I33" s="53" t="s">
        <v>4294</v>
      </c>
      <c r="J33" s="6" t="s">
        <v>4295</v>
      </c>
      <c r="K33" s="52" t="n">
        <v>1</v>
      </c>
      <c r="L33" s="52" t="s">
        <v>3697</v>
      </c>
      <c r="M33" s="6" t="s">
        <v>4296</v>
      </c>
      <c r="N33" s="52" t="s">
        <v>4030</v>
      </c>
      <c r="O33" s="53" t="s">
        <v>3607</v>
      </c>
      <c r="P33" s="53" t="s">
        <v>554</v>
      </c>
      <c r="Q33" s="53" t="s">
        <v>4297</v>
      </c>
      <c r="R33" s="53" t="s">
        <v>554</v>
      </c>
      <c r="S33" s="53" t="s">
        <v>554</v>
      </c>
      <c r="T33" s="53" t="s">
        <v>554</v>
      </c>
      <c r="U33" s="53" t="s">
        <v>4298</v>
      </c>
      <c r="V33" s="6" t="s">
        <v>4299</v>
      </c>
      <c r="W33" s="6" t="s">
        <v>554</v>
      </c>
      <c r="X33" s="103" t="n">
        <f aca="false">IF($O33="Active",SUMPRODUCT(($B$5:$B$400=$B33)*($G$5:$G$400=$G33)*($H$5:$H$400=$H33)*($O$5:$O$400="Active")),0)</f>
        <v>1</v>
      </c>
      <c r="Y33" s="103" t="n">
        <f aca="false">IF(AND($O33="Active",OR($Q33="—",$Q33="")),1,0)</f>
        <v>0</v>
      </c>
      <c r="Z33" s="103" t="n">
        <f aca="false">IF(AND($O33="Active",$L33="利害關係方",OR($R33="—",$R33="")),1,0)</f>
        <v>0</v>
      </c>
    </row>
    <row r="34" customFormat="false" ht="15" hidden="false" customHeight="false" outlineLevel="0" collapsed="false">
      <c r="A34" s="53" t="s">
        <v>3139</v>
      </c>
      <c r="B34" s="6" t="s">
        <v>4300</v>
      </c>
      <c r="C34" s="128" t="n">
        <v>3880</v>
      </c>
      <c r="D34" s="52"/>
      <c r="E34" s="52"/>
      <c r="F34" s="53" t="s">
        <v>248</v>
      </c>
      <c r="G34" s="52" t="s">
        <v>4292</v>
      </c>
      <c r="H34" s="53" t="s">
        <v>4293</v>
      </c>
      <c r="I34" s="53" t="s">
        <v>4294</v>
      </c>
      <c r="J34" s="6" t="s">
        <v>4295</v>
      </c>
      <c r="K34" s="52" t="n">
        <v>1</v>
      </c>
      <c r="L34" s="52" t="s">
        <v>3697</v>
      </c>
      <c r="M34" s="6" t="s">
        <v>4296</v>
      </c>
      <c r="N34" s="52" t="s">
        <v>4030</v>
      </c>
      <c r="O34" s="53" t="s">
        <v>3607</v>
      </c>
      <c r="P34" s="53" t="s">
        <v>554</v>
      </c>
      <c r="Q34" s="53" t="s">
        <v>4297</v>
      </c>
      <c r="R34" s="53" t="s">
        <v>554</v>
      </c>
      <c r="S34" s="53" t="s">
        <v>554</v>
      </c>
      <c r="T34" s="53" t="s">
        <v>554</v>
      </c>
      <c r="U34" s="53" t="s">
        <v>4298</v>
      </c>
      <c r="V34" s="6" t="s">
        <v>4301</v>
      </c>
      <c r="W34" s="6" t="s">
        <v>554</v>
      </c>
      <c r="X34" s="103" t="n">
        <f aca="false">IF($O34="Active",SUMPRODUCT(($B$5:$B$400=$B34)*($G$5:$G$400=$G34)*($H$5:$H$400=$H34)*($O$5:$O$400="Active")),0)</f>
        <v>1</v>
      </c>
      <c r="Y34" s="103" t="n">
        <f aca="false">IF(AND($O34="Active",OR($Q34="—",$Q34="")),1,0)</f>
        <v>0</v>
      </c>
      <c r="Z34" s="103" t="n">
        <f aca="false">IF(AND($O34="Active",$L34="利害關係方",OR($R34="—",$R34="")),1,0)</f>
        <v>0</v>
      </c>
    </row>
    <row r="35" customFormat="false" ht="15" hidden="false" customHeight="false" outlineLevel="0" collapsed="false">
      <c r="A35" s="53" t="s">
        <v>3145</v>
      </c>
      <c r="B35" s="6" t="s">
        <v>4302</v>
      </c>
      <c r="C35" s="128" t="n">
        <v>15</v>
      </c>
      <c r="D35" s="52"/>
      <c r="E35" s="52"/>
      <c r="F35" s="53" t="s">
        <v>442</v>
      </c>
      <c r="G35" s="53" t="s">
        <v>4265</v>
      </c>
      <c r="H35" s="53" t="s">
        <v>4293</v>
      </c>
      <c r="I35" s="53" t="s">
        <v>3643</v>
      </c>
      <c r="J35" s="6" t="s">
        <v>4295</v>
      </c>
      <c r="K35" s="52" t="n">
        <v>1</v>
      </c>
      <c r="L35" s="52" t="s">
        <v>3697</v>
      </c>
      <c r="M35" s="6" t="s">
        <v>4296</v>
      </c>
      <c r="N35" s="52" t="s">
        <v>4030</v>
      </c>
      <c r="O35" s="53" t="s">
        <v>3607</v>
      </c>
      <c r="P35" s="53" t="s">
        <v>554</v>
      </c>
      <c r="Q35" s="53" t="s">
        <v>4297</v>
      </c>
      <c r="R35" s="53" t="s">
        <v>554</v>
      </c>
      <c r="S35" s="53" t="s">
        <v>554</v>
      </c>
      <c r="T35" s="53" t="s">
        <v>554</v>
      </c>
      <c r="U35" s="53" t="s">
        <v>4298</v>
      </c>
      <c r="V35" s="6" t="s">
        <v>4303</v>
      </c>
      <c r="W35" s="5" t="s">
        <v>4304</v>
      </c>
      <c r="X35" s="103" t="n">
        <f aca="false">IF($O35="Active",SUMPRODUCT(($B$5:$B$400=$B35)*($G$5:$G$400=$G35)*($H$5:$H$400=$H35)*($O$5:$O$400="Active")),0)</f>
        <v>1</v>
      </c>
      <c r="Y35" s="103" t="n">
        <f aca="false">IF(AND($O35="Active",OR($Q35="—",$Q35="")),1,0)</f>
        <v>0</v>
      </c>
      <c r="Z35" s="103" t="n">
        <f aca="false">IF(AND($O35="Active",$L35="利害關係方",OR($R35="—",$R35="")),1,0)</f>
        <v>0</v>
      </c>
    </row>
    <row r="36" customFormat="false" ht="15" hidden="false" customHeight="false" outlineLevel="0" collapsed="false">
      <c r="A36" s="53" t="s">
        <v>3152</v>
      </c>
      <c r="B36" s="6" t="s">
        <v>4305</v>
      </c>
      <c r="C36" s="128" t="n">
        <v>80</v>
      </c>
      <c r="D36" s="52"/>
      <c r="E36" s="52"/>
      <c r="F36" s="53" t="s">
        <v>442</v>
      </c>
      <c r="G36" s="53" t="s">
        <v>4278</v>
      </c>
      <c r="H36" s="53" t="s">
        <v>4293</v>
      </c>
      <c r="I36" s="53" t="s">
        <v>3643</v>
      </c>
      <c r="J36" s="6" t="s">
        <v>4295</v>
      </c>
      <c r="K36" s="52" t="n">
        <v>1</v>
      </c>
      <c r="L36" s="52" t="s">
        <v>3697</v>
      </c>
      <c r="M36" s="6" t="s">
        <v>4296</v>
      </c>
      <c r="N36" s="52" t="s">
        <v>4030</v>
      </c>
      <c r="O36" s="53" t="s">
        <v>3607</v>
      </c>
      <c r="P36" s="53" t="s">
        <v>554</v>
      </c>
      <c r="Q36" s="53" t="s">
        <v>4297</v>
      </c>
      <c r="R36" s="53" t="s">
        <v>554</v>
      </c>
      <c r="S36" s="53" t="s">
        <v>554</v>
      </c>
      <c r="T36" s="53" t="s">
        <v>554</v>
      </c>
      <c r="U36" s="53" t="s">
        <v>4298</v>
      </c>
      <c r="V36" s="6" t="s">
        <v>4306</v>
      </c>
      <c r="W36" s="5" t="s">
        <v>4307</v>
      </c>
      <c r="X36" s="103" t="n">
        <f aca="false">IF($O36="Active",SUMPRODUCT(($B$5:$B$400=$B36)*($G$5:$G$400=$G36)*($H$5:$H$400=$H36)*($O$5:$O$400="Active")),0)</f>
        <v>1</v>
      </c>
      <c r="Y36" s="103" t="n">
        <f aca="false">IF(AND($O36="Active",OR($Q36="—",$Q36="")),1,0)</f>
        <v>0</v>
      </c>
      <c r="Z36" s="103" t="n">
        <f aca="false">IF(AND($O36="Active",$L36="利害關係方",OR($R36="—",$R36="")),1,0)</f>
        <v>0</v>
      </c>
    </row>
    <row r="37" customFormat="false" ht="15" hidden="false" customHeight="false" outlineLevel="0" collapsed="false">
      <c r="A37" s="53" t="s">
        <v>4308</v>
      </c>
      <c r="B37" s="6" t="s">
        <v>4309</v>
      </c>
      <c r="C37" s="128" t="n">
        <v>1.5</v>
      </c>
      <c r="D37" s="52"/>
      <c r="E37" s="52"/>
      <c r="F37" s="53" t="s">
        <v>315</v>
      </c>
      <c r="G37" s="53" t="s">
        <v>4265</v>
      </c>
      <c r="H37" s="53" t="s">
        <v>4293</v>
      </c>
      <c r="I37" s="53" t="s">
        <v>3643</v>
      </c>
      <c r="J37" s="6" t="s">
        <v>4295</v>
      </c>
      <c r="K37" s="52" t="n">
        <v>1</v>
      </c>
      <c r="L37" s="52" t="s">
        <v>3697</v>
      </c>
      <c r="M37" s="6" t="s">
        <v>4296</v>
      </c>
      <c r="N37" s="52" t="s">
        <v>4030</v>
      </c>
      <c r="O37" s="53" t="s">
        <v>3607</v>
      </c>
      <c r="P37" s="53" t="s">
        <v>554</v>
      </c>
      <c r="Q37" s="53" t="s">
        <v>4297</v>
      </c>
      <c r="R37" s="53" t="s">
        <v>554</v>
      </c>
      <c r="S37" s="53" t="s">
        <v>554</v>
      </c>
      <c r="T37" s="53" t="s">
        <v>554</v>
      </c>
      <c r="U37" s="53" t="s">
        <v>4298</v>
      </c>
      <c r="V37" s="6" t="s">
        <v>554</v>
      </c>
      <c r="W37" s="6" t="s">
        <v>554</v>
      </c>
      <c r="X37" s="103" t="n">
        <f aca="false">IF($O37="Active",SUMPRODUCT(($B$5:$B$400=$B37)*($G$5:$G$400=$G37)*($H$5:$H$400=$H37)*($O$5:$O$400="Active")),0)</f>
        <v>1</v>
      </c>
      <c r="Y37" s="103" t="n">
        <f aca="false">IF(AND($O37="Active",OR($Q37="—",$Q37="")),1,0)</f>
        <v>0</v>
      </c>
      <c r="Z37" s="103" t="n">
        <f aca="false">IF(AND($O37="Active",$L37="利害關係方",OR($R37="—",$R37="")),1,0)</f>
        <v>0</v>
      </c>
    </row>
    <row r="38" customFormat="false" ht="15" hidden="false" customHeight="false" outlineLevel="0" collapsed="false">
      <c r="A38" s="53" t="s">
        <v>4310</v>
      </c>
      <c r="B38" s="6" t="s">
        <v>4311</v>
      </c>
      <c r="C38" s="128" t="n">
        <v>2</v>
      </c>
      <c r="D38" s="52"/>
      <c r="E38" s="52"/>
      <c r="F38" s="53" t="s">
        <v>315</v>
      </c>
      <c r="G38" s="53" t="s">
        <v>4278</v>
      </c>
      <c r="H38" s="53" t="s">
        <v>4293</v>
      </c>
      <c r="I38" s="53" t="s">
        <v>3643</v>
      </c>
      <c r="J38" s="6" t="s">
        <v>4295</v>
      </c>
      <c r="K38" s="52" t="n">
        <v>1</v>
      </c>
      <c r="L38" s="52" t="s">
        <v>3697</v>
      </c>
      <c r="M38" s="6" t="s">
        <v>4296</v>
      </c>
      <c r="N38" s="52" t="s">
        <v>4030</v>
      </c>
      <c r="O38" s="53" t="s">
        <v>3607</v>
      </c>
      <c r="P38" s="53" t="s">
        <v>554</v>
      </c>
      <c r="Q38" s="53" t="s">
        <v>4297</v>
      </c>
      <c r="R38" s="53" t="s">
        <v>554</v>
      </c>
      <c r="S38" s="53" t="s">
        <v>554</v>
      </c>
      <c r="T38" s="53" t="s">
        <v>554</v>
      </c>
      <c r="U38" s="53" t="s">
        <v>4298</v>
      </c>
      <c r="V38" s="6" t="s">
        <v>554</v>
      </c>
      <c r="W38" s="6" t="s">
        <v>554</v>
      </c>
      <c r="X38" s="103" t="n">
        <f aca="false">IF($O38="Active",SUMPRODUCT(($B$5:$B$400=$B38)*($G$5:$G$400=$G38)*($H$5:$H$400=$H38)*($O$5:$O$400="Active")),0)</f>
        <v>1</v>
      </c>
      <c r="Y38" s="103" t="n">
        <f aca="false">IF(AND($O38="Active",OR($Q38="—",$Q38="")),1,0)</f>
        <v>0</v>
      </c>
      <c r="Z38" s="103" t="n">
        <f aca="false">IF(AND($O38="Active",$L38="利害關係方",OR($R38="—",$R38="")),1,0)</f>
        <v>0</v>
      </c>
    </row>
    <row r="39" customFormat="false" ht="15" hidden="false" customHeight="false" outlineLevel="0" collapsed="false">
      <c r="A39" s="53" t="s">
        <v>2870</v>
      </c>
      <c r="B39" s="6" t="s">
        <v>4312</v>
      </c>
      <c r="C39" s="128" t="n">
        <v>3</v>
      </c>
      <c r="D39" s="52"/>
      <c r="E39" s="52"/>
      <c r="F39" s="52" t="s">
        <v>4313</v>
      </c>
      <c r="G39" s="53" t="s">
        <v>4314</v>
      </c>
      <c r="H39" s="53" t="s">
        <v>4293</v>
      </c>
      <c r="I39" s="53" t="s">
        <v>3643</v>
      </c>
      <c r="J39" s="6" t="s">
        <v>4295</v>
      </c>
      <c r="K39" s="52" t="n">
        <v>1</v>
      </c>
      <c r="L39" s="52" t="s">
        <v>3697</v>
      </c>
      <c r="M39" s="6" t="s">
        <v>4296</v>
      </c>
      <c r="N39" s="52" t="s">
        <v>4030</v>
      </c>
      <c r="O39" s="53" t="s">
        <v>3607</v>
      </c>
      <c r="P39" s="53" t="s">
        <v>554</v>
      </c>
      <c r="Q39" s="53" t="s">
        <v>4297</v>
      </c>
      <c r="R39" s="53" t="s">
        <v>554</v>
      </c>
      <c r="S39" s="53" t="s">
        <v>554</v>
      </c>
      <c r="T39" s="53" t="s">
        <v>554</v>
      </c>
      <c r="U39" s="53" t="s">
        <v>4298</v>
      </c>
      <c r="V39" s="6" t="s">
        <v>4315</v>
      </c>
      <c r="W39" s="5" t="s">
        <v>4316</v>
      </c>
      <c r="X39" s="103" t="n">
        <f aca="false">IF($O39="Active",SUMPRODUCT(($B$5:$B$400=$B39)*($G$5:$G$400=$G39)*($H$5:$H$400=$H39)*($O$5:$O$400="Active")),0)</f>
        <v>1</v>
      </c>
      <c r="Y39" s="103" t="n">
        <f aca="false">IF(AND($O39="Active",OR($Q39="—",$Q39="")),1,0)</f>
        <v>0</v>
      </c>
      <c r="Z39" s="103" t="n">
        <f aca="false">IF(AND($O39="Active",$L39="利害關係方",OR($R39="—",$R39="")),1,0)</f>
        <v>0</v>
      </c>
    </row>
    <row r="40" customFormat="false" ht="15" hidden="false" customHeight="false" outlineLevel="0" collapsed="false">
      <c r="A40" s="53" t="s">
        <v>4317</v>
      </c>
      <c r="B40" s="6" t="s">
        <v>4318</v>
      </c>
      <c r="C40" s="52"/>
      <c r="D40" s="128" t="n">
        <v>0.38</v>
      </c>
      <c r="E40" s="128" t="n">
        <v>0.43</v>
      </c>
      <c r="F40" s="53" t="s">
        <v>69</v>
      </c>
      <c r="G40" s="53" t="s">
        <v>4319</v>
      </c>
      <c r="H40" s="53" t="s">
        <v>4320</v>
      </c>
      <c r="I40" s="53" t="s">
        <v>4321</v>
      </c>
      <c r="J40" s="6" t="s">
        <v>4322</v>
      </c>
      <c r="K40" s="52" t="n">
        <v>3</v>
      </c>
      <c r="L40" s="52" t="s">
        <v>3604</v>
      </c>
      <c r="M40" s="6" t="s">
        <v>4323</v>
      </c>
      <c r="N40" s="52" t="s">
        <v>3606</v>
      </c>
      <c r="O40" s="53" t="s">
        <v>3607</v>
      </c>
      <c r="P40" s="53" t="s">
        <v>554</v>
      </c>
      <c r="Q40" s="53" t="s">
        <v>4324</v>
      </c>
      <c r="R40" s="53" t="s">
        <v>554</v>
      </c>
      <c r="S40" s="53" t="s">
        <v>554</v>
      </c>
      <c r="T40" s="53" t="s">
        <v>554</v>
      </c>
      <c r="U40" s="53" t="s">
        <v>4325</v>
      </c>
      <c r="V40" s="6" t="s">
        <v>554</v>
      </c>
      <c r="W40" s="6" t="s">
        <v>554</v>
      </c>
      <c r="X40" s="103" t="n">
        <f aca="false">IF($O40="Active",SUMPRODUCT(($B$5:$B$400=$B40)*($G$5:$G$400=$G40)*($H$5:$H$400=$H40)*($O$5:$O$400="Active")),0)</f>
        <v>1</v>
      </c>
      <c r="Y40" s="103" t="n">
        <f aca="false">IF(AND($O40="Active",OR($Q40="—",$Q40="")),1,0)</f>
        <v>0</v>
      </c>
      <c r="Z40" s="103" t="n">
        <f aca="false">IF(AND($O40="Active",$L40="利害關係方",OR($R40="—",$R40="")),1,0)</f>
        <v>1</v>
      </c>
    </row>
    <row r="41" customFormat="false" ht="15" hidden="false" customHeight="false" outlineLevel="0" collapsed="false">
      <c r="A41" s="53" t="s">
        <v>4326</v>
      </c>
      <c r="B41" s="6" t="s">
        <v>4327</v>
      </c>
      <c r="C41" s="128" t="n">
        <v>0.9</v>
      </c>
      <c r="D41" s="52"/>
      <c r="E41" s="52"/>
      <c r="F41" s="53" t="s">
        <v>69</v>
      </c>
      <c r="G41" s="52" t="s">
        <v>4328</v>
      </c>
      <c r="H41" s="53" t="s">
        <v>4320</v>
      </c>
      <c r="I41" s="53" t="s">
        <v>4321</v>
      </c>
      <c r="J41" s="6" t="s">
        <v>4322</v>
      </c>
      <c r="K41" s="52" t="n">
        <v>3</v>
      </c>
      <c r="L41" s="52" t="s">
        <v>3604</v>
      </c>
      <c r="M41" s="6" t="s">
        <v>4323</v>
      </c>
      <c r="N41" s="52" t="s">
        <v>3606</v>
      </c>
      <c r="O41" s="53" t="s">
        <v>3607</v>
      </c>
      <c r="P41" s="53" t="s">
        <v>554</v>
      </c>
      <c r="Q41" s="53" t="s">
        <v>4324</v>
      </c>
      <c r="R41" s="53" t="s">
        <v>554</v>
      </c>
      <c r="S41" s="53" t="s">
        <v>554</v>
      </c>
      <c r="T41" s="53" t="s">
        <v>554</v>
      </c>
      <c r="U41" s="53" t="s">
        <v>4325</v>
      </c>
      <c r="V41" s="6" t="s">
        <v>4329</v>
      </c>
      <c r="W41" s="5" t="s">
        <v>4330</v>
      </c>
      <c r="X41" s="103" t="n">
        <f aca="false">IF($O41="Active",SUMPRODUCT(($B$5:$B$400=$B41)*($G$5:$G$400=$G41)*($H$5:$H$400=$H41)*($O$5:$O$400="Active")),0)</f>
        <v>1</v>
      </c>
      <c r="Y41" s="103" t="n">
        <f aca="false">IF(AND($O41="Active",OR($Q41="—",$Q41="")),1,0)</f>
        <v>0</v>
      </c>
      <c r="Z41" s="103" t="n">
        <f aca="false">IF(AND($O41="Active",$L41="利害關係方",OR($R41="—",$R41="")),1,0)</f>
        <v>1</v>
      </c>
    </row>
    <row r="42" customFormat="false" ht="15" hidden="false" customHeight="false" outlineLevel="0" collapsed="false">
      <c r="A42" s="53" t="s">
        <v>4331</v>
      </c>
      <c r="B42" s="6" t="s">
        <v>4332</v>
      </c>
      <c r="C42" s="128" t="n">
        <v>2.24</v>
      </c>
      <c r="D42" s="52"/>
      <c r="E42" s="52"/>
      <c r="F42" s="53" t="s">
        <v>73</v>
      </c>
      <c r="G42" s="52" t="s">
        <v>4333</v>
      </c>
      <c r="H42" s="53" t="s">
        <v>4334</v>
      </c>
      <c r="I42" s="53" t="s">
        <v>3718</v>
      </c>
      <c r="J42" s="6" t="s">
        <v>4335</v>
      </c>
      <c r="K42" s="52" t="n">
        <v>1</v>
      </c>
      <c r="L42" s="52" t="s">
        <v>3604</v>
      </c>
      <c r="M42" s="5" t="s">
        <v>4336</v>
      </c>
      <c r="N42" s="52" t="s">
        <v>4030</v>
      </c>
      <c r="O42" s="53" t="s">
        <v>3607</v>
      </c>
      <c r="P42" s="53" t="s">
        <v>554</v>
      </c>
      <c r="Q42" s="53" t="s">
        <v>4337</v>
      </c>
      <c r="R42" s="53" t="s">
        <v>554</v>
      </c>
      <c r="S42" s="53" t="s">
        <v>554</v>
      </c>
      <c r="T42" s="53" t="s">
        <v>554</v>
      </c>
      <c r="U42" s="53" t="s">
        <v>4338</v>
      </c>
      <c r="V42" s="6" t="s">
        <v>554</v>
      </c>
      <c r="W42" s="5" t="s">
        <v>4339</v>
      </c>
      <c r="X42" s="103" t="n">
        <f aca="false">IF($O42="Active",SUMPRODUCT(($B$5:$B$400=$B42)*($G$5:$G$400=$G42)*($H$5:$H$400=$H42)*($O$5:$O$400="Active")),0)</f>
        <v>1</v>
      </c>
      <c r="Y42" s="103" t="n">
        <f aca="false">IF(AND($O42="Active",OR($Q42="—",$Q42="")),1,0)</f>
        <v>0</v>
      </c>
      <c r="Z42" s="103" t="n">
        <f aca="false">IF(AND($O42="Active",$L42="利害關係方",OR($R42="—",$R42="")),1,0)</f>
        <v>1</v>
      </c>
    </row>
    <row r="43" customFormat="false" ht="15" hidden="false" customHeight="false" outlineLevel="0" collapsed="false">
      <c r="A43" s="53" t="s">
        <v>4340</v>
      </c>
      <c r="B43" s="6" t="s">
        <v>4341</v>
      </c>
      <c r="C43" s="128" t="n">
        <v>2.72</v>
      </c>
      <c r="D43" s="52"/>
      <c r="E43" s="52"/>
      <c r="F43" s="53" t="s">
        <v>73</v>
      </c>
      <c r="G43" s="52" t="s">
        <v>4333</v>
      </c>
      <c r="H43" s="53" t="s">
        <v>4334</v>
      </c>
      <c r="I43" s="53" t="s">
        <v>3718</v>
      </c>
      <c r="J43" s="6" t="s">
        <v>4335</v>
      </c>
      <c r="K43" s="52" t="n">
        <v>1</v>
      </c>
      <c r="L43" s="52" t="s">
        <v>3604</v>
      </c>
      <c r="M43" s="5" t="s">
        <v>4336</v>
      </c>
      <c r="N43" s="52" t="s">
        <v>4030</v>
      </c>
      <c r="O43" s="53" t="s">
        <v>3607</v>
      </c>
      <c r="P43" s="53" t="s">
        <v>554</v>
      </c>
      <c r="Q43" s="53" t="s">
        <v>4337</v>
      </c>
      <c r="R43" s="53" t="s">
        <v>554</v>
      </c>
      <c r="S43" s="53" t="s">
        <v>554</v>
      </c>
      <c r="T43" s="53" t="s">
        <v>554</v>
      </c>
      <c r="U43" s="53" t="s">
        <v>4338</v>
      </c>
      <c r="V43" s="6" t="s">
        <v>554</v>
      </c>
      <c r="W43" s="6" t="s">
        <v>554</v>
      </c>
      <c r="X43" s="103" t="n">
        <f aca="false">IF($O43="Active",SUMPRODUCT(($B$5:$B$400=$B43)*($G$5:$G$400=$G43)*($H$5:$H$400=$H43)*($O$5:$O$400="Active")),0)</f>
        <v>1</v>
      </c>
      <c r="Y43" s="103" t="n">
        <f aca="false">IF(AND($O43="Active",OR($Q43="—",$Q43="")),1,0)</f>
        <v>0</v>
      </c>
      <c r="Z43" s="103" t="n">
        <f aca="false">IF(AND($O43="Active",$L43="利害關係方",OR($R43="—",$R43="")),1,0)</f>
        <v>1</v>
      </c>
    </row>
    <row r="44" customFormat="false" ht="15" hidden="false" customHeight="false" outlineLevel="0" collapsed="false">
      <c r="A44" s="53" t="s">
        <v>4342</v>
      </c>
      <c r="B44" s="6" t="s">
        <v>4343</v>
      </c>
      <c r="C44" s="128" t="n">
        <v>2</v>
      </c>
      <c r="D44" s="52"/>
      <c r="E44" s="52"/>
      <c r="F44" s="53" t="s">
        <v>73</v>
      </c>
      <c r="G44" s="52" t="s">
        <v>3682</v>
      </c>
      <c r="H44" s="53" t="s">
        <v>4344</v>
      </c>
      <c r="I44" s="53" t="s">
        <v>3718</v>
      </c>
      <c r="J44" s="6" t="s">
        <v>4335</v>
      </c>
      <c r="K44" s="52" t="n">
        <v>1</v>
      </c>
      <c r="L44" s="52" t="s">
        <v>3604</v>
      </c>
      <c r="M44" s="5" t="s">
        <v>4336</v>
      </c>
      <c r="N44" s="52" t="s">
        <v>4030</v>
      </c>
      <c r="O44" s="53" t="s">
        <v>3607</v>
      </c>
      <c r="P44" s="53" t="s">
        <v>554</v>
      </c>
      <c r="Q44" s="53" t="s">
        <v>4337</v>
      </c>
      <c r="R44" s="53" t="s">
        <v>554</v>
      </c>
      <c r="S44" s="53" t="s">
        <v>554</v>
      </c>
      <c r="T44" s="53" t="s">
        <v>554</v>
      </c>
      <c r="U44" s="53" t="s">
        <v>4338</v>
      </c>
      <c r="V44" s="6" t="s">
        <v>554</v>
      </c>
      <c r="W44" s="6" t="s">
        <v>554</v>
      </c>
      <c r="X44" s="103" t="n">
        <f aca="false">IF($O44="Active",SUMPRODUCT(($B$5:$B$400=$B44)*($G$5:$G$400=$G44)*($H$5:$H$400=$H44)*($O$5:$O$400="Active")),0)</f>
        <v>1</v>
      </c>
      <c r="Y44" s="103" t="n">
        <f aca="false">IF(AND($O44="Active",OR($Q44="—",$Q44="")),1,0)</f>
        <v>0</v>
      </c>
      <c r="Z44" s="103" t="n">
        <f aca="false">IF(AND($O44="Active",$L44="利害關係方",OR($R44="—",$R44="")),1,0)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4345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05" t="s">
        <v>533</v>
      </c>
      <c r="B3" s="12" t="s">
        <v>310</v>
      </c>
      <c r="C3" s="12" t="s">
        <v>4346</v>
      </c>
      <c r="D3" s="12" t="s">
        <v>57</v>
      </c>
      <c r="E3" s="12" t="s">
        <v>3277</v>
      </c>
      <c r="F3" s="12" t="s">
        <v>401</v>
      </c>
      <c r="G3" s="12" t="s">
        <v>4347</v>
      </c>
    </row>
    <row r="4" customFormat="false" ht="29.25" hidden="false" customHeight="true" outlineLevel="0" collapsed="false">
      <c r="A4" s="15" t="s">
        <v>3609</v>
      </c>
      <c r="B4" s="15" t="s">
        <v>4348</v>
      </c>
      <c r="C4" s="19" t="s">
        <v>4349</v>
      </c>
      <c r="D4" s="15" t="s">
        <v>105</v>
      </c>
      <c r="E4" s="15" t="s">
        <v>3602</v>
      </c>
      <c r="F4" s="6" t="s">
        <v>3603</v>
      </c>
      <c r="G4" s="20" t="s">
        <v>4350</v>
      </c>
    </row>
    <row r="5" customFormat="false" ht="15" hidden="false" customHeight="true" outlineLevel="0" collapsed="false">
      <c r="A5" s="15" t="s">
        <v>3620</v>
      </c>
      <c r="B5" s="15" t="s">
        <v>4351</v>
      </c>
      <c r="C5" s="19" t="s">
        <v>4352</v>
      </c>
      <c r="D5" s="15" t="s">
        <v>74</v>
      </c>
      <c r="E5" s="15" t="s">
        <v>3615</v>
      </c>
      <c r="F5" s="6" t="s">
        <v>3616</v>
      </c>
      <c r="G5" s="20" t="s">
        <v>4350</v>
      </c>
    </row>
    <row r="6" customFormat="false" ht="15" hidden="false" customHeight="true" outlineLevel="0" collapsed="false">
      <c r="A6" s="15" t="s">
        <v>3633</v>
      </c>
      <c r="B6" s="15" t="s">
        <v>4353</v>
      </c>
      <c r="C6" s="6" t="s">
        <v>4354</v>
      </c>
      <c r="D6" s="15" t="s">
        <v>175</v>
      </c>
      <c r="E6" s="15" t="s">
        <v>3629</v>
      </c>
      <c r="F6" s="6" t="s">
        <v>3630</v>
      </c>
      <c r="G6" s="20" t="s">
        <v>4350</v>
      </c>
    </row>
    <row r="7" customFormat="false" ht="15" hidden="false" customHeight="true" outlineLevel="0" collapsed="false">
      <c r="A7" s="15" t="s">
        <v>3647</v>
      </c>
      <c r="B7" s="15" t="s">
        <v>4355</v>
      </c>
      <c r="C7" s="6" t="s">
        <v>4356</v>
      </c>
      <c r="D7" s="15" t="s">
        <v>175</v>
      </c>
      <c r="E7" s="15" t="s">
        <v>3643</v>
      </c>
      <c r="F7" s="6" t="s">
        <v>3644</v>
      </c>
      <c r="G7" s="20" t="s">
        <v>4350</v>
      </c>
    </row>
    <row r="8" customFormat="false" ht="15" hidden="false" customHeight="true" outlineLevel="0" collapsed="false">
      <c r="A8" s="15" t="s">
        <v>3662</v>
      </c>
      <c r="B8" s="15" t="s">
        <v>4357</v>
      </c>
      <c r="C8" s="6" t="s">
        <v>4358</v>
      </c>
      <c r="D8" s="15" t="s">
        <v>175</v>
      </c>
      <c r="E8" s="15" t="s">
        <v>1155</v>
      </c>
      <c r="F8" s="6" t="s">
        <v>3659</v>
      </c>
      <c r="G8" s="20" t="s">
        <v>4350</v>
      </c>
    </row>
    <row r="9" customFormat="false" ht="15" hidden="false" customHeight="true" outlineLevel="0" collapsed="false">
      <c r="A9" s="15" t="s">
        <v>3669</v>
      </c>
      <c r="B9" s="15" t="s">
        <v>4359</v>
      </c>
      <c r="C9" s="6" t="s">
        <v>4360</v>
      </c>
      <c r="D9" s="15" t="s">
        <v>175</v>
      </c>
      <c r="E9" s="15" t="s">
        <v>1155</v>
      </c>
      <c r="F9" s="6" t="s">
        <v>3666</v>
      </c>
      <c r="G9" s="20" t="s">
        <v>4350</v>
      </c>
    </row>
    <row r="10" customFormat="false" ht="29.25" hidden="false" customHeight="true" outlineLevel="0" collapsed="false">
      <c r="A10" s="15" t="s">
        <v>3676</v>
      </c>
      <c r="B10" s="15" t="s">
        <v>4361</v>
      </c>
      <c r="C10" s="6" t="s">
        <v>4362</v>
      </c>
      <c r="D10" s="15" t="s">
        <v>175</v>
      </c>
      <c r="E10" s="15" t="s">
        <v>3615</v>
      </c>
      <c r="F10" s="6" t="s">
        <v>3673</v>
      </c>
      <c r="G10" s="20" t="s">
        <v>4350</v>
      </c>
    </row>
    <row r="11" customFormat="false" ht="15" hidden="false" customHeight="true" outlineLevel="0" collapsed="false">
      <c r="A11" s="15" t="s">
        <v>3690</v>
      </c>
      <c r="B11" s="15" t="s">
        <v>3685</v>
      </c>
      <c r="C11" s="6" t="s">
        <v>4363</v>
      </c>
      <c r="D11" s="15" t="s">
        <v>175</v>
      </c>
      <c r="E11" s="15" t="s">
        <v>1152</v>
      </c>
      <c r="F11" s="6" t="s">
        <v>3687</v>
      </c>
      <c r="G11" s="20" t="s">
        <v>4350</v>
      </c>
    </row>
    <row r="12" customFormat="false" ht="15" hidden="false" customHeight="true" outlineLevel="0" collapsed="false">
      <c r="A12" s="15" t="s">
        <v>3700</v>
      </c>
      <c r="B12" s="15" t="s">
        <v>4364</v>
      </c>
      <c r="C12" s="6" t="s">
        <v>4365</v>
      </c>
      <c r="D12" s="15" t="s">
        <v>175</v>
      </c>
      <c r="E12" s="15" t="s">
        <v>4366</v>
      </c>
      <c r="F12" s="6" t="s">
        <v>3696</v>
      </c>
      <c r="G12" s="20" t="s">
        <v>4350</v>
      </c>
    </row>
    <row r="13" customFormat="false" ht="15" hidden="false" customHeight="true" outlineLevel="0" collapsed="false">
      <c r="A13" s="15" t="s">
        <v>3883</v>
      </c>
      <c r="B13" s="20" t="s">
        <v>4367</v>
      </c>
      <c r="C13" s="6" t="s">
        <v>4368</v>
      </c>
      <c r="D13" s="15" t="s">
        <v>74</v>
      </c>
      <c r="E13" s="15" t="s">
        <v>3615</v>
      </c>
      <c r="F13" s="6" t="s">
        <v>3880</v>
      </c>
      <c r="G13" s="20" t="s">
        <v>4350</v>
      </c>
    </row>
    <row r="14" customFormat="false" ht="15" hidden="false" customHeight="true" outlineLevel="0" collapsed="false">
      <c r="A14" s="15" t="s">
        <v>3714</v>
      </c>
      <c r="B14" s="15" t="s">
        <v>4369</v>
      </c>
      <c r="C14" s="19" t="s">
        <v>4370</v>
      </c>
      <c r="D14" s="15" t="s">
        <v>175</v>
      </c>
      <c r="E14" s="15" t="s">
        <v>3615</v>
      </c>
      <c r="F14" s="6" t="s">
        <v>3711</v>
      </c>
      <c r="G14" s="20" t="s">
        <v>4371</v>
      </c>
    </row>
    <row r="15" customFormat="false" ht="29.25" hidden="false" customHeight="true" outlineLevel="0" collapsed="false">
      <c r="A15" s="15" t="s">
        <v>3895</v>
      </c>
      <c r="B15" s="20" t="s">
        <v>4372</v>
      </c>
      <c r="C15" s="6" t="s">
        <v>4373</v>
      </c>
      <c r="D15" s="15" t="s">
        <v>74</v>
      </c>
      <c r="E15" s="15" t="s">
        <v>3615</v>
      </c>
      <c r="F15" s="6" t="s">
        <v>3893</v>
      </c>
      <c r="G15" s="20" t="s">
        <v>4350</v>
      </c>
    </row>
    <row r="16" customFormat="false" ht="26.25" hidden="false" customHeight="true" outlineLevel="0" collapsed="false">
      <c r="A16" s="15" t="s">
        <v>3908</v>
      </c>
      <c r="B16" s="20" t="s">
        <v>4374</v>
      </c>
      <c r="C16" s="6" t="s">
        <v>4375</v>
      </c>
      <c r="D16" s="15" t="s">
        <v>105</v>
      </c>
      <c r="E16" s="15" t="s">
        <v>3695</v>
      </c>
      <c r="F16" s="6" t="s">
        <v>3905</v>
      </c>
      <c r="G16" s="20" t="s">
        <v>4376</v>
      </c>
    </row>
    <row r="17" customFormat="false" ht="15" hidden="false" customHeight="true" outlineLevel="0" collapsed="false">
      <c r="A17" s="15" t="s">
        <v>4377</v>
      </c>
      <c r="B17" s="15" t="s">
        <v>72</v>
      </c>
      <c r="C17" s="19" t="s">
        <v>4378</v>
      </c>
      <c r="D17" s="15" t="s">
        <v>74</v>
      </c>
      <c r="E17" s="15" t="s">
        <v>554</v>
      </c>
      <c r="F17" s="6" t="s">
        <v>4379</v>
      </c>
      <c r="G17" s="20" t="s">
        <v>4350</v>
      </c>
    </row>
    <row r="18" customFormat="false" ht="29.25" hidden="false" customHeight="true" outlineLevel="0" collapsed="false">
      <c r="A18" s="15" t="s">
        <v>3917</v>
      </c>
      <c r="B18" s="15" t="s">
        <v>4380</v>
      </c>
      <c r="C18" s="6" t="s">
        <v>4381</v>
      </c>
      <c r="D18" s="15" t="s">
        <v>105</v>
      </c>
      <c r="E18" s="15" t="s">
        <v>3718</v>
      </c>
      <c r="F18" s="6" t="s">
        <v>3915</v>
      </c>
      <c r="G18" s="20" t="s">
        <v>4382</v>
      </c>
    </row>
    <row r="19" customFormat="false" ht="15" hidden="false" customHeight="true" outlineLevel="0" collapsed="false">
      <c r="A19" s="15" t="s">
        <v>3932</v>
      </c>
      <c r="B19" s="20" t="s">
        <v>4383</v>
      </c>
      <c r="C19" s="19" t="s">
        <v>4384</v>
      </c>
      <c r="D19" s="15" t="s">
        <v>175</v>
      </c>
      <c r="E19" s="15" t="s">
        <v>3928</v>
      </c>
      <c r="F19" s="6" t="s">
        <v>3929</v>
      </c>
      <c r="G19" s="20" t="s">
        <v>4385</v>
      </c>
    </row>
    <row r="20" customFormat="false" ht="15" hidden="false" customHeight="true" outlineLevel="0" collapsed="false">
      <c r="A20" s="15" t="s">
        <v>3942</v>
      </c>
      <c r="B20" s="15" t="s">
        <v>4386</v>
      </c>
      <c r="C20" s="6" t="s">
        <v>4387</v>
      </c>
      <c r="D20" s="15" t="s">
        <v>175</v>
      </c>
      <c r="E20" s="15" t="s">
        <v>3695</v>
      </c>
      <c r="F20" s="6" t="s">
        <v>3938</v>
      </c>
      <c r="G20" s="20" t="s">
        <v>3937</v>
      </c>
    </row>
    <row r="21" customFormat="false" ht="15" hidden="false" customHeight="true" outlineLevel="0" collapsed="false">
      <c r="A21" s="15" t="s">
        <v>4388</v>
      </c>
      <c r="B21" s="15" t="s">
        <v>4389</v>
      </c>
      <c r="C21" s="6" t="s">
        <v>4390</v>
      </c>
      <c r="D21" s="15" t="s">
        <v>105</v>
      </c>
      <c r="E21" s="15" t="s">
        <v>3695</v>
      </c>
      <c r="F21" s="6" t="s">
        <v>4391</v>
      </c>
      <c r="G21" s="20" t="s">
        <v>4350</v>
      </c>
    </row>
    <row r="22" customFormat="false" ht="15" hidden="false" customHeight="true" outlineLevel="0" collapsed="false">
      <c r="A22" s="15" t="s">
        <v>4392</v>
      </c>
      <c r="B22" s="20" t="s">
        <v>4393</v>
      </c>
      <c r="C22" s="6" t="s">
        <v>4394</v>
      </c>
      <c r="D22" s="15" t="s">
        <v>249</v>
      </c>
      <c r="E22" s="15" t="s">
        <v>1152</v>
      </c>
      <c r="F22" s="6" t="s">
        <v>4395</v>
      </c>
      <c r="G22" s="20" t="s">
        <v>4396</v>
      </c>
    </row>
    <row r="23" customFormat="false" ht="54.75" hidden="false" customHeight="true" outlineLevel="0" collapsed="false">
      <c r="A23" s="6" t="s">
        <v>404</v>
      </c>
      <c r="B23" s="6" t="s">
        <v>4397</v>
      </c>
      <c r="C23" s="6" t="s">
        <v>4398</v>
      </c>
      <c r="D23" s="6" t="s">
        <v>4399</v>
      </c>
      <c r="E23" s="6" t="s">
        <v>3695</v>
      </c>
      <c r="F23" s="6" t="s">
        <v>4154</v>
      </c>
      <c r="G23" s="5" t="s">
        <v>4400</v>
      </c>
    </row>
    <row r="24" customFormat="false" ht="43.5" hidden="false" customHeight="true" outlineLevel="0" collapsed="false">
      <c r="A24" s="6" t="s">
        <v>403</v>
      </c>
      <c r="B24" s="6" t="s">
        <v>4401</v>
      </c>
      <c r="C24" s="6" t="s">
        <v>4402</v>
      </c>
      <c r="D24" s="6" t="s">
        <v>4403</v>
      </c>
      <c r="E24" s="6" t="s">
        <v>4168</v>
      </c>
      <c r="F24" s="6" t="s">
        <v>4169</v>
      </c>
      <c r="G24" s="5" t="s">
        <v>4404</v>
      </c>
    </row>
    <row r="25" customFormat="false" ht="29.25" hidden="false" customHeight="true" outlineLevel="0" collapsed="false">
      <c r="A25" s="6" t="s">
        <v>402</v>
      </c>
      <c r="B25" s="6" t="s">
        <v>4405</v>
      </c>
      <c r="C25" s="6" t="s">
        <v>4406</v>
      </c>
      <c r="D25" s="6" t="s">
        <v>4407</v>
      </c>
      <c r="E25" s="5" t="s">
        <v>4192</v>
      </c>
      <c r="F25" s="6" t="s">
        <v>4193</v>
      </c>
      <c r="G25" s="5" t="s">
        <v>4408</v>
      </c>
    </row>
    <row r="26" customFormat="false" ht="29.25" hidden="false" customHeight="true" outlineLevel="0" collapsed="false">
      <c r="A26" s="6" t="s">
        <v>405</v>
      </c>
      <c r="B26" s="6" t="s">
        <v>4409</v>
      </c>
      <c r="C26" s="6" t="s">
        <v>4410</v>
      </c>
      <c r="D26" s="6" t="s">
        <v>4411</v>
      </c>
      <c r="E26" s="6" t="s">
        <v>4213</v>
      </c>
      <c r="F26" s="6" t="s">
        <v>4214</v>
      </c>
      <c r="G26" s="5" t="s">
        <v>4412</v>
      </c>
    </row>
    <row r="27" customFormat="false" ht="29.25" hidden="false" customHeight="true" outlineLevel="0" collapsed="false">
      <c r="A27" s="6" t="s">
        <v>4227</v>
      </c>
      <c r="B27" s="6" t="s">
        <v>4413</v>
      </c>
      <c r="C27" s="6" t="s">
        <v>4414</v>
      </c>
      <c r="D27" s="6" t="s">
        <v>4411</v>
      </c>
      <c r="E27" s="6" t="s">
        <v>1155</v>
      </c>
      <c r="F27" s="6" t="s">
        <v>4224</v>
      </c>
      <c r="G27" s="5" t="s">
        <v>4415</v>
      </c>
    </row>
    <row r="28" customFormat="false" ht="29.25" hidden="false" customHeight="true" outlineLevel="0" collapsed="false">
      <c r="A28" s="6" t="s">
        <v>4416</v>
      </c>
      <c r="B28" s="6" t="s">
        <v>4417</v>
      </c>
      <c r="C28" s="6" t="s">
        <v>4418</v>
      </c>
      <c r="D28" s="6" t="s">
        <v>4419</v>
      </c>
      <c r="E28" s="6" t="s">
        <v>4046</v>
      </c>
      <c r="F28" s="6" t="s">
        <v>4420</v>
      </c>
      <c r="G28" s="5" t="s">
        <v>4421</v>
      </c>
    </row>
    <row r="29" customFormat="false" ht="54.75" hidden="false" customHeight="true" outlineLevel="0" collapsed="false">
      <c r="A29" s="6" t="s">
        <v>4238</v>
      </c>
      <c r="B29" s="6" t="s">
        <v>4422</v>
      </c>
      <c r="C29" s="6" t="s">
        <v>4423</v>
      </c>
      <c r="D29" s="6" t="s">
        <v>4424</v>
      </c>
      <c r="E29" s="6" t="s">
        <v>1152</v>
      </c>
      <c r="F29" s="6" t="s">
        <v>4235</v>
      </c>
      <c r="G29" s="5" t="s">
        <v>4425</v>
      </c>
    </row>
    <row r="30" customFormat="false" ht="29.25" hidden="false" customHeight="true" outlineLevel="0" collapsed="false">
      <c r="A30" s="6" t="s">
        <v>2088</v>
      </c>
      <c r="B30" s="6" t="s">
        <v>4426</v>
      </c>
      <c r="C30" s="6" t="s">
        <v>4427</v>
      </c>
      <c r="D30" s="6" t="s">
        <v>105</v>
      </c>
      <c r="E30" s="6" t="s">
        <v>3615</v>
      </c>
      <c r="F30" s="6" t="s">
        <v>3950</v>
      </c>
      <c r="G30" s="5" t="s">
        <v>3954</v>
      </c>
    </row>
    <row r="31" customFormat="false" ht="43.5" hidden="false" customHeight="true" outlineLevel="0" collapsed="false">
      <c r="A31" s="6" t="s">
        <v>3722</v>
      </c>
      <c r="B31" s="6" t="s">
        <v>4428</v>
      </c>
      <c r="C31" s="6" t="s">
        <v>4429</v>
      </c>
      <c r="D31" s="6" t="s">
        <v>4430</v>
      </c>
      <c r="E31" s="6" t="s">
        <v>3718</v>
      </c>
      <c r="F31" s="5" t="s">
        <v>3719</v>
      </c>
      <c r="G31" s="5" t="s">
        <v>4431</v>
      </c>
    </row>
    <row r="32" customFormat="false" ht="15" hidden="false" customHeight="true" outlineLevel="0" collapsed="false">
      <c r="A32" s="6" t="s">
        <v>3765</v>
      </c>
      <c r="B32" s="5" t="s">
        <v>4432</v>
      </c>
      <c r="C32" s="6" t="s">
        <v>4433</v>
      </c>
      <c r="D32" s="6" t="s">
        <v>74</v>
      </c>
      <c r="E32" s="6" t="s">
        <v>554</v>
      </c>
      <c r="F32" s="5" t="s">
        <v>3762</v>
      </c>
      <c r="G32" s="5" t="s">
        <v>4350</v>
      </c>
    </row>
    <row r="33" customFormat="false" ht="29.25" hidden="false" customHeight="true" outlineLevel="0" collapsed="false">
      <c r="A33" s="6" t="s">
        <v>4271</v>
      </c>
      <c r="B33" s="6" t="s">
        <v>4434</v>
      </c>
      <c r="C33" s="6" t="s">
        <v>4435</v>
      </c>
      <c r="D33" s="6" t="s">
        <v>4436</v>
      </c>
      <c r="E33" s="6" t="s">
        <v>4266</v>
      </c>
      <c r="F33" s="6" t="s">
        <v>4267</v>
      </c>
      <c r="G33" s="5" t="s">
        <v>4421</v>
      </c>
    </row>
    <row r="34" customFormat="false" ht="69" hidden="false" customHeight="true" outlineLevel="0" collapsed="false">
      <c r="A34" s="6" t="s">
        <v>2074</v>
      </c>
      <c r="B34" s="6" t="s">
        <v>4437</v>
      </c>
      <c r="C34" s="6" t="s">
        <v>4438</v>
      </c>
      <c r="D34" s="6" t="s">
        <v>4439</v>
      </c>
      <c r="E34" s="6" t="s">
        <v>4282</v>
      </c>
      <c r="F34" s="6" t="s">
        <v>4283</v>
      </c>
      <c r="G34" s="5" t="s">
        <v>4440</v>
      </c>
    </row>
    <row r="35" customFormat="false" ht="29.25" hidden="false" customHeight="true" outlineLevel="0" collapsed="false">
      <c r="A35" s="6" t="s">
        <v>4298</v>
      </c>
      <c r="B35" s="6" t="s">
        <v>4441</v>
      </c>
      <c r="C35" s="5" t="s">
        <v>4442</v>
      </c>
      <c r="D35" s="6" t="s">
        <v>105</v>
      </c>
      <c r="E35" s="6" t="s">
        <v>4443</v>
      </c>
      <c r="F35" s="6" t="s">
        <v>4295</v>
      </c>
      <c r="G35" s="5" t="s">
        <v>4425</v>
      </c>
    </row>
    <row r="36" customFormat="false" ht="29.25" hidden="false" customHeight="true" outlineLevel="0" collapsed="false">
      <c r="A36" s="6" t="s">
        <v>4444</v>
      </c>
      <c r="B36" s="6" t="s">
        <v>4445</v>
      </c>
      <c r="C36" s="6" t="s">
        <v>4446</v>
      </c>
      <c r="D36" s="6" t="s">
        <v>4447</v>
      </c>
      <c r="E36" s="6" t="s">
        <v>3643</v>
      </c>
      <c r="F36" s="6" t="s">
        <v>4448</v>
      </c>
      <c r="G36" s="5" t="s">
        <v>4449</v>
      </c>
    </row>
    <row r="37" customFormat="false" ht="29.25" hidden="false" customHeight="true" outlineLevel="0" collapsed="false">
      <c r="A37" s="6" t="s">
        <v>4032</v>
      </c>
      <c r="B37" s="6" t="s">
        <v>4450</v>
      </c>
      <c r="C37" s="6" t="s">
        <v>4451</v>
      </c>
      <c r="D37" s="6" t="s">
        <v>4452</v>
      </c>
      <c r="E37" s="6" t="s">
        <v>3629</v>
      </c>
      <c r="F37" s="6" t="s">
        <v>4028</v>
      </c>
      <c r="G37" s="5" t="s">
        <v>4453</v>
      </c>
    </row>
    <row r="38" customFormat="false" ht="29.25" hidden="false" customHeight="true" outlineLevel="0" collapsed="false">
      <c r="A38" s="6" t="s">
        <v>3784</v>
      </c>
      <c r="B38" s="6" t="s">
        <v>4454</v>
      </c>
      <c r="C38" s="6" t="s">
        <v>4455</v>
      </c>
      <c r="D38" s="6" t="s">
        <v>4430</v>
      </c>
      <c r="E38" s="6" t="s">
        <v>3615</v>
      </c>
      <c r="F38" s="6" t="s">
        <v>3780</v>
      </c>
      <c r="G38" s="5" t="s">
        <v>4456</v>
      </c>
    </row>
    <row r="39" customFormat="false" ht="29.25" hidden="false" customHeight="true" outlineLevel="0" collapsed="false">
      <c r="A39" s="6" t="s">
        <v>4325</v>
      </c>
      <c r="B39" s="6" t="s">
        <v>4457</v>
      </c>
      <c r="C39" s="6" t="s">
        <v>4458</v>
      </c>
      <c r="D39" s="6" t="s">
        <v>4459</v>
      </c>
      <c r="E39" s="6" t="s">
        <v>4321</v>
      </c>
      <c r="F39" s="6" t="s">
        <v>4322</v>
      </c>
      <c r="G39" s="5" t="s">
        <v>4350</v>
      </c>
    </row>
    <row r="40" customFormat="false" ht="57.75" hidden="false" customHeight="true" outlineLevel="0" collapsed="false">
      <c r="A40" s="6" t="s">
        <v>2109</v>
      </c>
      <c r="B40" s="6" t="s">
        <v>4460</v>
      </c>
      <c r="C40" s="5" t="s">
        <v>4461</v>
      </c>
      <c r="D40" s="6" t="s">
        <v>4462</v>
      </c>
      <c r="E40" s="6" t="s">
        <v>3643</v>
      </c>
      <c r="F40" s="6" t="s">
        <v>4463</v>
      </c>
      <c r="G40" s="5" t="s">
        <v>4425</v>
      </c>
    </row>
    <row r="41" customFormat="false" ht="29.25" hidden="false" customHeight="true" outlineLevel="0" collapsed="false">
      <c r="A41" s="6" t="s">
        <v>2112</v>
      </c>
      <c r="B41" s="6" t="s">
        <v>4464</v>
      </c>
      <c r="C41" s="6" t="s">
        <v>4465</v>
      </c>
      <c r="D41" s="6" t="s">
        <v>4466</v>
      </c>
      <c r="E41" s="6" t="s">
        <v>4046</v>
      </c>
      <c r="F41" s="6" t="s">
        <v>4047</v>
      </c>
      <c r="G41" s="5" t="s">
        <v>4425</v>
      </c>
    </row>
    <row r="42" customFormat="false" ht="43.5" hidden="false" customHeight="true" outlineLevel="0" collapsed="false">
      <c r="A42" s="6" t="s">
        <v>2097</v>
      </c>
      <c r="B42" s="6" t="s">
        <v>4467</v>
      </c>
      <c r="C42" s="6" t="s">
        <v>4468</v>
      </c>
      <c r="D42" s="6" t="s">
        <v>4469</v>
      </c>
      <c r="E42" s="6" t="s">
        <v>4470</v>
      </c>
      <c r="F42" s="6" t="s">
        <v>4059</v>
      </c>
      <c r="G42" s="5" t="s">
        <v>4471</v>
      </c>
    </row>
    <row r="43" customFormat="false" ht="29.25" hidden="false" customHeight="true" outlineLevel="0" collapsed="false">
      <c r="A43" s="6" t="s">
        <v>4073</v>
      </c>
      <c r="B43" s="6" t="s">
        <v>4472</v>
      </c>
      <c r="C43" s="6" t="s">
        <v>4473</v>
      </c>
      <c r="D43" s="6" t="s">
        <v>4474</v>
      </c>
      <c r="E43" s="6" t="s">
        <v>4069</v>
      </c>
      <c r="F43" s="6" t="s">
        <v>4070</v>
      </c>
      <c r="G43" s="5" t="s">
        <v>4425</v>
      </c>
    </row>
    <row r="44" customFormat="false" ht="40.5" hidden="false" customHeight="true" outlineLevel="0" collapsed="false">
      <c r="A44" s="6" t="s">
        <v>2094</v>
      </c>
      <c r="B44" s="6" t="s">
        <v>4475</v>
      </c>
      <c r="C44" s="5" t="s">
        <v>4476</v>
      </c>
      <c r="D44" s="6" t="s">
        <v>4477</v>
      </c>
      <c r="E44" s="6" t="s">
        <v>4077</v>
      </c>
      <c r="F44" s="6" t="s">
        <v>4078</v>
      </c>
      <c r="G44" s="5" t="s">
        <v>4478</v>
      </c>
    </row>
    <row r="45" customFormat="false" ht="29.25" hidden="false" customHeight="true" outlineLevel="0" collapsed="false">
      <c r="A45" s="6" t="s">
        <v>4479</v>
      </c>
      <c r="B45" s="6" t="s">
        <v>4480</v>
      </c>
      <c r="C45" s="6" t="s">
        <v>4481</v>
      </c>
      <c r="D45" s="6" t="s">
        <v>4482</v>
      </c>
      <c r="E45" s="6" t="s">
        <v>3615</v>
      </c>
      <c r="F45" s="6" t="s">
        <v>4483</v>
      </c>
      <c r="G45" s="5" t="s">
        <v>4484</v>
      </c>
    </row>
    <row r="46" customFormat="false" ht="29.25" hidden="false" customHeight="true" outlineLevel="0" collapsed="false">
      <c r="A46" s="6" t="s">
        <v>915</v>
      </c>
      <c r="B46" s="6" t="s">
        <v>4485</v>
      </c>
      <c r="C46" s="5" t="s">
        <v>4486</v>
      </c>
      <c r="D46" s="6" t="s">
        <v>4452</v>
      </c>
      <c r="E46" s="6" t="s">
        <v>4090</v>
      </c>
      <c r="F46" s="6" t="s">
        <v>4091</v>
      </c>
      <c r="G46" s="6" t="s">
        <v>4487</v>
      </c>
    </row>
    <row r="47" customFormat="false" ht="29.25" hidden="false" customHeight="true" outlineLevel="0" collapsed="false">
      <c r="A47" s="6" t="s">
        <v>4109</v>
      </c>
      <c r="B47" s="6" t="s">
        <v>4488</v>
      </c>
      <c r="C47" s="5" t="s">
        <v>4489</v>
      </c>
      <c r="D47" s="6" t="s">
        <v>4452</v>
      </c>
      <c r="E47" s="6" t="s">
        <v>1152</v>
      </c>
      <c r="F47" s="6" t="s">
        <v>4107</v>
      </c>
      <c r="G47" s="5" t="s">
        <v>4453</v>
      </c>
    </row>
    <row r="48" customFormat="false" ht="29.25" hidden="false" customHeight="true" outlineLevel="0" collapsed="false">
      <c r="A48" s="6" t="s">
        <v>4119</v>
      </c>
      <c r="B48" s="6" t="s">
        <v>4490</v>
      </c>
      <c r="C48" s="5" t="s">
        <v>4491</v>
      </c>
      <c r="D48" s="6" t="s">
        <v>4492</v>
      </c>
      <c r="E48" s="6" t="s">
        <v>4115</v>
      </c>
      <c r="F48" s="6" t="s">
        <v>4116</v>
      </c>
      <c r="G48" s="5" t="s">
        <v>4453</v>
      </c>
    </row>
    <row r="49" customFormat="false" ht="29.25" hidden="false" customHeight="true" outlineLevel="0" collapsed="false">
      <c r="A49" s="6" t="s">
        <v>4124</v>
      </c>
      <c r="B49" s="6" t="s">
        <v>4493</v>
      </c>
      <c r="C49" s="5" t="s">
        <v>4494</v>
      </c>
      <c r="D49" s="6" t="s">
        <v>4495</v>
      </c>
      <c r="E49" s="6" t="s">
        <v>4058</v>
      </c>
      <c r="F49" s="6" t="s">
        <v>4122</v>
      </c>
      <c r="G49" s="5" t="s">
        <v>4471</v>
      </c>
    </row>
    <row r="50" customFormat="false" ht="29.25" hidden="false" customHeight="true" outlineLevel="0" collapsed="false">
      <c r="A50" s="6" t="s">
        <v>4134</v>
      </c>
      <c r="B50" s="6" t="s">
        <v>4496</v>
      </c>
      <c r="C50" s="6" t="s">
        <v>4497</v>
      </c>
      <c r="D50" s="6" t="s">
        <v>4459</v>
      </c>
      <c r="E50" s="6" t="s">
        <v>4077</v>
      </c>
      <c r="F50" s="6" t="s">
        <v>4131</v>
      </c>
      <c r="G50" s="5" t="s">
        <v>4425</v>
      </c>
    </row>
    <row r="51" customFormat="false" ht="29.25" hidden="false" customHeight="true" outlineLevel="0" collapsed="false">
      <c r="A51" s="6" t="s">
        <v>4338</v>
      </c>
      <c r="B51" s="6" t="s">
        <v>4498</v>
      </c>
      <c r="C51" s="6" t="s">
        <v>4499</v>
      </c>
      <c r="D51" s="6" t="s">
        <v>4500</v>
      </c>
      <c r="E51" s="6" t="s">
        <v>4501</v>
      </c>
      <c r="F51" s="6" t="s">
        <v>4335</v>
      </c>
      <c r="G51" s="5" t="s">
        <v>4502</v>
      </c>
    </row>
    <row r="52" customFormat="false" ht="29.25" hidden="false" customHeight="true" outlineLevel="0" collapsed="false">
      <c r="A52" s="6" t="s">
        <v>4260</v>
      </c>
      <c r="B52" s="6" t="s">
        <v>4503</v>
      </c>
      <c r="C52" s="6" t="s">
        <v>4504</v>
      </c>
      <c r="D52" s="6" t="s">
        <v>4452</v>
      </c>
      <c r="E52" s="6" t="s">
        <v>4256</v>
      </c>
      <c r="F52" s="6" t="s">
        <v>4257</v>
      </c>
      <c r="G52" s="5" t="s">
        <v>4350</v>
      </c>
    </row>
    <row r="53" customFormat="false" ht="29.25" hidden="false" customHeight="true" outlineLevel="0" collapsed="false">
      <c r="A53" s="6" t="s">
        <v>4505</v>
      </c>
      <c r="B53" s="6" t="s">
        <v>4506</v>
      </c>
      <c r="C53" s="6" t="s">
        <v>4507</v>
      </c>
      <c r="D53" s="6" t="s">
        <v>105</v>
      </c>
      <c r="E53" s="6" t="s">
        <v>1143</v>
      </c>
      <c r="F53" s="6" t="s">
        <v>4508</v>
      </c>
      <c r="G53" s="5" t="s">
        <v>4425</v>
      </c>
    </row>
    <row r="54" customFormat="false" ht="72" hidden="false" customHeight="true" outlineLevel="0" collapsed="false">
      <c r="A54" s="6" t="s">
        <v>4509</v>
      </c>
      <c r="B54" s="6" t="s">
        <v>4510</v>
      </c>
      <c r="C54" s="6" t="s">
        <v>4511</v>
      </c>
      <c r="D54" s="6" t="s">
        <v>4512</v>
      </c>
      <c r="E54" s="6" t="s">
        <v>4513</v>
      </c>
      <c r="F54" s="6" t="s">
        <v>4514</v>
      </c>
      <c r="G54" s="5" t="s">
        <v>4515</v>
      </c>
    </row>
    <row r="55" customFormat="false" ht="29.25" hidden="false" customHeight="true" outlineLevel="0" collapsed="false">
      <c r="A55" s="6" t="s">
        <v>2129</v>
      </c>
      <c r="B55" s="6" t="s">
        <v>4516</v>
      </c>
      <c r="C55" s="6" t="s">
        <v>4517</v>
      </c>
      <c r="D55" s="6" t="s">
        <v>105</v>
      </c>
      <c r="E55" s="6" t="s">
        <v>1164</v>
      </c>
      <c r="F55" s="6" t="s">
        <v>4518</v>
      </c>
      <c r="G55" s="5" t="s">
        <v>4519</v>
      </c>
    </row>
    <row r="56" customFormat="false" ht="29.25" hidden="false" customHeight="true" outlineLevel="0" collapsed="false">
      <c r="A56" s="6" t="s">
        <v>4520</v>
      </c>
      <c r="B56" s="6" t="s">
        <v>4521</v>
      </c>
      <c r="C56" s="6" t="s">
        <v>4522</v>
      </c>
      <c r="D56" s="6" t="s">
        <v>105</v>
      </c>
      <c r="E56" s="6" t="s">
        <v>1164</v>
      </c>
      <c r="F56" s="6" t="s">
        <v>4523</v>
      </c>
      <c r="G56" s="5" t="s">
        <v>4404</v>
      </c>
    </row>
    <row r="57" customFormat="false" ht="43.5" hidden="false" customHeight="true" outlineLevel="0" collapsed="false">
      <c r="A57" s="6" t="s">
        <v>4524</v>
      </c>
      <c r="B57" s="6" t="s">
        <v>4525</v>
      </c>
      <c r="C57" s="6" t="s">
        <v>4526</v>
      </c>
      <c r="D57" s="6" t="s">
        <v>4527</v>
      </c>
      <c r="E57" s="6" t="s">
        <v>4513</v>
      </c>
      <c r="F57" s="6" t="s">
        <v>4528</v>
      </c>
      <c r="G57" s="5" t="s">
        <v>4529</v>
      </c>
    </row>
    <row r="58" customFormat="false" ht="54.75" hidden="false" customHeight="true" outlineLevel="0" collapsed="false">
      <c r="A58" s="6" t="s">
        <v>4530</v>
      </c>
      <c r="B58" s="6" t="s">
        <v>4531</v>
      </c>
      <c r="C58" s="6" t="s">
        <v>4532</v>
      </c>
      <c r="D58" s="6" t="s">
        <v>4533</v>
      </c>
      <c r="E58" s="6" t="s">
        <v>1152</v>
      </c>
      <c r="F58" s="6" t="s">
        <v>4534</v>
      </c>
      <c r="G58" s="5" t="s">
        <v>4535</v>
      </c>
    </row>
    <row r="59" customFormat="false" ht="29.25" hidden="false" customHeight="true" outlineLevel="0" collapsed="false">
      <c r="A59" s="6" t="s">
        <v>4536</v>
      </c>
      <c r="B59" s="6" t="s">
        <v>4537</v>
      </c>
      <c r="C59" s="6" t="s">
        <v>4538</v>
      </c>
      <c r="D59" s="6" t="s">
        <v>285</v>
      </c>
      <c r="E59" s="6" t="s">
        <v>1152</v>
      </c>
      <c r="F59" s="6" t="s">
        <v>4539</v>
      </c>
      <c r="G59" s="5" t="s">
        <v>4540</v>
      </c>
    </row>
    <row r="60" customFormat="false" ht="72" hidden="false" customHeight="true" outlineLevel="0" collapsed="false">
      <c r="A60" s="6" t="s">
        <v>4541</v>
      </c>
      <c r="B60" s="6" t="s">
        <v>4542</v>
      </c>
      <c r="C60" s="5" t="s">
        <v>4543</v>
      </c>
      <c r="D60" s="6" t="s">
        <v>4544</v>
      </c>
      <c r="E60" s="6" t="s">
        <v>3615</v>
      </c>
      <c r="F60" s="6" t="s">
        <v>4545</v>
      </c>
      <c r="G60" s="5" t="s">
        <v>4546</v>
      </c>
    </row>
    <row r="61" customFormat="false" ht="83.25" hidden="false" customHeight="true" outlineLevel="0" collapsed="false">
      <c r="A61" s="6" t="s">
        <v>1473</v>
      </c>
      <c r="B61" s="6" t="s">
        <v>4547</v>
      </c>
      <c r="C61" s="6" t="s">
        <v>4548</v>
      </c>
      <c r="D61" s="6" t="s">
        <v>4549</v>
      </c>
      <c r="E61" s="6" t="s">
        <v>1152</v>
      </c>
      <c r="F61" s="6" t="s">
        <v>4550</v>
      </c>
      <c r="G61" s="6" t="s">
        <v>4551</v>
      </c>
    </row>
    <row r="62" customFormat="false" ht="57.75" hidden="false" customHeight="true" outlineLevel="0" collapsed="false">
      <c r="A62" s="6" t="s">
        <v>1492</v>
      </c>
      <c r="B62" s="6" t="s">
        <v>4552</v>
      </c>
      <c r="C62" s="6" t="s">
        <v>4553</v>
      </c>
      <c r="D62" s="6" t="s">
        <v>4554</v>
      </c>
      <c r="E62" s="6" t="s">
        <v>4555</v>
      </c>
      <c r="F62" s="6" t="s">
        <v>4556</v>
      </c>
      <c r="G62" s="6" t="s">
        <v>4557</v>
      </c>
    </row>
    <row r="63" customFormat="false" ht="40.5" hidden="false" customHeight="true" outlineLevel="0" collapsed="false">
      <c r="A63" s="6" t="s">
        <v>4558</v>
      </c>
      <c r="B63" s="6" t="s">
        <v>4559</v>
      </c>
      <c r="C63" s="6" t="s">
        <v>4560</v>
      </c>
      <c r="D63" s="6" t="s">
        <v>4561</v>
      </c>
      <c r="E63" s="6" t="s">
        <v>1152</v>
      </c>
      <c r="F63" s="6" t="s">
        <v>4562</v>
      </c>
      <c r="G63" s="5" t="s">
        <v>4563</v>
      </c>
    </row>
    <row r="64" customFormat="false" ht="29.25" hidden="false" customHeight="true" outlineLevel="0" collapsed="false">
      <c r="A64" s="6" t="s">
        <v>4564</v>
      </c>
      <c r="B64" s="6" t="s">
        <v>4565</v>
      </c>
      <c r="C64" s="6" t="s">
        <v>4566</v>
      </c>
      <c r="D64" s="6" t="s">
        <v>4567</v>
      </c>
      <c r="E64" s="6" t="s">
        <v>1152</v>
      </c>
      <c r="F64" s="6" t="s">
        <v>4568</v>
      </c>
      <c r="G64" s="5" t="s">
        <v>4569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8"/>
    <col collapsed="false" customWidth="true" hidden="false" outlineLevel="0" max="17" min="17" style="0" width="12"/>
  </cols>
  <sheetData>
    <row r="1" customFormat="false" ht="19.5" hidden="false" customHeight="true" outlineLevel="0" collapsed="false">
      <c r="A1" s="206" t="s">
        <v>4570</v>
      </c>
    </row>
    <row r="2" customFormat="false" ht="15" hidden="false" customHeight="true" outlineLevel="0" collapsed="false">
      <c r="A2" s="207" t="s">
        <v>4571</v>
      </c>
    </row>
    <row r="3" customFormat="false" ht="15" hidden="false" customHeight="false" outlineLevel="0" collapsed="false">
      <c r="A3" s="50" t="s">
        <v>4572</v>
      </c>
    </row>
    <row r="4" customFormat="false" ht="15" hidden="false" customHeight="true" outlineLevel="0" collapsed="false">
      <c r="A4" s="75" t="s">
        <v>533</v>
      </c>
      <c r="B4" s="208" t="s">
        <v>3277</v>
      </c>
      <c r="C4" s="208" t="s">
        <v>4573</v>
      </c>
      <c r="D4" s="208" t="s">
        <v>4574</v>
      </c>
      <c r="E4" s="208" t="s">
        <v>57</v>
      </c>
      <c r="F4" s="208" t="s">
        <v>4575</v>
      </c>
      <c r="G4" s="75" t="s">
        <v>4576</v>
      </c>
      <c r="H4" s="208" t="s">
        <v>4577</v>
      </c>
      <c r="I4" s="208" t="s">
        <v>4578</v>
      </c>
      <c r="J4" s="208" t="s">
        <v>4579</v>
      </c>
      <c r="K4" s="208" t="s">
        <v>3594</v>
      </c>
      <c r="L4" s="74" t="s">
        <v>4580</v>
      </c>
      <c r="M4" s="74" t="s">
        <v>4581</v>
      </c>
      <c r="N4" s="74" t="s">
        <v>3587</v>
      </c>
      <c r="O4" s="74" t="s">
        <v>4582</v>
      </c>
      <c r="P4" s="74" t="s">
        <v>3463</v>
      </c>
      <c r="Q4" s="74" t="s">
        <v>3584</v>
      </c>
    </row>
    <row r="5" customFormat="false" ht="30" hidden="false" customHeight="true" outlineLevel="0" collapsed="false">
      <c r="A5" s="209" t="s">
        <v>3800</v>
      </c>
      <c r="B5" s="209" t="s">
        <v>3338</v>
      </c>
      <c r="C5" s="210" t="s">
        <v>4583</v>
      </c>
      <c r="D5" s="209" t="s">
        <v>4584</v>
      </c>
      <c r="E5" s="209" t="s">
        <v>175</v>
      </c>
      <c r="F5" s="210" t="s">
        <v>4585</v>
      </c>
      <c r="G5" s="209" t="s">
        <v>4586</v>
      </c>
      <c r="H5" s="209" t="s">
        <v>4587</v>
      </c>
      <c r="I5" s="211" t="s">
        <v>4588</v>
      </c>
      <c r="J5" s="209" t="s">
        <v>4589</v>
      </c>
      <c r="K5" s="210" t="s">
        <v>4590</v>
      </c>
      <c r="L5" s="52" t="s">
        <v>4591</v>
      </c>
      <c r="M5" s="6" t="s">
        <v>4592</v>
      </c>
      <c r="N5" s="53" t="s">
        <v>554</v>
      </c>
      <c r="O5" s="53" t="s">
        <v>554</v>
      </c>
      <c r="P5" s="53" t="s">
        <v>554</v>
      </c>
      <c r="Q5" s="6" t="s">
        <v>554</v>
      </c>
    </row>
    <row r="6" customFormat="false" ht="30" hidden="false" customHeight="true" outlineLevel="0" collapsed="false">
      <c r="A6" s="209" t="s">
        <v>4593</v>
      </c>
      <c r="B6" s="209" t="s">
        <v>3338</v>
      </c>
      <c r="C6" s="210" t="s">
        <v>4594</v>
      </c>
      <c r="D6" s="209" t="s">
        <v>4032</v>
      </c>
      <c r="E6" s="209" t="s">
        <v>105</v>
      </c>
      <c r="F6" s="210" t="s">
        <v>4595</v>
      </c>
      <c r="G6" s="211" t="s">
        <v>4596</v>
      </c>
      <c r="H6" s="209" t="s">
        <v>4597</v>
      </c>
      <c r="I6" s="211" t="s">
        <v>4588</v>
      </c>
      <c r="J6" s="209" t="s">
        <v>4589</v>
      </c>
      <c r="K6" s="210"/>
      <c r="L6" s="52" t="s">
        <v>4591</v>
      </c>
      <c r="M6" s="6" t="s">
        <v>4598</v>
      </c>
      <c r="N6" s="53" t="s">
        <v>554</v>
      </c>
      <c r="O6" s="53" t="s">
        <v>554</v>
      </c>
      <c r="P6" s="53" t="s">
        <v>554</v>
      </c>
      <c r="Q6" s="6" t="s">
        <v>554</v>
      </c>
    </row>
    <row r="7" customFormat="false" ht="30" hidden="false" customHeight="true" outlineLevel="0" collapsed="false">
      <c r="A7" s="209" t="s">
        <v>4599</v>
      </c>
      <c r="B7" s="209" t="s">
        <v>3338</v>
      </c>
      <c r="C7" s="210" t="s">
        <v>4600</v>
      </c>
      <c r="D7" s="209" t="s">
        <v>3784</v>
      </c>
      <c r="E7" s="209" t="s">
        <v>175</v>
      </c>
      <c r="F7" s="210" t="s">
        <v>4601</v>
      </c>
      <c r="G7" s="211" t="s">
        <v>4596</v>
      </c>
      <c r="H7" s="209" t="s">
        <v>4602</v>
      </c>
      <c r="I7" s="211" t="s">
        <v>4588</v>
      </c>
      <c r="J7" s="209" t="s">
        <v>4589</v>
      </c>
      <c r="K7" s="210"/>
      <c r="L7" s="52" t="s">
        <v>4591</v>
      </c>
      <c r="M7" s="6" t="s">
        <v>4603</v>
      </c>
      <c r="N7" s="53" t="s">
        <v>554</v>
      </c>
      <c r="O7" s="53" t="s">
        <v>554</v>
      </c>
      <c r="P7" s="53" t="s">
        <v>554</v>
      </c>
      <c r="Q7" s="6" t="s">
        <v>554</v>
      </c>
    </row>
    <row r="8" customFormat="false" ht="30" hidden="false" customHeight="true" outlineLevel="0" collapsed="false">
      <c r="A8" s="209" t="s">
        <v>4604</v>
      </c>
      <c r="B8" s="209" t="s">
        <v>3338</v>
      </c>
      <c r="C8" s="212" t="s">
        <v>4605</v>
      </c>
      <c r="D8" s="209" t="s">
        <v>2109</v>
      </c>
      <c r="E8" s="209" t="s">
        <v>74</v>
      </c>
      <c r="F8" s="210" t="s">
        <v>4606</v>
      </c>
      <c r="G8" s="211" t="s">
        <v>4596</v>
      </c>
      <c r="H8" s="209" t="s">
        <v>4607</v>
      </c>
      <c r="I8" s="211" t="s">
        <v>4608</v>
      </c>
      <c r="J8" s="209" t="s">
        <v>4589</v>
      </c>
      <c r="K8" s="212" t="s">
        <v>4609</v>
      </c>
      <c r="L8" s="52" t="s">
        <v>4591</v>
      </c>
      <c r="M8" s="6" t="s">
        <v>4610</v>
      </c>
      <c r="N8" s="53" t="s">
        <v>554</v>
      </c>
      <c r="O8" s="53" t="s">
        <v>554</v>
      </c>
      <c r="P8" s="53" t="s">
        <v>554</v>
      </c>
      <c r="Q8" s="6" t="s">
        <v>554</v>
      </c>
    </row>
    <row r="9" customFormat="false" ht="30" hidden="false" customHeight="true" outlineLevel="0" collapsed="false">
      <c r="A9" s="209" t="s">
        <v>4611</v>
      </c>
      <c r="B9" s="209" t="s">
        <v>3338</v>
      </c>
      <c r="C9" s="210" t="s">
        <v>4612</v>
      </c>
      <c r="D9" s="209" t="s">
        <v>2094</v>
      </c>
      <c r="E9" s="209" t="s">
        <v>175</v>
      </c>
      <c r="F9" s="210" t="s">
        <v>4613</v>
      </c>
      <c r="G9" s="209" t="s">
        <v>554</v>
      </c>
      <c r="H9" s="209" t="s">
        <v>4614</v>
      </c>
      <c r="I9" s="211" t="s">
        <v>4615</v>
      </c>
      <c r="J9" s="209" t="s">
        <v>4589</v>
      </c>
      <c r="K9" s="212" t="s">
        <v>4616</v>
      </c>
      <c r="L9" s="52" t="s">
        <v>4591</v>
      </c>
      <c r="M9" s="6" t="s">
        <v>4617</v>
      </c>
      <c r="N9" s="53" t="s">
        <v>554</v>
      </c>
      <c r="O9" s="53" t="s">
        <v>554</v>
      </c>
      <c r="P9" s="53" t="s">
        <v>554</v>
      </c>
      <c r="Q9" s="6" t="s">
        <v>554</v>
      </c>
    </row>
    <row r="10" customFormat="false" ht="30" hidden="false" customHeight="true" outlineLevel="0" collapsed="false">
      <c r="A10" s="209" t="s">
        <v>4618</v>
      </c>
      <c r="B10" s="209" t="s">
        <v>3338</v>
      </c>
      <c r="C10" s="212" t="s">
        <v>4619</v>
      </c>
      <c r="D10" s="209" t="s">
        <v>2112</v>
      </c>
      <c r="E10" s="209" t="s">
        <v>74</v>
      </c>
      <c r="F10" s="210" t="s">
        <v>4620</v>
      </c>
      <c r="G10" s="209" t="s">
        <v>4621</v>
      </c>
      <c r="H10" s="211" t="s">
        <v>4622</v>
      </c>
      <c r="I10" s="211" t="s">
        <v>1158</v>
      </c>
      <c r="J10" s="209" t="s">
        <v>554</v>
      </c>
      <c r="K10" s="210" t="s">
        <v>4623</v>
      </c>
      <c r="L10" s="52" t="s">
        <v>4624</v>
      </c>
      <c r="M10" s="6" t="s">
        <v>4042</v>
      </c>
      <c r="N10" s="53" t="s">
        <v>554</v>
      </c>
      <c r="O10" s="53" t="s">
        <v>554</v>
      </c>
      <c r="P10" s="53" t="s">
        <v>554</v>
      </c>
      <c r="Q10" s="6" t="s">
        <v>554</v>
      </c>
    </row>
    <row r="11" customFormat="false" ht="30" hidden="false" customHeight="true" outlineLevel="0" collapsed="false">
      <c r="A11" s="209" t="s">
        <v>4625</v>
      </c>
      <c r="B11" s="209" t="s">
        <v>1164</v>
      </c>
      <c r="C11" s="212" t="s">
        <v>4626</v>
      </c>
      <c r="D11" s="209" t="s">
        <v>4627</v>
      </c>
      <c r="E11" s="209" t="s">
        <v>175</v>
      </c>
      <c r="F11" s="210" t="s">
        <v>4628</v>
      </c>
      <c r="G11" s="209" t="s">
        <v>4629</v>
      </c>
      <c r="H11" s="209" t="s">
        <v>4630</v>
      </c>
      <c r="I11" s="211" t="s">
        <v>4588</v>
      </c>
      <c r="J11" s="209" t="s">
        <v>4631</v>
      </c>
      <c r="K11" s="210" t="s">
        <v>4632</v>
      </c>
      <c r="L11" s="52" t="s">
        <v>4591</v>
      </c>
      <c r="M11" s="6" t="s">
        <v>4633</v>
      </c>
      <c r="N11" s="53" t="s">
        <v>554</v>
      </c>
      <c r="O11" s="53" t="s">
        <v>554</v>
      </c>
      <c r="P11" s="53" t="s">
        <v>554</v>
      </c>
      <c r="Q11" s="6" t="s">
        <v>554</v>
      </c>
    </row>
    <row r="12" customFormat="false" ht="30" hidden="false" customHeight="true" outlineLevel="0" collapsed="false">
      <c r="A12" s="209" t="s">
        <v>4634</v>
      </c>
      <c r="B12" s="209" t="s">
        <v>1164</v>
      </c>
      <c r="C12" s="212" t="s">
        <v>4635</v>
      </c>
      <c r="D12" s="209" t="s">
        <v>4479</v>
      </c>
      <c r="E12" s="209" t="s">
        <v>105</v>
      </c>
      <c r="F12" s="210" t="s">
        <v>4636</v>
      </c>
      <c r="G12" s="209" t="s">
        <v>4637</v>
      </c>
      <c r="H12" s="209" t="s">
        <v>179</v>
      </c>
      <c r="I12" s="211" t="s">
        <v>4638</v>
      </c>
      <c r="J12" s="209" t="s">
        <v>4589</v>
      </c>
      <c r="K12" s="212" t="s">
        <v>4639</v>
      </c>
      <c r="L12" s="52" t="s">
        <v>4591</v>
      </c>
      <c r="M12" s="6" t="s">
        <v>554</v>
      </c>
      <c r="N12" s="53" t="s">
        <v>554</v>
      </c>
      <c r="O12" s="53" t="s">
        <v>554</v>
      </c>
      <c r="P12" s="53" t="s">
        <v>554</v>
      </c>
      <c r="Q12" s="5" t="s">
        <v>4640</v>
      </c>
    </row>
    <row r="13" customFormat="false" ht="30" hidden="false" customHeight="true" outlineLevel="0" collapsed="false">
      <c r="A13" s="209" t="s">
        <v>4641</v>
      </c>
      <c r="B13" s="209" t="s">
        <v>1164</v>
      </c>
      <c r="C13" s="210" t="s">
        <v>4642</v>
      </c>
      <c r="D13" s="209" t="s">
        <v>4338</v>
      </c>
      <c r="E13" s="209" t="s">
        <v>74</v>
      </c>
      <c r="F13" s="210" t="s">
        <v>4643</v>
      </c>
      <c r="G13" s="209" t="s">
        <v>554</v>
      </c>
      <c r="H13" s="211" t="s">
        <v>4644</v>
      </c>
      <c r="I13" s="211" t="s">
        <v>4615</v>
      </c>
      <c r="J13" s="209" t="s">
        <v>4631</v>
      </c>
      <c r="K13" s="212" t="s">
        <v>4645</v>
      </c>
      <c r="L13" s="52" t="s">
        <v>4591</v>
      </c>
      <c r="M13" s="6" t="s">
        <v>4646</v>
      </c>
      <c r="N13" s="53" t="s">
        <v>554</v>
      </c>
      <c r="O13" s="53" t="s">
        <v>554</v>
      </c>
      <c r="P13" s="53" t="s">
        <v>554</v>
      </c>
      <c r="Q13" s="6" t="s">
        <v>554</v>
      </c>
    </row>
    <row r="14" customFormat="false" ht="30" hidden="false" customHeight="true" outlineLevel="0" collapsed="false">
      <c r="A14" s="209" t="s">
        <v>4647</v>
      </c>
      <c r="B14" s="209" t="s">
        <v>1164</v>
      </c>
      <c r="C14" s="210" t="s">
        <v>4648</v>
      </c>
      <c r="D14" s="209" t="s">
        <v>4541</v>
      </c>
      <c r="E14" s="209" t="s">
        <v>175</v>
      </c>
      <c r="F14" s="210" t="s">
        <v>4649</v>
      </c>
      <c r="G14" s="211" t="s">
        <v>4596</v>
      </c>
      <c r="H14" s="209" t="s">
        <v>4650</v>
      </c>
      <c r="I14" s="211" t="s">
        <v>4588</v>
      </c>
      <c r="J14" s="209" t="s">
        <v>4651</v>
      </c>
      <c r="K14" s="212" t="s">
        <v>4652</v>
      </c>
      <c r="L14" s="52" t="s">
        <v>4591</v>
      </c>
      <c r="M14" s="6" t="s">
        <v>4653</v>
      </c>
      <c r="N14" s="53" t="s">
        <v>554</v>
      </c>
      <c r="O14" s="53" t="s">
        <v>554</v>
      </c>
      <c r="P14" s="53" t="s">
        <v>554</v>
      </c>
      <c r="Q14" s="6" t="s">
        <v>554</v>
      </c>
    </row>
    <row r="15" customFormat="false" ht="30" hidden="false" customHeight="true" outlineLevel="0" collapsed="false">
      <c r="A15" s="209" t="s">
        <v>4654</v>
      </c>
      <c r="B15" s="209" t="s">
        <v>1164</v>
      </c>
      <c r="C15" s="210" t="s">
        <v>4655</v>
      </c>
      <c r="D15" s="209" t="s">
        <v>2129</v>
      </c>
      <c r="E15" s="209" t="s">
        <v>105</v>
      </c>
      <c r="F15" s="210" t="s">
        <v>4656</v>
      </c>
      <c r="G15" s="211" t="s">
        <v>4657</v>
      </c>
      <c r="H15" s="211" t="s">
        <v>4658</v>
      </c>
      <c r="I15" s="211" t="s">
        <v>4588</v>
      </c>
      <c r="J15" s="209" t="s">
        <v>4651</v>
      </c>
      <c r="K15" s="212" t="s">
        <v>4659</v>
      </c>
      <c r="L15" s="52" t="s">
        <v>4591</v>
      </c>
      <c r="M15" s="6" t="s">
        <v>4660</v>
      </c>
      <c r="N15" s="53" t="s">
        <v>554</v>
      </c>
      <c r="O15" s="53" t="s">
        <v>554</v>
      </c>
      <c r="P15" s="53" t="s">
        <v>554</v>
      </c>
      <c r="Q15" s="6" t="s">
        <v>554</v>
      </c>
    </row>
    <row r="16" customFormat="false" ht="30" hidden="false" customHeight="true" outlineLevel="0" collapsed="false">
      <c r="A16" s="209" t="s">
        <v>4661</v>
      </c>
      <c r="B16" s="209" t="s">
        <v>1164</v>
      </c>
      <c r="C16" s="212" t="s">
        <v>4662</v>
      </c>
      <c r="D16" s="209" t="s">
        <v>4663</v>
      </c>
      <c r="E16" s="209" t="s">
        <v>175</v>
      </c>
      <c r="F16" s="210" t="s">
        <v>4664</v>
      </c>
      <c r="G16" s="209" t="s">
        <v>554</v>
      </c>
      <c r="H16" s="211" t="s">
        <v>4665</v>
      </c>
      <c r="I16" s="211" t="s">
        <v>4615</v>
      </c>
      <c r="J16" s="209" t="s">
        <v>4651</v>
      </c>
      <c r="K16" s="212" t="s">
        <v>4666</v>
      </c>
      <c r="L16" s="52" t="s">
        <v>4591</v>
      </c>
      <c r="M16" s="6" t="s">
        <v>4667</v>
      </c>
      <c r="N16" s="53" t="s">
        <v>554</v>
      </c>
      <c r="O16" s="53" t="s">
        <v>554</v>
      </c>
      <c r="P16" s="53" t="s">
        <v>554</v>
      </c>
      <c r="Q16" s="6" t="s">
        <v>554</v>
      </c>
    </row>
    <row r="17" customFormat="false" ht="30" hidden="false" customHeight="true" outlineLevel="0" collapsed="false">
      <c r="A17" s="209" t="s">
        <v>4668</v>
      </c>
      <c r="B17" s="209" t="s">
        <v>1164</v>
      </c>
      <c r="C17" s="210" t="s">
        <v>4669</v>
      </c>
      <c r="D17" s="209" t="s">
        <v>4530</v>
      </c>
      <c r="E17" s="209" t="s">
        <v>285</v>
      </c>
      <c r="F17" s="210" t="s">
        <v>4670</v>
      </c>
      <c r="G17" s="209" t="s">
        <v>554</v>
      </c>
      <c r="H17" s="209" t="s">
        <v>4671</v>
      </c>
      <c r="I17" s="211" t="s">
        <v>4615</v>
      </c>
      <c r="J17" s="209" t="s">
        <v>4651</v>
      </c>
      <c r="K17" s="212" t="s">
        <v>4672</v>
      </c>
      <c r="L17" s="52" t="s">
        <v>4591</v>
      </c>
      <c r="M17" s="6" t="s">
        <v>4673</v>
      </c>
      <c r="N17" s="53" t="s">
        <v>554</v>
      </c>
      <c r="O17" s="53" t="s">
        <v>554</v>
      </c>
      <c r="P17" s="53" t="s">
        <v>554</v>
      </c>
      <c r="Q17" s="6" t="s">
        <v>554</v>
      </c>
    </row>
    <row r="18" customFormat="false" ht="30" hidden="false" customHeight="true" outlineLevel="0" collapsed="false">
      <c r="A18" s="209" t="s">
        <v>4674</v>
      </c>
      <c r="B18" s="209" t="s">
        <v>1164</v>
      </c>
      <c r="C18" s="210" t="s">
        <v>4675</v>
      </c>
      <c r="D18" s="209" t="s">
        <v>4509</v>
      </c>
      <c r="E18" s="209" t="s">
        <v>175</v>
      </c>
      <c r="F18" s="210" t="s">
        <v>4676</v>
      </c>
      <c r="G18" s="209" t="s">
        <v>554</v>
      </c>
      <c r="H18" s="211" t="s">
        <v>4677</v>
      </c>
      <c r="I18" s="211" t="s">
        <v>1158</v>
      </c>
      <c r="J18" s="209" t="s">
        <v>554</v>
      </c>
      <c r="K18" s="212" t="s">
        <v>4678</v>
      </c>
      <c r="L18" s="52" t="s">
        <v>4624</v>
      </c>
      <c r="M18" s="6" t="s">
        <v>4679</v>
      </c>
      <c r="N18" s="53" t="s">
        <v>554</v>
      </c>
      <c r="O18" s="53" t="s">
        <v>554</v>
      </c>
      <c r="P18" s="53" t="s">
        <v>554</v>
      </c>
      <c r="Q18" s="6" t="s">
        <v>554</v>
      </c>
    </row>
    <row r="19" customFormat="false" ht="30" hidden="false" customHeight="true" outlineLevel="0" collapsed="false">
      <c r="A19" s="209" t="s">
        <v>4680</v>
      </c>
      <c r="B19" s="209" t="s">
        <v>1164</v>
      </c>
      <c r="C19" s="210" t="s">
        <v>4681</v>
      </c>
      <c r="D19" s="209" t="s">
        <v>4524</v>
      </c>
      <c r="E19" s="209" t="s">
        <v>175</v>
      </c>
      <c r="F19" s="210" t="s">
        <v>4682</v>
      </c>
      <c r="G19" s="209" t="s">
        <v>554</v>
      </c>
      <c r="H19" s="211" t="s">
        <v>1180</v>
      </c>
      <c r="I19" s="211" t="s">
        <v>1158</v>
      </c>
      <c r="J19" s="209" t="s">
        <v>554</v>
      </c>
      <c r="K19" s="210"/>
      <c r="L19" s="52" t="s">
        <v>4624</v>
      </c>
      <c r="M19" s="6" t="s">
        <v>4683</v>
      </c>
      <c r="N19" s="53" t="s">
        <v>554</v>
      </c>
      <c r="O19" s="53" t="s">
        <v>554</v>
      </c>
      <c r="P19" s="53" t="s">
        <v>554</v>
      </c>
      <c r="Q19" s="6" t="s">
        <v>554</v>
      </c>
    </row>
    <row r="20" customFormat="false" ht="30" hidden="false" customHeight="true" outlineLevel="0" collapsed="false">
      <c r="A20" s="209" t="s">
        <v>4684</v>
      </c>
      <c r="B20" s="209" t="s">
        <v>1164</v>
      </c>
      <c r="C20" s="210" t="s">
        <v>4685</v>
      </c>
      <c r="D20" s="209" t="s">
        <v>1473</v>
      </c>
      <c r="E20" s="209" t="s">
        <v>4686</v>
      </c>
      <c r="F20" s="210" t="s">
        <v>4687</v>
      </c>
      <c r="G20" s="211" t="s">
        <v>4596</v>
      </c>
      <c r="H20" s="209" t="s">
        <v>4688</v>
      </c>
      <c r="I20" s="211" t="s">
        <v>4615</v>
      </c>
      <c r="J20" s="209" t="s">
        <v>4689</v>
      </c>
      <c r="K20" s="212" t="s">
        <v>4690</v>
      </c>
      <c r="L20" s="52" t="s">
        <v>4591</v>
      </c>
      <c r="M20" s="6" t="s">
        <v>4691</v>
      </c>
      <c r="N20" s="53" t="s">
        <v>554</v>
      </c>
      <c r="O20" s="53" t="s">
        <v>554</v>
      </c>
      <c r="P20" s="53" t="s">
        <v>554</v>
      </c>
      <c r="Q20" s="6" t="s">
        <v>554</v>
      </c>
    </row>
    <row r="21" customFormat="false" ht="30" hidden="false" customHeight="true" outlineLevel="0" collapsed="false">
      <c r="A21" s="209" t="s">
        <v>4692</v>
      </c>
      <c r="B21" s="209" t="s">
        <v>1164</v>
      </c>
      <c r="C21" s="210" t="s">
        <v>4693</v>
      </c>
      <c r="D21" s="209" t="s">
        <v>4416</v>
      </c>
      <c r="E21" s="209" t="s">
        <v>175</v>
      </c>
      <c r="F21" s="210" t="s">
        <v>4694</v>
      </c>
      <c r="G21" s="209" t="s">
        <v>554</v>
      </c>
      <c r="H21" s="209" t="s">
        <v>4695</v>
      </c>
      <c r="I21" s="211" t="s">
        <v>4615</v>
      </c>
      <c r="J21" s="209" t="s">
        <v>4689</v>
      </c>
      <c r="K21" s="210" t="s">
        <v>4696</v>
      </c>
      <c r="L21" s="52" t="s">
        <v>4591</v>
      </c>
      <c r="M21" s="6" t="s">
        <v>4697</v>
      </c>
      <c r="N21" s="53" t="s">
        <v>554</v>
      </c>
      <c r="O21" s="53" t="s">
        <v>554</v>
      </c>
      <c r="P21" s="53" t="s">
        <v>554</v>
      </c>
      <c r="Q21" s="6" t="s">
        <v>554</v>
      </c>
    </row>
    <row r="22" customFormat="false" ht="30" hidden="false" customHeight="true" outlineLevel="0" collapsed="false">
      <c r="A22" s="209" t="s">
        <v>4698</v>
      </c>
      <c r="B22" s="209" t="s">
        <v>1164</v>
      </c>
      <c r="C22" s="210" t="s">
        <v>4699</v>
      </c>
      <c r="D22" s="209" t="s">
        <v>1492</v>
      </c>
      <c r="E22" s="209" t="s">
        <v>285</v>
      </c>
      <c r="F22" s="210" t="s">
        <v>4700</v>
      </c>
      <c r="G22" s="209" t="s">
        <v>554</v>
      </c>
      <c r="H22" s="209" t="s">
        <v>4701</v>
      </c>
      <c r="I22" s="211" t="s">
        <v>4615</v>
      </c>
      <c r="J22" s="209" t="s">
        <v>4689</v>
      </c>
      <c r="K22" s="210" t="s">
        <v>4702</v>
      </c>
      <c r="L22" s="52" t="s">
        <v>4591</v>
      </c>
      <c r="M22" s="6" t="s">
        <v>4703</v>
      </c>
      <c r="N22" s="53" t="s">
        <v>554</v>
      </c>
      <c r="O22" s="53" t="s">
        <v>554</v>
      </c>
      <c r="P22" s="53" t="s">
        <v>554</v>
      </c>
      <c r="Q22" s="6" t="s">
        <v>554</v>
      </c>
    </row>
    <row r="23" customFormat="false" ht="30" hidden="false" customHeight="true" outlineLevel="0" collapsed="false">
      <c r="A23" s="209" t="s">
        <v>4704</v>
      </c>
      <c r="B23" s="209" t="s">
        <v>1164</v>
      </c>
      <c r="C23" s="210" t="s">
        <v>4705</v>
      </c>
      <c r="D23" s="209" t="s">
        <v>1492</v>
      </c>
      <c r="E23" s="209" t="s">
        <v>285</v>
      </c>
      <c r="F23" s="210" t="s">
        <v>4706</v>
      </c>
      <c r="G23" s="209" t="s">
        <v>554</v>
      </c>
      <c r="H23" s="209" t="s">
        <v>4707</v>
      </c>
      <c r="I23" s="211" t="s">
        <v>4588</v>
      </c>
      <c r="J23" s="209" t="s">
        <v>4689</v>
      </c>
      <c r="K23" s="210"/>
      <c r="L23" s="52" t="s">
        <v>4591</v>
      </c>
      <c r="M23" s="6" t="s">
        <v>4703</v>
      </c>
      <c r="N23" s="53" t="s">
        <v>554</v>
      </c>
      <c r="O23" s="53" t="s">
        <v>554</v>
      </c>
      <c r="P23" s="53" t="s">
        <v>554</v>
      </c>
      <c r="Q23" s="6" t="s">
        <v>554</v>
      </c>
    </row>
    <row r="24" customFormat="false" ht="30" hidden="false" customHeight="true" outlineLevel="0" collapsed="false">
      <c r="A24" s="209" t="s">
        <v>4708</v>
      </c>
      <c r="B24" s="209" t="s">
        <v>1164</v>
      </c>
      <c r="C24" s="210" t="s">
        <v>4709</v>
      </c>
      <c r="D24" s="209" t="s">
        <v>4564</v>
      </c>
      <c r="E24" s="209" t="s">
        <v>175</v>
      </c>
      <c r="F24" s="210" t="s">
        <v>4710</v>
      </c>
      <c r="G24" s="209" t="s">
        <v>4711</v>
      </c>
      <c r="H24" s="209" t="s">
        <v>4712</v>
      </c>
      <c r="I24" s="211" t="s">
        <v>1158</v>
      </c>
      <c r="J24" s="209" t="s">
        <v>554</v>
      </c>
      <c r="K24" s="212" t="s">
        <v>4713</v>
      </c>
      <c r="L24" s="52" t="s">
        <v>4624</v>
      </c>
      <c r="M24" s="6" t="s">
        <v>4714</v>
      </c>
      <c r="N24" s="53" t="s">
        <v>554</v>
      </c>
      <c r="O24" s="53" t="s">
        <v>554</v>
      </c>
      <c r="P24" s="53" t="s">
        <v>554</v>
      </c>
      <c r="Q24" s="6" t="s">
        <v>554</v>
      </c>
    </row>
    <row r="25" customFormat="false" ht="29.85" hidden="false" customHeight="false" outlineLevel="0" collapsed="false">
      <c r="A25" s="128" t="s">
        <v>3608</v>
      </c>
      <c r="B25" s="128" t="s">
        <v>3412</v>
      </c>
      <c r="C25" s="210" t="s">
        <v>4715</v>
      </c>
      <c r="D25" s="128" t="s">
        <v>3609</v>
      </c>
      <c r="E25" s="97" t="s">
        <v>4716</v>
      </c>
      <c r="F25" s="97" t="s">
        <v>4717</v>
      </c>
      <c r="G25" s="128" t="s">
        <v>554</v>
      </c>
      <c r="H25" s="128" t="s">
        <v>554</v>
      </c>
      <c r="I25" s="97" t="s">
        <v>4718</v>
      </c>
      <c r="J25" s="128" t="s">
        <v>4719</v>
      </c>
      <c r="K25" s="210" t="s">
        <v>4720</v>
      </c>
      <c r="L25" s="52" t="s">
        <v>4591</v>
      </c>
      <c r="M25" s="6" t="s">
        <v>2492</v>
      </c>
      <c r="N25" s="53" t="s">
        <v>554</v>
      </c>
      <c r="O25" s="53" t="s">
        <v>554</v>
      </c>
      <c r="P25" s="53" t="s">
        <v>4721</v>
      </c>
      <c r="Q25" s="52" t="s">
        <v>3604</v>
      </c>
    </row>
    <row r="26" customFormat="false" ht="29.85" hidden="false" customHeight="false" outlineLevel="0" collapsed="false">
      <c r="A26" s="128" t="s">
        <v>3619</v>
      </c>
      <c r="B26" s="128" t="s">
        <v>3412</v>
      </c>
      <c r="C26" s="210" t="s">
        <v>4722</v>
      </c>
      <c r="D26" s="128" t="s">
        <v>3620</v>
      </c>
      <c r="E26" s="97" t="s">
        <v>4716</v>
      </c>
      <c r="F26" s="97" t="s">
        <v>4717</v>
      </c>
      <c r="G26" s="128" t="s">
        <v>554</v>
      </c>
      <c r="H26" s="128" t="s">
        <v>554</v>
      </c>
      <c r="I26" s="97" t="s">
        <v>4718</v>
      </c>
      <c r="J26" s="128" t="s">
        <v>4719</v>
      </c>
      <c r="K26" s="210" t="s">
        <v>4720</v>
      </c>
      <c r="L26" s="52" t="s">
        <v>4591</v>
      </c>
      <c r="M26" s="6" t="s">
        <v>4723</v>
      </c>
      <c r="N26" s="53" t="s">
        <v>554</v>
      </c>
      <c r="O26" s="53" t="s">
        <v>554</v>
      </c>
      <c r="P26" s="53" t="s">
        <v>4721</v>
      </c>
      <c r="Q26" s="52" t="s">
        <v>3604</v>
      </c>
    </row>
    <row r="27" customFormat="false" ht="29.85" hidden="false" customHeight="false" outlineLevel="0" collapsed="false">
      <c r="A27" s="128" t="s">
        <v>3632</v>
      </c>
      <c r="B27" s="128" t="s">
        <v>3412</v>
      </c>
      <c r="C27" s="210" t="s">
        <v>4724</v>
      </c>
      <c r="D27" s="128" t="s">
        <v>3633</v>
      </c>
      <c r="E27" s="97" t="s">
        <v>4716</v>
      </c>
      <c r="F27" s="97" t="s">
        <v>4717</v>
      </c>
      <c r="G27" s="128" t="s">
        <v>554</v>
      </c>
      <c r="H27" s="128" t="s">
        <v>554</v>
      </c>
      <c r="I27" s="97" t="s">
        <v>4718</v>
      </c>
      <c r="J27" s="128" t="s">
        <v>4719</v>
      </c>
      <c r="K27" s="210" t="s">
        <v>4720</v>
      </c>
      <c r="L27" s="52" t="s">
        <v>4591</v>
      </c>
      <c r="M27" s="6" t="s">
        <v>4725</v>
      </c>
      <c r="N27" s="53" t="s">
        <v>554</v>
      </c>
      <c r="O27" s="53" t="s">
        <v>554</v>
      </c>
      <c r="P27" s="53" t="s">
        <v>4721</v>
      </c>
      <c r="Q27" s="52" t="s">
        <v>3604</v>
      </c>
    </row>
    <row r="28" customFormat="false" ht="29.85" hidden="false" customHeight="false" outlineLevel="0" collapsed="false">
      <c r="A28" s="128" t="s">
        <v>3646</v>
      </c>
      <c r="B28" s="128" t="s">
        <v>3412</v>
      </c>
      <c r="C28" s="210" t="s">
        <v>4726</v>
      </c>
      <c r="D28" s="128" t="s">
        <v>3647</v>
      </c>
      <c r="E28" s="97" t="s">
        <v>4716</v>
      </c>
      <c r="F28" s="97" t="s">
        <v>4717</v>
      </c>
      <c r="G28" s="128" t="s">
        <v>554</v>
      </c>
      <c r="H28" s="128" t="s">
        <v>554</v>
      </c>
      <c r="I28" s="97" t="s">
        <v>4718</v>
      </c>
      <c r="J28" s="128" t="s">
        <v>4719</v>
      </c>
      <c r="K28" s="210" t="s">
        <v>4720</v>
      </c>
      <c r="L28" s="52" t="s">
        <v>4591</v>
      </c>
      <c r="M28" s="6" t="s">
        <v>4727</v>
      </c>
      <c r="N28" s="53" t="s">
        <v>554</v>
      </c>
      <c r="O28" s="53" t="s">
        <v>554</v>
      </c>
      <c r="P28" s="53" t="s">
        <v>4721</v>
      </c>
      <c r="Q28" s="52" t="s">
        <v>3604</v>
      </c>
    </row>
    <row r="29" customFormat="false" ht="29.85" hidden="false" customHeight="false" outlineLevel="0" collapsed="false">
      <c r="A29" s="128" t="s">
        <v>3661</v>
      </c>
      <c r="B29" s="128" t="s">
        <v>3412</v>
      </c>
      <c r="C29" s="210" t="s">
        <v>4728</v>
      </c>
      <c r="D29" s="128" t="s">
        <v>3662</v>
      </c>
      <c r="E29" s="97" t="s">
        <v>4716</v>
      </c>
      <c r="F29" s="97" t="s">
        <v>4717</v>
      </c>
      <c r="G29" s="128" t="s">
        <v>554</v>
      </c>
      <c r="H29" s="128" t="s">
        <v>554</v>
      </c>
      <c r="I29" s="97" t="s">
        <v>4718</v>
      </c>
      <c r="J29" s="128" t="s">
        <v>4719</v>
      </c>
      <c r="K29" s="210" t="s">
        <v>4720</v>
      </c>
      <c r="L29" s="52" t="s">
        <v>4591</v>
      </c>
      <c r="M29" s="6" t="s">
        <v>3656</v>
      </c>
      <c r="N29" s="53" t="s">
        <v>554</v>
      </c>
      <c r="O29" s="53" t="s">
        <v>554</v>
      </c>
      <c r="P29" s="53" t="s">
        <v>4721</v>
      </c>
      <c r="Q29" s="52" t="s">
        <v>3604</v>
      </c>
    </row>
    <row r="30" customFormat="false" ht="29.85" hidden="false" customHeight="false" outlineLevel="0" collapsed="false">
      <c r="A30" s="128" t="s">
        <v>3668</v>
      </c>
      <c r="B30" s="128" t="s">
        <v>3412</v>
      </c>
      <c r="C30" s="210" t="s">
        <v>4729</v>
      </c>
      <c r="D30" s="128" t="s">
        <v>3669</v>
      </c>
      <c r="E30" s="97" t="s">
        <v>4716</v>
      </c>
      <c r="F30" s="97" t="s">
        <v>4717</v>
      </c>
      <c r="G30" s="128" t="s">
        <v>554</v>
      </c>
      <c r="H30" s="128" t="s">
        <v>554</v>
      </c>
      <c r="I30" s="97" t="s">
        <v>4718</v>
      </c>
      <c r="J30" s="128" t="s">
        <v>4719</v>
      </c>
      <c r="K30" s="210" t="s">
        <v>4720</v>
      </c>
      <c r="L30" s="52" t="s">
        <v>4591</v>
      </c>
      <c r="M30" s="6" t="s">
        <v>2542</v>
      </c>
      <c r="N30" s="53" t="s">
        <v>554</v>
      </c>
      <c r="O30" s="53" t="s">
        <v>554</v>
      </c>
      <c r="P30" s="53" t="s">
        <v>4721</v>
      </c>
      <c r="Q30" s="52" t="s">
        <v>3604</v>
      </c>
    </row>
    <row r="31" customFormat="false" ht="29.85" hidden="false" customHeight="false" outlineLevel="0" collapsed="false">
      <c r="A31" s="128" t="s">
        <v>3675</v>
      </c>
      <c r="B31" s="128" t="s">
        <v>3412</v>
      </c>
      <c r="C31" s="210" t="s">
        <v>4730</v>
      </c>
      <c r="D31" s="128" t="s">
        <v>3676</v>
      </c>
      <c r="E31" s="97" t="s">
        <v>4716</v>
      </c>
      <c r="F31" s="97" t="s">
        <v>4717</v>
      </c>
      <c r="G31" s="128" t="s">
        <v>554</v>
      </c>
      <c r="H31" s="128" t="s">
        <v>554</v>
      </c>
      <c r="I31" s="97" t="s">
        <v>4718</v>
      </c>
      <c r="J31" s="128" t="s">
        <v>4719</v>
      </c>
      <c r="K31" s="210" t="s">
        <v>4720</v>
      </c>
      <c r="L31" s="52" t="s">
        <v>4591</v>
      </c>
      <c r="M31" s="6" t="s">
        <v>4731</v>
      </c>
      <c r="N31" s="53" t="s">
        <v>554</v>
      </c>
      <c r="O31" s="53" t="s">
        <v>554</v>
      </c>
      <c r="P31" s="53" t="s">
        <v>4721</v>
      </c>
      <c r="Q31" s="52" t="s">
        <v>3604</v>
      </c>
    </row>
    <row r="32" customFormat="false" ht="29.85" hidden="false" customHeight="false" outlineLevel="0" collapsed="false">
      <c r="A32" s="128" t="s">
        <v>3689</v>
      </c>
      <c r="B32" s="128" t="s">
        <v>3412</v>
      </c>
      <c r="C32" s="210" t="s">
        <v>4732</v>
      </c>
      <c r="D32" s="128" t="s">
        <v>3690</v>
      </c>
      <c r="E32" s="97" t="s">
        <v>4716</v>
      </c>
      <c r="F32" s="97" t="s">
        <v>4717</v>
      </c>
      <c r="G32" s="128" t="s">
        <v>554</v>
      </c>
      <c r="H32" s="128" t="s">
        <v>554</v>
      </c>
      <c r="I32" s="97" t="s">
        <v>4718</v>
      </c>
      <c r="J32" s="128" t="s">
        <v>4719</v>
      </c>
      <c r="K32" s="210" t="s">
        <v>4720</v>
      </c>
      <c r="L32" s="52" t="s">
        <v>4591</v>
      </c>
      <c r="M32" s="6" t="s">
        <v>2502</v>
      </c>
      <c r="N32" s="53" t="s">
        <v>554</v>
      </c>
      <c r="O32" s="53" t="s">
        <v>554</v>
      </c>
      <c r="P32" s="53" t="s">
        <v>4721</v>
      </c>
      <c r="Q32" s="52" t="s">
        <v>3604</v>
      </c>
    </row>
    <row r="33" customFormat="false" ht="29.85" hidden="false" customHeight="false" outlineLevel="0" collapsed="false">
      <c r="A33" s="128" t="s">
        <v>3699</v>
      </c>
      <c r="B33" s="128" t="s">
        <v>3412</v>
      </c>
      <c r="C33" s="210" t="s">
        <v>4733</v>
      </c>
      <c r="D33" s="128" t="s">
        <v>3700</v>
      </c>
      <c r="E33" s="97" t="s">
        <v>4716</v>
      </c>
      <c r="F33" s="97" t="s">
        <v>4717</v>
      </c>
      <c r="G33" s="128" t="s">
        <v>554</v>
      </c>
      <c r="H33" s="128" t="s">
        <v>554</v>
      </c>
      <c r="I33" s="97" t="s">
        <v>4718</v>
      </c>
      <c r="J33" s="128" t="s">
        <v>4719</v>
      </c>
      <c r="K33" s="210" t="s">
        <v>4720</v>
      </c>
      <c r="L33" s="52" t="s">
        <v>4591</v>
      </c>
      <c r="M33" s="6" t="s">
        <v>4734</v>
      </c>
      <c r="N33" s="53" t="s">
        <v>554</v>
      </c>
      <c r="O33" s="53" t="s">
        <v>554</v>
      </c>
      <c r="P33" s="53" t="s">
        <v>4721</v>
      </c>
      <c r="Q33" s="52" t="s">
        <v>3697</v>
      </c>
    </row>
    <row r="34" customFormat="false" ht="29.85" hidden="false" customHeight="false" outlineLevel="0" collapsed="false">
      <c r="A34" s="128" t="s">
        <v>3713</v>
      </c>
      <c r="B34" s="128" t="s">
        <v>3412</v>
      </c>
      <c r="C34" s="210" t="s">
        <v>4735</v>
      </c>
      <c r="D34" s="128" t="s">
        <v>3714</v>
      </c>
      <c r="E34" s="97" t="s">
        <v>4716</v>
      </c>
      <c r="F34" s="97" t="s">
        <v>4717</v>
      </c>
      <c r="G34" s="128" t="s">
        <v>554</v>
      </c>
      <c r="H34" s="128" t="s">
        <v>554</v>
      </c>
      <c r="I34" s="97" t="s">
        <v>4718</v>
      </c>
      <c r="J34" s="128" t="s">
        <v>4719</v>
      </c>
      <c r="K34" s="210" t="s">
        <v>4720</v>
      </c>
      <c r="L34" s="52" t="s">
        <v>4591</v>
      </c>
      <c r="M34" s="6" t="s">
        <v>3709</v>
      </c>
      <c r="N34" s="53" t="s">
        <v>554</v>
      </c>
      <c r="O34" s="53" t="s">
        <v>554</v>
      </c>
      <c r="P34" s="53" t="s">
        <v>4721</v>
      </c>
      <c r="Q34" s="52" t="s">
        <v>3604</v>
      </c>
    </row>
    <row r="35" customFormat="false" ht="97.75" hidden="false" customHeight="false" outlineLevel="0" collapsed="false">
      <c r="A35" s="128" t="s">
        <v>3721</v>
      </c>
      <c r="B35" s="128" t="s">
        <v>3412</v>
      </c>
      <c r="C35" s="210" t="s">
        <v>4736</v>
      </c>
      <c r="D35" s="128" t="s">
        <v>3722</v>
      </c>
      <c r="E35" s="97" t="s">
        <v>4716</v>
      </c>
      <c r="F35" s="97" t="s">
        <v>4717</v>
      </c>
      <c r="G35" s="128" t="s">
        <v>554</v>
      </c>
      <c r="H35" s="128" t="s">
        <v>554</v>
      </c>
      <c r="I35" s="97" t="s">
        <v>4718</v>
      </c>
      <c r="J35" s="128" t="s">
        <v>4719</v>
      </c>
      <c r="K35" s="210" t="s">
        <v>4720</v>
      </c>
      <c r="L35" s="52" t="s">
        <v>4591</v>
      </c>
      <c r="M35" s="6" t="s">
        <v>4737</v>
      </c>
      <c r="N35" s="53" t="s">
        <v>554</v>
      </c>
      <c r="O35" s="53" t="s">
        <v>554</v>
      </c>
      <c r="P35" s="53" t="s">
        <v>4721</v>
      </c>
      <c r="Q35" s="52" t="s">
        <v>3604</v>
      </c>
    </row>
    <row r="36" customFormat="false" ht="29.85" hidden="false" customHeight="false" outlineLevel="0" collapsed="false">
      <c r="A36" s="128" t="s">
        <v>3764</v>
      </c>
      <c r="B36" s="128" t="s">
        <v>3412</v>
      </c>
      <c r="C36" s="210" t="s">
        <v>4738</v>
      </c>
      <c r="D36" s="128" t="s">
        <v>3765</v>
      </c>
      <c r="E36" s="97" t="s">
        <v>4716</v>
      </c>
      <c r="F36" s="97" t="s">
        <v>4717</v>
      </c>
      <c r="G36" s="128" t="s">
        <v>554</v>
      </c>
      <c r="H36" s="128" t="s">
        <v>554</v>
      </c>
      <c r="I36" s="97" t="s">
        <v>4718</v>
      </c>
      <c r="J36" s="128" t="s">
        <v>4719</v>
      </c>
      <c r="K36" s="210" t="s">
        <v>4720</v>
      </c>
      <c r="L36" s="52" t="s">
        <v>4591</v>
      </c>
      <c r="M36" s="6" t="s">
        <v>4739</v>
      </c>
      <c r="N36" s="53" t="s">
        <v>554</v>
      </c>
      <c r="O36" s="53" t="s">
        <v>554</v>
      </c>
      <c r="P36" s="53" t="s">
        <v>4721</v>
      </c>
      <c r="Q36" s="52" t="s">
        <v>3697</v>
      </c>
    </row>
    <row r="37" customFormat="false" ht="29.85" hidden="false" customHeight="false" outlineLevel="0" collapsed="false">
      <c r="A37" s="128" t="s">
        <v>4740</v>
      </c>
      <c r="B37" s="128" t="s">
        <v>3412</v>
      </c>
      <c r="C37" s="210" t="s">
        <v>4741</v>
      </c>
      <c r="D37" s="128" t="s">
        <v>3784</v>
      </c>
      <c r="E37" s="97" t="s">
        <v>4716</v>
      </c>
      <c r="F37" s="97" t="s">
        <v>4717</v>
      </c>
      <c r="G37" s="128" t="s">
        <v>554</v>
      </c>
      <c r="H37" s="128" t="s">
        <v>554</v>
      </c>
      <c r="I37" s="97" t="s">
        <v>4718</v>
      </c>
      <c r="J37" s="128" t="s">
        <v>4719</v>
      </c>
      <c r="K37" s="210" t="s">
        <v>4720</v>
      </c>
      <c r="L37" s="52" t="s">
        <v>4591</v>
      </c>
      <c r="M37" s="6" t="s">
        <v>4603</v>
      </c>
      <c r="N37" s="53" t="s">
        <v>554</v>
      </c>
      <c r="O37" s="53" t="s">
        <v>554</v>
      </c>
      <c r="P37" s="53" t="s">
        <v>4742</v>
      </c>
      <c r="Q37" s="52" t="s">
        <v>3604</v>
      </c>
    </row>
    <row r="38" customFormat="false" ht="29.85" hidden="false" customHeight="false" outlineLevel="0" collapsed="false">
      <c r="A38" s="128" t="s">
        <v>4743</v>
      </c>
      <c r="B38" s="128" t="s">
        <v>3412</v>
      </c>
      <c r="C38" s="210" t="s">
        <v>4744</v>
      </c>
      <c r="D38" s="128" t="s">
        <v>3800</v>
      </c>
      <c r="E38" s="97" t="s">
        <v>4716</v>
      </c>
      <c r="F38" s="97" t="s">
        <v>4717</v>
      </c>
      <c r="G38" s="128" t="s">
        <v>554</v>
      </c>
      <c r="H38" s="128" t="s">
        <v>554</v>
      </c>
      <c r="I38" s="97" t="s">
        <v>4718</v>
      </c>
      <c r="J38" s="128" t="s">
        <v>4719</v>
      </c>
      <c r="K38" s="210" t="s">
        <v>4720</v>
      </c>
      <c r="L38" s="52" t="s">
        <v>4591</v>
      </c>
      <c r="M38" s="6" t="s">
        <v>2566</v>
      </c>
      <c r="N38" s="53" t="s">
        <v>554</v>
      </c>
      <c r="O38" s="53" t="s">
        <v>554</v>
      </c>
      <c r="P38" s="53" t="s">
        <v>4721</v>
      </c>
      <c r="Q38" s="52" t="s">
        <v>3604</v>
      </c>
    </row>
    <row r="39" customFormat="false" ht="72.35" hidden="false" customHeight="false" outlineLevel="0" collapsed="false">
      <c r="A39" s="128" t="s">
        <v>3807</v>
      </c>
      <c r="B39" s="128" t="s">
        <v>3412</v>
      </c>
      <c r="C39" s="210" t="s">
        <v>4745</v>
      </c>
      <c r="D39" s="128" t="s">
        <v>3808</v>
      </c>
      <c r="E39" s="97" t="s">
        <v>4716</v>
      </c>
      <c r="F39" s="97" t="s">
        <v>4717</v>
      </c>
      <c r="G39" s="128" t="s">
        <v>554</v>
      </c>
      <c r="H39" s="128" t="s">
        <v>554</v>
      </c>
      <c r="I39" s="97" t="s">
        <v>4718</v>
      </c>
      <c r="J39" s="128" t="s">
        <v>4719</v>
      </c>
      <c r="K39" s="210" t="s">
        <v>4720</v>
      </c>
      <c r="L39" s="52" t="s">
        <v>4591</v>
      </c>
      <c r="M39" s="6" t="s">
        <v>4746</v>
      </c>
      <c r="N39" s="53" t="s">
        <v>554</v>
      </c>
      <c r="O39" s="53" t="s">
        <v>554</v>
      </c>
      <c r="P39" s="53" t="s">
        <v>4721</v>
      </c>
      <c r="Q39" s="52" t="s">
        <v>3604</v>
      </c>
    </row>
    <row r="40" customFormat="false" ht="29.85" hidden="false" customHeight="false" outlineLevel="0" collapsed="false">
      <c r="A40" s="128" t="s">
        <v>3848</v>
      </c>
      <c r="B40" s="128" t="s">
        <v>3412</v>
      </c>
      <c r="C40" s="210" t="s">
        <v>4747</v>
      </c>
      <c r="D40" s="128" t="s">
        <v>3849</v>
      </c>
      <c r="E40" s="97" t="s">
        <v>4716</v>
      </c>
      <c r="F40" s="97" t="s">
        <v>4717</v>
      </c>
      <c r="G40" s="128" t="s">
        <v>554</v>
      </c>
      <c r="H40" s="128" t="s">
        <v>554</v>
      </c>
      <c r="I40" s="97" t="s">
        <v>4718</v>
      </c>
      <c r="J40" s="128" t="s">
        <v>4719</v>
      </c>
      <c r="K40" s="210" t="s">
        <v>4720</v>
      </c>
      <c r="L40" s="52" t="s">
        <v>4591</v>
      </c>
      <c r="M40" s="6" t="s">
        <v>4748</v>
      </c>
      <c r="N40" s="53" t="s">
        <v>554</v>
      </c>
      <c r="O40" s="53" t="s">
        <v>554</v>
      </c>
      <c r="P40" s="53" t="s">
        <v>4721</v>
      </c>
      <c r="Q40" s="52" t="s">
        <v>3697</v>
      </c>
    </row>
    <row r="41" customFormat="false" ht="29.85" hidden="false" customHeight="false" outlineLevel="0" collapsed="false">
      <c r="A41" s="128" t="s">
        <v>3882</v>
      </c>
      <c r="B41" s="128" t="s">
        <v>3412</v>
      </c>
      <c r="C41" s="210" t="s">
        <v>4749</v>
      </c>
      <c r="D41" s="128" t="s">
        <v>3883</v>
      </c>
      <c r="E41" s="97" t="s">
        <v>4716</v>
      </c>
      <c r="F41" s="97" t="s">
        <v>4717</v>
      </c>
      <c r="G41" s="128" t="s">
        <v>554</v>
      </c>
      <c r="H41" s="128" t="s">
        <v>554</v>
      </c>
      <c r="I41" s="97" t="s">
        <v>4718</v>
      </c>
      <c r="J41" s="128" t="s">
        <v>4719</v>
      </c>
      <c r="K41" s="210" t="s">
        <v>4720</v>
      </c>
      <c r="L41" s="52" t="s">
        <v>4591</v>
      </c>
      <c r="M41" s="6" t="s">
        <v>4750</v>
      </c>
      <c r="N41" s="53" t="s">
        <v>554</v>
      </c>
      <c r="O41" s="53" t="s">
        <v>554</v>
      </c>
      <c r="P41" s="53" t="s">
        <v>4721</v>
      </c>
      <c r="Q41" s="52" t="s">
        <v>3604</v>
      </c>
    </row>
    <row r="42" customFormat="false" ht="29.85" hidden="false" customHeight="false" outlineLevel="0" collapsed="false">
      <c r="A42" s="128" t="s">
        <v>3149</v>
      </c>
      <c r="B42" s="128" t="s">
        <v>3412</v>
      </c>
      <c r="C42" s="210" t="s">
        <v>4751</v>
      </c>
      <c r="D42" s="128" t="s">
        <v>3895</v>
      </c>
      <c r="E42" s="97" t="s">
        <v>4716</v>
      </c>
      <c r="F42" s="97" t="s">
        <v>4717</v>
      </c>
      <c r="G42" s="128" t="s">
        <v>554</v>
      </c>
      <c r="H42" s="128" t="s">
        <v>554</v>
      </c>
      <c r="I42" s="97" t="s">
        <v>4718</v>
      </c>
      <c r="J42" s="128" t="s">
        <v>4719</v>
      </c>
      <c r="K42" s="210" t="s">
        <v>4720</v>
      </c>
      <c r="L42" s="52" t="s">
        <v>4591</v>
      </c>
      <c r="M42" s="6" t="s">
        <v>4752</v>
      </c>
      <c r="N42" s="53" t="s">
        <v>554</v>
      </c>
      <c r="O42" s="53" t="s">
        <v>554</v>
      </c>
      <c r="P42" s="53" t="s">
        <v>4721</v>
      </c>
      <c r="Q42" s="52" t="s">
        <v>3697</v>
      </c>
    </row>
    <row r="43" customFormat="false" ht="29.85" hidden="false" customHeight="false" outlineLevel="0" collapsed="false">
      <c r="A43" s="128" t="s">
        <v>3160</v>
      </c>
      <c r="B43" s="128" t="s">
        <v>3412</v>
      </c>
      <c r="C43" s="210" t="s">
        <v>4753</v>
      </c>
      <c r="D43" s="128" t="s">
        <v>3908</v>
      </c>
      <c r="E43" s="97" t="s">
        <v>4716</v>
      </c>
      <c r="F43" s="97" t="s">
        <v>4717</v>
      </c>
      <c r="G43" s="128" t="s">
        <v>554</v>
      </c>
      <c r="H43" s="128" t="s">
        <v>554</v>
      </c>
      <c r="I43" s="97" t="s">
        <v>4718</v>
      </c>
      <c r="J43" s="128" t="s">
        <v>4719</v>
      </c>
      <c r="K43" s="210" t="s">
        <v>4720</v>
      </c>
      <c r="L43" s="52" t="s">
        <v>4591</v>
      </c>
      <c r="M43" s="6" t="s">
        <v>4754</v>
      </c>
      <c r="N43" s="53" t="s">
        <v>554</v>
      </c>
      <c r="O43" s="53" t="s">
        <v>554</v>
      </c>
      <c r="P43" s="53" t="s">
        <v>4742</v>
      </c>
      <c r="Q43" s="52" t="s">
        <v>3697</v>
      </c>
    </row>
    <row r="44" customFormat="false" ht="29.85" hidden="false" customHeight="false" outlineLevel="0" collapsed="false">
      <c r="A44" s="128" t="s">
        <v>3172</v>
      </c>
      <c r="B44" s="128" t="s">
        <v>3412</v>
      </c>
      <c r="C44" s="210" t="s">
        <v>4755</v>
      </c>
      <c r="D44" s="128" t="s">
        <v>3917</v>
      </c>
      <c r="E44" s="97" t="s">
        <v>4716</v>
      </c>
      <c r="F44" s="97" t="s">
        <v>4717</v>
      </c>
      <c r="G44" s="128" t="s">
        <v>554</v>
      </c>
      <c r="H44" s="128" t="s">
        <v>554</v>
      </c>
      <c r="I44" s="97" t="s">
        <v>4718</v>
      </c>
      <c r="J44" s="128" t="s">
        <v>4719</v>
      </c>
      <c r="K44" s="210" t="s">
        <v>4720</v>
      </c>
      <c r="L44" s="52" t="s">
        <v>4591</v>
      </c>
      <c r="M44" s="6" t="s">
        <v>4756</v>
      </c>
      <c r="N44" s="53" t="s">
        <v>554</v>
      </c>
      <c r="O44" s="53" t="s">
        <v>554</v>
      </c>
      <c r="P44" s="53" t="s">
        <v>4742</v>
      </c>
      <c r="Q44" s="52" t="s">
        <v>3604</v>
      </c>
    </row>
    <row r="45" customFormat="false" ht="29.85" hidden="false" customHeight="false" outlineLevel="0" collapsed="false">
      <c r="A45" s="128" t="s">
        <v>3931</v>
      </c>
      <c r="B45" s="128" t="s">
        <v>3412</v>
      </c>
      <c r="C45" s="210" t="s">
        <v>4757</v>
      </c>
      <c r="D45" s="128" t="s">
        <v>3932</v>
      </c>
      <c r="E45" s="97" t="s">
        <v>4716</v>
      </c>
      <c r="F45" s="97" t="s">
        <v>4717</v>
      </c>
      <c r="G45" s="128" t="s">
        <v>554</v>
      </c>
      <c r="H45" s="128" t="s">
        <v>554</v>
      </c>
      <c r="I45" s="97" t="s">
        <v>4718</v>
      </c>
      <c r="J45" s="128" t="s">
        <v>4719</v>
      </c>
      <c r="K45" s="210" t="s">
        <v>4720</v>
      </c>
      <c r="L45" s="52" t="s">
        <v>4591</v>
      </c>
      <c r="M45" s="6" t="s">
        <v>4758</v>
      </c>
      <c r="N45" s="53" t="s">
        <v>554</v>
      </c>
      <c r="O45" s="53" t="s">
        <v>554</v>
      </c>
      <c r="P45" s="53" t="s">
        <v>4721</v>
      </c>
      <c r="Q45" s="52" t="s">
        <v>3604</v>
      </c>
    </row>
    <row r="46" customFormat="false" ht="29.85" hidden="false" customHeight="false" outlineLevel="0" collapsed="false">
      <c r="A46" s="128" t="s">
        <v>3941</v>
      </c>
      <c r="B46" s="128" t="s">
        <v>3412</v>
      </c>
      <c r="C46" s="210" t="s">
        <v>4759</v>
      </c>
      <c r="D46" s="128" t="s">
        <v>3942</v>
      </c>
      <c r="E46" s="97" t="s">
        <v>4716</v>
      </c>
      <c r="F46" s="97" t="s">
        <v>4717</v>
      </c>
      <c r="G46" s="128" t="s">
        <v>554</v>
      </c>
      <c r="H46" s="128" t="s">
        <v>554</v>
      </c>
      <c r="I46" s="97" t="s">
        <v>4718</v>
      </c>
      <c r="J46" s="128" t="s">
        <v>4719</v>
      </c>
      <c r="K46" s="210" t="s">
        <v>4720</v>
      </c>
      <c r="L46" s="52" t="s">
        <v>4591</v>
      </c>
      <c r="M46" s="6" t="s">
        <v>4760</v>
      </c>
      <c r="N46" s="53" t="s">
        <v>554</v>
      </c>
      <c r="O46" s="53" t="s">
        <v>554</v>
      </c>
      <c r="P46" s="53" t="s">
        <v>4742</v>
      </c>
      <c r="Q46" s="52" t="s">
        <v>3604</v>
      </c>
    </row>
    <row r="47" customFormat="false" ht="55.2" hidden="false" customHeight="false" outlineLevel="0" collapsed="false">
      <c r="A47" s="128" t="s">
        <v>3952</v>
      </c>
      <c r="B47" s="128" t="s">
        <v>3412</v>
      </c>
      <c r="C47" s="210" t="s">
        <v>4761</v>
      </c>
      <c r="D47" s="128" t="s">
        <v>2088</v>
      </c>
      <c r="E47" s="97" t="s">
        <v>4716</v>
      </c>
      <c r="F47" s="97" t="s">
        <v>4717</v>
      </c>
      <c r="G47" s="128" t="s">
        <v>554</v>
      </c>
      <c r="H47" s="128" t="s">
        <v>554</v>
      </c>
      <c r="I47" s="97" t="s">
        <v>4718</v>
      </c>
      <c r="J47" s="128" t="s">
        <v>4719</v>
      </c>
      <c r="K47" s="210" t="s">
        <v>4720</v>
      </c>
      <c r="L47" s="52" t="s">
        <v>4591</v>
      </c>
      <c r="M47" s="6" t="s">
        <v>4762</v>
      </c>
      <c r="N47" s="53" t="s">
        <v>554</v>
      </c>
      <c r="O47" s="53" t="s">
        <v>554</v>
      </c>
      <c r="P47" s="53" t="s">
        <v>4721</v>
      </c>
      <c r="Q47" s="52" t="s">
        <v>3604</v>
      </c>
    </row>
    <row r="48" customFormat="false" ht="168.65" hidden="false" customHeight="false" outlineLevel="0" collapsed="false">
      <c r="A48" s="128" t="s">
        <v>3971</v>
      </c>
      <c r="B48" s="128" t="s">
        <v>3412</v>
      </c>
      <c r="C48" s="210" t="s">
        <v>4763</v>
      </c>
      <c r="D48" s="128" t="s">
        <v>3972</v>
      </c>
      <c r="E48" s="97" t="s">
        <v>4716</v>
      </c>
      <c r="F48" s="97" t="s">
        <v>4717</v>
      </c>
      <c r="G48" s="128" t="s">
        <v>554</v>
      </c>
      <c r="H48" s="128" t="s">
        <v>554</v>
      </c>
      <c r="I48" s="97" t="s">
        <v>4718</v>
      </c>
      <c r="J48" s="128" t="s">
        <v>4719</v>
      </c>
      <c r="K48" s="210" t="s">
        <v>4720</v>
      </c>
      <c r="L48" s="52" t="s">
        <v>4591</v>
      </c>
      <c r="M48" s="6" t="s">
        <v>4764</v>
      </c>
      <c r="N48" s="53" t="s">
        <v>554</v>
      </c>
      <c r="O48" s="53" t="s">
        <v>554</v>
      </c>
      <c r="P48" s="53" t="s">
        <v>4721</v>
      </c>
      <c r="Q48" s="52" t="s">
        <v>3604</v>
      </c>
    </row>
    <row r="49" customFormat="false" ht="41" hidden="false" customHeight="false" outlineLevel="0" collapsed="false">
      <c r="A49" s="128" t="s">
        <v>4765</v>
      </c>
      <c r="B49" s="128" t="s">
        <v>3412</v>
      </c>
      <c r="C49" s="210" t="s">
        <v>4766</v>
      </c>
      <c r="D49" s="128" t="s">
        <v>4032</v>
      </c>
      <c r="E49" s="97" t="s">
        <v>4716</v>
      </c>
      <c r="F49" s="97" t="s">
        <v>4717</v>
      </c>
      <c r="G49" s="128" t="s">
        <v>554</v>
      </c>
      <c r="H49" s="128" t="s">
        <v>554</v>
      </c>
      <c r="I49" s="97" t="s">
        <v>4718</v>
      </c>
      <c r="J49" s="128" t="s">
        <v>4719</v>
      </c>
      <c r="K49" s="210" t="s">
        <v>4720</v>
      </c>
      <c r="L49" s="52" t="s">
        <v>4591</v>
      </c>
      <c r="M49" s="6" t="s">
        <v>4598</v>
      </c>
      <c r="N49" s="53" t="s">
        <v>554</v>
      </c>
      <c r="O49" s="53" t="s">
        <v>554</v>
      </c>
      <c r="P49" s="53" t="s">
        <v>4767</v>
      </c>
      <c r="Q49" s="52" t="s">
        <v>3604</v>
      </c>
    </row>
    <row r="50" customFormat="false" ht="29.85" hidden="false" customHeight="false" outlineLevel="0" collapsed="false">
      <c r="A50" s="128" t="s">
        <v>4768</v>
      </c>
      <c r="B50" s="128" t="s">
        <v>3412</v>
      </c>
      <c r="C50" s="210" t="s">
        <v>4769</v>
      </c>
      <c r="D50" s="128" t="s">
        <v>2112</v>
      </c>
      <c r="E50" s="97" t="s">
        <v>4716</v>
      </c>
      <c r="F50" s="97" t="s">
        <v>4717</v>
      </c>
      <c r="G50" s="128" t="s">
        <v>554</v>
      </c>
      <c r="H50" s="128" t="s">
        <v>554</v>
      </c>
      <c r="I50" s="97" t="s">
        <v>4718</v>
      </c>
      <c r="J50" s="128" t="s">
        <v>4719</v>
      </c>
      <c r="K50" s="210" t="s">
        <v>4720</v>
      </c>
      <c r="L50" s="52" t="s">
        <v>4591</v>
      </c>
      <c r="M50" s="6" t="s">
        <v>4042</v>
      </c>
      <c r="N50" s="53" t="s">
        <v>554</v>
      </c>
      <c r="O50" s="53" t="s">
        <v>554</v>
      </c>
      <c r="P50" s="53" t="s">
        <v>4767</v>
      </c>
      <c r="Q50" s="52" t="s">
        <v>3697</v>
      </c>
    </row>
    <row r="51" customFormat="false" ht="29.85" hidden="false" customHeight="false" outlineLevel="0" collapsed="false">
      <c r="A51" s="128" t="s">
        <v>4061</v>
      </c>
      <c r="B51" s="128" t="s">
        <v>3412</v>
      </c>
      <c r="C51" s="210" t="s">
        <v>4770</v>
      </c>
      <c r="D51" s="128" t="s">
        <v>2097</v>
      </c>
      <c r="E51" s="97" t="s">
        <v>4716</v>
      </c>
      <c r="F51" s="97" t="s">
        <v>4717</v>
      </c>
      <c r="G51" s="128" t="s">
        <v>554</v>
      </c>
      <c r="H51" s="128" t="s">
        <v>554</v>
      </c>
      <c r="I51" s="97" t="s">
        <v>4718</v>
      </c>
      <c r="J51" s="128" t="s">
        <v>4719</v>
      </c>
      <c r="K51" s="210" t="s">
        <v>4720</v>
      </c>
      <c r="L51" s="52" t="s">
        <v>4591</v>
      </c>
      <c r="M51" s="6" t="s">
        <v>4053</v>
      </c>
      <c r="N51" s="53" t="s">
        <v>554</v>
      </c>
      <c r="O51" s="53" t="s">
        <v>554</v>
      </c>
      <c r="P51" s="53" t="s">
        <v>4742</v>
      </c>
      <c r="Q51" s="52" t="s">
        <v>3604</v>
      </c>
    </row>
    <row r="52" customFormat="false" ht="29.85" hidden="false" customHeight="false" outlineLevel="0" collapsed="false">
      <c r="A52" s="128" t="s">
        <v>4072</v>
      </c>
      <c r="B52" s="128" t="s">
        <v>3412</v>
      </c>
      <c r="C52" s="210" t="s">
        <v>4771</v>
      </c>
      <c r="D52" s="128" t="s">
        <v>4073</v>
      </c>
      <c r="E52" s="97" t="s">
        <v>4716</v>
      </c>
      <c r="F52" s="97" t="s">
        <v>4717</v>
      </c>
      <c r="G52" s="128" t="s">
        <v>554</v>
      </c>
      <c r="H52" s="128" t="s">
        <v>554</v>
      </c>
      <c r="I52" s="97" t="s">
        <v>4718</v>
      </c>
      <c r="J52" s="128" t="s">
        <v>4719</v>
      </c>
      <c r="K52" s="210" t="s">
        <v>4720</v>
      </c>
      <c r="L52" s="52" t="s">
        <v>4591</v>
      </c>
      <c r="M52" s="6" t="s">
        <v>4064</v>
      </c>
      <c r="N52" s="53" t="s">
        <v>554</v>
      </c>
      <c r="O52" s="53" t="s">
        <v>554</v>
      </c>
      <c r="P52" s="53" t="s">
        <v>4742</v>
      </c>
      <c r="Q52" s="52" t="s">
        <v>3604</v>
      </c>
    </row>
    <row r="53" customFormat="false" ht="29.85" hidden="false" customHeight="false" outlineLevel="0" collapsed="false">
      <c r="A53" s="128" t="s">
        <v>4772</v>
      </c>
      <c r="B53" s="128" t="s">
        <v>3412</v>
      </c>
      <c r="C53" s="210" t="s">
        <v>4773</v>
      </c>
      <c r="D53" s="128" t="s">
        <v>2094</v>
      </c>
      <c r="E53" s="97" t="s">
        <v>4716</v>
      </c>
      <c r="F53" s="97" t="s">
        <v>4717</v>
      </c>
      <c r="G53" s="128" t="s">
        <v>554</v>
      </c>
      <c r="H53" s="128" t="s">
        <v>554</v>
      </c>
      <c r="I53" s="97" t="s">
        <v>4718</v>
      </c>
      <c r="J53" s="128" t="s">
        <v>4719</v>
      </c>
      <c r="K53" s="210" t="s">
        <v>4720</v>
      </c>
      <c r="L53" s="52" t="s">
        <v>4591</v>
      </c>
      <c r="M53" s="6" t="s">
        <v>4617</v>
      </c>
      <c r="N53" s="53" t="s">
        <v>554</v>
      </c>
      <c r="O53" s="53" t="s">
        <v>554</v>
      </c>
      <c r="P53" s="53" t="s">
        <v>4767</v>
      </c>
      <c r="Q53" s="52" t="s">
        <v>3604</v>
      </c>
    </row>
    <row r="54" customFormat="false" ht="41" hidden="false" customHeight="false" outlineLevel="0" collapsed="false">
      <c r="A54" s="128" t="s">
        <v>4093</v>
      </c>
      <c r="B54" s="128" t="s">
        <v>3412</v>
      </c>
      <c r="C54" s="210" t="s">
        <v>4774</v>
      </c>
      <c r="D54" s="128" t="s">
        <v>915</v>
      </c>
      <c r="E54" s="97" t="s">
        <v>4716</v>
      </c>
      <c r="F54" s="97" t="s">
        <v>4717</v>
      </c>
      <c r="G54" s="128" t="s">
        <v>554</v>
      </c>
      <c r="H54" s="128" t="s">
        <v>554</v>
      </c>
      <c r="I54" s="97" t="s">
        <v>4718</v>
      </c>
      <c r="J54" s="128" t="s">
        <v>4719</v>
      </c>
      <c r="K54" s="210" t="s">
        <v>4720</v>
      </c>
      <c r="L54" s="52" t="s">
        <v>4591</v>
      </c>
      <c r="M54" s="6" t="s">
        <v>4775</v>
      </c>
      <c r="N54" s="53" t="s">
        <v>554</v>
      </c>
      <c r="O54" s="53" t="s">
        <v>554</v>
      </c>
      <c r="P54" s="53" t="s">
        <v>4721</v>
      </c>
      <c r="Q54" s="52" t="s">
        <v>3604</v>
      </c>
    </row>
    <row r="55" customFormat="false" ht="29.85" hidden="false" customHeight="false" outlineLevel="0" collapsed="false">
      <c r="A55" s="128" t="s">
        <v>4776</v>
      </c>
      <c r="B55" s="128" t="s">
        <v>3412</v>
      </c>
      <c r="C55" s="210" t="s">
        <v>4777</v>
      </c>
      <c r="D55" s="128" t="s">
        <v>4109</v>
      </c>
      <c r="E55" s="97" t="s">
        <v>4716</v>
      </c>
      <c r="F55" s="97" t="s">
        <v>4717</v>
      </c>
      <c r="G55" s="128" t="s">
        <v>554</v>
      </c>
      <c r="H55" s="128" t="s">
        <v>554</v>
      </c>
      <c r="I55" s="97" t="s">
        <v>4718</v>
      </c>
      <c r="J55" s="128" t="s">
        <v>4719</v>
      </c>
      <c r="K55" s="210" t="s">
        <v>4720</v>
      </c>
      <c r="L55" s="52" t="s">
        <v>4591</v>
      </c>
      <c r="M55" s="6" t="s">
        <v>3271</v>
      </c>
      <c r="N55" s="53" t="s">
        <v>554</v>
      </c>
      <c r="O55" s="53" t="s">
        <v>554</v>
      </c>
      <c r="P55" s="53" t="s">
        <v>4767</v>
      </c>
      <c r="Q55" s="52" t="s">
        <v>3604</v>
      </c>
    </row>
    <row r="56" customFormat="false" ht="29.85" hidden="false" customHeight="false" outlineLevel="0" collapsed="false">
      <c r="A56" s="128" t="s">
        <v>4778</v>
      </c>
      <c r="B56" s="128" t="s">
        <v>3412</v>
      </c>
      <c r="C56" s="210" t="s">
        <v>4779</v>
      </c>
      <c r="D56" s="128" t="s">
        <v>4119</v>
      </c>
      <c r="E56" s="97" t="s">
        <v>4716</v>
      </c>
      <c r="F56" s="97" t="s">
        <v>4717</v>
      </c>
      <c r="G56" s="128" t="s">
        <v>554</v>
      </c>
      <c r="H56" s="128" t="s">
        <v>554</v>
      </c>
      <c r="I56" s="97" t="s">
        <v>4718</v>
      </c>
      <c r="J56" s="128" t="s">
        <v>4719</v>
      </c>
      <c r="K56" s="210" t="s">
        <v>4720</v>
      </c>
      <c r="L56" s="52" t="s">
        <v>4591</v>
      </c>
      <c r="M56" s="6" t="s">
        <v>4112</v>
      </c>
      <c r="N56" s="53" t="s">
        <v>554</v>
      </c>
      <c r="O56" s="53" t="s">
        <v>554</v>
      </c>
      <c r="P56" s="53" t="s">
        <v>4767</v>
      </c>
      <c r="Q56" s="52" t="s">
        <v>3604</v>
      </c>
    </row>
    <row r="57" customFormat="false" ht="29.85" hidden="false" customHeight="false" outlineLevel="0" collapsed="false">
      <c r="A57" s="128" t="s">
        <v>4780</v>
      </c>
      <c r="B57" s="128" t="s">
        <v>3412</v>
      </c>
      <c r="C57" s="210" t="s">
        <v>4781</v>
      </c>
      <c r="D57" s="128" t="s">
        <v>4124</v>
      </c>
      <c r="E57" s="97" t="s">
        <v>4716</v>
      </c>
      <c r="F57" s="97" t="s">
        <v>4717</v>
      </c>
      <c r="G57" s="128" t="s">
        <v>554</v>
      </c>
      <c r="H57" s="128" t="s">
        <v>554</v>
      </c>
      <c r="I57" s="97" t="s">
        <v>4718</v>
      </c>
      <c r="J57" s="128" t="s">
        <v>4719</v>
      </c>
      <c r="K57" s="210" t="s">
        <v>4720</v>
      </c>
      <c r="L57" s="52" t="s">
        <v>4591</v>
      </c>
      <c r="M57" s="6" t="s">
        <v>4782</v>
      </c>
      <c r="N57" s="53" t="s">
        <v>554</v>
      </c>
      <c r="O57" s="53" t="s">
        <v>554</v>
      </c>
      <c r="P57" s="53" t="s">
        <v>4742</v>
      </c>
      <c r="Q57" s="52" t="s">
        <v>3604</v>
      </c>
    </row>
    <row r="58" customFormat="false" ht="29.85" hidden="false" customHeight="false" outlineLevel="0" collapsed="false">
      <c r="A58" s="128" t="s">
        <v>4783</v>
      </c>
      <c r="B58" s="128" t="s">
        <v>3412</v>
      </c>
      <c r="C58" s="210" t="s">
        <v>4784</v>
      </c>
      <c r="D58" s="128" t="s">
        <v>4134</v>
      </c>
      <c r="E58" s="97" t="s">
        <v>4716</v>
      </c>
      <c r="F58" s="97" t="s">
        <v>4717</v>
      </c>
      <c r="G58" s="128" t="s">
        <v>554</v>
      </c>
      <c r="H58" s="128" t="s">
        <v>554</v>
      </c>
      <c r="I58" s="97" t="s">
        <v>4718</v>
      </c>
      <c r="J58" s="128" t="s">
        <v>4719</v>
      </c>
      <c r="K58" s="210" t="s">
        <v>4720</v>
      </c>
      <c r="L58" s="52" t="s">
        <v>4591</v>
      </c>
      <c r="M58" s="6" t="s">
        <v>4785</v>
      </c>
      <c r="N58" s="53" t="s">
        <v>554</v>
      </c>
      <c r="O58" s="53" t="s">
        <v>554</v>
      </c>
      <c r="P58" s="53" t="s">
        <v>4767</v>
      </c>
      <c r="Q58" s="52" t="s">
        <v>3604</v>
      </c>
    </row>
    <row r="59" customFormat="false" ht="29.85" hidden="false" customHeight="false" outlineLevel="0" collapsed="false">
      <c r="A59" s="128" t="s">
        <v>4156</v>
      </c>
      <c r="B59" s="128" t="s">
        <v>3412</v>
      </c>
      <c r="C59" s="210" t="s">
        <v>4786</v>
      </c>
      <c r="D59" s="128" t="s">
        <v>404</v>
      </c>
      <c r="E59" s="97" t="s">
        <v>4716</v>
      </c>
      <c r="F59" s="97" t="s">
        <v>4717</v>
      </c>
      <c r="G59" s="128" t="s">
        <v>554</v>
      </c>
      <c r="H59" s="128" t="s">
        <v>554</v>
      </c>
      <c r="I59" s="97" t="s">
        <v>4718</v>
      </c>
      <c r="J59" s="128" t="s">
        <v>4719</v>
      </c>
      <c r="K59" s="210" t="s">
        <v>4720</v>
      </c>
      <c r="L59" s="52" t="s">
        <v>4591</v>
      </c>
      <c r="M59" s="6" t="s">
        <v>4787</v>
      </c>
      <c r="N59" s="53" t="s">
        <v>554</v>
      </c>
      <c r="O59" s="53" t="s">
        <v>554</v>
      </c>
      <c r="P59" s="53" t="s">
        <v>4767</v>
      </c>
      <c r="Q59" s="52" t="s">
        <v>3604</v>
      </c>
    </row>
    <row r="60" customFormat="false" ht="44" hidden="false" customHeight="false" outlineLevel="0" collapsed="false">
      <c r="A60" s="128" t="s">
        <v>4171</v>
      </c>
      <c r="B60" s="128" t="s">
        <v>3412</v>
      </c>
      <c r="C60" s="210" t="s">
        <v>4788</v>
      </c>
      <c r="D60" s="128" t="s">
        <v>403</v>
      </c>
      <c r="E60" s="97" t="s">
        <v>4716</v>
      </c>
      <c r="F60" s="97" t="s">
        <v>4717</v>
      </c>
      <c r="G60" s="128" t="s">
        <v>554</v>
      </c>
      <c r="H60" s="128" t="s">
        <v>554</v>
      </c>
      <c r="I60" s="97" t="s">
        <v>4718</v>
      </c>
      <c r="J60" s="128" t="s">
        <v>4719</v>
      </c>
      <c r="K60" s="210" t="s">
        <v>4720</v>
      </c>
      <c r="L60" s="52" t="s">
        <v>4591</v>
      </c>
      <c r="M60" s="6" t="s">
        <v>4789</v>
      </c>
      <c r="N60" s="53" t="s">
        <v>554</v>
      </c>
      <c r="O60" s="53" t="s">
        <v>554</v>
      </c>
      <c r="P60" s="53" t="s">
        <v>4767</v>
      </c>
      <c r="Q60" s="52" t="s">
        <v>3604</v>
      </c>
    </row>
    <row r="61" customFormat="false" ht="44" hidden="false" customHeight="false" outlineLevel="0" collapsed="false">
      <c r="A61" s="128" t="s">
        <v>4196</v>
      </c>
      <c r="B61" s="128" t="s">
        <v>3412</v>
      </c>
      <c r="C61" s="210" t="s">
        <v>4790</v>
      </c>
      <c r="D61" s="128" t="s">
        <v>402</v>
      </c>
      <c r="E61" s="97" t="s">
        <v>4716</v>
      </c>
      <c r="F61" s="97" t="s">
        <v>4717</v>
      </c>
      <c r="G61" s="128" t="s">
        <v>554</v>
      </c>
      <c r="H61" s="128" t="s">
        <v>554</v>
      </c>
      <c r="I61" s="97" t="s">
        <v>4718</v>
      </c>
      <c r="J61" s="128" t="s">
        <v>4719</v>
      </c>
      <c r="K61" s="210" t="s">
        <v>4720</v>
      </c>
      <c r="L61" s="52" t="s">
        <v>4591</v>
      </c>
      <c r="M61" s="6" t="s">
        <v>4791</v>
      </c>
      <c r="N61" s="53" t="s">
        <v>554</v>
      </c>
      <c r="O61" s="53" t="s">
        <v>554</v>
      </c>
      <c r="P61" s="53" t="s">
        <v>4721</v>
      </c>
      <c r="Q61" s="52" t="s">
        <v>3604</v>
      </c>
    </row>
    <row r="62" customFormat="false" ht="29.85" hidden="false" customHeight="false" outlineLevel="0" collapsed="false">
      <c r="A62" s="128" t="s">
        <v>4216</v>
      </c>
      <c r="B62" s="128" t="s">
        <v>3412</v>
      </c>
      <c r="C62" s="210" t="s">
        <v>4792</v>
      </c>
      <c r="D62" s="128" t="s">
        <v>405</v>
      </c>
      <c r="E62" s="97" t="s">
        <v>4716</v>
      </c>
      <c r="F62" s="97" t="s">
        <v>4717</v>
      </c>
      <c r="G62" s="128" t="s">
        <v>554</v>
      </c>
      <c r="H62" s="128" t="s">
        <v>554</v>
      </c>
      <c r="I62" s="97" t="s">
        <v>4718</v>
      </c>
      <c r="J62" s="128" t="s">
        <v>4719</v>
      </c>
      <c r="K62" s="210" t="s">
        <v>4720</v>
      </c>
      <c r="L62" s="52" t="s">
        <v>4591</v>
      </c>
      <c r="M62" s="6" t="s">
        <v>4793</v>
      </c>
      <c r="N62" s="53" t="s">
        <v>554</v>
      </c>
      <c r="O62" s="53" t="s">
        <v>554</v>
      </c>
      <c r="P62" s="53" t="s">
        <v>4767</v>
      </c>
      <c r="Q62" s="52" t="s">
        <v>3604</v>
      </c>
    </row>
    <row r="63" customFormat="false" ht="29.85" hidden="false" customHeight="false" outlineLevel="0" collapsed="false">
      <c r="A63" s="128" t="s">
        <v>4226</v>
      </c>
      <c r="B63" s="128" t="s">
        <v>3412</v>
      </c>
      <c r="C63" s="210" t="s">
        <v>4794</v>
      </c>
      <c r="D63" s="128" t="s">
        <v>4227</v>
      </c>
      <c r="E63" s="97" t="s">
        <v>4716</v>
      </c>
      <c r="F63" s="97" t="s">
        <v>4717</v>
      </c>
      <c r="G63" s="128" t="s">
        <v>554</v>
      </c>
      <c r="H63" s="128" t="s">
        <v>554</v>
      </c>
      <c r="I63" s="97" t="s">
        <v>4718</v>
      </c>
      <c r="J63" s="128" t="s">
        <v>4719</v>
      </c>
      <c r="K63" s="210" t="s">
        <v>4720</v>
      </c>
      <c r="L63" s="52" t="s">
        <v>4591</v>
      </c>
      <c r="M63" s="6" t="s">
        <v>4795</v>
      </c>
      <c r="N63" s="53" t="s">
        <v>554</v>
      </c>
      <c r="O63" s="53" t="s">
        <v>554</v>
      </c>
      <c r="P63" s="53" t="s">
        <v>4767</v>
      </c>
      <c r="Q63" s="52" t="s">
        <v>3604</v>
      </c>
    </row>
    <row r="64" customFormat="false" ht="44" hidden="false" customHeight="false" outlineLevel="0" collapsed="false">
      <c r="A64" s="128" t="s">
        <v>4237</v>
      </c>
      <c r="B64" s="128" t="s">
        <v>3412</v>
      </c>
      <c r="C64" s="210" t="s">
        <v>4796</v>
      </c>
      <c r="D64" s="128" t="s">
        <v>4238</v>
      </c>
      <c r="E64" s="97" t="s">
        <v>4716</v>
      </c>
      <c r="F64" s="97" t="s">
        <v>4717</v>
      </c>
      <c r="G64" s="128" t="s">
        <v>554</v>
      </c>
      <c r="H64" s="128" t="s">
        <v>554</v>
      </c>
      <c r="I64" s="97" t="s">
        <v>4718</v>
      </c>
      <c r="J64" s="128" t="s">
        <v>4719</v>
      </c>
      <c r="K64" s="210" t="s">
        <v>4720</v>
      </c>
      <c r="L64" s="52" t="s">
        <v>4591</v>
      </c>
      <c r="M64" s="6" t="s">
        <v>4797</v>
      </c>
      <c r="N64" s="53" t="s">
        <v>554</v>
      </c>
      <c r="O64" s="53" t="s">
        <v>554</v>
      </c>
      <c r="P64" s="53" t="s">
        <v>4767</v>
      </c>
      <c r="Q64" s="52" t="s">
        <v>3697</v>
      </c>
    </row>
    <row r="65" customFormat="false" ht="29.85" hidden="false" customHeight="false" outlineLevel="0" collapsed="false">
      <c r="A65" s="128" t="s">
        <v>4259</v>
      </c>
      <c r="B65" s="128" t="s">
        <v>3412</v>
      </c>
      <c r="C65" s="210" t="s">
        <v>4798</v>
      </c>
      <c r="D65" s="128" t="s">
        <v>4260</v>
      </c>
      <c r="E65" s="97" t="s">
        <v>4716</v>
      </c>
      <c r="F65" s="97" t="s">
        <v>4717</v>
      </c>
      <c r="G65" s="128" t="s">
        <v>554</v>
      </c>
      <c r="H65" s="128" t="s">
        <v>554</v>
      </c>
      <c r="I65" s="97" t="s">
        <v>4718</v>
      </c>
      <c r="J65" s="128" t="s">
        <v>4719</v>
      </c>
      <c r="K65" s="210" t="s">
        <v>4720</v>
      </c>
      <c r="L65" s="52" t="s">
        <v>4591</v>
      </c>
      <c r="M65" s="6" t="s">
        <v>4252</v>
      </c>
      <c r="N65" s="53" t="s">
        <v>554</v>
      </c>
      <c r="O65" s="53" t="s">
        <v>554</v>
      </c>
      <c r="P65" s="53" t="s">
        <v>4721</v>
      </c>
      <c r="Q65" s="52" t="s">
        <v>3604</v>
      </c>
    </row>
    <row r="66" customFormat="false" ht="29.85" hidden="false" customHeight="false" outlineLevel="0" collapsed="false">
      <c r="A66" s="128" t="s">
        <v>4270</v>
      </c>
      <c r="B66" s="128" t="s">
        <v>3412</v>
      </c>
      <c r="C66" s="210" t="s">
        <v>4799</v>
      </c>
      <c r="D66" s="128" t="s">
        <v>4271</v>
      </c>
      <c r="E66" s="97" t="s">
        <v>4716</v>
      </c>
      <c r="F66" s="97" t="s">
        <v>4717</v>
      </c>
      <c r="G66" s="128" t="s">
        <v>554</v>
      </c>
      <c r="H66" s="128" t="s">
        <v>554</v>
      </c>
      <c r="I66" s="97" t="s">
        <v>4718</v>
      </c>
      <c r="J66" s="128" t="s">
        <v>4719</v>
      </c>
      <c r="K66" s="210" t="s">
        <v>4720</v>
      </c>
      <c r="L66" s="52" t="s">
        <v>4591</v>
      </c>
      <c r="M66" s="6" t="s">
        <v>4800</v>
      </c>
      <c r="N66" s="53" t="s">
        <v>554</v>
      </c>
      <c r="O66" s="53" t="s">
        <v>554</v>
      </c>
      <c r="P66" s="53" t="s">
        <v>4742</v>
      </c>
      <c r="Q66" s="52" t="s">
        <v>3604</v>
      </c>
    </row>
    <row r="67" customFormat="false" ht="29.85" hidden="false" customHeight="false" outlineLevel="0" collapsed="false">
      <c r="A67" s="128" t="s">
        <v>4285</v>
      </c>
      <c r="B67" s="128" t="s">
        <v>3412</v>
      </c>
      <c r="C67" s="210" t="s">
        <v>4801</v>
      </c>
      <c r="D67" s="128" t="s">
        <v>2074</v>
      </c>
      <c r="E67" s="97" t="s">
        <v>4716</v>
      </c>
      <c r="F67" s="97" t="s">
        <v>4717</v>
      </c>
      <c r="G67" s="128" t="s">
        <v>554</v>
      </c>
      <c r="H67" s="128" t="s">
        <v>554</v>
      </c>
      <c r="I67" s="97" t="s">
        <v>4718</v>
      </c>
      <c r="J67" s="128" t="s">
        <v>4719</v>
      </c>
      <c r="K67" s="210" t="s">
        <v>4720</v>
      </c>
      <c r="L67" s="52" t="s">
        <v>4591</v>
      </c>
      <c r="M67" s="6" t="s">
        <v>4802</v>
      </c>
      <c r="N67" s="53" t="s">
        <v>554</v>
      </c>
      <c r="O67" s="53" t="s">
        <v>554</v>
      </c>
      <c r="P67" s="53" t="s">
        <v>4742</v>
      </c>
      <c r="Q67" s="52" t="s">
        <v>3604</v>
      </c>
    </row>
    <row r="68" customFormat="false" ht="58.2" hidden="false" customHeight="false" outlineLevel="0" collapsed="false">
      <c r="A68" s="128" t="s">
        <v>4297</v>
      </c>
      <c r="B68" s="128" t="s">
        <v>3412</v>
      </c>
      <c r="C68" s="210" t="s">
        <v>4803</v>
      </c>
      <c r="D68" s="128" t="s">
        <v>4298</v>
      </c>
      <c r="E68" s="97" t="s">
        <v>4716</v>
      </c>
      <c r="F68" s="97" t="s">
        <v>4717</v>
      </c>
      <c r="G68" s="128" t="s">
        <v>554</v>
      </c>
      <c r="H68" s="128" t="s">
        <v>554</v>
      </c>
      <c r="I68" s="97" t="s">
        <v>4718</v>
      </c>
      <c r="J68" s="128" t="s">
        <v>4719</v>
      </c>
      <c r="K68" s="210" t="s">
        <v>4720</v>
      </c>
      <c r="L68" s="52" t="s">
        <v>4591</v>
      </c>
      <c r="M68" s="6" t="s">
        <v>4804</v>
      </c>
      <c r="N68" s="53" t="s">
        <v>554</v>
      </c>
      <c r="O68" s="53" t="s">
        <v>554</v>
      </c>
      <c r="P68" s="53" t="s">
        <v>4767</v>
      </c>
      <c r="Q68" s="52" t="s">
        <v>3697</v>
      </c>
    </row>
    <row r="69" customFormat="false" ht="29.85" hidden="false" customHeight="false" outlineLevel="0" collapsed="false">
      <c r="A69" s="128" t="s">
        <v>4324</v>
      </c>
      <c r="B69" s="128" t="s">
        <v>3412</v>
      </c>
      <c r="C69" s="210" t="s">
        <v>4805</v>
      </c>
      <c r="D69" s="128" t="s">
        <v>4325</v>
      </c>
      <c r="E69" s="97" t="s">
        <v>4716</v>
      </c>
      <c r="F69" s="97" t="s">
        <v>4717</v>
      </c>
      <c r="G69" s="128" t="s">
        <v>554</v>
      </c>
      <c r="H69" s="128" t="s">
        <v>554</v>
      </c>
      <c r="I69" s="97" t="s">
        <v>4718</v>
      </c>
      <c r="J69" s="128" t="s">
        <v>4719</v>
      </c>
      <c r="K69" s="210" t="s">
        <v>4720</v>
      </c>
      <c r="L69" s="52" t="s">
        <v>4591</v>
      </c>
      <c r="M69" s="6" t="s">
        <v>4806</v>
      </c>
      <c r="N69" s="53" t="s">
        <v>554</v>
      </c>
      <c r="O69" s="53" t="s">
        <v>554</v>
      </c>
      <c r="P69" s="53" t="s">
        <v>4721</v>
      </c>
      <c r="Q69" s="52" t="s">
        <v>3604</v>
      </c>
    </row>
    <row r="70" customFormat="false" ht="29.85" hidden="false" customHeight="false" outlineLevel="0" collapsed="false">
      <c r="A70" s="128" t="s">
        <v>4807</v>
      </c>
      <c r="B70" s="128" t="s">
        <v>3412</v>
      </c>
      <c r="C70" s="210" t="s">
        <v>4808</v>
      </c>
      <c r="D70" s="128" t="s">
        <v>4338</v>
      </c>
      <c r="E70" s="97" t="s">
        <v>4716</v>
      </c>
      <c r="F70" s="97" t="s">
        <v>4717</v>
      </c>
      <c r="G70" s="128" t="s">
        <v>554</v>
      </c>
      <c r="H70" s="128" t="s">
        <v>554</v>
      </c>
      <c r="I70" s="97" t="s">
        <v>4718</v>
      </c>
      <c r="J70" s="128" t="s">
        <v>4719</v>
      </c>
      <c r="K70" s="210" t="s">
        <v>4720</v>
      </c>
      <c r="L70" s="52" t="s">
        <v>4591</v>
      </c>
      <c r="M70" s="6" t="s">
        <v>4646</v>
      </c>
      <c r="N70" s="53" t="s">
        <v>554</v>
      </c>
      <c r="O70" s="53" t="s">
        <v>554</v>
      </c>
      <c r="P70" s="53" t="s">
        <v>4767</v>
      </c>
      <c r="Q70" s="52" t="s">
        <v>3604</v>
      </c>
    </row>
    <row r="71" customFormat="false" ht="83.55" hidden="false" customHeight="false" outlineLevel="0" collapsed="false">
      <c r="A71" s="128" t="s">
        <v>3858</v>
      </c>
      <c r="B71" s="128" t="s">
        <v>3412</v>
      </c>
      <c r="C71" s="210" t="s">
        <v>4809</v>
      </c>
      <c r="D71" s="128" t="s">
        <v>3859</v>
      </c>
      <c r="E71" s="97" t="s">
        <v>4810</v>
      </c>
      <c r="F71" s="97" t="s">
        <v>4717</v>
      </c>
      <c r="G71" s="128" t="s">
        <v>554</v>
      </c>
      <c r="H71" s="128" t="s">
        <v>554</v>
      </c>
      <c r="I71" s="97" t="s">
        <v>4811</v>
      </c>
      <c r="J71" s="128" t="s">
        <v>4719</v>
      </c>
      <c r="K71" s="210" t="s">
        <v>4812</v>
      </c>
      <c r="L71" s="52" t="s">
        <v>4591</v>
      </c>
      <c r="M71" s="6" t="s">
        <v>4813</v>
      </c>
      <c r="N71" s="53" t="s">
        <v>554</v>
      </c>
      <c r="O71" s="53" t="s">
        <v>554</v>
      </c>
      <c r="P71" s="53" t="s">
        <v>4721</v>
      </c>
      <c r="Q71" s="52" t="s">
        <v>4814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2026-10-02T10:51:19Z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