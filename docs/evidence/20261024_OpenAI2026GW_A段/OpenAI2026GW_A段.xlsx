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證據表" sheetId="1" state="visible" r:id="rId3"/>
    <sheet name="未找到與不可分離" sheetId="2" state="visible" r:id="rId4"/>
    <sheet name="換算" sheetId="3" state="visible" r:id="rId5"/>
    <sheet name="比值" sheetId="4" state="visible" r:id="rId6"/>
    <sheet name="GPU換算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<sst xmlns="http://schemas.openxmlformats.org/spreadsheetml/2006/main" count="600" uniqueCount="485">
  <si>
    <t xml:space="preserve">編號</t>
  </si>
  <si>
    <t xml:space="preserve">項目</t>
  </si>
  <si>
    <r>
      <rPr>
        <b val="true"/>
        <sz val="11"/>
        <rFont val="Noto Sans CJK SC"/>
        <family val="2"/>
      </rPr>
      <t xml:space="preserve">來源（讀取日 </t>
    </r>
    <r>
      <rPr>
        <b val="true"/>
        <sz val="11"/>
        <rFont val="Cambria"/>
        <family val="0"/>
        <charset val="1"/>
      </rPr>
      <t xml:space="preserve">2026-10-24</t>
    </r>
    <r>
      <rPr>
        <b val="true"/>
        <sz val="11"/>
        <rFont val="Noto Sans CJK SC"/>
        <family val="2"/>
      </rPr>
      <t xml:space="preserve">）</t>
    </r>
  </si>
  <si>
    <t xml:space="preserve">日期</t>
  </si>
  <si>
    <t xml:space="preserve">原文摘錄（引號內為工具回傳原文；其餘為摘述）</t>
  </si>
  <si>
    <t xml:space="preserve">數值</t>
  </si>
  <si>
    <t xml:space="preserve">單位</t>
  </si>
  <si>
    <t xml:space="preserve">口徑</t>
  </si>
  <si>
    <t xml:space="preserve">標記</t>
  </si>
  <si>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2026 GW</t>
    </r>
    <r>
      <rPr>
        <b val="true"/>
        <sz val="11"/>
        <rFont val="Noto Sans CJK SC"/>
        <family val="2"/>
      </rPr>
      <t xml:space="preserve">／比值的意義</t>
    </r>
  </si>
  <si>
    <t xml:space="preserve">G01</t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</si>
  <si>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Noto Sans CJK SC"/>
        <family val="2"/>
      </rPr>
      <t xml:space="preserve">年底算力（及 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</si>
  <si>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DCD 2026-01-21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Friar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2026-01 weekend update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Siliconangle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eWeek </t>
    </r>
    <r>
      <rPr>
        <sz val="11"/>
        <color theme="1"/>
        <rFont val="Noto Sans CJK SC"/>
        <family val="2"/>
      </rPr>
      <t xml:space="preserve">同源</t>
    </r>
  </si>
  <si>
    <t xml:space="preserve">2026-01-19</t>
  </si>
  <si>
    <r>
      <rPr>
        <sz val="11"/>
        <color theme="1"/>
        <rFont val="Calibri"/>
        <family val="2"/>
        <charset val="1"/>
      </rPr>
      <t xml:space="preserve">"AI firm OpenAI fielded some 1.9GW of compute by the end of 2025, the company's chief financial officer, Sarah Friar, has said."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0.2→0.6→1.9 GW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</si>
  <si>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</si>
  <si>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Noto Sans CJK SC"/>
        <family val="2"/>
      </rPr>
      <t xml:space="preserve">年底時點；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或設施：原文未說；上線或簽約：</t>
    </r>
    <r>
      <rPr>
        <sz val="11"/>
        <color theme="1"/>
        <rFont val="Calibri"/>
        <family val="2"/>
        <charset val="1"/>
      </rPr>
      <t xml:space="preserve">'fielded' </t>
    </r>
    <r>
      <rPr>
        <sz val="11"/>
        <color theme="1"/>
        <rFont val="Noto Sans CJK SC"/>
        <family val="2"/>
      </rPr>
      <t xml:space="preserve">未明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</si>
  <si>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 CFO</t>
    </r>
    <r>
      <rPr>
        <sz val="11"/>
        <color theme="1"/>
        <rFont val="Noto Sans CJK SC"/>
        <family val="2"/>
      </rPr>
      <t xml:space="preserve">，募資與 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前有誘因展示算力</t>
    </r>
  </si>
  <si>
    <r>
      <rPr>
        <sz val="11"/>
        <color theme="1"/>
        <rFont val="Noto Sans CJK SC"/>
        <family val="2"/>
      </rPr>
      <t xml:space="preserve">基點 </t>
    </r>
    <r>
      <rPr>
        <sz val="11"/>
        <color theme="1"/>
        <rFont val="Calibri"/>
        <family val="2"/>
        <charset val="1"/>
      </rPr>
      <t xml:space="preserve">E0</t>
    </r>
    <r>
      <rPr>
        <sz val="11"/>
        <color theme="1"/>
        <rFont val="Noto Sans CJK SC"/>
        <family val="2"/>
      </rPr>
      <t xml:space="preserve">。與官方端點 </t>
    </r>
    <r>
      <rPr>
        <sz val="11"/>
        <color theme="1"/>
        <rFont val="Calibri"/>
        <family val="2"/>
        <charset val="1"/>
      </rPr>
      <t xml:space="preserve">0.6→1.9 </t>
    </r>
    <r>
      <rPr>
        <sz val="11"/>
        <color theme="1"/>
        <rFont val="Noto Sans CJK SC"/>
        <family val="2"/>
      </rPr>
      <t xml:space="preserve">一致（任務已知）</t>
    </r>
  </si>
  <si>
    <t xml:space="preserve">G02</t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</si>
  <si>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把 </t>
    </r>
    <r>
      <rPr>
        <sz val="11"/>
        <color theme="1"/>
        <rFont val="Calibri"/>
        <family val="2"/>
        <charset val="1"/>
      </rPr>
      <t xml:space="preserve">G01 </t>
    </r>
    <r>
      <rPr>
        <sz val="11"/>
        <color theme="1"/>
        <rFont val="Noto Sans CJK SC"/>
        <family val="2"/>
      </rPr>
      <t xml:space="preserve">換成 </t>
    </r>
    <r>
      <rPr>
        <sz val="11"/>
        <color theme="1"/>
        <rFont val="Calibri"/>
        <family val="2"/>
        <charset val="1"/>
      </rPr>
      <t xml:space="preserve">H100e</t>
    </r>
  </si>
  <si>
    <r>
      <rPr>
        <sz val="11"/>
        <color theme="1"/>
        <rFont val="Calibri"/>
        <family val="2"/>
        <charset val="1"/>
      </rPr>
      <t xml:space="preserve">Epoch AI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chip users explorer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Gradient Update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frontier labs don't use most AI compute</t>
    </r>
    <r>
      <rPr>
        <sz val="11"/>
        <color theme="1"/>
        <rFont val="Noto Sans CJK SC"/>
        <family val="2"/>
      </rPr>
      <t xml:space="preserve">』</t>
    </r>
  </si>
  <si>
    <r>
      <rPr>
        <sz val="11"/>
        <color theme="1"/>
        <rFont val="Calibri"/>
        <family val="2"/>
        <charset val="1"/>
      </rPr>
      <t xml:space="preserve">2026-09-09 </t>
    </r>
    <r>
      <rPr>
        <sz val="11"/>
        <color theme="1"/>
        <rFont val="Noto Sans CJK SC"/>
        <family val="2"/>
      </rPr>
      <t xml:space="preserve">更新頁</t>
    </r>
  </si>
  <si>
    <r>
      <rPr>
        <sz val="11"/>
        <color theme="1"/>
        <rFont val="Calibri"/>
        <family val="2"/>
        <charset val="1"/>
      </rPr>
      <t xml:space="preserve">OpenAI 2025-12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1,743,000 H100e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90% CI 1,251,000–2,185,000</t>
    </r>
    <r>
      <rPr>
        <sz val="11"/>
        <color theme="1"/>
        <rFont val="Noto Sans CJK SC"/>
        <family val="2"/>
      </rPr>
      <t xml:space="preserve">）；假設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報的是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電力，若為設施電力則 </t>
    </r>
    <r>
      <rPr>
        <sz val="11"/>
        <color theme="1"/>
        <rFont val="Calibri"/>
        <family val="2"/>
        <charset val="1"/>
      </rPr>
      <t xml:space="preserve">H100e </t>
    </r>
    <r>
      <rPr>
        <sz val="11"/>
        <color theme="1"/>
        <rFont val="Noto Sans CJK SC"/>
        <family val="2"/>
      </rPr>
      <t xml:space="preserve">最多再小約 </t>
    </r>
    <r>
      <rPr>
        <sz val="11"/>
        <color theme="1"/>
        <rFont val="Calibri"/>
        <family val="2"/>
        <charset val="1"/>
      </rPr>
      <t xml:space="preserve">30%</t>
    </r>
  </si>
  <si>
    <t xml:space="preserve">H100e</t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</si>
  <si>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假設）；年底；使用量非持有量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</si>
  <si>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＋同源：與 </t>
    </r>
    <r>
      <rPr>
        <sz val="11"/>
        <color theme="1"/>
        <rFont val="Calibri"/>
        <family val="2"/>
        <charset val="1"/>
      </rPr>
      <t xml:space="preserve">G01 </t>
    </r>
    <r>
      <rPr>
        <sz val="11"/>
        <color theme="1"/>
        <rFont val="Noto Sans CJK SC"/>
        <family val="2"/>
      </rPr>
      <t xml:space="preserve">同一個電力數字，不另計一筆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</si>
  <si>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換算交叉檢查（見『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換算』）</t>
    </r>
  </si>
  <si>
    <t xml:space="preserve">G03</t>
  </si>
  <si>
    <r>
      <rPr>
        <sz val="11"/>
        <color theme="1"/>
        <rFont val="Calibri"/>
        <family val="2"/>
        <charset val="1"/>
      </rPr>
      <t xml:space="preserve">Altman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年底前上線 </t>
    </r>
    <r>
      <rPr>
        <sz val="11"/>
        <color theme="1"/>
        <rFont val="Calibri"/>
        <family val="2"/>
        <charset val="1"/>
      </rPr>
      <t xml:space="preserve">well over 1 million GPUs</t>
    </r>
  </si>
  <si>
    <r>
      <rPr>
        <sz val="11"/>
        <color theme="1"/>
        <rFont val="Noto Sans CJK SC"/>
        <family val="2"/>
      </rPr>
      <t xml:space="preserve">引自 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端前一資料夾 </t>
    </r>
    <r>
      <rPr>
        <sz val="11"/>
        <color theme="1"/>
        <rFont val="Calibri"/>
        <family val="2"/>
        <charset val="1"/>
      </rPr>
      <t xml:space="preserve">docs/evidence/20261024_Azure</t>
    </r>
    <r>
      <rPr>
        <sz val="11"/>
        <color theme="1"/>
        <rFont val="Noto Sans CJK SC"/>
        <family val="2"/>
      </rPr>
      <t xml:space="preserve">實付價</t>
    </r>
    <r>
      <rPr>
        <sz val="11"/>
        <color theme="1"/>
        <rFont val="Calibri"/>
        <family val="2"/>
        <charset val="1"/>
      </rPr>
      <t xml:space="preserve">_A</t>
    </r>
    <r>
      <rPr>
        <sz val="11"/>
        <color theme="1"/>
        <rFont val="Noto Sans CJK SC"/>
        <family val="2"/>
      </rPr>
      <t xml:space="preserve">段（分支 </t>
    </r>
    <r>
      <rPr>
        <sz val="11"/>
        <color theme="1"/>
        <rFont val="Calibri"/>
        <family val="2"/>
        <charset val="1"/>
      </rPr>
      <t xml:space="preserve">claude/evidence-azure-price</t>
    </r>
    <r>
      <rPr>
        <sz val="11"/>
        <color theme="1"/>
        <rFont val="Noto Sans CJK SC"/>
        <family val="2"/>
      </rPr>
      <t xml:space="preserve">）；本段未重讀原文</t>
    </r>
  </si>
  <si>
    <t xml:space="preserve">2025-07-20</t>
  </si>
  <si>
    <t xml:space="preserve">（沿用前段，本段未重查）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</si>
  <si>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</t>
    </r>
  </si>
  <si>
    <t xml:space="preserve">年底預期；預告性質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</si>
  <si>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 CEO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</si>
  <si>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1.9 GW × 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顆數相容（見『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換算』）</t>
    </r>
  </si>
  <si>
    <t xml:space="preserve">G04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</si>
  <si>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官方：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已超過 </t>
    </r>
    <r>
      <rPr>
        <sz val="11"/>
        <color theme="1"/>
        <rFont val="Calibri"/>
        <family val="2"/>
        <charset val="1"/>
      </rPr>
      <t xml:space="preserve">10GW </t>
    </r>
    <r>
      <rPr>
        <sz val="11"/>
        <color theme="1"/>
        <rFont val="Noto Sans CJK SC"/>
        <family val="2"/>
      </rPr>
      <t xml:space="preserve">目標，過去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天『</t>
    </r>
    <r>
      <rPr>
        <sz val="11"/>
        <color theme="1"/>
        <rFont val="Calibri"/>
        <family val="2"/>
        <charset val="1"/>
      </rPr>
      <t xml:space="preserve">added</t>
    </r>
    <r>
      <rPr>
        <sz val="11"/>
        <color theme="1"/>
        <rFont val="Noto Sans CJK SC"/>
        <family val="2"/>
      </rPr>
      <t xml:space="preserve">』</t>
    </r>
    <r>
      <rPr>
        <sz val="11"/>
        <color theme="1"/>
        <rFont val="Calibri"/>
        <family val="2"/>
        <charset val="1"/>
      </rPr>
      <t xml:space="preserve">&gt;3GW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</si>
  <si>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官方部落格『</t>
    </r>
    <r>
      <rPr>
        <sz val="11"/>
        <color theme="1"/>
        <rFont val="Calibri"/>
        <family val="2"/>
        <charset val="1"/>
      </rPr>
      <t xml:space="preserve">Building the compute infrastructure for the intelligence age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Bloomberg Law 2026-04-30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DCD 2026-05-01</t>
    </r>
  </si>
  <si>
    <t xml:space="preserve">2026-04-29</t>
  </si>
  <si>
    <r>
      <rPr>
        <sz val="11"/>
        <color theme="1"/>
        <rFont val="Calibri"/>
        <family val="2"/>
        <charset val="1"/>
      </rPr>
      <t xml:space="preserve">"more than 3GW added in the last 90 days alone"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"We are ahead of schedule."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，經工具摘述）；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"has signed contracts for 10 gigawatts of artificial intelligence computing capacity"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：『</t>
    </r>
    <r>
      <rPr>
        <sz val="11"/>
        <color theme="1"/>
        <rFont val="Calibri"/>
        <family val="2"/>
        <charset val="1"/>
      </rPr>
      <t xml:space="preserve">believes the 10GW is likely contracted rather than live</t>
    </r>
    <r>
      <rPr>
        <sz val="11"/>
        <color theme="1"/>
        <rFont val="Noto Sans CJK SC"/>
        <family val="2"/>
      </rPr>
      <t xml:space="preserve">』</t>
    </r>
  </si>
  <si>
    <r>
      <rPr>
        <sz val="11"/>
        <color theme="1"/>
        <rFont val="Noto Sans CJK SC"/>
        <family val="2"/>
      </rPr>
      <t xml:space="preserve">美國；簽約／確保，非上線（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判斷；官方文未區分）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</si>
  <si>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，募資與敘事誘因</t>
    </r>
  </si>
  <si>
    <r>
      <rPr>
        <sz val="11"/>
        <color theme="1"/>
        <rFont val="Noto Sans CJK SC"/>
        <family val="2"/>
      </rPr>
      <t xml:space="preserve">不是上線量。只證明合約面大幅超前，不能用來估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平均上線 </t>
    </r>
    <r>
      <rPr>
        <sz val="11"/>
        <color theme="1"/>
        <rFont val="Calibri"/>
        <family val="2"/>
        <charset val="1"/>
      </rPr>
      <t xml:space="preserve">GW</t>
    </r>
  </si>
  <si>
    <t xml:space="preserve">G05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</si>
  <si>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致投資人備忘錄（</t>
    </r>
    <r>
      <rPr>
        <sz val="11"/>
        <color theme="1"/>
        <rFont val="Calibri"/>
        <family val="2"/>
        <charset val="1"/>
      </rPr>
      <t xml:space="preserve">Bloomberg 2026-04-09</t>
    </r>
    <r>
      <rPr>
        <sz val="11"/>
        <color theme="1"/>
        <rFont val="Noto Sans CJK SC"/>
        <family val="2"/>
      </rPr>
      <t xml:space="preserve">）：已識別 </t>
    </r>
    <r>
      <rPr>
        <sz val="11"/>
        <color theme="1"/>
        <rFont val="Calibri"/>
        <family val="2"/>
        <charset val="1"/>
      </rPr>
      <t xml:space="preserve">&gt;8GW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年容量「</t>
    </r>
    <r>
      <rPr>
        <sz val="11"/>
        <color theme="1"/>
        <rFont val="Calibri"/>
        <family val="2"/>
        <charset val="1"/>
      </rPr>
      <t xml:space="preserve">low double-digit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；估 </t>
    </r>
    <r>
      <rPr>
        <sz val="11"/>
        <color theme="1"/>
        <rFont val="Calibri"/>
        <family val="2"/>
        <charset val="1"/>
      </rPr>
      <t xml:space="preserve">Anthropic 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3–4 GW</t>
    </r>
  </si>
  <si>
    <r>
      <rPr>
        <sz val="11"/>
        <color theme="1"/>
        <rFont val="Calibri"/>
        <family val="2"/>
        <charset val="1"/>
      </rPr>
      <t xml:space="preserve">Tae Kim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Key Context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2026-04-09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Bloomberg 2026-04-09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OpenAI Tells Investors It Has Computing Advantage Over Anthropic</t>
    </r>
    <r>
      <rPr>
        <sz val="11"/>
        <color theme="1"/>
        <rFont val="Noto Sans CJK SC"/>
        <family val="2"/>
      </rPr>
      <t xml:space="preserve">〉；</t>
    </r>
    <r>
      <rPr>
        <sz val="11"/>
        <color theme="1"/>
        <rFont val="Calibri"/>
        <family val="2"/>
        <charset val="1"/>
      </rPr>
      <t xml:space="preserve">Epoch Gradient Update 2026-05-20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更正：</t>
    </r>
    <r>
      <rPr>
        <sz val="11"/>
        <color theme="1"/>
        <rFont val="Calibri"/>
        <family val="2"/>
        <charset val="1"/>
      </rPr>
      <t xml:space="preserve">2027 low double-digit </t>
    </r>
    <r>
      <rPr>
        <sz val="11"/>
        <color theme="1"/>
        <rFont val="Noto Sans CJK SC"/>
        <family val="2"/>
      </rPr>
      <t xml:space="preserve">出自此備忘錄，與原 </t>
    </r>
    <r>
      <rPr>
        <sz val="11"/>
        <color theme="1"/>
        <rFont val="Calibri"/>
        <family val="2"/>
        <charset val="1"/>
      </rPr>
      <t xml:space="preserve">G14 </t>
    </r>
    <r>
      <rPr>
        <sz val="11"/>
        <color theme="1"/>
        <rFont val="Noto Sans CJK SC"/>
        <family val="2"/>
      </rPr>
      <t xml:space="preserve">同源，合併為一筆）</t>
    </r>
  </si>
  <si>
    <t xml:space="preserve">2026-04-09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</si>
  <si>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1.9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估）</t>
    </r>
    <r>
      <rPr>
        <sz val="11"/>
        <color theme="1"/>
        <rFont val="Calibri"/>
        <family val="2"/>
        <charset val="1"/>
      </rPr>
      <t xml:space="preserve">2025 1.4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3–4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7–8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年底：『</t>
    </r>
    <r>
      <rPr>
        <sz val="11"/>
        <color theme="1"/>
        <rFont val="Calibri"/>
        <family val="2"/>
        <charset val="1"/>
      </rPr>
      <t xml:space="preserve">Not stated</t>
    </r>
    <r>
      <rPr>
        <sz val="11"/>
        <color theme="1"/>
        <rFont val="Noto Sans CJK SC"/>
        <family val="2"/>
      </rPr>
      <t xml:space="preserve">』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</si>
  <si>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估計中點，非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</si>
  <si>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對對手的估計；口徑未明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</si>
  <si>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向投資人（備忘錄）；報導（二手）</t>
    </r>
  </si>
  <si>
    <r>
      <rPr>
        <sz val="11"/>
        <color theme="1"/>
        <rFont val="Calibri"/>
        <family val="2"/>
        <charset val="1"/>
      </rPr>
      <t xml:space="preserve">3.5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的估計中點，不是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的下界；對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只是 </t>
    </r>
    <r>
      <rPr>
        <sz val="11"/>
        <color theme="1"/>
        <rFont val="Calibri"/>
        <family val="2"/>
        <charset val="1"/>
      </rPr>
      <t xml:space="preserve">1.84 </t>
    </r>
    <r>
      <rPr>
        <sz val="11"/>
        <color theme="1"/>
        <rFont val="Noto Sans CJK SC"/>
        <family val="2"/>
      </rPr>
      <t xml:space="preserve">倍成長。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年底：未載</t>
    </r>
  </si>
  <si>
    <t xml:space="preserve">G06</t>
  </si>
  <si>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各站上線量</t>
    </r>
  </si>
  <si>
    <r>
      <rPr>
        <sz val="11"/>
        <color theme="1"/>
        <rFont val="Calibri"/>
        <family val="2"/>
        <charset val="1"/>
      </rPr>
      <t xml:space="preserve">Epoch AI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OpenAI Stargate: where the US sites stand</t>
    </r>
    <r>
      <rPr>
        <sz val="11"/>
        <color theme="1"/>
        <rFont val="Noto Sans CJK SC"/>
        <family val="2"/>
      </rPr>
      <t xml:space="preserve">』（</t>
    </r>
    <r>
      <rPr>
        <sz val="11"/>
        <color theme="1"/>
        <rFont val="Calibri"/>
        <family val="2"/>
        <charset val="1"/>
      </rPr>
      <t xml:space="preserve">Stewart &amp; Cottier</t>
    </r>
    <r>
      <rPr>
        <sz val="11"/>
        <color theme="1"/>
        <rFont val="Noto Sans CJK SC"/>
        <family val="2"/>
      </rPr>
      <t xml:space="preserve">）</t>
    </r>
  </si>
  <si>
    <t xml:space="preserve">2026-04-17</t>
  </si>
  <si>
    <r>
      <rPr>
        <sz val="11"/>
        <color theme="1"/>
        <rFont val="Calibri"/>
        <family val="2"/>
        <charset val="1"/>
      </rPr>
      <t xml:space="preserve">"The most advanced—in Abilene, Texas—is already operating at an estimated capacity of 0.3 gigawatts (GW)."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"with an estimated four of the eight buildings already operational."</t>
    </r>
    <r>
      <rPr>
        <sz val="11"/>
        <color theme="1"/>
        <rFont val="Noto Sans CJK SC"/>
        <family val="2"/>
      </rPr>
      <t xml:space="preserve">；其餘站上線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（五站預計 </t>
    </r>
    <r>
      <rPr>
        <sz val="11"/>
        <color theme="1"/>
        <rFont val="Calibri"/>
        <family val="2"/>
        <charset val="1"/>
      </rPr>
      <t xml:space="preserve">2028 Q4 </t>
    </r>
    <r>
      <rPr>
        <sz val="11"/>
        <color theme="1"/>
        <rFont val="Noto Sans CJK SC"/>
        <family val="2"/>
      </rPr>
      <t xml:space="preserve">完成，</t>
    </r>
    <r>
      <rPr>
        <sz val="11"/>
        <color theme="1"/>
        <rFont val="Calibri"/>
        <family val="2"/>
        <charset val="1"/>
      </rPr>
      <t xml:space="preserve">Lordstown </t>
    </r>
    <r>
      <rPr>
        <sz val="11"/>
        <color theme="1"/>
        <rFont val="Noto Sans CJK SC"/>
        <family val="2"/>
      </rPr>
      <t xml:space="preserve">完工日不明）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</si>
  <si>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</si>
  <si>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設施電力（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設施≈</t>
    </r>
    <r>
      <rPr>
        <sz val="11"/>
        <color theme="1"/>
        <rFont val="Calibri"/>
        <family val="2"/>
        <charset val="1"/>
      </rPr>
      <t xml:space="preserve">1.3×IT</t>
    </r>
    <r>
      <rPr>
        <sz val="11"/>
        <color theme="1"/>
        <rFont val="Noto Sans CJK SC"/>
        <family val="2"/>
      </rPr>
      <t xml:space="preserve">）；上線；僅新建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站，不含 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既有容量；衛星影像推估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</si>
  <si>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（第三方衛星推估；原估 </t>
    </r>
    <r>
      <rPr>
        <sz val="11"/>
        <color theme="1"/>
        <rFont val="Calibri"/>
        <family val="2"/>
        <charset val="1"/>
      </rPr>
      <t xml:space="preserve">0.6 GW</t>
    </r>
    <r>
      <rPr>
        <sz val="11"/>
        <color theme="1"/>
        <rFont val="Noto Sans CJK SC"/>
        <family val="2"/>
      </rPr>
      <t xml:space="preserve">，後依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貼文隱含約 </t>
    </r>
    <r>
      <rPr>
        <sz val="11"/>
        <color theme="1"/>
        <rFont val="Calibri"/>
        <family val="2"/>
        <charset val="1"/>
      </rPr>
      <t xml:space="preserve">200MW </t>
    </r>
    <r>
      <rPr>
        <sz val="11"/>
        <color theme="1"/>
        <rFont val="Noto Sans CJK SC"/>
        <family val="2"/>
      </rPr>
      <t xml:space="preserve">下修）</t>
    </r>
  </si>
  <si>
    <r>
      <rPr>
        <sz val="11"/>
        <color theme="1"/>
        <rFont val="Calibri"/>
        <family val="2"/>
        <charset val="1"/>
      </rPr>
      <t xml:space="preserve">Abilene 2026-04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0.3 GW</t>
    </r>
    <r>
      <rPr>
        <sz val="11"/>
        <color theme="1"/>
        <rFont val="Noto Sans CJK SC"/>
        <family val="2"/>
      </rPr>
      <t xml:space="preserve">，完工預計 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；其餘站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年底前後才完成</t>
    </r>
  </si>
  <si>
    <t xml:space="preserve">G07</t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</si>
  <si>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hub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目前算力與預測</t>
    </r>
  </si>
  <si>
    <r>
      <rPr>
        <sz val="11"/>
        <color theme="1"/>
        <rFont val="Calibri"/>
        <family val="2"/>
        <charset val="1"/>
      </rPr>
      <t xml:space="preserve">Epoch AI frontier data centers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directory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：目錄頁 </t>
    </r>
    <r>
      <rPr>
        <sz val="11"/>
        <color theme="1"/>
        <rFont val="Calibri"/>
        <family val="2"/>
        <charset val="1"/>
      </rPr>
      <t xml:space="preserve">Updated Jul. 17, 2026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月；本段原誤記 </t>
    </r>
    <r>
      <rPr>
        <sz val="11"/>
        <color theme="1"/>
        <rFont val="Calibri"/>
        <family val="2"/>
        <charset val="1"/>
      </rPr>
      <t xml:space="preserve">10-20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</si>
  <si>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2026-07</t>
    </r>
  </si>
  <si>
    <r>
      <rPr>
        <sz val="11"/>
        <color theme="1"/>
        <rFont val="Calibri"/>
        <family val="2"/>
        <charset val="1"/>
      </rPr>
      <t xml:space="preserve">OpenAI Stargate Abilene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Current compute 509k H100e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自給 </t>
    </r>
    <r>
      <rPr>
        <sz val="11"/>
        <color theme="1"/>
        <rFont val="Calibri"/>
        <family val="2"/>
        <charset val="1"/>
      </rPr>
      <t xml:space="preserve">421 MW 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2026-11-01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1,019k H100e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843 MW</t>
    </r>
    <r>
      <rPr>
        <sz val="11"/>
        <color theme="1"/>
        <rFont val="Noto Sans CJK SC"/>
        <family val="2"/>
      </rPr>
      <t xml:space="preserve">（經獨立核對提供，本段未重讀）</t>
    </r>
  </si>
  <si>
    <r>
      <rPr>
        <sz val="11"/>
        <color theme="1"/>
        <rFont val="Noto Sans CJK SC"/>
        <family val="2"/>
      </rPr>
      <t xml:space="preserve">上線；以 </t>
    </r>
    <r>
      <rPr>
        <sz val="11"/>
        <color theme="1"/>
        <rFont val="Calibri"/>
        <family val="2"/>
        <charset val="1"/>
      </rPr>
      <t xml:space="preserve">Epoch H100e </t>
    </r>
    <r>
      <rPr>
        <sz val="11"/>
        <color theme="1"/>
        <rFont val="Noto Sans CJK SC"/>
        <family val="2"/>
      </rPr>
      <t xml:space="preserve">計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</si>
  <si>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（衛星＋模型）</t>
    </r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</si>
  <si>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0.42 GW IT</t>
    </r>
    <r>
      <rPr>
        <sz val="11"/>
        <color theme="1"/>
        <rFont val="Noto Sans CJK SC"/>
        <family val="2"/>
      </rPr>
      <t xml:space="preserve">，約完工量一半（見『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換算』）</t>
    </r>
  </si>
  <si>
    <t xml:space="preserve">G08</t>
  </si>
  <si>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：新站交付時程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</si>
  <si>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G06</t>
    </r>
  </si>
  <si>
    <r>
      <rPr>
        <sz val="11"/>
        <color theme="1"/>
        <rFont val="Calibri"/>
        <family val="2"/>
        <charset val="1"/>
      </rPr>
      <t xml:space="preserve">Shackelford </t>
    </r>
    <r>
      <rPr>
        <sz val="11"/>
        <color theme="1"/>
        <rFont val="Noto Sans CJK SC"/>
        <family val="2"/>
      </rPr>
      <t xml:space="preserve">首棟預計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年底交付；</t>
    </r>
    <r>
      <rPr>
        <sz val="11"/>
        <color theme="1"/>
        <rFont val="Calibri"/>
        <family val="2"/>
        <charset val="1"/>
      </rPr>
      <t xml:space="preserve">Milam </t>
    </r>
    <r>
      <rPr>
        <sz val="11"/>
        <color theme="1"/>
        <rFont val="Noto Sans CJK SC"/>
        <family val="2"/>
      </rPr>
      <t xml:space="preserve">首棟預計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月前（監管文件）；</t>
    </r>
    <r>
      <rPr>
        <sz val="11"/>
        <color theme="1"/>
        <rFont val="Calibri"/>
        <family val="2"/>
        <charset val="1"/>
      </rPr>
      <t xml:space="preserve">Doña Ana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Port Washington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Saline </t>
    </r>
    <r>
      <rPr>
        <sz val="11"/>
        <color theme="1"/>
        <rFont val="Noto Sans CJK SC"/>
        <family val="2"/>
      </rPr>
      <t xml:space="preserve">皆預計 </t>
    </r>
    <r>
      <rPr>
        <sz val="11"/>
        <color theme="1"/>
        <rFont val="Calibri"/>
        <family val="2"/>
        <charset val="1"/>
      </rPr>
      <t xml:space="preserve">2028 Q4</t>
    </r>
    <r>
      <rPr>
        <sz val="11"/>
        <color theme="1"/>
        <rFont val="Noto Sans CJK SC"/>
        <family val="2"/>
      </rPr>
      <t xml:space="preserve">；『</t>
    </r>
    <r>
      <rPr>
        <sz val="11"/>
        <color theme="1"/>
        <rFont val="Calibri"/>
        <family val="2"/>
        <charset val="1"/>
      </rPr>
      <t xml:space="preserve">Delivery dates refer to when a building is handed to the tenant</t>
    </r>
    <r>
      <rPr>
        <sz val="11"/>
        <color theme="1"/>
        <rFont val="Noto Sans CJK SC"/>
        <family val="2"/>
      </rPr>
      <t xml:space="preserve">』</t>
    </r>
  </si>
  <si>
    <t xml:space="preserve">—</t>
  </si>
  <si>
    <t xml:space="preserve">交付日≠上線日</t>
  </si>
  <si>
    <t xml:space="preserve">Analogy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</si>
  <si>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年新增上線幾乎只有 </t>
    </r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補完＋既有雲端，新站貢獻在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年底之後</t>
    </r>
  </si>
  <si>
    <t xml:space="preserve">G09</t>
  </si>
  <si>
    <r>
      <rPr>
        <sz val="11"/>
        <color theme="1"/>
        <rFont val="Calibri"/>
        <family val="2"/>
        <charset val="1"/>
      </rPr>
      <t xml:space="preserve">Oracle FY2026</t>
    </r>
    <r>
      <rPr>
        <sz val="11"/>
        <color theme="1"/>
        <rFont val="Noto Sans CJK SC"/>
        <family val="2"/>
      </rPr>
      <t xml:space="preserve">（至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）法說：交付容量</t>
    </r>
  </si>
  <si>
    <r>
      <rPr>
        <sz val="11"/>
        <color theme="1"/>
        <rFont val="Calibri"/>
        <family val="2"/>
        <charset val="1"/>
      </rPr>
      <t xml:space="preserve">Oracle Q4 FY26 earnings call 2026-06-10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erp.today 2026-06-11 </t>
    </r>
    <r>
      <rPr>
        <sz val="11"/>
        <color theme="1"/>
        <rFont val="Noto Sans CJK SC"/>
        <family val="2"/>
      </rPr>
      <t xml:space="preserve">轉述；未讀逐字稿</t>
    </r>
  </si>
  <si>
    <t xml:space="preserve">2026-06-10</t>
  </si>
  <si>
    <r>
      <rPr>
        <sz val="11"/>
        <color theme="1"/>
        <rFont val="Calibri"/>
        <family val="2"/>
        <charset val="1"/>
      </rPr>
      <t xml:space="preserve">"delivered more than 1.2 gigawatts of capacity to customers in FY2026"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交付預計 </t>
    </r>
    <r>
      <rPr>
        <sz val="11"/>
        <color theme="1"/>
        <rFont val="Calibri"/>
        <family val="2"/>
        <charset val="1"/>
      </rPr>
      <t xml:space="preserve">approach 1 GW</t>
    </r>
    <r>
      <rPr>
        <sz val="11"/>
        <color theme="1"/>
        <rFont val="Noto Sans CJK SC"/>
        <family val="2"/>
      </rPr>
      <t xml:space="preserve">，約等於前四季合計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</si>
  <si>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（全部客戶）</t>
    </r>
  </si>
  <si>
    <r>
      <rPr>
        <sz val="11"/>
        <color theme="1"/>
        <rFont val="Noto Sans CJK SC"/>
        <family val="2"/>
      </rPr>
      <t xml:space="preserve">口徑未明；交付；全客戶，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占比未揭露</t>
    </r>
  </si>
  <si>
    <r>
      <rPr>
        <sz val="11"/>
        <color theme="1"/>
        <rFont val="Noto Sans CJK SC"/>
        <family val="2"/>
      </rPr>
      <t xml:space="preserve">報導（二手轉述公司法說）；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占比：不可分離</t>
    </r>
  </si>
  <si>
    <r>
      <rPr>
        <sz val="11"/>
        <color theme="1"/>
        <rFont val="Noto Sans CJK SC"/>
        <family val="2"/>
      </rPr>
      <t xml:space="preserve">上界背景：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單季將交付近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（全客戶）。無法拆出 </t>
    </r>
    <r>
      <rPr>
        <sz val="11"/>
        <color theme="1"/>
        <rFont val="Calibri"/>
        <family val="2"/>
        <charset val="1"/>
      </rPr>
      <t xml:space="preserve">OpenAI</t>
    </r>
  </si>
  <si>
    <t xml:space="preserve">G10</t>
  </si>
  <si>
    <r>
      <rPr>
        <sz val="11"/>
        <color theme="1"/>
        <rFont val="Calibri"/>
        <family val="2"/>
        <charset val="1"/>
      </rPr>
      <t xml:space="preserve">CoreWeave 2026 Q2</t>
    </r>
    <r>
      <rPr>
        <sz val="11"/>
        <color theme="1"/>
        <rFont val="Noto Sans CJK SC"/>
        <family val="2"/>
      </rPr>
      <t xml:space="preserve">：作用中電力</t>
    </r>
  </si>
  <si>
    <r>
      <rPr>
        <sz val="11"/>
        <color theme="1"/>
        <rFont val="Calibri"/>
        <family val="2"/>
        <charset val="1"/>
      </rPr>
      <t xml:space="preserve">CoreWeave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2026-08-11 </t>
    </r>
    <r>
      <rPr>
        <sz val="11"/>
        <color theme="1"/>
        <rFont val="Noto Sans CJK SC"/>
        <family val="2"/>
      </rPr>
      <t xml:space="preserve">法說摘要</t>
    </r>
  </si>
  <si>
    <t xml:space="preserve">2026-08-11</t>
  </si>
  <si>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1.5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增近 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月單月</t>
    </r>
    <r>
      <rPr>
        <sz val="11"/>
        <color theme="1"/>
        <rFont val="Calibri"/>
        <family val="2"/>
        <charset val="1"/>
      </rPr>
      <t xml:space="preserve">&gt;300MW</t>
    </r>
    <r>
      <rPr>
        <sz val="11"/>
        <color theme="1"/>
        <rFont val="Noto Sans CJK SC"/>
        <family val="2"/>
      </rPr>
      <t xml:space="preserve">）；年底指引</t>
    </r>
    <r>
      <rPr>
        <sz val="11"/>
        <color theme="1"/>
        <rFont val="Calibri"/>
        <family val="2"/>
        <charset val="1"/>
      </rPr>
      <t xml:space="preserve">&gt;1.85 GW</t>
    </r>
    <r>
      <rPr>
        <sz val="11"/>
        <color theme="1"/>
        <rFont val="Noto Sans CJK SC"/>
        <family val="2"/>
      </rPr>
      <t xml:space="preserve">（原</t>
    </r>
    <r>
      <rPr>
        <sz val="11"/>
        <color theme="1"/>
        <rFont val="Calibri"/>
        <family val="2"/>
        <charset val="1"/>
      </rPr>
      <t xml:space="preserve">&gt;1.7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contracted 3.7 GW</t>
    </r>
    <r>
      <rPr>
        <sz val="11"/>
        <color theme="1"/>
        <rFont val="Noto Sans CJK SC"/>
        <family val="2"/>
      </rPr>
      <t xml:space="preserve">。新聞稿全文無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字樣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</si>
  <si>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（全客戶）</t>
    </r>
  </si>
  <si>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（公司未定義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或設施）；全客戶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</si>
  <si>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（公司申報）；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占比：不可分離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</si>
  <si>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0.85 GW</t>
    </r>
    <r>
      <rPr>
        <sz val="11"/>
        <color theme="1"/>
        <rFont val="Noto Sans CJK SC"/>
        <family val="2"/>
      </rPr>
      <t xml:space="preserve">（前段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數『</t>
    </r>
    <r>
      <rPr>
        <sz val="11"/>
        <color theme="1"/>
        <rFont val="Calibri"/>
        <family val="2"/>
        <charset val="1"/>
      </rPr>
      <t xml:space="preserve">more than 850 MW</t>
    </r>
    <r>
      <rPr>
        <sz val="11"/>
        <color theme="1"/>
        <rFont val="Noto Sans CJK SC"/>
        <family val="2"/>
      </rPr>
      <t xml:space="preserve">』）→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底 </t>
    </r>
    <r>
      <rPr>
        <sz val="11"/>
        <color theme="1"/>
        <rFont val="Calibri"/>
        <family val="2"/>
        <charset val="1"/>
      </rPr>
      <t xml:space="preserve">1.5 GW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合約金額 </t>
    </r>
    <r>
      <rPr>
        <sz val="11"/>
        <color theme="1"/>
        <rFont val="Calibri"/>
        <family val="2"/>
        <charset val="1"/>
      </rPr>
      <t xml:space="preserve">224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9a</t>
    </r>
    <r>
      <rPr>
        <sz val="11"/>
        <color theme="1"/>
        <rFont val="Noto Sans CJK SC"/>
        <family val="2"/>
      </rPr>
      <t xml:space="preserve">）只占 </t>
    </r>
    <r>
      <rPr>
        <sz val="11"/>
        <color theme="1"/>
        <rFont val="Calibri"/>
        <family val="2"/>
        <charset val="1"/>
      </rPr>
      <t xml:space="preserve">backlog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1/5</t>
    </r>
    <r>
      <rPr>
        <sz val="11"/>
        <color theme="1"/>
        <rFont val="Noto Sans CJK SC"/>
        <family val="2"/>
      </rPr>
      <t xml:space="preserve">，無法拆 </t>
    </r>
    <r>
      <rPr>
        <sz val="11"/>
        <color theme="1"/>
        <rFont val="Calibri"/>
        <family val="2"/>
        <charset val="1"/>
      </rPr>
      <t xml:space="preserve">GW</t>
    </r>
  </si>
  <si>
    <t xml:space="preserve">G11</t>
  </si>
  <si>
    <r>
      <rPr>
        <sz val="11"/>
        <color theme="1"/>
        <rFont val="Calibri"/>
        <family val="2"/>
        <charset val="1"/>
      </rPr>
      <t xml:space="preserve">Microsoft FY26 Q4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</si>
  <si>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法說摘要 </t>
    </r>
    <r>
      <rPr>
        <sz val="11"/>
        <color theme="1"/>
        <rFont val="Calibri"/>
        <family val="2"/>
        <charset val="1"/>
      </rPr>
      <t xml:space="preserve">2026-07-29</t>
    </r>
  </si>
  <si>
    <t xml:space="preserve">2026-07-29</t>
  </si>
  <si>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Microsoft added another gigawatt of capacity during the quarter</t>
    </r>
    <r>
      <rPr>
        <sz val="11"/>
        <color theme="1"/>
        <rFont val="Noto Sans CJK SC"/>
        <family val="2"/>
      </rPr>
      <t xml:space="preserve">』；『</t>
    </r>
    <r>
      <rPr>
        <sz val="11"/>
        <color theme="1"/>
        <rFont val="Calibri"/>
        <family val="2"/>
        <charset val="1"/>
      </rPr>
      <t xml:space="preserve">on track to roughly double its overall capacity in two years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"continued to exceed available capacity"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Hood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</si>
  <si>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／季（全公司）</t>
    </r>
  </si>
  <si>
    <r>
      <rPr>
        <sz val="11"/>
        <color theme="1"/>
        <rFont val="Noto Sans CJK SC"/>
        <family val="2"/>
      </rPr>
      <t xml:space="preserve">全公司；與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無關的整體</t>
    </r>
  </si>
  <si>
    <r>
      <rPr>
        <sz val="11"/>
        <color theme="1"/>
        <rFont val="Noto Sans CJK SC"/>
        <family val="2"/>
      </rPr>
      <t xml:space="preserve">報導（二手摘述公司法說）；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占比：不可分離</t>
    </r>
  </si>
  <si>
    <r>
      <rPr>
        <sz val="11"/>
        <color theme="1"/>
        <rFont val="Noto Sans CJK SC"/>
        <family val="2"/>
      </rPr>
      <t xml:space="preserve">顯示雲端端容量仍緊，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無法拆出</t>
    </r>
  </si>
  <si>
    <t xml:space="preserve">G12</t>
  </si>
  <si>
    <r>
      <rPr>
        <sz val="11"/>
        <color theme="1"/>
        <rFont val="Calibri"/>
        <family val="2"/>
        <charset val="1"/>
      </rPr>
      <t xml:space="preserve">Friar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年算力仍不足</t>
    </r>
  </si>
  <si>
    <r>
      <rPr>
        <sz val="11"/>
        <color theme="1"/>
        <rFont val="Calibri"/>
        <family val="2"/>
        <charset val="1"/>
      </rPr>
      <t xml:space="preserve">All-In podcast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BigGo 2026-06-02 </t>
    </r>
    <r>
      <rPr>
        <sz val="11"/>
        <color theme="1"/>
        <rFont val="Noto Sans CJK SC"/>
        <family val="2"/>
      </rPr>
      <t xml:space="preserve">轉述；播出日未明</t>
    </r>
  </si>
  <si>
    <r>
      <rPr>
        <sz val="11"/>
        <color theme="1"/>
        <rFont val="Calibri"/>
        <family val="2"/>
        <charset val="1"/>
      </rPr>
      <t xml:space="preserve">2026-06-02</t>
    </r>
    <r>
      <rPr>
        <sz val="11"/>
        <color theme="1"/>
        <rFont val="Noto Sans CJK SC"/>
        <family val="2"/>
      </rPr>
      <t xml:space="preserve">（報導日）</t>
    </r>
  </si>
  <si>
    <r>
      <rPr>
        <sz val="11"/>
        <color theme="1"/>
        <rFont val="Calibri"/>
        <family val="2"/>
        <charset val="1"/>
      </rPr>
      <t xml:space="preserve">"In 26 we still won't have enough compute," she said.</t>
    </r>
    <r>
      <rPr>
        <sz val="11"/>
        <color theme="1"/>
        <rFont val="Noto Sans CJK SC"/>
        <family val="2"/>
      </rPr>
      <t xml:space="preserve">（另：每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億美元、約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年建成；</t>
    </r>
    <r>
      <rPr>
        <sz val="11"/>
        <color theme="1"/>
        <rFont val="Calibri"/>
        <family val="2"/>
        <charset val="1"/>
      </rPr>
      <t xml:space="preserve">Michigan </t>
    </r>
    <r>
      <rPr>
        <sz val="11"/>
        <color theme="1"/>
        <rFont val="Noto Sans CJK SC"/>
        <family val="2"/>
      </rPr>
      <t xml:space="preserve">站緩解不早於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末／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初）</t>
    </r>
  </si>
  <si>
    <t xml:space="preserve">定性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</si>
  <si>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 CFO</t>
    </r>
  </si>
  <si>
    <r>
      <rPr>
        <sz val="11"/>
        <color theme="1"/>
        <rFont val="Noto Sans CJK SC"/>
        <family val="2"/>
      </rPr>
      <t xml:space="preserve">方向：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全年供不應求，不是上線過剩</t>
    </r>
  </si>
  <si>
    <t xml:space="preserve">G13</t>
  </si>
  <si>
    <r>
      <rPr>
        <sz val="11"/>
        <color theme="1"/>
        <rFont val="Calibri"/>
        <family val="2"/>
        <charset val="1"/>
      </rPr>
      <t xml:space="preserve">Brockman </t>
    </r>
    <r>
      <rPr>
        <sz val="11"/>
        <color theme="1"/>
        <rFont val="Noto Sans CJK SC"/>
        <family val="2"/>
      </rPr>
      <t xml:space="preserve">法庭證詞：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年算力支出</t>
    </r>
  </si>
  <si>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Let's Data Science 2026-05-05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訴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審理）</t>
    </r>
  </si>
  <si>
    <t xml:space="preserve">2026-05-05</t>
  </si>
  <si>
    <r>
      <rPr>
        <sz val="11"/>
        <color theme="1"/>
        <rFont val="Calibri"/>
        <family val="2"/>
        <charset val="1"/>
      </rPr>
      <t xml:space="preserve">Brockman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計畫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年花 </t>
    </r>
    <r>
      <rPr>
        <sz val="11"/>
        <color theme="1"/>
        <rFont val="Calibri"/>
        <family val="2"/>
        <charset val="1"/>
      </rPr>
      <t xml:space="preserve">$50 billion </t>
    </r>
    <r>
      <rPr>
        <sz val="11"/>
        <color theme="1"/>
        <rFont val="Noto Sans CJK SC"/>
        <family val="2"/>
      </rPr>
      <t xml:space="preserve">於算力（</t>
    </r>
    <r>
      <rPr>
        <sz val="11"/>
        <color theme="1"/>
        <rFont val="Calibri"/>
        <family val="2"/>
        <charset val="1"/>
      </rPr>
      <t xml:space="preserve">"tens of billions"</t>
    </r>
    <r>
      <rPr>
        <sz val="11"/>
        <color theme="1"/>
        <rFont val="Noto Sans CJK SC"/>
        <family val="2"/>
      </rPr>
      <t xml:space="preserve">）</t>
    </r>
  </si>
  <si>
    <t xml:space="preserve">十億美元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</si>
  <si>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全年計畫支出；含哪些算力：未明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</si>
  <si>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（證詞）</t>
    </r>
  </si>
  <si>
    <r>
      <rPr>
        <sz val="11"/>
        <color theme="1"/>
        <rFont val="Noto Sans CJK SC"/>
        <family val="2"/>
      </rPr>
      <t xml:space="preserve">交叉檢查：支出倍數 </t>
    </r>
    <r>
      <rPr>
        <sz val="11"/>
        <color theme="1"/>
        <rFont val="Calibri"/>
        <family val="2"/>
        <charset val="1"/>
      </rPr>
      <t xml:space="preserve">50÷20.4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2.45 </t>
    </r>
    <r>
      <rPr>
        <sz val="11"/>
        <color theme="1"/>
        <rFont val="Noto Sans CJK SC"/>
        <family val="2"/>
      </rPr>
      <t xml:space="preserve">倍（見『換算』）</t>
    </r>
  </si>
  <si>
    <t xml:space="preserve">G15</t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</si>
  <si>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首批</t>
    </r>
  </si>
  <si>
    <r>
      <rPr>
        <sz val="11"/>
        <color theme="1"/>
        <rFont val="Calibri"/>
        <family val="2"/>
        <charset val="1"/>
      </rPr>
      <t xml:space="preserve">DCD 2025-10-06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AMD 2026 Q2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platformaeronaut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</si>
  <si>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Q2 </t>
    </r>
    <r>
      <rPr>
        <sz val="11"/>
        <color theme="1"/>
        <rFont val="Noto Sans CJK SC"/>
        <family val="2"/>
      </rPr>
      <t xml:space="preserve">法說（約 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</si>
  <si>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"We've said Q3 is the very beginning of the ramp. Q4 is a step up and then Q1 will be a further step up."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"Helios is now in production with initial shipments on track to begin later this quarter."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</t>
    </r>
    <r>
      <rPr>
        <sz val="11"/>
        <color theme="1"/>
        <rFont val="Noto Sans CJK SC"/>
        <family val="2"/>
      </rPr>
      <t xml:space="preserve">；未點名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的時程）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</si>
  <si>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（首批目標，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下半年起）</t>
    </r>
  </si>
  <si>
    <r>
      <rPr>
        <sz val="11"/>
        <color theme="1"/>
        <rFont val="Noto Sans CJK SC"/>
        <family val="2"/>
      </rPr>
      <t xml:space="preserve">目標；</t>
    </r>
    <r>
      <rPr>
        <sz val="11"/>
        <color theme="1"/>
        <rFont val="Calibri"/>
        <family val="2"/>
        <charset val="1"/>
      </rPr>
      <t xml:space="preserve">ramp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起、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加速、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再加速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</si>
  <si>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</t>
    </r>
  </si>
  <si>
    <r>
      <rPr>
        <sz val="11"/>
        <color theme="1"/>
        <rFont val="Noto Sans CJK SC"/>
        <family val="2"/>
      </rPr>
      <t xml:space="preserve">佐證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年新增集中在下半年（後重）</t>
    </r>
  </si>
  <si>
    <t xml:space="preserve">G16</t>
  </si>
  <si>
    <r>
      <rPr>
        <sz val="11"/>
        <color theme="1"/>
        <rFont val="Calibri"/>
        <family val="2"/>
        <charset val="1"/>
      </rPr>
      <t xml:space="preserve">Nvidia–OpenAI</t>
    </r>
    <r>
      <rPr>
        <sz val="11"/>
        <color theme="1"/>
        <rFont val="Noto Sans CJK SC"/>
        <family val="2"/>
      </rPr>
      <t xml:space="preserve">：首個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Vera Rubin</t>
    </r>
    <r>
      <rPr>
        <sz val="11"/>
        <color theme="1"/>
        <rFont val="Noto Sans CJK SC"/>
        <family val="2"/>
      </rPr>
      <t xml:space="preserve">）目標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</t>
    </r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</si>
  <si>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公告 </t>
    </r>
    <r>
      <rPr>
        <sz val="11"/>
        <color theme="1"/>
        <rFont val="Calibri"/>
        <family val="2"/>
        <charset val="1"/>
      </rPr>
      <t xml:space="preserve">2025-09-24</t>
    </r>
  </si>
  <si>
    <t xml:space="preserve">2025-09-24</t>
  </si>
  <si>
    <t xml:space="preserve">"The first phase is targeted to come online in the second half of 2026 using NVIDIA's Vera Rubin platform."</t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</si>
  <si>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（目標）</t>
    </r>
  </si>
  <si>
    <t xml:space="preserve">意向書；目標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</si>
  <si>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</si>
  <si>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Noto Sans CJK SC"/>
        <family val="2"/>
      </rPr>
      <t xml:space="preserve">同上：下半年起；本段未找到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年實際交付量</t>
    </r>
  </si>
  <si>
    <t xml:space="preserve">G17</t>
  </si>
  <si>
    <r>
      <rPr>
        <sz val="11"/>
        <color theme="1"/>
        <rFont val="Calibri"/>
        <family val="2"/>
        <charset val="1"/>
      </rPr>
      <t xml:space="preserve">Cerebras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 750MW</t>
    </r>
  </si>
  <si>
    <r>
      <rPr>
        <sz val="11"/>
        <color theme="1"/>
        <rFont val="Calibri"/>
        <family val="2"/>
        <charset val="1"/>
      </rPr>
      <t xml:space="preserve">Cerebras Q1 2026 </t>
    </r>
    <r>
      <rPr>
        <sz val="11"/>
        <color theme="1"/>
        <rFont val="Noto Sans CJK SC"/>
        <family val="2"/>
      </rPr>
      <t xml:space="preserve">法說，經 </t>
    </r>
    <r>
      <rPr>
        <sz val="11"/>
        <color theme="1"/>
        <rFont val="Calibri"/>
        <family val="2"/>
        <charset val="1"/>
      </rPr>
      <t xml:space="preserve">Converge Digest 2026-06-23</t>
    </r>
  </si>
  <si>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（報導日）</t>
    </r>
  </si>
  <si>
    <t xml:space="preserve">OpenAI-related cloud revenue is "back-end loaded in 2026 as new data center capacity comes online"</t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</si>
  <si>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（計畫，數年）</t>
    </r>
  </si>
  <si>
    <t xml:space="preserve">計畫；非上線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</si>
  <si>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Cerebras</t>
    </r>
  </si>
  <si>
    <t xml:space="preserve">小量且後重</t>
  </si>
  <si>
    <t xml:space="preserve">G18</t>
  </si>
  <si>
    <r>
      <rPr>
        <sz val="11"/>
        <color theme="1"/>
        <rFont val="Calibri"/>
        <family val="2"/>
        <charset val="1"/>
      </rPr>
      <t xml:space="preserve">Jensen Huang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GPT-6 Astra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~100K+ GB NVL72 </t>
    </r>
    <r>
      <rPr>
        <sz val="11"/>
        <color theme="1"/>
        <rFont val="Noto Sans CJK SC"/>
        <family val="2"/>
      </rPr>
      <t xml:space="preserve">機櫃（報導解讀為約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）訓練，另有計畫上線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</si>
  <si>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PC Gamer 2026-09-07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Huang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貼文與 </t>
    </r>
    <r>
      <rPr>
        <sz val="11"/>
        <color theme="1"/>
        <rFont val="Calibri"/>
        <family val="2"/>
        <charset val="1"/>
      </rPr>
      <t xml:space="preserve">Brockman </t>
    </r>
    <r>
      <rPr>
        <sz val="11"/>
        <color theme="1"/>
        <rFont val="Noto Sans CJK SC"/>
        <family val="2"/>
      </rPr>
      <t xml:space="preserve">訪談</t>
    </r>
  </si>
  <si>
    <t xml:space="preserve">2026-09-07</t>
  </si>
  <si>
    <r>
      <rPr>
        <sz val="11"/>
        <color theme="1"/>
        <rFont val="Noto Sans CJK SC"/>
        <family val="2"/>
      </rPr>
      <t xml:space="preserve">報導：計畫 </t>
    </r>
    <r>
      <rPr>
        <sz val="11"/>
        <color theme="1"/>
        <rFont val="Calibri"/>
        <family val="2"/>
        <charset val="1"/>
      </rPr>
      <t xml:space="preserve">400,000 GPUs online</t>
    </r>
    <r>
      <rPr>
        <sz val="11"/>
        <color theme="1"/>
        <rFont val="Noto Sans CJK SC"/>
        <family val="2"/>
      </rPr>
      <t xml:space="preserve">，無日期；單位混用（機櫃 </t>
    </r>
    <r>
      <rPr>
        <sz val="11"/>
        <color theme="1"/>
        <rFont val="Calibri"/>
        <family val="2"/>
        <charset val="1"/>
      </rPr>
      <t xml:space="preserve">vs GPU</t>
    </r>
    <r>
      <rPr>
        <sz val="11"/>
        <color theme="1"/>
        <rFont val="Noto Sans CJK SC"/>
        <family val="2"/>
      </rPr>
      <t xml:space="preserve">）</t>
    </r>
  </si>
  <si>
    <t xml:space="preserve">計畫；時點未明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</si>
  <si>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</si>
  <si>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Noto Sans CJK SC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級：</t>
    </r>
    <r>
      <rPr>
        <sz val="11"/>
        <color theme="1"/>
        <rFont val="Calibri"/>
        <family val="2"/>
        <charset val="1"/>
      </rPr>
      <t xml:space="preserve">400k÷501,768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0.8 GW</t>
    </r>
    <r>
      <rPr>
        <sz val="11"/>
        <color theme="1"/>
        <rFont val="Noto Sans CJK SC"/>
        <family val="2"/>
      </rPr>
      <t xml:space="preserve">（見『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換算』）；無時程不入區間</t>
    </r>
  </si>
  <si>
    <t xml:space="preserve">G19</t>
  </si>
  <si>
    <r>
      <rPr>
        <sz val="11"/>
        <color theme="1"/>
        <rFont val="Calibri"/>
        <family val="2"/>
        <charset val="1"/>
      </rPr>
      <t xml:space="preserve">Oracle Project Jupiter</t>
    </r>
    <r>
      <rPr>
        <sz val="11"/>
        <color theme="1"/>
        <rFont val="Noto Sans CJK SC"/>
        <family val="2"/>
      </rPr>
      <t xml:space="preserve">（新墨西哥，</t>
    </r>
    <r>
      <rPr>
        <sz val="11"/>
        <color theme="1"/>
        <rFont val="Calibri"/>
        <family val="2"/>
        <charset val="1"/>
      </rPr>
      <t xml:space="preserve">2.45GW</t>
    </r>
    <r>
      <rPr>
        <sz val="11"/>
        <color theme="1"/>
        <rFont val="Noto Sans CJK SC"/>
        <family val="2"/>
      </rPr>
      <t xml:space="preserve">）不可抗力通知</t>
    </r>
  </si>
  <si>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BNN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Insurance Journal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Pebblous 2026-09-24/25</t>
    </r>
  </si>
  <si>
    <t xml:space="preserve">2026-09-24</t>
  </si>
  <si>
    <r>
      <rPr>
        <sz val="11"/>
        <color theme="1"/>
        <rFont val="Noto Sans CJK SC"/>
        <family val="2"/>
      </rPr>
      <t xml:space="preserve">目標上線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；管線延後約半年至 </t>
    </r>
    <r>
      <rPr>
        <sz val="11"/>
        <color theme="1"/>
        <rFont val="Calibri"/>
        <family val="2"/>
        <charset val="1"/>
      </rPr>
      <t xml:space="preserve">2027-02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發不可抗力通知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</si>
  <si>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（站）</t>
    </r>
  </si>
  <si>
    <r>
      <rPr>
        <sz val="11"/>
        <color theme="1"/>
        <rFont val="Noto Sans CJK SC"/>
        <family val="2"/>
      </rPr>
      <t xml:space="preserve">計畫；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</si>
  <si>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（報導）</t>
    </r>
  </si>
  <si>
    <r>
      <rPr>
        <sz val="11"/>
        <color theme="1"/>
        <rFont val="Noto Sans CJK SC"/>
        <family val="2"/>
      </rPr>
      <t xml:space="preserve">新站延遲風險：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內不貢獻上線量</t>
    </r>
  </si>
  <si>
    <t xml:space="preserve">T01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</si>
  <si>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吞吐量：每分鐘 </t>
    </r>
    <r>
      <rPr>
        <sz val="11"/>
        <color theme="1"/>
        <rFont val="Calibri"/>
        <family val="2"/>
        <charset val="1"/>
      </rPr>
      <t xml:space="preserve">6B token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</si>
  <si>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Let's Money 2025-10-20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2026-09-12 </t>
    </r>
    <r>
      <rPr>
        <sz val="11"/>
        <color theme="1"/>
        <rFont val="Noto Sans CJK SC"/>
        <family val="2"/>
      </rPr>
      <t xml:space="preserve">更新）；</t>
    </r>
    <r>
      <rPr>
        <sz val="11"/>
        <color theme="1"/>
        <rFont val="Calibri"/>
        <family val="2"/>
        <charset val="1"/>
      </rPr>
      <t xml:space="preserve">Exponential View 2026-04-06 </t>
    </r>
    <r>
      <rPr>
        <sz val="11"/>
        <color theme="1"/>
        <rFont val="Noto Sans CJK SC"/>
        <family val="2"/>
      </rPr>
      <t xml:space="preserve">貼文</t>
    </r>
  </si>
  <si>
    <t xml:space="preserve">2025-10</t>
  </si>
  <si>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cerca de 6 bilhões de tokens por minuto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：『</t>
    </r>
    <r>
      <rPr>
        <sz val="11"/>
        <color theme="1"/>
        <rFont val="Calibri"/>
        <family val="2"/>
        <charset val="1"/>
      </rPr>
      <t xml:space="preserve">about 6 billion tokens per minute in October 2025</t>
    </r>
    <r>
      <rPr>
        <sz val="11"/>
        <color theme="1"/>
        <rFont val="Noto Sans CJK SC"/>
        <family val="2"/>
      </rPr>
      <t xml:space="preserve">』</t>
    </r>
  </si>
  <si>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／分鐘</t>
    </r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</si>
  <si>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；當期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</si>
  <si>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DevDay 2025 </t>
    </r>
    <r>
      <rPr>
        <sz val="11"/>
        <color theme="1"/>
        <rFont val="Noto Sans CJK SC"/>
        <family val="2"/>
      </rPr>
      <t xml:space="preserve">公告）</t>
    </r>
  </si>
  <si>
    <t xml:space="preserve">基準</t>
  </si>
  <si>
    <t xml:space="preserve">T02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</si>
  <si>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吞吐量：每分鐘 </t>
    </r>
    <r>
      <rPr>
        <sz val="11"/>
        <color theme="1"/>
        <rFont val="Calibri"/>
        <family val="2"/>
        <charset val="1"/>
      </rPr>
      <t xml:space="preserve">&gt;15B token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</si>
  <si>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Exponential View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：『</t>
    </r>
    <r>
      <rPr>
        <sz val="11"/>
        <color theme="1"/>
        <rFont val="Calibri"/>
        <family val="2"/>
        <charset val="1"/>
      </rPr>
      <t xml:space="preserve">15 billion tokens per minute, a 2.5x increase in five months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Creeta 2026-06-22</t>
    </r>
    <r>
      <rPr>
        <sz val="11"/>
        <color theme="1"/>
        <rFont val="Noto Sans CJK SC"/>
        <family val="2"/>
      </rPr>
      <t xml:space="preserve">：『</t>
    </r>
    <r>
      <rPr>
        <sz val="11"/>
        <color theme="1"/>
        <rFont val="Calibri"/>
        <family val="2"/>
        <charset val="1"/>
      </rPr>
      <t xml:space="preserve">&gt;15B tokens per minute, quarter-end Q1 2026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Mobile World Live 2026-06-03</t>
    </r>
    <r>
      <rPr>
        <sz val="11"/>
        <color theme="1"/>
        <rFont val="Noto Sans CJK SC"/>
        <family val="2"/>
      </rPr>
      <t xml:space="preserve">：『</t>
    </r>
    <r>
      <rPr>
        <sz val="11"/>
        <color theme="1"/>
        <rFont val="Calibri"/>
        <family val="2"/>
        <charset val="1"/>
      </rPr>
      <t xml:space="preserve">OpenAI disclosed … the API token figure in April</t>
    </r>
    <r>
      <rPr>
        <sz val="11"/>
        <color theme="1"/>
        <rFont val="Noto Sans CJK SC"/>
        <family val="2"/>
      </rPr>
      <t xml:space="preserve">』</t>
    </r>
  </si>
  <si>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末時點）</t>
    </r>
  </si>
  <si>
    <t xml:space="preserve">"API usage exceeds 15 billion tokens per minute"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</si>
  <si>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；當期；</t>
    </r>
    <r>
      <rPr>
        <sz val="11"/>
        <color theme="1"/>
        <rFont val="Calibri"/>
        <family val="2"/>
        <charset val="1"/>
      </rPr>
      <t xml:space="preserve">2026 Q1 </t>
    </r>
    <r>
      <rPr>
        <sz val="11"/>
        <color theme="1"/>
        <rFont val="Noto Sans CJK SC"/>
        <family val="2"/>
      </rPr>
      <t xml:space="preserve">末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</si>
  <si>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揭露</t>
    </r>
  </si>
  <si>
    <r>
      <rPr>
        <sz val="11"/>
        <color theme="1"/>
        <rFont val="Noto Sans CJK SC"/>
        <family val="2"/>
      </rPr>
      <t xml:space="preserve">與現用 </t>
    </r>
    <r>
      <rPr>
        <sz val="11"/>
        <color theme="1"/>
        <rFont val="Calibri"/>
        <family val="2"/>
        <charset val="1"/>
      </rPr>
      <t xml:space="preserve">SRC_DEM_011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億／分，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）為同一個數字，沒有更新</t>
    </r>
  </si>
  <si>
    <t xml:space="preserve">T03</t>
  </si>
  <si>
    <r>
      <rPr>
        <sz val="11"/>
        <color theme="1"/>
        <rFont val="Calibri"/>
        <family val="2"/>
        <charset val="1"/>
      </rPr>
      <t xml:space="preserve">Altman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內部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用量最高的人月用約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token</t>
    </r>
  </si>
  <si>
    <r>
      <rPr>
        <sz val="11"/>
        <color theme="1"/>
        <rFont val="Calibri"/>
        <family val="2"/>
        <charset val="1"/>
      </rPr>
      <t xml:space="preserve">Axios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Let's Data Science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TechNews 2026-06-04</t>
    </r>
  </si>
  <si>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（活動日未明）</t>
    </r>
  </si>
  <si>
    <r>
      <rPr>
        <sz val="11"/>
        <color theme="1"/>
        <rFont val="Calibri"/>
        <family val="2"/>
        <charset val="1"/>
      </rPr>
      <t xml:space="preserve">"The token leader at OpenAI uses about 100 billion tokens a month."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Altman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</si>
  <si>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／月（單一使用者）</t>
    </r>
  </si>
  <si>
    <t xml:space="preserve">單一最高用戶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</si>
  <si>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Altman</t>
    </r>
  </si>
  <si>
    <r>
      <rPr>
        <sz val="11"/>
        <color theme="1"/>
        <rFont val="Noto Sans CJK SC"/>
        <family val="2"/>
      </rPr>
      <t xml:space="preserve">非總量，不可當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總量更新</t>
    </r>
  </si>
  <si>
    <t xml:space="preserve">T04</t>
  </si>
  <si>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內部輸出 </t>
    </r>
    <r>
      <rPr>
        <sz val="11"/>
        <color theme="1"/>
        <rFont val="Calibri"/>
        <family val="2"/>
        <charset val="1"/>
      </rPr>
      <t xml:space="preserve">token 99.8%</t>
    </r>
  </si>
  <si>
    <r>
      <rPr>
        <sz val="11"/>
        <color theme="1"/>
        <rFont val="Calibri"/>
        <family val="2"/>
        <charset val="1"/>
      </rPr>
      <t xml:space="preserve">Axios 2026-06-25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Bloomberg 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Crypto Briefing</t>
    </r>
  </si>
  <si>
    <t xml:space="preserve">2026-06-25</t>
  </si>
  <si>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Codex generates 99.8% of its internal output tokens</t>
    </r>
    <r>
      <rPr>
        <sz val="11"/>
        <color theme="1"/>
        <rFont val="Noto Sans CJK SC"/>
        <family val="2"/>
      </rPr>
      <t xml:space="preserve">』（內部使用，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論文）</t>
    </r>
  </si>
  <si>
    <r>
      <rPr>
        <sz val="11"/>
        <color theme="1"/>
        <rFont val="Noto Sans CJK SC"/>
        <family val="2"/>
      </rPr>
      <t xml:space="preserve">內部使用，非對外 </t>
    </r>
    <r>
      <rPr>
        <sz val="11"/>
        <color theme="1"/>
        <rFont val="Calibri"/>
        <family val="2"/>
        <charset val="1"/>
      </rPr>
      <t xml:space="preserve">API</t>
    </r>
  </si>
  <si>
    <t xml:space="preserve">Interested-party</t>
  </si>
  <si>
    <r>
      <rPr>
        <sz val="11"/>
        <color theme="1"/>
        <rFont val="Noto Sans CJK SC"/>
        <family val="2"/>
      </rPr>
      <t xml:space="preserve">與外部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總量無法分離</t>
    </r>
  </si>
  <si>
    <t xml:space="preserve">T05</t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</si>
  <si>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每日訊息數</t>
    </r>
  </si>
  <si>
    <r>
      <rPr>
        <sz val="11"/>
        <color theme="1"/>
        <rFont val="Calibri"/>
        <family val="2"/>
        <charset val="1"/>
      </rPr>
      <t xml:space="preserve">OpenAI 2025-07 </t>
    </r>
    <r>
      <rPr>
        <sz val="11"/>
        <color theme="1"/>
        <rFont val="Noto Sans CJK SC"/>
        <family val="2"/>
      </rPr>
      <t xml:space="preserve">公告（經多家轉述）；</t>
    </r>
    <r>
      <rPr>
        <sz val="11"/>
        <color theme="1"/>
        <rFont val="Calibri"/>
        <family val="2"/>
        <charset val="1"/>
      </rPr>
      <t xml:space="preserve">superlines.io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2.5B</t>
    </r>
    <r>
      <rPr>
        <sz val="11"/>
        <color theme="1"/>
        <rFont val="Noto Sans CJK SC"/>
        <family val="2"/>
      </rPr>
      <t xml:space="preserve">／日仍為最新揭露</t>
    </r>
  </si>
  <si>
    <t xml:space="preserve">2025-07</t>
  </si>
  <si>
    <r>
      <rPr>
        <sz val="11"/>
        <color theme="1"/>
        <rFont val="Calibri"/>
        <family val="2"/>
        <charset val="1"/>
      </rPr>
      <t xml:space="preserve">2.5+ billion messages per day</t>
    </r>
    <r>
      <rPr>
        <sz val="11"/>
        <color theme="1"/>
        <rFont val="Noto Sans CJK SC"/>
        <family val="2"/>
      </rPr>
      <t xml:space="preserve">（美國 </t>
    </r>
    <r>
      <rPr>
        <sz val="11"/>
        <color theme="1"/>
        <rFont val="Calibri"/>
        <family val="2"/>
        <charset val="1"/>
      </rPr>
      <t xml:space="preserve">330M+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新值：已搜尋，未找到；現用 </t>
    </r>
    <r>
      <rPr>
        <sz val="11"/>
        <color theme="1"/>
        <rFont val="Calibri"/>
        <family val="2"/>
        <charset val="1"/>
      </rPr>
      <t xml:space="preserve">3.6B</t>
    </r>
    <r>
      <rPr>
        <sz val="11"/>
        <color theme="1"/>
        <rFont val="Noto Sans CJK SC"/>
        <family val="2"/>
      </rPr>
      <t xml:space="preserve">／日：未找到出處</t>
    </r>
  </si>
  <si>
    <t xml:space="preserve">則／日</t>
  </si>
  <si>
    <r>
      <rPr>
        <sz val="11"/>
        <color theme="1"/>
        <rFont val="Noto Sans CJK SC"/>
        <family val="2"/>
      </rPr>
      <t xml:space="preserve">全球；當期；</t>
    </r>
    <r>
      <rPr>
        <sz val="11"/>
        <color theme="1"/>
        <rFont val="Calibri"/>
        <family val="2"/>
        <charset val="1"/>
      </rPr>
      <t xml:space="preserve">2025-07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</si>
  <si>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</si>
  <si>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3.6B </t>
    </r>
    <r>
      <rPr>
        <sz val="11"/>
        <color theme="1"/>
        <rFont val="Noto Sans CJK SC"/>
        <family val="2"/>
      </rPr>
      <t xml:space="preserve">未能核實；最新可核實官方值仍是 </t>
    </r>
    <r>
      <rPr>
        <sz val="11"/>
        <color theme="1"/>
        <rFont val="Calibri"/>
        <family val="2"/>
        <charset val="1"/>
      </rPr>
      <t xml:space="preserve">2025-07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2.5B</t>
    </r>
  </si>
  <si>
    <t xml:space="preserve">U01</t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</si>
  <si>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每週活躍用戶</t>
    </r>
  </si>
  <si>
    <r>
      <rPr>
        <sz val="11"/>
        <color theme="1"/>
        <rFont val="Calibri"/>
        <family val="2"/>
        <charset val="1"/>
      </rPr>
      <t xml:space="preserve">TechCrunch 2026-02-27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900M WAU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萬付費）；</t>
    </r>
    <r>
      <rPr>
        <sz val="11"/>
        <color theme="1"/>
        <rFont val="Calibri"/>
        <family val="2"/>
        <charset val="1"/>
      </rPr>
      <t xml:space="preserve">Crypto Briefing 2026-09-29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2026-09-08 </t>
    </r>
    <r>
      <rPr>
        <sz val="11"/>
        <color theme="1"/>
        <rFont val="Noto Sans CJK SC"/>
        <family val="2"/>
      </rPr>
      <t xml:space="preserve">確認 </t>
    </r>
    <r>
      <rPr>
        <sz val="11"/>
        <color theme="1"/>
        <rFont val="Calibri"/>
        <family val="2"/>
        <charset val="1"/>
      </rPr>
      <t xml:space="preserve">&gt;1B WAU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月中快照）；</t>
    </r>
    <r>
      <rPr>
        <sz val="11"/>
        <color theme="1"/>
        <rFont val="Calibri"/>
        <family val="2"/>
        <charset val="1"/>
      </rPr>
      <t xml:space="preserve">Bloomberg Law 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&gt;1B </t>
    </r>
    <r>
      <rPr>
        <sz val="11"/>
        <color theme="1"/>
        <rFont val="Noto Sans CJK SC"/>
        <family val="2"/>
      </rPr>
      <t xml:space="preserve">活躍用戶、</t>
    </r>
    <r>
      <rPr>
        <sz val="11"/>
        <color theme="1"/>
        <rFont val="Calibri"/>
        <family val="2"/>
        <charset val="1"/>
      </rPr>
      <t xml:space="preserve">&gt;200 </t>
    </r>
    <r>
      <rPr>
        <sz val="11"/>
        <color theme="1"/>
        <rFont val="Noto Sans CJK SC"/>
        <family val="2"/>
      </rPr>
      <t xml:space="preserve">萬企業）</t>
    </r>
  </si>
  <si>
    <r>
      <rPr>
        <sz val="11"/>
        <color theme="1"/>
        <rFont val="Calibri"/>
        <family val="2"/>
        <charset val="1"/>
      </rPr>
      <t xml:space="preserve">2026-02-27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2026-09-08</t>
    </r>
  </si>
  <si>
    <r>
      <rPr>
        <sz val="11"/>
        <color theme="1"/>
        <rFont val="Calibri"/>
        <family val="2"/>
        <charset val="1"/>
      </rPr>
      <t xml:space="preserve">900 million WAU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"officially crossed 1 billion weekly active users"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Crypto Briefing </t>
    </r>
    <r>
      <rPr>
        <sz val="11"/>
        <color theme="1"/>
        <rFont val="Noto Sans CJK SC"/>
        <family val="2"/>
      </rPr>
      <t xml:space="preserve">摘述）</t>
    </r>
  </si>
  <si>
    <t xml:space="preserve">人／週</t>
  </si>
  <si>
    <t xml:space="preserve">全球；當期</t>
  </si>
  <si>
    <r>
      <rPr>
        <sz val="11"/>
        <color theme="1"/>
        <rFont val="Noto Sans CJK SC"/>
        <family val="2"/>
      </rPr>
      <t xml:space="preserve">需求端佐證：</t>
    </r>
    <r>
      <rPr>
        <sz val="11"/>
        <color theme="1"/>
        <rFont val="Calibri"/>
        <family val="2"/>
        <charset val="1"/>
      </rPr>
      <t xml:space="preserve">Q1→Q3 </t>
    </r>
    <r>
      <rPr>
        <sz val="11"/>
        <color theme="1"/>
        <rFont val="Noto Sans CJK SC"/>
        <family val="2"/>
      </rPr>
      <t xml:space="preserve">用戶 </t>
    </r>
    <r>
      <rPr>
        <sz val="11"/>
        <color theme="1"/>
        <rFont val="Calibri"/>
        <family val="2"/>
        <charset val="1"/>
      </rPr>
      <t xml:space="preserve">+10% </t>
    </r>
    <r>
      <rPr>
        <sz val="11"/>
        <color theme="1"/>
        <rFont val="Noto Sans CJK SC"/>
        <family val="2"/>
      </rPr>
      <t xml:space="preserve">以上。</t>
    </r>
    <r>
      <rPr>
        <sz val="11"/>
        <color theme="1"/>
        <rFont val="Calibri"/>
        <family val="2"/>
        <charset val="1"/>
      </rPr>
      <t xml:space="preserve">superlines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DevDay 1.2B</t>
    </r>
    <r>
      <rPr>
        <sz val="11"/>
        <color theme="1"/>
        <rFont val="Noto Sans CJK SC"/>
        <family val="2"/>
      </rPr>
      <t xml:space="preserve">，只見單一二手，未採用</t>
    </r>
  </si>
  <si>
    <t xml:space="preserve">R01</t>
  </si>
  <si>
    <r>
      <rPr>
        <sz val="11"/>
        <color theme="1"/>
        <rFont val="Calibri"/>
        <family val="2"/>
        <charset val="1"/>
      </rPr>
      <t xml:space="preserve">OpenAI 2026 Q2 </t>
    </r>
    <r>
      <rPr>
        <sz val="11"/>
        <color theme="1"/>
        <rFont val="Noto Sans CJK SC"/>
        <family val="2"/>
      </rPr>
      <t xml:space="preserve">營收（報導）</t>
    </r>
  </si>
  <si>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Crypto Briefing 2026-08-18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FutureSearch</t>
    </r>
  </si>
  <si>
    <t xml:space="preserve">2026-08-18</t>
  </si>
  <si>
    <r>
      <rPr>
        <sz val="11"/>
        <color theme="1"/>
        <rFont val="Calibri"/>
        <family val="2"/>
        <charset val="1"/>
      </rPr>
      <t xml:space="preserve">"OpenAI generated $6.7 billion in revenue during the second quarter of 2026"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Q1 $5.7B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WSJ</t>
    </r>
    <r>
      <rPr>
        <sz val="11"/>
        <color theme="1"/>
        <rFont val="Noto Sans CJK SC"/>
        <family val="2"/>
      </rPr>
      <t xml:space="preserve">，經二手轉述；</t>
    </r>
    <r>
      <rPr>
        <sz val="11"/>
        <color theme="1"/>
        <rFont val="Calibri"/>
        <family val="2"/>
        <charset val="1"/>
      </rPr>
      <t xml:space="preserve">people familiar</t>
    </r>
    <r>
      <rPr>
        <sz val="11"/>
        <color theme="1"/>
        <rFont val="Noto Sans CJK SC"/>
        <family val="2"/>
      </rPr>
      <t xml:space="preserve">，未經公司確認）</t>
    </r>
  </si>
  <si>
    <t xml:space="preserve">十億美元（季度）</t>
  </si>
  <si>
    <r>
      <rPr>
        <sz val="11"/>
        <color theme="1"/>
        <rFont val="Noto Sans CJK SC"/>
        <family val="2"/>
      </rPr>
      <t xml:space="preserve">季度營收；是否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：未明</t>
    </r>
  </si>
  <si>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WSJ</t>
    </r>
    <r>
      <rPr>
        <sz val="11"/>
        <color theme="1"/>
        <rFont val="Noto Sans CJK SC"/>
        <family val="2"/>
      </rPr>
      <t xml:space="preserve">，二手轉述，未經公司確認）</t>
    </r>
  </si>
  <si>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26.8 </t>
    </r>
    <r>
      <rPr>
        <sz val="11"/>
        <color theme="1"/>
        <rFont val="Noto Sans CJK SC"/>
        <family val="2"/>
      </rPr>
      <t xml:space="preserve">十億，與你用的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26.3 </t>
    </r>
    <r>
      <rPr>
        <sz val="11"/>
        <color theme="1"/>
        <rFont val="Noto Sans CJK SC"/>
        <family val="2"/>
      </rPr>
      <t xml:space="preserve">差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run-rate </t>
    </r>
    <r>
      <rPr>
        <sz val="11"/>
        <color theme="1"/>
        <rFont val="Noto Sans CJK SC"/>
        <family val="2"/>
      </rPr>
      <t xml:space="preserve">另報：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&gt;40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月底約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FutureSearch</t>
    </r>
    <r>
      <rPr>
        <sz val="11"/>
        <color theme="1"/>
        <rFont val="Noto Sans CJK SC"/>
        <family val="2"/>
      </rPr>
      <t xml:space="preserve">，二手）</t>
    </r>
  </si>
  <si>
    <t xml:space="preserve">G20</t>
  </si>
  <si>
    <r>
      <rPr>
        <sz val="11"/>
        <color theme="1"/>
        <rFont val="Noto Sans CJK SC"/>
        <family val="2"/>
      </rPr>
      <t xml:space="preserve">第三方預測：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5–6 GW </t>
    </r>
    <r>
      <rPr>
        <sz val="11"/>
        <color theme="1"/>
        <rFont val="Noto Sans CJK SC"/>
        <family val="2"/>
      </rPr>
      <t xml:space="preserve">到今年底</t>
    </r>
  </si>
  <si>
    <r>
      <rPr>
        <sz val="11"/>
        <color theme="1"/>
        <rFont val="Calibri"/>
        <family val="2"/>
        <charset val="1"/>
      </rPr>
      <t xml:space="preserve">Epoch Gradient Update 2026-05-20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帳號（經獨立核對提供，本段未重讀）</t>
    </r>
  </si>
  <si>
    <t xml:space="preserve">2026-05-20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</si>
  <si>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5–6 GW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</si>
  <si>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（年底）</t>
    </r>
  </si>
  <si>
    <t xml:space="preserve">預測；口徑未明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</si>
  <si>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（低品質，單一社群帳號）</t>
    </r>
  </si>
  <si>
    <r>
      <rPr>
        <sz val="11"/>
        <color theme="1"/>
        <rFont val="Noto Sans CJK SC"/>
        <family val="2"/>
      </rPr>
      <t xml:space="preserve">約等於高情境 </t>
    </r>
    <r>
      <rPr>
        <sz val="11"/>
        <color theme="1"/>
        <rFont val="Calibri"/>
        <family val="2"/>
        <charset val="1"/>
      </rPr>
      <t xml:space="preserve">5.7</t>
    </r>
  </si>
  <si>
    <t xml:space="preserve">G21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</si>
  <si>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擴建（</t>
    </r>
    <r>
      <rPr>
        <sz val="11"/>
        <color theme="1"/>
        <rFont val="Calibri"/>
        <family val="2"/>
        <charset val="1"/>
      </rPr>
      <t xml:space="preserve">&gt;1.2 GW</t>
    </r>
    <r>
      <rPr>
        <sz val="11"/>
        <color theme="1"/>
        <rFont val="Noto Sans CJK SC"/>
        <family val="2"/>
      </rPr>
      <t xml:space="preserve">）於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放棄</t>
    </r>
  </si>
  <si>
    <r>
      <rPr>
        <sz val="11"/>
        <color theme="1"/>
        <rFont val="Noto Sans CJK SC"/>
        <family val="2"/>
      </rPr>
      <t xml:space="preserve">報導（二手；</t>
    </r>
    <r>
      <rPr>
        <sz val="11"/>
        <color theme="1"/>
        <rFont val="Calibri"/>
        <family val="2"/>
        <charset val="1"/>
      </rPr>
      <t xml:space="preserve">Epoch 2026-04-17 </t>
    </r>
    <r>
      <rPr>
        <sz val="11"/>
        <color theme="1"/>
        <rFont val="Noto Sans CJK SC"/>
        <family val="2"/>
      </rPr>
      <t xml:space="preserve">亦述『</t>
    </r>
    <r>
      <rPr>
        <sz val="11"/>
        <color theme="1"/>
        <rFont val="Calibri"/>
        <family val="2"/>
        <charset val="1"/>
      </rPr>
      <t xml:space="preserve">OpenAI pulling out of the Abilene expansion</t>
    </r>
    <r>
      <rPr>
        <sz val="11"/>
        <color theme="1"/>
        <rFont val="Noto Sans CJK SC"/>
        <family val="2"/>
      </rPr>
      <t xml:space="preserve">』）</t>
    </r>
  </si>
  <si>
    <t xml:space="preserve">2026-03</t>
  </si>
  <si>
    <t xml:space="preserve">Plans can change even after construction begins, as shown by OpenAI pulling out of the Abilene expansion.</t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</si>
  <si>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（站上限）</t>
    </r>
  </si>
  <si>
    <t xml:space="preserve">計畫</t>
  </si>
  <si>
    <t xml:space="preserve">報導（二手）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</si>
  <si>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上限約 </t>
    </r>
    <r>
      <rPr>
        <sz val="11"/>
        <color theme="1"/>
        <rFont val="Calibri"/>
        <family val="2"/>
        <charset val="1"/>
      </rPr>
      <t xml:space="preserve">1.2 GW</t>
    </r>
  </si>
  <si>
    <t xml:space="preserve">G22</t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</si>
  <si>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擴約 </t>
    </r>
    <r>
      <rPr>
        <sz val="11"/>
        <color theme="1"/>
        <rFont val="Calibri"/>
        <family val="2"/>
        <charset val="1"/>
      </rPr>
      <t xml:space="preserve">2 GW Trainium</t>
    </r>
  </si>
  <si>
    <r>
      <rPr>
        <sz val="11"/>
        <color theme="1"/>
        <rFont val="Calibri"/>
        <family val="2"/>
        <charset val="1"/>
      </rPr>
      <t xml:space="preserve">DCD 2026-05-01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月底協議，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合約增 </t>
    </r>
    <r>
      <rPr>
        <sz val="11"/>
        <color theme="1"/>
        <rFont val="Calibri"/>
        <family val="2"/>
        <charset val="1"/>
      </rPr>
      <t xml:space="preserve">$100bn</t>
    </r>
  </si>
  <si>
    <t xml:space="preserve">2026-02</t>
  </si>
  <si>
    <t xml:space="preserve">an agreement to use 2GW of AWS Trainium chips, expanding the AWS cloud contract by $100bn</t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</si>
  <si>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（簽約）</t>
    </r>
  </si>
  <si>
    <t xml:space="preserve">簽約，非上線；無上線年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</si>
  <si>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上線量不明</t>
    </r>
  </si>
  <si>
    <t xml:space="preserve">G23</t>
  </si>
  <si>
    <r>
      <rPr>
        <sz val="11"/>
        <color theme="1"/>
        <rFont val="Calibri"/>
        <family val="2"/>
        <charset val="1"/>
      </rPr>
      <t xml:space="preserve">Friar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億美元年營收</t>
    </r>
  </si>
  <si>
    <r>
      <rPr>
        <sz val="11"/>
        <color theme="1"/>
        <rFont val="Noto Sans CJK SC"/>
        <family val="2"/>
      </rPr>
      <t xml:space="preserve">經獨立核對提供（本段未重讀原文）；</t>
    </r>
    <r>
      <rPr>
        <sz val="11"/>
        <color theme="1"/>
        <rFont val="Calibri"/>
        <family val="2"/>
        <charset val="1"/>
      </rPr>
      <t xml:space="preserve">BigGo 2026-06-02 </t>
    </r>
    <r>
      <rPr>
        <sz val="11"/>
        <color theme="1"/>
        <rFont val="Noto Sans CJK SC"/>
        <family val="2"/>
      </rPr>
      <t xml:space="preserve">摘述亦有 </t>
    </r>
    <r>
      <rPr>
        <sz val="11"/>
        <color theme="1"/>
        <rFont val="Calibri"/>
        <family val="2"/>
        <charset val="1"/>
      </rPr>
      <t xml:space="preserve">About $10 billion in annual revenue expected per GW</t>
    </r>
  </si>
  <si>
    <t xml:space="preserve">2026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</si>
  <si>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$10B </t>
    </r>
    <r>
      <rPr>
        <sz val="11"/>
        <color theme="1"/>
        <rFont val="Noto Sans CJK SC"/>
        <family val="2"/>
      </rPr>
      <t xml:space="preserve">年營收</t>
    </r>
  </si>
  <si>
    <r>
      <rPr>
        <sz val="11"/>
        <color theme="1"/>
        <rFont val="Noto Sans CJK SC"/>
        <family val="2"/>
      </rPr>
      <t xml:space="preserve">十億美元／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</t>
    </r>
  </si>
  <si>
    <t xml:space="preserve">預期，非實績</t>
  </si>
  <si>
    <r>
      <rPr>
        <sz val="11"/>
        <color theme="1"/>
        <rFont val="Noto Sans CJK SC"/>
        <family val="2"/>
      </rPr>
      <t xml:space="preserve">直接對照比值法：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9.8 ≈ 1.02</t>
    </r>
  </si>
  <si>
    <t xml:space="preserve">G24</t>
  </si>
  <si>
    <r>
      <rPr>
        <sz val="11"/>
        <color theme="1"/>
        <rFont val="Calibri"/>
        <family val="2"/>
        <charset val="1"/>
      </rPr>
      <t xml:space="preserve">Brockman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年算力支出 </t>
    </r>
    <r>
      <rPr>
        <sz val="11"/>
        <color theme="1"/>
        <rFont val="Calibri"/>
        <family val="2"/>
        <charset val="1"/>
      </rPr>
      <t xml:space="preserve">triple 2025</t>
    </r>
  </si>
  <si>
    <r>
      <rPr>
        <sz val="11"/>
        <color theme="1"/>
        <rFont val="Noto Sans CJK SC"/>
        <family val="2"/>
      </rPr>
      <t xml:space="preserve">經獨立核對提供（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證詞報導）</t>
    </r>
  </si>
  <si>
    <r>
      <rPr>
        <sz val="11"/>
        <color theme="1"/>
        <rFont val="Calibri"/>
        <family val="2"/>
        <charset val="1"/>
      </rPr>
      <t xml:space="preserve">triple what it spent in 2025</t>
    </r>
    <r>
      <rPr>
        <sz val="11"/>
        <color theme="1"/>
        <rFont val="Noto Sans CJK SC"/>
        <family val="2"/>
      </rPr>
      <t xml:space="preserve">（隱含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167 </t>
    </r>
    <r>
      <rPr>
        <sz val="11"/>
        <color theme="1"/>
        <rFont val="Noto Sans CJK SC"/>
        <family val="2"/>
      </rPr>
      <t xml:space="preserve">億）</t>
    </r>
  </si>
  <si>
    <t xml:space="preserve">十億美元（隱含）</t>
  </si>
  <si>
    <t xml:space="preserve">隱含值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</si>
  <si>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Epoch 160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204 </t>
    </r>
    <r>
      <rPr>
        <sz val="11"/>
        <color theme="1"/>
        <rFont val="Noto Sans CJK SC"/>
        <family val="2"/>
      </rPr>
      <t xml:space="preserve">億並列；支出倍數 </t>
    </r>
    <r>
      <rPr>
        <sz val="11"/>
        <color theme="1"/>
        <rFont val="Calibri"/>
        <family val="2"/>
        <charset val="1"/>
      </rPr>
      <t xml:space="preserve">3.0</t>
    </r>
  </si>
  <si>
    <t xml:space="preserve">G25</t>
  </si>
  <si>
    <r>
      <rPr>
        <sz val="11"/>
        <color theme="1"/>
        <rFont val="Calibri"/>
        <family val="2"/>
        <charset val="1"/>
      </rPr>
      <t xml:space="preserve">Nvidia 10 GW LOI </t>
    </r>
    <r>
      <rPr>
        <sz val="11"/>
        <color theme="1"/>
        <rFont val="Noto Sans CJK SC"/>
        <family val="2"/>
      </rPr>
      <t xml:space="preserve">不照原案進行</t>
    </r>
  </si>
  <si>
    <t xml:space="preserve">經獨立核對提供（二手，待查）</t>
  </si>
  <si>
    <t xml:space="preserve">（本段未找到原文）</t>
  </si>
  <si>
    <t xml:space="preserve">待查</t>
  </si>
  <si>
    <t xml:space="preserve">報導（二手，待查）</t>
  </si>
  <si>
    <r>
      <rPr>
        <sz val="11"/>
        <color theme="1"/>
        <rFont val="Noto Sans CJK SC"/>
        <family val="2"/>
      </rPr>
      <t xml:space="preserve">可能降低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新增</t>
    </r>
  </si>
  <si>
    <t xml:space="preserve">G26</t>
  </si>
  <si>
    <r>
      <rPr>
        <sz val="11"/>
        <color theme="1"/>
        <rFont val="Calibri"/>
        <family val="2"/>
        <charset val="1"/>
      </rPr>
      <t xml:space="preserve">lecompute.fr </t>
    </r>
    <r>
      <rPr>
        <sz val="11"/>
        <color theme="1"/>
        <rFont val="Noto Sans CJK SC"/>
        <family val="2"/>
      </rPr>
      <t xml:space="preserve">推估：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年中上線 </t>
    </r>
    <r>
      <rPr>
        <sz val="11"/>
        <color theme="1"/>
        <rFont val="Calibri"/>
        <family val="2"/>
        <charset val="1"/>
      </rPr>
      <t xml:space="preserve">&lt;2 GW</t>
    </r>
  </si>
  <si>
    <t xml:space="preserve">經獨立核對提供（衍生推估、低品質）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</si>
  <si>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年中上線 </t>
    </r>
    <r>
      <rPr>
        <sz val="11"/>
        <color theme="1"/>
        <rFont val="Calibri"/>
        <family val="2"/>
        <charset val="1"/>
      </rPr>
      <t xml:space="preserve">&lt;2 GW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</si>
  <si>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（上限）</t>
    </r>
  </si>
  <si>
    <t xml:space="preserve">推估；口徑未明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</si>
  <si>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（衍生、低品質）</t>
    </r>
  </si>
  <si>
    <r>
      <rPr>
        <sz val="11"/>
        <color theme="1"/>
        <rFont val="Noto Sans CJK SC"/>
        <family val="2"/>
      </rPr>
      <t xml:space="preserve">低於本段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2.3–3.8</t>
    </r>
    <r>
      <rPr>
        <sz val="11"/>
        <color theme="1"/>
        <rFont val="Noto Sans CJK SC"/>
        <family val="2"/>
      </rPr>
      <t xml:space="preserve">；若屬實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口徑比值上升（門檻 </t>
    </r>
    <r>
      <rPr>
        <sz val="11"/>
        <color theme="1"/>
        <rFont val="Calibri"/>
        <family val="2"/>
        <charset val="1"/>
      </rPr>
      <t xml:space="preserve">2.17</t>
    </r>
    <r>
      <rPr>
        <sz val="11"/>
        <color theme="1"/>
        <rFont val="Noto Sans CJK SC"/>
        <family val="2"/>
      </rPr>
      <t xml:space="preserve">）。不入區間，列為反向風險</t>
    </r>
  </si>
  <si>
    <t xml:space="preserve">G27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</si>
  <si>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自研晶片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年底商用</t>
    </r>
  </si>
  <si>
    <t xml:space="preserve">經獨立核對提供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</si>
  <si>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年底開始商用</t>
    </r>
  </si>
  <si>
    <t xml:space="preserve">時程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</si>
  <si>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</t>
    </r>
  </si>
  <si>
    <r>
      <rPr>
        <sz val="11"/>
        <color theme="1"/>
        <rFont val="Noto Sans CJK SC"/>
        <family val="2"/>
      </rPr>
      <t xml:space="preserve">更偏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年底後重</t>
    </r>
  </si>
  <si>
    <t xml:space="preserve">類別</t>
  </si>
  <si>
    <t xml:space="preserve">說明</t>
  </si>
  <si>
    <t xml:space="preserve">N01</t>
  </si>
  <si>
    <t xml:space="preserve">已搜尋，未找到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</si>
  <si>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自己公布的任何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年『上線』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末、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末、最新）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</si>
  <si>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只公布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1.9 GW </t>
    </r>
    <r>
      <rPr>
        <sz val="11"/>
        <color theme="1"/>
        <rFont val="Noto Sans CJK SC"/>
        <family val="2"/>
      </rPr>
      <t xml:space="preserve">與『簽約 </t>
    </r>
    <r>
      <rPr>
        <sz val="11"/>
        <color theme="1"/>
        <rFont val="Calibri"/>
        <family val="2"/>
        <charset val="1"/>
      </rPr>
      <t xml:space="preserve">10GW</t>
    </r>
    <r>
      <rPr>
        <sz val="11"/>
        <color theme="1"/>
        <rFont val="Noto Sans CJK SC"/>
        <family val="2"/>
      </rPr>
      <t xml:space="preserve">』（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）；沒有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上線量</t>
    </r>
  </si>
  <si>
    <t xml:space="preserve">N02</t>
  </si>
  <si>
    <r>
      <rPr>
        <sz val="11"/>
        <color theme="1"/>
        <rFont val="Calibri"/>
        <family val="2"/>
        <charset val="1"/>
      </rPr>
      <t xml:space="preserve">OpenAI 2026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官方目標</t>
    </r>
  </si>
  <si>
    <r>
      <rPr>
        <sz val="11"/>
        <color theme="1"/>
        <rFont val="Noto Sans CJK SC"/>
        <family val="2"/>
      </rPr>
      <t xml:space="preserve">備忘錄（</t>
    </r>
    <r>
      <rPr>
        <sz val="11"/>
        <color theme="1"/>
        <rFont val="Calibri"/>
        <family val="2"/>
        <charset val="1"/>
      </rPr>
      <t xml:space="preserve">G05</t>
    </r>
    <r>
      <rPr>
        <sz val="11"/>
        <color theme="1"/>
        <rFont val="Noto Sans CJK SC"/>
        <family val="2"/>
      </rPr>
      <t xml:space="preserve">）明寫對自己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年底『</t>
    </r>
    <r>
      <rPr>
        <sz val="11"/>
        <color theme="1"/>
        <rFont val="Calibri"/>
        <family val="2"/>
        <charset val="1"/>
      </rPr>
      <t xml:space="preserve">Not stated</t>
    </r>
    <r>
      <rPr>
        <sz val="11"/>
        <color theme="1"/>
        <rFont val="Noto Sans CJK SC"/>
        <family val="2"/>
      </rPr>
      <t xml:space="preserve">』；只有『已識別 </t>
    </r>
    <r>
      <rPr>
        <sz val="11"/>
        <color theme="1"/>
        <rFont val="Calibri"/>
        <family val="2"/>
        <charset val="1"/>
      </rPr>
      <t xml:space="preserve">&gt;8GW</t>
    </r>
    <r>
      <rPr>
        <sz val="11"/>
        <color theme="1"/>
        <rFont val="Noto Sans CJK SC"/>
        <family val="2"/>
      </rPr>
      <t xml:space="preserve">』『</t>
    </r>
    <r>
      <rPr>
        <sz val="11"/>
        <color theme="1"/>
        <rFont val="Calibri"/>
        <family val="2"/>
        <charset val="1"/>
      </rPr>
      <t xml:space="preserve">2027 low double-digit</t>
    </r>
    <r>
      <rPr>
        <sz val="11"/>
        <color theme="1"/>
        <rFont val="Noto Sans CJK SC"/>
        <family val="2"/>
      </rPr>
      <t xml:space="preserve">』『</t>
    </r>
    <r>
      <rPr>
        <sz val="11"/>
        <color theme="1"/>
        <rFont val="Calibri"/>
        <family val="2"/>
        <charset val="1"/>
      </rPr>
      <t xml:space="preserve">2030 30GW</t>
    </r>
    <r>
      <rPr>
        <sz val="11"/>
        <color theme="1"/>
        <rFont val="Noto Sans CJK SC"/>
        <family val="2"/>
      </rPr>
      <t xml:space="preserve">』</t>
    </r>
  </si>
  <si>
    <t xml:space="preserve">N03</t>
  </si>
  <si>
    <r>
      <rPr>
        <sz val="11"/>
        <color theme="1"/>
        <rFont val="Calibri"/>
        <family val="2"/>
        <charset val="1"/>
      </rPr>
      <t xml:space="preserve">OpenAI 2026 </t>
    </r>
    <r>
      <rPr>
        <sz val="11"/>
        <color theme="1"/>
        <rFont val="Noto Sans CJK SC"/>
        <family val="2"/>
      </rPr>
      <t xml:space="preserve">年任一時點的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顆數或 </t>
    </r>
    <r>
      <rPr>
        <sz val="11"/>
        <color theme="1"/>
        <rFont val="Calibri"/>
        <family val="2"/>
        <charset val="1"/>
      </rPr>
      <t xml:space="preserve">H100e</t>
    </r>
    <r>
      <rPr>
        <sz val="11"/>
        <color theme="1"/>
        <rFont val="Noto Sans CJK SC"/>
        <family val="2"/>
      </rPr>
      <t xml:space="preserve">（官方）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</si>
  <si>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1.743M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chip users </t>
    </r>
    <r>
      <rPr>
        <sz val="11"/>
        <color theme="1"/>
        <rFont val="Noto Sans CJK SC"/>
        <family val="2"/>
      </rPr>
      <t xml:space="preserve">資料在本環境讀不到 </t>
    </r>
    <r>
      <rPr>
        <sz val="11"/>
        <color theme="1"/>
        <rFont val="Calibri"/>
        <family val="2"/>
        <charset val="1"/>
      </rPr>
      <t xml:space="preserve">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epoch.ai </t>
    </r>
    <r>
      <rPr>
        <sz val="11"/>
        <color theme="1"/>
        <rFont val="Noto Sans CJK SC"/>
        <family val="2"/>
      </rPr>
      <t xml:space="preserve">被代理封鎖，只能用頁面摘述）</t>
    </r>
  </si>
  <si>
    <t xml:space="preserve">N04</t>
  </si>
  <si>
    <r>
      <rPr>
        <sz val="11"/>
        <color theme="1"/>
        <rFont val="Calibri"/>
        <family val="2"/>
        <charset val="1"/>
      </rPr>
      <t xml:space="preserve">2026 Q2 </t>
    </r>
    <r>
      <rPr>
        <sz val="11"/>
        <color theme="1"/>
        <rFont val="Noto Sans CJK SC"/>
        <family val="2"/>
      </rPr>
      <t xml:space="preserve">或之後的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每分鐘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新數字</t>
    </r>
  </si>
  <si>
    <r>
      <rPr>
        <sz val="11"/>
        <color theme="1"/>
        <rFont val="Noto Sans CJK SC"/>
        <family val="2"/>
      </rPr>
      <t xml:space="preserve">最新仍是 </t>
    </r>
    <r>
      <rPr>
        <sz val="11"/>
        <color theme="1"/>
        <rFont val="Calibri"/>
        <family val="2"/>
        <charset val="1"/>
      </rPr>
      <t xml:space="preserve">2026 Q1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&gt;15B</t>
    </r>
    <r>
      <rPr>
        <sz val="11"/>
        <color theme="1"/>
        <rFont val="Noto Sans CJK SC"/>
        <family val="2"/>
      </rPr>
      <t xml:space="preserve">／分鐘（</t>
    </r>
    <r>
      <rPr>
        <sz val="11"/>
        <color theme="1"/>
        <rFont val="Calibri"/>
        <family val="2"/>
        <charset val="1"/>
      </rPr>
      <t xml:space="preserve">T02</t>
    </r>
    <r>
      <rPr>
        <sz val="11"/>
        <color theme="1"/>
        <rFont val="Noto Sans CJK SC"/>
        <family val="2"/>
      </rPr>
      <t xml:space="preserve">）</t>
    </r>
  </si>
  <si>
    <t xml:space="preserve">N05</t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</si>
  <si>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每日訊息數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新值；</t>
    </r>
    <r>
      <rPr>
        <sz val="11"/>
        <color theme="1"/>
        <rFont val="Calibri"/>
        <family val="2"/>
        <charset val="1"/>
      </rPr>
      <t xml:space="preserve">3.6B</t>
    </r>
    <r>
      <rPr>
        <sz val="11"/>
        <color theme="1"/>
        <rFont val="Noto Sans CJK SC"/>
        <family val="2"/>
      </rPr>
      <t xml:space="preserve">／日出處</t>
    </r>
  </si>
  <si>
    <r>
      <rPr>
        <sz val="11"/>
        <color theme="1"/>
        <rFont val="Noto Sans CJK SC"/>
        <family val="2"/>
      </rPr>
      <t xml:space="preserve">最新可核實為 </t>
    </r>
    <r>
      <rPr>
        <sz val="11"/>
        <color theme="1"/>
        <rFont val="Calibri"/>
        <family val="2"/>
        <charset val="1"/>
      </rPr>
      <t xml:space="preserve">2025-07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2.5B</t>
    </r>
    <r>
      <rPr>
        <sz val="11"/>
        <color theme="1"/>
        <rFont val="Noto Sans CJK SC"/>
        <family val="2"/>
      </rPr>
      <t xml:space="preserve">／日</t>
    </r>
  </si>
  <si>
    <t xml:space="preserve">N06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</si>
  <si>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</si>
  <si>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法說與新聞稿皆無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專屬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8-K </t>
    </r>
    <r>
      <rPr>
        <sz val="11"/>
        <color theme="1"/>
        <rFont val="Noto Sans CJK SC"/>
        <family val="2"/>
      </rPr>
      <t xml:space="preserve">全文無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字樣</t>
    </r>
  </si>
  <si>
    <t xml:space="preserve">N07</t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</si>
  <si>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全體（非單站）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年的算力估計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</si>
  <si>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發表的只有 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全體與 </t>
    </r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單站</t>
    </r>
  </si>
  <si>
    <t xml:space="preserve">N08</t>
  </si>
  <si>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付費牆原文（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預測）</t>
    </r>
  </si>
  <si>
    <r>
      <rPr>
        <sz val="11"/>
        <color theme="1"/>
        <rFont val="Noto Sans CJK SC"/>
        <family val="2"/>
      </rPr>
      <t xml:space="preserve">本環境讀不到原文；未見轉述出現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數字</t>
    </r>
  </si>
  <si>
    <t xml:space="preserve">N09</t>
  </si>
  <si>
    <t xml:space="preserve">不存在／不可分離</t>
  </si>
  <si>
    <r>
      <rPr>
        <sz val="11"/>
        <color theme="1"/>
        <rFont val="Calibri"/>
        <family val="2"/>
        <charset val="1"/>
      </rPr>
      <t xml:space="preserve">Stargate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10GW</t>
    </r>
    <r>
      <rPr>
        <sz val="11"/>
        <color theme="1"/>
        <rFont val="Noto Sans CJK SC"/>
        <family val="2"/>
      </rPr>
      <t xml:space="preserve">』</t>
    </r>
  </si>
  <si>
    <r>
      <rPr>
        <sz val="11"/>
        <color theme="1"/>
        <rFont val="Noto Sans CJK SC"/>
        <family val="2"/>
      </rPr>
      <t xml:space="preserve">是簽約／確保量，不是上線量（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推定）</t>
    </r>
  </si>
  <si>
    <t xml:space="preserve">N10</t>
  </si>
  <si>
    <r>
      <rPr>
        <sz val="11"/>
        <color theme="1"/>
        <rFont val="Calibri"/>
        <family val="2"/>
        <charset val="1"/>
      </rPr>
      <t xml:space="preserve">Oracle FY26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&gt;1.2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CoreWeave active 1.5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+1 GW</t>
    </r>
  </si>
  <si>
    <r>
      <rPr>
        <sz val="11"/>
        <color theme="1"/>
        <rFont val="Noto Sans CJK SC"/>
        <family val="2"/>
      </rPr>
      <t xml:space="preserve">皆為全客戶，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占比未揭露，不能換成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GW</t>
    </r>
  </si>
  <si>
    <t xml:space="preserve">N11</t>
  </si>
  <si>
    <r>
      <rPr>
        <sz val="11"/>
        <color theme="1"/>
        <rFont val="Calibri"/>
        <family val="2"/>
        <charset val="1"/>
      </rPr>
      <t xml:space="preserve">Codex 99.8% </t>
    </r>
    <r>
      <rPr>
        <sz val="11"/>
        <color theme="1"/>
        <rFont val="Noto Sans CJK SC"/>
        <family val="2"/>
      </rPr>
      <t xml:space="preserve">內部輸出 </t>
    </r>
    <r>
      <rPr>
        <sz val="11"/>
        <color theme="1"/>
        <rFont val="Calibri"/>
        <family val="2"/>
        <charset val="1"/>
      </rPr>
      <t xml:space="preserve">token</t>
    </r>
  </si>
  <si>
    <r>
      <rPr>
        <sz val="11"/>
        <color theme="1"/>
        <rFont val="Noto Sans CJK SC"/>
        <family val="2"/>
      </rPr>
      <t xml:space="preserve">內部使用，與對外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總量無法分離</t>
    </r>
  </si>
  <si>
    <t xml:space="preserve">N12</t>
  </si>
  <si>
    <t xml:space="preserve">本環境限制</t>
  </si>
  <si>
    <r>
      <rPr>
        <sz val="11"/>
        <color theme="1"/>
        <rFont val="Calibri"/>
        <family val="2"/>
        <charset val="1"/>
      </rPr>
      <t xml:space="preserve">openai.com </t>
    </r>
    <r>
      <rPr>
        <sz val="11"/>
        <color theme="1"/>
        <rFont val="Noto Sans CJK SC"/>
        <family val="2"/>
      </rPr>
      <t xml:space="preserve">部分頁、</t>
    </r>
    <r>
      <rPr>
        <sz val="11"/>
        <color theme="1"/>
        <rFont val="Calibri"/>
        <family val="2"/>
        <charset val="1"/>
      </rPr>
      <t xml:space="preserve">epoch.ai CSV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sec.gov </t>
    </r>
    <r>
      <rPr>
        <sz val="11"/>
        <color theme="1"/>
        <rFont val="Noto Sans CJK SC"/>
        <family val="2"/>
      </rPr>
      <t xml:space="preserve">其他文件</t>
    </r>
  </si>
  <si>
    <t xml:space="preserve">部分頁面只能取到摘述；逐字引用限於引號內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</si>
  <si>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年平均上線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末時點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；藍字為輸入，其餘為公式）</t>
    </r>
  </si>
  <si>
    <t xml:space="preserve">輸入</t>
  </si>
  <si>
    <t xml:space="preserve">值</t>
  </si>
  <si>
    <t xml:space="preserve">依據</t>
  </si>
  <si>
    <r>
      <rPr>
        <sz val="11"/>
        <color theme="1"/>
        <rFont val="Calibri"/>
        <family val="2"/>
        <charset val="1"/>
      </rPr>
      <t xml:space="preserve">E0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GW</t>
    </r>
  </si>
  <si>
    <t xml:space="preserve">G01 Friar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</si>
  <si>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年容量目標（</t>
    </r>
    <r>
      <rPr>
        <sz val="11"/>
        <color theme="1"/>
        <rFont val="Calibri"/>
        <family val="2"/>
        <charset val="1"/>
      </rPr>
      <t xml:space="preserve">low double-digit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</si>
  <si>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10–12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</si>
  <si>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Bloomberg 2026-04-09 </t>
    </r>
    <r>
      <rPr>
        <sz val="11"/>
        <color theme="1"/>
        <rFont val="Noto Sans CJK SC"/>
        <family val="2"/>
      </rPr>
      <t xml:space="preserve">備忘錄（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引）；中點為假設</t>
    </r>
  </si>
  <si>
    <r>
      <rPr>
        <sz val="11"/>
        <color theme="1"/>
        <rFont val="Calibri"/>
        <family val="2"/>
        <charset val="1"/>
      </rPr>
      <t xml:space="preserve">Friar </t>
    </r>
    <r>
      <rPr>
        <sz val="11"/>
        <color theme="1"/>
        <rFont val="Noto Sans CJK SC"/>
        <family val="2"/>
      </rPr>
      <t xml:space="preserve">歷史年成長倍數</t>
    </r>
  </si>
  <si>
    <t xml:space="preserve">倍／年</t>
  </si>
  <si>
    <r>
      <rPr>
        <sz val="11"/>
        <color theme="1"/>
        <rFont val="Calibri"/>
        <family val="2"/>
        <charset val="1"/>
      </rPr>
      <t xml:space="preserve">G01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0.2→0.6→1.9</t>
    </r>
    <r>
      <rPr>
        <sz val="11"/>
        <color theme="1"/>
        <rFont val="Noto Sans CJK SC"/>
        <family val="2"/>
      </rPr>
      <t xml:space="preserve">，約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倍／年</t>
    </r>
  </si>
  <si>
    <r>
      <rPr>
        <sz val="11"/>
        <color theme="1"/>
        <rFont val="Noto Sans CJK SC"/>
        <family val="2"/>
      </rPr>
      <t xml:space="preserve">低情境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年底：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估計中點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</si>
  <si>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（情境）</t>
    </r>
  </si>
  <si>
    <r>
      <rPr>
        <sz val="11"/>
        <color theme="1"/>
        <rFont val="Calibri"/>
        <family val="2"/>
        <charset val="1"/>
      </rPr>
      <t xml:space="preserve">G05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的估計，非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下界；對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只是 </t>
    </r>
    <r>
      <rPr>
        <sz val="11"/>
        <color theme="1"/>
        <rFont val="Calibri"/>
        <family val="2"/>
        <charset val="1"/>
      </rPr>
      <t xml:space="preserve">1.84 </t>
    </r>
    <r>
      <rPr>
        <sz val="11"/>
        <color theme="1"/>
        <rFont val="Noto Sans CJK SC"/>
        <family val="2"/>
      </rPr>
      <t xml:space="preserve">倍成長</t>
    </r>
  </si>
  <si>
    <r>
      <rPr>
        <b val="true"/>
        <sz val="11"/>
        <rFont val="Noto Sans CJK SC"/>
        <family val="2"/>
      </rPr>
      <t xml:space="preserve">形狀：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年新增量在各季末的累計占比（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</t>
    </r>
  </si>
  <si>
    <t xml:space="preserve">形狀</t>
  </si>
  <si>
    <r>
      <rPr>
        <b val="true"/>
        <sz val="11"/>
        <rFont val="Cambria"/>
        <family val="0"/>
        <charset val="1"/>
      </rPr>
      <t xml:space="preserve">Q1 </t>
    </r>
    <r>
      <rPr>
        <b val="true"/>
        <sz val="11"/>
        <rFont val="Noto Sans CJK SC"/>
        <family val="2"/>
      </rPr>
      <t xml:space="preserve">末</t>
    </r>
  </si>
  <si>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末</t>
    </r>
  </si>
  <si>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末</t>
    </r>
  </si>
  <si>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末</t>
    </r>
  </si>
  <si>
    <t xml:space="preserve">線性</t>
  </si>
  <si>
    <t xml:space="preserve">對照用</t>
  </si>
  <si>
    <t xml:space="preserve">後重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</si>
  <si>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0.55 </t>
    </r>
    <r>
      <rPr>
        <sz val="11"/>
        <color theme="1"/>
        <rFont val="Noto Sans CJK SC"/>
        <family val="2"/>
      </rPr>
      <t xml:space="preserve">為假設；方向依據 </t>
    </r>
    <r>
      <rPr>
        <sz val="11"/>
        <color theme="1"/>
        <rFont val="Calibri"/>
        <family val="2"/>
        <charset val="1"/>
      </rPr>
      <t xml:space="preserve">G08/G15/G16/G17</t>
    </r>
  </si>
  <si>
    <t xml:space="preserve">情境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</si>
  <si>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GW</t>
    </r>
  </si>
  <si>
    <t xml:space="preserve">形狀列</t>
  </si>
  <si>
    <r>
      <rPr>
        <b val="true"/>
        <sz val="11"/>
        <rFont val="Noto Sans CJK SC"/>
        <family val="2"/>
      </rPr>
      <t xml:space="preserve">新增 </t>
    </r>
    <r>
      <rPr>
        <b val="true"/>
        <sz val="11"/>
        <rFont val="Cambria"/>
        <family val="0"/>
        <charset val="1"/>
      </rPr>
      <t xml:space="preserve">GW</t>
    </r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</si>
  <si>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平均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（梯形）</t>
    </r>
  </si>
  <si>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末 </t>
    </r>
    <r>
      <rPr>
        <b val="true"/>
        <sz val="11"/>
        <rFont val="Cambria"/>
        <family val="0"/>
        <charset val="1"/>
      </rPr>
      <t xml:space="preserve">GW</t>
    </r>
  </si>
  <si>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季平均 </t>
    </r>
    <r>
      <rPr>
        <b val="true"/>
        <sz val="11"/>
        <rFont val="Cambria"/>
        <family val="0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</si>
  <si>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）低＋線性</t>
    </r>
  </si>
  <si>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）低＋後重</t>
    </r>
  </si>
  <si>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）基準＋線性</t>
    </r>
  </si>
  <si>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）基準＋後重</t>
    </r>
  </si>
  <si>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）高＋線性</t>
    </r>
  </si>
  <si>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）高＋後重</t>
    </r>
  </si>
  <si>
    <t xml:space="preserve">區間（六情境）</t>
  </si>
  <si>
    <t xml:space="preserve">最小</t>
  </si>
  <si>
    <t xml:space="preserve">最大</t>
  </si>
  <si>
    <t xml:space="preserve">基準（基準＋後重／基準＋線性）</t>
  </si>
  <si>
    <t xml:space="preserve">基準＋線性</t>
  </si>
  <si>
    <r>
      <rPr>
        <b val="true"/>
        <sz val="11"/>
        <rFont val="Noto Sans CJK SC"/>
        <family val="2"/>
      </rPr>
      <t xml:space="preserve">交叉檢查：以 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支出倍數推平均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（不用上面的情境）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</si>
  <si>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算力支出</t>
    </r>
  </si>
  <si>
    <r>
      <rPr>
        <sz val="11"/>
        <color theme="1"/>
        <rFont val="Calibri"/>
        <family val="2"/>
        <charset val="1"/>
      </rPr>
      <t xml:space="preserve">G13 Brockman </t>
    </r>
    <r>
      <rPr>
        <sz val="11"/>
        <color theme="1"/>
        <rFont val="Noto Sans CJK SC"/>
        <family val="2"/>
      </rPr>
      <t xml:space="preserve">證詞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</si>
  <si>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算力支出（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204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</si>
  <si>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</si>
  <si>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CJK SC"/>
        <family val="2"/>
      </rPr>
      <t xml:space="preserve">側缺口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</si>
  <si>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算力支出（</t>
    </r>
    <r>
      <rPr>
        <sz val="11"/>
        <color theme="1"/>
        <rFont val="Calibri"/>
        <family val="2"/>
        <charset val="1"/>
      </rPr>
      <t xml:space="preserve">Epoch 160 </t>
    </r>
    <r>
      <rPr>
        <sz val="11"/>
        <color theme="1"/>
        <rFont val="Noto Sans CJK SC"/>
        <family val="2"/>
      </rPr>
      <t xml:space="preserve">億）</t>
    </r>
  </si>
  <si>
    <t xml:space="preserve">前段；為查核帳下界附近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</si>
  <si>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內插）</t>
    </r>
  </si>
  <si>
    <t xml:space="preserve">Derived</t>
  </si>
  <si>
    <t xml:space="preserve">AL_FleetGW25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</si>
  <si>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（線性內插）</t>
    </r>
  </si>
  <si>
    <r>
      <rPr>
        <sz val="11"/>
        <color theme="1"/>
        <rFont val="Calibri"/>
        <family val="2"/>
        <charset val="1"/>
      </rPr>
      <t xml:space="preserve">0.6→1.9 </t>
    </r>
    <r>
      <rPr>
        <sz val="11"/>
        <color theme="1"/>
        <rFont val="Noto Sans CJK SC"/>
        <family val="2"/>
      </rPr>
      <t xml:space="preserve">線性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</si>
  <si>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2026÷2025</t>
    </r>
    <r>
      <rPr>
        <sz val="11"/>
        <color theme="1"/>
        <rFont val="Noto Sans CJK SC"/>
        <family val="2"/>
      </rPr>
      <t xml:space="preserve">（平價）</t>
    </r>
  </si>
  <si>
    <t xml:space="preserve">倍</t>
  </si>
  <si>
    <t xml:space="preserve">Assumed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</si>
  <si>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1.0–1.25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</si>
  <si>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2026÷2025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</si>
  <si>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CoreWeave 2026-07 </t>
    </r>
    <r>
      <rPr>
        <sz val="11"/>
        <color theme="1"/>
        <rFont val="Noto Sans CJK SC"/>
        <family val="2"/>
      </rPr>
      <t xml:space="preserve">全 </t>
    </r>
    <r>
      <rPr>
        <sz val="11"/>
        <color theme="1"/>
        <rFont val="Calibri"/>
        <family val="2"/>
        <charset val="1"/>
      </rPr>
      <t xml:space="preserve">SKU </t>
    </r>
    <r>
      <rPr>
        <sz val="11"/>
        <color theme="1"/>
        <rFont val="Noto Sans CJK SC"/>
        <family val="2"/>
      </rPr>
      <t xml:space="preserve">約漲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G10 </t>
    </r>
    <r>
      <rPr>
        <sz val="11"/>
        <color theme="1"/>
        <rFont val="Noto Sans CJK SC"/>
        <family val="2"/>
      </rPr>
      <t xml:space="preserve">來源頁），僅作上限情境</t>
    </r>
  </si>
  <si>
    <r>
      <rPr>
        <b val="true"/>
        <sz val="11"/>
        <rFont val="Noto Sans CJK SC"/>
        <family val="2"/>
      </rPr>
      <t xml:space="preserve">平均 </t>
    </r>
    <r>
      <rPr>
        <b val="true"/>
        <sz val="11"/>
        <rFont val="Cambria"/>
        <family val="0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</si>
  <si>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S1 TK </t>
    </r>
    <r>
      <rPr>
        <sz val="11"/>
        <color theme="1"/>
        <rFont val="Noto Sans CJK SC"/>
        <family val="2"/>
      </rPr>
      <t xml:space="preserve">內插、</t>
    </r>
    <r>
      <rPr>
        <sz val="11"/>
        <color theme="1"/>
        <rFont val="Calibri"/>
        <family val="2"/>
        <charset val="1"/>
      </rPr>
      <t xml:space="preserve">204 </t>
    </r>
    <r>
      <rPr>
        <sz val="11"/>
        <color theme="1"/>
        <rFont val="Noto Sans CJK SC"/>
        <family val="2"/>
      </rPr>
      <t xml:space="preserve">億、平價</t>
    </r>
  </si>
  <si>
    <r>
      <rPr>
        <sz val="11"/>
        <color theme="1"/>
        <rFont val="Noto Sans CJK SC"/>
        <family val="2"/>
      </rPr>
      <t xml:space="preserve">支出倍數 </t>
    </r>
    <r>
      <rPr>
        <sz val="11"/>
        <color theme="1"/>
        <rFont val="Calibri"/>
        <family val="2"/>
        <charset val="1"/>
      </rPr>
      <t xml:space="preserve">2.45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</si>
  <si>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Calibri"/>
        <family val="2"/>
        <charset val="1"/>
      </rPr>
      <t xml:space="preserve">S2 TK </t>
    </r>
    <r>
      <rPr>
        <sz val="11"/>
        <color theme="1"/>
        <rFont val="Noto Sans CJK SC"/>
        <family val="2"/>
      </rPr>
      <t xml:space="preserve">內插、</t>
    </r>
    <r>
      <rPr>
        <sz val="11"/>
        <color theme="1"/>
        <rFont val="Calibri"/>
        <family val="2"/>
        <charset val="1"/>
      </rPr>
      <t xml:space="preserve">204 </t>
    </r>
    <r>
      <rPr>
        <sz val="11"/>
        <color theme="1"/>
        <rFont val="Noto Sans CJK SC"/>
        <family val="2"/>
      </rPr>
      <t xml:space="preserve">億、單價</t>
    </r>
    <r>
      <rPr>
        <sz val="11"/>
        <color theme="1"/>
        <rFont val="Calibri"/>
        <family val="2"/>
        <charset val="1"/>
      </rPr>
      <t xml:space="preserve">+25%</t>
    </r>
  </si>
  <si>
    <t xml:space="preserve">單價上漲吸收一部分</t>
  </si>
  <si>
    <r>
      <rPr>
        <sz val="11"/>
        <color theme="1"/>
        <rFont val="Calibri"/>
        <family val="2"/>
        <charset val="1"/>
      </rPr>
      <t xml:space="preserve">S3 TK </t>
    </r>
    <r>
      <rPr>
        <sz val="11"/>
        <color theme="1"/>
        <rFont val="Noto Sans CJK SC"/>
        <family val="2"/>
      </rPr>
      <t xml:space="preserve">內插、</t>
    </r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億、平價</t>
    </r>
  </si>
  <si>
    <r>
      <rPr>
        <sz val="11"/>
        <color theme="1"/>
        <rFont val="Noto Sans CJK SC"/>
        <family val="2"/>
      </rPr>
      <t xml:space="preserve">支出倍數 </t>
    </r>
    <r>
      <rPr>
        <sz val="11"/>
        <color theme="1"/>
        <rFont val="Calibri"/>
        <family val="2"/>
        <charset val="1"/>
      </rPr>
      <t xml:space="preserve">3.13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</si>
  <si>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Calibri"/>
        <family val="2"/>
        <charset val="1"/>
      </rPr>
      <t xml:space="preserve">S4 </t>
    </r>
    <r>
      <rPr>
        <sz val="11"/>
        <color theme="1"/>
        <rFont val="Noto Sans CJK SC"/>
        <family val="2"/>
      </rPr>
      <t xml:space="preserve">線性內插、</t>
    </r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億、平價</t>
    </r>
  </si>
  <si>
    <t xml:space="preserve">上端</t>
  </si>
  <si>
    <r>
      <rPr>
        <sz val="11"/>
        <color theme="1"/>
        <rFont val="Noto Sans CJK SC"/>
        <family val="2"/>
      </rPr>
      <t xml:space="preserve">讀法：支出法假設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全年花費全數對應當年上線算力；若含預付或未啟用容量，平均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會較低。兩種方法只是互相對照，不是獨立證據（支出倍數與你的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共線）。</t>
    </r>
  </si>
  <si>
    <r>
      <rPr>
        <b val="true"/>
        <sz val="11"/>
        <rFont val="Noto Sans CJK SC"/>
        <family val="2"/>
      </rPr>
      <t xml:space="preserve">回本比值＝營收 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GW ×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持有成本 </t>
    </r>
    <r>
      <rPr>
        <b val="true"/>
        <sz val="11"/>
        <rFont val="Cambria"/>
        <family val="0"/>
        <charset val="1"/>
      </rPr>
      <t xml:space="preserve">h</t>
    </r>
    <r>
      <rPr>
        <b val="true"/>
        <sz val="11"/>
        <rFont val="Noto Sans CJK SC"/>
        <family val="2"/>
      </rPr>
      <t xml:space="preserve">）；對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1.239 </t>
    </r>
    <r>
      <rPr>
        <b val="true"/>
        <sz val="11"/>
        <rFont val="Noto Sans CJK SC"/>
        <family val="2"/>
      </rPr>
      <t xml:space="preserve">之倍數（公式）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</si>
  <si>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比值</t>
    </r>
  </si>
  <si>
    <t xml:space="preserve">任務給定</t>
  </si>
  <si>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模型世代組合</t>
    </r>
  </si>
  <si>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</si>
  <si>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組合</t>
    </r>
  </si>
  <si>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年化</t>
    </r>
  </si>
  <si>
    <r>
      <rPr>
        <sz val="11"/>
        <color theme="1"/>
        <rFont val="Noto Sans CJK SC"/>
        <family val="2"/>
      </rPr>
      <t xml:space="preserve">你的 </t>
    </r>
    <r>
      <rPr>
        <sz val="11"/>
        <color theme="1"/>
        <rFont val="Calibri"/>
        <family val="2"/>
        <charset val="1"/>
      </rPr>
      <t xml:space="preserve">263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WSJ Q2 GAAP 6.7B×4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26.8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</si>
  <si>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預測（不含廣告）</t>
    </r>
  </si>
  <si>
    <r>
      <rPr>
        <sz val="11"/>
        <color theme="1"/>
        <rFont val="Noto Sans CJK SC"/>
        <family val="2"/>
      </rPr>
      <t xml:space="preserve">你的 </t>
    </r>
    <r>
      <rPr>
        <sz val="11"/>
        <color theme="1"/>
        <rFont val="Calibri"/>
        <family val="2"/>
        <charset val="1"/>
      </rPr>
      <t xml:space="preserve">350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H1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5.7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6.7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</si>
  <si>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run-rate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，二手）</t>
    </r>
  </si>
  <si>
    <t xml:space="preserve">口徑與全年營收不同；僅第三口徑</t>
  </si>
  <si>
    <r>
      <rPr>
        <b val="true"/>
        <sz val="11"/>
        <rFont val="Noto Sans CJK SC"/>
        <family val="2"/>
      </rPr>
      <t xml:space="preserve">持平門檻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（比值＝</t>
    </r>
    <r>
      <rPr>
        <b val="true"/>
        <sz val="11"/>
        <rFont val="Cambria"/>
        <family val="0"/>
        <charset val="1"/>
      </rPr>
      <t xml:space="preserve">1.239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</si>
  <si>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年化，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9.796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</si>
  <si>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高於此值→比值低於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</si>
  <si>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年化，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9.731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</si>
  <si>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9.796</t>
    </r>
  </si>
  <si>
    <r>
      <rPr>
        <sz val="11"/>
        <color theme="1"/>
        <rFont val="Noto Sans CJK SC"/>
        <family val="2"/>
      </rPr>
      <t xml:space="preserve">全年平均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高於此值→比值低於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</si>
  <si>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9.731</t>
    </r>
  </si>
  <si>
    <r>
      <rPr>
        <b val="true"/>
        <sz val="11"/>
        <rFont val="Noto Sans CJK SC"/>
        <family val="2"/>
      </rPr>
      <t xml:space="preserve">表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年化營收 </t>
    </r>
    <r>
      <rPr>
        <b val="true"/>
        <sz val="11"/>
        <rFont val="Cambria"/>
        <family val="0"/>
        <charset val="1"/>
      </rPr>
      <t xml:space="preserve">÷ Q2 </t>
    </r>
    <r>
      <rPr>
        <b val="true"/>
        <sz val="11"/>
        <rFont val="Noto Sans CJK SC"/>
        <family val="2"/>
      </rPr>
      <t xml:space="preserve">末 </t>
    </r>
    <r>
      <rPr>
        <b val="true"/>
        <sz val="11"/>
        <rFont val="Cambria"/>
        <family val="0"/>
        <charset val="1"/>
      </rPr>
      <t xml:space="preserve">GW</t>
    </r>
  </si>
  <si>
    <r>
      <rPr>
        <b val="true"/>
        <sz val="11"/>
        <rFont val="Noto Sans CJK SC"/>
        <family val="2"/>
      </rPr>
      <t xml:space="preserve">比值（</t>
    </r>
    <r>
      <rPr>
        <b val="true"/>
        <sz val="11"/>
        <rFont val="Cambria"/>
        <family val="0"/>
        <charset val="1"/>
      </rPr>
      <t xml:space="preserve">h 9.796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</si>
  <si>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倍數 </t>
    </r>
    <r>
      <rPr>
        <b val="true"/>
        <sz val="11"/>
        <rFont val="Cambria"/>
        <family val="0"/>
        <charset val="1"/>
      </rPr>
      <t xml:space="preserve">vs 2025</t>
    </r>
  </si>
  <si>
    <r>
      <rPr>
        <b val="true"/>
        <sz val="11"/>
        <rFont val="Noto Sans CJK SC"/>
        <family val="2"/>
      </rPr>
      <t xml:space="preserve">比值（</t>
    </r>
    <r>
      <rPr>
        <b val="true"/>
        <sz val="11"/>
        <rFont val="Cambria"/>
        <family val="0"/>
        <charset val="1"/>
      </rPr>
      <t xml:space="preserve">h 9.731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</si>
  <si>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表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全年平均 </t>
    </r>
    <r>
      <rPr>
        <b val="true"/>
        <sz val="11"/>
        <rFont val="Cambria"/>
        <family val="0"/>
        <charset val="1"/>
      </rPr>
      <t xml:space="preserve">GW</t>
    </r>
  </si>
  <si>
    <r>
      <rPr>
        <b val="true"/>
        <sz val="11"/>
        <rFont val="Noto Sans CJK SC"/>
        <family val="2"/>
      </rPr>
      <t xml:space="preserve">表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支出法平均 </t>
    </r>
    <r>
      <rPr>
        <b val="true"/>
        <sz val="11"/>
        <rFont val="Cambria"/>
        <family val="0"/>
        <charset val="1"/>
      </rPr>
      <t xml:space="preserve">GW</t>
    </r>
  </si>
  <si>
    <r>
      <rPr>
        <b val="true"/>
        <sz val="11"/>
        <rFont val="Noto Sans CJK SC"/>
        <family val="2"/>
      </rPr>
      <t xml:space="preserve">表 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：敏感度（</t>
    </r>
    <r>
      <rPr>
        <b val="true"/>
        <sz val="11"/>
        <rFont val="Cambria"/>
        <family val="0"/>
        <charset val="1"/>
      </rPr>
      <t xml:space="preserve">h 9.796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</si>
  <si>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年化營收的倍數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</si>
  <si>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營收的倍數</t>
    </r>
  </si>
  <si>
    <r>
      <rPr>
        <b val="true"/>
        <sz val="11"/>
        <rFont val="Noto Sans CJK SC"/>
        <family val="2"/>
      </rPr>
      <t xml:space="preserve">替代營收的持平門檻（</t>
    </r>
    <r>
      <rPr>
        <b val="true"/>
        <sz val="11"/>
        <rFont val="Cambria"/>
        <family val="0"/>
        <charset val="1"/>
      </rPr>
      <t xml:space="preserve">h 9.796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</si>
  <si>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Q2 GAAP 6.7B×4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26.8 </t>
    </r>
    <r>
      <rPr>
        <sz val="11"/>
        <color theme="1"/>
        <rFont val="Noto Sans CJK SC"/>
        <family val="2"/>
      </rPr>
      <t xml:space="preserve">十億</t>
    </r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</si>
  <si>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run-rate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十億（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</si>
  <si>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Noto Sans CJK SC"/>
        <family val="2"/>
      </rPr>
      <t xml:space="preserve">僅示意：</t>
    </r>
    <r>
      <rPr>
        <sz val="11"/>
        <color theme="1"/>
        <rFont val="Calibri"/>
        <family val="2"/>
        <charset val="1"/>
      </rPr>
      <t xml:space="preserve">run-rate </t>
    </r>
    <r>
      <rPr>
        <sz val="11"/>
        <color theme="1"/>
        <rFont val="Noto Sans CJK SC"/>
        <family val="2"/>
      </rPr>
      <t xml:space="preserve">非全年營收，不應配全年平均 </t>
    </r>
    <r>
      <rPr>
        <sz val="11"/>
        <color theme="1"/>
        <rFont val="Calibri"/>
        <family val="2"/>
        <charset val="1"/>
      </rPr>
      <t xml:space="preserve">GW</t>
    </r>
  </si>
  <si>
    <r>
      <rPr>
        <b val="true"/>
        <sz val="11"/>
        <rFont val="Noto Sans CJK SC"/>
        <family val="2"/>
      </rPr>
      <t xml:space="preserve">表 </t>
    </r>
    <r>
      <rPr>
        <b val="true"/>
        <sz val="11"/>
        <rFont val="Cambria"/>
        <family val="0"/>
        <charset val="1"/>
      </rPr>
      <t xml:space="preserve">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基準區間（</t>
    </r>
    <r>
      <rPr>
        <b val="true"/>
        <sz val="11"/>
        <rFont val="Cambria"/>
        <family val="0"/>
        <charset val="1"/>
      </rPr>
      <t xml:space="preserve">r1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</si>
  <si>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基準 </t>
    </r>
    <r>
      <rPr>
        <b val="true"/>
        <sz val="11"/>
        <rFont val="Cambria"/>
        <family val="0"/>
        <charset val="1"/>
      </rPr>
      <t xml:space="preserve">1.118</t>
    </r>
  </si>
  <si>
    <r>
      <rPr>
        <b val="true"/>
        <sz val="11"/>
        <rFont val="Noto Sans CJK SC"/>
        <family val="2"/>
      </rPr>
      <t xml:space="preserve">基準 </t>
    </r>
    <r>
      <rPr>
        <b val="true"/>
        <sz val="11"/>
        <rFont val="Cambria"/>
        <family val="0"/>
        <charset val="1"/>
      </rPr>
      <t xml:space="preserve">1.239</t>
    </r>
  </si>
  <si>
    <r>
      <rPr>
        <b val="true"/>
        <sz val="11"/>
        <rFont val="Noto Sans CJK SC"/>
        <family val="2"/>
      </rPr>
      <t xml:space="preserve">基準 </t>
    </r>
    <r>
      <rPr>
        <b val="true"/>
        <sz val="11"/>
        <rFont val="Cambria"/>
        <family val="0"/>
        <charset val="1"/>
      </rPr>
      <t xml:space="preserve">1.397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</si>
  <si>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基準比值</t>
    </r>
  </si>
  <si>
    <r>
      <rPr>
        <sz val="11"/>
        <color theme="1"/>
        <rFont val="Noto Sans CJK SC"/>
        <family val="2"/>
      </rPr>
      <t xml:space="preserve">指數／線性內插與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端點區間（獨立核對：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PxQ </t>
    </r>
    <r>
      <rPr>
        <sz val="11"/>
        <color theme="1"/>
        <rFont val="Noto Sans CJK SC"/>
        <family val="2"/>
      </rPr>
      <t xml:space="preserve">頁、</t>
    </r>
    <r>
      <rPr>
        <sz val="11"/>
        <color theme="1"/>
        <rFont val="Calibri"/>
        <family val="2"/>
        <charset val="1"/>
      </rPr>
      <t xml:space="preserve">TK L1_LReqFleet_Full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</si>
  <si>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持平門檻：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Q2 </t>
    </r>
    <r>
      <rPr>
        <sz val="11"/>
        <color theme="1"/>
        <rFont val="Noto Sans CJK SC"/>
        <family val="2"/>
      </rPr>
      <t xml:space="preserve">季平均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9.796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</si>
  <si>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持平門檻：</t>
    </r>
    <r>
      <rPr>
        <sz val="11"/>
        <color theme="1"/>
        <rFont val="Calibri"/>
        <family val="2"/>
        <charset val="1"/>
      </rPr>
      <t xml:space="preserve">FY2026 ÷ </t>
    </r>
    <r>
      <rPr>
        <sz val="11"/>
        <color theme="1"/>
        <rFont val="Noto Sans CJK SC"/>
        <family val="2"/>
      </rPr>
      <t xml:space="preserve">全年平均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</si>
  <si>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持平門檻：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run-rate ÷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GW</t>
    </r>
  </si>
  <si>
    <r>
      <rPr>
        <b val="true"/>
        <sz val="11"/>
        <rFont val="Noto Sans CJK SC"/>
        <family val="2"/>
      </rPr>
      <t xml:space="preserve">口徑一（主）：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年化 </t>
    </r>
    <r>
      <rPr>
        <b val="true"/>
        <sz val="11"/>
        <rFont val="Cambria"/>
        <family val="0"/>
        <charset val="1"/>
      </rPr>
      <t xml:space="preserve">÷ Q2 </t>
    </r>
    <r>
      <rPr>
        <b val="true"/>
        <sz val="11"/>
        <rFont val="Noto Sans CJK SC"/>
        <family val="2"/>
      </rPr>
      <t xml:space="preserve">季平均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　倍數</t>
    </r>
  </si>
  <si>
    <r>
      <rPr>
        <b val="true"/>
        <sz val="11"/>
        <rFont val="Noto Sans CJK SC"/>
        <family val="2"/>
      </rPr>
      <t xml:space="preserve">口徑二：</t>
    </r>
    <r>
      <rPr>
        <b val="true"/>
        <sz val="11"/>
        <rFont val="Cambria"/>
        <family val="0"/>
        <charset val="1"/>
      </rPr>
      <t xml:space="preserve">FY2026 ÷ </t>
    </r>
    <r>
      <rPr>
        <b val="true"/>
        <sz val="11"/>
        <rFont val="Noto Sans CJK SC"/>
        <family val="2"/>
      </rPr>
      <t xml:space="preserve">全年平均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　倍數</t>
    </r>
  </si>
  <si>
    <r>
      <rPr>
        <b val="true"/>
        <sz val="11"/>
        <rFont val="Noto Sans CJK SC"/>
        <family val="2"/>
      </rPr>
      <t xml:space="preserve">全年平均 </t>
    </r>
    <r>
      <rPr>
        <b val="true"/>
        <sz val="11"/>
        <rFont val="Cambria"/>
        <family val="0"/>
        <charset val="1"/>
      </rPr>
      <t xml:space="preserve">GW</t>
    </r>
  </si>
  <si>
    <r>
      <rPr>
        <b val="true"/>
        <sz val="11"/>
        <rFont val="Noto Sans CJK SC"/>
        <family val="2"/>
      </rPr>
      <t xml:space="preserve">口徑三：</t>
    </r>
    <r>
      <rPr>
        <b val="true"/>
        <sz val="11"/>
        <rFont val="Cambria"/>
        <family val="0"/>
        <charset val="1"/>
      </rPr>
      <t xml:space="preserve">9 </t>
    </r>
    <r>
      <rPr>
        <b val="true"/>
        <sz val="11"/>
        <rFont val="Noto Sans CJK SC"/>
        <family val="2"/>
      </rPr>
      <t xml:space="preserve">月底 </t>
    </r>
    <r>
      <rPr>
        <b val="true"/>
        <sz val="11"/>
        <rFont val="Cambria"/>
        <family val="0"/>
        <charset val="1"/>
      </rPr>
      <t xml:space="preserve">run-rate ÷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　倍數</t>
    </r>
  </si>
  <si>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GW</t>
    </r>
  </si>
  <si>
    <t xml:space="preserve">低</t>
  </si>
  <si>
    <t xml:space="preserve">高</t>
  </si>
  <si>
    <r>
      <rPr>
        <b val="true"/>
        <sz val="11"/>
        <rFont val="Noto Sans CJK SC"/>
        <family val="2"/>
      </rPr>
      <t xml:space="preserve">對照（基準 </t>
    </r>
    <r>
      <rPr>
        <b val="true"/>
        <sz val="11"/>
        <rFont val="Cambria"/>
        <family val="0"/>
        <charset val="1"/>
      </rPr>
      <t xml:space="preserve">1.239</t>
    </r>
    <r>
      <rPr>
        <b val="true"/>
        <sz val="11"/>
        <rFont val="Noto Sans CJK SC"/>
        <family val="2"/>
      </rPr>
      <t xml:space="preserve">）</t>
    </r>
  </si>
  <si>
    <t xml:space="preserve">倍數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</si>
  <si>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季平均，低＋後重，</t>
    </r>
    <r>
      <rPr>
        <sz val="11"/>
        <color theme="1"/>
        <rFont val="Calibri"/>
        <family val="2"/>
        <charset val="1"/>
      </rPr>
      <t xml:space="preserve">h 9.731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</si>
  <si>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季平均，低＋後重，營收 </t>
    </r>
    <r>
      <rPr>
        <sz val="11"/>
        <color theme="1"/>
        <rFont val="Calibri"/>
        <family val="2"/>
        <charset val="1"/>
      </rPr>
      <t xml:space="preserve">26.8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報導 </t>
    </r>
    <r>
      <rPr>
        <sz val="11"/>
        <color theme="1"/>
        <rFont val="Calibri"/>
        <family val="2"/>
        <charset val="1"/>
      </rPr>
      <t xml:space="preserve">6.7×4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h 9.796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</si>
  <si>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季平均，低＋後重，</t>
    </r>
    <r>
      <rPr>
        <sz val="11"/>
        <color theme="1"/>
        <rFont val="Calibri"/>
        <family val="2"/>
        <charset val="1"/>
      </rPr>
      <t xml:space="preserve">h 9.796</t>
    </r>
  </si>
  <si>
    <r>
      <rPr>
        <sz val="11"/>
        <color theme="1"/>
        <rFont val="Calibri"/>
        <family val="2"/>
        <charset val="1"/>
      </rPr>
      <t xml:space="preserve">Friar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100 </t>
    </r>
    <r>
      <rPr>
        <sz val="11"/>
        <color theme="1"/>
        <rFont val="Noto Sans CJK SC"/>
        <family val="2"/>
      </rPr>
      <t xml:space="preserve">億營收 </t>
    </r>
    <r>
      <rPr>
        <sz val="11"/>
        <color theme="1"/>
        <rFont val="Calibri"/>
        <family val="2"/>
        <charset val="1"/>
      </rPr>
      <t xml:space="preserve">÷ h 9.796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G23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</si>
  <si>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互換（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顆數；世代比例為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</si>
  <si>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</si>
  <si>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Noto Sans CJK SC"/>
        <family val="2"/>
      </rPr>
      <t xml:space="preserve">顆／</t>
    </r>
    <r>
      <rPr>
        <sz val="11"/>
        <color theme="1"/>
        <rFont val="Calibri"/>
        <family val="2"/>
        <charset val="1"/>
      </rPr>
      <t xml:space="preserve">GW</t>
    </r>
  </si>
  <si>
    <t xml:space="preserve">TK</t>
  </si>
  <si>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</si>
  <si>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占比</t>
    </r>
  </si>
  <si>
    <t xml:space="preserve">比例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</si>
  <si>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0.5–0.7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</si>
  <si>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與前段『約 </t>
    </r>
    <r>
      <rPr>
        <sz val="11"/>
        <color theme="1"/>
        <rFont val="Calibri"/>
        <family val="2"/>
        <charset val="1"/>
      </rPr>
      <t xml:space="preserve">63 </t>
    </r>
    <r>
      <rPr>
        <sz val="11"/>
        <color theme="1"/>
        <rFont val="Noto Sans CJK SC"/>
        <family val="2"/>
      </rPr>
      <t xml:space="preserve">萬顆／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』相符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</si>
  <si>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</si>
  <si>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0.3–0.5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</si>
  <si>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新增以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／後續世代為主</t>
    </r>
  </si>
  <si>
    <r>
      <rPr>
        <sz val="11"/>
        <color theme="1"/>
        <rFont val="Noto Sans CJK SC"/>
        <family val="2"/>
      </rPr>
      <t xml:space="preserve">混合每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</si>
  <si>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Calibri"/>
        <family val="2"/>
        <charset val="1"/>
      </rPr>
      <t xml:space="preserve">1.9 GW </t>
    </r>
    <r>
      <rPr>
        <sz val="11"/>
        <color theme="1"/>
        <rFont val="Noto Sans CJK SC"/>
        <family val="2"/>
      </rPr>
      <t xml:space="preserve">對應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</si>
  <si>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Altman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well over 1 million</t>
    </r>
    <r>
      <rPr>
        <sz val="11"/>
        <color theme="1"/>
        <rFont val="Noto Sans CJK SC"/>
        <family val="2"/>
      </rPr>
      <t xml:space="preserve">』（</t>
    </r>
    <r>
      <rPr>
        <sz val="11"/>
        <color theme="1"/>
        <rFont val="Calibri"/>
        <family val="2"/>
        <charset val="1"/>
      </rPr>
      <t xml:space="preserve">G03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</si>
  <si>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&gt;1 </t>
    </r>
    <r>
      <rPr>
        <sz val="11"/>
        <color theme="1"/>
        <rFont val="Noto Sans CJK SC"/>
        <family val="2"/>
      </rPr>
      <t xml:space="preserve">即相容）</t>
    </r>
  </si>
  <si>
    <r>
      <rPr>
        <sz val="11"/>
        <color theme="1"/>
        <rFont val="Calibri"/>
        <family val="2"/>
        <charset val="1"/>
      </rPr>
      <t xml:space="preserve">Epoch 1.743M H100e ÷ 1.9 GW</t>
    </r>
    <r>
      <rPr>
        <sz val="11"/>
        <color theme="1"/>
        <rFont val="Noto Sans CJK SC"/>
        <family val="2"/>
      </rPr>
      <t xml:space="preserve">＝每 </t>
    </r>
    <r>
      <rPr>
        <sz val="11"/>
        <color theme="1"/>
        <rFont val="Calibri"/>
        <family val="2"/>
        <charset val="1"/>
      </rPr>
      <t xml:space="preserve">GW H100e</t>
    </r>
  </si>
  <si>
    <r>
      <rPr>
        <b val="true"/>
        <sz val="11"/>
        <rFont val="Cambria"/>
        <family val="0"/>
        <charset val="1"/>
      </rPr>
      <t xml:space="preserve">Abilene </t>
    </r>
    <r>
      <rPr>
        <b val="true"/>
        <sz val="11"/>
        <rFont val="Noto Sans CJK SC"/>
        <family val="2"/>
      </rPr>
      <t xml:space="preserve">檢查（</t>
    </r>
    <r>
      <rPr>
        <b val="true"/>
        <sz val="11"/>
        <rFont val="Cambria"/>
        <family val="0"/>
        <charset val="1"/>
      </rPr>
      <t xml:space="preserve">G06/G07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</si>
  <si>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完工 </t>
    </r>
    <r>
      <rPr>
        <sz val="11"/>
        <color theme="1"/>
        <rFont val="Calibri"/>
        <family val="2"/>
        <charset val="1"/>
      </rPr>
      <t xml:space="preserve">1.0M H100e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1.2 GW </t>
    </r>
    <r>
      <rPr>
        <sz val="11"/>
        <color theme="1"/>
        <rFont val="Noto Sans CJK SC"/>
        <family val="2"/>
      </rPr>
      <t xml:space="preserve">設施</t>
    </r>
  </si>
  <si>
    <r>
      <rPr>
        <sz val="11"/>
        <color theme="1"/>
        <rFont val="Calibri"/>
        <family val="2"/>
        <charset val="1"/>
      </rPr>
      <t xml:space="preserve">H100e</t>
    </r>
    <r>
      <rPr>
        <sz val="11"/>
        <color theme="1"/>
        <rFont val="Noto Sans CJK SC"/>
        <family val="2"/>
      </rPr>
      <t xml:space="preserve">／設施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</si>
  <si>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509k H100e </t>
    </r>
    <r>
      <rPr>
        <sz val="11"/>
        <color theme="1"/>
        <rFont val="Noto Sans CJK SC"/>
        <family val="2"/>
      </rPr>
      <t xml:space="preserve">對應設施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</si>
  <si>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自給 </t>
    </r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2026-07 IT </t>
    </r>
    <r>
      <rPr>
        <sz val="11"/>
        <color theme="1"/>
        <rFont val="Noto Sans CJK SC"/>
        <family val="2"/>
      </rPr>
      <t xml:space="preserve">電力（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</si>
  <si>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2026-11-01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1,019k H100e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843 MW IT →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H100e</t>
    </r>
  </si>
  <si>
    <r>
      <rPr>
        <b val="true"/>
        <sz val="11"/>
        <rFont val="Cambria"/>
        <family val="0"/>
        <charset val="1"/>
      </rPr>
      <t xml:space="preserve">Huang 400,000 GPU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G18</t>
    </r>
    <r>
      <rPr>
        <b val="true"/>
        <sz val="11"/>
        <rFont val="Noto Sans CJK SC"/>
        <family val="2"/>
      </rPr>
      <t xml:space="preserve">）換 </t>
    </r>
    <r>
      <rPr>
        <b val="true"/>
        <sz val="11"/>
        <rFont val="Cambria"/>
        <family val="0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</si>
  <si>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</si>
  <si>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</t>
    </r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</si>
  <si>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年底各情境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對應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顆數（混合每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顆數以 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</si>
  <si>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年底混合每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顆數（新增部分全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的簡化不用，這裡用整體占比）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</si>
</sst>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60"/>
    <col collapsed="false" customWidth="true" hidden="false" outlineLevel="0" max="7" min="6" style="0" width="14"/>
    <col collapsed="false" customWidth="true" hidden="false" outlineLevel="0" max="8" min="8" style="0" width="26"/>
    <col collapsed="false" customWidth="true" hidden="false" outlineLevel="0" max="9" min="9" style="0" width="28"/>
    <col collapsed="false" customWidth="true" hidden="false" outlineLevel="0" max="10" min="10" style="0" width="40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8.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1.9</v>
      </c>
      <c r="G2" s="2" t="s">
        <v>15</v>
      </c>
      <c r="H2" s="3" t="s">
        <v>16</v>
      </c>
      <c r="I2" s="2" t="s">
        <v>17</v>
      </c>
      <c r="J2" s="3" t="s">
        <v>18</v>
      </c>
    </row>
    <row r="3" customFormat="false" ht="48.5" hidden="false" customHeight="false" outlineLevel="0" collapsed="false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n">
        <v>1743000</v>
      </c>
      <c r="G3" s="2" t="s">
        <v>24</v>
      </c>
      <c r="H3" s="2" t="s">
        <v>25</v>
      </c>
      <c r="I3" s="2" t="s">
        <v>26</v>
      </c>
      <c r="J3" s="2" t="s">
        <v>27</v>
      </c>
    </row>
    <row r="4" customFormat="false" ht="64.15" hidden="false" customHeight="false" outlineLevel="0" collapsed="false">
      <c r="A4" s="2" t="s">
        <v>28</v>
      </c>
      <c r="B4" s="2" t="s">
        <v>29</v>
      </c>
      <c r="C4" s="3" t="s">
        <v>30</v>
      </c>
      <c r="D4" s="2" t="s">
        <v>31</v>
      </c>
      <c r="E4" s="3" t="s">
        <v>32</v>
      </c>
      <c r="F4" s="2" t="n">
        <v>1000000</v>
      </c>
      <c r="G4" s="2" t="s">
        <v>33</v>
      </c>
      <c r="H4" s="3" t="s">
        <v>34</v>
      </c>
      <c r="I4" s="2" t="s">
        <v>35</v>
      </c>
      <c r="J4" s="3" t="s">
        <v>36</v>
      </c>
    </row>
    <row r="5" customFormat="false" ht="77.6" hidden="false" customHeight="false" outlineLevel="0" collapsed="false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n">
        <v>10</v>
      </c>
      <c r="G5" s="2" t="s">
        <v>15</v>
      </c>
      <c r="H5" s="3" t="s">
        <v>42</v>
      </c>
      <c r="I5" s="2" t="s">
        <v>43</v>
      </c>
      <c r="J5" s="3" t="s">
        <v>44</v>
      </c>
    </row>
    <row r="6" customFormat="false" ht="108.95" hidden="false" customHeight="false" outlineLevel="0" collapsed="false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n">
        <v>3.5</v>
      </c>
      <c r="G6" s="2" t="s">
        <v>50</v>
      </c>
      <c r="H6" s="2" t="s">
        <v>51</v>
      </c>
      <c r="I6" s="2" t="s">
        <v>52</v>
      </c>
      <c r="J6" s="2" t="s">
        <v>53</v>
      </c>
    </row>
    <row r="7" customFormat="false" ht="79.85" hidden="false" customHeight="false" outlineLevel="0" collapsed="false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n">
        <v>0.3</v>
      </c>
      <c r="G7" s="2" t="s">
        <v>59</v>
      </c>
      <c r="H7" s="3" t="s">
        <v>60</v>
      </c>
      <c r="I7" s="2" t="s">
        <v>61</v>
      </c>
      <c r="J7" s="2" t="s">
        <v>62</v>
      </c>
    </row>
    <row r="8" customFormat="false" ht="48.5" hidden="false" customHeight="false" outlineLevel="0" collapsed="false">
      <c r="A8" s="2" t="s">
        <v>63</v>
      </c>
      <c r="B8" s="2" t="s">
        <v>64</v>
      </c>
      <c r="C8" s="2" t="s">
        <v>65</v>
      </c>
      <c r="D8" s="3" t="s">
        <v>66</v>
      </c>
      <c r="E8" s="2" t="s">
        <v>67</v>
      </c>
      <c r="F8" s="2" t="n">
        <v>509000</v>
      </c>
      <c r="G8" s="2" t="s">
        <v>24</v>
      </c>
      <c r="H8" s="3" t="s">
        <v>68</v>
      </c>
      <c r="I8" s="2" t="s">
        <v>69</v>
      </c>
      <c r="J8" s="2" t="s">
        <v>70</v>
      </c>
    </row>
    <row r="9" customFormat="false" ht="64.15" hidden="false" customHeight="false" outlineLevel="0" collapsed="false">
      <c r="A9" s="2" t="s">
        <v>71</v>
      </c>
      <c r="B9" s="2" t="s">
        <v>72</v>
      </c>
      <c r="C9" s="3" t="s">
        <v>73</v>
      </c>
      <c r="D9" s="2" t="s">
        <v>57</v>
      </c>
      <c r="E9" s="2" t="s">
        <v>74</v>
      </c>
      <c r="F9" s="2"/>
      <c r="G9" s="2" t="s">
        <v>75</v>
      </c>
      <c r="H9" s="3" t="s">
        <v>76</v>
      </c>
      <c r="I9" s="2" t="s">
        <v>77</v>
      </c>
      <c r="J9" s="2" t="s">
        <v>78</v>
      </c>
    </row>
    <row r="10" customFormat="false" ht="32.8" hidden="false" customHeight="false" outlineLevel="0" collapsed="false">
      <c r="A10" s="2" t="s">
        <v>79</v>
      </c>
      <c r="B10" s="2" t="s">
        <v>80</v>
      </c>
      <c r="C10" s="2" t="s">
        <v>81</v>
      </c>
      <c r="D10" s="2" t="s">
        <v>82</v>
      </c>
      <c r="E10" s="2" t="s">
        <v>83</v>
      </c>
      <c r="F10" s="2" t="n">
        <v>1.2</v>
      </c>
      <c r="G10" s="2" t="s">
        <v>84</v>
      </c>
      <c r="H10" s="3" t="s">
        <v>85</v>
      </c>
      <c r="I10" s="3" t="s">
        <v>86</v>
      </c>
      <c r="J10" s="3" t="s">
        <v>87</v>
      </c>
    </row>
    <row r="11" customFormat="false" ht="64.15" hidden="false" customHeight="false" outlineLevel="0" collapsed="false">
      <c r="A11" s="2" t="s">
        <v>88</v>
      </c>
      <c r="B11" s="2" t="s">
        <v>89</v>
      </c>
      <c r="C11" s="2" t="s">
        <v>90</v>
      </c>
      <c r="D11" s="2" t="s">
        <v>91</v>
      </c>
      <c r="E11" s="2" t="s">
        <v>92</v>
      </c>
      <c r="F11" s="2" t="n">
        <v>1.5</v>
      </c>
      <c r="G11" s="2" t="s">
        <v>93</v>
      </c>
      <c r="H11" s="2" t="s">
        <v>94</v>
      </c>
      <c r="I11" s="2" t="s">
        <v>95</v>
      </c>
      <c r="J11" s="2" t="s">
        <v>96</v>
      </c>
    </row>
    <row r="12" customFormat="false" ht="48.5" hidden="false" customHeight="false" outlineLevel="0" collapsed="false">
      <c r="A12" s="2" t="s">
        <v>97</v>
      </c>
      <c r="B12" s="2" t="s">
        <v>98</v>
      </c>
      <c r="C12" s="2" t="s">
        <v>99</v>
      </c>
      <c r="D12" s="2" t="s">
        <v>100</v>
      </c>
      <c r="E12" s="3" t="s">
        <v>101</v>
      </c>
      <c r="F12" s="2" t="n">
        <v>1</v>
      </c>
      <c r="G12" s="2" t="s">
        <v>102</v>
      </c>
      <c r="H12" s="3" t="s">
        <v>103</v>
      </c>
      <c r="I12" s="3" t="s">
        <v>104</v>
      </c>
      <c r="J12" s="3" t="s">
        <v>105</v>
      </c>
    </row>
    <row r="13" customFormat="false" ht="48.5" hidden="false" customHeight="false" outlineLevel="0" collapsed="false">
      <c r="A13" s="2" t="s">
        <v>106</v>
      </c>
      <c r="B13" s="2" t="s">
        <v>107</v>
      </c>
      <c r="C13" s="2" t="s">
        <v>108</v>
      </c>
      <c r="D13" s="2" t="s">
        <v>109</v>
      </c>
      <c r="E13" s="2" t="s">
        <v>110</v>
      </c>
      <c r="F13" s="2"/>
      <c r="G13" s="2" t="s">
        <v>75</v>
      </c>
      <c r="H13" s="3" t="s">
        <v>111</v>
      </c>
      <c r="I13" s="2" t="s">
        <v>112</v>
      </c>
      <c r="J13" s="3" t="s">
        <v>113</v>
      </c>
    </row>
    <row r="14" customFormat="false" ht="32.8" hidden="false" customHeight="false" outlineLevel="0" collapsed="false">
      <c r="A14" s="2" t="s">
        <v>114</v>
      </c>
      <c r="B14" s="2" t="s">
        <v>115</v>
      </c>
      <c r="C14" s="2" t="s">
        <v>116</v>
      </c>
      <c r="D14" s="2" t="s">
        <v>117</v>
      </c>
      <c r="E14" s="2" t="s">
        <v>118</v>
      </c>
      <c r="F14" s="2" t="n">
        <v>50</v>
      </c>
      <c r="G14" s="3" t="s">
        <v>119</v>
      </c>
      <c r="H14" s="2" t="s">
        <v>120</v>
      </c>
      <c r="I14" s="2" t="s">
        <v>121</v>
      </c>
      <c r="J14" s="3" t="s">
        <v>122</v>
      </c>
    </row>
    <row r="15" customFormat="false" ht="61.9" hidden="false" customHeight="false" outlineLevel="0" collapsed="false">
      <c r="A15" s="2" t="s">
        <v>123</v>
      </c>
      <c r="B15" s="2" t="s">
        <v>124</v>
      </c>
      <c r="C15" s="2" t="s">
        <v>125</v>
      </c>
      <c r="D15" s="2" t="s">
        <v>126</v>
      </c>
      <c r="E15" s="2" t="s">
        <v>127</v>
      </c>
      <c r="F15" s="2" t="n">
        <v>1</v>
      </c>
      <c r="G15" s="2" t="s">
        <v>128</v>
      </c>
      <c r="H15" s="3" t="s">
        <v>129</v>
      </c>
      <c r="I15" s="2" t="s">
        <v>130</v>
      </c>
      <c r="J15" s="3" t="s">
        <v>131</v>
      </c>
    </row>
    <row r="16" customFormat="false" ht="48.5" hidden="false" customHeight="false" outlineLevel="0" collapsed="false">
      <c r="A16" s="2" t="s">
        <v>132</v>
      </c>
      <c r="B16" s="2" t="s">
        <v>133</v>
      </c>
      <c r="C16" s="2" t="s">
        <v>134</v>
      </c>
      <c r="D16" s="2" t="s">
        <v>135</v>
      </c>
      <c r="E16" s="2" t="s">
        <v>136</v>
      </c>
      <c r="F16" s="2" t="n">
        <v>1</v>
      </c>
      <c r="G16" s="2" t="s">
        <v>137</v>
      </c>
      <c r="H16" s="3" t="s">
        <v>138</v>
      </c>
      <c r="I16" s="2" t="s">
        <v>139</v>
      </c>
      <c r="J16" s="3" t="s">
        <v>140</v>
      </c>
    </row>
    <row r="17" customFormat="false" ht="32.8" hidden="false" customHeight="false" outlineLevel="0" collapsed="false">
      <c r="A17" s="2" t="s">
        <v>141</v>
      </c>
      <c r="B17" s="2" t="s">
        <v>142</v>
      </c>
      <c r="C17" s="2" t="s">
        <v>143</v>
      </c>
      <c r="D17" s="2" t="s">
        <v>144</v>
      </c>
      <c r="E17" s="2" t="s">
        <v>145</v>
      </c>
      <c r="F17" s="2" t="n">
        <v>0.75</v>
      </c>
      <c r="G17" s="2" t="s">
        <v>146</v>
      </c>
      <c r="H17" s="3" t="s">
        <v>147</v>
      </c>
      <c r="I17" s="2" t="s">
        <v>148</v>
      </c>
      <c r="J17" s="3" t="s">
        <v>149</v>
      </c>
    </row>
    <row r="18" customFormat="false" ht="64.15" hidden="false" customHeight="false" outlineLevel="0" collapsed="false">
      <c r="A18" s="2" t="s">
        <v>150</v>
      </c>
      <c r="B18" s="2" t="s">
        <v>151</v>
      </c>
      <c r="C18" s="2" t="s">
        <v>152</v>
      </c>
      <c r="D18" s="2" t="s">
        <v>153</v>
      </c>
      <c r="E18" s="3" t="s">
        <v>154</v>
      </c>
      <c r="F18" s="2" t="n">
        <v>400000</v>
      </c>
      <c r="G18" s="2" t="s">
        <v>33</v>
      </c>
      <c r="H18" s="3" t="s">
        <v>155</v>
      </c>
      <c r="I18" s="2" t="s">
        <v>156</v>
      </c>
      <c r="J18" s="3" t="s">
        <v>157</v>
      </c>
    </row>
    <row r="19" customFormat="false" ht="32.8" hidden="false" customHeight="false" outlineLevel="0" collapsed="false">
      <c r="A19" s="2" t="s">
        <v>158</v>
      </c>
      <c r="B19" s="2" t="s">
        <v>159</v>
      </c>
      <c r="C19" s="2" t="s">
        <v>160</v>
      </c>
      <c r="D19" s="2" t="s">
        <v>161</v>
      </c>
      <c r="E19" s="3" t="s">
        <v>162</v>
      </c>
      <c r="F19" s="2" t="n">
        <v>2.45</v>
      </c>
      <c r="G19" s="2" t="s">
        <v>163</v>
      </c>
      <c r="H19" s="3" t="s">
        <v>164</v>
      </c>
      <c r="I19" s="2" t="s">
        <v>165</v>
      </c>
      <c r="J19" s="3" t="s">
        <v>166</v>
      </c>
    </row>
    <row r="20" customFormat="false" ht="32.8" hidden="false" customHeight="false" outlineLevel="0" collapsed="false">
      <c r="A20" s="2" t="s">
        <v>167</v>
      </c>
      <c r="B20" s="2" t="s">
        <v>168</v>
      </c>
      <c r="C20" s="2" t="s">
        <v>169</v>
      </c>
      <c r="D20" s="2" t="s">
        <v>170</v>
      </c>
      <c r="E20" s="3" t="s">
        <v>171</v>
      </c>
      <c r="F20" s="2" t="n">
        <v>6000000000</v>
      </c>
      <c r="G20" s="2" t="s">
        <v>172</v>
      </c>
      <c r="H20" s="2" t="s">
        <v>173</v>
      </c>
      <c r="I20" s="2" t="s">
        <v>174</v>
      </c>
      <c r="J20" s="3" t="s">
        <v>175</v>
      </c>
    </row>
    <row r="21" customFormat="false" ht="111.15" hidden="false" customHeight="false" outlineLevel="0" collapsed="false">
      <c r="A21" s="2" t="s">
        <v>176</v>
      </c>
      <c r="B21" s="2" t="s">
        <v>177</v>
      </c>
      <c r="C21" s="2" t="s">
        <v>178</v>
      </c>
      <c r="D21" s="2" t="s">
        <v>179</v>
      </c>
      <c r="E21" s="2" t="s">
        <v>180</v>
      </c>
      <c r="F21" s="2" t="n">
        <v>15000000000</v>
      </c>
      <c r="G21" s="2" t="s">
        <v>172</v>
      </c>
      <c r="H21" s="2" t="s">
        <v>181</v>
      </c>
      <c r="I21" s="2" t="s">
        <v>182</v>
      </c>
      <c r="J21" s="3" t="s">
        <v>183</v>
      </c>
    </row>
    <row r="22" customFormat="false" ht="32.8" hidden="false" customHeight="false" outlineLevel="0" collapsed="false">
      <c r="A22" s="2" t="s">
        <v>184</v>
      </c>
      <c r="B22" s="2" t="s">
        <v>185</v>
      </c>
      <c r="C22" s="2" t="s">
        <v>186</v>
      </c>
      <c r="D22" s="2" t="s">
        <v>187</v>
      </c>
      <c r="E22" s="2" t="s">
        <v>188</v>
      </c>
      <c r="F22" s="2" t="n">
        <v>100000000000</v>
      </c>
      <c r="G22" s="2" t="s">
        <v>189</v>
      </c>
      <c r="H22" s="3" t="s">
        <v>190</v>
      </c>
      <c r="I22" s="2" t="s">
        <v>191</v>
      </c>
      <c r="J22" s="3" t="s">
        <v>192</v>
      </c>
    </row>
    <row r="23" customFormat="false" ht="32.8" hidden="false" customHeight="false" outlineLevel="0" collapsed="false">
      <c r="A23" s="2" t="s">
        <v>193</v>
      </c>
      <c r="B23" s="2" t="s">
        <v>194</v>
      </c>
      <c r="C23" s="2" t="s">
        <v>195</v>
      </c>
      <c r="D23" s="2" t="s">
        <v>196</v>
      </c>
      <c r="E23" s="3" t="s">
        <v>197</v>
      </c>
      <c r="F23" s="2"/>
      <c r="G23" s="2" t="s">
        <v>75</v>
      </c>
      <c r="H23" s="3" t="s">
        <v>198</v>
      </c>
      <c r="I23" s="2" t="s">
        <v>199</v>
      </c>
      <c r="J23" s="3" t="s">
        <v>200</v>
      </c>
    </row>
    <row r="24" customFormat="false" ht="32.8" hidden="false" customHeight="false" outlineLevel="0" collapsed="false">
      <c r="A24" s="2" t="s">
        <v>201</v>
      </c>
      <c r="B24" s="2" t="s">
        <v>202</v>
      </c>
      <c r="C24" s="2" t="s">
        <v>203</v>
      </c>
      <c r="D24" s="2" t="s">
        <v>204</v>
      </c>
      <c r="E24" s="2" t="s">
        <v>205</v>
      </c>
      <c r="F24" s="2" t="n">
        <v>2500000000</v>
      </c>
      <c r="G24" s="3" t="s">
        <v>206</v>
      </c>
      <c r="H24" s="3" t="s">
        <v>207</v>
      </c>
      <c r="I24" s="2" t="s">
        <v>208</v>
      </c>
      <c r="J24" s="2" t="s">
        <v>209</v>
      </c>
    </row>
    <row r="25" customFormat="false" ht="79.85" hidden="false" customHeight="false" outlineLevel="0" collapsed="false">
      <c r="A25" s="2" t="s">
        <v>210</v>
      </c>
      <c r="B25" s="2" t="s">
        <v>211</v>
      </c>
      <c r="C25" s="2" t="s">
        <v>212</v>
      </c>
      <c r="D25" s="2" t="s">
        <v>213</v>
      </c>
      <c r="E25" s="2" t="s">
        <v>214</v>
      </c>
      <c r="F25" s="2" t="n">
        <v>1000000000</v>
      </c>
      <c r="G25" s="3" t="s">
        <v>215</v>
      </c>
      <c r="H25" s="3" t="s">
        <v>216</v>
      </c>
      <c r="I25" s="2" t="s">
        <v>208</v>
      </c>
      <c r="J25" s="3" t="s">
        <v>217</v>
      </c>
    </row>
    <row r="26" customFormat="false" ht="64.15" hidden="false" customHeight="false" outlineLevel="0" collapsed="false">
      <c r="A26" s="2" t="s">
        <v>218</v>
      </c>
      <c r="B26" s="2" t="s">
        <v>219</v>
      </c>
      <c r="C26" s="2" t="s">
        <v>220</v>
      </c>
      <c r="D26" s="2" t="s">
        <v>221</v>
      </c>
      <c r="E26" s="2" t="s">
        <v>222</v>
      </c>
      <c r="F26" s="2" t="n">
        <v>6.7</v>
      </c>
      <c r="G26" s="3" t="s">
        <v>223</v>
      </c>
      <c r="H26" s="3" t="s">
        <v>224</v>
      </c>
      <c r="I26" s="3" t="s">
        <v>225</v>
      </c>
      <c r="J26" s="3" t="s">
        <v>226</v>
      </c>
    </row>
    <row r="27" customFormat="false" ht="32.8" hidden="false" customHeight="false" outlineLevel="0" collapsed="false">
      <c r="A27" s="2" t="s">
        <v>227</v>
      </c>
      <c r="B27" s="3" t="s">
        <v>228</v>
      </c>
      <c r="C27" s="2" t="s">
        <v>229</v>
      </c>
      <c r="D27" s="2" t="s">
        <v>230</v>
      </c>
      <c r="E27" s="2" t="s">
        <v>231</v>
      </c>
      <c r="F27" s="2" t="n">
        <v>5.5</v>
      </c>
      <c r="G27" s="2" t="s">
        <v>232</v>
      </c>
      <c r="H27" s="3" t="s">
        <v>233</v>
      </c>
      <c r="I27" s="2" t="s">
        <v>234</v>
      </c>
      <c r="J27" s="3" t="s">
        <v>235</v>
      </c>
    </row>
    <row r="28" customFormat="false" ht="48.5" hidden="false" customHeight="false" outlineLevel="0" collapsed="false">
      <c r="A28" s="2" t="s">
        <v>236</v>
      </c>
      <c r="B28" s="2" t="s">
        <v>237</v>
      </c>
      <c r="C28" s="3" t="s">
        <v>238</v>
      </c>
      <c r="D28" s="2" t="s">
        <v>239</v>
      </c>
      <c r="E28" s="2" t="s">
        <v>240</v>
      </c>
      <c r="F28" s="2" t="n">
        <v>1.2</v>
      </c>
      <c r="G28" s="2" t="s">
        <v>241</v>
      </c>
      <c r="H28" s="3" t="s">
        <v>242</v>
      </c>
      <c r="I28" s="3" t="s">
        <v>243</v>
      </c>
      <c r="J28" s="2" t="s">
        <v>244</v>
      </c>
    </row>
    <row r="29" customFormat="false" ht="32.8" hidden="false" customHeight="false" outlineLevel="0" collapsed="false">
      <c r="A29" s="2" t="s">
        <v>245</v>
      </c>
      <c r="B29" s="2" t="s">
        <v>246</v>
      </c>
      <c r="C29" s="2" t="s">
        <v>247</v>
      </c>
      <c r="D29" s="2" t="s">
        <v>248</v>
      </c>
      <c r="E29" s="2" t="s">
        <v>249</v>
      </c>
      <c r="F29" s="2" t="n">
        <v>2</v>
      </c>
      <c r="G29" s="2" t="s">
        <v>250</v>
      </c>
      <c r="H29" s="3" t="s">
        <v>251</v>
      </c>
      <c r="I29" s="3" t="s">
        <v>243</v>
      </c>
      <c r="J29" s="2" t="s">
        <v>252</v>
      </c>
    </row>
    <row r="30" customFormat="false" ht="46.25" hidden="false" customHeight="false" outlineLevel="0" collapsed="false">
      <c r="A30" s="2" t="s">
        <v>253</v>
      </c>
      <c r="B30" s="2" t="s">
        <v>254</v>
      </c>
      <c r="C30" s="3" t="s">
        <v>255</v>
      </c>
      <c r="D30" s="2" t="s">
        <v>256</v>
      </c>
      <c r="E30" s="3" t="s">
        <v>257</v>
      </c>
      <c r="F30" s="2" t="n">
        <v>10</v>
      </c>
      <c r="G30" s="3" t="s">
        <v>258</v>
      </c>
      <c r="H30" s="3" t="s">
        <v>259</v>
      </c>
      <c r="I30" s="2" t="s">
        <v>112</v>
      </c>
      <c r="J30" s="3" t="s">
        <v>260</v>
      </c>
    </row>
    <row r="31" customFormat="false" ht="32.8" hidden="false" customHeight="false" outlineLevel="0" collapsed="false">
      <c r="A31" s="2" t="s">
        <v>261</v>
      </c>
      <c r="B31" s="2" t="s">
        <v>262</v>
      </c>
      <c r="C31" s="3" t="s">
        <v>263</v>
      </c>
      <c r="D31" s="2" t="s">
        <v>117</v>
      </c>
      <c r="E31" s="2" t="s">
        <v>264</v>
      </c>
      <c r="F31" s="2" t="n">
        <v>16.7</v>
      </c>
      <c r="G31" s="3" t="s">
        <v>265</v>
      </c>
      <c r="H31" s="3" t="s">
        <v>266</v>
      </c>
      <c r="I31" s="2" t="s">
        <v>121</v>
      </c>
      <c r="J31" s="3" t="s">
        <v>267</v>
      </c>
    </row>
    <row r="32" customFormat="false" ht="17.15" hidden="false" customHeight="false" outlineLevel="0" collapsed="false">
      <c r="A32" s="2" t="s">
        <v>268</v>
      </c>
      <c r="B32" s="2" t="s">
        <v>269</v>
      </c>
      <c r="C32" s="3" t="s">
        <v>270</v>
      </c>
      <c r="D32" s="2" t="s">
        <v>256</v>
      </c>
      <c r="E32" s="3" t="s">
        <v>271</v>
      </c>
      <c r="F32" s="2"/>
      <c r="G32" s="2" t="s">
        <v>75</v>
      </c>
      <c r="H32" s="3" t="s">
        <v>272</v>
      </c>
      <c r="I32" s="3" t="s">
        <v>273</v>
      </c>
      <c r="J32" s="3" t="s">
        <v>274</v>
      </c>
    </row>
    <row r="33" customFormat="false" ht="48.5" hidden="false" customHeight="false" outlineLevel="0" collapsed="false">
      <c r="A33" s="2" t="s">
        <v>275</v>
      </c>
      <c r="B33" s="2" t="s">
        <v>276</v>
      </c>
      <c r="C33" s="3" t="s">
        <v>277</v>
      </c>
      <c r="D33" s="2" t="s">
        <v>256</v>
      </c>
      <c r="E33" s="2" t="s">
        <v>278</v>
      </c>
      <c r="F33" s="2" t="n">
        <v>2</v>
      </c>
      <c r="G33" s="2" t="s">
        <v>279</v>
      </c>
      <c r="H33" s="3" t="s">
        <v>280</v>
      </c>
      <c r="I33" s="2" t="s">
        <v>281</v>
      </c>
      <c r="J33" s="3" t="s">
        <v>282</v>
      </c>
    </row>
    <row r="34" customFormat="false" ht="32.8" hidden="false" customHeight="false" outlineLevel="0" collapsed="false">
      <c r="A34" s="2" t="s">
        <v>283</v>
      </c>
      <c r="B34" s="2" t="s">
        <v>284</v>
      </c>
      <c r="C34" s="3" t="s">
        <v>285</v>
      </c>
      <c r="D34" s="2" t="s">
        <v>256</v>
      </c>
      <c r="E34" s="2" t="s">
        <v>286</v>
      </c>
      <c r="F34" s="2"/>
      <c r="G34" s="2" t="s">
        <v>75</v>
      </c>
      <c r="H34" s="3" t="s">
        <v>287</v>
      </c>
      <c r="I34" s="2" t="s">
        <v>288</v>
      </c>
      <c r="J34" s="3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50"/>
    <col collapsed="false" customWidth="true" hidden="false" outlineLevel="0" max="4" min="4" style="0" width="70"/>
  </cols>
  <sheetData>
    <row r="1" customFormat="false" ht="17.15" hidden="false" customHeight="false" outlineLevel="0" collapsed="false">
      <c r="A1" s="1" t="s">
        <v>0</v>
      </c>
      <c r="B1" s="1" t="s">
        <v>290</v>
      </c>
      <c r="C1" s="1" t="s">
        <v>1</v>
      </c>
      <c r="D1" s="1" t="s">
        <v>291</v>
      </c>
    </row>
    <row r="2" customFormat="false" ht="32.8" hidden="false" customHeight="false" outlineLevel="0" collapsed="false">
      <c r="A2" s="2" t="s">
        <v>292</v>
      </c>
      <c r="B2" s="3" t="s">
        <v>293</v>
      </c>
      <c r="C2" s="2" t="s">
        <v>294</v>
      </c>
      <c r="D2" s="2" t="s">
        <v>295</v>
      </c>
    </row>
    <row r="3" customFormat="false" ht="32.8" hidden="false" customHeight="false" outlineLevel="0" collapsed="false">
      <c r="A3" s="2" t="s">
        <v>296</v>
      </c>
      <c r="B3" s="3" t="s">
        <v>293</v>
      </c>
      <c r="C3" s="2" t="s">
        <v>297</v>
      </c>
      <c r="D3" s="3" t="s">
        <v>298</v>
      </c>
    </row>
    <row r="4" customFormat="false" ht="32.8" hidden="false" customHeight="false" outlineLevel="0" collapsed="false">
      <c r="A4" s="2" t="s">
        <v>299</v>
      </c>
      <c r="B4" s="3" t="s">
        <v>293</v>
      </c>
      <c r="C4" s="2" t="s">
        <v>300</v>
      </c>
      <c r="D4" s="2" t="s">
        <v>301</v>
      </c>
    </row>
    <row r="5" customFormat="false" ht="17.15" hidden="false" customHeight="false" outlineLevel="0" collapsed="false">
      <c r="A5" s="2" t="s">
        <v>302</v>
      </c>
      <c r="B5" s="3" t="s">
        <v>293</v>
      </c>
      <c r="C5" s="2" t="s">
        <v>303</v>
      </c>
      <c r="D5" s="3" t="s">
        <v>304</v>
      </c>
    </row>
    <row r="6" customFormat="false" ht="17.15" hidden="false" customHeight="false" outlineLevel="0" collapsed="false">
      <c r="A6" s="2" t="s">
        <v>305</v>
      </c>
      <c r="B6" s="3" t="s">
        <v>293</v>
      </c>
      <c r="C6" s="2" t="s">
        <v>306</v>
      </c>
      <c r="D6" s="3" t="s">
        <v>307</v>
      </c>
    </row>
    <row r="7" customFormat="false" ht="32.8" hidden="false" customHeight="false" outlineLevel="0" collapsed="false">
      <c r="A7" s="2" t="s">
        <v>308</v>
      </c>
      <c r="B7" s="3" t="s">
        <v>293</v>
      </c>
      <c r="C7" s="2" t="s">
        <v>309</v>
      </c>
      <c r="D7" s="3" t="s">
        <v>310</v>
      </c>
    </row>
    <row r="8" customFormat="false" ht="17.15" hidden="false" customHeight="false" outlineLevel="0" collapsed="false">
      <c r="A8" s="2" t="s">
        <v>311</v>
      </c>
      <c r="B8" s="3" t="s">
        <v>293</v>
      </c>
      <c r="C8" s="2" t="s">
        <v>312</v>
      </c>
      <c r="D8" s="2" t="s">
        <v>313</v>
      </c>
    </row>
    <row r="9" customFormat="false" ht="32.8" hidden="false" customHeight="false" outlineLevel="0" collapsed="false">
      <c r="A9" s="2" t="s">
        <v>314</v>
      </c>
      <c r="B9" s="3" t="s">
        <v>293</v>
      </c>
      <c r="C9" s="2" t="s">
        <v>315</v>
      </c>
      <c r="D9" s="3" t="s">
        <v>316</v>
      </c>
    </row>
    <row r="10" customFormat="false" ht="32.8" hidden="false" customHeight="false" outlineLevel="0" collapsed="false">
      <c r="A10" s="2" t="s">
        <v>317</v>
      </c>
      <c r="B10" s="3" t="s">
        <v>318</v>
      </c>
      <c r="C10" s="2" t="s">
        <v>319</v>
      </c>
      <c r="D10" s="3" t="s">
        <v>320</v>
      </c>
    </row>
    <row r="11" customFormat="false" ht="32.8" hidden="false" customHeight="false" outlineLevel="0" collapsed="false">
      <c r="A11" s="2" t="s">
        <v>321</v>
      </c>
      <c r="B11" s="3" t="s">
        <v>318</v>
      </c>
      <c r="C11" s="2" t="s">
        <v>322</v>
      </c>
      <c r="D11" s="3" t="s">
        <v>323</v>
      </c>
    </row>
    <row r="12" customFormat="false" ht="32.8" hidden="false" customHeight="false" outlineLevel="0" collapsed="false">
      <c r="A12" s="2" t="s">
        <v>324</v>
      </c>
      <c r="B12" s="3" t="s">
        <v>318</v>
      </c>
      <c r="C12" s="2" t="s">
        <v>325</v>
      </c>
      <c r="D12" s="3" t="s">
        <v>326</v>
      </c>
    </row>
    <row r="13" customFormat="false" ht="17.15" hidden="false" customHeight="false" outlineLevel="0" collapsed="false">
      <c r="A13" s="2" t="s">
        <v>327</v>
      </c>
      <c r="B13" s="3" t="s">
        <v>328</v>
      </c>
      <c r="C13" s="2" t="s">
        <v>329</v>
      </c>
      <c r="D13" s="3" t="s"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5"/>
    <col collapsed="false" customWidth="true" hidden="false" outlineLevel="0" max="5" min="5" style="0" width="22"/>
    <col collapsed="false" customWidth="true" hidden="false" outlineLevel="0" max="11" min="6" style="0" width="15"/>
  </cols>
  <sheetData>
    <row r="1" customFormat="false" ht="17.15" hidden="false" customHeight="false" outlineLevel="0" collapsed="false">
      <c r="A1" s="4" t="s">
        <v>331</v>
      </c>
    </row>
    <row r="3" customFormat="false" ht="17.15" hidden="false" customHeight="false" outlineLevel="0" collapsed="false">
      <c r="A3" s="1" t="s">
        <v>332</v>
      </c>
      <c r="B3" s="1" t="s">
        <v>333</v>
      </c>
      <c r="C3" s="1" t="s">
        <v>6</v>
      </c>
      <c r="D3" s="1" t="s">
        <v>8</v>
      </c>
      <c r="E3" s="1" t="s">
        <v>334</v>
      </c>
    </row>
    <row r="4" customFormat="false" ht="17.15" hidden="false" customHeight="false" outlineLevel="0" collapsed="false">
      <c r="A4" s="0" t="s">
        <v>335</v>
      </c>
      <c r="B4" s="5" t="n">
        <v>1.9</v>
      </c>
      <c r="C4" s="6" t="s">
        <v>15</v>
      </c>
      <c r="D4" s="6" t="s">
        <v>199</v>
      </c>
      <c r="E4" s="6" t="s">
        <v>336</v>
      </c>
    </row>
    <row r="5" customFormat="false" ht="17.15" hidden="false" customHeight="false" outlineLevel="0" collapsed="false">
      <c r="A5" s="0" t="s">
        <v>337</v>
      </c>
      <c r="B5" s="5" t="n">
        <v>11</v>
      </c>
      <c r="C5" s="6" t="s">
        <v>15</v>
      </c>
      <c r="D5" s="6" t="s">
        <v>338</v>
      </c>
      <c r="E5" s="6" t="s">
        <v>339</v>
      </c>
    </row>
    <row r="6" customFormat="false" ht="17.15" hidden="false" customHeight="false" outlineLevel="0" collapsed="false">
      <c r="A6" s="0" t="s">
        <v>340</v>
      </c>
      <c r="B6" s="5" t="n">
        <v>3</v>
      </c>
      <c r="C6" s="7" t="s">
        <v>341</v>
      </c>
      <c r="D6" s="6" t="s">
        <v>199</v>
      </c>
      <c r="E6" s="6" t="s">
        <v>342</v>
      </c>
    </row>
    <row r="7" customFormat="false" ht="17.15" hidden="false" customHeight="false" outlineLevel="0" collapsed="false">
      <c r="A7" s="7" t="s">
        <v>343</v>
      </c>
      <c r="B7" s="0" t="n">
        <f aca="false">(3+4)/2</f>
        <v>3.5</v>
      </c>
      <c r="C7" s="0" t="s">
        <v>15</v>
      </c>
      <c r="D7" s="0" t="s">
        <v>344</v>
      </c>
      <c r="E7" s="0" t="s">
        <v>345</v>
      </c>
    </row>
    <row r="9" customFormat="false" ht="17.15" hidden="false" customHeight="false" outlineLevel="0" collapsed="false">
      <c r="A9" s="8" t="s">
        <v>346</v>
      </c>
    </row>
    <row r="10" customFormat="false" ht="17.15" hidden="false" customHeight="false" outlineLevel="0" collapsed="false">
      <c r="A10" s="1" t="s">
        <v>347</v>
      </c>
      <c r="B10" s="9" t="s">
        <v>348</v>
      </c>
      <c r="C10" s="9" t="s">
        <v>349</v>
      </c>
      <c r="D10" s="9" t="s">
        <v>350</v>
      </c>
      <c r="E10" s="9" t="s">
        <v>351</v>
      </c>
      <c r="F10" s="1" t="s">
        <v>334</v>
      </c>
    </row>
    <row r="11" customFormat="false" ht="15" hidden="false" customHeight="false" outlineLevel="0" collapsed="false">
      <c r="A11" s="7" t="s">
        <v>352</v>
      </c>
      <c r="B11" s="5" t="n">
        <v>0.25</v>
      </c>
      <c r="C11" s="5" t="n">
        <v>0.5</v>
      </c>
      <c r="D11" s="5" t="n">
        <v>0.75</v>
      </c>
      <c r="E11" s="5" t="n">
        <v>1</v>
      </c>
      <c r="F11" s="7" t="s">
        <v>353</v>
      </c>
    </row>
    <row r="12" customFormat="false" ht="17.15" hidden="false" customHeight="false" outlineLevel="0" collapsed="false">
      <c r="A12" s="7" t="s">
        <v>354</v>
      </c>
      <c r="B12" s="5" t="n">
        <v>0.1</v>
      </c>
      <c r="C12" s="5" t="n">
        <v>0.25</v>
      </c>
      <c r="D12" s="5" t="n">
        <v>0.55</v>
      </c>
      <c r="E12" s="5" t="n">
        <v>1</v>
      </c>
      <c r="F12" s="7" t="s">
        <v>355</v>
      </c>
    </row>
    <row r="14" customFormat="false" ht="32.8" hidden="false" customHeight="false" outlineLevel="0" collapsed="false">
      <c r="A14" s="1" t="s">
        <v>356</v>
      </c>
      <c r="B14" s="9" t="s">
        <v>357</v>
      </c>
      <c r="C14" s="1" t="s">
        <v>358</v>
      </c>
      <c r="D14" s="1" t="s">
        <v>359</v>
      </c>
      <c r="E14" s="9" t="s">
        <v>348</v>
      </c>
      <c r="F14" s="9" t="s">
        <v>349</v>
      </c>
      <c r="G14" s="9" t="s">
        <v>350</v>
      </c>
      <c r="H14" s="9" t="s">
        <v>351</v>
      </c>
      <c r="I14" s="9" t="s">
        <v>360</v>
      </c>
      <c r="J14" s="9" t="s">
        <v>361</v>
      </c>
      <c r="K14" s="9" t="s">
        <v>362</v>
      </c>
    </row>
    <row r="15" customFormat="false" ht="17.15" hidden="false" customHeight="false" outlineLevel="0" collapsed="false">
      <c r="A15" s="7" t="s">
        <v>363</v>
      </c>
      <c r="B15" s="0" t="n">
        <f aca="false">$B$7</f>
        <v>3.5</v>
      </c>
      <c r="C15" s="0" t="n">
        <v>11</v>
      </c>
      <c r="D15" s="0" t="n">
        <f aca="false">B15-$B$4</f>
        <v>1.6</v>
      </c>
      <c r="E15" s="0" t="n">
        <f aca="false">$B$4+D15*INDEX($B$11:$E$12,C15-10,1)</f>
        <v>2.3</v>
      </c>
      <c r="F15" s="0" t="n">
        <f aca="false">$B$4+D15*INDEX($B$11:$E$12,C15-10,2)</f>
        <v>2.7</v>
      </c>
      <c r="G15" s="0" t="n">
        <f aca="false">$B$4+D15*INDEX($B$11:$E$12,C15-10,3)</f>
        <v>3.1</v>
      </c>
      <c r="H15" s="0" t="n">
        <f aca="false">$B$4+D15*INDEX($B$11:$E$12,C15-10,4)</f>
        <v>3.5</v>
      </c>
      <c r="I15" s="0" t="n">
        <f aca="false">($B$4/2+E15+F15+G15+H15/2)/4</f>
        <v>2.7</v>
      </c>
      <c r="J15" s="0" t="n">
        <f aca="false">F15</f>
        <v>2.7</v>
      </c>
      <c r="K15" s="0" t="n">
        <f aca="false">(E15+F15)/2</f>
        <v>2.5</v>
      </c>
    </row>
    <row r="16" customFormat="false" ht="17.15" hidden="false" customHeight="false" outlineLevel="0" collapsed="false">
      <c r="A16" s="7" t="s">
        <v>364</v>
      </c>
      <c r="B16" s="0" t="n">
        <f aca="false">$B$7</f>
        <v>3.5</v>
      </c>
      <c r="C16" s="0" t="n">
        <v>12</v>
      </c>
      <c r="D16" s="0" t="n">
        <f aca="false">B16-$B$4</f>
        <v>1.6</v>
      </c>
      <c r="E16" s="0" t="n">
        <f aca="false">$B$4+D16*INDEX($B$11:$E$12,C16-10,1)</f>
        <v>2.06</v>
      </c>
      <c r="F16" s="0" t="n">
        <f aca="false">$B$4+D16*INDEX($B$11:$E$12,C16-10,2)</f>
        <v>2.3</v>
      </c>
      <c r="G16" s="0" t="n">
        <f aca="false">$B$4+D16*INDEX($B$11:$E$12,C16-10,3)</f>
        <v>2.78</v>
      </c>
      <c r="H16" s="0" t="n">
        <f aca="false">$B$4+D16*INDEX($B$11:$E$12,C16-10,4)</f>
        <v>3.5</v>
      </c>
      <c r="I16" s="0" t="n">
        <f aca="false">($B$4/2+E16+F16+G16+H16/2)/4</f>
        <v>2.46</v>
      </c>
      <c r="J16" s="0" t="n">
        <f aca="false">F16</f>
        <v>2.3</v>
      </c>
      <c r="K16" s="0" t="n">
        <f aca="false">(E16+F16)/2</f>
        <v>2.18</v>
      </c>
    </row>
    <row r="17" customFormat="false" ht="17.15" hidden="false" customHeight="false" outlineLevel="0" collapsed="false">
      <c r="A17" s="7" t="s">
        <v>365</v>
      </c>
      <c r="B17" s="0" t="n">
        <f aca="false">$B$4*SQRT($B$5/$B$4)</f>
        <v>4.57165178026498</v>
      </c>
      <c r="C17" s="0" t="n">
        <v>11</v>
      </c>
      <c r="D17" s="0" t="n">
        <f aca="false">B17-$B$4</f>
        <v>2.67165178026498</v>
      </c>
      <c r="E17" s="0" t="n">
        <f aca="false">$B$4+D17*INDEX($B$11:$E$12,C17-10,1)</f>
        <v>2.56791294506625</v>
      </c>
      <c r="F17" s="0" t="n">
        <f aca="false">$B$4+D17*INDEX($B$11:$E$12,C17-10,2)</f>
        <v>3.23582589013249</v>
      </c>
      <c r="G17" s="0" t="n">
        <f aca="false">$B$4+D17*INDEX($B$11:$E$12,C17-10,3)</f>
        <v>3.90373883519874</v>
      </c>
      <c r="H17" s="0" t="n">
        <f aca="false">$B$4+D17*INDEX($B$11:$E$12,C17-10,4)</f>
        <v>4.57165178026498</v>
      </c>
      <c r="I17" s="0" t="n">
        <f aca="false">($B$4/2+E17+F17+G17+H17/2)/4</f>
        <v>3.23582589013249</v>
      </c>
      <c r="J17" s="0" t="n">
        <f aca="false">F17</f>
        <v>3.23582589013249</v>
      </c>
      <c r="K17" s="0" t="n">
        <f aca="false">(E17+F17)/2</f>
        <v>2.90186941759937</v>
      </c>
    </row>
    <row r="18" customFormat="false" ht="17.15" hidden="false" customHeight="false" outlineLevel="0" collapsed="false">
      <c r="A18" s="7" t="s">
        <v>366</v>
      </c>
      <c r="B18" s="0" t="n">
        <f aca="false">$B$4*SQRT($B$5/$B$4)</f>
        <v>4.57165178026498</v>
      </c>
      <c r="C18" s="0" t="n">
        <v>12</v>
      </c>
      <c r="D18" s="0" t="n">
        <f aca="false">B18-$B$4</f>
        <v>2.67165178026498</v>
      </c>
      <c r="E18" s="0" t="n">
        <f aca="false">$B$4+D18*INDEX($B$11:$E$12,C18-10,1)</f>
        <v>2.1671651780265</v>
      </c>
      <c r="F18" s="0" t="n">
        <f aca="false">$B$4+D18*INDEX($B$11:$E$12,C18-10,2)</f>
        <v>2.56791294506625</v>
      </c>
      <c r="G18" s="0" t="n">
        <f aca="false">$B$4+D18*INDEX($B$11:$E$12,C18-10,3)</f>
        <v>3.36940847914574</v>
      </c>
      <c r="H18" s="0" t="n">
        <f aca="false">$B$4+D18*INDEX($B$11:$E$12,C18-10,4)</f>
        <v>4.57165178026498</v>
      </c>
      <c r="I18" s="0" t="n">
        <f aca="false">($B$4/2+E18+F18+G18+H18/2)/4</f>
        <v>2.83507812309274</v>
      </c>
      <c r="J18" s="0" t="n">
        <f aca="false">F18</f>
        <v>2.56791294506625</v>
      </c>
      <c r="K18" s="0" t="n">
        <f aca="false">(E18+F18)/2</f>
        <v>2.36753906154637</v>
      </c>
    </row>
    <row r="19" customFormat="false" ht="17.15" hidden="false" customHeight="false" outlineLevel="0" collapsed="false">
      <c r="A19" s="7" t="s">
        <v>367</v>
      </c>
      <c r="B19" s="0" t="n">
        <f aca="false">$B$4*$B$6</f>
        <v>5.7</v>
      </c>
      <c r="C19" s="0" t="n">
        <v>11</v>
      </c>
      <c r="D19" s="0" t="n">
        <f aca="false">B19-$B$4</f>
        <v>3.8</v>
      </c>
      <c r="E19" s="0" t="n">
        <f aca="false">$B$4+D19*INDEX($B$11:$E$12,C19-10,1)</f>
        <v>2.85</v>
      </c>
      <c r="F19" s="0" t="n">
        <f aca="false">$B$4+D19*INDEX($B$11:$E$12,C19-10,2)</f>
        <v>3.8</v>
      </c>
      <c r="G19" s="0" t="n">
        <f aca="false">$B$4+D19*INDEX($B$11:$E$12,C19-10,3)</f>
        <v>4.75</v>
      </c>
      <c r="H19" s="0" t="n">
        <f aca="false">$B$4+D19*INDEX($B$11:$E$12,C19-10,4)</f>
        <v>5.7</v>
      </c>
      <c r="I19" s="0" t="n">
        <f aca="false">($B$4/2+E19+F19+G19+H19/2)/4</f>
        <v>3.8</v>
      </c>
      <c r="J19" s="0" t="n">
        <f aca="false">F19</f>
        <v>3.8</v>
      </c>
      <c r="K19" s="0" t="n">
        <f aca="false">(E19+F19)/2</f>
        <v>3.325</v>
      </c>
    </row>
    <row r="20" customFormat="false" ht="17.15" hidden="false" customHeight="false" outlineLevel="0" collapsed="false">
      <c r="A20" s="7" t="s">
        <v>368</v>
      </c>
      <c r="B20" s="0" t="n">
        <f aca="false">$B$4*$B$6</f>
        <v>5.7</v>
      </c>
      <c r="C20" s="0" t="n">
        <v>12</v>
      </c>
      <c r="D20" s="0" t="n">
        <f aca="false">B20-$B$4</f>
        <v>3.8</v>
      </c>
      <c r="E20" s="0" t="n">
        <f aca="false">$B$4+D20*INDEX($B$11:$E$12,C20-10,1)</f>
        <v>2.28</v>
      </c>
      <c r="F20" s="0" t="n">
        <f aca="false">$B$4+D20*INDEX($B$11:$E$12,C20-10,2)</f>
        <v>2.85</v>
      </c>
      <c r="G20" s="0" t="n">
        <f aca="false">$B$4+D20*INDEX($B$11:$E$12,C20-10,3)</f>
        <v>3.99</v>
      </c>
      <c r="H20" s="0" t="n">
        <f aca="false">$B$4+D20*INDEX($B$11:$E$12,C20-10,4)</f>
        <v>5.7</v>
      </c>
      <c r="I20" s="0" t="n">
        <f aca="false">($B$4/2+E20+F20+G20+H20/2)/4</f>
        <v>3.23</v>
      </c>
      <c r="J20" s="0" t="n">
        <f aca="false">F20</f>
        <v>2.85</v>
      </c>
      <c r="K20" s="0" t="n">
        <f aca="false">(E20+F20)/2</f>
        <v>2.565</v>
      </c>
    </row>
    <row r="22" customFormat="false" ht="15" hidden="false" customHeight="false" outlineLevel="0" collapsed="false">
      <c r="A22" s="8" t="s">
        <v>369</v>
      </c>
    </row>
    <row r="23" customFormat="false" ht="15" hidden="false" customHeight="false" outlineLevel="0" collapsed="false">
      <c r="A23" s="7" t="s">
        <v>370</v>
      </c>
      <c r="I23" s="0" t="n">
        <f aca="false">MIN(I15:I20)</f>
        <v>2.46</v>
      </c>
      <c r="J23" s="0" t="n">
        <f aca="false">MIN(J15:J20)</f>
        <v>2.3</v>
      </c>
      <c r="K23" s="0" t="n">
        <f aca="false">MIN(K15:K20)</f>
        <v>2.18</v>
      </c>
    </row>
    <row r="24" customFormat="false" ht="15" hidden="false" customHeight="false" outlineLevel="0" collapsed="false">
      <c r="A24" s="7" t="s">
        <v>371</v>
      </c>
      <c r="I24" s="0" t="n">
        <f aca="false">MAX(I15:I20)</f>
        <v>3.8</v>
      </c>
      <c r="J24" s="0" t="n">
        <f aca="false">MAX(J15:J20)</f>
        <v>3.8</v>
      </c>
      <c r="K24" s="0" t="n">
        <f aca="false">MAX(K15:K20)</f>
        <v>3.325</v>
      </c>
    </row>
    <row r="25" customFormat="false" ht="15" hidden="false" customHeight="false" outlineLevel="0" collapsed="false">
      <c r="A25" s="7" t="s">
        <v>372</v>
      </c>
      <c r="I25" s="0" t="n">
        <f aca="false">I18</f>
        <v>2.83507812309274</v>
      </c>
      <c r="J25" s="0" t="n">
        <f aca="false">J18</f>
        <v>2.56791294506625</v>
      </c>
      <c r="K25" s="0" t="n">
        <f aca="false">K18</f>
        <v>2.36753906154637</v>
      </c>
      <c r="L25" s="7" t="s">
        <v>354</v>
      </c>
    </row>
    <row r="26" customFormat="false" ht="15" hidden="false" customHeight="false" outlineLevel="0" collapsed="false">
      <c r="A26" s="7" t="s">
        <v>373</v>
      </c>
      <c r="I26" s="0" t="n">
        <f aca="false">I17</f>
        <v>3.23582589013249</v>
      </c>
      <c r="J26" s="0" t="n">
        <f aca="false">J17</f>
        <v>3.23582589013249</v>
      </c>
      <c r="K26" s="0" t="n">
        <f aca="false">K17</f>
        <v>2.90186941759937</v>
      </c>
    </row>
    <row r="28" customFormat="false" ht="17.15" hidden="false" customHeight="false" outlineLevel="0" collapsed="false">
      <c r="A28" s="8" t="s">
        <v>374</v>
      </c>
    </row>
    <row r="29" customFormat="false" ht="17.15" hidden="false" customHeight="false" outlineLevel="0" collapsed="false">
      <c r="A29" s="1" t="s">
        <v>332</v>
      </c>
      <c r="B29" s="1" t="s">
        <v>333</v>
      </c>
      <c r="C29" s="1" t="s">
        <v>6</v>
      </c>
      <c r="D29" s="1" t="s">
        <v>8</v>
      </c>
      <c r="E29" s="1" t="s">
        <v>334</v>
      </c>
    </row>
    <row r="30" customFormat="false" ht="17.15" hidden="false" customHeight="false" outlineLevel="0" collapsed="false">
      <c r="A30" s="0" t="s">
        <v>375</v>
      </c>
      <c r="B30" s="5" t="n">
        <v>50</v>
      </c>
      <c r="C30" s="7" t="s">
        <v>119</v>
      </c>
      <c r="D30" s="6" t="s">
        <v>199</v>
      </c>
      <c r="E30" s="6" t="s">
        <v>376</v>
      </c>
    </row>
    <row r="31" customFormat="false" ht="17.15" hidden="false" customHeight="false" outlineLevel="0" collapsed="false">
      <c r="A31" s="0" t="s">
        <v>377</v>
      </c>
      <c r="B31" s="5" t="n">
        <v>20.4</v>
      </c>
      <c r="C31" s="7" t="s">
        <v>119</v>
      </c>
      <c r="D31" s="6" t="s">
        <v>378</v>
      </c>
      <c r="E31" s="7" t="s">
        <v>379</v>
      </c>
    </row>
    <row r="32" customFormat="false" ht="17.15" hidden="false" customHeight="false" outlineLevel="0" collapsed="false">
      <c r="A32" s="0" t="s">
        <v>380</v>
      </c>
      <c r="B32" s="5" t="n">
        <v>16</v>
      </c>
      <c r="C32" s="7" t="s">
        <v>119</v>
      </c>
      <c r="D32" s="6" t="s">
        <v>77</v>
      </c>
      <c r="E32" s="7" t="s">
        <v>381</v>
      </c>
    </row>
    <row r="33" customFormat="false" ht="17.15" hidden="false" customHeight="false" outlineLevel="0" collapsed="false">
      <c r="A33" s="0" t="s">
        <v>382</v>
      </c>
      <c r="B33" s="5" t="n">
        <v>1.128</v>
      </c>
      <c r="C33" s="6" t="s">
        <v>15</v>
      </c>
      <c r="D33" s="6" t="s">
        <v>383</v>
      </c>
      <c r="E33" s="6" t="s">
        <v>384</v>
      </c>
    </row>
    <row r="34" customFormat="false" ht="17.15" hidden="false" customHeight="false" outlineLevel="0" collapsed="false">
      <c r="A34" s="0" t="s">
        <v>385</v>
      </c>
      <c r="B34" s="5" t="n">
        <v>1.25</v>
      </c>
      <c r="C34" s="6" t="s">
        <v>15</v>
      </c>
      <c r="D34" s="6" t="s">
        <v>383</v>
      </c>
      <c r="E34" s="6" t="s">
        <v>386</v>
      </c>
    </row>
    <row r="35" customFormat="false" ht="17.15" hidden="false" customHeight="false" outlineLevel="0" collapsed="false">
      <c r="A35" s="7" t="s">
        <v>387</v>
      </c>
      <c r="B35" s="5" t="n">
        <v>1</v>
      </c>
      <c r="C35" s="7" t="s">
        <v>388</v>
      </c>
      <c r="D35" s="6" t="s">
        <v>389</v>
      </c>
      <c r="E35" s="7" t="s">
        <v>390</v>
      </c>
    </row>
    <row r="36" customFormat="false" ht="17.15" hidden="false" customHeight="false" outlineLevel="0" collapsed="false">
      <c r="A36" s="7" t="s">
        <v>391</v>
      </c>
      <c r="B36" s="5" t="n">
        <v>1.25</v>
      </c>
      <c r="C36" s="7" t="s">
        <v>388</v>
      </c>
      <c r="D36" s="6" t="s">
        <v>389</v>
      </c>
      <c r="E36" s="6" t="s">
        <v>392</v>
      </c>
    </row>
    <row r="38" customFormat="false" ht="17.15" hidden="false" customHeight="false" outlineLevel="0" collapsed="false">
      <c r="A38" s="1" t="s">
        <v>356</v>
      </c>
      <c r="B38" s="1" t="s">
        <v>393</v>
      </c>
      <c r="C38" s="1" t="s">
        <v>291</v>
      </c>
    </row>
    <row r="39" customFormat="false" ht="17.15" hidden="false" customHeight="false" outlineLevel="0" collapsed="false">
      <c r="A39" s="0" t="s">
        <v>394</v>
      </c>
      <c r="B39" s="0" t="n">
        <f aca="false">B33*B30/B31/B35</f>
        <v>2.76470588235294</v>
      </c>
      <c r="C39" s="7" t="s">
        <v>395</v>
      </c>
    </row>
    <row r="40" customFormat="false" ht="17.15" hidden="false" customHeight="false" outlineLevel="0" collapsed="false">
      <c r="A40" s="0" t="s">
        <v>396</v>
      </c>
      <c r="B40" s="0" t="n">
        <f aca="false">B33*B30/B31/B36</f>
        <v>2.21176470588235</v>
      </c>
      <c r="C40" s="7" t="s">
        <v>397</v>
      </c>
    </row>
    <row r="41" customFormat="false" ht="17.15" hidden="false" customHeight="false" outlineLevel="0" collapsed="false">
      <c r="A41" s="0" t="s">
        <v>398</v>
      </c>
      <c r="B41" s="0" t="n">
        <f aca="false">B33*B30/B32/B35</f>
        <v>3.525</v>
      </c>
      <c r="C41" s="7" t="s">
        <v>399</v>
      </c>
    </row>
    <row r="42" customFormat="false" ht="17.15" hidden="false" customHeight="false" outlineLevel="0" collapsed="false">
      <c r="A42" s="0" t="s">
        <v>400</v>
      </c>
      <c r="B42" s="0" t="n">
        <f aca="false">B34*B30/B32/B35</f>
        <v>3.90625</v>
      </c>
      <c r="C42" s="7" t="s">
        <v>401</v>
      </c>
    </row>
    <row r="43" customFormat="false" ht="15" hidden="false" customHeight="false" outlineLevel="0" collapsed="false">
      <c r="A43" s="7" t="s">
        <v>370</v>
      </c>
      <c r="B43" s="0" t="n">
        <f aca="false">MIN(B39:B42)</f>
        <v>2.21176470588235</v>
      </c>
    </row>
    <row r="44" customFormat="false" ht="15" hidden="false" customHeight="false" outlineLevel="0" collapsed="false">
      <c r="A44" s="7" t="s">
        <v>371</v>
      </c>
      <c r="B44" s="0" t="n">
        <f aca="false">MAX(B39:B42)</f>
        <v>3.90625</v>
      </c>
    </row>
    <row r="46" customFormat="false" ht="17.15" hidden="false" customHeight="false" outlineLevel="0" collapsed="false">
      <c r="A46" s="7" t="s">
        <v>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8"/>
  </cols>
  <sheetData>
    <row r="1" customFormat="false" ht="17.15" hidden="false" customHeight="false" outlineLevel="0" collapsed="false">
      <c r="A1" s="8" t="s">
        <v>403</v>
      </c>
    </row>
    <row r="3" customFormat="false" ht="17.15" hidden="false" customHeight="false" outlineLevel="0" collapsed="false">
      <c r="A3" s="1" t="s">
        <v>332</v>
      </c>
      <c r="B3" s="1" t="s">
        <v>333</v>
      </c>
      <c r="C3" s="1" t="s">
        <v>6</v>
      </c>
      <c r="D3" s="1" t="s">
        <v>8</v>
      </c>
      <c r="E3" s="1" t="s">
        <v>334</v>
      </c>
    </row>
    <row r="4" customFormat="false" ht="17.15" hidden="false" customHeight="false" outlineLevel="0" collapsed="false">
      <c r="A4" s="0" t="s">
        <v>404</v>
      </c>
      <c r="B4" s="5" t="n">
        <v>1.239</v>
      </c>
      <c r="C4" s="7" t="s">
        <v>388</v>
      </c>
      <c r="D4" s="6" t="s">
        <v>383</v>
      </c>
      <c r="E4" s="7" t="s">
        <v>405</v>
      </c>
    </row>
    <row r="5" customFormat="false" ht="17.15" hidden="false" customHeight="false" outlineLevel="0" collapsed="false">
      <c r="A5" s="0" t="s">
        <v>406</v>
      </c>
      <c r="B5" s="5" t="n">
        <v>9.796</v>
      </c>
      <c r="C5" s="6" t="s">
        <v>407</v>
      </c>
      <c r="D5" s="6" t="s">
        <v>383</v>
      </c>
      <c r="E5" s="7" t="s">
        <v>405</v>
      </c>
    </row>
    <row r="6" customFormat="false" ht="17.15" hidden="false" customHeight="false" outlineLevel="0" collapsed="false">
      <c r="A6" s="0" t="s">
        <v>408</v>
      </c>
      <c r="B6" s="5" t="n">
        <v>9.731</v>
      </c>
      <c r="C6" s="6" t="s">
        <v>407</v>
      </c>
      <c r="D6" s="6" t="s">
        <v>383</v>
      </c>
      <c r="E6" s="7" t="s">
        <v>405</v>
      </c>
    </row>
    <row r="7" customFormat="false" ht="17.15" hidden="false" customHeight="false" outlineLevel="0" collapsed="false">
      <c r="A7" s="7" t="s">
        <v>409</v>
      </c>
      <c r="B7" s="5" t="n">
        <v>26.3</v>
      </c>
      <c r="C7" s="7" t="s">
        <v>119</v>
      </c>
      <c r="D7" s="7" t="s">
        <v>405</v>
      </c>
      <c r="E7" s="7" t="s">
        <v>410</v>
      </c>
    </row>
    <row r="8" customFormat="false" ht="17.15" hidden="false" customHeight="false" outlineLevel="0" collapsed="false">
      <c r="A8" s="7" t="s">
        <v>411</v>
      </c>
      <c r="B8" s="5" t="n">
        <v>35</v>
      </c>
      <c r="C8" s="7" t="s">
        <v>119</v>
      </c>
      <c r="D8" s="7" t="s">
        <v>405</v>
      </c>
      <c r="E8" s="7" t="s">
        <v>412</v>
      </c>
    </row>
    <row r="9" customFormat="false" ht="17.15" hidden="false" customHeight="false" outlineLevel="0" collapsed="false">
      <c r="A9" s="7" t="s">
        <v>413</v>
      </c>
      <c r="B9" s="5" t="n">
        <v>50</v>
      </c>
      <c r="C9" s="7" t="s">
        <v>119</v>
      </c>
      <c r="D9" s="7" t="s">
        <v>243</v>
      </c>
      <c r="E9" s="7" t="s">
        <v>414</v>
      </c>
    </row>
    <row r="10" customFormat="false" ht="17.15" hidden="false" customHeight="false" outlineLevel="0" collapsed="false">
      <c r="A10" s="8" t="s">
        <v>415</v>
      </c>
    </row>
    <row r="11" customFormat="false" ht="17.15" hidden="false" customHeight="false" outlineLevel="0" collapsed="false">
      <c r="A11" s="0" t="s">
        <v>416</v>
      </c>
      <c r="B11" s="0" t="n">
        <f aca="false">B7/(B4*B5)</f>
        <v>2.1668840141963</v>
      </c>
      <c r="C11" s="0" t="s">
        <v>417</v>
      </c>
    </row>
    <row r="12" customFormat="false" ht="17.15" hidden="false" customHeight="false" outlineLevel="0" collapsed="false">
      <c r="A12" s="0" t="s">
        <v>418</v>
      </c>
      <c r="B12" s="0" t="n">
        <f aca="false">B7/(B4*B6)</f>
        <v>2.1813581135615</v>
      </c>
    </row>
    <row r="13" customFormat="false" ht="17.15" hidden="false" customHeight="false" outlineLevel="0" collapsed="false">
      <c r="A13" s="0" t="s">
        <v>419</v>
      </c>
      <c r="B13" s="0" t="n">
        <f aca="false">B8/(B4*B5)</f>
        <v>2.88368595045135</v>
      </c>
      <c r="C13" s="7" t="s">
        <v>420</v>
      </c>
    </row>
    <row r="14" customFormat="false" ht="17.15" hidden="false" customHeight="false" outlineLevel="0" collapsed="false">
      <c r="A14" s="0" t="s">
        <v>421</v>
      </c>
      <c r="B14" s="0" t="n">
        <f aca="false">B8/(B4*B6)</f>
        <v>2.90294805987272</v>
      </c>
    </row>
    <row r="16" customFormat="false" ht="17.15" hidden="false" customHeight="false" outlineLevel="0" collapsed="false">
      <c r="A16" s="1" t="s">
        <v>422</v>
      </c>
      <c r="B16" s="9" t="s">
        <v>361</v>
      </c>
      <c r="C16" s="1" t="s">
        <v>423</v>
      </c>
      <c r="D16" s="1" t="s">
        <v>424</v>
      </c>
      <c r="E16" s="1" t="s">
        <v>425</v>
      </c>
      <c r="F16" s="1" t="s">
        <v>424</v>
      </c>
    </row>
    <row r="17" customFormat="false" ht="17.15" hidden="false" customHeight="false" outlineLevel="0" collapsed="false">
      <c r="A17" s="0" t="str">
        <f aca="false">換算!A15</f>
        <v>情境（Assumed）低＋線性</v>
      </c>
      <c r="B17" s="0" t="n">
        <f aca="false">換算!J15</f>
        <v>2.7</v>
      </c>
      <c r="C17" s="0" t="n">
        <f aca="false">$B$7/(B17*$B$5)</f>
        <v>0.994358997625637</v>
      </c>
      <c r="D17" s="0" t="n">
        <f aca="false">C17/$B$4</f>
        <v>0.80254963488752</v>
      </c>
      <c r="E17" s="0" t="n">
        <f aca="false">$B$7/(B17*$B$6)</f>
        <v>1.001001001001</v>
      </c>
      <c r="F17" s="0" t="n">
        <f aca="false">E17/$B$4</f>
        <v>0.807910412430186</v>
      </c>
    </row>
    <row r="18" customFormat="false" ht="17.15" hidden="false" customHeight="false" outlineLevel="0" collapsed="false">
      <c r="A18" s="0" t="str">
        <f aca="false">換算!A16</f>
        <v>情境（Assumed）低＋後重</v>
      </c>
      <c r="B18" s="0" t="n">
        <f aca="false">換算!J16</f>
        <v>2.3</v>
      </c>
      <c r="C18" s="0" t="n">
        <f aca="false">$B$7/(B18*$B$5)</f>
        <v>1.1672909972127</v>
      </c>
      <c r="D18" s="0" t="n">
        <f aca="false">C18/$B$4</f>
        <v>0.942123484433176</v>
      </c>
      <c r="E18" s="0" t="n">
        <f aca="false">$B$7/(B18*$B$6)</f>
        <v>1.17508813160987</v>
      </c>
      <c r="F18" s="0" t="n">
        <f aca="false">E18/$B$4</f>
        <v>0.948416571113697</v>
      </c>
    </row>
    <row r="19" customFormat="false" ht="17.15" hidden="false" customHeight="false" outlineLevel="0" collapsed="false">
      <c r="A19" s="0" t="str">
        <f aca="false">換算!A17</f>
        <v>情境（Assumed）基準＋線性</v>
      </c>
      <c r="B19" s="0" t="n">
        <f aca="false">換算!J17</f>
        <v>3.23582589013249</v>
      </c>
      <c r="C19" s="0" t="n">
        <f aca="false">$B$7/(B19*$B$5)</f>
        <v>0.829701406919422</v>
      </c>
      <c r="D19" s="0" t="n">
        <f aca="false">C19/$B$4</f>
        <v>0.669654081452318</v>
      </c>
      <c r="E19" s="0" t="n">
        <f aca="false">$B$7/(B19*$B$6)</f>
        <v>0.83524354970534</v>
      </c>
      <c r="F19" s="0" t="n">
        <f aca="false">E19/$B$4</f>
        <v>0.674127158761372</v>
      </c>
    </row>
    <row r="20" customFormat="false" ht="17.15" hidden="false" customHeight="false" outlineLevel="0" collapsed="false">
      <c r="A20" s="0" t="str">
        <f aca="false">換算!A18</f>
        <v>情境（Assumed）基準＋後重</v>
      </c>
      <c r="B20" s="0" t="n">
        <f aca="false">換算!J18</f>
        <v>2.56791294506625</v>
      </c>
      <c r="C20" s="0" t="n">
        <f aca="false">$B$7/(B20*$B$5)</f>
        <v>1.04550635127546</v>
      </c>
      <c r="D20" s="0" t="n">
        <f aca="false">C20/$B$4</f>
        <v>0.843830791989875</v>
      </c>
      <c r="E20" s="0" t="n">
        <f aca="false">$B$7/(B20*$B$6)</f>
        <v>1.05249000278434</v>
      </c>
      <c r="F20" s="0" t="n">
        <f aca="false">E20/$B$4</f>
        <v>0.849467314595912</v>
      </c>
    </row>
    <row r="21" customFormat="false" ht="17.15" hidden="false" customHeight="false" outlineLevel="0" collapsed="false">
      <c r="A21" s="0" t="str">
        <f aca="false">換算!A19</f>
        <v>情境（Assumed）高＋線性</v>
      </c>
      <c r="B21" s="0" t="n">
        <f aca="false">換算!J19</f>
        <v>3.8</v>
      </c>
      <c r="C21" s="0" t="n">
        <f aca="false">$B$7/(B21*$B$5)</f>
        <v>0.706518235155058</v>
      </c>
      <c r="D21" s="0" t="n">
        <f aca="false">C21/$B$4</f>
        <v>0.570232635314817</v>
      </c>
      <c r="E21" s="0" t="n">
        <f aca="false">$B$7/(B21*$B$6)</f>
        <v>0.711237553342817</v>
      </c>
      <c r="F21" s="0" t="n">
        <f aca="false">E21/$B$4</f>
        <v>0.574041608831975</v>
      </c>
    </row>
    <row r="22" customFormat="false" ht="17.15" hidden="false" customHeight="false" outlineLevel="0" collapsed="false">
      <c r="A22" s="0" t="str">
        <f aca="false">換算!A20</f>
        <v>情境（Assumed）高＋後重</v>
      </c>
      <c r="B22" s="0" t="n">
        <f aca="false">換算!J20</f>
        <v>2.85</v>
      </c>
      <c r="C22" s="0" t="n">
        <f aca="false">$B$7/(B22*$B$5)</f>
        <v>0.942024313540077</v>
      </c>
      <c r="D22" s="0" t="n">
        <f aca="false">C22/$B$4</f>
        <v>0.760310180419756</v>
      </c>
      <c r="E22" s="0" t="n">
        <f aca="false">$B$7/(B22*$B$6)</f>
        <v>0.948316737790422</v>
      </c>
      <c r="F22" s="0" t="n">
        <f aca="false">E22/$B$4</f>
        <v>0.765388811775966</v>
      </c>
    </row>
    <row r="24" customFormat="false" ht="17.15" hidden="false" customHeight="false" outlineLevel="0" collapsed="false">
      <c r="A24" s="1" t="s">
        <v>426</v>
      </c>
      <c r="B24" s="1" t="s">
        <v>393</v>
      </c>
      <c r="C24" s="1" t="s">
        <v>423</v>
      </c>
      <c r="D24" s="1" t="s">
        <v>424</v>
      </c>
      <c r="E24" s="1" t="s">
        <v>425</v>
      </c>
      <c r="F24" s="1" t="s">
        <v>424</v>
      </c>
    </row>
    <row r="25" customFormat="false" ht="17.15" hidden="false" customHeight="false" outlineLevel="0" collapsed="false">
      <c r="A25" s="0" t="str">
        <f aca="false">換算!A15</f>
        <v>情境（Assumed）低＋線性</v>
      </c>
      <c r="B25" s="0" t="n">
        <f aca="false">換算!I15</f>
        <v>2.7</v>
      </c>
      <c r="C25" s="0" t="n">
        <f aca="false">$B$8/(B25*$B$5)</f>
        <v>1.32329144170712</v>
      </c>
      <c r="D25" s="0" t="n">
        <f aca="false">C25/$B$4</f>
        <v>1.0680318335005</v>
      </c>
      <c r="E25" s="0" t="n">
        <f aca="false">$B$8/(B25*$B$6)</f>
        <v>1.33213060969715</v>
      </c>
      <c r="F25" s="0" t="n">
        <f aca="false">E25/$B$4</f>
        <v>1.07516594810101</v>
      </c>
    </row>
    <row r="26" customFormat="false" ht="17.15" hidden="false" customHeight="false" outlineLevel="0" collapsed="false">
      <c r="A26" s="0" t="str">
        <f aca="false">換算!A16</f>
        <v>情境（Assumed）低＋後重</v>
      </c>
      <c r="B26" s="0" t="n">
        <f aca="false">換算!I16</f>
        <v>2.46</v>
      </c>
      <c r="C26" s="0" t="n">
        <f aca="false">$B$8/(B26*$B$5)</f>
        <v>1.45239304577611</v>
      </c>
      <c r="D26" s="0" t="n">
        <f aca="false">C26/$B$4</f>
        <v>1.17223006115909</v>
      </c>
      <c r="E26" s="0" t="n">
        <f aca="false">$B$8/(B26*$B$6)</f>
        <v>1.46209457161882</v>
      </c>
      <c r="F26" s="0" t="n">
        <f aca="false">E26/$B$4</f>
        <v>1.18006018694013</v>
      </c>
    </row>
    <row r="27" customFormat="false" ht="17.15" hidden="false" customHeight="false" outlineLevel="0" collapsed="false">
      <c r="A27" s="0" t="str">
        <f aca="false">換算!A17</f>
        <v>情境（Assumed）基準＋線性</v>
      </c>
      <c r="B27" s="0" t="n">
        <f aca="false">換算!I17</f>
        <v>3.23582589013249</v>
      </c>
      <c r="C27" s="0" t="n">
        <f aca="false">$B$8/(B27*$B$5)</f>
        <v>1.10416537042509</v>
      </c>
      <c r="D27" s="0" t="n">
        <f aca="false">C27/$B$4</f>
        <v>0.89117463311145</v>
      </c>
      <c r="E27" s="0" t="n">
        <f aca="false">$B$8/(B27*$B$6)</f>
        <v>1.11154084561547</v>
      </c>
      <c r="F27" s="0" t="n">
        <f aca="false">E27/$B$4</f>
        <v>0.897127397591179</v>
      </c>
    </row>
    <row r="28" customFormat="false" ht="17.15" hidden="false" customHeight="false" outlineLevel="0" collapsed="false">
      <c r="A28" s="0" t="str">
        <f aca="false">換算!A18</f>
        <v>情境（Assumed）基準＋後重</v>
      </c>
      <c r="B28" s="0" t="n">
        <f aca="false">換算!I18</f>
        <v>2.83507812309274</v>
      </c>
      <c r="C28" s="0" t="n">
        <f aca="false">$B$8/(B28*$B$5)</f>
        <v>1.26024283546431</v>
      </c>
      <c r="D28" s="0" t="n">
        <f aca="false">C28/$B$4</f>
        <v>1.01714514565319</v>
      </c>
      <c r="E28" s="0" t="n">
        <f aca="false">$B$8/(B28*$B$6)</f>
        <v>1.26866085872042</v>
      </c>
      <c r="F28" s="0" t="n">
        <f aca="false">E28/$B$4</f>
        <v>1.02393935328524</v>
      </c>
    </row>
    <row r="29" customFormat="false" ht="17.15" hidden="false" customHeight="false" outlineLevel="0" collapsed="false">
      <c r="A29" s="0" t="str">
        <f aca="false">換算!A19</f>
        <v>情境（Assumed）高＋線性</v>
      </c>
      <c r="B29" s="0" t="n">
        <f aca="false">換算!I19</f>
        <v>3.8</v>
      </c>
      <c r="C29" s="0" t="n">
        <f aca="false">$B$8/(B29*$B$5)</f>
        <v>0.940233392791902</v>
      </c>
      <c r="D29" s="0" t="n">
        <f aca="false">C29/$B$4</f>
        <v>0.758864723802988</v>
      </c>
      <c r="E29" s="0" t="n">
        <f aca="false">$B$8/(B29*$B$6)</f>
        <v>0.946513854258501</v>
      </c>
      <c r="F29" s="0" t="n">
        <f aca="false">E29/$B$4</f>
        <v>0.763933699966506</v>
      </c>
    </row>
    <row r="30" customFormat="false" ht="17.15" hidden="false" customHeight="false" outlineLevel="0" collapsed="false">
      <c r="A30" s="0" t="str">
        <f aca="false">換算!A20</f>
        <v>情境（Assumed）高＋後重</v>
      </c>
      <c r="B30" s="0" t="n">
        <f aca="false">換算!I20</f>
        <v>3.23</v>
      </c>
      <c r="C30" s="0" t="n">
        <f aca="false">$B$8/(B30*$B$5)</f>
        <v>1.10615693269636</v>
      </c>
      <c r="D30" s="0" t="n">
        <f aca="false">C30/$B$4</f>
        <v>0.892782028003515</v>
      </c>
      <c r="E30" s="0" t="n">
        <f aca="false">$B$8/(B30*$B$6)</f>
        <v>1.11354571089235</v>
      </c>
      <c r="F30" s="0" t="n">
        <f aca="false">E30/$B$4</f>
        <v>0.89874552937236</v>
      </c>
    </row>
    <row r="32" customFormat="false" ht="17.15" hidden="false" customHeight="false" outlineLevel="0" collapsed="false">
      <c r="A32" s="1" t="s">
        <v>427</v>
      </c>
      <c r="B32" s="1" t="s">
        <v>393</v>
      </c>
      <c r="C32" s="1" t="s">
        <v>423</v>
      </c>
      <c r="D32" s="1" t="s">
        <v>424</v>
      </c>
      <c r="E32" s="1" t="s">
        <v>425</v>
      </c>
      <c r="F32" s="1" t="s">
        <v>424</v>
      </c>
    </row>
    <row r="33" customFormat="false" ht="17.15" hidden="false" customHeight="false" outlineLevel="0" collapsed="false">
      <c r="A33" s="0" t="str">
        <f aca="false">換算!A39</f>
        <v>S1 TK 內插、204 億、平價</v>
      </c>
      <c r="B33" s="0" t="n">
        <f aca="false">換算!B39</f>
        <v>2.76470588235294</v>
      </c>
      <c r="C33" s="0" t="n">
        <f aca="false">$B$8/(B33*$B$5)</f>
        <v>1.29232079094376</v>
      </c>
      <c r="D33" s="0" t="n">
        <f aca="false">C33/$B$4</f>
        <v>1.04303534378028</v>
      </c>
      <c r="E33" s="0" t="n">
        <f aca="false">$B$8/(B33*$B$6)</f>
        <v>1.30095308478934</v>
      </c>
      <c r="F33" s="0" t="n">
        <f aca="false">E33/$B$4</f>
        <v>1.0500024897412</v>
      </c>
    </row>
    <row r="34" customFormat="false" ht="17.15" hidden="false" customHeight="false" outlineLevel="0" collapsed="false">
      <c r="A34" s="0" t="str">
        <f aca="false">換算!A40</f>
        <v>S2 TK 內插、204 億、單價+25%</v>
      </c>
      <c r="B34" s="0" t="n">
        <f aca="false">換算!B40</f>
        <v>2.21176470588235</v>
      </c>
      <c r="C34" s="0" t="n">
        <f aca="false">$B$8/(B34*$B$5)</f>
        <v>1.6154009886797</v>
      </c>
      <c r="D34" s="0" t="n">
        <f aca="false">C34/$B$4</f>
        <v>1.30379417972535</v>
      </c>
      <c r="E34" s="0" t="n">
        <f aca="false">$B$8/(B34*$B$6)</f>
        <v>1.62619135598668</v>
      </c>
      <c r="F34" s="0" t="n">
        <f aca="false">E34/$B$4</f>
        <v>1.3125031121765</v>
      </c>
    </row>
    <row r="35" customFormat="false" ht="17.15" hidden="false" customHeight="false" outlineLevel="0" collapsed="false">
      <c r="A35" s="0" t="str">
        <f aca="false">換算!A41</f>
        <v>S3 TK 內插、160 億、平價</v>
      </c>
      <c r="B35" s="0" t="n">
        <f aca="false">換算!B41</f>
        <v>3.525</v>
      </c>
      <c r="C35" s="0" t="n">
        <f aca="false">$B$8/(B35*$B$5)</f>
        <v>1.01358493407354</v>
      </c>
      <c r="D35" s="0" t="n">
        <f aca="false">C35/$B$4</f>
        <v>0.818066936298257</v>
      </c>
      <c r="E35" s="0" t="n">
        <f aca="false">$B$8/(B35*$B$6)</f>
        <v>1.02035536061909</v>
      </c>
      <c r="F35" s="0" t="n">
        <f aca="false">E35/$B$4</f>
        <v>0.8235313645029</v>
      </c>
    </row>
    <row r="36" customFormat="false" ht="17.15" hidden="false" customHeight="false" outlineLevel="0" collapsed="false">
      <c r="A36" s="0" t="str">
        <f aca="false">換算!A42</f>
        <v>S4 線性內插、160 億、平價</v>
      </c>
      <c r="B36" s="0" t="n">
        <f aca="false">換算!B42</f>
        <v>3.90625</v>
      </c>
      <c r="C36" s="0" t="n">
        <f aca="false">$B$8/(B36*$B$5)</f>
        <v>0.914659044507962</v>
      </c>
      <c r="D36" s="0" t="n">
        <f aca="false">C36/$B$4</f>
        <v>0.738223603315547</v>
      </c>
      <c r="E36" s="0" t="n">
        <f aca="false">$B$8/(B36*$B$6)</f>
        <v>0.92076867742267</v>
      </c>
      <c r="F36" s="0" t="n">
        <f aca="false">E36/$B$4</f>
        <v>0.743154703327417</v>
      </c>
    </row>
    <row r="39" customFormat="false" ht="17.15" hidden="false" customHeight="false" outlineLevel="0" collapsed="false">
      <c r="A39" s="1" t="s">
        <v>428</v>
      </c>
      <c r="B39" s="9" t="s">
        <v>15</v>
      </c>
      <c r="C39" s="9" t="s">
        <v>429</v>
      </c>
      <c r="D39" s="9" t="s">
        <v>430</v>
      </c>
    </row>
    <row r="40" customFormat="false" ht="15" hidden="false" customHeight="false" outlineLevel="0" collapsed="false">
      <c r="B40" s="5" t="n">
        <v>2</v>
      </c>
      <c r="C40" s="6" t="n">
        <f aca="false">$B$7/(B40*$B$5)/$B$4</f>
        <v>1.08344200709815</v>
      </c>
      <c r="D40" s="6" t="n">
        <f aca="false">$B$8/(B40*$B$5)/$B$4</f>
        <v>1.44184297522568</v>
      </c>
    </row>
    <row r="41" customFormat="false" ht="15" hidden="false" customHeight="false" outlineLevel="0" collapsed="false">
      <c r="B41" s="5" t="n">
        <v>2.25</v>
      </c>
      <c r="C41" s="6" t="n">
        <f aca="false">$B$7/(B41*$B$5)/$B$4</f>
        <v>0.963059561865024</v>
      </c>
      <c r="D41" s="6" t="n">
        <f aca="false">$B$8/(B41*$B$5)/$B$4</f>
        <v>1.2816382002006</v>
      </c>
    </row>
    <row r="42" customFormat="false" ht="15" hidden="false" customHeight="false" outlineLevel="0" collapsed="false">
      <c r="B42" s="5" t="n">
        <v>2.5</v>
      </c>
      <c r="C42" s="6" t="n">
        <f aca="false">$B$7/(B42*$B$5)/$B$4</f>
        <v>0.866753605678521</v>
      </c>
      <c r="D42" s="6" t="n">
        <f aca="false">$B$8/(B42*$B$5)/$B$4</f>
        <v>1.15347438018054</v>
      </c>
    </row>
    <row r="43" customFormat="false" ht="15" hidden="false" customHeight="false" outlineLevel="0" collapsed="false">
      <c r="B43" s="5" t="n">
        <v>2.75</v>
      </c>
      <c r="C43" s="6" t="n">
        <f aca="false">$B$7/(B43*$B$5)/$B$4</f>
        <v>0.78795782334411</v>
      </c>
      <c r="D43" s="6" t="n">
        <f aca="false">$B$8/(B43*$B$5)/$B$4</f>
        <v>1.0486130728914</v>
      </c>
    </row>
    <row r="44" customFormat="false" ht="15" hidden="false" customHeight="false" outlineLevel="0" collapsed="false">
      <c r="B44" s="5" t="n">
        <v>3</v>
      </c>
      <c r="C44" s="6" t="n">
        <f aca="false">$B$7/(B44*$B$5)/$B$4</f>
        <v>0.722294671398768</v>
      </c>
      <c r="D44" s="6" t="n">
        <f aca="false">$B$8/(B44*$B$5)/$B$4</f>
        <v>0.961228650150452</v>
      </c>
    </row>
    <row r="45" customFormat="false" ht="15" hidden="false" customHeight="false" outlineLevel="0" collapsed="false">
      <c r="B45" s="5" t="n">
        <v>3.25</v>
      </c>
      <c r="C45" s="6" t="n">
        <f aca="false">$B$7/(B45*$B$5)/$B$4</f>
        <v>0.666733542829632</v>
      </c>
      <c r="D45" s="6" t="n">
        <f aca="false">$B$8/(B45*$B$5)/$B$4</f>
        <v>0.887287984754263</v>
      </c>
    </row>
    <row r="46" customFormat="false" ht="15" hidden="false" customHeight="false" outlineLevel="0" collapsed="false">
      <c r="B46" s="5" t="n">
        <v>3.5</v>
      </c>
      <c r="C46" s="6" t="n">
        <f aca="false">$B$7/(B46*$B$5)/$B$4</f>
        <v>0.619109718341801</v>
      </c>
      <c r="D46" s="6" t="n">
        <f aca="false">$B$8/(B46*$B$5)/$B$4</f>
        <v>0.82391027155753</v>
      </c>
    </row>
    <row r="47" customFormat="false" ht="15" hidden="false" customHeight="false" outlineLevel="0" collapsed="false">
      <c r="B47" s="5" t="n">
        <v>3.75</v>
      </c>
      <c r="C47" s="6" t="n">
        <f aca="false">$B$7/(B47*$B$5)/$B$4</f>
        <v>0.577835737119014</v>
      </c>
      <c r="D47" s="6" t="n">
        <f aca="false">$B$8/(B47*$B$5)/$B$4</f>
        <v>0.768982920120361</v>
      </c>
    </row>
    <row r="48" customFormat="false" ht="15" hidden="false" customHeight="false" outlineLevel="0" collapsed="false">
      <c r="B48" s="5" t="n">
        <v>4</v>
      </c>
      <c r="C48" s="6" t="n">
        <f aca="false">$B$7/(B48*$B$5)/$B$4</f>
        <v>0.541721003549076</v>
      </c>
      <c r="D48" s="6" t="n">
        <f aca="false">$B$8/(B48*$B$5)/$B$4</f>
        <v>0.720921487612839</v>
      </c>
    </row>
    <row r="50" customFormat="false" ht="17.15" hidden="false" customHeight="false" outlineLevel="0" collapsed="false">
      <c r="A50" s="8" t="s">
        <v>431</v>
      </c>
    </row>
    <row r="51" customFormat="false" ht="17.15" hidden="false" customHeight="false" outlineLevel="0" collapsed="false">
      <c r="A51" s="0" t="s">
        <v>432</v>
      </c>
      <c r="B51" s="0" t="n">
        <f aca="false">6.7*4/(B4*B5)</f>
        <v>2.20807952777418</v>
      </c>
    </row>
    <row r="52" customFormat="false" ht="17.15" hidden="false" customHeight="false" outlineLevel="0" collapsed="false">
      <c r="A52" s="0" t="s">
        <v>433</v>
      </c>
      <c r="B52" s="0" t="n">
        <f aca="false">50/(B4*B5)</f>
        <v>4.11955135778765</v>
      </c>
      <c r="C52" s="7" t="s">
        <v>434</v>
      </c>
    </row>
    <row r="55" customFormat="false" ht="17.15" hidden="false" customHeight="false" outlineLevel="0" collapsed="false">
      <c r="A55" s="8" t="s">
        <v>435</v>
      </c>
    </row>
    <row r="56" customFormat="false" ht="17.15" hidden="false" customHeight="false" outlineLevel="0" collapsed="false">
      <c r="A56" s="1" t="s">
        <v>1</v>
      </c>
      <c r="B56" s="1" t="s">
        <v>436</v>
      </c>
      <c r="C56" s="1" t="s">
        <v>437</v>
      </c>
      <c r="D56" s="1" t="s">
        <v>438</v>
      </c>
      <c r="E56" s="1" t="s">
        <v>334</v>
      </c>
    </row>
    <row r="57" customFormat="false" ht="17.15" hidden="false" customHeight="false" outlineLevel="0" collapsed="false">
      <c r="A57" s="0" t="s">
        <v>439</v>
      </c>
      <c r="B57" s="5" t="n">
        <v>1.118</v>
      </c>
      <c r="C57" s="5" t="n">
        <v>1.239</v>
      </c>
      <c r="D57" s="5" t="n">
        <v>1.397</v>
      </c>
      <c r="E57" s="7" t="s">
        <v>440</v>
      </c>
    </row>
    <row r="58" customFormat="false" ht="17.15" hidden="false" customHeight="false" outlineLevel="0" collapsed="false">
      <c r="A58" s="7" t="s">
        <v>441</v>
      </c>
      <c r="B58" s="0" t="n">
        <f aca="false">$B$7/(B57*$B$5)</f>
        <v>2.40140366152882</v>
      </c>
      <c r="C58" s="0" t="n">
        <f aca="false">$B$7/(C57*$B$5)</f>
        <v>2.1668840141963</v>
      </c>
      <c r="D58" s="0" t="n">
        <f aca="false">$B$7/(D57*$B$5)</f>
        <v>1.92181051795936</v>
      </c>
    </row>
    <row r="59" customFormat="false" ht="17.15" hidden="false" customHeight="false" outlineLevel="0" collapsed="false">
      <c r="A59" s="7" t="s">
        <v>442</v>
      </c>
      <c r="B59" s="0" t="n">
        <f aca="false">$B$8/(B57*$B$5)</f>
        <v>3.19578434043759</v>
      </c>
      <c r="C59" s="0" t="n">
        <f aca="false">$B$8/(C57*$B$5)</f>
        <v>2.88368595045135</v>
      </c>
      <c r="D59" s="0" t="n">
        <f aca="false">$B$8/(D57*$B$5)</f>
        <v>2.55754251439458</v>
      </c>
    </row>
    <row r="60" customFormat="false" ht="17.15" hidden="false" customHeight="false" outlineLevel="0" collapsed="false">
      <c r="A60" s="7" t="s">
        <v>443</v>
      </c>
      <c r="B60" s="0" t="n">
        <f aca="false">$B$9/(B57*$B$5)</f>
        <v>4.56540620062513</v>
      </c>
      <c r="C60" s="0" t="n">
        <f aca="false">$B$9/(C57*$B$5)</f>
        <v>4.11955135778765</v>
      </c>
      <c r="D60" s="0" t="n">
        <f aca="false">$B$9/(D57*$B$5)</f>
        <v>3.65363216342083</v>
      </c>
    </row>
    <row r="62" customFormat="false" ht="17.15" hidden="false" customHeight="false" outlineLevel="0" collapsed="false">
      <c r="A62" s="1" t="s">
        <v>444</v>
      </c>
      <c r="B62" s="1" t="s">
        <v>436</v>
      </c>
      <c r="C62" s="1" t="s">
        <v>437</v>
      </c>
      <c r="D62" s="1" t="s">
        <v>438</v>
      </c>
      <c r="E62" s="9" t="s">
        <v>362</v>
      </c>
    </row>
    <row r="63" customFormat="false" ht="17.15" hidden="false" customHeight="false" outlineLevel="0" collapsed="false">
      <c r="A63" s="0" t="str">
        <f aca="false">換算!A15</f>
        <v>情境（Assumed）低＋線性</v>
      </c>
      <c r="B63" s="0" t="n">
        <f aca="false">$B$7/($E63*$B$5)/B$57</f>
        <v>0.960561464611528</v>
      </c>
      <c r="C63" s="0" t="n">
        <f aca="false">$B$7/($E63*$B$5)/C$57</f>
        <v>0.866753605678521</v>
      </c>
      <c r="D63" s="0" t="n">
        <f aca="false">$B$7/($E63*$B$5)/D$57</f>
        <v>0.768724207183742</v>
      </c>
      <c r="E63" s="0" t="n">
        <f aca="false">換算!K15</f>
        <v>2.5</v>
      </c>
    </row>
    <row r="64" customFormat="false" ht="17.15" hidden="false" customHeight="false" outlineLevel="0" collapsed="false">
      <c r="A64" s="0" t="str">
        <f aca="false">換算!A16</f>
        <v>情境（Assumed）低＋後重</v>
      </c>
      <c r="B64" s="0" t="n">
        <f aca="false">$B$7/($E64*$B$5)/B$57</f>
        <v>1.1015613126279</v>
      </c>
      <c r="C64" s="0" t="n">
        <f aca="false">$B$7/($E64*$B$5)/C$57</f>
        <v>0.993983492750598</v>
      </c>
      <c r="D64" s="0" t="n">
        <f aca="false">$B$7/($E64*$B$5)/D$57</f>
        <v>0.881564457779521</v>
      </c>
      <c r="E64" s="0" t="n">
        <f aca="false">換算!K16</f>
        <v>2.18</v>
      </c>
    </row>
    <row r="65" customFormat="false" ht="17.15" hidden="false" customHeight="false" outlineLevel="0" collapsed="false">
      <c r="A65" s="0" t="str">
        <f aca="false">換算!A17</f>
        <v>情境（Assumed）基準＋線性</v>
      </c>
      <c r="B65" s="0" t="n">
        <f aca="false">$B$7/($E65*$B$5)/B$57</f>
        <v>0.827536775764166</v>
      </c>
      <c r="C65" s="0" t="n">
        <f aca="false">$B$7/($E65*$B$5)/C$57</f>
        <v>0.746720028494219</v>
      </c>
      <c r="D65" s="0" t="n">
        <f aca="false">$B$7/($E65*$B$5)/D$57</f>
        <v>0.662266367433313</v>
      </c>
      <c r="E65" s="0" t="n">
        <f aca="false">換算!K17</f>
        <v>2.90186941759937</v>
      </c>
    </row>
    <row r="66" customFormat="false" ht="17.15" hidden="false" customHeight="false" outlineLevel="0" collapsed="false">
      <c r="A66" s="0" t="str">
        <f aca="false">換算!A18</f>
        <v>情境（Assumed）基準＋後重</v>
      </c>
      <c r="B66" s="0" t="n">
        <f aca="false">$B$7/($E66*$B$5)/B$57</f>
        <v>1.01430371330825</v>
      </c>
      <c r="C66" s="0" t="n">
        <f aca="false">$B$7/($E66*$B$5)/C$57</f>
        <v>0.915247418465396</v>
      </c>
      <c r="D66" s="0" t="n">
        <f aca="false">$B$7/($E66*$B$5)/D$57</f>
        <v>0.811733394043397</v>
      </c>
      <c r="E66" s="0" t="n">
        <f aca="false">換算!K18</f>
        <v>2.36753906154637</v>
      </c>
    </row>
    <row r="67" customFormat="false" ht="17.15" hidden="false" customHeight="false" outlineLevel="0" collapsed="false">
      <c r="A67" s="0" t="str">
        <f aca="false">換算!A19</f>
        <v>情境（Assumed）高＋線性</v>
      </c>
      <c r="B67" s="0" t="n">
        <f aca="false">$B$7/($E67*$B$5)/B$57</f>
        <v>0.72222666512145</v>
      </c>
      <c r="C67" s="0" t="n">
        <f aca="false">$B$7/($E67*$B$5)/C$57</f>
        <v>0.651694440359791</v>
      </c>
      <c r="D67" s="0" t="n">
        <f aca="false">$B$7/($E67*$B$5)/D$57</f>
        <v>0.577988125702062</v>
      </c>
      <c r="E67" s="0" t="n">
        <f aca="false">換算!K19</f>
        <v>3.325</v>
      </c>
    </row>
    <row r="68" customFormat="false" ht="17.15" hidden="false" customHeight="false" outlineLevel="0" collapsed="false">
      <c r="A68" s="0" t="str">
        <f aca="false">換算!A20</f>
        <v>情境（Assumed）高＋後重</v>
      </c>
      <c r="B68" s="0" t="n">
        <f aca="false">$B$7/($E68*$B$5)/B$57</f>
        <v>0.936219751083361</v>
      </c>
      <c r="C68" s="0" t="n">
        <f aca="false">$B$7/($E68*$B$5)/C$57</f>
        <v>0.844789089355284</v>
      </c>
      <c r="D68" s="0" t="n">
        <f aca="false">$B$7/($E68*$B$5)/D$57</f>
        <v>0.749243866650821</v>
      </c>
      <c r="E68" s="0" t="n">
        <f aca="false">換算!K20</f>
        <v>2.565</v>
      </c>
    </row>
    <row r="70" customFormat="false" ht="17.15" hidden="false" customHeight="false" outlineLevel="0" collapsed="false">
      <c r="A70" s="1" t="s">
        <v>445</v>
      </c>
      <c r="B70" s="1" t="s">
        <v>436</v>
      </c>
      <c r="C70" s="1" t="s">
        <v>437</v>
      </c>
      <c r="D70" s="1" t="s">
        <v>438</v>
      </c>
      <c r="E70" s="1" t="s">
        <v>446</v>
      </c>
    </row>
    <row r="71" customFormat="false" ht="17.15" hidden="false" customHeight="false" outlineLevel="0" collapsed="false">
      <c r="A71" s="0" t="str">
        <f aca="false">換算!A15</f>
        <v>情境（Assumed）低＋線性</v>
      </c>
      <c r="B71" s="0" t="n">
        <f aca="false">$B$8/($E71*$B$5)/B$57</f>
        <v>1.1836238297917</v>
      </c>
      <c r="C71" s="0" t="n">
        <f aca="false">$B$8/($E71*$B$5)/C$57</f>
        <v>1.0680318335005</v>
      </c>
      <c r="D71" s="0" t="n">
        <f aca="false">$B$8/($E71*$B$5)/D$57</f>
        <v>0.947237968294289</v>
      </c>
      <c r="E71" s="0" t="n">
        <f aca="false">換算!I15</f>
        <v>2.7</v>
      </c>
    </row>
    <row r="72" customFormat="false" ht="17.15" hidden="false" customHeight="false" outlineLevel="0" collapsed="false">
      <c r="A72" s="0" t="str">
        <f aca="false">換算!A16</f>
        <v>情境（Assumed）低＋後重</v>
      </c>
      <c r="B72" s="0" t="n">
        <f aca="false">$B$8/($E72*$B$5)/B$57</f>
        <v>1.29909932538114</v>
      </c>
      <c r="C72" s="0" t="n">
        <f aca="false">$B$8/($E72*$B$5)/C$57</f>
        <v>1.17223006115909</v>
      </c>
      <c r="D72" s="0" t="n">
        <f aca="false">$B$8/($E72*$B$5)/D$57</f>
        <v>1.03965142861568</v>
      </c>
      <c r="E72" s="0" t="n">
        <f aca="false">換算!I16</f>
        <v>2.46</v>
      </c>
    </row>
    <row r="73" customFormat="false" ht="17.15" hidden="false" customHeight="false" outlineLevel="0" collapsed="false">
      <c r="A73" s="0" t="str">
        <f aca="false">換算!A17</f>
        <v>情境（Assumed）基準＋線性</v>
      </c>
      <c r="B73" s="0" t="n">
        <f aca="false">$B$8/($E73*$B$5)/B$57</f>
        <v>0.987625554941938</v>
      </c>
      <c r="C73" s="0" t="n">
        <f aca="false">$B$8/($E73*$B$5)/C$57</f>
        <v>0.89117463311145</v>
      </c>
      <c r="D73" s="0" t="n">
        <f aca="false">$B$8/($E73*$B$5)/D$57</f>
        <v>0.790383228650742</v>
      </c>
      <c r="E73" s="0" t="n">
        <f aca="false">換算!I17</f>
        <v>3.23582589013249</v>
      </c>
    </row>
    <row r="74" customFormat="false" ht="17.15" hidden="false" customHeight="false" outlineLevel="0" collapsed="false">
      <c r="A74" s="0" t="str">
        <f aca="false">換算!A18</f>
        <v>情境（Assumed）基準＋後重</v>
      </c>
      <c r="B74" s="0" t="n">
        <f aca="false">$B$8/($E74*$B$5)/B$57</f>
        <v>1.12722972760672</v>
      </c>
      <c r="C74" s="0" t="n">
        <f aca="false">$B$8/($E74*$B$5)/C$57</f>
        <v>1.01714514565319</v>
      </c>
      <c r="D74" s="0" t="n">
        <f aca="false">$B$8/($E74*$B$5)/D$57</f>
        <v>0.90210653934453</v>
      </c>
      <c r="E74" s="0" t="n">
        <f aca="false">換算!I18</f>
        <v>2.83507812309274</v>
      </c>
    </row>
    <row r="75" customFormat="false" ht="17.15" hidden="false" customHeight="false" outlineLevel="0" collapsed="false">
      <c r="A75" s="0" t="str">
        <f aca="false">換算!A19</f>
        <v>情境（Assumed）高＋線性</v>
      </c>
      <c r="B75" s="0" t="n">
        <f aca="false">$B$8/($E75*$B$5)/B$57</f>
        <v>0.840995879062524</v>
      </c>
      <c r="C75" s="0" t="n">
        <f aca="false">$B$8/($E75*$B$5)/C$57</f>
        <v>0.758864723802988</v>
      </c>
      <c r="D75" s="0" t="n">
        <f aca="false">$B$8/($E75*$B$5)/D$57</f>
        <v>0.673037503788048</v>
      </c>
      <c r="E75" s="0" t="n">
        <f aca="false">換算!I19</f>
        <v>3.8</v>
      </c>
    </row>
    <row r="76" customFormat="false" ht="17.15" hidden="false" customHeight="false" outlineLevel="0" collapsed="false">
      <c r="A76" s="0" t="str">
        <f aca="false">換算!A20</f>
        <v>情境（Assumed）高＋後重</v>
      </c>
      <c r="B76" s="0" t="n">
        <f aca="false">$B$8/($E76*$B$5)/B$57</f>
        <v>0.989406916544146</v>
      </c>
      <c r="C76" s="0" t="n">
        <f aca="false">$B$8/($E76*$B$5)/C$57</f>
        <v>0.892782028003515</v>
      </c>
      <c r="D76" s="0" t="n">
        <f aca="false">$B$8/($E76*$B$5)/D$57</f>
        <v>0.791808827985938</v>
      </c>
      <c r="E76" s="0" t="n">
        <f aca="false">換算!I20</f>
        <v>3.23</v>
      </c>
    </row>
    <row r="78" customFormat="false" ht="17.15" hidden="false" customHeight="false" outlineLevel="0" collapsed="false">
      <c r="A78" s="1" t="s">
        <v>447</v>
      </c>
      <c r="B78" s="1" t="s">
        <v>436</v>
      </c>
      <c r="C78" s="1" t="s">
        <v>437</v>
      </c>
      <c r="D78" s="1" t="s">
        <v>438</v>
      </c>
      <c r="E78" s="1" t="s">
        <v>448</v>
      </c>
    </row>
    <row r="79" customFormat="false" ht="15" hidden="false" customHeight="false" outlineLevel="0" collapsed="false">
      <c r="A79" s="7" t="s">
        <v>449</v>
      </c>
      <c r="B79" s="0" t="n">
        <f aca="false">$B$9/($E79*$B$5)/B$57</f>
        <v>1.30440177160718</v>
      </c>
      <c r="C79" s="0" t="n">
        <f aca="false">$B$9/($E79*$B$5)/C$57</f>
        <v>1.17701467365361</v>
      </c>
      <c r="D79" s="0" t="n">
        <f aca="false">$B$9/($E79*$B$5)/D$57</f>
        <v>1.04389490383452</v>
      </c>
      <c r="E79" s="0" t="n">
        <f aca="false">換算!B15</f>
        <v>3.5</v>
      </c>
    </row>
    <row r="80" customFormat="false" ht="15" hidden="false" customHeight="false" outlineLevel="0" collapsed="false">
      <c r="A80" s="7" t="s">
        <v>175</v>
      </c>
      <c r="B80" s="0" t="n">
        <f aca="false">$B$9/($E80*$B$5)/B$57</f>
        <v>0.998633846158884</v>
      </c>
      <c r="C80" s="0" t="n">
        <f aca="false">$B$9/($E80*$B$5)/C$57</f>
        <v>0.901107861182916</v>
      </c>
      <c r="D80" s="0" t="n">
        <f aca="false">$B$9/($E80*$B$5)/D$57</f>
        <v>0.799193013604605</v>
      </c>
      <c r="E80" s="0" t="n">
        <f aca="false">換算!B17</f>
        <v>4.57165178026498</v>
      </c>
    </row>
    <row r="81" customFormat="false" ht="15" hidden="false" customHeight="false" outlineLevel="0" collapsed="false">
      <c r="A81" s="7" t="s">
        <v>450</v>
      </c>
      <c r="B81" s="0" t="n">
        <f aca="false">$B$9/($E81*$B$5)/B$57</f>
        <v>0.800948456250023</v>
      </c>
      <c r="C81" s="0" t="n">
        <f aca="false">$B$9/($E81*$B$5)/C$57</f>
        <v>0.722728308383798</v>
      </c>
      <c r="D81" s="0" t="n">
        <f aca="false">$B$9/($E81*$B$5)/D$57</f>
        <v>0.64098809884576</v>
      </c>
      <c r="E81" s="0" t="n">
        <f aca="false">換算!B19</f>
        <v>5.7</v>
      </c>
    </row>
    <row r="83" customFormat="false" ht="17.15" hidden="false" customHeight="false" outlineLevel="0" collapsed="false">
      <c r="A83" s="1" t="s">
        <v>451</v>
      </c>
      <c r="B83" s="1" t="s">
        <v>452</v>
      </c>
      <c r="C83" s="1" t="s">
        <v>291</v>
      </c>
    </row>
    <row r="84" customFormat="false" ht="17.15" hidden="false" customHeight="false" outlineLevel="0" collapsed="false">
      <c r="A84" s="0" t="s">
        <v>453</v>
      </c>
      <c r="B84" s="0" t="n">
        <f aca="false">B7/(換算!K16*B6)/B4</f>
        <v>1.00062298787225</v>
      </c>
    </row>
    <row r="85" customFormat="false" ht="17.15" hidden="false" customHeight="false" outlineLevel="0" collapsed="false">
      <c r="A85" s="0" t="s">
        <v>454</v>
      </c>
      <c r="B85" s="0" t="n">
        <f aca="false">26.8/(換算!K16*B5)/B4</f>
        <v>1.01288051732761</v>
      </c>
    </row>
    <row r="86" customFormat="false" ht="17.15" hidden="false" customHeight="false" outlineLevel="0" collapsed="false">
      <c r="A86" s="0" t="s">
        <v>455</v>
      </c>
      <c r="B86" s="0" t="n">
        <f aca="false">B7/(換算!K16*B5)/B4</f>
        <v>0.993983492750598</v>
      </c>
    </row>
    <row r="87" customFormat="false" ht="17.15" hidden="false" customHeight="false" outlineLevel="0" collapsed="false">
      <c r="A87" s="0" t="s">
        <v>456</v>
      </c>
      <c r="B87" s="0" t="n">
        <f aca="false">10/B5</f>
        <v>1.02082482645978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5" min="2" style="0" width="20"/>
  </cols>
  <sheetData>
    <row r="1" customFormat="false" ht="17.15" hidden="false" customHeight="false" outlineLevel="0" collapsed="false">
      <c r="A1" s="4" t="s">
        <v>457</v>
      </c>
    </row>
    <row r="3" customFormat="false" ht="17.15" hidden="false" customHeight="false" outlineLevel="0" collapsed="false">
      <c r="A3" s="1" t="s">
        <v>332</v>
      </c>
      <c r="B3" s="1" t="s">
        <v>333</v>
      </c>
      <c r="C3" s="1" t="s">
        <v>6</v>
      </c>
      <c r="D3" s="1" t="s">
        <v>8</v>
      </c>
      <c r="E3" s="1" t="s">
        <v>334</v>
      </c>
    </row>
    <row r="4" customFormat="false" ht="17.15" hidden="false" customHeight="false" outlineLevel="0" collapsed="false">
      <c r="A4" s="0" t="s">
        <v>458</v>
      </c>
      <c r="B4" s="5" t="n">
        <v>718048</v>
      </c>
      <c r="C4" s="7" t="s">
        <v>459</v>
      </c>
      <c r="D4" s="6" t="s">
        <v>460</v>
      </c>
      <c r="E4" s="7" t="s">
        <v>405</v>
      </c>
    </row>
    <row r="5" customFormat="false" ht="17.15" hidden="false" customHeight="false" outlineLevel="0" collapsed="false">
      <c r="A5" s="0" t="s">
        <v>461</v>
      </c>
      <c r="B5" s="5" t="n">
        <v>501768</v>
      </c>
      <c r="C5" s="7" t="s">
        <v>459</v>
      </c>
      <c r="D5" s="6" t="s">
        <v>460</v>
      </c>
      <c r="E5" s="7" t="s">
        <v>405</v>
      </c>
    </row>
    <row r="6" customFormat="false" ht="17.15" hidden="false" customHeight="false" outlineLevel="0" collapsed="false">
      <c r="A6" s="0" t="s">
        <v>462</v>
      </c>
      <c r="B6" s="5" t="n">
        <v>0.6</v>
      </c>
      <c r="C6" s="7" t="s">
        <v>463</v>
      </c>
      <c r="D6" s="6" t="s">
        <v>464</v>
      </c>
      <c r="E6" s="7" t="s">
        <v>465</v>
      </c>
    </row>
    <row r="7" customFormat="false" ht="17.15" hidden="false" customHeight="false" outlineLevel="0" collapsed="false">
      <c r="A7" s="0" t="s">
        <v>466</v>
      </c>
      <c r="B7" s="5" t="n">
        <v>0.4</v>
      </c>
      <c r="C7" s="7" t="s">
        <v>463</v>
      </c>
      <c r="D7" s="6" t="s">
        <v>467</v>
      </c>
      <c r="E7" s="7" t="s">
        <v>468</v>
      </c>
    </row>
    <row r="9" customFormat="false" ht="17.15" hidden="false" customHeight="false" outlineLevel="0" collapsed="false">
      <c r="A9" s="7" t="s">
        <v>469</v>
      </c>
      <c r="B9" s="0" t="n">
        <f aca="false">B6*B4+(1-B6)*B5</f>
        <v>631536</v>
      </c>
    </row>
    <row r="10" customFormat="false" ht="17.15" hidden="false" customHeight="false" outlineLevel="0" collapsed="false">
      <c r="A10" s="0" t="s">
        <v>470</v>
      </c>
      <c r="B10" s="0" t="n">
        <f aca="false">換算!B4*B9</f>
        <v>1199918.4</v>
      </c>
    </row>
    <row r="11" customFormat="false" ht="17.15" hidden="false" customHeight="false" outlineLevel="0" collapsed="false">
      <c r="A11" s="7" t="s">
        <v>471</v>
      </c>
      <c r="B11" s="0" t="n">
        <f aca="false">B10/1000000</f>
        <v>1.1999184</v>
      </c>
      <c r="C11" s="7" t="s">
        <v>472</v>
      </c>
    </row>
    <row r="12" customFormat="false" ht="17.15" hidden="false" customHeight="false" outlineLevel="0" collapsed="false">
      <c r="A12" s="0" t="s">
        <v>473</v>
      </c>
      <c r="B12" s="0" t="n">
        <f aca="false">1743000/換算!B4</f>
        <v>917368.421052632</v>
      </c>
    </row>
    <row r="14" customFormat="false" ht="17.15" hidden="false" customHeight="false" outlineLevel="0" collapsed="false">
      <c r="A14" s="4" t="s">
        <v>474</v>
      </c>
    </row>
    <row r="15" customFormat="false" ht="17.15" hidden="false" customHeight="false" outlineLevel="0" collapsed="false">
      <c r="A15" s="0" t="s">
        <v>475</v>
      </c>
      <c r="B15" s="0" t="n">
        <f aca="false">1000000/1.2</f>
        <v>833333.333333333</v>
      </c>
      <c r="C15" s="0" t="s">
        <v>476</v>
      </c>
    </row>
    <row r="16" customFormat="false" ht="17.15" hidden="false" customHeight="false" outlineLevel="0" collapsed="false">
      <c r="A16" s="0" t="s">
        <v>477</v>
      </c>
      <c r="B16" s="0" t="n">
        <f aca="false">509000/B15</f>
        <v>0.6108</v>
      </c>
    </row>
    <row r="17" customFormat="false" ht="17.15" hidden="false" customHeight="false" outlineLevel="0" collapsed="false">
      <c r="A17" s="0" t="s">
        <v>478</v>
      </c>
      <c r="B17" s="5" t="n">
        <v>0.421</v>
      </c>
    </row>
    <row r="18" customFormat="false" ht="17.15" hidden="false" customHeight="false" outlineLevel="0" collapsed="false">
      <c r="A18" s="0" t="s">
        <v>479</v>
      </c>
      <c r="B18" s="0" t="n">
        <f aca="false">1019000/843</f>
        <v>1208.77817319098</v>
      </c>
    </row>
    <row r="19" customFormat="false" ht="17.15" hidden="false" customHeight="false" outlineLevel="0" collapsed="false">
      <c r="A19" s="4" t="s">
        <v>480</v>
      </c>
    </row>
    <row r="20" customFormat="false" ht="17.15" hidden="false" customHeight="false" outlineLevel="0" collapsed="false">
      <c r="A20" s="7" t="s">
        <v>481</v>
      </c>
      <c r="B20" s="0" t="n">
        <f aca="false">400000/B5</f>
        <v>0.797181167392102</v>
      </c>
    </row>
    <row r="21" customFormat="false" ht="17.15" hidden="false" customHeight="false" outlineLevel="0" collapsed="false">
      <c r="A21" s="7" t="s">
        <v>482</v>
      </c>
      <c r="B21" s="0" t="n">
        <f aca="false">400000/B4</f>
        <v>0.557065822897634</v>
      </c>
    </row>
    <row r="23" customFormat="false" ht="17.15" hidden="false" customHeight="false" outlineLevel="0" collapsed="false">
      <c r="A23" s="4" t="s">
        <v>483</v>
      </c>
    </row>
    <row r="24" customFormat="false" ht="17.15" hidden="false" customHeight="false" outlineLevel="0" collapsed="false">
      <c r="A24" s="0" t="s">
        <v>484</v>
      </c>
      <c r="B24" s="0" t="n">
        <f aca="false">B7*B4+(1-B7)*B5</f>
        <v>588280</v>
      </c>
    </row>
    <row r="25" customFormat="false" ht="17.15" hidden="false" customHeight="false" outlineLevel="0" collapsed="false">
      <c r="A25" s="0" t="str">
        <f aca="false">"低情境 2026 年底 GPU 顆數"</f>
        <v>低情境 2026 年底 GPU 顆數</v>
      </c>
      <c r="B25" s="0" t="n">
        <f aca="false">換算!B15*$B$24</f>
        <v>2058980</v>
      </c>
    </row>
    <row r="26" customFormat="false" ht="17.15" hidden="false" customHeight="false" outlineLevel="0" collapsed="false">
      <c r="A26" s="0" t="str">
        <f aca="false">"基準情境 2026 年底 GPU 顆數"</f>
        <v>基準情境 2026 年底 GPU 顆數</v>
      </c>
      <c r="B26" s="0" t="n">
        <f aca="false">換算!B17*$B$24</f>
        <v>2689411.30929429</v>
      </c>
    </row>
    <row r="27" customFormat="false" ht="17.15" hidden="false" customHeight="false" outlineLevel="0" collapsed="false">
      <c r="A27" s="0" t="str">
        <f aca="false">"高情境 2026 年底 GPU 顆數"</f>
        <v>高情境 2026 年底 GPU 顆數</v>
      </c>
      <c r="B27" s="0" t="n">
        <f aca="false">換算!B19*$B$24</f>
        <v>3353196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2026-10-24T06:13:54Z</dcterms:created>
  <dc:creator>openpyxl</dc:creator>
  <dc:description/>
  <dc:language>en-US</dc:language>
  <cp:lastModifiedBy/>
  <dcterms:modified xsi:type="dcterms:W3CDTF">2026-10-24T06:13:54Z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