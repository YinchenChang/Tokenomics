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參數" sheetId="1" state="visible" r:id="rId3"/>
    <sheet name="換算" sheetId="2" state="visible" r:id="rId4"/>
    <sheet name="證據表" sheetId="3" state="visible" r:id="rId5"/>
    <sheet name="未找到與不可分離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<sst xmlns="http://schemas.openxmlformats.org/spreadsheetml/2006/main" count="698" uniqueCount="454">
  <si>
    <t xml:space="preserve">名稱</t>
  </si>
  <si>
    <t xml:space="preserve">基準</t>
  </si>
  <si>
    <t xml:space="preserve">低</t>
  </si>
  <si>
    <t xml:space="preserve">高</t>
  </si>
  <si>
    <t xml:space="preserve">單位</t>
  </si>
  <si>
    <t xml:space="preserve">標記</t>
  </si>
  <si>
    <t xml:space="preserve">來源／說明</t>
  </si>
  <si>
    <r>
      <rPr>
        <sz val="11"/>
        <color theme="1"/>
        <rFont val="Calibri"/>
        <family val="2"/>
        <charset val="1"/>
      </rPr>
      <t xml:space="preserve">AL_FleetHold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機隊持有成本，每 </t>
    </r>
    <r>
      <rPr>
        <sz val="11"/>
        <color theme="1"/>
        <rFont val="Calibri"/>
        <family val="2"/>
        <charset val="1"/>
      </rPr>
      <t xml:space="preserve">IT-GW·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</si>
  <si>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</si>
  <si>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v21.2 Alloc!C157/D157/E157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</si>
  <si>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關鍵電力口徑；</t>
    </r>
    <r>
      <rPr>
        <sz val="11"/>
        <color theme="1"/>
        <rFont val="Calibri"/>
        <family val="2"/>
        <charset val="1"/>
      </rPr>
      <t xml:space="preserve">Hopper 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0.4</t>
    </r>
  </si>
  <si>
    <r>
      <rPr>
        <sz val="11"/>
        <color theme="1"/>
        <rFont val="Calibri"/>
        <family val="2"/>
        <charset val="1"/>
      </rPr>
      <t xml:space="preserve">AL_SpendBasis</t>
    </r>
    <r>
      <rPr>
        <sz val="11"/>
        <color theme="1"/>
        <rFont val="Noto Sans CJK SC"/>
        <family val="2"/>
      </rPr>
      <t xml:space="preserve">（計價倍數）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</si>
  <si>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</si>
  <si>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</si>
  <si>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TK v21.2 Alloc_In!C23</t>
    </r>
    <r>
      <rPr>
        <sz val="11"/>
        <color theme="1"/>
        <rFont val="Noto Sans CJK SC"/>
        <family val="2"/>
      </rPr>
      <t xml:space="preserve">；本段檢驗對象</t>
    </r>
  </si>
  <si>
    <t xml:space="preserve">IF_GPUsPerGW Hopper</t>
  </si>
  <si>
    <r>
      <rPr>
        <sz val="11"/>
        <color theme="1"/>
        <rFont val="Noto Sans CJK SC"/>
        <family val="2"/>
      </rPr>
      <t xml:space="preserve">顆</t>
    </r>
    <r>
      <rPr>
        <sz val="11"/>
        <color theme="1"/>
        <rFont val="Calibri"/>
        <family val="2"/>
        <charset val="1"/>
      </rPr>
      <t xml:space="preserve">/GW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</si>
  <si>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</si>
  <si>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筆記</t>
    </r>
  </si>
  <si>
    <t xml:space="preserve">IF_GPUsPerGW GB200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</si>
  <si>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</si>
  <si>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此值</t>
    </r>
  </si>
  <si>
    <t xml:space="preserve">每年小時數</t>
  </si>
  <si>
    <t xml:space="preserve">小時</t>
  </si>
  <si>
    <t xml:space="preserve">常數</t>
  </si>
  <si>
    <r>
      <rPr>
        <sz val="11"/>
        <color theme="1"/>
        <rFont val="Calibri"/>
        <family val="2"/>
        <charset val="1"/>
      </rPr>
      <t xml:space="preserve">AL_FleetGW25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</si>
  <si>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</si>
  <si>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Cap_In!C331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</si>
  <si>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0.6→1.9 GW </t>
    </r>
    <r>
      <rPr>
        <sz val="11"/>
        <color theme="1"/>
        <rFont val="Noto Sans CJK SC"/>
        <family val="2"/>
      </rPr>
      <t xml:space="preserve">端點內插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</si>
  <si>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全部算力支出（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</si>
  <si>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</si>
  <si>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（外流查核帳；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9a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</si>
  <si>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161–217 </t>
    </r>
    <r>
      <rPr>
        <sz val="11"/>
        <color theme="1"/>
        <rFont val="Noto Sans CJK SC"/>
        <family val="2"/>
      </rPr>
      <t xml:space="preserve">億為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端查核帳框出區間</t>
    </r>
  </si>
  <si>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億中屬當年上線算力費用的比例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</si>
  <si>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9a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</si>
  <si>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0.9 </t>
    </r>
    <r>
      <rPr>
        <sz val="11"/>
        <color theme="1"/>
        <rFont val="Noto Sans CJK SC"/>
        <family val="2"/>
      </rPr>
      <t xml:space="preserve">為本段簡化，非 </t>
    </r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數字</t>
    </r>
  </si>
  <si>
    <r>
      <rPr>
        <sz val="11"/>
        <color theme="1"/>
        <rFont val="Noto Sans CJK SC"/>
        <family val="2"/>
      </rPr>
      <t xml:space="preserve">設施電力／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電力（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，設施口徑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用）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</si>
  <si>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</si>
  <si>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；外部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口徑未明時才用；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1.1–1.7</t>
    </r>
  </si>
  <si>
    <t xml:space="preserve">衍生（公式）</t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</si>
  <si>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權重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顆數＋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權重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</si>
  <si>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</si>
  <si>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</si>
  <si>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Calibri"/>
        <family val="2"/>
        <charset val="1"/>
      </rPr>
      <t xml:space="preserve">$/GPU·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</si>
  <si>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1.69</t>
    </r>
  </si>
  <si>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倍對應的實付價（每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</si>
  <si>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16.8</t>
    </r>
  </si>
  <si>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倍對應的實付價（每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</si>
  <si>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3.04</t>
    </r>
  </si>
  <si>
    <t xml:space="preserve">區塊／項目</t>
  </si>
  <si>
    <t xml:space="preserve">數值</t>
  </si>
  <si>
    <t xml:space="preserve">說明（藍字＝輸入；黑字＝公式）</t>
  </si>
  <si>
    <r>
      <rPr>
        <b val="true"/>
        <sz val="11"/>
        <rFont val="Cambria"/>
        <family val="0"/>
        <charset val="1"/>
      </rPr>
      <t xml:space="preserve">E01 The Information 2024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DCD </t>
    </r>
    <r>
      <rPr>
        <b val="true"/>
        <sz val="11"/>
        <rFont val="Noto Sans CJK SC"/>
        <family val="2"/>
      </rPr>
      <t xml:space="preserve">轉述）：</t>
    </r>
    <r>
      <rPr>
        <b val="true"/>
        <sz val="11"/>
        <rFont val="Cambria"/>
        <family val="0"/>
        <charset val="1"/>
      </rPr>
      <t xml:space="preserve">A100 </t>
    </r>
    <r>
      <rPr>
        <b val="true"/>
        <sz val="11"/>
        <rFont val="Noto Sans CJK SC"/>
        <family val="2"/>
      </rPr>
      <t xml:space="preserve">每小時 </t>
    </r>
    <r>
      <rPr>
        <b val="true"/>
        <sz val="11"/>
        <rFont val="Cambria"/>
        <family val="0"/>
        <charset val="1"/>
      </rPr>
      <t xml:space="preserve">1.30 </t>
    </r>
    <r>
      <rPr>
        <b val="true"/>
        <sz val="11"/>
        <rFont val="Noto Sans CJK SC"/>
        <family val="2"/>
      </rPr>
      <t xml:space="preserve">美元、等效 </t>
    </r>
    <r>
      <rPr>
        <b val="true"/>
        <sz val="11"/>
        <rFont val="Cambria"/>
        <family val="0"/>
        <charset val="1"/>
      </rPr>
      <t xml:space="preserve">35 </t>
    </r>
    <r>
      <rPr>
        <b val="true"/>
        <sz val="11"/>
        <rFont val="Noto Sans CJK SC"/>
        <family val="2"/>
      </rPr>
      <t xml:space="preserve">萬顆 </t>
    </r>
    <r>
      <rPr>
        <b val="true"/>
        <sz val="11"/>
        <rFont val="Cambria"/>
        <family val="0"/>
        <charset val="1"/>
      </rPr>
      <t xml:space="preserve">A100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</si>
  <si>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收費（每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</si>
  <si>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Calibri"/>
        <family val="2"/>
        <charset val="1"/>
      </rPr>
      <t xml:space="preserve">$/A100·</t>
    </r>
    <r>
      <rPr>
        <sz val="11"/>
        <color theme="1"/>
        <rFont val="Noto Sans CJK SC"/>
        <family val="2"/>
      </rPr>
      <t xml:space="preserve">小時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</si>
  <si>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</si>
  <si>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：「</t>
    </r>
    <r>
      <rPr>
        <sz val="11"/>
        <color theme="1"/>
        <rFont val="Calibri"/>
        <family val="2"/>
        <charset val="1"/>
      </rPr>
      <t xml:space="preserve">about $1.30 per A100 server per hour</t>
    </r>
    <r>
      <rPr>
        <sz val="11"/>
        <color theme="1"/>
        <rFont val="Noto Sans CJK SC"/>
        <family val="2"/>
      </rPr>
      <t xml:space="preserve">」；以下用『每顆』讀法：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原句寫 </t>
    </r>
    <r>
      <rPr>
        <sz val="11"/>
        <color theme="1"/>
        <rFont val="Calibri"/>
        <family val="2"/>
        <charset val="1"/>
      </rPr>
      <t xml:space="preserve">chips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萬是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顆伺服器，則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，遠超 </t>
    </r>
    <r>
      <rPr>
        <sz val="11"/>
        <color theme="1"/>
        <rFont val="Calibri"/>
        <family val="2"/>
        <charset val="1"/>
      </rPr>
      <t xml:space="preserve">OpenAI 2024 </t>
    </r>
    <r>
      <rPr>
        <sz val="11"/>
        <color theme="1"/>
        <rFont val="Noto Sans CJK SC"/>
        <family val="2"/>
      </rPr>
      <t xml:space="preserve">年底總量 </t>
    </r>
    <r>
      <rPr>
        <sz val="11"/>
        <color theme="1"/>
        <rFont val="Calibri"/>
        <family val="2"/>
        <charset val="1"/>
      </rPr>
      <t xml:space="preserve">0.6 GW</t>
    </r>
    <r>
      <rPr>
        <sz val="11"/>
        <color theme="1"/>
        <rFont val="Noto Sans CJK SC"/>
        <family val="2"/>
      </rPr>
      <t xml:space="preserve">。金額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×1.30×8760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39.9 </t>
    </r>
    <r>
      <rPr>
        <sz val="11"/>
        <color theme="1"/>
        <rFont val="Noto Sans CJK SC"/>
        <family val="2"/>
      </rPr>
      <t xml:space="preserve">億兩種讀法都吻合</t>
    </r>
  </si>
  <si>
    <r>
      <rPr>
        <sz val="11"/>
        <color theme="1"/>
        <rFont val="Noto Sans CJK SC"/>
        <family val="2"/>
      </rPr>
      <t xml:space="preserve">等效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顆數</t>
    </r>
  </si>
  <si>
    <t xml:space="preserve">顆</t>
  </si>
  <si>
    <r>
      <rPr>
        <sz val="11"/>
        <color theme="1"/>
        <rFont val="Calibri"/>
        <family val="2"/>
        <charset val="1"/>
      </rPr>
      <t xml:space="preserve">The Information 2024-07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cluster 'has the equivalent of 350,000 Nvidia A100 chips'</t>
    </r>
  </si>
  <si>
    <t xml:space="preserve">隱含年支出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</si>
  <si>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</si>
  <si>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應≈ 報導『約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億』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</si>
  <si>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Noto Sans CJK SC"/>
        <family val="2"/>
      </rPr>
      <t xml:space="preserve">內部文件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推論（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季加總）</t>
    </r>
  </si>
  <si>
    <r>
      <rPr>
        <sz val="11"/>
        <color theme="1"/>
        <rFont val="Calibri"/>
        <family val="2"/>
        <charset val="1"/>
      </rPr>
      <t xml:space="preserve">wheresyoured.at</t>
    </r>
    <r>
      <rPr>
        <sz val="11"/>
        <color theme="1"/>
        <rFont val="Noto Sans CJK SC"/>
        <family val="2"/>
      </rPr>
      <t xml:space="preserve">；與上行同量級（相差約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</si>
  <si>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電力（含伺服器內網路等）基準</t>
    </r>
  </si>
  <si>
    <r>
      <rPr>
        <sz val="11"/>
        <color theme="1"/>
        <rFont val="Calibri"/>
        <family val="2"/>
        <charset val="1"/>
      </rPr>
      <t xml:space="preserve">kW/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</si>
  <si>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DGX A100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6.5kW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顆＝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×Epoch IT </t>
    </r>
    <r>
      <rPr>
        <sz val="11"/>
        <color theme="1"/>
        <rFont val="Noto Sans CJK SC"/>
        <family val="2"/>
      </rPr>
      <t xml:space="preserve">開銷係數 </t>
    </r>
    <r>
      <rPr>
        <sz val="11"/>
        <color theme="1"/>
        <rFont val="Calibri"/>
        <family val="2"/>
        <charset val="1"/>
      </rPr>
      <t xml:space="preserve">1.14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0.8–1.1</t>
    </r>
  </si>
  <si>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</si>
  <si>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</si>
  <si>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</si>
  <si>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</si>
  <si>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</si>
  <si>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</si>
  <si>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世代；比較基準仍用 </t>
    </r>
    <r>
      <rPr>
        <sz val="11"/>
        <color theme="1"/>
        <rFont val="Calibri"/>
        <family val="2"/>
        <charset val="1"/>
      </rPr>
      <t xml:space="preserve">TK 2025 </t>
    </r>
    <r>
      <rPr>
        <sz val="11"/>
        <color theme="1"/>
        <rFont val="Noto Sans CJK SC"/>
        <family val="2"/>
      </rPr>
      <t xml:space="preserve">機隊持有成本（假設每 </t>
    </r>
    <r>
      <rPr>
        <sz val="11"/>
        <color theme="1"/>
        <rFont val="Calibri"/>
        <family val="2"/>
        <charset val="1"/>
      </rPr>
      <t xml:space="preserve">IT-kW </t>
    </r>
    <r>
      <rPr>
        <sz val="11"/>
        <color theme="1"/>
        <rFont val="Noto Sans CJK SC"/>
        <family val="2"/>
      </rPr>
      <t xml:space="preserve">的持有成本跨世代近似不變：伺服器資本 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25–31 </t>
    </r>
    <r>
      <rPr>
        <sz val="11"/>
        <color theme="1"/>
        <rFont val="Noto Sans CJK SC"/>
        <family val="2"/>
      </rPr>
      <t xml:space="preserve">千美元，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</si>
  <si>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÷ AL_FleetHold</t>
    </r>
    <r>
      <rPr>
        <sz val="11"/>
        <color theme="1"/>
        <rFont val="Noto Sans CJK SC"/>
        <family val="2"/>
      </rPr>
      <t xml:space="preserve">（倍數）</t>
    </r>
  </si>
  <si>
    <r>
      <rPr>
        <sz val="11"/>
        <color theme="1"/>
        <rFont val="Noto Sans CJK SC"/>
        <family val="2"/>
      </rPr>
      <t xml:space="preserve">倍數低（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</si>
  <si>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Noto Sans CJK SC"/>
        <family val="2"/>
      </rPr>
      <t xml:space="preserve">倍數高（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</si>
  <si>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機隊口徑每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小時（倍數</t>
    </r>
    <r>
      <rPr>
        <sz val="11"/>
        <color theme="1"/>
        <rFont val="Calibri"/>
        <family val="2"/>
        <charset val="1"/>
      </rPr>
      <t xml:space="preserve">×TK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小時持有成本，基準）</t>
    </r>
  </si>
  <si>
    <r>
      <rPr>
        <sz val="11"/>
        <color theme="1"/>
        <rFont val="Noto Sans CJK SC"/>
        <family val="2"/>
      </rPr>
      <t xml:space="preserve">對照證偽條件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美元門檻</t>
    </r>
  </si>
  <si>
    <t xml:space="preserve">同上（低）</t>
  </si>
  <si>
    <t xml:space="preserve">同上（高）</t>
  </si>
  <si>
    <r>
      <rPr>
        <sz val="11"/>
        <color theme="1"/>
        <rFont val="Noto Sans CJK SC"/>
        <family val="2"/>
      </rPr>
      <t xml:space="preserve">橫跨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美元 →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不能判為觸發，也不能判為排除</t>
    </r>
  </si>
  <si>
    <r>
      <rPr>
        <b val="true"/>
        <sz val="11"/>
        <rFont val="Cambria"/>
        <family val="0"/>
        <charset val="1"/>
      </rPr>
      <t xml:space="preserve">E02 </t>
    </r>
    <r>
      <rPr>
        <b val="true"/>
        <sz val="11"/>
        <rFont val="Noto Sans CJK SC"/>
        <family val="2"/>
      </rPr>
      <t xml:space="preserve">同一個 </t>
    </r>
    <r>
      <rPr>
        <b val="true"/>
        <sz val="11"/>
        <rFont val="Cambria"/>
        <family val="0"/>
        <charset val="1"/>
      </rPr>
      <t xml:space="preserve">1.30</t>
    </r>
    <r>
      <rPr>
        <b val="true"/>
        <sz val="11"/>
        <rFont val="Noto Sans CJK SC"/>
        <family val="2"/>
      </rPr>
      <t xml:space="preserve">：換成『占牌價比例』再套到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機隊（與 </t>
    </r>
    <r>
      <rPr>
        <b val="true"/>
        <sz val="11"/>
        <rFont val="Cambria"/>
        <family val="0"/>
        <charset val="1"/>
      </rPr>
      <t xml:space="preserve">E01 </t>
    </r>
    <r>
      <rPr>
        <b val="true"/>
        <sz val="11"/>
        <rFont val="Noto Sans CJK SC"/>
        <family val="2"/>
      </rPr>
      <t xml:space="preserve">同源，算一筆）</t>
    </r>
  </si>
  <si>
    <r>
      <rPr>
        <sz val="11"/>
        <color theme="1"/>
        <rFont val="Calibri"/>
        <family val="2"/>
        <charset val="1"/>
      </rPr>
      <t xml:space="preserve">Azure ND96amsr A100 v4 </t>
    </r>
    <r>
      <rPr>
        <sz val="11"/>
        <color theme="1"/>
        <rFont val="Noto Sans CJK SC"/>
        <family val="2"/>
      </rPr>
      <t xml:space="preserve">隨需牌價（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</si>
  <si>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</si>
  <si>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（牌價，三方追蹤站 </t>
    </r>
    <r>
      <rPr>
        <sz val="11"/>
        <color theme="1"/>
        <rFont val="Calibri"/>
        <family val="2"/>
        <charset val="1"/>
      </rPr>
      <t xml:space="preserve">sparecores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</si>
  <si>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牌價</t>
    </r>
  </si>
  <si>
    <r>
      <rPr>
        <sz val="11"/>
        <color theme="1"/>
        <rFont val="Calibri"/>
        <family val="2"/>
        <charset val="1"/>
      </rPr>
      <t xml:space="preserve">1.30 </t>
    </r>
    <r>
      <rPr>
        <sz val="11"/>
        <color theme="1"/>
        <rFont val="Noto Sans CJK SC"/>
        <family val="2"/>
      </rPr>
      <t xml:space="preserve">占牌價比例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</si>
  <si>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（折扣約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</si>
  <si>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H100 v5 </t>
    </r>
    <r>
      <rPr>
        <sz val="11"/>
        <color theme="1"/>
        <rFont val="Noto Sans CJK SC"/>
        <family val="2"/>
      </rPr>
      <t xml:space="preserve">隨需牌價每顆（</t>
    </r>
    <r>
      <rPr>
        <sz val="11"/>
        <color theme="1"/>
        <rFont val="Calibri"/>
        <family val="2"/>
        <charset val="1"/>
      </rPr>
      <t xml:space="preserve">98.32÷8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</si>
  <si>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$/H100·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</si>
  <si>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</si>
  <si>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GB200 v6 </t>
    </r>
    <r>
      <rPr>
        <sz val="11"/>
        <color theme="1"/>
        <rFont val="Noto Sans CJK SC"/>
        <family val="2"/>
      </rPr>
      <t xml:space="preserve">隨需牌價每顆（</t>
    </r>
    <r>
      <rPr>
        <sz val="11"/>
        <color theme="1"/>
        <rFont val="Calibri"/>
        <family val="2"/>
        <charset val="1"/>
      </rPr>
      <t xml:space="preserve">108.16÷4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</si>
  <si>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$/GB200·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</si>
  <si>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Learn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VM 4 </t>
    </r>
    <r>
      <rPr>
        <sz val="11"/>
        <color theme="1"/>
        <rFont val="Noto Sans CJK SC"/>
        <family val="2"/>
      </rPr>
      <t xml:space="preserve">顆）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</si>
  <si>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機隊權重牌價（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</si>
  <si>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套用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後的每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</si>
  <si>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2024 A100 </t>
    </r>
    <r>
      <rPr>
        <sz val="11"/>
        <color theme="1"/>
        <rFont val="Noto Sans CJK SC"/>
        <family val="2"/>
      </rPr>
      <t xml:space="preserve">的折扣比例硬套到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世代，僅作上界示意</t>
    </r>
  </si>
  <si>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</t>
    </r>
  </si>
  <si>
    <r>
      <rPr>
        <sz val="11"/>
        <color theme="1"/>
        <rFont val="Noto Sans CJK SC"/>
        <family val="2"/>
      </rPr>
      <t xml:space="preserve">牌價每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隨世代大漲（見 </t>
    </r>
    <r>
      <rPr>
        <sz val="11"/>
        <color theme="1"/>
        <rFont val="Calibri"/>
        <family val="2"/>
        <charset val="1"/>
      </rPr>
      <t xml:space="preserve">E10</t>
    </r>
    <r>
      <rPr>
        <sz val="11"/>
        <color theme="1"/>
        <rFont val="Noto Sans CJK SC"/>
        <family val="2"/>
      </rPr>
      <t xml:space="preserve">），折扣比例不可跨世代套用；本列為上界，不作支持證據</t>
    </r>
  </si>
  <si>
    <r>
      <rPr>
        <b val="true"/>
        <sz val="11"/>
        <rFont val="Cambria"/>
        <family val="0"/>
        <charset val="1"/>
      </rPr>
      <t xml:space="preserve">E03 Microsoft FY26 10-K</t>
    </r>
    <r>
      <rPr>
        <b val="true"/>
        <sz val="11"/>
        <rFont val="Noto Sans CJK SC"/>
        <family val="2"/>
      </rPr>
      <t xml:space="preserve">：來自 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的營收 </t>
    </r>
    <r>
      <rPr>
        <b val="true"/>
        <sz val="11"/>
        <rFont val="Cambria"/>
        <family val="0"/>
        <charset val="1"/>
      </rPr>
      <t xml:space="preserve">241 </t>
    </r>
    <r>
      <rPr>
        <b val="true"/>
        <sz val="11"/>
        <rFont val="Noto Sans CJK SC"/>
        <family val="2"/>
      </rPr>
      <t xml:space="preserve">億（含營收分成）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</si>
  <si>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，含營收分成）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</si>
  <si>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</si>
  <si>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'revenue from commercial arrangements with OpenAI, inclusive of revenue-sharing payments, of $24.1 billion'</t>
    </r>
  </si>
  <si>
    <r>
      <rPr>
        <sz val="11"/>
        <color theme="1"/>
        <rFont val="Noto Sans CJK SC"/>
        <family val="2"/>
      </rPr>
      <t xml:space="preserve">扣除營收分成（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付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分成；金額未披露）</t>
    </r>
  </si>
  <si>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營收分成的粗估，區間 </t>
    </r>
    <r>
      <rPr>
        <sz val="11"/>
        <color theme="1"/>
        <rFont val="Calibri"/>
        <family val="2"/>
        <charset val="1"/>
      </rPr>
      <t xml:space="preserve">2.0–4.0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FY26 </t>
    </r>
    <r>
      <rPr>
        <sz val="11"/>
        <color theme="1"/>
        <rFont val="Noto Sans CJK SC"/>
        <family val="2"/>
      </rPr>
      <t xml:space="preserve">營收未知，無來源</t>
    </r>
  </si>
  <si>
    <t xml:space="preserve">可歸屬算力使用費</t>
  </si>
  <si>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</si>
  <si>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無來源；</t>
    </r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年底總量 </t>
    </r>
    <r>
      <rPr>
        <sz val="11"/>
        <color theme="1"/>
        <rFont val="Calibri"/>
        <family val="2"/>
        <charset val="1"/>
      </rPr>
      <t xml:space="preserve">1.9 GW</t>
    </r>
  </si>
  <si>
    <t xml:space="preserve">同上（中）</t>
  </si>
  <si>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</si>
  <si>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中）</t>
    </r>
  </si>
  <si>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</si>
  <si>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Noto Sans CJK SC"/>
        <family val="2"/>
      </rPr>
      <t xml:space="preserve">分母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無來源 → 不可分離，僅作量級</t>
    </r>
  </si>
  <si>
    <r>
      <rPr>
        <b val="true"/>
        <sz val="11"/>
        <rFont val="Cambria"/>
        <family val="0"/>
        <charset val="1"/>
      </rPr>
      <t xml:space="preserve">E04 2025-10 </t>
    </r>
    <r>
      <rPr>
        <b val="true"/>
        <sz val="11"/>
        <rFont val="Noto Sans CJK SC"/>
        <family val="2"/>
      </rPr>
      <t xml:space="preserve">重組：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向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增購 </t>
    </r>
    <r>
      <rPr>
        <b val="true"/>
        <sz val="11"/>
        <rFont val="Cambria"/>
        <family val="0"/>
        <charset val="1"/>
      </rPr>
      <t xml:space="preserve">2,500 </t>
    </r>
    <r>
      <rPr>
        <b val="true"/>
        <sz val="11"/>
        <rFont val="Noto Sans CJK SC"/>
        <family val="2"/>
      </rPr>
      <t xml:space="preserve">億美元（無單價、無期間）</t>
    </r>
  </si>
  <si>
    <t xml:space="preserve">增購承諾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</si>
  <si>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官方部落格）</t>
    </r>
  </si>
  <si>
    <r>
      <rPr>
        <sz val="11"/>
        <color theme="1"/>
        <rFont val="Calibri"/>
        <family val="2"/>
        <charset val="1"/>
      </rPr>
      <t xml:space="preserve">'contracted to purchase an incremental $250B of Azure services'</t>
    </r>
    <r>
      <rPr>
        <sz val="11"/>
        <color theme="1"/>
        <rFont val="Noto Sans CJK SC"/>
        <family val="2"/>
      </rPr>
      <t xml:space="preserve">；未載單價與期間</t>
    </r>
  </si>
  <si>
    <r>
      <rPr>
        <sz val="11"/>
        <color theme="1"/>
        <rFont val="Noto Sans CJK SC"/>
        <family val="2"/>
      </rPr>
      <t xml:space="preserve">若單價＝</t>
    </r>
    <r>
      <rPr>
        <sz val="11"/>
        <color theme="1"/>
        <rFont val="Calibri"/>
        <family val="2"/>
        <charset val="1"/>
      </rPr>
      <t xml:space="preserve">1.0×</t>
    </r>
    <r>
      <rPr>
        <sz val="11"/>
        <color theme="1"/>
        <rFont val="Noto Sans CJK SC"/>
        <family val="2"/>
      </rPr>
      <t xml:space="preserve">持有成本，可買</t>
    </r>
  </si>
  <si>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</si>
  <si>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若單價＝</t>
    </r>
    <r>
      <rPr>
        <sz val="11"/>
        <color theme="1"/>
        <rFont val="Calibri"/>
        <family val="2"/>
        <charset val="1"/>
      </rPr>
      <t xml:space="preserve">1.8×</t>
    </r>
    <r>
      <rPr>
        <sz val="11"/>
        <color theme="1"/>
        <rFont val="Noto Sans CJK SC"/>
        <family val="2"/>
      </rPr>
      <t xml:space="preserve">持有成本，可買</t>
    </r>
  </si>
  <si>
    <t xml:space="preserve">期間未知 → 無法反推單價</t>
  </si>
  <si>
    <r>
      <rPr>
        <b val="true"/>
        <sz val="11"/>
        <rFont val="Cambria"/>
        <family val="0"/>
        <charset val="1"/>
      </rPr>
      <t xml:space="preserve">E05 Oracle–OpenAI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3,000 </t>
    </r>
    <r>
      <rPr>
        <b val="true"/>
        <sz val="11"/>
        <rFont val="Noto Sans CJK SC"/>
        <family val="2"/>
      </rPr>
      <t xml:space="preserve">億美元、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年、</t>
    </r>
    <r>
      <rPr>
        <b val="true"/>
        <sz val="11"/>
        <rFont val="Cambria"/>
        <family val="0"/>
        <charset val="1"/>
      </rPr>
      <t xml:space="preserve">4.5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Next Platform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'culminates with 4.5 GW'</t>
    </r>
    <r>
      <rPr>
        <b val="true"/>
        <sz val="11"/>
        <rFont val="Noto Sans CJK SC"/>
        <family val="2"/>
      </rPr>
      <t xml:space="preserve">）</t>
    </r>
  </si>
  <si>
    <t xml:space="preserve">合約總額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</si>
  <si>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申報未點名客戶）</t>
    </r>
  </si>
  <si>
    <t xml:space="preserve">年數</t>
  </si>
  <si>
    <t xml:space="preserve">年</t>
  </si>
  <si>
    <t xml:space="preserve">終局容量</t>
  </si>
  <si>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／設施）未明；起點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年中，非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</si>
  <si>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年（假設 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全期都在、且為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</si>
  <si>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t xml:space="preserve">下限情境</t>
  </si>
  <si>
    <r>
      <rPr>
        <sz val="11"/>
        <color theme="1"/>
        <rFont val="Noto Sans CJK SC"/>
        <family val="2"/>
      </rPr>
      <t xml:space="preserve">全期平均容量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終局容量（爬坡）基準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</si>
  <si>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0.6–1.0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'culminates' </t>
    </r>
    <r>
      <rPr>
        <sz val="11"/>
        <color theme="1"/>
        <rFont val="Noto Sans CJK SC"/>
        <family val="2"/>
      </rPr>
      <t xml:space="preserve">表示終局才達 </t>
    </r>
    <r>
      <rPr>
        <sz val="11"/>
        <color theme="1"/>
        <rFont val="Calibri"/>
        <family val="2"/>
        <charset val="1"/>
      </rPr>
      <t xml:space="preserve">4.5 GW</t>
    </r>
  </si>
  <si>
    <t xml:space="preserve">爬坡低（平均容量比例小）</t>
  </si>
  <si>
    <r>
      <rPr>
        <sz val="11"/>
        <color theme="1"/>
        <rFont val="Noto Sans CJK SC"/>
        <family val="2"/>
      </rPr>
      <t xml:space="preserve">設施→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換算（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）基準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</si>
  <si>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為設施口徑</t>
    </r>
  </si>
  <si>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</si>
  <si>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倍數低（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口徑、無爬坡）</t>
    </r>
  </si>
  <si>
    <r>
      <rPr>
        <sz val="11"/>
        <color theme="1"/>
        <rFont val="Noto Sans CJK SC"/>
        <family val="2"/>
      </rPr>
      <t xml:space="preserve">倍數基準（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基準、爬坡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</si>
  <si>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倍數高（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高、爬坡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</si>
  <si>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E06 </t>
    </r>
    <r>
      <rPr>
        <b val="true"/>
        <sz val="11"/>
        <rFont val="Noto Sans CJK SC"/>
        <family val="2"/>
      </rPr>
      <t xml:space="preserve">供應商毛利率錨點：價格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供應商成本＝</t>
    </r>
    <r>
      <rPr>
        <b val="true"/>
        <sz val="11"/>
        <rFont val="Cambria"/>
        <family val="0"/>
        <charset val="1"/>
      </rPr>
      <t xml:space="preserve">1÷(1−</t>
    </r>
    <r>
      <rPr>
        <b val="true"/>
        <sz val="11"/>
        <rFont val="Noto Sans CJK SC"/>
        <family val="2"/>
      </rPr>
      <t xml:space="preserve">毛利率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</si>
  <si>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Oracle AI </t>
    </r>
    <r>
      <rPr>
        <sz val="11"/>
        <color theme="1"/>
        <rFont val="Noto Sans CJK SC"/>
        <family val="2"/>
      </rPr>
      <t xml:space="preserve">雲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季平均毛利率（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內部文件，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</si>
  <si>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季間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；該季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伺服器出租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</si>
  <si>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預期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基礎設施毛利率上限（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</si>
  <si>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'gross margin of up to 35%'</t>
    </r>
    <r>
      <rPr>
        <sz val="11"/>
        <color theme="1"/>
        <rFont val="Noto Sans CJK SC"/>
        <family val="2"/>
      </rPr>
      <t xml:space="preserve">；是否全合約期未明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</si>
  <si>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目標毛利率（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引述）</t>
    </r>
  </si>
  <si>
    <t xml:space="preserve">'try to get 40 percent gross margins'</t>
  </si>
  <si>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成本（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</si>
  <si>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</si>
  <si>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</si>
  <si>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『成本』是供應商會計成本，與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經濟持有成本是否同口徑未知</t>
    </r>
  </si>
  <si>
    <r>
      <rPr>
        <b val="true"/>
        <sz val="11"/>
        <rFont val="Cambria"/>
        <family val="0"/>
        <charset val="1"/>
      </rPr>
      <t xml:space="preserve">E07 CoreWeave</t>
    </r>
    <r>
      <rPr>
        <b val="true"/>
        <sz val="11"/>
        <rFont val="Noto Sans CJK SC"/>
        <family val="2"/>
      </rPr>
      <t xml:space="preserve">（公司申報）：營收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活躍電力</t>
    </r>
  </si>
  <si>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</si>
  <si>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CoreWeave 2025Q3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9a W3-03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</si>
  <si>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末活躍電力</t>
    </r>
  </si>
  <si>
    <t xml:space="preserve">MW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</si>
  <si>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稿『</t>
    </r>
    <r>
      <rPr>
        <sz val="11"/>
        <color theme="1"/>
        <rFont val="Calibri"/>
        <family val="2"/>
        <charset val="1"/>
      </rPr>
      <t xml:space="preserve">+120 MW</t>
    </r>
    <r>
      <rPr>
        <sz val="11"/>
        <color theme="1"/>
        <rFont val="Noto Sans CJK SC"/>
        <family val="2"/>
      </rPr>
      <t xml:space="preserve">』推得）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</si>
  <si>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末活躍電力</t>
    </r>
  </si>
  <si>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</si>
  <si>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businesswire 2026-02-26</t>
    </r>
    <r>
      <rPr>
        <sz val="11"/>
        <color theme="1"/>
        <rFont val="Noto Sans CJK SC"/>
        <family val="2"/>
      </rPr>
      <t xml:space="preserve">）；全年 </t>
    </r>
    <r>
      <rPr>
        <sz val="11"/>
        <color theme="1"/>
        <rFont val="Calibri"/>
        <family val="2"/>
        <charset val="1"/>
      </rPr>
      <t xml:space="preserve">5.131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</si>
  <si>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末活躍電力</t>
    </r>
  </si>
  <si>
    <r>
      <rPr>
        <sz val="11"/>
        <color theme="1"/>
        <rFont val="Calibri"/>
        <family val="2"/>
        <charset val="1"/>
      </rPr>
      <t xml:space="preserve">'more than 850 MW'</t>
    </r>
    <r>
      <rPr>
        <sz val="11"/>
        <color theme="1"/>
        <rFont val="Noto Sans CJK SC"/>
        <family val="2"/>
      </rPr>
      <t xml:space="preserve">（取下限）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</si>
  <si>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：年化營收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平均活躍電力</t>
    </r>
  </si>
  <si>
    <r>
      <rPr>
        <sz val="11"/>
        <color theme="1"/>
        <rFont val="Noto Sans CJK SC"/>
        <family val="2"/>
      </rPr>
      <t xml:space="preserve">全客戶混合；活躍電力口徑（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／設施）公司未明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</si>
  <si>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：年化營收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平均活躍電力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</si>
  <si>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大量新增電力尚在爬坡，分母偏大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</si>
  <si>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</si>
  <si>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</si>
  <si>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合併倍數</t>
    </r>
  </si>
  <si>
    <r>
      <rPr>
        <b val="true"/>
        <sz val="11"/>
        <rFont val="Cambria"/>
        <family val="0"/>
        <charset val="1"/>
      </rPr>
      <t xml:space="preserve">E08 IREN–Microsoft</t>
    </r>
    <r>
      <rPr>
        <b val="true"/>
        <sz val="11"/>
        <rFont val="Noto Sans CJK SC"/>
        <family val="2"/>
      </rPr>
      <t xml:space="preserve">（公司公告）：</t>
    </r>
    <r>
      <rPr>
        <b val="true"/>
        <sz val="11"/>
        <rFont val="Cambria"/>
        <family val="0"/>
        <charset val="1"/>
      </rPr>
      <t xml:space="preserve">97 </t>
    </r>
    <r>
      <rPr>
        <b val="true"/>
        <sz val="11"/>
        <rFont val="Noto Sans CJK SC"/>
        <family val="2"/>
      </rPr>
      <t xml:space="preserve">億美元、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年、約 </t>
    </r>
    <r>
      <rPr>
        <b val="true"/>
        <sz val="11"/>
        <rFont val="Cambria"/>
        <family val="0"/>
        <charset val="1"/>
      </rPr>
      <t xml:space="preserve">200 MW IT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</si>
  <si>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techinformed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</si>
  <si>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預付款，第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個月後抵用；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是買方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</si>
  <si>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</si>
  <si>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（公告用語 </t>
    </r>
    <r>
      <rPr>
        <sz val="11"/>
        <color theme="1"/>
        <rFont val="Calibri"/>
        <family val="2"/>
        <charset val="1"/>
      </rPr>
      <t xml:space="preserve">'about 200 MW of IT load'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</si>
  <si>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分母是額定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容量、分子含爬坡期 → 實際單價 ≥ 此值</t>
    </r>
  </si>
  <si>
    <t xml:space="preserve">倍數</t>
  </si>
  <si>
    <r>
      <rPr>
        <b val="true"/>
        <sz val="11"/>
        <rFont val="Cambria"/>
        <family val="0"/>
        <charset val="1"/>
      </rPr>
      <t xml:space="preserve">E10 Azure </t>
    </r>
    <r>
      <rPr>
        <b val="true"/>
        <sz val="11"/>
        <rFont val="Noto Sans CJK SC"/>
        <family val="2"/>
      </rPr>
      <t xml:space="preserve">公開牌價（上界錨點）</t>
    </r>
  </si>
  <si>
    <r>
      <rPr>
        <sz val="11"/>
        <color theme="1"/>
        <rFont val="Calibri"/>
        <family val="2"/>
        <charset val="1"/>
      </rPr>
      <t xml:space="preserve">ND H100 v5 </t>
    </r>
    <r>
      <rPr>
        <sz val="11"/>
        <color theme="1"/>
        <rFont val="Noto Sans CJK SC"/>
        <family val="2"/>
      </rPr>
      <t xml:space="preserve">隨需（每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</si>
  <si>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sparecores</t>
    </r>
    <r>
      <rPr>
        <sz val="11"/>
        <color theme="1"/>
        <rFont val="Noto Sans CJK SC"/>
        <family val="2"/>
      </rPr>
      <t xml:space="preserve">；東美）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</si>
  <si>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</si>
  <si>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ND H100 v5 </t>
    </r>
    <r>
      <rPr>
        <sz val="11"/>
        <color theme="1"/>
        <rFont val="Noto Sans CJK SC"/>
        <family val="2"/>
      </rPr>
      <t xml:space="preserve">一年預留（</t>
    </r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Spheron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</si>
  <si>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</si>
  <si>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ND H100 v5 </t>
    </r>
    <r>
      <rPr>
        <sz val="11"/>
        <color theme="1"/>
        <rFont val="Noto Sans CJK SC"/>
        <family val="2"/>
      </rPr>
      <t xml:space="preserve">三年預留（</t>
    </r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Spheron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</si>
  <si>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ND H100 v5 Spot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sparecores 18.1695÷8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</si>
  <si>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（牌價，可被收回）</t>
    </r>
  </si>
  <si>
    <t xml:space="preserve">非生產用途；公開最低價</t>
  </si>
  <si>
    <r>
      <rPr>
        <sz val="11"/>
        <color theme="1"/>
        <rFont val="Calibri"/>
        <family val="2"/>
        <charset val="1"/>
      </rPr>
      <t xml:space="preserve">ND GB200 v6 </t>
    </r>
    <r>
      <rPr>
        <sz val="11"/>
        <color theme="1"/>
        <rFont val="Noto Sans CJK SC"/>
        <family val="2"/>
      </rPr>
      <t xml:space="preserve">隨需（</t>
    </r>
    <r>
      <rPr>
        <sz val="11"/>
        <color theme="1"/>
        <rFont val="Calibri"/>
        <family val="2"/>
        <charset val="1"/>
      </rPr>
      <t xml:space="preserve">108.16÷4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</si>
  <si>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</si>
  <si>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VM 4 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</si>
  <si>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ND GB200 v6 </t>
    </r>
    <r>
      <rPr>
        <sz val="11"/>
        <color theme="1"/>
        <rFont val="Noto Sans CJK SC"/>
        <family val="2"/>
      </rPr>
      <t xml:space="preserve">一年預留（</t>
    </r>
    <r>
      <rPr>
        <sz val="11"/>
        <color theme="1"/>
        <rFont val="Calibri"/>
        <family val="2"/>
        <charset val="1"/>
      </rPr>
      <t xml:space="preserve">69.222÷4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</si>
  <si>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（牌價，</t>
    </r>
    <r>
      <rPr>
        <sz val="11"/>
        <color theme="1"/>
        <rFont val="Calibri"/>
        <family val="2"/>
        <charset val="1"/>
      </rPr>
      <t xml:space="preserve">devzero</t>
    </r>
    <r>
      <rPr>
        <sz val="11"/>
        <color theme="1"/>
        <rFont val="Noto Sans CJK SC"/>
        <family val="2"/>
      </rPr>
      <t xml:space="preserve">）</t>
    </r>
  </si>
  <si>
    <t xml:space="preserve">三年預留未找到</t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</si>
  <si>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隨需：每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</si>
  <si>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隨需：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</si>
  <si>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隨需：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</si>
  <si>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三年預留：每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</si>
  <si>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三年預留：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</si>
  <si>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三年預留：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</t>
    </r>
  </si>
  <si>
    <r>
      <rPr>
        <sz val="11"/>
        <color theme="1"/>
        <rFont val="Calibri"/>
        <family val="2"/>
        <charset val="1"/>
      </rPr>
      <t xml:space="preserve">H100 Spot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</si>
  <si>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H100 Spot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</si>
  <si>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H100 Spot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</si>
  <si>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隨需：每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</si>
  <si>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隨需：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</si>
  <si>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隨需：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</si>
  <si>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一年預留：每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</si>
  <si>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一年預留：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</si>
  <si>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一年預留：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</t>
    </r>
  </si>
  <si>
    <r>
      <rPr>
        <b val="true"/>
        <sz val="11"/>
        <rFont val="Cambria"/>
        <family val="0"/>
        <charset val="1"/>
      </rPr>
      <t xml:space="preserve">E13 OpenAI–AWS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380 </t>
    </r>
    <r>
      <rPr>
        <b val="true"/>
        <sz val="11"/>
        <rFont val="Noto Sans CJK SC"/>
        <family val="2"/>
      </rPr>
      <t xml:space="preserve">億美元、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年、『數十萬顆 </t>
    </r>
    <r>
      <rPr>
        <b val="true"/>
        <sz val="11"/>
        <rFont val="Cambria"/>
        <family val="0"/>
        <charset val="1"/>
      </rPr>
      <t xml:space="preserve">GB200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GB300</t>
    </r>
    <r>
      <rPr>
        <b val="true"/>
        <sz val="11"/>
        <rFont val="Noto Sans CJK SC"/>
        <family val="2"/>
      </rPr>
      <t xml:space="preserve">』（無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</si>
  <si>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（公告）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</si>
  <si>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顆數（低）</t>
    </r>
  </si>
  <si>
    <r>
      <rPr>
        <sz val="11"/>
        <color theme="1"/>
        <rFont val="Noto Sans CJK SC"/>
        <family val="2"/>
      </rPr>
      <t xml:space="preserve">公告用語 </t>
    </r>
    <r>
      <rPr>
        <sz val="11"/>
        <color theme="1"/>
        <rFont val="Calibri"/>
        <family val="2"/>
        <charset val="1"/>
      </rPr>
      <t xml:space="preserve">'hundreds of thousands'</t>
    </r>
    <r>
      <rPr>
        <sz val="11"/>
        <color theme="1"/>
        <rFont val="Noto Sans CJK SC"/>
        <family val="2"/>
      </rPr>
      <t xml:space="preserve">；無確切數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</si>
  <si>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顆數（中）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</si>
  <si>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顆數（高）</t>
    </r>
  </si>
  <si>
    <r>
      <rPr>
        <sz val="11"/>
        <color theme="1"/>
        <rFont val="Noto Sans CJK SC"/>
        <family val="2"/>
      </rPr>
      <t xml:space="preserve">倍數（顆數情境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</si>
  <si>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Noto Sans CJK SC"/>
        <family val="2"/>
      </rPr>
      <t xml:space="preserve">分子平均到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年、分母取終局顆數 → 偏低；容量尚在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年底前爬坡</t>
    </r>
  </si>
  <si>
    <r>
      <rPr>
        <sz val="11"/>
        <color theme="1"/>
        <rFont val="Noto Sans CJK SC"/>
        <family val="2"/>
      </rPr>
      <t xml:space="preserve">倍數（顆數情境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</si>
  <si>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Noto Sans CJK SC"/>
        <family val="2"/>
      </rPr>
      <t xml:space="preserve">倍數（顆數情境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顆數）</t>
    </r>
  </si>
  <si>
    <r>
      <rPr>
        <b val="true"/>
        <sz val="11"/>
        <rFont val="Cambria"/>
        <family val="0"/>
        <charset val="1"/>
      </rPr>
      <t xml:space="preserve">E15 GW </t>
    </r>
    <r>
      <rPr>
        <b val="true"/>
        <sz val="11"/>
        <rFont val="Noto Sans CJK SC"/>
        <family val="2"/>
      </rPr>
      <t xml:space="preserve">端點與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顆數對照（</t>
    </r>
    <r>
      <rPr>
        <b val="true"/>
        <sz val="11"/>
        <rFont val="Cambria"/>
        <family val="0"/>
        <charset val="1"/>
      </rPr>
      <t xml:space="preserve">Q3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</si>
  <si>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</si>
  <si>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</si>
  <si>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已有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</si>
  <si>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</si>
  <si>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已有；各報導同源（</t>
    </r>
    <r>
      <rPr>
        <sz val="11"/>
        <color theme="1"/>
        <rFont val="Calibri"/>
        <family val="2"/>
        <charset val="1"/>
      </rPr>
      <t xml:space="preserve">OpenAI 2026-01</t>
    </r>
    <r>
      <rPr>
        <sz val="11"/>
        <color theme="1"/>
        <rFont val="Noto Sans CJK SC"/>
        <family val="2"/>
      </rPr>
      <t xml:space="preserve">）</t>
    </r>
  </si>
  <si>
    <t xml:space="preserve">線性內插平均</t>
  </si>
  <si>
    <r>
      <rPr>
        <sz val="11"/>
        <color theme="1"/>
        <rFont val="Calibri"/>
        <family val="2"/>
        <charset val="1"/>
      </rPr>
      <t xml:space="preserve">Epoch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（功率模型）</t>
    </r>
  </si>
  <si>
    <t xml:space="preserve">H100e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</si>
  <si>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（獨立研究機構）</t>
    </r>
  </si>
  <si>
    <t xml:space="preserve">90% CI 276k–485k</t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</si>
  <si>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（功率模型）</t>
    </r>
  </si>
  <si>
    <t xml:space="preserve">Analogy</t>
  </si>
  <si>
    <t xml:space="preserve">90% CI 1.25–2.19M</t>
  </si>
  <si>
    <r>
      <rPr>
        <sz val="11"/>
        <color theme="1"/>
        <rFont val="Calibri"/>
        <family val="2"/>
        <charset val="1"/>
      </rPr>
      <t xml:space="preserve">H100e </t>
    </r>
    <r>
      <rPr>
        <sz val="11"/>
        <color theme="1"/>
        <rFont val="Noto Sans CJK SC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年底（線性）</t>
    </r>
  </si>
  <si>
    <r>
      <rPr>
        <sz val="11"/>
        <color theme="1"/>
        <rFont val="Noto Sans CJK SC"/>
        <family val="2"/>
      </rPr>
      <t xml:space="preserve">若平均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H100e </t>
    </r>
    <r>
      <rPr>
        <sz val="11"/>
        <color theme="1"/>
        <rFont val="Noto Sans CJK SC"/>
        <family val="2"/>
      </rPr>
      <t xml:space="preserve">同比例：平均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GW×</t>
    </r>
    <r>
      <rPr>
        <sz val="11"/>
        <color theme="1"/>
        <rFont val="Noto Sans CJK SC"/>
        <family val="2"/>
      </rPr>
      <t xml:space="preserve">此值</t>
    </r>
  </si>
  <si>
    <r>
      <rPr>
        <sz val="11"/>
        <color theme="1"/>
        <rFont val="Noto Sans CJK SC"/>
        <family val="2"/>
      </rPr>
      <t xml:space="preserve">對應平均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</si>
  <si>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Altman 2025-07-20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年底前上線『</t>
    </r>
    <r>
      <rPr>
        <sz val="11"/>
        <color theme="1"/>
        <rFont val="Calibri"/>
        <family val="2"/>
        <charset val="1"/>
      </rPr>
      <t xml:space="preserve">well over 1 million GPUs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</si>
  <si>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Altman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</si>
  <si>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</t>
    </r>
    <r>
      <rPr>
        <sz val="11"/>
        <color theme="1"/>
        <rFont val="Noto Sans CJK SC"/>
        <family val="2"/>
      </rPr>
      <t xml:space="preserve">』→ 下限</t>
    </r>
  </si>
  <si>
    <r>
      <rPr>
        <sz val="11"/>
        <color theme="1"/>
        <rFont val="Noto Sans CJK SC"/>
        <family val="2"/>
      </rPr>
      <t xml:space="preserve">隱含每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顆數下限（</t>
    </r>
    <r>
      <rPr>
        <sz val="11"/>
        <color theme="1"/>
        <rFont val="Calibri"/>
        <family val="2"/>
        <charset val="1"/>
      </rPr>
      <t xml:space="preserve">1.0M÷1.9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</si>
  <si>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混合值約 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萬 → 一致</t>
    </r>
  </si>
  <si>
    <r>
      <rPr>
        <sz val="11"/>
        <color theme="1"/>
        <rFont val="Noto Sans CJK SC"/>
        <family val="2"/>
      </rPr>
      <t xml:space="preserve">前重情境：新增容量中先到位的比例（落在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</si>
  <si>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極端前重；其餘落在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0.75</t>
    </r>
  </si>
  <si>
    <t xml:space="preserve">新增容量的平均到位時點（年）</t>
  </si>
  <si>
    <r>
      <rPr>
        <sz val="11"/>
        <color theme="1"/>
        <rFont val="Noto Sans CJK SC"/>
        <family val="2"/>
      </rPr>
      <t xml:space="preserve">前重情境平均上線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</si>
  <si>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即使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新增在上半年初完成，平均也僅約 </t>
    </r>
    <r>
      <rPr>
        <sz val="11"/>
        <color theme="1"/>
        <rFont val="Calibri"/>
        <family val="2"/>
        <charset val="1"/>
      </rPr>
      <t xml:space="preserve">1.45 GW → </t>
    </r>
    <r>
      <rPr>
        <sz val="11"/>
        <color theme="1"/>
        <rFont val="Noto Sans CJK SC"/>
        <family val="2"/>
      </rPr>
      <t xml:space="preserve">證偽條件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（≥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）不可能由端點資料成立</t>
    </r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</si>
  <si>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三角約束：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全部算力支出＝平均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計價倍數 </t>
    </r>
    <r>
      <rPr>
        <b val="true"/>
        <sz val="11"/>
        <rFont val="Cambria"/>
        <family val="0"/>
        <charset val="1"/>
      </rPr>
      <t xml:space="preserve">× AL_FleetHold × …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9a </t>
    </r>
    <r>
      <rPr>
        <b val="true"/>
        <sz val="11"/>
        <rFont val="Noto Sans CJK SC"/>
        <family val="2"/>
      </rPr>
      <t xml:space="preserve">恆等式）</t>
    </r>
  </si>
  <si>
    <r>
      <rPr>
        <sz val="11"/>
        <color theme="1"/>
        <rFont val="Noto Sans CJK SC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</si>
  <si>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＝此值</t>
    </r>
    <r>
      <rPr>
        <sz val="11"/>
        <color theme="1"/>
        <rFont val="Calibri"/>
        <family val="2"/>
        <charset val="1"/>
      </rPr>
      <t xml:space="preserve">×s÷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</si>
  <si>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</si>
  <si>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</si>
  <si>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</si>
  <si>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</si>
  <si>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</si>
  <si>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</si>
  <si>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</si>
  <si>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</si>
  <si>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</si>
  <si>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：所需平均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</si>
  <si>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 ≤ </t>
    </r>
    <r>
      <rPr>
        <sz val="11"/>
        <color theme="1"/>
        <rFont val="Noto Sans CJK SC"/>
        <family val="2"/>
      </rPr>
      <t xml:space="preserve">前重上限時，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所需最低倍數</t>
    </r>
  </si>
  <si>
    <r>
      <rPr>
        <sz val="11"/>
        <color theme="1"/>
        <rFont val="Noto Sans CJK SC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</t>
    </r>
  </si>
  <si>
    <r>
      <rPr>
        <sz val="11"/>
        <color theme="1"/>
        <rFont val="Noto Sans CJK SC"/>
        <family val="2"/>
      </rPr>
      <t xml:space="preserve">線性內插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所需倍數</t>
    </r>
  </si>
  <si>
    <t xml:space="preserve">編號</t>
  </si>
  <si>
    <t xml:space="preserve">同源群組</t>
  </si>
  <si>
    <t xml:space="preserve">項目</t>
  </si>
  <si>
    <t xml:space="preserve">來源</t>
  </si>
  <si>
    <t xml:space="preserve">日期（出處／讀取）</t>
  </si>
  <si>
    <t xml:space="preserve">原文摘錄（引號內逐字；其餘為摘述）</t>
  </si>
  <si>
    <t xml:space="preserve">原始數值與單位</t>
  </si>
  <si>
    <t xml:space="preserve">口徑</t>
  </si>
  <si>
    <t xml:space="preserve">換算步驟（公式在『換算』頁）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</si>
  <si>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GW·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</si>
  <si>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÷9.353 </t>
    </r>
    <r>
      <rPr>
        <b val="true"/>
        <sz val="11"/>
        <rFont val="Noto Sans CJK SC"/>
        <family val="2"/>
      </rPr>
      <t xml:space="preserve">倍數</t>
    </r>
  </si>
  <si>
    <t xml:space="preserve">倍數低</t>
  </si>
  <si>
    <t xml:space="preserve">倍數高</t>
  </si>
  <si>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1.8 </t>
    </r>
    <r>
      <rPr>
        <b val="true"/>
        <sz val="11"/>
        <rFont val="Noto Sans CJK SC"/>
        <family val="2"/>
      </rPr>
      <t xml:space="preserve">的判斷</t>
    </r>
  </si>
  <si>
    <t xml:space="preserve">E01</t>
  </si>
  <si>
    <t xml:space="preserve">S1 The Information 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</si>
  <si>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收的 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</si>
  <si>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https://www.datacenterdynamics.com/en/news/openai-training-and-inference-costs-could-reach-7bn-for-2024-ai-startup-set-to-lose-5bn-report/</t>
    </r>
  </si>
  <si>
    <r>
      <rPr>
        <sz val="11"/>
        <color theme="1"/>
        <rFont val="Calibri"/>
        <family val="2"/>
        <charset val="1"/>
      </rPr>
      <t xml:space="preserve">2024-07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</si>
  <si>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'Microsoft has charged OpenAI about $1.30 per A100 server per hour, way below normal rates.'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'350,000 Nvidia A100 chips'</t>
    </r>
  </si>
  <si>
    <r>
      <rPr>
        <sz val="11"/>
        <color theme="1"/>
        <rFont val="Calibri"/>
        <family val="2"/>
        <charset val="1"/>
      </rPr>
      <t xml:space="preserve">1.30 </t>
    </r>
    <r>
      <rPr>
        <sz val="11"/>
        <color theme="1"/>
        <rFont val="Noto Sans CJK SC"/>
        <family val="2"/>
      </rPr>
      <t xml:space="preserve">美元／</t>
    </r>
    <r>
      <rPr>
        <sz val="11"/>
        <color theme="1"/>
        <rFont val="Calibri"/>
        <family val="2"/>
        <charset val="1"/>
      </rPr>
      <t xml:space="preserve">A100·</t>
    </r>
    <r>
      <rPr>
        <sz val="11"/>
        <color theme="1"/>
        <rFont val="Noto Sans CJK SC"/>
        <family val="2"/>
      </rPr>
      <t xml:space="preserve">小時；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萬顆；約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億／年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</si>
  <si>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A100</t>
    </r>
    <r>
      <rPr>
        <sz val="11"/>
        <color theme="1"/>
        <rFont val="Noto Sans CJK SC"/>
        <family val="2"/>
      </rPr>
      <t xml:space="preserve">、推論叢集；</t>
    </r>
    <r>
      <rPr>
        <sz val="11"/>
        <color theme="1"/>
        <rFont val="Calibri"/>
        <family val="2"/>
        <charset val="1"/>
      </rPr>
      <t xml:space="preserve">IT-GW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kW/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</si>
  <si>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×1.30×8760</t>
    </r>
    <r>
      <rPr>
        <sz val="11"/>
        <color theme="1"/>
        <rFont val="Noto Sans CJK SC"/>
        <family val="2"/>
      </rPr>
      <t xml:space="preserve">＝年支出；除以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×0.93kW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</si>
  <si>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（報導洩漏；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稱數字不盡正確的是另案）；換算含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</si>
  <si>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弱反對：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1.1–1.5</t>
    </r>
    <r>
      <rPr>
        <sz val="11"/>
        <color theme="1"/>
        <rFont val="Noto Sans CJK SC"/>
        <family val="2"/>
      </rPr>
      <t xml:space="preserve">），低於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但在 </t>
    </r>
    <r>
      <rPr>
        <sz val="11"/>
        <color theme="1"/>
        <rFont val="Calibri"/>
        <family val="2"/>
        <charset val="1"/>
      </rPr>
      <t xml:space="preserve">0.85–2.3 </t>
    </r>
    <r>
      <rPr>
        <sz val="11"/>
        <color theme="1"/>
        <rFont val="Noto Sans CJK SC"/>
        <family val="2"/>
      </rPr>
      <t xml:space="preserve">內；世代與年度不同</t>
    </r>
  </si>
  <si>
    <t xml:space="preserve">E02</t>
  </si>
  <si>
    <r>
      <rPr>
        <sz val="11"/>
        <color theme="1"/>
        <rFont val="Noto Sans CJK SC"/>
        <family val="2"/>
      </rPr>
      <t xml:space="preserve">同一個 </t>
    </r>
    <r>
      <rPr>
        <sz val="11"/>
        <color theme="1"/>
        <rFont val="Calibri"/>
        <family val="2"/>
        <charset val="1"/>
      </rPr>
      <t xml:space="preserve">1.30 </t>
    </r>
    <r>
      <rPr>
        <sz val="11"/>
        <color theme="1"/>
        <rFont val="Noto Sans CJK SC"/>
        <family val="2"/>
      </rPr>
      <t xml:space="preserve">換成占牌價比例再套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機隊</t>
    </r>
  </si>
  <si>
    <r>
      <rPr>
        <sz val="11"/>
        <color theme="1"/>
        <rFont val="Noto Sans CJK SC"/>
        <family val="2"/>
      </rPr>
      <t xml:space="preserve">同上＋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牌價頁（</t>
    </r>
    <r>
      <rPr>
        <sz val="11"/>
        <color theme="1"/>
        <rFont val="Calibri"/>
        <family val="2"/>
        <charset val="1"/>
      </rPr>
      <t xml:space="preserve">sparecores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</si>
  <si>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</si>
  <si>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E01</t>
    </r>
    <r>
      <rPr>
        <sz val="11"/>
        <color theme="1"/>
        <rFont val="Noto Sans CJK SC"/>
        <family val="2"/>
      </rPr>
      <t xml:space="preserve">；牌價 </t>
    </r>
    <r>
      <rPr>
        <sz val="11"/>
        <color theme="1"/>
        <rFont val="Calibri"/>
        <family val="2"/>
        <charset val="1"/>
      </rPr>
      <t xml:space="preserve">A100 32.77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H100 98.32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GB200 108.16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</si>
  <si>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1.30÷4.10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0.32 → ×2025 </t>
    </r>
    <r>
      <rPr>
        <sz val="11"/>
        <color theme="1"/>
        <rFont val="Noto Sans CJK SC"/>
        <family val="2"/>
      </rPr>
      <t xml:space="preserve">權重牌價</t>
    </r>
  </si>
  <si>
    <t xml:space="preserve">把折扣比例跨世代硬套</t>
  </si>
  <si>
    <r>
      <rPr>
        <sz val="11"/>
        <color theme="1"/>
        <rFont val="Noto Sans CJK SC"/>
        <family val="2"/>
      </rPr>
      <t xml:space="preserve">見換算頁 </t>
    </r>
    <r>
      <rPr>
        <sz val="11"/>
        <color theme="1"/>
        <rFont val="Calibri"/>
        <family val="2"/>
        <charset val="1"/>
      </rPr>
      <t xml:space="preserve">E02</t>
    </r>
    <r>
      <rPr>
        <sz val="11"/>
        <color theme="1"/>
        <rFont val="Noto Sans CJK SC"/>
        <family val="2"/>
      </rPr>
      <t xml:space="preserve">（套用結果約 </t>
    </r>
    <r>
      <rPr>
        <sz val="11"/>
        <color theme="1"/>
        <rFont val="Calibri"/>
        <family val="2"/>
        <charset val="1"/>
      </rPr>
      <t xml:space="preserve">5.8 </t>
    </r>
    <r>
      <rPr>
        <sz val="11"/>
        <color theme="1"/>
        <rFont val="Noto Sans CJK SC"/>
        <family val="2"/>
      </rPr>
      <t xml:space="preserve">美元／</t>
    </r>
    <r>
      <rPr>
        <sz val="11"/>
        <color theme="1"/>
        <rFont val="Calibri"/>
        <family val="2"/>
        <charset val="1"/>
      </rPr>
      <t xml:space="preserve">GPU·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</si>
  <si>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A100 </t>
    </r>
    <r>
      <rPr>
        <sz val="11"/>
        <color theme="1"/>
        <rFont val="Noto Sans CJK SC"/>
        <family val="2"/>
      </rPr>
      <t xml:space="preserve">折扣 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世代；差在牌價每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隨世代暴漲</t>
    </r>
  </si>
  <si>
    <r>
      <rPr>
        <sz val="11"/>
        <color theme="1"/>
        <rFont val="Noto Sans CJK SC"/>
        <family val="2"/>
      </rPr>
      <t xml:space="preserve">無關（上界示意，不採用）：套用結果約 </t>
    </r>
    <r>
      <rPr>
        <sz val="11"/>
        <color theme="1"/>
        <rFont val="Calibri"/>
        <family val="2"/>
        <charset val="1"/>
      </rPr>
      <t xml:space="preserve">3.4 </t>
    </r>
    <r>
      <rPr>
        <sz val="11"/>
        <color theme="1"/>
        <rFont val="Noto Sans CJK SC"/>
        <family val="2"/>
      </rPr>
      <t xml:space="preserve">倍，高於 </t>
    </r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Noto Sans CJK SC"/>
        <family val="2"/>
      </rPr>
      <t xml:space="preserve">上限，顯示折扣不可跨世代套用</t>
    </r>
  </si>
  <si>
    <t xml:space="preserve">E03</t>
  </si>
  <si>
    <r>
      <rPr>
        <sz val="11"/>
        <color theme="1"/>
        <rFont val="Calibri"/>
        <family val="2"/>
        <charset val="1"/>
      </rPr>
      <t xml:space="preserve">S2 Microsoft </t>
    </r>
    <r>
      <rPr>
        <sz val="11"/>
        <color theme="1"/>
        <rFont val="Noto Sans CJK SC"/>
        <family val="2"/>
      </rPr>
      <t xml:space="preserve">申報</t>
    </r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</si>
  <si>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</t>
    </r>
  </si>
  <si>
    <r>
      <rPr>
        <sz val="11"/>
        <color theme="1"/>
        <rFont val="Calibri"/>
        <family val="2"/>
        <charset val="1"/>
      </rPr>
      <t xml:space="preserve">Microsoft 10-K FY2026 Note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https://www.sec.gov/Archives/edgar/data/789019/000119312526323660/msft-20260630.htm</t>
    </r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</si>
  <si>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</si>
  <si>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t xml:space="preserve">'For fiscal year 2026, we recorded revenue from commercial arrangements with OpenAI, inclusive of revenue-sharing payments, of $24.1 billion, and accounts receivable from OpenAI as of June 30, 2026 was $6.0 billion.'</t>
  </si>
  <si>
    <r>
      <rPr>
        <sz val="11"/>
        <color theme="1"/>
        <rFont val="Calibri"/>
        <family val="2"/>
        <charset val="1"/>
      </rPr>
      <t xml:space="preserve">241 </t>
    </r>
    <r>
      <rPr>
        <sz val="11"/>
        <color theme="1"/>
        <rFont val="Noto Sans CJK SC"/>
        <family val="2"/>
      </rPr>
      <t xml:space="preserve">億；應收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</si>
  <si>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營收分成與其他安排；未分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／分成</t>
    </r>
  </si>
  <si>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才能換算（無來源）→ 以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2.5 GW </t>
    </r>
    <r>
      <rPr>
        <sz val="11"/>
        <color theme="1"/>
        <rFont val="Noto Sans CJK SC"/>
        <family val="2"/>
      </rPr>
      <t xml:space="preserve">示範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</si>
  <si>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（金額）；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</si>
  <si>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無關（不可分離）：只有金額，無同期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分配容量；示範倍數 </t>
    </r>
    <r>
      <rPr>
        <sz val="11"/>
        <color theme="1"/>
        <rFont val="Calibri"/>
        <family val="2"/>
        <charset val="1"/>
      </rPr>
      <t xml:space="preserve">0.9–2.3</t>
    </r>
  </si>
  <si>
    <t xml:space="preserve">E04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</si>
  <si>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重組條款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</si>
  <si>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重組：增購 </t>
    </r>
    <r>
      <rPr>
        <sz val="11"/>
        <color theme="1"/>
        <rFont val="Calibri"/>
        <family val="2"/>
        <charset val="1"/>
      </rPr>
      <t xml:space="preserve">Azure 2,500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</si>
  <si>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官方部落格 </t>
    </r>
    <r>
      <rPr>
        <sz val="11"/>
        <color theme="1"/>
        <rFont val="Calibri"/>
        <family val="2"/>
        <charset val="1"/>
      </rPr>
      <t xml:space="preserve">https://blogs.microsoft.com/blog/2025/10/28/the-next-chapter-of-the-microsoft-openai-partnership/</t>
    </r>
  </si>
  <si>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</si>
  <si>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'OpenAI has contracted to purchase an incremental $250B of Azure services'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不再有 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優先承購權</t>
    </r>
  </si>
  <si>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億美元</t>
    </r>
  </si>
  <si>
    <t xml:space="preserve">未載單價、期間、世代</t>
  </si>
  <si>
    <r>
      <rPr>
        <sz val="11"/>
        <color theme="1"/>
        <rFont val="Noto Sans CJK SC"/>
        <family val="2"/>
      </rPr>
      <t xml:space="preserve">無法換算：僅示範可買幾個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</si>
  <si>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（金額）</t>
    </r>
  </si>
  <si>
    <t xml:space="preserve">無關（不可分離）：單價與期間皆未揭露</t>
  </si>
  <si>
    <t xml:space="preserve">E05</t>
  </si>
  <si>
    <r>
      <rPr>
        <sz val="11"/>
        <color theme="1"/>
        <rFont val="Calibri"/>
        <family val="2"/>
        <charset val="1"/>
      </rPr>
      <t xml:space="preserve">S4 Oracle </t>
    </r>
    <r>
      <rPr>
        <sz val="11"/>
        <color theme="1"/>
        <rFont val="Noto Sans CJK SC"/>
        <family val="2"/>
      </rPr>
      <t xml:space="preserve">合約</t>
    </r>
  </si>
  <si>
    <t xml:space="preserve">Oracle–OpenAI</t>
  </si>
  <si>
    <r>
      <rPr>
        <sz val="11"/>
        <color theme="1"/>
        <rFont val="Calibri"/>
        <family val="2"/>
        <charset val="1"/>
      </rPr>
      <t xml:space="preserve">Next Platform 2026-02-02 https://www.nextplatform.com/2026/02/02/oracles-financing-primes-the-openai-pump/</t>
    </r>
    <r>
      <rPr>
        <sz val="11"/>
        <color theme="1"/>
        <rFont val="Noto Sans CJK SC"/>
        <family val="2"/>
      </rPr>
      <t xml:space="preserve">；金額原見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9a W3-01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</si>
  <si>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簽；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</si>
  <si>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t xml:space="preserve">'a five year deal that culminates with 4.5 gigawatts of datacenter facilities'</t>
  </si>
  <si>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億美元／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年／</t>
    </r>
    <r>
      <rPr>
        <sz val="11"/>
        <color theme="1"/>
        <rFont val="Calibri"/>
        <family val="2"/>
        <charset val="1"/>
      </rPr>
      <t xml:space="preserve">4.5 GW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</si>
  <si>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起、新世代；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口徑未明（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字樣）</t>
    </r>
  </si>
  <si>
    <r>
      <rPr>
        <sz val="11"/>
        <color theme="1"/>
        <rFont val="Calibri"/>
        <family val="2"/>
        <charset val="1"/>
      </rPr>
      <t xml:space="preserve">300÷5÷4.5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、爬坡調整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</si>
  <si>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轉述）</t>
    </r>
    <r>
      <rPr>
        <sz val="11"/>
        <color theme="1"/>
        <rFont val="Calibri"/>
        <family val="2"/>
        <charset val="1"/>
      </rPr>
      <t xml:space="preserve">+ Analogy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</si>
  <si>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支持（偏高端）：最低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，合理 </t>
    </r>
    <r>
      <rPr>
        <sz val="11"/>
        <color theme="1"/>
        <rFont val="Calibri"/>
        <family val="2"/>
        <charset val="1"/>
      </rPr>
      <t xml:space="preserve">2.1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＋爬坡可達 </t>
    </r>
    <r>
      <rPr>
        <sz val="11"/>
        <color theme="1"/>
        <rFont val="Calibri"/>
        <family val="2"/>
        <charset val="1"/>
      </rPr>
      <t xml:space="preserve">3.1</t>
    </r>
    <r>
      <rPr>
        <sz val="11"/>
        <color theme="1"/>
        <rFont val="Noto Sans CJK SC"/>
        <family val="2"/>
      </rPr>
      <t xml:space="preserve">；但屬未來價</t>
    </r>
  </si>
  <si>
    <t xml:space="preserve">E06</t>
  </si>
  <si>
    <r>
      <rPr>
        <sz val="11"/>
        <color theme="1"/>
        <rFont val="Calibri"/>
        <family val="2"/>
        <charset val="1"/>
      </rPr>
      <t xml:space="preserve">S5 Oracle </t>
    </r>
    <r>
      <rPr>
        <sz val="11"/>
        <color theme="1"/>
        <rFont val="Noto Sans CJK SC"/>
        <family val="2"/>
      </rPr>
      <t xml:space="preserve">毛利率</t>
    </r>
  </si>
  <si>
    <t xml:space="preserve">供應商加價的上限錨點</t>
  </si>
  <si>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 https://www.datacenterdynamics.com/en/news/internal-documents-show-oracles-average-profit-margin-for-ai-cloud-deals-was-16-report/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Next Platform</t>
    </r>
  </si>
  <si>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</si>
  <si>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'average gross profit margin of just 16 percent'</t>
    </r>
    <r>
      <rPr>
        <sz val="11"/>
        <color theme="1"/>
        <rFont val="Noto Sans CJK SC"/>
        <family val="2"/>
      </rPr>
      <t xml:space="preserve">（季間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'gross margin of up to 35%'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'try to get 40 percent gross margins'</t>
    </r>
  </si>
  <si>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</si>
  <si>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供應商會計成本</t>
    </r>
  </si>
  <si>
    <r>
      <rPr>
        <sz val="11"/>
        <color theme="1"/>
        <rFont val="Calibri"/>
        <family val="2"/>
        <charset val="1"/>
      </rPr>
      <t xml:space="preserve">1÷(1−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</si>
  <si>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（內部文件外流／管理層目標）</t>
    </r>
  </si>
  <si>
    <r>
      <rPr>
        <sz val="11"/>
        <color theme="1"/>
        <rFont val="Noto Sans CJK SC"/>
        <family val="2"/>
      </rPr>
      <t xml:space="preserve">弱反對：純供應商毛利只能解釋 </t>
    </r>
    <r>
      <rPr>
        <sz val="11"/>
        <color theme="1"/>
        <rFont val="Calibri"/>
        <family val="2"/>
        <charset val="1"/>
      </rPr>
      <t xml:space="preserve">1.19–1.67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還需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持有成本低估或隨需溢價（見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</si>
  <si>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E07</t>
  </si>
  <si>
    <r>
      <rPr>
        <sz val="11"/>
        <color theme="1"/>
        <rFont val="Calibri"/>
        <family val="2"/>
        <charset val="1"/>
      </rPr>
      <t xml:space="preserve">S6 CoreWeave </t>
    </r>
    <r>
      <rPr>
        <sz val="11"/>
        <color theme="1"/>
        <rFont val="Noto Sans CJK SC"/>
        <family val="2"/>
      </rPr>
      <t xml:space="preserve">申報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</si>
  <si>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活躍電力</t>
    </r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</si>
  <si>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https://www.businesswire.com/news/home/20260226281661/en/CoreWeave-Reports-Strong-Fourth-Quarter-and-Fiscal-Year-2025-Results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9a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</si>
  <si>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</si>
  <si>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1,572 </t>
    </r>
    <r>
      <rPr>
        <sz val="11"/>
        <color theme="1"/>
        <rFont val="Noto Sans CJK SC"/>
        <family val="2"/>
      </rPr>
      <t xml:space="preserve">百萬；</t>
    </r>
    <r>
      <rPr>
        <sz val="11"/>
        <color theme="1"/>
        <rFont val="Calibri"/>
        <family val="2"/>
        <charset val="1"/>
      </rPr>
      <t xml:space="preserve">'Added approximately 260 MW of active power capacity, bringing the total to more than 850 MW'</t>
    </r>
  </si>
  <si>
    <r>
      <rPr>
        <sz val="11"/>
        <color theme="1"/>
        <rFont val="Calibri"/>
        <family val="2"/>
        <charset val="1"/>
      </rPr>
      <t xml:space="preserve">Q3 1.365B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530MW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1.572B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720MW</t>
    </r>
  </si>
  <si>
    <r>
      <rPr>
        <sz val="11"/>
        <color theme="1"/>
        <rFont val="Noto Sans CJK SC"/>
        <family val="2"/>
      </rPr>
      <t xml:space="preserve">全客戶、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為主、含網路儲存；活躍電力口徑未明</t>
    </r>
  </si>
  <si>
    <r>
      <rPr>
        <sz val="11"/>
        <color theme="1"/>
        <rFont val="Noto Sans CJK SC"/>
        <family val="2"/>
      </rPr>
      <t xml:space="preserve">年化營收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平均活躍電力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</si>
  <si>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（原數）／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（比值）；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</si>
  <si>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反對：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已實現單價約 </t>
    </r>
    <r>
      <rPr>
        <sz val="11"/>
        <color theme="1"/>
        <rFont val="Calibri"/>
        <family val="2"/>
        <charset val="1"/>
      </rPr>
      <t xml:space="preserve">0.9–1.1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若遠高於此需另有理由</t>
    </r>
  </si>
  <si>
    <t xml:space="preserve">E08</t>
  </si>
  <si>
    <r>
      <rPr>
        <sz val="11"/>
        <color theme="1"/>
        <rFont val="Calibri"/>
        <family val="2"/>
        <charset val="1"/>
      </rPr>
      <t xml:space="preserve">S7 IREN </t>
    </r>
    <r>
      <rPr>
        <sz val="11"/>
        <color theme="1"/>
        <rFont val="Noto Sans CJK SC"/>
        <family val="2"/>
      </rPr>
      <t xml:space="preserve">公告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</si>
  <si>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</si>
  <si>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techinformed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https://techinformed.com/microsoft-signs-9-7-billion-iren-deal-for-nvidia-gb300-capacity/</t>
    </r>
  </si>
  <si>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</si>
  <si>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'about $9.7 billion'</t>
    </r>
    <r>
      <rPr>
        <sz val="11"/>
        <color theme="1"/>
        <rFont val="Noto Sans CJK SC"/>
        <family val="2"/>
      </rPr>
      <t xml:space="preserve">；五年；</t>
    </r>
    <r>
      <rPr>
        <sz val="11"/>
        <color theme="1"/>
        <rFont val="Calibri"/>
        <family val="2"/>
        <charset val="1"/>
      </rPr>
      <t xml:space="preserve">'about 200 MW of IT load'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</t>
    </r>
  </si>
  <si>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億／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年／</t>
    </r>
    <r>
      <rPr>
        <sz val="11"/>
        <color theme="1"/>
        <rFont val="Calibri"/>
        <family val="2"/>
        <charset val="1"/>
      </rPr>
      <t xml:space="preserve">200 MW IT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</si>
  <si>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是買方</t>
    </r>
  </si>
  <si>
    <t xml:space="preserve">9.7÷5÷0.2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</si>
  <si>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（公司公告）</t>
    </r>
    <r>
      <rPr>
        <sz val="11"/>
        <color theme="1"/>
        <rFont val="Calibri"/>
        <family val="2"/>
        <charset val="1"/>
      </rPr>
      <t xml:space="preserve">+ Analogy</t>
    </r>
    <r>
      <rPr>
        <sz val="11"/>
        <color theme="1"/>
        <rFont val="Noto Sans CJK SC"/>
        <family val="2"/>
      </rPr>
      <t xml:space="preserve">（買方價，非賣給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</si>
  <si>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反對（弱）：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租的成本約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轉售給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要加到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倍需加價約 </t>
    </r>
    <r>
      <rPr>
        <sz val="11"/>
        <color theme="1"/>
        <rFont val="Calibri"/>
        <family val="2"/>
        <charset val="1"/>
      </rPr>
      <t xml:space="preserve">73%</t>
    </r>
  </si>
  <si>
    <t xml:space="preserve">E10</t>
  </si>
  <si>
    <r>
      <rPr>
        <sz val="11"/>
        <color theme="1"/>
        <rFont val="Calibri"/>
        <family val="2"/>
        <charset val="1"/>
      </rPr>
      <t xml:space="preserve">S8 Azure </t>
    </r>
    <r>
      <rPr>
        <sz val="11"/>
        <color theme="1"/>
        <rFont val="Noto Sans CJK SC"/>
        <family val="2"/>
      </rPr>
      <t xml:space="preserve">牌價</t>
    </r>
  </si>
  <si>
    <r>
      <rPr>
        <sz val="11"/>
        <color theme="1"/>
        <rFont val="Calibri"/>
        <family val="2"/>
        <charset val="1"/>
      </rPr>
      <t xml:space="preserve">Azure ND H100 v5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ND GB200 v6 </t>
    </r>
    <r>
      <rPr>
        <sz val="11"/>
        <color theme="1"/>
        <rFont val="Noto Sans CJK SC"/>
        <family val="2"/>
      </rPr>
      <t xml:space="preserve">公開牌價</t>
    </r>
  </si>
  <si>
    <r>
      <rPr>
        <sz val="11"/>
        <color theme="1"/>
        <rFont val="Calibri"/>
        <family val="2"/>
        <charset val="1"/>
      </rPr>
      <t xml:space="preserve">azurespeed https://www.azurespeed.com/AzureVmPricing/Standard_ND96isr_H100_v5 </t>
    </r>
    <r>
      <rPr>
        <sz val="11"/>
        <color theme="1"/>
        <rFont val="Noto Sans CJK SC"/>
        <family val="2"/>
      </rPr>
      <t xml:space="preserve">、…</t>
    </r>
    <r>
      <rPr>
        <sz val="11"/>
        <color theme="1"/>
        <rFont val="Calibri"/>
        <family val="2"/>
        <charset val="1"/>
      </rPr>
      <t xml:space="preserve">/Standard_ND128isr_NDR_GB200_v6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sparecores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devzero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Learn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VM 4 </t>
    </r>
    <r>
      <rPr>
        <sz val="11"/>
        <color theme="1"/>
        <rFont val="Noto Sans CJK SC"/>
        <family val="2"/>
      </rPr>
      <t xml:space="preserve">顆）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</si>
  <si>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／讀取 </t>
    </r>
    <r>
      <rPr>
        <sz val="11"/>
        <color theme="1"/>
        <rFont val="Calibri"/>
        <family val="2"/>
        <charset val="1"/>
      </rPr>
      <t xml:space="preserve">2026-10-24</t>
    </r>
  </si>
  <si>
    <r>
      <rPr>
        <sz val="11"/>
        <color theme="1"/>
        <rFont val="Calibri"/>
        <family val="2"/>
        <charset val="1"/>
      </rPr>
      <t xml:space="preserve">H100 v5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98.32 </t>
    </r>
    <r>
      <rPr>
        <sz val="11"/>
        <color theme="1"/>
        <rFont val="Noto Sans CJK SC"/>
        <family val="2"/>
      </rPr>
      <t xml:space="preserve">美元／小時（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顆）；</t>
    </r>
    <r>
      <rPr>
        <sz val="11"/>
        <color theme="1"/>
        <rFont val="Calibri"/>
        <family val="2"/>
        <charset val="1"/>
      </rPr>
      <t xml:space="preserve">GB200 v6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108.16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顆）、一年預留 </t>
    </r>
    <r>
      <rPr>
        <sz val="11"/>
        <color theme="1"/>
        <rFont val="Calibri"/>
        <family val="2"/>
        <charset val="1"/>
      </rPr>
      <t xml:space="preserve">69.222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H100 Spot 18.1695</t>
    </r>
  </si>
  <si>
    <r>
      <rPr>
        <sz val="11"/>
        <color theme="1"/>
        <rFont val="Calibri"/>
        <family val="2"/>
        <charset val="1"/>
      </rPr>
      <t xml:space="preserve">H100 12.29</t>
    </r>
    <r>
      <rPr>
        <sz val="11"/>
        <color theme="1"/>
        <rFont val="Noto Sans CJK SC"/>
        <family val="2"/>
      </rPr>
      <t xml:space="preserve">／顆；</t>
    </r>
    <r>
      <rPr>
        <sz val="11"/>
        <color theme="1"/>
        <rFont val="Calibri"/>
        <family val="2"/>
        <charset val="1"/>
      </rPr>
      <t xml:space="preserve">GB200 27.04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</si>
  <si>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公開牌價（非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實付）；東美最低區</t>
    </r>
  </si>
  <si>
    <r>
      <rPr>
        <sz val="11"/>
        <color theme="1"/>
        <rFont val="Noto Sans CJK SC"/>
        <family val="2"/>
      </rPr>
      <t xml:space="preserve">價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  <r>
      <rPr>
        <sz val="11"/>
        <color theme="1"/>
        <rFont val="Calibri"/>
        <family val="2"/>
        <charset val="1"/>
      </rPr>
      <t xml:space="preserve">×8760</t>
    </r>
    <r>
      <rPr>
        <sz val="11"/>
        <color theme="1"/>
        <rFont val="Noto Sans CJK SC"/>
        <family val="2"/>
      </rPr>
      <t xml:space="preserve">（基準欄＝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三年預留；低＝</t>
    </r>
    <r>
      <rPr>
        <sz val="11"/>
        <color theme="1"/>
        <rFont val="Calibri"/>
        <family val="2"/>
        <charset val="1"/>
      </rPr>
      <t xml:space="preserve">H100 Spot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隨需）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</si>
  <si>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（牌價）；非實付價</t>
    </r>
  </si>
  <si>
    <r>
      <rPr>
        <sz val="11"/>
        <color theme="1"/>
        <rFont val="Noto Sans CJK SC"/>
        <family val="2"/>
      </rPr>
      <t xml:space="preserve">支持（上界）：牌價約 </t>
    </r>
    <r>
      <rPr>
        <sz val="11"/>
        <color theme="1"/>
        <rFont val="Calibri"/>
        <family val="2"/>
        <charset val="1"/>
      </rPr>
      <t xml:space="preserve">3.7–12.7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Spot 1.5 </t>
    </r>
    <r>
      <rPr>
        <sz val="11"/>
        <color theme="1"/>
        <rFont val="Noto Sans CJK SC"/>
        <family val="2"/>
      </rPr>
      <t xml:space="preserve">倍）；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倍相當於牌價折扣 </t>
    </r>
    <r>
      <rPr>
        <sz val="11"/>
        <color theme="1"/>
        <rFont val="Calibri"/>
        <family val="2"/>
        <charset val="1"/>
      </rPr>
      <t xml:space="preserve">51–86%</t>
    </r>
  </si>
  <si>
    <t xml:space="preserve">E13</t>
  </si>
  <si>
    <r>
      <rPr>
        <sz val="11"/>
        <color theme="1"/>
        <rFont val="Calibri"/>
        <family val="2"/>
        <charset val="1"/>
      </rPr>
      <t xml:space="preserve">S9 AWS </t>
    </r>
    <r>
      <rPr>
        <sz val="11"/>
        <color theme="1"/>
        <rFont val="Noto Sans CJK SC"/>
        <family val="2"/>
      </rPr>
      <t xml:space="preserve">公告</t>
    </r>
  </si>
  <si>
    <r>
      <rPr>
        <sz val="11"/>
        <color theme="1"/>
        <rFont val="Calibri"/>
        <family val="2"/>
        <charset val="1"/>
      </rPr>
      <t xml:space="preserve">OpenAI–AWS 380 </t>
    </r>
    <r>
      <rPr>
        <sz val="11"/>
        <color theme="1"/>
        <rFont val="Noto Sans CJK SC"/>
        <family val="2"/>
      </rPr>
      <t xml:space="preserve">億／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</si>
  <si>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DCD https://www.datacenterdynamics.com/en/news/openai-signs-38bn-multi-year-agreement-with-aws-for-access-to-nvidia-gb200s-and-gb300s/</t>
  </si>
  <si>
    <r>
      <rPr>
        <sz val="11"/>
        <color theme="1"/>
        <rFont val="Calibri"/>
        <family val="2"/>
        <charset val="1"/>
      </rPr>
      <t xml:space="preserve">'$38 billion seven-year agreement'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'hundreds of thousands' of 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</si>
  <si>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380 </t>
    </r>
    <r>
      <rPr>
        <sz val="11"/>
        <color theme="1"/>
        <rFont val="Noto Sans CJK SC"/>
        <family val="2"/>
      </rPr>
      <t xml:space="preserve">億／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年；數十萬顆</t>
    </r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</si>
  <si>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；顆數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</si>
  <si>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38÷7÷(</t>
    </r>
    <r>
      <rPr>
        <sz val="11"/>
        <color theme="1"/>
        <rFont val="Noto Sans CJK SC"/>
        <family val="2"/>
      </rPr>
      <t xml:space="preserve">顆數</t>
    </r>
    <r>
      <rPr>
        <sz val="11"/>
        <color theme="1"/>
        <rFont val="Calibri"/>
        <family val="2"/>
        <charset val="1"/>
      </rPr>
      <t xml:space="preserve">÷501,768)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</si>
  <si>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（公告）</t>
    </r>
    <r>
      <rPr>
        <sz val="11"/>
        <color theme="1"/>
        <rFont val="Calibri"/>
        <family val="2"/>
        <charset val="1"/>
      </rPr>
      <t xml:space="preserve">+ Assumed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</si>
  <si>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無關（顆數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0.5–1.5 </t>
    </r>
    <r>
      <rPr>
        <sz val="11"/>
        <color theme="1"/>
        <rFont val="Noto Sans CJK SC"/>
        <family val="2"/>
      </rPr>
      <t xml:space="preserve">太寬）</t>
    </r>
  </si>
  <si>
    <t xml:space="preserve">E15</t>
  </si>
  <si>
    <r>
      <rPr>
        <sz val="11"/>
        <color theme="1"/>
        <rFont val="Calibri"/>
        <family val="2"/>
        <charset val="1"/>
      </rPr>
      <t xml:space="preserve">S10 GW </t>
    </r>
    <r>
      <rPr>
        <sz val="11"/>
        <color theme="1"/>
        <rFont val="Noto Sans CJK SC"/>
        <family val="2"/>
      </rPr>
      <t xml:space="preserve">與顆數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</si>
  <si>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的新佐證</t>
    </r>
  </si>
  <si>
    <r>
      <rPr>
        <sz val="11"/>
        <color theme="1"/>
        <rFont val="Calibri"/>
        <family val="2"/>
        <charset val="1"/>
      </rPr>
      <t xml:space="preserve">Altman X 2025-07-20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方法頁 </t>
    </r>
    <r>
      <rPr>
        <sz val="11"/>
        <color theme="1"/>
        <rFont val="Calibri"/>
        <family val="2"/>
        <charset val="1"/>
      </rPr>
      <t xml:space="preserve">https://epoch.ai/data/ai-chip-users-documentation/methodology</t>
    </r>
  </si>
  <si>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</si>
  <si>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'we will cross well over 1 million GPUs brought online by the end of this year!'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H100e 2024 38.4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2025 174 </t>
    </r>
    <r>
      <rPr>
        <sz val="11"/>
        <color theme="1"/>
        <rFont val="Noto Sans CJK SC"/>
        <family val="2"/>
      </rPr>
      <t xml:space="preserve">萬</t>
    </r>
  </si>
  <si>
    <t xml:space="preserve">見換算頁</t>
  </si>
  <si>
    <r>
      <rPr>
        <sz val="11"/>
        <color theme="1"/>
        <rFont val="Noto Sans CJK SC"/>
        <family val="2"/>
      </rPr>
      <t xml:space="preserve">年底時點值；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認為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口徑（約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機率）</t>
    </r>
  </si>
  <si>
    <r>
      <rPr>
        <sz val="11"/>
        <color theme="1"/>
        <rFont val="Noto Sans CJK SC"/>
        <family val="2"/>
      </rPr>
      <t xml:space="preserve">前重情境上限＝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1.3×(1−0.35)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</si>
  <si>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Altman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+ 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</si>
  <si>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證偽條件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未觸發：平均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上限約 </t>
    </r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，遠低於 </t>
    </r>
    <r>
      <rPr>
        <sz val="11"/>
        <color theme="1"/>
        <rFont val="Calibri"/>
        <family val="2"/>
        <charset val="1"/>
      </rPr>
      <t xml:space="preserve">1.8</t>
    </r>
  </si>
  <si>
    <t xml:space="preserve">類別</t>
  </si>
  <si>
    <t xml:space="preserve">查詢／處理</t>
  </si>
  <si>
    <t xml:space="preserve">結果</t>
  </si>
  <si>
    <t xml:space="preserve">N1</t>
  </si>
  <si>
    <t xml:space="preserve">已搜尋，未找到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</si>
  <si>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的實付每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</t>
    </r>
  </si>
  <si>
    <r>
      <rPr>
        <sz val="11"/>
        <color theme="1"/>
        <rFont val="Calibri"/>
        <family val="2"/>
        <charset val="1"/>
      </rPr>
      <t xml:space="preserve">OpenAI price per GPU hour Azure discount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pays Microsoft hourly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Noto Sans CJK SC"/>
        <family val="2"/>
      </rPr>
      <t xml:space="preserve">文件頁（</t>
    </r>
    <r>
      <rPr>
        <sz val="11"/>
        <color theme="1"/>
        <rFont val="Calibri"/>
        <family val="2"/>
        <charset val="1"/>
      </rPr>
      <t xml:space="preserve">wheresyoured.at</t>
    </r>
    <r>
      <rPr>
        <sz val="11"/>
        <color theme="1"/>
        <rFont val="Noto Sans CJK SC"/>
        <family val="2"/>
      </rPr>
      <t xml:space="preserve">）全文</t>
    </r>
  </si>
  <si>
    <r>
      <rPr>
        <sz val="11"/>
        <color theme="1"/>
        <rFont val="Noto Sans CJK SC"/>
        <family val="2"/>
      </rPr>
      <t xml:space="preserve">無任何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世代單價；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Noto Sans CJK SC"/>
        <family val="2"/>
      </rPr>
      <t xml:space="preserve">文件只有季別金額，無容量</t>
    </r>
  </si>
  <si>
    <t xml:space="preserve">N2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</si>
  <si>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的關聯方定價（成本加成／最惠條款）</t>
    </r>
  </si>
  <si>
    <r>
      <rPr>
        <sz val="11"/>
        <color theme="1"/>
        <rFont val="Calibri"/>
        <family val="2"/>
        <charset val="1"/>
      </rPr>
      <t xml:space="preserve">cost plus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 cost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most favored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Musk v. Altman </t>
    </r>
    <r>
      <rPr>
        <sz val="11"/>
        <color theme="1"/>
        <rFont val="Noto Sans CJK SC"/>
        <family val="2"/>
      </rPr>
      <t xml:space="preserve">公開附件（</t>
    </r>
    <r>
      <rPr>
        <sz val="11"/>
        <color theme="1"/>
        <rFont val="Calibri"/>
        <family val="2"/>
        <charset val="1"/>
      </rPr>
      <t xml:space="preserve">courtlistener 433688 </t>
    </r>
    <r>
      <rPr>
        <sz val="11"/>
        <color theme="1"/>
        <rFont val="Noto Sans CJK SC"/>
        <family val="2"/>
      </rPr>
      <t xml:space="preserve">號 </t>
    </r>
    <r>
      <rPr>
        <sz val="11"/>
        <color theme="1"/>
        <rFont val="Calibri"/>
        <family val="2"/>
        <charset val="1"/>
      </rPr>
      <t xml:space="preserve">391.62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年簡報）</t>
    </r>
  </si>
  <si>
    <r>
      <rPr>
        <sz val="11"/>
        <color theme="1"/>
        <rFont val="Noto Sans CJK SC"/>
        <family val="2"/>
      </rPr>
      <t xml:space="preserve">附件為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時期簡報，無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單價；重組條款頁只有金額</t>
    </r>
  </si>
  <si>
    <t xml:space="preserve">N3</t>
  </si>
  <si>
    <r>
      <rPr>
        <sz val="11"/>
        <color theme="1"/>
        <rFont val="Calibri"/>
        <family val="2"/>
        <charset val="1"/>
      </rPr>
      <t xml:space="preserve">OpenAI 2025 Azure </t>
    </r>
    <r>
      <rPr>
        <sz val="11"/>
        <color theme="1"/>
        <rFont val="Noto Sans CJK SC"/>
        <family val="2"/>
      </rPr>
      <t xml:space="preserve">帳單金額＋同期分配容量的配對</t>
    </r>
  </si>
  <si>
    <r>
      <rPr>
        <sz val="11"/>
        <color theme="1"/>
        <rFont val="Calibri"/>
        <family val="2"/>
        <charset val="1"/>
      </rPr>
      <t xml:space="preserve">Microsoft 10-K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；法說會逐字稿（</t>
    </r>
    <r>
      <rPr>
        <sz val="11"/>
        <color theme="1"/>
        <rFont val="Calibri"/>
        <family val="2"/>
        <charset val="1"/>
      </rPr>
      <t xml:space="preserve">FY26Q2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RPO 6,250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</si>
  <si>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只有金額與 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占比，無容量；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只披露營收 </t>
    </r>
    <r>
      <rPr>
        <sz val="11"/>
        <color theme="1"/>
        <rFont val="Calibri"/>
        <family val="2"/>
        <charset val="1"/>
      </rPr>
      <t xml:space="preserve">241 </t>
    </r>
    <r>
      <rPr>
        <sz val="11"/>
        <color theme="1"/>
        <rFont val="Noto Sans CJK SC"/>
        <family val="2"/>
      </rPr>
      <t xml:space="preserve">億</t>
    </r>
  </si>
  <si>
    <t xml:space="preserve">N4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</si>
  <si>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</si>
  <si>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Azure OpenAI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Fairwater OpenAI GW</t>
    </r>
  </si>
  <si>
    <r>
      <rPr>
        <sz val="11"/>
        <color theme="1"/>
        <rFont val="Noto Sans CJK SC"/>
        <family val="2"/>
      </rPr>
      <t xml:space="preserve">無；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自家託管推論最高約占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第一方機隊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（方向相反，非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出租量）</t>
    </r>
  </si>
  <si>
    <t xml:space="preserve">N5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</si>
  <si>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季度或月度上線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</si>
  <si>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quarterly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mid-2025 GW</t>
    </r>
  </si>
  <si>
    <r>
      <rPr>
        <sz val="11"/>
        <color theme="1"/>
        <rFont val="Noto Sans CJK SC"/>
        <family val="2"/>
      </rPr>
      <t xml:space="preserve">只有年底端點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 GW</t>
    </r>
  </si>
  <si>
    <t xml:space="preserve">N6</t>
  </si>
  <si>
    <r>
      <rPr>
        <sz val="11"/>
        <color theme="1"/>
        <rFont val="Calibri"/>
        <family val="2"/>
        <charset val="1"/>
      </rPr>
      <t xml:space="preserve">OpenAI–Google Cloud </t>
    </r>
    <r>
      <rPr>
        <sz val="11"/>
        <color theme="1"/>
        <rFont val="Noto Sans CJK SC"/>
        <family val="2"/>
      </rPr>
      <t xml:space="preserve">合約金額與容量</t>
    </r>
  </si>
  <si>
    <t xml:space="preserve">—</t>
  </si>
  <si>
    <r>
      <rPr>
        <sz val="11"/>
        <color theme="1"/>
        <rFont val="Calibri"/>
        <family val="2"/>
        <charset val="1"/>
      </rPr>
      <t xml:space="preserve">9a </t>
    </r>
    <r>
      <rPr>
        <sz val="11"/>
        <color theme="1"/>
        <rFont val="Noto Sans CJK SC"/>
        <family val="2"/>
      </rPr>
      <t xml:space="preserve">亦無；本段無新增</t>
    </r>
  </si>
  <si>
    <t xml:space="preserve">N7</t>
  </si>
  <si>
    <r>
      <rPr>
        <sz val="11"/>
        <color theme="1"/>
        <rFont val="Calibri"/>
        <family val="2"/>
        <charset val="1"/>
      </rPr>
      <t xml:space="preserve">Nebius–Microsoft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／顆數</t>
    </r>
  </si>
  <si>
    <t xml:space="preserve">Nebius Microsoft Vineland capacity MW</t>
  </si>
  <si>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174 </t>
    </r>
    <r>
      <rPr>
        <sz val="11"/>
        <color theme="1"/>
        <rFont val="Noto Sans CJK SC"/>
        <family val="2"/>
      </rPr>
      <t xml:space="preserve">億（可到 </t>
    </r>
    <r>
      <rPr>
        <sz val="11"/>
        <color theme="1"/>
        <rFont val="Calibri"/>
        <family val="2"/>
        <charset val="1"/>
      </rPr>
      <t xml:space="preserve">194 </t>
    </r>
    <r>
      <rPr>
        <sz val="11"/>
        <color theme="1"/>
        <rFont val="Noto Sans CJK SC"/>
        <family val="2"/>
      </rPr>
      <t xml:space="preserve">億）／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年，容量未揭露 → 無法換算</t>
    </r>
  </si>
  <si>
    <t xml:space="preserve">N8</t>
  </si>
  <si>
    <r>
      <rPr>
        <sz val="11"/>
        <color theme="1"/>
        <rFont val="Calibri"/>
        <family val="2"/>
        <charset val="1"/>
      </rPr>
      <t xml:space="preserve">GB200 v6 </t>
    </r>
    <r>
      <rPr>
        <sz val="11"/>
        <color theme="1"/>
        <rFont val="Noto Sans CJK SC"/>
        <family val="2"/>
      </rPr>
      <t xml:space="preserve">三年預留牌價；</t>
    </r>
    <r>
      <rPr>
        <sz val="11"/>
        <color theme="1"/>
        <rFont val="Calibri"/>
        <family val="2"/>
        <charset val="1"/>
      </rPr>
      <t xml:space="preserve">H100 v5 </t>
    </r>
    <r>
      <rPr>
        <sz val="11"/>
        <color theme="1"/>
        <rFont val="Noto Sans CJK SC"/>
        <family val="2"/>
      </rPr>
      <t xml:space="preserve">官方價格頁逐字</t>
    </r>
  </si>
  <si>
    <r>
      <rPr>
        <sz val="11"/>
        <color theme="1"/>
        <rFont val="Calibri"/>
        <family val="2"/>
        <charset val="1"/>
      </rPr>
      <t xml:space="preserve">azure.microsoft.com </t>
    </r>
    <r>
      <rPr>
        <sz val="11"/>
        <color theme="1"/>
        <rFont val="Noto Sans CJK SC"/>
        <family val="2"/>
      </rPr>
      <t xml:space="preserve">價格頁（</t>
    </r>
    <r>
      <rPr>
        <sz val="11"/>
        <color theme="1"/>
        <rFont val="Calibri"/>
        <family val="2"/>
        <charset val="1"/>
      </rPr>
      <t xml:space="preserve">JS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learn.microsoft.com </t>
    </r>
    <r>
      <rPr>
        <sz val="11"/>
        <color theme="1"/>
        <rFont val="Noto Sans CJK SC"/>
        <family val="2"/>
      </rPr>
      <t xml:space="preserve">價格頁</t>
    </r>
  </si>
  <si>
    <r>
      <rPr>
        <sz val="11"/>
        <color theme="1"/>
        <rFont val="Noto Sans CJK SC"/>
        <family val="2"/>
      </rPr>
      <t xml:space="preserve">官方價格頁與 </t>
    </r>
    <r>
      <rPr>
        <sz val="11"/>
        <color theme="1"/>
        <rFont val="Calibri"/>
        <family val="2"/>
        <charset val="1"/>
      </rPr>
      <t xml:space="preserve">vantage.sh </t>
    </r>
    <r>
      <rPr>
        <sz val="11"/>
        <color theme="1"/>
        <rFont val="Noto Sans CJK SC"/>
        <family val="2"/>
      </rPr>
      <t xml:space="preserve">被工作環境阻擋；改用三方追蹤站（</t>
    </r>
    <r>
      <rPr>
        <sz val="11"/>
        <color theme="1"/>
        <rFont val="Calibri"/>
        <family val="2"/>
        <charset val="1"/>
      </rPr>
      <t xml:space="preserve">azurespeed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sparecores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devzero</t>
    </r>
    <r>
      <rPr>
        <sz val="11"/>
        <color theme="1"/>
        <rFont val="Noto Sans CJK SC"/>
        <family val="2"/>
      </rPr>
      <t xml:space="preserve">）</t>
    </r>
  </si>
  <si>
    <t xml:space="preserve">D1</t>
  </si>
  <si>
    <t xml:space="preserve">不存在／不可分離</t>
  </si>
  <si>
    <r>
      <rPr>
        <sz val="11"/>
        <color theme="1"/>
        <rFont val="Noto Sans CJK SC"/>
        <family val="2"/>
      </rPr>
      <t xml:space="preserve">重組條款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</si>
  <si>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官方部落格</t>
    </r>
  </si>
  <si>
    <t xml:space="preserve">金額有，單價與期間無 → 不可換算</t>
  </si>
  <si>
    <t xml:space="preserve">D2</t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</si>
  <si>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241 </t>
    </r>
    <r>
      <rPr>
        <sz val="11"/>
        <color theme="1"/>
        <rFont val="Noto Sans CJK SC"/>
        <family val="2"/>
      </rPr>
      <t xml:space="preserve">億</t>
    </r>
  </si>
  <si>
    <t xml:space="preserve">10-K</t>
  </si>
  <si>
    <r>
      <rPr>
        <sz val="11"/>
        <color theme="1"/>
        <rFont val="Noto Sans CJK SC"/>
        <family val="2"/>
      </rPr>
      <t xml:space="preserve">含營收分成與非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安排；無同期容量 → 不可分離</t>
    </r>
  </si>
  <si>
    <t xml:space="preserve">D3</t>
  </si>
  <si>
    <r>
      <rPr>
        <sz val="11"/>
        <color theme="1"/>
        <rFont val="Calibri"/>
        <family val="2"/>
        <charset val="1"/>
      </rPr>
      <t xml:space="preserve">Anthropic–Azure 300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up to 1 GW</t>
    </r>
  </si>
  <si>
    <r>
      <rPr>
        <sz val="11"/>
        <color theme="1"/>
        <rFont val="Calibri"/>
        <family val="2"/>
        <charset val="1"/>
      </rPr>
      <t xml:space="preserve">pureai </t>
    </r>
    <r>
      <rPr>
        <sz val="11"/>
        <color theme="1"/>
        <rFont val="Noto Sans CJK SC"/>
        <family val="2"/>
      </rPr>
      <t xml:space="preserve">轉述公告</t>
    </r>
  </si>
  <si>
    <r>
      <rPr>
        <sz val="11"/>
        <color theme="1"/>
        <rFont val="Noto Sans CJK SC"/>
        <family val="2"/>
      </rPr>
      <t xml:space="preserve">期間未揭露（</t>
    </r>
    <r>
      <rPr>
        <sz val="11"/>
        <color theme="1"/>
        <rFont val="Calibri"/>
        <family val="2"/>
        <charset val="1"/>
      </rPr>
      <t xml:space="preserve">'up to one gigawatt'</t>
    </r>
    <r>
      <rPr>
        <sz val="11"/>
        <color theme="1"/>
        <rFont val="Noto Sans CJK SC"/>
        <family val="2"/>
      </rPr>
      <t xml:space="preserve">）→ 不可換算；且非 </t>
    </r>
    <r>
      <rPr>
        <sz val="11"/>
        <color theme="1"/>
        <rFont val="Calibri"/>
        <family val="2"/>
        <charset val="1"/>
      </rPr>
      <t xml:space="preserve">OpenAI</t>
    </r>
  </si>
  <si>
    <t xml:space="preserve">D4</t>
  </si>
  <si>
    <r>
      <rPr>
        <sz val="11"/>
        <color theme="1"/>
        <rFont val="Calibri"/>
        <family val="2"/>
        <charset val="1"/>
      </rPr>
      <t xml:space="preserve">Anthropic–Google TPU </t>
    </r>
    <r>
      <rPr>
        <sz val="11"/>
        <color theme="1"/>
        <rFont val="Noto Sans CJK SC"/>
        <family val="2"/>
      </rPr>
      <t xml:space="preserve">數百億、</t>
    </r>
    <r>
      <rPr>
        <sz val="11"/>
        <color theme="1"/>
        <rFont val="Calibri"/>
        <family val="2"/>
        <charset val="1"/>
      </rPr>
      <t xml:space="preserve">&gt;1 GW</t>
    </r>
  </si>
  <si>
    <t xml:space="preserve">DCD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</si>
  <si>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；金額只有 </t>
    </r>
    <r>
      <rPr>
        <sz val="11"/>
        <color theme="1"/>
        <rFont val="Calibri"/>
        <family val="2"/>
        <charset val="1"/>
      </rPr>
      <t xml:space="preserve">'tens of billions' → </t>
    </r>
    <r>
      <rPr>
        <sz val="11"/>
        <color theme="1"/>
        <rFont val="Noto Sans CJK SC"/>
        <family val="2"/>
      </rPr>
      <t xml:space="preserve">範圍過寬</t>
    </r>
  </si>
  <si>
    <t xml:space="preserve">D5</t>
  </si>
  <si>
    <r>
      <rPr>
        <sz val="11"/>
        <color theme="1"/>
        <rFont val="Calibri"/>
        <family val="2"/>
        <charset val="1"/>
      </rPr>
      <t xml:space="preserve">CoreWeave–OpenAI </t>
    </r>
    <r>
      <rPr>
        <sz val="11"/>
        <color theme="1"/>
        <rFont val="Noto Sans CJK SC"/>
        <family val="2"/>
      </rPr>
      <t xml:space="preserve">三筆合約 </t>
    </r>
    <r>
      <rPr>
        <sz val="11"/>
        <color theme="1"/>
        <rFont val="Calibri"/>
        <family val="2"/>
        <charset val="1"/>
      </rPr>
      <t xml:space="preserve">224 </t>
    </r>
    <r>
      <rPr>
        <sz val="11"/>
        <color theme="1"/>
        <rFont val="Noto Sans CJK SC"/>
        <family val="2"/>
      </rPr>
      <t xml:space="preserve">億</t>
    </r>
  </si>
  <si>
    <t xml:space="preserve">9a W3-02</t>
  </si>
  <si>
    <r>
      <rPr>
        <sz val="11"/>
        <color theme="1"/>
        <rFont val="Noto Sans CJK SC"/>
        <family val="2"/>
      </rPr>
      <t xml:space="preserve">只有金額上限；容量未揭露（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全客戶比值見 </t>
    </r>
    <r>
      <rPr>
        <sz val="11"/>
        <color theme="1"/>
        <rFont val="Calibri"/>
        <family val="2"/>
        <charset val="1"/>
      </rPr>
      <t xml:space="preserve">E07</t>
    </r>
    <r>
      <rPr>
        <sz val="11"/>
        <color theme="1"/>
        <rFont val="Noto Sans CJK SC"/>
        <family val="2"/>
      </rPr>
      <t xml:space="preserve">）</t>
    </r>
  </si>
  <si>
    <t xml:space="preserve">D6</t>
  </si>
  <si>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InferenceX</t>
    </r>
  </si>
  <si>
    <t xml:space="preserve">依任務規定不可單獨作依據；本段未使用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</si>
</sst>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15" hidden="false" customHeight="false" outlineLevel="0" collapsed="false">
      <c r="A2" s="0" t="s">
        <v>7</v>
      </c>
      <c r="B2" s="2" t="n">
        <v>9.35311859805586</v>
      </c>
      <c r="C2" s="2" t="n">
        <v>6.71937130244442</v>
      </c>
      <c r="D2" s="2" t="n">
        <v>15.7256917850111</v>
      </c>
      <c r="E2" s="3" t="s">
        <v>8</v>
      </c>
      <c r="F2" s="3" t="s">
        <v>9</v>
      </c>
      <c r="G2" s="3" t="s">
        <v>10</v>
      </c>
    </row>
    <row r="3" customFormat="false" ht="17.15" hidden="false" customHeight="false" outlineLevel="0" collapsed="false">
      <c r="A3" s="0" t="s">
        <v>11</v>
      </c>
      <c r="B3" s="2" t="n">
        <v>1.8</v>
      </c>
      <c r="C3" s="2" t="n">
        <v>0.85</v>
      </c>
      <c r="D3" s="2" t="n">
        <v>2.3</v>
      </c>
      <c r="E3" s="3" t="s">
        <v>12</v>
      </c>
      <c r="F3" s="3" t="s">
        <v>13</v>
      </c>
      <c r="G3" s="3" t="s">
        <v>14</v>
      </c>
    </row>
    <row r="4" customFormat="false" ht="17.15" hidden="false" customHeight="false" outlineLevel="0" collapsed="false">
      <c r="A4" s="0" t="s">
        <v>15</v>
      </c>
      <c r="B4" s="2" t="n">
        <v>718048</v>
      </c>
      <c r="E4" s="1" t="s">
        <v>16</v>
      </c>
      <c r="F4" s="3" t="s">
        <v>17</v>
      </c>
      <c r="G4" s="1" t="s">
        <v>18</v>
      </c>
    </row>
    <row r="5" customFormat="false" ht="17.15" hidden="false" customHeight="false" outlineLevel="0" collapsed="false">
      <c r="A5" s="0" t="s">
        <v>19</v>
      </c>
      <c r="B5" s="2" t="n">
        <v>501768</v>
      </c>
      <c r="E5" s="1" t="s">
        <v>16</v>
      </c>
      <c r="F5" s="3" t="s">
        <v>17</v>
      </c>
      <c r="G5" s="1" t="s">
        <v>18</v>
      </c>
    </row>
    <row r="6" customFormat="false" ht="17.15" hidden="false" customHeight="false" outlineLevel="0" collapsed="false">
      <c r="A6" s="0" t="s">
        <v>20</v>
      </c>
      <c r="B6" s="2" t="n">
        <v>0.6</v>
      </c>
      <c r="F6" s="3" t="s">
        <v>17</v>
      </c>
      <c r="G6" s="3" t="s">
        <v>21</v>
      </c>
    </row>
    <row r="7" customFormat="false" ht="15" hidden="false" customHeight="false" outlineLevel="0" collapsed="false">
      <c r="A7" s="1" t="s">
        <v>22</v>
      </c>
      <c r="B7" s="2" t="n">
        <v>8760</v>
      </c>
      <c r="E7" s="1" t="s">
        <v>23</v>
      </c>
      <c r="F7" s="1" t="s">
        <v>24</v>
      </c>
    </row>
    <row r="8" customFormat="false" ht="17.15" hidden="false" customHeight="false" outlineLevel="0" collapsed="false">
      <c r="A8" s="0" t="s">
        <v>25</v>
      </c>
      <c r="B8" s="2" t="n">
        <v>1.12780698259266</v>
      </c>
      <c r="C8" s="2" t="n">
        <v>1</v>
      </c>
      <c r="D8" s="2" t="n">
        <v>1.25</v>
      </c>
      <c r="E8" s="3" t="s">
        <v>26</v>
      </c>
      <c r="F8" s="3" t="s">
        <v>27</v>
      </c>
      <c r="G8" s="3" t="s">
        <v>28</v>
      </c>
    </row>
    <row r="9" customFormat="false" ht="17.15" hidden="false" customHeight="false" outlineLevel="0" collapsed="false">
      <c r="A9" s="0" t="s">
        <v>29</v>
      </c>
      <c r="B9" s="2" t="n">
        <v>20.4</v>
      </c>
      <c r="C9" s="2" t="n">
        <v>16.1</v>
      </c>
      <c r="D9" s="2" t="n">
        <v>21.7</v>
      </c>
      <c r="E9" s="3" t="s">
        <v>30</v>
      </c>
      <c r="F9" s="3" t="s">
        <v>31</v>
      </c>
      <c r="G9" s="3" t="s">
        <v>32</v>
      </c>
    </row>
    <row r="10" customFormat="false" ht="17.15" hidden="false" customHeight="false" outlineLevel="0" collapsed="false">
      <c r="A10" s="0" t="s">
        <v>33</v>
      </c>
      <c r="B10" s="2" t="n">
        <v>0.9</v>
      </c>
      <c r="C10" s="2" t="n">
        <v>0.79</v>
      </c>
      <c r="D10" s="2" t="n">
        <v>1</v>
      </c>
      <c r="F10" s="3" t="s">
        <v>34</v>
      </c>
      <c r="G10" s="1" t="s">
        <v>35</v>
      </c>
    </row>
    <row r="11" customFormat="false" ht="17.15" hidden="false" customHeight="false" outlineLevel="0" collapsed="false">
      <c r="A11" s="1" t="s">
        <v>36</v>
      </c>
      <c r="B11" s="2" t="n">
        <v>1.2</v>
      </c>
      <c r="C11" s="2" t="n">
        <v>1</v>
      </c>
      <c r="D11" s="2" t="n">
        <v>1.3</v>
      </c>
      <c r="E11" s="3" t="s">
        <v>12</v>
      </c>
      <c r="F11" s="3" t="s">
        <v>37</v>
      </c>
      <c r="G11" s="3" t="s">
        <v>38</v>
      </c>
    </row>
    <row r="13" customFormat="false" ht="15" hidden="false" customHeight="false" outlineLevel="0" collapsed="false">
      <c r="A13" s="4" t="s">
        <v>39</v>
      </c>
    </row>
    <row r="14" customFormat="false" ht="17.15" hidden="false" customHeight="false" outlineLevel="0" collapsed="false">
      <c r="A14" s="1" t="s">
        <v>40</v>
      </c>
      <c r="B14" s="0" t="n">
        <f aca="false">參數!$B$6*參數!$B$4+(1-參數!$B$6)*參數!$B$5</f>
        <v>631536</v>
      </c>
      <c r="E14" s="1" t="s">
        <v>16</v>
      </c>
      <c r="F14" s="0" t="s">
        <v>13</v>
      </c>
      <c r="G14" s="1" t="s">
        <v>41</v>
      </c>
    </row>
    <row r="15" customFormat="false" ht="17.15" hidden="false" customHeight="false" outlineLevel="0" collapsed="false">
      <c r="A15" s="0" t="s">
        <v>42</v>
      </c>
      <c r="B15" s="0" t="n">
        <f aca="false">參數!$B$2*1000000000/(參數!$B$14*參數!$B$7)</f>
        <v>1.69065200165595</v>
      </c>
      <c r="E15" s="0" t="s">
        <v>43</v>
      </c>
      <c r="F15" s="0" t="s">
        <v>13</v>
      </c>
      <c r="G15" s="1" t="s">
        <v>44</v>
      </c>
    </row>
    <row r="16" customFormat="false" ht="17.15" hidden="false" customHeight="false" outlineLevel="0" collapsed="false">
      <c r="A16" s="0" t="s">
        <v>45</v>
      </c>
      <c r="B16" s="0" t="n">
        <f aca="false">參數!$B$3*參數!$B$2</f>
        <v>16.8356134765005</v>
      </c>
      <c r="E16" s="0" t="s">
        <v>8</v>
      </c>
      <c r="F16" s="0" t="s">
        <v>13</v>
      </c>
      <c r="G16" s="1" t="s">
        <v>46</v>
      </c>
    </row>
    <row r="17" customFormat="false" ht="17.15" hidden="false" customHeight="false" outlineLevel="0" collapsed="false">
      <c r="A17" s="0" t="s">
        <v>47</v>
      </c>
      <c r="B17" s="0" t="n">
        <f aca="false">參數!$B$3*參數!$B$15</f>
        <v>3.04317360298071</v>
      </c>
      <c r="E17" s="0" t="s">
        <v>43</v>
      </c>
      <c r="F17" s="0" t="s">
        <v>13</v>
      </c>
      <c r="G17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4"/>
    <col collapsed="false" customWidth="true" hidden="false" outlineLevel="0" max="4" min="4" style="0" width="34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5" t="s">
        <v>49</v>
      </c>
      <c r="B1" s="5" t="s">
        <v>50</v>
      </c>
      <c r="C1" s="5" t="s">
        <v>4</v>
      </c>
      <c r="D1" s="5" t="s">
        <v>5</v>
      </c>
      <c r="E1" s="5" t="s">
        <v>51</v>
      </c>
    </row>
    <row r="3" customFormat="false" ht="17.15" hidden="false" customHeight="false" outlineLevel="0" collapsed="false">
      <c r="A3" s="6" t="s">
        <v>52</v>
      </c>
    </row>
    <row r="4" customFormat="false" ht="17.15" hidden="false" customHeight="false" outlineLevel="0" collapsed="false">
      <c r="A4" s="0" t="s">
        <v>53</v>
      </c>
      <c r="B4" s="2" t="n">
        <v>1.3</v>
      </c>
      <c r="C4" s="3" t="s">
        <v>54</v>
      </c>
      <c r="D4" s="3" t="s">
        <v>55</v>
      </c>
      <c r="E4" s="3" t="s">
        <v>56</v>
      </c>
    </row>
    <row r="5" customFormat="false" ht="17.15" hidden="false" customHeight="false" outlineLevel="0" collapsed="false">
      <c r="A5" s="1" t="s">
        <v>57</v>
      </c>
      <c r="B5" s="2" t="n">
        <v>350000</v>
      </c>
      <c r="C5" s="1" t="s">
        <v>58</v>
      </c>
      <c r="D5" s="3" t="s">
        <v>55</v>
      </c>
      <c r="E5" s="3" t="s">
        <v>59</v>
      </c>
    </row>
    <row r="6" customFormat="false" ht="17.15" hidden="false" customHeight="false" outlineLevel="0" collapsed="false">
      <c r="A6" s="1" t="s">
        <v>60</v>
      </c>
      <c r="B6" s="0" t="n">
        <f aca="false">換算!$B$4*換算!$B$5*參數!$B$7/1000000000</f>
        <v>3.9858</v>
      </c>
      <c r="C6" s="0" t="s">
        <v>61</v>
      </c>
      <c r="D6" s="0" t="s">
        <v>13</v>
      </c>
      <c r="E6" s="1" t="s">
        <v>62</v>
      </c>
    </row>
    <row r="7" customFormat="false" ht="17.15" hidden="false" customHeight="false" outlineLevel="0" collapsed="false">
      <c r="A7" s="1" t="s">
        <v>63</v>
      </c>
      <c r="B7" s="2" t="n">
        <v>3.767</v>
      </c>
      <c r="C7" s="3" t="s">
        <v>30</v>
      </c>
      <c r="D7" s="3" t="s">
        <v>55</v>
      </c>
      <c r="E7" s="3" t="s">
        <v>64</v>
      </c>
    </row>
    <row r="8" customFormat="false" ht="17.15" hidden="false" customHeight="false" outlineLevel="0" collapsed="false">
      <c r="A8" s="1" t="s">
        <v>65</v>
      </c>
      <c r="B8" s="2" t="n">
        <v>0.93</v>
      </c>
      <c r="C8" s="3" t="s">
        <v>66</v>
      </c>
      <c r="D8" s="3" t="s">
        <v>37</v>
      </c>
      <c r="E8" s="3" t="s">
        <v>67</v>
      </c>
    </row>
    <row r="9" customFormat="false" ht="17.15" hidden="false" customHeight="false" outlineLevel="0" collapsed="false">
      <c r="A9" s="0" t="s">
        <v>68</v>
      </c>
      <c r="B9" s="2" t="n">
        <v>0.8</v>
      </c>
      <c r="C9" s="3" t="s">
        <v>66</v>
      </c>
      <c r="D9" s="3" t="s">
        <v>37</v>
      </c>
    </row>
    <row r="10" customFormat="false" ht="17.15" hidden="false" customHeight="false" outlineLevel="0" collapsed="false">
      <c r="A10" s="0" t="s">
        <v>69</v>
      </c>
      <c r="B10" s="2" t="n">
        <v>1.1</v>
      </c>
      <c r="C10" s="3" t="s">
        <v>66</v>
      </c>
      <c r="D10" s="3" t="s">
        <v>37</v>
      </c>
    </row>
    <row r="11" customFormat="false" ht="17.15" hidden="false" customHeight="false" outlineLevel="0" collapsed="false">
      <c r="A11" s="1" t="s">
        <v>70</v>
      </c>
      <c r="B11" s="0" t="n">
        <f aca="false">換算!$B$5*換算!$B$8/1000000</f>
        <v>0.3255</v>
      </c>
      <c r="C11" s="0" t="s">
        <v>26</v>
      </c>
      <c r="D11" s="0" t="s">
        <v>13</v>
      </c>
    </row>
    <row r="12" customFormat="false" ht="17.15" hidden="false" customHeight="false" outlineLevel="0" collapsed="false">
      <c r="A12" s="1" t="s">
        <v>71</v>
      </c>
      <c r="B12" s="0" t="n">
        <f aca="false">換算!$B$5*換算!$B$9/1000000</f>
        <v>0.28</v>
      </c>
      <c r="C12" s="0" t="s">
        <v>26</v>
      </c>
      <c r="D12" s="0" t="s">
        <v>13</v>
      </c>
    </row>
    <row r="13" customFormat="false" ht="17.15" hidden="false" customHeight="false" outlineLevel="0" collapsed="false">
      <c r="A13" s="1" t="s">
        <v>72</v>
      </c>
      <c r="B13" s="0" t="n">
        <f aca="false">換算!$B$5*換算!$B$10/1000000</f>
        <v>0.385</v>
      </c>
      <c r="C13" s="0" t="s">
        <v>26</v>
      </c>
      <c r="D13" s="0" t="s">
        <v>13</v>
      </c>
    </row>
    <row r="14" customFormat="false" ht="17.15" hidden="false" customHeight="false" outlineLevel="0" collapsed="false">
      <c r="A14" s="1" t="s">
        <v>73</v>
      </c>
      <c r="B14" s="0" t="n">
        <f aca="false">換算!$B$6/換算!$B$11</f>
        <v>12.2451612903226</v>
      </c>
      <c r="C14" s="0" t="s">
        <v>8</v>
      </c>
      <c r="D14" s="0" t="s">
        <v>13</v>
      </c>
      <c r="E14" s="0" t="s">
        <v>74</v>
      </c>
    </row>
    <row r="15" customFormat="false" ht="17.15" hidden="false" customHeight="false" outlineLevel="0" collapsed="false">
      <c r="A15" s="0" t="s">
        <v>75</v>
      </c>
      <c r="B15" s="0" t="n">
        <f aca="false">換算!$B$14/參數!$B$2</f>
        <v>1.30920624623191</v>
      </c>
      <c r="C15" s="0" t="s">
        <v>12</v>
      </c>
      <c r="D15" s="0" t="s">
        <v>13</v>
      </c>
    </row>
    <row r="16" customFormat="false" ht="17.15" hidden="false" customHeight="false" outlineLevel="0" collapsed="false">
      <c r="A16" s="1" t="s">
        <v>76</v>
      </c>
      <c r="B16" s="0" t="n">
        <f aca="false">換算!$B$6/換算!$B$13/參數!$B$2</f>
        <v>1.10687437181425</v>
      </c>
      <c r="C16" s="0" t="s">
        <v>12</v>
      </c>
      <c r="D16" s="0" t="s">
        <v>13</v>
      </c>
    </row>
    <row r="17" customFormat="false" ht="17.15" hidden="false" customHeight="false" outlineLevel="0" collapsed="false">
      <c r="A17" s="1" t="s">
        <v>77</v>
      </c>
      <c r="B17" s="0" t="n">
        <f aca="false">換算!$B$6/換算!$B$12/參數!$B$2</f>
        <v>1.5219522612446</v>
      </c>
      <c r="C17" s="0" t="s">
        <v>12</v>
      </c>
      <c r="D17" s="0" t="s">
        <v>13</v>
      </c>
    </row>
    <row r="18" customFormat="false" ht="17.15" hidden="false" customHeight="false" outlineLevel="0" collapsed="false">
      <c r="A18" s="1" t="s">
        <v>78</v>
      </c>
      <c r="B18" s="0" t="n">
        <f aca="false">換算!$B$15*參數!$B$15</f>
        <v>2.21341216077245</v>
      </c>
      <c r="C18" s="0" t="s">
        <v>43</v>
      </c>
      <c r="D18" s="0" t="s">
        <v>13</v>
      </c>
      <c r="E18" s="1" t="s">
        <v>79</v>
      </c>
    </row>
    <row r="19" customFormat="false" ht="17.15" hidden="false" customHeight="false" outlineLevel="0" collapsed="false">
      <c r="A19" s="1" t="s">
        <v>80</v>
      </c>
      <c r="B19" s="0" t="n">
        <f aca="false">換算!$B$16*參數!$B$15</f>
        <v>1.87133937228944</v>
      </c>
      <c r="C19" s="0" t="s">
        <v>43</v>
      </c>
      <c r="D19" s="0" t="s">
        <v>13</v>
      </c>
    </row>
    <row r="20" customFormat="false" ht="17.15" hidden="false" customHeight="false" outlineLevel="0" collapsed="false">
      <c r="A20" s="1" t="s">
        <v>81</v>
      </c>
      <c r="B20" s="0" t="n">
        <f aca="false">換算!$B$17*參數!$B$15</f>
        <v>2.57309163689798</v>
      </c>
      <c r="C20" s="0" t="s">
        <v>43</v>
      </c>
      <c r="D20" s="0" t="s">
        <v>13</v>
      </c>
      <c r="E20" s="1" t="s">
        <v>82</v>
      </c>
    </row>
    <row r="22" customFormat="false" ht="17.15" hidden="false" customHeight="false" outlineLevel="0" collapsed="false">
      <c r="A22" s="6" t="s">
        <v>83</v>
      </c>
    </row>
    <row r="23" customFormat="false" ht="17.15" hidden="false" customHeight="false" outlineLevel="0" collapsed="false">
      <c r="A23" s="0" t="s">
        <v>84</v>
      </c>
      <c r="B23" s="2" t="n">
        <v>32.77</v>
      </c>
      <c r="C23" s="3" t="s">
        <v>85</v>
      </c>
      <c r="D23" s="3" t="s">
        <v>86</v>
      </c>
    </row>
    <row r="24" customFormat="false" ht="17.15" hidden="false" customHeight="false" outlineLevel="0" collapsed="false">
      <c r="A24" s="1" t="s">
        <v>87</v>
      </c>
      <c r="B24" s="0" t="n">
        <f aca="false">換算!$B$23/8</f>
        <v>4.09625</v>
      </c>
      <c r="C24" s="0" t="s">
        <v>54</v>
      </c>
      <c r="D24" s="0" t="s">
        <v>13</v>
      </c>
    </row>
    <row r="25" customFormat="false" ht="17.15" hidden="false" customHeight="false" outlineLevel="0" collapsed="false">
      <c r="A25" s="0" t="s">
        <v>88</v>
      </c>
      <c r="B25" s="0" t="n">
        <f aca="false">換算!$B$4/換算!$B$24</f>
        <v>0.317363442172719</v>
      </c>
      <c r="D25" s="0" t="s">
        <v>13</v>
      </c>
      <c r="E25" s="1" t="s">
        <v>89</v>
      </c>
    </row>
    <row r="26" customFormat="false" ht="17.15" hidden="false" customHeight="false" outlineLevel="0" collapsed="false">
      <c r="A26" s="0" t="s">
        <v>90</v>
      </c>
      <c r="B26" s="0" t="n">
        <f aca="false">98.32/8</f>
        <v>12.29</v>
      </c>
      <c r="C26" s="0" t="s">
        <v>91</v>
      </c>
      <c r="D26" s="0" t="s">
        <v>92</v>
      </c>
    </row>
    <row r="27" customFormat="false" ht="17.15" hidden="false" customHeight="false" outlineLevel="0" collapsed="false">
      <c r="A27" s="0" t="s">
        <v>93</v>
      </c>
      <c r="B27" s="0" t="n">
        <f aca="false">108.16/4</f>
        <v>27.04</v>
      </c>
      <c r="C27" s="0" t="s">
        <v>94</v>
      </c>
      <c r="D27" s="0" t="s">
        <v>95</v>
      </c>
    </row>
    <row r="28" customFormat="false" ht="17.15" hidden="false" customHeight="false" outlineLevel="0" collapsed="false">
      <c r="A28" s="0" t="s">
        <v>96</v>
      </c>
      <c r="B28" s="0" t="n">
        <f aca="false">參數!$B$6*換算!$B$26+(1-參數!$B$6)*換算!$B$27</f>
        <v>18.19</v>
      </c>
      <c r="C28" s="0" t="s">
        <v>43</v>
      </c>
      <c r="D28" s="0" t="s">
        <v>13</v>
      </c>
    </row>
    <row r="29" customFormat="false" ht="17.15" hidden="false" customHeight="false" outlineLevel="0" collapsed="false">
      <c r="A29" s="1" t="s">
        <v>97</v>
      </c>
      <c r="B29" s="0" t="n">
        <f aca="false">換算!$B$25*換算!$B$28</f>
        <v>5.77284101312176</v>
      </c>
      <c r="C29" s="0" t="s">
        <v>43</v>
      </c>
      <c r="D29" s="0" t="s">
        <v>13</v>
      </c>
      <c r="E29" s="1" t="s">
        <v>98</v>
      </c>
    </row>
    <row r="30" customFormat="false" ht="17.15" hidden="false" customHeight="false" outlineLevel="0" collapsed="false">
      <c r="A30" s="0" t="s">
        <v>99</v>
      </c>
      <c r="B30" s="0" t="n">
        <f aca="false">換算!$B$29/參數!$B$15</f>
        <v>3.4145649178349</v>
      </c>
      <c r="C30" s="0" t="s">
        <v>12</v>
      </c>
      <c r="D30" s="0" t="s">
        <v>13</v>
      </c>
      <c r="E30" s="1" t="s">
        <v>100</v>
      </c>
    </row>
    <row r="32" customFormat="false" ht="17.15" hidden="false" customHeight="false" outlineLevel="0" collapsed="false">
      <c r="A32" s="6" t="s">
        <v>101</v>
      </c>
    </row>
    <row r="33" customFormat="false" ht="17.15" hidden="false" customHeight="false" outlineLevel="0" collapsed="false">
      <c r="A33" s="0" t="s">
        <v>102</v>
      </c>
      <c r="B33" s="2" t="n">
        <v>24.1</v>
      </c>
      <c r="C33" s="3" t="s">
        <v>30</v>
      </c>
      <c r="D33" s="3" t="s">
        <v>103</v>
      </c>
      <c r="E33" s="3" t="s">
        <v>104</v>
      </c>
    </row>
    <row r="34" customFormat="false" ht="17.15" hidden="false" customHeight="false" outlineLevel="0" collapsed="false">
      <c r="A34" s="1" t="s">
        <v>105</v>
      </c>
      <c r="B34" s="2" t="n">
        <v>3</v>
      </c>
      <c r="C34" s="3" t="s">
        <v>30</v>
      </c>
      <c r="D34" s="3" t="s">
        <v>37</v>
      </c>
      <c r="E34" s="3" t="s">
        <v>106</v>
      </c>
    </row>
    <row r="35" customFormat="false" ht="15" hidden="false" customHeight="false" outlineLevel="0" collapsed="false">
      <c r="A35" s="1" t="s">
        <v>107</v>
      </c>
      <c r="B35" s="0" t="n">
        <f aca="false">換算!$B$33-換算!$B$34</f>
        <v>21.1</v>
      </c>
      <c r="C35" s="0" t="s">
        <v>30</v>
      </c>
      <c r="D35" s="0" t="s">
        <v>13</v>
      </c>
    </row>
    <row r="36" customFormat="false" ht="17.15" hidden="false" customHeight="false" outlineLevel="0" collapsed="false">
      <c r="A36" s="1" t="s">
        <v>108</v>
      </c>
      <c r="B36" s="2" t="n">
        <v>1</v>
      </c>
      <c r="C36" s="3" t="s">
        <v>26</v>
      </c>
      <c r="D36" s="3" t="s">
        <v>37</v>
      </c>
      <c r="E36" s="1" t="s">
        <v>109</v>
      </c>
    </row>
    <row r="37" customFormat="false" ht="15" hidden="false" customHeight="false" outlineLevel="0" collapsed="false">
      <c r="A37" s="1" t="s">
        <v>110</v>
      </c>
      <c r="B37" s="2" t="n">
        <v>1.75</v>
      </c>
      <c r="C37" s="3" t="s">
        <v>26</v>
      </c>
      <c r="D37" s="3" t="s">
        <v>37</v>
      </c>
    </row>
    <row r="38" customFormat="false" ht="15" hidden="false" customHeight="false" outlineLevel="0" collapsed="false">
      <c r="A38" s="1" t="s">
        <v>81</v>
      </c>
      <c r="B38" s="2" t="n">
        <v>2.5</v>
      </c>
      <c r="C38" s="3" t="s">
        <v>26</v>
      </c>
      <c r="D38" s="3" t="s">
        <v>37</v>
      </c>
    </row>
    <row r="39" customFormat="false" ht="17.15" hidden="false" customHeight="false" outlineLevel="0" collapsed="false">
      <c r="A39" s="1" t="s">
        <v>111</v>
      </c>
      <c r="B39" s="0" t="n">
        <f aca="false">換算!$B$35/換算!$B$36/參數!$B$2</f>
        <v>2.25593204863091</v>
      </c>
      <c r="C39" s="0" t="s">
        <v>12</v>
      </c>
      <c r="D39" s="0" t="s">
        <v>13</v>
      </c>
    </row>
    <row r="40" customFormat="false" ht="17.15" hidden="false" customHeight="false" outlineLevel="0" collapsed="false">
      <c r="A40" s="1" t="s">
        <v>112</v>
      </c>
      <c r="B40" s="0" t="n">
        <f aca="false">換算!$B$35/換算!$B$37/參數!$B$2</f>
        <v>1.28910402778909</v>
      </c>
      <c r="C40" s="0" t="s">
        <v>12</v>
      </c>
      <c r="D40" s="0" t="s">
        <v>13</v>
      </c>
    </row>
    <row r="41" customFormat="false" ht="17.15" hidden="false" customHeight="false" outlineLevel="0" collapsed="false">
      <c r="A41" s="1" t="s">
        <v>113</v>
      </c>
      <c r="B41" s="0" t="n">
        <f aca="false">換算!$B$35/換算!$B$38/參數!$B$2</f>
        <v>0.902372819452363</v>
      </c>
      <c r="C41" s="0" t="s">
        <v>12</v>
      </c>
      <c r="D41" s="0" t="s">
        <v>13</v>
      </c>
      <c r="E41" s="1" t="s">
        <v>114</v>
      </c>
    </row>
    <row r="43" customFormat="false" ht="17.15" hidden="false" customHeight="false" outlineLevel="0" collapsed="false">
      <c r="A43" s="6" t="s">
        <v>115</v>
      </c>
    </row>
    <row r="44" customFormat="false" ht="17.15" hidden="false" customHeight="false" outlineLevel="0" collapsed="false">
      <c r="A44" s="1" t="s">
        <v>116</v>
      </c>
      <c r="B44" s="2" t="n">
        <v>250</v>
      </c>
      <c r="C44" s="3" t="s">
        <v>30</v>
      </c>
      <c r="D44" s="3" t="s">
        <v>117</v>
      </c>
      <c r="E44" s="3" t="s">
        <v>118</v>
      </c>
    </row>
    <row r="45" customFormat="false" ht="17.15" hidden="false" customHeight="false" outlineLevel="0" collapsed="false">
      <c r="A45" s="1" t="s">
        <v>119</v>
      </c>
      <c r="B45" s="0" t="n">
        <f aca="false">換算!$B$44/參數!$B$2</f>
        <v>26.729052708897</v>
      </c>
      <c r="C45" s="0" t="s">
        <v>120</v>
      </c>
      <c r="D45" s="0" t="s">
        <v>13</v>
      </c>
    </row>
    <row r="46" customFormat="false" ht="17.15" hidden="false" customHeight="false" outlineLevel="0" collapsed="false">
      <c r="A46" s="1" t="s">
        <v>121</v>
      </c>
      <c r="B46" s="0" t="n">
        <f aca="false">換算!$B$44/參數!$B$16</f>
        <v>14.849473727165</v>
      </c>
      <c r="C46" s="0" t="s">
        <v>120</v>
      </c>
      <c r="D46" s="0" t="s">
        <v>13</v>
      </c>
      <c r="E46" s="1" t="s">
        <v>122</v>
      </c>
    </row>
    <row r="48" customFormat="false" ht="17.15" hidden="false" customHeight="false" outlineLevel="0" collapsed="false">
      <c r="A48" s="6" t="s">
        <v>123</v>
      </c>
    </row>
    <row r="49" customFormat="false" ht="17.15" hidden="false" customHeight="false" outlineLevel="0" collapsed="false">
      <c r="A49" s="1" t="s">
        <v>124</v>
      </c>
      <c r="B49" s="2" t="n">
        <v>300</v>
      </c>
      <c r="C49" s="3" t="s">
        <v>30</v>
      </c>
      <c r="D49" s="3" t="s">
        <v>125</v>
      </c>
    </row>
    <row r="50" customFormat="false" ht="15" hidden="false" customHeight="false" outlineLevel="0" collapsed="false">
      <c r="A50" s="1" t="s">
        <v>126</v>
      </c>
      <c r="B50" s="2" t="n">
        <v>5</v>
      </c>
      <c r="C50" s="1" t="s">
        <v>127</v>
      </c>
      <c r="D50" s="3" t="s">
        <v>55</v>
      </c>
    </row>
    <row r="51" customFormat="false" ht="17.15" hidden="false" customHeight="false" outlineLevel="0" collapsed="false">
      <c r="A51" s="1" t="s">
        <v>128</v>
      </c>
      <c r="B51" s="2" t="n">
        <v>4.5</v>
      </c>
      <c r="C51" s="3" t="s">
        <v>26</v>
      </c>
      <c r="D51" s="3" t="s">
        <v>55</v>
      </c>
      <c r="E51" s="1" t="s">
        <v>129</v>
      </c>
    </row>
    <row r="52" customFormat="false" ht="17.15" hidden="false" customHeight="false" outlineLevel="0" collapsed="false">
      <c r="A52" s="1" t="s">
        <v>130</v>
      </c>
      <c r="B52" s="0" t="n">
        <f aca="false">換算!$B$49/換算!$B$50/換算!$B$51</f>
        <v>13.3333333333333</v>
      </c>
      <c r="C52" s="0" t="s">
        <v>8</v>
      </c>
      <c r="D52" s="0" t="s">
        <v>13</v>
      </c>
      <c r="E52" s="1" t="s">
        <v>131</v>
      </c>
    </row>
    <row r="53" customFormat="false" ht="17.15" hidden="false" customHeight="false" outlineLevel="0" collapsed="false">
      <c r="A53" s="1" t="s">
        <v>132</v>
      </c>
      <c r="B53" s="2" t="n">
        <v>0.8</v>
      </c>
      <c r="D53" s="3" t="s">
        <v>37</v>
      </c>
      <c r="E53" s="1" t="s">
        <v>133</v>
      </c>
    </row>
    <row r="54" customFormat="false" ht="15" hidden="false" customHeight="false" outlineLevel="0" collapsed="false">
      <c r="A54" s="1" t="s">
        <v>134</v>
      </c>
      <c r="B54" s="2" t="n">
        <v>0.6</v>
      </c>
      <c r="D54" s="3" t="s">
        <v>37</v>
      </c>
    </row>
    <row r="55" customFormat="false" ht="17.15" hidden="false" customHeight="false" outlineLevel="0" collapsed="false">
      <c r="A55" s="1" t="s">
        <v>135</v>
      </c>
      <c r="B55" s="0" t="n">
        <f aca="false">參數!$B$11</f>
        <v>1.2</v>
      </c>
      <c r="C55" s="0" t="s">
        <v>12</v>
      </c>
      <c r="D55" s="0" t="s">
        <v>37</v>
      </c>
      <c r="E55" s="1" t="s">
        <v>136</v>
      </c>
    </row>
    <row r="56" customFormat="false" ht="17.15" hidden="false" customHeight="false" outlineLevel="0" collapsed="false">
      <c r="A56" s="0" t="s">
        <v>137</v>
      </c>
      <c r="B56" s="0" t="n">
        <f aca="false">參數!$D$11</f>
        <v>1.3</v>
      </c>
      <c r="C56" s="0" t="s">
        <v>12</v>
      </c>
      <c r="D56" s="0" t="s">
        <v>37</v>
      </c>
    </row>
    <row r="57" customFormat="false" ht="17.15" hidden="false" customHeight="false" outlineLevel="0" collapsed="false">
      <c r="A57" s="1" t="s">
        <v>138</v>
      </c>
      <c r="B57" s="0" t="n">
        <f aca="false">換算!$B$52/參數!$B$2</f>
        <v>1.42554947780784</v>
      </c>
      <c r="C57" s="0" t="s">
        <v>12</v>
      </c>
      <c r="D57" s="0" t="s">
        <v>13</v>
      </c>
    </row>
    <row r="58" customFormat="false" ht="17.15" hidden="false" customHeight="false" outlineLevel="0" collapsed="false">
      <c r="A58" s="1" t="s">
        <v>139</v>
      </c>
      <c r="B58" s="0" t="n">
        <f aca="false">換算!$B$52*換算!$B$55/換算!$B$53/參數!$B$2</f>
        <v>2.13832421671176</v>
      </c>
      <c r="C58" s="0" t="s">
        <v>12</v>
      </c>
      <c r="D58" s="0" t="s">
        <v>13</v>
      </c>
    </row>
    <row r="59" customFormat="false" ht="17.15" hidden="false" customHeight="false" outlineLevel="0" collapsed="false">
      <c r="A59" s="1" t="s">
        <v>140</v>
      </c>
      <c r="B59" s="0" t="n">
        <f aca="false">換算!$B$52*換算!$B$56/換算!$B$54/參數!$B$2</f>
        <v>3.08869053525032</v>
      </c>
      <c r="C59" s="0" t="s">
        <v>12</v>
      </c>
      <c r="D59" s="0" t="s">
        <v>13</v>
      </c>
    </row>
    <row r="61" customFormat="false" ht="17.15" hidden="false" customHeight="false" outlineLevel="0" collapsed="false">
      <c r="A61" s="6" t="s">
        <v>141</v>
      </c>
    </row>
    <row r="62" customFormat="false" ht="17.15" hidden="false" customHeight="false" outlineLevel="0" collapsed="false">
      <c r="A62" s="0" t="s">
        <v>142</v>
      </c>
      <c r="B62" s="2" t="n">
        <v>0.16</v>
      </c>
      <c r="D62" s="3" t="s">
        <v>55</v>
      </c>
      <c r="E62" s="1" t="s">
        <v>143</v>
      </c>
    </row>
    <row r="63" customFormat="false" ht="17.15" hidden="false" customHeight="false" outlineLevel="0" collapsed="false">
      <c r="A63" s="0" t="s">
        <v>144</v>
      </c>
      <c r="B63" s="2" t="n">
        <v>0.35</v>
      </c>
      <c r="D63" s="3" t="s">
        <v>55</v>
      </c>
      <c r="E63" s="3" t="s">
        <v>145</v>
      </c>
    </row>
    <row r="64" customFormat="false" ht="17.15" hidden="false" customHeight="false" outlineLevel="0" collapsed="false">
      <c r="A64" s="0" t="s">
        <v>146</v>
      </c>
      <c r="B64" s="2" t="n">
        <v>0.4</v>
      </c>
      <c r="D64" s="3" t="s">
        <v>55</v>
      </c>
      <c r="E64" s="3" t="s">
        <v>147</v>
      </c>
    </row>
    <row r="65" customFormat="false" ht="17.15" hidden="false" customHeight="false" outlineLevel="0" collapsed="false">
      <c r="A65" s="1" t="s">
        <v>148</v>
      </c>
      <c r="B65" s="0" t="n">
        <f aca="false">1/(1-換算!$B$62)</f>
        <v>1.19047619047619</v>
      </c>
      <c r="C65" s="0" t="s">
        <v>12</v>
      </c>
      <c r="D65" s="0" t="s">
        <v>13</v>
      </c>
    </row>
    <row r="66" customFormat="false" ht="17.15" hidden="false" customHeight="false" outlineLevel="0" collapsed="false">
      <c r="A66" s="1" t="s">
        <v>149</v>
      </c>
      <c r="B66" s="0" t="n">
        <f aca="false">1/(1-換算!$B$63)</f>
        <v>1.53846153846154</v>
      </c>
      <c r="C66" s="0" t="s">
        <v>12</v>
      </c>
      <c r="D66" s="0" t="s">
        <v>13</v>
      </c>
    </row>
    <row r="67" customFormat="false" ht="17.15" hidden="false" customHeight="false" outlineLevel="0" collapsed="false">
      <c r="A67" s="1" t="s">
        <v>150</v>
      </c>
      <c r="B67" s="0" t="n">
        <f aca="false">1/(1-換算!$B$64)</f>
        <v>1.66666666666667</v>
      </c>
      <c r="C67" s="0" t="s">
        <v>12</v>
      </c>
      <c r="D67" s="0" t="s">
        <v>13</v>
      </c>
      <c r="E67" s="1" t="s">
        <v>151</v>
      </c>
    </row>
    <row r="69" customFormat="false" ht="17.15" hidden="false" customHeight="false" outlineLevel="0" collapsed="false">
      <c r="A69" s="6" t="s">
        <v>152</v>
      </c>
    </row>
    <row r="70" customFormat="false" ht="17.15" hidden="false" customHeight="false" outlineLevel="0" collapsed="false">
      <c r="A70" s="0" t="s">
        <v>153</v>
      </c>
      <c r="B70" s="2" t="n">
        <v>1.365</v>
      </c>
      <c r="C70" s="3" t="s">
        <v>30</v>
      </c>
      <c r="D70" s="3" t="s">
        <v>103</v>
      </c>
      <c r="E70" s="3" t="s">
        <v>154</v>
      </c>
    </row>
    <row r="71" customFormat="false" ht="17.15" hidden="false" customHeight="false" outlineLevel="0" collapsed="false">
      <c r="A71" s="0" t="s">
        <v>155</v>
      </c>
      <c r="B71" s="2" t="n">
        <v>470</v>
      </c>
      <c r="C71" s="3" t="s">
        <v>156</v>
      </c>
      <c r="D71" s="3" t="s">
        <v>157</v>
      </c>
    </row>
    <row r="72" customFormat="false" ht="17.15" hidden="false" customHeight="false" outlineLevel="0" collapsed="false">
      <c r="A72" s="0" t="s">
        <v>158</v>
      </c>
      <c r="B72" s="2" t="n">
        <v>590</v>
      </c>
      <c r="C72" s="3" t="s">
        <v>156</v>
      </c>
      <c r="D72" s="3" t="s">
        <v>103</v>
      </c>
    </row>
    <row r="73" customFormat="false" ht="17.15" hidden="false" customHeight="false" outlineLevel="0" collapsed="false">
      <c r="A73" s="0" t="s">
        <v>159</v>
      </c>
      <c r="B73" s="2" t="n">
        <v>1.572</v>
      </c>
      <c r="C73" s="3" t="s">
        <v>30</v>
      </c>
      <c r="D73" s="3" t="s">
        <v>103</v>
      </c>
      <c r="E73" s="3" t="s">
        <v>160</v>
      </c>
    </row>
    <row r="74" customFormat="false" ht="17.15" hidden="false" customHeight="false" outlineLevel="0" collapsed="false">
      <c r="A74" s="0" t="s">
        <v>161</v>
      </c>
      <c r="B74" s="2" t="n">
        <v>850</v>
      </c>
      <c r="C74" s="3" t="s">
        <v>156</v>
      </c>
      <c r="D74" s="3" t="s">
        <v>103</v>
      </c>
      <c r="E74" s="3" t="s">
        <v>162</v>
      </c>
    </row>
    <row r="75" customFormat="false" ht="17.15" hidden="false" customHeight="false" outlineLevel="0" collapsed="false">
      <c r="A75" s="0" t="s">
        <v>163</v>
      </c>
      <c r="B75" s="0" t="n">
        <f aca="false">換算!$B$70*4/((換算!$B$71+換算!$B$72)/2/1000)</f>
        <v>10.3018867924528</v>
      </c>
      <c r="C75" s="0" t="s">
        <v>8</v>
      </c>
      <c r="D75" s="0" t="s">
        <v>13</v>
      </c>
      <c r="E75" s="1" t="s">
        <v>164</v>
      </c>
    </row>
    <row r="76" customFormat="false" ht="17.15" hidden="false" customHeight="false" outlineLevel="0" collapsed="false">
      <c r="A76" s="0" t="s">
        <v>165</v>
      </c>
      <c r="B76" s="0" t="n">
        <f aca="false">換算!$B$73*4/((換算!$B$72+換算!$B$74)/2/1000)</f>
        <v>8.73333333333333</v>
      </c>
      <c r="C76" s="0" t="s">
        <v>8</v>
      </c>
      <c r="D76" s="0" t="s">
        <v>13</v>
      </c>
      <c r="E76" s="0" t="s">
        <v>166</v>
      </c>
    </row>
    <row r="77" customFormat="false" ht="17.15" hidden="false" customHeight="false" outlineLevel="0" collapsed="false">
      <c r="A77" s="0" t="s">
        <v>167</v>
      </c>
      <c r="B77" s="0" t="n">
        <f aca="false">換算!$B$75/參數!$B$2</f>
        <v>1.10143870030625</v>
      </c>
      <c r="C77" s="0" t="s">
        <v>12</v>
      </c>
      <c r="D77" s="0" t="s">
        <v>13</v>
      </c>
    </row>
    <row r="78" customFormat="false" ht="17.15" hidden="false" customHeight="false" outlineLevel="0" collapsed="false">
      <c r="A78" s="0" t="s">
        <v>168</v>
      </c>
      <c r="B78" s="0" t="n">
        <f aca="false">換算!$B$76/參數!$B$2</f>
        <v>0.933734907964136</v>
      </c>
      <c r="C78" s="0" t="s">
        <v>12</v>
      </c>
      <c r="D78" s="0" t="s">
        <v>13</v>
      </c>
    </row>
    <row r="79" customFormat="false" ht="17.15" hidden="false" customHeight="false" outlineLevel="0" collapsed="false">
      <c r="A79" s="0" t="s">
        <v>169</v>
      </c>
      <c r="B79" s="0" t="n">
        <f aca="false">(換算!$B$70+換算!$B$73)*2/(((換算!$B$71+換算!$B$72)/2+(換算!$B$72+換算!$B$74)/2)/2/1000)/參數!$B$2</f>
        <v>1.00484131591719</v>
      </c>
      <c r="C79" s="0" t="s">
        <v>12</v>
      </c>
      <c r="D79" s="0" t="s">
        <v>13</v>
      </c>
    </row>
    <row r="81" customFormat="false" ht="17.15" hidden="false" customHeight="false" outlineLevel="0" collapsed="false">
      <c r="A81" s="6" t="s">
        <v>170</v>
      </c>
    </row>
    <row r="82" customFormat="false" ht="17.15" hidden="false" customHeight="false" outlineLevel="0" collapsed="false">
      <c r="A82" s="1" t="s">
        <v>124</v>
      </c>
      <c r="B82" s="2" t="n">
        <v>9.7</v>
      </c>
      <c r="C82" s="3" t="s">
        <v>30</v>
      </c>
      <c r="D82" s="3" t="s">
        <v>171</v>
      </c>
      <c r="E82" s="3" t="s">
        <v>172</v>
      </c>
    </row>
    <row r="83" customFormat="false" ht="15" hidden="false" customHeight="false" outlineLevel="0" collapsed="false">
      <c r="A83" s="1" t="s">
        <v>126</v>
      </c>
      <c r="B83" s="2" t="n">
        <v>5</v>
      </c>
      <c r="C83" s="1" t="s">
        <v>127</v>
      </c>
      <c r="D83" s="3" t="s">
        <v>103</v>
      </c>
    </row>
    <row r="84" customFormat="false" ht="17.15" hidden="false" customHeight="false" outlineLevel="0" collapsed="false">
      <c r="A84" s="0" t="s">
        <v>173</v>
      </c>
      <c r="B84" s="2" t="n">
        <v>0.2</v>
      </c>
      <c r="C84" s="3" t="s">
        <v>26</v>
      </c>
      <c r="D84" s="3" t="s">
        <v>174</v>
      </c>
    </row>
    <row r="85" customFormat="false" ht="17.15" hidden="false" customHeight="false" outlineLevel="0" collapsed="false">
      <c r="A85" s="1" t="s">
        <v>73</v>
      </c>
      <c r="B85" s="0" t="n">
        <f aca="false">換算!$B$82/換算!$B$83/換算!$B$84</f>
        <v>9.7</v>
      </c>
      <c r="C85" s="0" t="s">
        <v>8</v>
      </c>
      <c r="D85" s="0" t="s">
        <v>13</v>
      </c>
      <c r="E85" s="1" t="s">
        <v>175</v>
      </c>
    </row>
    <row r="86" customFormat="false" ht="15" hidden="false" customHeight="false" outlineLevel="0" collapsed="false">
      <c r="A86" s="1" t="s">
        <v>176</v>
      </c>
      <c r="B86" s="0" t="n">
        <f aca="false">換算!$B$85/參數!$B$2</f>
        <v>1.0370872451052</v>
      </c>
      <c r="C86" s="0" t="s">
        <v>12</v>
      </c>
      <c r="D86" s="0" t="s">
        <v>13</v>
      </c>
    </row>
    <row r="88" customFormat="false" ht="17.15" hidden="false" customHeight="false" outlineLevel="0" collapsed="false">
      <c r="A88" s="6" t="s">
        <v>177</v>
      </c>
    </row>
    <row r="89" customFormat="false" ht="17.15" hidden="false" customHeight="false" outlineLevel="0" collapsed="false">
      <c r="A89" s="0" t="s">
        <v>178</v>
      </c>
      <c r="B89" s="0" t="n">
        <f aca="false">98.32/8</f>
        <v>12.29</v>
      </c>
      <c r="C89" s="0" t="s">
        <v>85</v>
      </c>
      <c r="D89" s="0" t="s">
        <v>179</v>
      </c>
      <c r="E89" s="0" t="s">
        <v>180</v>
      </c>
    </row>
    <row r="90" customFormat="false" ht="17.15" hidden="false" customHeight="false" outlineLevel="0" collapsed="false">
      <c r="A90" s="0" t="s">
        <v>181</v>
      </c>
      <c r="B90" s="2" t="n">
        <v>7.93</v>
      </c>
      <c r="C90" s="3" t="s">
        <v>85</v>
      </c>
      <c r="D90" s="3" t="s">
        <v>182</v>
      </c>
    </row>
    <row r="91" customFormat="false" ht="17.15" hidden="false" customHeight="false" outlineLevel="0" collapsed="false">
      <c r="A91" s="0" t="s">
        <v>183</v>
      </c>
      <c r="B91" s="2" t="n">
        <v>5.47</v>
      </c>
      <c r="C91" s="3" t="s">
        <v>85</v>
      </c>
      <c r="D91" s="3" t="s">
        <v>182</v>
      </c>
    </row>
    <row r="92" customFormat="false" ht="17.15" hidden="false" customHeight="false" outlineLevel="0" collapsed="false">
      <c r="A92" s="0" t="s">
        <v>184</v>
      </c>
      <c r="B92" s="0" t="n">
        <f aca="false">18.1695/8</f>
        <v>2.2711875</v>
      </c>
      <c r="C92" s="0" t="s">
        <v>85</v>
      </c>
      <c r="D92" s="0" t="s">
        <v>185</v>
      </c>
      <c r="E92" s="1" t="s">
        <v>186</v>
      </c>
    </row>
    <row r="93" customFormat="false" ht="17.15" hidden="false" customHeight="false" outlineLevel="0" collapsed="false">
      <c r="A93" s="0" t="s">
        <v>187</v>
      </c>
      <c r="B93" s="0" t="n">
        <f aca="false">108.16/4</f>
        <v>27.04</v>
      </c>
      <c r="C93" s="0" t="s">
        <v>85</v>
      </c>
      <c r="D93" s="0" t="s">
        <v>188</v>
      </c>
      <c r="E93" s="1" t="s">
        <v>189</v>
      </c>
    </row>
    <row r="94" customFormat="false" ht="17.15" hidden="false" customHeight="false" outlineLevel="0" collapsed="false">
      <c r="A94" s="0" t="s">
        <v>190</v>
      </c>
      <c r="B94" s="0" t="n">
        <f aca="false">69.222/4</f>
        <v>17.3055</v>
      </c>
      <c r="C94" s="0" t="s">
        <v>85</v>
      </c>
      <c r="D94" s="0" t="s">
        <v>191</v>
      </c>
      <c r="E94" s="1" t="s">
        <v>192</v>
      </c>
    </row>
    <row r="95" customFormat="false" ht="17.15" hidden="false" customHeight="false" outlineLevel="0" collapsed="false">
      <c r="A95" s="0" t="s">
        <v>193</v>
      </c>
      <c r="B95" s="0" t="n">
        <f aca="false">換算!$B$89*參數!$B$4*參數!$B$7/1000000000</f>
        <v>77.3053348992</v>
      </c>
      <c r="C95" s="0" t="s">
        <v>8</v>
      </c>
      <c r="D95" s="0" t="s">
        <v>13</v>
      </c>
    </row>
    <row r="96" customFormat="false" ht="17.15" hidden="false" customHeight="false" outlineLevel="0" collapsed="false">
      <c r="A96" s="0" t="s">
        <v>194</v>
      </c>
      <c r="B96" s="0" t="n">
        <f aca="false">換算!$B$95/參數!$B$2</f>
        <v>8.26519348479861</v>
      </c>
      <c r="C96" s="0" t="s">
        <v>12</v>
      </c>
      <c r="D96" s="0" t="s">
        <v>13</v>
      </c>
    </row>
    <row r="97" customFormat="false" ht="17.15" hidden="false" customHeight="false" outlineLevel="0" collapsed="false">
      <c r="A97" s="0" t="s">
        <v>195</v>
      </c>
      <c r="B97" s="0" t="n">
        <f aca="false">1-參數!$B$16/換算!$B$95</f>
        <v>0.782219254357376</v>
      </c>
      <c r="D97" s="0" t="s">
        <v>13</v>
      </c>
    </row>
    <row r="98" customFormat="false" ht="17.15" hidden="false" customHeight="false" outlineLevel="0" collapsed="false">
      <c r="A98" s="0" t="s">
        <v>196</v>
      </c>
      <c r="B98" s="0" t="n">
        <f aca="false">換算!$B$91*參數!$B$4*參數!$B$7/1000000000</f>
        <v>34.4068496256</v>
      </c>
      <c r="C98" s="0" t="s">
        <v>8</v>
      </c>
      <c r="D98" s="0" t="s">
        <v>13</v>
      </c>
    </row>
    <row r="99" customFormat="false" ht="17.15" hidden="false" customHeight="false" outlineLevel="0" collapsed="false">
      <c r="A99" s="0" t="s">
        <v>197</v>
      </c>
      <c r="B99" s="0" t="n">
        <f aca="false">換算!$B$98/參數!$B$2</f>
        <v>3.67864998875902</v>
      </c>
      <c r="C99" s="0" t="s">
        <v>12</v>
      </c>
      <c r="D99" s="0" t="s">
        <v>13</v>
      </c>
    </row>
    <row r="100" customFormat="false" ht="17.15" hidden="false" customHeight="false" outlineLevel="0" collapsed="false">
      <c r="A100" s="0" t="s">
        <v>198</v>
      </c>
      <c r="B100" s="0" t="n">
        <f aca="false">1-參數!$B$16/換算!$B$98</f>
        <v>0.510690061435493</v>
      </c>
      <c r="D100" s="0" t="s">
        <v>13</v>
      </c>
    </row>
    <row r="101" customFormat="false" ht="17.15" hidden="false" customHeight="false" outlineLevel="0" collapsed="false">
      <c r="A101" s="0" t="s">
        <v>199</v>
      </c>
      <c r="B101" s="0" t="n">
        <f aca="false">換算!$B$92*參數!$B$4*參數!$B$7/1000000000</f>
        <v>14.28599758392</v>
      </c>
      <c r="C101" s="0" t="s">
        <v>8</v>
      </c>
      <c r="D101" s="0" t="s">
        <v>13</v>
      </c>
    </row>
    <row r="102" customFormat="false" ht="17.15" hidden="false" customHeight="false" outlineLevel="0" collapsed="false">
      <c r="A102" s="0" t="s">
        <v>200</v>
      </c>
      <c r="B102" s="0" t="n">
        <f aca="false">換算!$B$101/參數!$B$2</f>
        <v>1.52740472967909</v>
      </c>
      <c r="C102" s="0" t="s">
        <v>12</v>
      </c>
      <c r="D102" s="0" t="s">
        <v>13</v>
      </c>
    </row>
    <row r="103" customFormat="false" ht="17.15" hidden="false" customHeight="false" outlineLevel="0" collapsed="false">
      <c r="A103" s="0" t="s">
        <v>201</v>
      </c>
      <c r="B103" s="0" t="n">
        <f aca="false">1-參數!$B$16/換算!$B$101</f>
        <v>-0.178469573272946</v>
      </c>
      <c r="D103" s="0" t="s">
        <v>13</v>
      </c>
    </row>
    <row r="104" customFormat="false" ht="17.15" hidden="false" customHeight="false" outlineLevel="0" collapsed="false">
      <c r="A104" s="0" t="s">
        <v>202</v>
      </c>
      <c r="B104" s="0" t="n">
        <f aca="false">換算!$B$93*參數!$B$5*參數!$B$7/1000000000</f>
        <v>118.8539868672</v>
      </c>
      <c r="C104" s="0" t="s">
        <v>8</v>
      </c>
      <c r="D104" s="0" t="s">
        <v>13</v>
      </c>
    </row>
    <row r="105" customFormat="false" ht="17.15" hidden="false" customHeight="false" outlineLevel="0" collapsed="false">
      <c r="A105" s="0" t="s">
        <v>203</v>
      </c>
      <c r="B105" s="0" t="n">
        <f aca="false">換算!$B$104/參數!$B$2</f>
        <v>12.7074179185438</v>
      </c>
      <c r="C105" s="0" t="s">
        <v>12</v>
      </c>
      <c r="D105" s="0" t="s">
        <v>13</v>
      </c>
    </row>
    <row r="106" customFormat="false" ht="17.15" hidden="false" customHeight="false" outlineLevel="0" collapsed="false">
      <c r="A106" s="0" t="s">
        <v>204</v>
      </c>
      <c r="B106" s="0" t="n">
        <f aca="false">1-參數!$B$16/換算!$B$104</f>
        <v>0.858350452346949</v>
      </c>
      <c r="D106" s="0" t="s">
        <v>13</v>
      </c>
    </row>
    <row r="107" customFormat="false" ht="17.15" hidden="false" customHeight="false" outlineLevel="0" collapsed="false">
      <c r="A107" s="0" t="s">
        <v>205</v>
      </c>
      <c r="B107" s="0" t="n">
        <f aca="false">換算!$B$94*參數!$B$5*參數!$B$7/1000000000</f>
        <v>76.06611204624</v>
      </c>
      <c r="C107" s="0" t="s">
        <v>8</v>
      </c>
      <c r="D107" s="0" t="s">
        <v>13</v>
      </c>
    </row>
    <row r="108" customFormat="false" ht="17.15" hidden="false" customHeight="false" outlineLevel="0" collapsed="false">
      <c r="A108" s="0" t="s">
        <v>206</v>
      </c>
      <c r="B108" s="0" t="n">
        <f aca="false">換算!$B$107/參數!$B$2</f>
        <v>8.13270047297926</v>
      </c>
      <c r="C108" s="0" t="s">
        <v>12</v>
      </c>
      <c r="D108" s="0" t="s">
        <v>13</v>
      </c>
    </row>
    <row r="109" customFormat="false" ht="17.15" hidden="false" customHeight="false" outlineLevel="0" collapsed="false">
      <c r="A109" s="0" t="s">
        <v>207</v>
      </c>
      <c r="B109" s="0" t="n">
        <f aca="false">1-參數!$B$16/換算!$B$107</f>
        <v>0.77867130284947</v>
      </c>
      <c r="D109" s="0" t="s">
        <v>13</v>
      </c>
    </row>
    <row r="111" customFormat="false" ht="17.15" hidden="false" customHeight="false" outlineLevel="0" collapsed="false">
      <c r="A111" s="6" t="s">
        <v>208</v>
      </c>
    </row>
    <row r="112" customFormat="false" ht="17.15" hidden="false" customHeight="false" outlineLevel="0" collapsed="false">
      <c r="A112" s="1" t="s">
        <v>124</v>
      </c>
      <c r="B112" s="2" t="n">
        <v>38</v>
      </c>
      <c r="C112" s="3" t="s">
        <v>30</v>
      </c>
      <c r="D112" s="3" t="s">
        <v>209</v>
      </c>
    </row>
    <row r="113" customFormat="false" ht="15" hidden="false" customHeight="false" outlineLevel="0" collapsed="false">
      <c r="A113" s="1" t="s">
        <v>126</v>
      </c>
      <c r="B113" s="2" t="n">
        <v>7</v>
      </c>
      <c r="C113" s="1" t="s">
        <v>127</v>
      </c>
      <c r="D113" s="3" t="s">
        <v>55</v>
      </c>
    </row>
    <row r="114" customFormat="false" ht="17.15" hidden="false" customHeight="false" outlineLevel="0" collapsed="false">
      <c r="A114" s="0" t="s">
        <v>210</v>
      </c>
      <c r="B114" s="2" t="n">
        <v>200000</v>
      </c>
      <c r="C114" s="1" t="s">
        <v>58</v>
      </c>
      <c r="D114" s="3" t="s">
        <v>37</v>
      </c>
      <c r="E114" s="1" t="s">
        <v>211</v>
      </c>
    </row>
    <row r="115" customFormat="false" ht="17.15" hidden="false" customHeight="false" outlineLevel="0" collapsed="false">
      <c r="A115" s="0" t="s">
        <v>212</v>
      </c>
      <c r="B115" s="2" t="n">
        <v>400000</v>
      </c>
      <c r="C115" s="1" t="s">
        <v>58</v>
      </c>
      <c r="D115" s="3" t="s">
        <v>37</v>
      </c>
    </row>
    <row r="116" customFormat="false" ht="17.15" hidden="false" customHeight="false" outlineLevel="0" collapsed="false">
      <c r="A116" s="0" t="s">
        <v>213</v>
      </c>
      <c r="B116" s="2" t="n">
        <v>600000</v>
      </c>
      <c r="C116" s="1" t="s">
        <v>58</v>
      </c>
      <c r="D116" s="3" t="s">
        <v>37</v>
      </c>
    </row>
    <row r="117" customFormat="false" ht="17.15" hidden="false" customHeight="false" outlineLevel="0" collapsed="false">
      <c r="A117" s="1" t="s">
        <v>214</v>
      </c>
      <c r="B117" s="0" t="n">
        <f aca="false">換算!$B$112/換算!$B$113/(換算!$B$114/參數!$B$5)/參數!$B$2</f>
        <v>1.45613647470354</v>
      </c>
      <c r="C117" s="0" t="s">
        <v>12</v>
      </c>
      <c r="D117" s="0" t="s">
        <v>13</v>
      </c>
      <c r="E117" s="1" t="s">
        <v>215</v>
      </c>
    </row>
    <row r="118" customFormat="false" ht="17.15" hidden="false" customHeight="false" outlineLevel="0" collapsed="false">
      <c r="A118" s="1" t="s">
        <v>216</v>
      </c>
      <c r="B118" s="0" t="n">
        <f aca="false">換算!$B$112/換算!$B$113/(換算!$B$115/參數!$B$5)/參數!$B$2</f>
        <v>0.728068237351768</v>
      </c>
      <c r="C118" s="0" t="s">
        <v>12</v>
      </c>
      <c r="D118" s="0" t="s">
        <v>13</v>
      </c>
      <c r="E118" s="1" t="s">
        <v>215</v>
      </c>
    </row>
    <row r="119" customFormat="false" ht="17.15" hidden="false" customHeight="false" outlineLevel="0" collapsed="false">
      <c r="A119" s="1" t="s">
        <v>217</v>
      </c>
      <c r="B119" s="0" t="n">
        <f aca="false">換算!$B$112/換算!$B$113/(換算!$B$116/參數!$B$5)/參數!$B$2</f>
        <v>0.485378824901179</v>
      </c>
      <c r="C119" s="0" t="s">
        <v>12</v>
      </c>
      <c r="D119" s="0" t="s">
        <v>13</v>
      </c>
      <c r="E119" s="1" t="s">
        <v>215</v>
      </c>
    </row>
    <row r="121" customFormat="false" ht="17.15" hidden="false" customHeight="false" outlineLevel="0" collapsed="false">
      <c r="A121" s="6" t="s">
        <v>218</v>
      </c>
    </row>
    <row r="122" customFormat="false" ht="17.15" hidden="false" customHeight="false" outlineLevel="0" collapsed="false">
      <c r="A122" s="0" t="s">
        <v>219</v>
      </c>
      <c r="B122" s="2" t="n">
        <v>0.6</v>
      </c>
      <c r="C122" s="3" t="s">
        <v>26</v>
      </c>
      <c r="D122" s="3" t="s">
        <v>220</v>
      </c>
      <c r="E122" s="3" t="s">
        <v>221</v>
      </c>
    </row>
    <row r="123" customFormat="false" ht="17.15" hidden="false" customHeight="false" outlineLevel="0" collapsed="false">
      <c r="A123" s="0" t="s">
        <v>222</v>
      </c>
      <c r="B123" s="2" t="n">
        <v>1.9</v>
      </c>
      <c r="C123" s="3" t="s">
        <v>26</v>
      </c>
      <c r="D123" s="3" t="s">
        <v>220</v>
      </c>
      <c r="E123" s="3" t="s">
        <v>223</v>
      </c>
    </row>
    <row r="124" customFormat="false" ht="15" hidden="false" customHeight="false" outlineLevel="0" collapsed="false">
      <c r="A124" s="1" t="s">
        <v>224</v>
      </c>
      <c r="B124" s="0" t="n">
        <f aca="false">(換算!$B$122+換算!$B$123)/2</f>
        <v>1.25</v>
      </c>
      <c r="C124" s="0" t="s">
        <v>26</v>
      </c>
      <c r="D124" s="0" t="s">
        <v>13</v>
      </c>
    </row>
    <row r="125" customFormat="false" ht="17.15" hidden="false" customHeight="false" outlineLevel="0" collapsed="false">
      <c r="A125" s="0" t="s">
        <v>225</v>
      </c>
      <c r="B125" s="2" t="n">
        <v>384000</v>
      </c>
      <c r="C125" s="3" t="s">
        <v>226</v>
      </c>
      <c r="D125" s="3" t="s">
        <v>227</v>
      </c>
      <c r="E125" s="3" t="s">
        <v>228</v>
      </c>
    </row>
    <row r="126" customFormat="false" ht="17.15" hidden="false" customHeight="false" outlineLevel="0" collapsed="false">
      <c r="A126" s="0" t="s">
        <v>229</v>
      </c>
      <c r="B126" s="2" t="n">
        <v>1740000</v>
      </c>
      <c r="C126" s="3" t="s">
        <v>226</v>
      </c>
      <c r="D126" s="3" t="s">
        <v>230</v>
      </c>
      <c r="E126" s="3" t="s">
        <v>231</v>
      </c>
    </row>
    <row r="127" customFormat="false" ht="17.15" hidden="false" customHeight="false" outlineLevel="0" collapsed="false">
      <c r="A127" s="0" t="s">
        <v>232</v>
      </c>
      <c r="B127" s="0" t="n">
        <f aca="false">((換算!$B$125+換算!$B$126)/2)/換算!$B$126</f>
        <v>0.610344827586207</v>
      </c>
      <c r="D127" s="0" t="s">
        <v>13</v>
      </c>
      <c r="E127" s="1" t="s">
        <v>233</v>
      </c>
    </row>
    <row r="128" customFormat="false" ht="17.15" hidden="false" customHeight="false" outlineLevel="0" collapsed="false">
      <c r="A128" s="1" t="s">
        <v>234</v>
      </c>
      <c r="B128" s="0" t="n">
        <f aca="false">換算!$B$123*換算!$B$127</f>
        <v>1.15965517241379</v>
      </c>
      <c r="C128" s="0" t="s">
        <v>26</v>
      </c>
      <c r="D128" s="0" t="s">
        <v>13</v>
      </c>
    </row>
    <row r="129" customFormat="false" ht="17.15" hidden="false" customHeight="false" outlineLevel="0" collapsed="false">
      <c r="A129" s="0" t="s">
        <v>235</v>
      </c>
      <c r="B129" s="2" t="n">
        <v>1000000</v>
      </c>
      <c r="C129" s="1" t="s">
        <v>58</v>
      </c>
      <c r="D129" s="3" t="s">
        <v>236</v>
      </c>
      <c r="E129" s="1" t="s">
        <v>237</v>
      </c>
    </row>
    <row r="130" customFormat="false" ht="17.15" hidden="false" customHeight="false" outlineLevel="0" collapsed="false">
      <c r="A130" s="1" t="s">
        <v>238</v>
      </c>
      <c r="B130" s="0" t="n">
        <f aca="false">換算!$B$129/換算!$B$123</f>
        <v>526315.789473684</v>
      </c>
      <c r="C130" s="1" t="s">
        <v>16</v>
      </c>
      <c r="D130" s="0" t="s">
        <v>13</v>
      </c>
      <c r="E130" s="0" t="s">
        <v>239</v>
      </c>
    </row>
    <row r="131" customFormat="false" ht="17.15" hidden="false" customHeight="false" outlineLevel="0" collapsed="false">
      <c r="A131" s="1" t="s">
        <v>240</v>
      </c>
      <c r="B131" s="2" t="n">
        <v>0.8</v>
      </c>
      <c r="D131" s="3" t="s">
        <v>37</v>
      </c>
      <c r="E131" s="1" t="s">
        <v>241</v>
      </c>
    </row>
    <row r="132" customFormat="false" ht="15" hidden="false" customHeight="false" outlineLevel="0" collapsed="false">
      <c r="A132" s="1" t="s">
        <v>242</v>
      </c>
      <c r="B132" s="0" t="n">
        <f aca="false">換算!$B$131*0.25+(1-換算!$B$131)*0.75</f>
        <v>0.35</v>
      </c>
      <c r="C132" s="1" t="s">
        <v>127</v>
      </c>
      <c r="D132" s="0" t="s">
        <v>13</v>
      </c>
    </row>
    <row r="133" customFormat="false" ht="17.15" hidden="false" customHeight="false" outlineLevel="0" collapsed="false">
      <c r="A133" s="1" t="s">
        <v>243</v>
      </c>
      <c r="B133" s="0" t="n">
        <f aca="false">換算!$B$122+(換算!$B$123-換算!$B$122)*(1-換算!$B$132)</f>
        <v>1.445</v>
      </c>
      <c r="C133" s="0" t="s">
        <v>26</v>
      </c>
      <c r="D133" s="0" t="s">
        <v>13</v>
      </c>
      <c r="E133" s="1" t="s">
        <v>244</v>
      </c>
    </row>
    <row r="135" customFormat="false" ht="17.15" hidden="false" customHeight="false" outlineLevel="0" collapsed="false">
      <c r="A135" s="6" t="s">
        <v>245</v>
      </c>
    </row>
    <row r="136" customFormat="false" ht="17.15" hidden="false" customHeight="false" outlineLevel="0" collapsed="false">
      <c r="A136" s="1" t="s">
        <v>246</v>
      </c>
      <c r="B136" s="0" t="n">
        <f aca="false">參數!$B$9/參數!$B$2</f>
        <v>2.181090701046</v>
      </c>
      <c r="C136" s="0" t="s">
        <v>26</v>
      </c>
      <c r="D136" s="0" t="s">
        <v>13</v>
      </c>
      <c r="E136" s="1" t="s">
        <v>247</v>
      </c>
    </row>
    <row r="137" customFormat="false" ht="17.15" hidden="false" customHeight="false" outlineLevel="0" collapsed="false">
      <c r="A137" s="1" t="s">
        <v>248</v>
      </c>
      <c r="B137" s="0" t="n">
        <f aca="false">換算!$B$136*參數!$C$10/1</f>
        <v>1.72306165382634</v>
      </c>
      <c r="C137" s="0" t="s">
        <v>26</v>
      </c>
      <c r="D137" s="0" t="s">
        <v>13</v>
      </c>
    </row>
    <row r="138" customFormat="false" ht="17.15" hidden="false" customHeight="false" outlineLevel="0" collapsed="false">
      <c r="A138" s="1" t="s">
        <v>249</v>
      </c>
      <c r="B138" s="0" t="n">
        <f aca="false">換算!$B$136*參數!$D$10/1</f>
        <v>2.181090701046</v>
      </c>
      <c r="C138" s="0" t="s">
        <v>26</v>
      </c>
      <c r="D138" s="0" t="s">
        <v>13</v>
      </c>
    </row>
    <row r="139" customFormat="false" ht="17.15" hidden="false" customHeight="false" outlineLevel="0" collapsed="false">
      <c r="A139" s="1" t="s">
        <v>250</v>
      </c>
      <c r="B139" s="0" t="n">
        <f aca="false">換算!$B$136*參數!$C$10/1.3</f>
        <v>1.32543204140487</v>
      </c>
      <c r="C139" s="0" t="s">
        <v>26</v>
      </c>
      <c r="D139" s="0" t="s">
        <v>13</v>
      </c>
    </row>
    <row r="140" customFormat="false" ht="17.15" hidden="false" customHeight="false" outlineLevel="0" collapsed="false">
      <c r="A140" s="1" t="s">
        <v>251</v>
      </c>
      <c r="B140" s="0" t="n">
        <f aca="false">換算!$B$136*參數!$D$10/1.3</f>
        <v>1.67776207772769</v>
      </c>
      <c r="C140" s="0" t="s">
        <v>26</v>
      </c>
      <c r="D140" s="0" t="s">
        <v>13</v>
      </c>
    </row>
    <row r="141" customFormat="false" ht="17.15" hidden="false" customHeight="false" outlineLevel="0" collapsed="false">
      <c r="A141" s="1" t="s">
        <v>252</v>
      </c>
      <c r="B141" s="0" t="n">
        <f aca="false">換算!$B$136*參數!$C$10/1.5</f>
        <v>1.14870776921756</v>
      </c>
      <c r="C141" s="0" t="s">
        <v>26</v>
      </c>
      <c r="D141" s="0" t="s">
        <v>13</v>
      </c>
    </row>
    <row r="142" customFormat="false" ht="17.15" hidden="false" customHeight="false" outlineLevel="0" collapsed="false">
      <c r="A142" s="1" t="s">
        <v>253</v>
      </c>
      <c r="B142" s="0" t="n">
        <f aca="false">換算!$B$136*參數!$D$10/1.5</f>
        <v>1.454060467364</v>
      </c>
      <c r="C142" s="0" t="s">
        <v>26</v>
      </c>
      <c r="D142" s="0" t="s">
        <v>13</v>
      </c>
    </row>
    <row r="143" customFormat="false" ht="17.15" hidden="false" customHeight="false" outlineLevel="0" collapsed="false">
      <c r="A143" s="1" t="s">
        <v>254</v>
      </c>
      <c r="B143" s="0" t="n">
        <f aca="false">換算!$B$136*參數!$C$10/1.8</f>
        <v>0.957256474347965</v>
      </c>
      <c r="C143" s="0" t="s">
        <v>26</v>
      </c>
      <c r="D143" s="0" t="s">
        <v>13</v>
      </c>
    </row>
    <row r="144" customFormat="false" ht="17.15" hidden="false" customHeight="false" outlineLevel="0" collapsed="false">
      <c r="A144" s="1" t="s">
        <v>255</v>
      </c>
      <c r="B144" s="0" t="n">
        <f aca="false">換算!$B$136*參數!$D$10/1.8</f>
        <v>1.21171705613666</v>
      </c>
      <c r="C144" s="0" t="s">
        <v>26</v>
      </c>
      <c r="D144" s="0" t="s">
        <v>13</v>
      </c>
    </row>
    <row r="145" customFormat="false" ht="17.15" hidden="false" customHeight="false" outlineLevel="0" collapsed="false">
      <c r="A145" s="1" t="s">
        <v>256</v>
      </c>
      <c r="B145" s="0" t="n">
        <f aca="false">換算!$B$136*參數!$C$10/2.3</f>
        <v>0.74915724079406</v>
      </c>
      <c r="C145" s="0" t="s">
        <v>26</v>
      </c>
      <c r="D145" s="0" t="s">
        <v>13</v>
      </c>
    </row>
    <row r="146" customFormat="false" ht="17.15" hidden="false" customHeight="false" outlineLevel="0" collapsed="false">
      <c r="A146" s="1" t="s">
        <v>257</v>
      </c>
      <c r="B146" s="0" t="n">
        <f aca="false">換算!$B$136*參數!$D$10/2.3</f>
        <v>0.948300304802607</v>
      </c>
      <c r="C146" s="0" t="s">
        <v>26</v>
      </c>
      <c r="D146" s="0" t="s">
        <v>13</v>
      </c>
    </row>
    <row r="147" customFormat="false" ht="17.15" hidden="false" customHeight="false" outlineLevel="0" collapsed="false">
      <c r="A147" s="1" t="s">
        <v>258</v>
      </c>
      <c r="B147" s="0" t="n">
        <f aca="false">換算!$B$136*參數!$D$10/換算!$B$133</f>
        <v>1.5094053294436</v>
      </c>
      <c r="C147" s="0" t="s">
        <v>12</v>
      </c>
      <c r="D147" s="0" t="s">
        <v>13</v>
      </c>
    </row>
    <row r="148" customFormat="false" ht="17.15" hidden="false" customHeight="false" outlineLevel="0" collapsed="false">
      <c r="A148" s="1" t="s">
        <v>259</v>
      </c>
      <c r="B148" s="0" t="n">
        <f aca="false">換算!$B$136*參數!$C$10/換算!$B$133</f>
        <v>1.19243021026044</v>
      </c>
      <c r="C148" s="0" t="s">
        <v>12</v>
      </c>
      <c r="D148" s="0" t="s">
        <v>13</v>
      </c>
    </row>
    <row r="149" customFormat="false" ht="17.15" hidden="false" customHeight="false" outlineLevel="0" collapsed="false">
      <c r="A149" s="1" t="s">
        <v>260</v>
      </c>
      <c r="B149" s="0" t="n">
        <f aca="false">換算!$B$136*參數!$D$10/換算!$B$124</f>
        <v>1.7448725608368</v>
      </c>
      <c r="C149" s="0" t="s">
        <v>12</v>
      </c>
      <c r="D149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9" min="8" style="0" width="30"/>
    <col collapsed="false" customWidth="true" hidden="false" outlineLevel="0" max="11" min="10" style="0" width="12"/>
    <col collapsed="false" customWidth="true" hidden="false" outlineLevel="0" max="13" min="12" style="0" width="10"/>
    <col collapsed="false" customWidth="true" hidden="false" outlineLevel="0" max="14" min="14" style="0" width="34"/>
    <col collapsed="false" customWidth="true" hidden="false" outlineLevel="0" max="15" min="15" style="0" width="50"/>
  </cols>
  <sheetData>
    <row r="1" customFormat="false" ht="32.8" hidden="false" customHeight="false" outlineLevel="0" collapsed="false">
      <c r="A1" s="7" t="s">
        <v>261</v>
      </c>
      <c r="B1" s="7" t="s">
        <v>262</v>
      </c>
      <c r="C1" s="7" t="s">
        <v>263</v>
      </c>
      <c r="D1" s="7" t="s">
        <v>264</v>
      </c>
      <c r="E1" s="7" t="s">
        <v>265</v>
      </c>
      <c r="F1" s="7" t="s">
        <v>266</v>
      </c>
      <c r="G1" s="7" t="s">
        <v>267</v>
      </c>
      <c r="H1" s="7" t="s">
        <v>268</v>
      </c>
      <c r="I1" s="7" t="s">
        <v>269</v>
      </c>
      <c r="J1" s="7" t="s">
        <v>270</v>
      </c>
      <c r="K1" s="8" t="s">
        <v>271</v>
      </c>
      <c r="L1" s="7" t="s">
        <v>272</v>
      </c>
      <c r="M1" s="7" t="s">
        <v>273</v>
      </c>
      <c r="N1" s="7" t="s">
        <v>5</v>
      </c>
      <c r="O1" s="7" t="s">
        <v>274</v>
      </c>
    </row>
    <row r="2" customFormat="false" ht="73.1" hidden="false" customHeight="false" outlineLevel="0" collapsed="false">
      <c r="A2" s="9" t="s">
        <v>275</v>
      </c>
      <c r="B2" s="9" t="s">
        <v>276</v>
      </c>
      <c r="C2" s="9" t="s">
        <v>277</v>
      </c>
      <c r="D2" s="9" t="s">
        <v>278</v>
      </c>
      <c r="E2" s="9" t="s">
        <v>279</v>
      </c>
      <c r="F2" s="9" t="s">
        <v>280</v>
      </c>
      <c r="G2" s="9" t="s">
        <v>281</v>
      </c>
      <c r="H2" s="9" t="s">
        <v>282</v>
      </c>
      <c r="I2" s="9" t="s">
        <v>283</v>
      </c>
      <c r="J2" s="10" t="n">
        <f aca="false">換算!$B$14</f>
        <v>12.2451612903226</v>
      </c>
      <c r="K2" s="10" t="n">
        <f aca="false">換算!$B$15</f>
        <v>1.30920624623191</v>
      </c>
      <c r="L2" s="10" t="n">
        <f aca="false">換算!$B$16</f>
        <v>1.10687437181425</v>
      </c>
      <c r="M2" s="10" t="n">
        <f aca="false">換算!$B$17</f>
        <v>1.5219522612446</v>
      </c>
      <c r="N2" s="9" t="s">
        <v>284</v>
      </c>
      <c r="O2" s="11" t="s">
        <v>285</v>
      </c>
    </row>
    <row r="3" customFormat="false" ht="32.8" hidden="false" customHeight="false" outlineLevel="0" collapsed="false">
      <c r="A3" s="9" t="s">
        <v>286</v>
      </c>
      <c r="B3" s="9" t="s">
        <v>276</v>
      </c>
      <c r="C3" s="11" t="s">
        <v>287</v>
      </c>
      <c r="D3" s="11" t="s">
        <v>288</v>
      </c>
      <c r="E3" s="9" t="s">
        <v>289</v>
      </c>
      <c r="F3" s="11" t="s">
        <v>290</v>
      </c>
      <c r="G3" s="9" t="s">
        <v>291</v>
      </c>
      <c r="H3" s="11" t="s">
        <v>292</v>
      </c>
      <c r="I3" s="11" t="s">
        <v>293</v>
      </c>
      <c r="J3" s="10"/>
      <c r="K3" s="10" t="n">
        <f aca="false">換算!$B$30</f>
        <v>3.4145649178349</v>
      </c>
      <c r="L3" s="10"/>
      <c r="M3" s="10"/>
      <c r="N3" s="9" t="s">
        <v>294</v>
      </c>
      <c r="O3" s="11" t="s">
        <v>295</v>
      </c>
    </row>
    <row r="4" customFormat="false" ht="57.45" hidden="false" customHeight="false" outlineLevel="0" collapsed="false">
      <c r="A4" s="9" t="s">
        <v>296</v>
      </c>
      <c r="B4" s="9" t="s">
        <v>297</v>
      </c>
      <c r="C4" s="9" t="s">
        <v>298</v>
      </c>
      <c r="D4" s="9" t="s">
        <v>299</v>
      </c>
      <c r="E4" s="9" t="s">
        <v>300</v>
      </c>
      <c r="F4" s="9" t="s">
        <v>301</v>
      </c>
      <c r="G4" s="9" t="s">
        <v>302</v>
      </c>
      <c r="H4" s="9" t="s">
        <v>303</v>
      </c>
      <c r="I4" s="11" t="s">
        <v>304</v>
      </c>
      <c r="J4" s="10" t="n">
        <f aca="false">換算!$B$35/換算!$B$37</f>
        <v>12.0571428571429</v>
      </c>
      <c r="K4" s="10" t="n">
        <f aca="false">換算!$B$40</f>
        <v>1.28910402778909</v>
      </c>
      <c r="L4" s="10" t="n">
        <f aca="false">換算!$B$41</f>
        <v>0.902372819452363</v>
      </c>
      <c r="M4" s="10" t="n">
        <f aca="false">換算!$B$39</f>
        <v>2.25593204863091</v>
      </c>
      <c r="N4" s="9" t="s">
        <v>305</v>
      </c>
      <c r="O4" s="11" t="s">
        <v>306</v>
      </c>
    </row>
    <row r="5" customFormat="false" ht="44" hidden="false" customHeight="false" outlineLevel="0" collapsed="false">
      <c r="A5" s="9" t="s">
        <v>307</v>
      </c>
      <c r="B5" s="9" t="s">
        <v>308</v>
      </c>
      <c r="C5" s="9" t="s">
        <v>309</v>
      </c>
      <c r="D5" s="9" t="s">
        <v>310</v>
      </c>
      <c r="E5" s="9" t="s">
        <v>311</v>
      </c>
      <c r="F5" s="9" t="s">
        <v>312</v>
      </c>
      <c r="G5" s="9" t="s">
        <v>313</v>
      </c>
      <c r="H5" s="11" t="s">
        <v>314</v>
      </c>
      <c r="I5" s="11" t="s">
        <v>315</v>
      </c>
      <c r="J5" s="10"/>
      <c r="K5" s="10"/>
      <c r="L5" s="10"/>
      <c r="M5" s="10"/>
      <c r="N5" s="9" t="s">
        <v>316</v>
      </c>
      <c r="O5" s="11" t="s">
        <v>317</v>
      </c>
    </row>
    <row r="6" customFormat="false" ht="59.7" hidden="false" customHeight="false" outlineLevel="0" collapsed="false">
      <c r="A6" s="9" t="s">
        <v>318</v>
      </c>
      <c r="B6" s="9" t="s">
        <v>319</v>
      </c>
      <c r="C6" s="9" t="s">
        <v>320</v>
      </c>
      <c r="D6" s="9" t="s">
        <v>321</v>
      </c>
      <c r="E6" s="9" t="s">
        <v>322</v>
      </c>
      <c r="F6" s="9" t="s">
        <v>323</v>
      </c>
      <c r="G6" s="9" t="s">
        <v>324</v>
      </c>
      <c r="H6" s="9" t="s">
        <v>325</v>
      </c>
      <c r="I6" s="9" t="s">
        <v>326</v>
      </c>
      <c r="J6" s="10" t="n">
        <f aca="false">換算!$B$52</f>
        <v>13.3333333333333</v>
      </c>
      <c r="K6" s="10" t="n">
        <f aca="false">換算!$B$58</f>
        <v>2.13832421671176</v>
      </c>
      <c r="L6" s="10" t="n">
        <f aca="false">換算!$B$57</f>
        <v>1.42554947780784</v>
      </c>
      <c r="M6" s="10" t="n">
        <f aca="false">換算!$B$59</f>
        <v>3.08869053525032</v>
      </c>
      <c r="N6" s="9" t="s">
        <v>327</v>
      </c>
      <c r="O6" s="11" t="s">
        <v>328</v>
      </c>
    </row>
    <row r="7" customFormat="false" ht="73.1" hidden="false" customHeight="false" outlineLevel="0" collapsed="false">
      <c r="A7" s="9" t="s">
        <v>329</v>
      </c>
      <c r="B7" s="9" t="s">
        <v>330</v>
      </c>
      <c r="C7" s="11" t="s">
        <v>331</v>
      </c>
      <c r="D7" s="9" t="s">
        <v>332</v>
      </c>
      <c r="E7" s="9" t="s">
        <v>333</v>
      </c>
      <c r="F7" s="9" t="s">
        <v>334</v>
      </c>
      <c r="G7" s="9" t="s">
        <v>335</v>
      </c>
      <c r="H7" s="11" t="s">
        <v>336</v>
      </c>
      <c r="I7" s="9" t="s">
        <v>337</v>
      </c>
      <c r="J7" s="10"/>
      <c r="K7" s="10" t="n">
        <f aca="false">換算!$B$65</f>
        <v>1.19047619047619</v>
      </c>
      <c r="L7" s="10" t="n">
        <f aca="false">換算!$B$65</f>
        <v>1.19047619047619</v>
      </c>
      <c r="M7" s="10" t="n">
        <f aca="false">換算!$B$67</f>
        <v>1.66666666666667</v>
      </c>
      <c r="N7" s="9" t="s">
        <v>338</v>
      </c>
      <c r="O7" s="11" t="s">
        <v>339</v>
      </c>
    </row>
    <row r="8" customFormat="false" ht="59.7" hidden="false" customHeight="false" outlineLevel="0" collapsed="false">
      <c r="A8" s="9" t="s">
        <v>340</v>
      </c>
      <c r="B8" s="9" t="s">
        <v>341</v>
      </c>
      <c r="C8" s="9" t="s">
        <v>342</v>
      </c>
      <c r="D8" s="9" t="s">
        <v>343</v>
      </c>
      <c r="E8" s="9" t="s">
        <v>344</v>
      </c>
      <c r="F8" s="9" t="s">
        <v>345</v>
      </c>
      <c r="G8" s="9" t="s">
        <v>346</v>
      </c>
      <c r="H8" s="11" t="s">
        <v>347</v>
      </c>
      <c r="I8" s="11" t="s">
        <v>348</v>
      </c>
      <c r="J8" s="10" t="n">
        <f aca="false">換算!$B$76</f>
        <v>8.73333333333333</v>
      </c>
      <c r="K8" s="10" t="n">
        <f aca="false">換算!$B$79</f>
        <v>1.00484131591719</v>
      </c>
      <c r="L8" s="10" t="n">
        <f aca="false">換算!$B$78</f>
        <v>0.933734907964136</v>
      </c>
      <c r="M8" s="10" t="n">
        <f aca="false">換算!$B$77</f>
        <v>1.10143870030625</v>
      </c>
      <c r="N8" s="9" t="s">
        <v>349</v>
      </c>
      <c r="O8" s="11" t="s">
        <v>350</v>
      </c>
    </row>
    <row r="9" customFormat="false" ht="44" hidden="false" customHeight="false" outlineLevel="0" collapsed="false">
      <c r="A9" s="9" t="s">
        <v>351</v>
      </c>
      <c r="B9" s="9" t="s">
        <v>352</v>
      </c>
      <c r="C9" s="9" t="s">
        <v>353</v>
      </c>
      <c r="D9" s="9" t="s">
        <v>354</v>
      </c>
      <c r="E9" s="9" t="s">
        <v>355</v>
      </c>
      <c r="F9" s="9" t="s">
        <v>356</v>
      </c>
      <c r="G9" s="9" t="s">
        <v>357</v>
      </c>
      <c r="H9" s="9" t="s">
        <v>358</v>
      </c>
      <c r="I9" s="9" t="s">
        <v>359</v>
      </c>
      <c r="J9" s="10" t="n">
        <f aca="false">換算!$B$85</f>
        <v>9.7</v>
      </c>
      <c r="K9" s="10" t="n">
        <f aca="false">換算!$B$86</f>
        <v>1.0370872451052</v>
      </c>
      <c r="L9" s="10" t="n">
        <f aca="false">換算!$B$86</f>
        <v>1.0370872451052</v>
      </c>
      <c r="M9" s="10"/>
      <c r="N9" s="9" t="s">
        <v>360</v>
      </c>
      <c r="O9" s="11" t="s">
        <v>361</v>
      </c>
    </row>
    <row r="10" customFormat="false" ht="88.8" hidden="false" customHeight="false" outlineLevel="0" collapsed="false">
      <c r="A10" s="9" t="s">
        <v>362</v>
      </c>
      <c r="B10" s="9" t="s">
        <v>363</v>
      </c>
      <c r="C10" s="9" t="s">
        <v>364</v>
      </c>
      <c r="D10" s="9" t="s">
        <v>365</v>
      </c>
      <c r="E10" s="9" t="s">
        <v>366</v>
      </c>
      <c r="F10" s="9" t="s">
        <v>367</v>
      </c>
      <c r="G10" s="9" t="s">
        <v>368</v>
      </c>
      <c r="H10" s="11" t="s">
        <v>369</v>
      </c>
      <c r="I10" s="11" t="s">
        <v>370</v>
      </c>
      <c r="J10" s="10" t="n">
        <f aca="false">換算!$B$98</f>
        <v>34.4068496256</v>
      </c>
      <c r="K10" s="10" t="n">
        <f aca="false">換算!$B$99</f>
        <v>3.67864998875902</v>
      </c>
      <c r="L10" s="10" t="n">
        <f aca="false">換算!$B$102</f>
        <v>1.52740472967909</v>
      </c>
      <c r="M10" s="10" t="n">
        <f aca="false">換算!$B$105</f>
        <v>12.7074179185438</v>
      </c>
      <c r="N10" s="9" t="s">
        <v>371</v>
      </c>
      <c r="O10" s="11" t="s">
        <v>372</v>
      </c>
    </row>
    <row r="11" customFormat="false" ht="55.2" hidden="false" customHeight="false" outlineLevel="0" collapsed="false">
      <c r="A11" s="9" t="s">
        <v>373</v>
      </c>
      <c r="B11" s="9" t="s">
        <v>374</v>
      </c>
      <c r="C11" s="9" t="s">
        <v>375</v>
      </c>
      <c r="D11" s="9" t="s">
        <v>376</v>
      </c>
      <c r="E11" s="9" t="s">
        <v>355</v>
      </c>
      <c r="F11" s="9" t="s">
        <v>377</v>
      </c>
      <c r="G11" s="9" t="s">
        <v>378</v>
      </c>
      <c r="H11" s="11" t="s">
        <v>379</v>
      </c>
      <c r="I11" s="9" t="s">
        <v>380</v>
      </c>
      <c r="J11" s="10"/>
      <c r="K11" s="10" t="n">
        <f aca="false">換算!$B$118</f>
        <v>0.728068237351768</v>
      </c>
      <c r="L11" s="10" t="n">
        <f aca="false">換算!$B$119</f>
        <v>0.485378824901179</v>
      </c>
      <c r="M11" s="10" t="n">
        <f aca="false">換算!$B$117</f>
        <v>1.45613647470354</v>
      </c>
      <c r="N11" s="9" t="s">
        <v>381</v>
      </c>
      <c r="O11" s="11" t="s">
        <v>382</v>
      </c>
    </row>
    <row r="12" customFormat="false" ht="46.25" hidden="false" customHeight="false" outlineLevel="0" collapsed="false">
      <c r="A12" s="9" t="s">
        <v>383</v>
      </c>
      <c r="B12" s="9" t="s">
        <v>384</v>
      </c>
      <c r="C12" s="9" t="s">
        <v>385</v>
      </c>
      <c r="D12" s="9" t="s">
        <v>386</v>
      </c>
      <c r="E12" s="9" t="s">
        <v>387</v>
      </c>
      <c r="F12" s="9" t="s">
        <v>388</v>
      </c>
      <c r="G12" s="11" t="s">
        <v>389</v>
      </c>
      <c r="H12" s="11" t="s">
        <v>390</v>
      </c>
      <c r="I12" s="11" t="s">
        <v>391</v>
      </c>
      <c r="J12" s="10"/>
      <c r="K12" s="10"/>
      <c r="L12" s="10"/>
      <c r="M12" s="10"/>
      <c r="N12" s="9" t="s">
        <v>392</v>
      </c>
      <c r="O12" s="11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5" t="s">
        <v>261</v>
      </c>
      <c r="B1" s="5" t="s">
        <v>394</v>
      </c>
      <c r="C1" s="5" t="s">
        <v>263</v>
      </c>
      <c r="D1" s="5" t="s">
        <v>395</v>
      </c>
      <c r="E1" s="5" t="s">
        <v>396</v>
      </c>
    </row>
    <row r="2" customFormat="false" ht="32.8" hidden="false" customHeight="false" outlineLevel="0" collapsed="false">
      <c r="A2" s="9" t="s">
        <v>397</v>
      </c>
      <c r="B2" s="11" t="s">
        <v>398</v>
      </c>
      <c r="C2" s="9" t="s">
        <v>399</v>
      </c>
      <c r="D2" s="9" t="s">
        <v>400</v>
      </c>
      <c r="E2" s="11" t="s">
        <v>401</v>
      </c>
    </row>
    <row r="3" customFormat="false" ht="32.8" hidden="false" customHeight="false" outlineLevel="0" collapsed="false">
      <c r="A3" s="9" t="s">
        <v>402</v>
      </c>
      <c r="B3" s="11" t="s">
        <v>398</v>
      </c>
      <c r="C3" s="9" t="s">
        <v>403</v>
      </c>
      <c r="D3" s="9" t="s">
        <v>404</v>
      </c>
      <c r="E3" s="11" t="s">
        <v>405</v>
      </c>
    </row>
    <row r="4" customFormat="false" ht="32.8" hidden="false" customHeight="false" outlineLevel="0" collapsed="false">
      <c r="A4" s="9" t="s">
        <v>406</v>
      </c>
      <c r="B4" s="11" t="s">
        <v>398</v>
      </c>
      <c r="C4" s="9" t="s">
        <v>407</v>
      </c>
      <c r="D4" s="9" t="s">
        <v>408</v>
      </c>
      <c r="E4" s="11" t="s">
        <v>409</v>
      </c>
    </row>
    <row r="5" customFormat="false" ht="32.8" hidden="false" customHeight="false" outlineLevel="0" collapsed="false">
      <c r="A5" s="9" t="s">
        <v>410</v>
      </c>
      <c r="B5" s="11" t="s">
        <v>398</v>
      </c>
      <c r="C5" s="9" t="s">
        <v>411</v>
      </c>
      <c r="D5" s="9" t="s">
        <v>412</v>
      </c>
      <c r="E5" s="11" t="s">
        <v>413</v>
      </c>
    </row>
    <row r="6" customFormat="false" ht="17.15" hidden="false" customHeight="false" outlineLevel="0" collapsed="false">
      <c r="A6" s="9" t="s">
        <v>414</v>
      </c>
      <c r="B6" s="11" t="s">
        <v>398</v>
      </c>
      <c r="C6" s="9" t="s">
        <v>415</v>
      </c>
      <c r="D6" s="9" t="s">
        <v>416</v>
      </c>
      <c r="E6" s="11" t="s">
        <v>417</v>
      </c>
    </row>
    <row r="7" customFormat="false" ht="17.15" hidden="false" customHeight="false" outlineLevel="0" collapsed="false">
      <c r="A7" s="9" t="s">
        <v>418</v>
      </c>
      <c r="B7" s="11" t="s">
        <v>398</v>
      </c>
      <c r="C7" s="9" t="s">
        <v>419</v>
      </c>
      <c r="D7" s="9" t="s">
        <v>420</v>
      </c>
      <c r="E7" s="9" t="s">
        <v>421</v>
      </c>
    </row>
    <row r="8" customFormat="false" ht="17.15" hidden="false" customHeight="false" outlineLevel="0" collapsed="false">
      <c r="A8" s="9" t="s">
        <v>422</v>
      </c>
      <c r="B8" s="11" t="s">
        <v>398</v>
      </c>
      <c r="C8" s="9" t="s">
        <v>423</v>
      </c>
      <c r="D8" s="9" t="s">
        <v>424</v>
      </c>
      <c r="E8" s="11" t="s">
        <v>425</v>
      </c>
    </row>
    <row r="9" customFormat="false" ht="32.8" hidden="false" customHeight="false" outlineLevel="0" collapsed="false">
      <c r="A9" s="9" t="s">
        <v>426</v>
      </c>
      <c r="B9" s="11" t="s">
        <v>398</v>
      </c>
      <c r="C9" s="9" t="s">
        <v>427</v>
      </c>
      <c r="D9" s="9" t="s">
        <v>428</v>
      </c>
      <c r="E9" s="11" t="s">
        <v>429</v>
      </c>
    </row>
    <row r="10" customFormat="false" ht="17.15" hidden="false" customHeight="false" outlineLevel="0" collapsed="false">
      <c r="A10" s="9" t="s">
        <v>430</v>
      </c>
      <c r="B10" s="11" t="s">
        <v>431</v>
      </c>
      <c r="C10" s="11" t="s">
        <v>432</v>
      </c>
      <c r="D10" s="9" t="s">
        <v>433</v>
      </c>
      <c r="E10" s="11" t="s">
        <v>434</v>
      </c>
    </row>
    <row r="11" customFormat="false" ht="17.15" hidden="false" customHeight="false" outlineLevel="0" collapsed="false">
      <c r="A11" s="9" t="s">
        <v>435</v>
      </c>
      <c r="B11" s="11" t="s">
        <v>431</v>
      </c>
      <c r="C11" s="9" t="s">
        <v>436</v>
      </c>
      <c r="D11" s="9" t="s">
        <v>437</v>
      </c>
      <c r="E11" s="11" t="s">
        <v>438</v>
      </c>
    </row>
    <row r="12" customFormat="false" ht="17.15" hidden="false" customHeight="false" outlineLevel="0" collapsed="false">
      <c r="A12" s="9" t="s">
        <v>439</v>
      </c>
      <c r="B12" s="11" t="s">
        <v>431</v>
      </c>
      <c r="C12" s="9" t="s">
        <v>440</v>
      </c>
      <c r="D12" s="9" t="s">
        <v>441</v>
      </c>
      <c r="E12" s="11" t="s">
        <v>442</v>
      </c>
    </row>
    <row r="13" customFormat="false" ht="17.15" hidden="false" customHeight="false" outlineLevel="0" collapsed="false">
      <c r="A13" s="9" t="s">
        <v>443</v>
      </c>
      <c r="B13" s="11" t="s">
        <v>431</v>
      </c>
      <c r="C13" s="9" t="s">
        <v>444</v>
      </c>
      <c r="D13" s="9" t="s">
        <v>445</v>
      </c>
      <c r="E13" s="9" t="s">
        <v>446</v>
      </c>
    </row>
    <row r="14" customFormat="false" ht="17.15" hidden="false" customHeight="false" outlineLevel="0" collapsed="false">
      <c r="A14" s="9" t="s">
        <v>447</v>
      </c>
      <c r="B14" s="11" t="s">
        <v>431</v>
      </c>
      <c r="C14" s="9" t="s">
        <v>448</v>
      </c>
      <c r="D14" s="9" t="s">
        <v>449</v>
      </c>
      <c r="E14" s="11" t="s">
        <v>450</v>
      </c>
    </row>
    <row r="15" customFormat="false" ht="17.15" hidden="false" customHeight="false" outlineLevel="0" collapsed="false">
      <c r="A15" s="9" t="s">
        <v>451</v>
      </c>
      <c r="B15" s="11" t="s">
        <v>431</v>
      </c>
      <c r="C15" s="9" t="s">
        <v>452</v>
      </c>
      <c r="D15" s="9" t="s">
        <v>420</v>
      </c>
      <c r="E15" s="11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2026-10-24T05:26:59Z</dcterms:created>
  <dc:creator>openpyxl</dc:creator>
  <dc:description/>
  <dc:language>en-US</dc:language>
  <cp:lastModifiedBy/>
  <dcterms:modified xsi:type="dcterms:W3CDTF">2026-10-24T05:26:59Z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