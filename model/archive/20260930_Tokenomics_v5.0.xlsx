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DC_Cost" sheetId="4" state="visible" r:id="rId6"/>
    <sheet name="Sensitivity" sheetId="5" state="visible" r:id="rId7"/>
    <sheet name="Checks" sheetId="6" state="visible" r:id="rId8"/>
    <sheet name="Interface" sheetId="7" state="visible" r:id="rId9"/>
    <sheet name="Sources" sheetId="8" state="visible" r:id="rId10"/>
  </sheets>
  <definedNames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FacilityGW" vbProcedure="false">Interface!$C$8:$Q$8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PowerCost" vbProcedure="false">Interface!$C$15:$Q$15</definedName>
    <definedName function="false" hidden="false" name="IF_RacksPerGW" vbProcedure="false">Interface!$C$6:$Q$6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<sst xmlns="http://schemas.openxmlformats.org/spreadsheetml/2006/main" count="701" uniqueCount="390">
  <si>
    <r>
      <rPr>
        <b val="true"/>
        <sz val="13"/>
        <rFont val="Arial"/>
        <family val="0"/>
        <charset val="1"/>
      </rPr>
      <t xml:space="preserve">Tokenomics v5.0 — Block 1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資本支出與持有成本</t>
    </r>
  </si>
  <si>
    <r>
      <rPr>
        <i val="true"/>
        <sz val="10"/>
        <color rgb="FF808080"/>
        <rFont val="Noto Sans CJK SC"/>
        <family val="2"/>
      </rPr>
      <t xml:space="preserve">第 </t>
    </r>
    <r>
      <rPr>
        <i val="true"/>
        <sz val="10"/>
        <color rgb="FF808080"/>
        <rFont val="Arial"/>
        <family val="0"/>
        <charset val="1"/>
      </rPr>
      <t xml:space="preserve">0 </t>
    </r>
    <r>
      <rPr>
        <i val="true"/>
        <sz val="10"/>
        <color rgb="FF808080"/>
        <rFont val="Noto Sans CJK SC"/>
        <family val="2"/>
      </rPr>
      <t xml:space="preserve">層規格來源。本版只含 </t>
    </r>
    <r>
      <rPr>
        <i val="true"/>
        <sz val="10"/>
        <color rgb="FF808080"/>
        <rFont val="Arial"/>
        <family val="0"/>
        <charset val="1"/>
      </rPr>
      <t xml:space="preserve">Block 1</t>
    </r>
    <r>
      <rPr>
        <i val="true"/>
        <sz val="10"/>
        <color rgb="FF808080"/>
        <rFont val="Noto Sans CJK SC"/>
        <family val="2"/>
      </rPr>
      <t xml:space="preserve">（供給面）；推論產出（</t>
    </r>
    <r>
      <rPr>
        <i val="true"/>
        <sz val="10"/>
        <color rgb="FF808080"/>
        <rFont val="Arial"/>
        <family val="0"/>
        <charset val="1"/>
      </rPr>
      <t xml:space="preserve">Block 2</t>
    </r>
    <r>
      <rPr>
        <i val="true"/>
        <sz val="10"/>
        <color rgb="FF808080"/>
        <rFont val="Noto Sans CJK SC"/>
        <family val="2"/>
      </rPr>
      <t xml:space="preserve">）完成前，推論計算仍以 </t>
    </r>
    <r>
      <rPr>
        <i val="true"/>
        <sz val="10"/>
        <color rgb="FF808080"/>
        <rFont val="Arial"/>
        <family val="0"/>
        <charset val="1"/>
      </rPr>
      <t xml:space="preserve">v4 </t>
    </r>
    <r>
      <rPr>
        <i val="true"/>
        <sz val="10"/>
        <color rgb="FF808080"/>
        <rFont val="Noto Sans CJK SC"/>
        <family val="2"/>
      </rPr>
      <t xml:space="preserve">為準。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</si>
  <si>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</si>
  <si>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電力，各世代可容納多少機架、需要多少資本支出、每年持有成本多少。不含產出與營收（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起）。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</si>
  <si>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</si>
  <si>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20260930_Tokenomics_v5.0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 </t>
    </r>
    <r>
      <rPr>
        <sz val="10"/>
        <color rgb="FF000000"/>
        <rFont val="Noto Sans CJK SC"/>
        <family val="2"/>
      </rPr>
      <t xml:space="preserve">已依決議移除；</t>
    </r>
    <r>
      <rPr>
        <sz val="10"/>
        <color rgb="FF000000"/>
        <rFont val="Arial"/>
        <family val="0"/>
        <charset val="1"/>
      </rPr>
      <t xml:space="preserve">Config/TL/WP/Revenue </t>
    </r>
    <r>
      <rPr>
        <sz val="10"/>
        <color rgb="FF000000"/>
        <rFont val="Noto Sans CJK SC"/>
        <family val="2"/>
      </rPr>
      <t xml:space="preserve">將於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重建後退場。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</si>
  <si>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</si>
  <si>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</si>
  <si>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</si>
  <si>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（全域輸入與情境）→ 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（各世代機架）→ </t>
    </r>
    <r>
      <rPr>
        <sz val="10"/>
        <color rgb="FF000000"/>
        <rFont val="Arial"/>
        <family val="0"/>
        <charset val="1"/>
      </rPr>
      <t xml:space="preserve">DC_Cost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計算，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世代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成本情境）→ 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（下游唯一連結點）；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單變數敏感度）；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（交叉檢查）；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（來源與查核狀態）。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</si>
  <si>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</si>
  <si>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低成本／基準／高成本：所有金額類輸入同時取低或高端，為『角落情境』，用來框出範圍，不代表機率。單一變數的影響看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</si>
  <si>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</si>
  <si>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（低功率／基準／高功率），決定每架配電設計功率，進而決定每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機架數。這是物理設定，不混入成本情境。</t>
    </r>
  </si>
  <si>
    <t xml:space="preserve">顏色</t>
  </si>
  <si>
    <t xml:space="preserve">藍字＝輸入；黑字＝公式；綠字＝跨頁連結；黃底＝關鍵輸出。</t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</si>
  <si>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</si>
  <si>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</si>
  <si>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</si>
  <si>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</si>
  <si>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</si>
  <si>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報價是否已含部分網路設備：若含，網路 </t>
    </r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會重複計算（見 </t>
    </r>
    <r>
      <rPr>
        <sz val="10"/>
        <color rgb="FF000000"/>
        <rFont val="Arial"/>
        <family val="0"/>
        <charset val="1"/>
      </rPr>
      <t xml:space="preserve">Sources 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Rubin Ultra </t>
    </r>
    <r>
      <rPr>
        <sz val="10"/>
        <color rgb="FF000000"/>
        <rFont val="Noto Sans CJK SC"/>
        <family val="2"/>
      </rPr>
      <t xml:space="preserve">價格為推估，不進任何基準比較。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世代於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以產出比例列加入。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平均用電比將於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以逐步能量模型做閉合檢查。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</si>
  <si>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</si>
  <si>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</si>
  <si>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</si>
  <si>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</si>
  <si>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</si>
  <si>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</si>
  <si>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</si>
  <si>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</si>
  <si>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</si>
  <si>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</si>
  <si>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</si>
  <si>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</si>
  <si>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</si>
  <si>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r>
      <rPr>
        <sz val="10"/>
        <color rgb="FF000000"/>
        <rFont val="Noto Sans CJK SC"/>
        <family val="2"/>
      </rPr>
      <t xml:space="preserve">口徑：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</t>
    </r>
  </si>
  <si>
    <r>
      <rPr>
        <sz val="10"/>
        <color rgb="FF000000"/>
        <rFont val="Noto Sans CJK SC"/>
        <family val="2"/>
      </rPr>
      <t xml:space="preserve">功率情境（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低／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高）</t>
    </r>
  </si>
  <si>
    <t xml:space="preserve">選擇</t>
  </si>
  <si>
    <r>
      <rPr>
        <sz val="10"/>
        <color rgb="FF000000"/>
        <rFont val="Noto Sans CJK SC"/>
        <family val="2"/>
      </rPr>
      <t xml:space="preserve">決定每架配電設計功率；見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9–11 </t>
    </r>
    <r>
      <rPr>
        <sz val="10"/>
        <color rgb="FF000000"/>
        <rFont val="Noto Sans CJK SC"/>
        <family val="2"/>
      </rPr>
      <t xml:space="preserve">列</t>
    </r>
  </si>
  <si>
    <t xml:space="preserve">規模與電力</t>
  </si>
  <si>
    <r>
      <rPr>
        <sz val="10"/>
        <color rgb="FF000000"/>
        <rFont val="Noto Sans CJK SC"/>
        <family val="2"/>
      </rPr>
      <t xml:space="preserve">機架外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電力占比</t>
    </r>
  </si>
  <si>
    <t xml:space="preserve">%</t>
  </si>
  <si>
    <t xml:space="preserve">Assumed</t>
  </si>
  <si>
    <r>
      <rPr>
        <sz val="10"/>
        <color rgb="FF000000"/>
        <rFont val="Noto Sans CJK SC"/>
        <family val="2"/>
      </rPr>
      <t xml:space="preserve">管理、儲存、網路機櫃等；區間 </t>
    </r>
    <r>
      <rPr>
        <sz val="10"/>
        <color rgb="FF000000"/>
        <rFont val="Arial"/>
        <family val="0"/>
        <charset val="1"/>
      </rPr>
      <t xml:space="preserve">5–12%</t>
    </r>
    <r>
      <rPr>
        <sz val="10"/>
        <color rgb="FF000000"/>
        <rFont val="Noto Sans CJK SC"/>
        <family val="2"/>
      </rPr>
      <t xml:space="preserve">（見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未計</t>
    </r>
  </si>
  <si>
    <t xml:space="preserve">PUE</t>
  </si>
  <si>
    <t xml:space="preserve">x</t>
  </si>
  <si>
    <t xml:space="preserve">Analogy</t>
  </si>
  <si>
    <r>
      <rPr>
        <sz val="10"/>
        <color rgb="FF000000"/>
        <rFont val="Noto Sans CJK SC"/>
        <family val="2"/>
      </rPr>
      <t xml:space="preserve">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設施；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S14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</si>
  <si>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</t>
    </r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</si>
  <si>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</si>
  <si>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</si>
  <si>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</si>
  <si>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</si>
  <si>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</si>
  <si>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</si>
  <si>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</si>
  <si>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</si>
  <si>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</si>
  <si>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</si>
  <si>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</si>
  <si>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r>
      <rPr>
        <b val="true"/>
        <sz val="10"/>
        <color rgb="FF000000"/>
        <rFont val="Noto Sans CJK SC"/>
        <family val="2"/>
      </rPr>
      <t xml:space="preserve">廠房（每 </t>
    </r>
    <r>
      <rPr>
        <b val="true"/>
        <sz val="10"/>
        <color rgb="FF000000"/>
        <rFont val="Arial"/>
        <family val="0"/>
        <charset val="1"/>
      </rPr>
      <t xml:space="preserve">MW IT</t>
    </r>
    <r>
      <rPr>
        <b val="true"/>
        <sz val="10"/>
        <color rgb="FF000000"/>
        <rFont val="Noto Sans CJK SC"/>
        <family val="2"/>
      </rPr>
      <t xml:space="preserve">，</t>
    </r>
    <r>
      <rPr>
        <b val="true"/>
        <sz val="10"/>
        <color rgb="FF000000"/>
        <rFont val="Arial"/>
        <family val="0"/>
        <charset val="1"/>
      </rPr>
      <t xml:space="preserve">$M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</si>
  <si>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</si>
  <si>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</si>
  <si>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</si>
  <si>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</si>
  <si>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r>
      <rPr>
        <sz val="10"/>
        <color rgb="FF000000"/>
        <rFont val="Noto Sans CJK SC"/>
        <family val="2"/>
      </rPr>
      <t xml:space="preserve">分項為假設；總額以 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校準（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</si>
  <si>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電力設施（變電、中壓、發電機、</t>
    </r>
    <r>
      <rPr>
        <sz val="10"/>
        <color rgb="FF000000"/>
        <rFont val="Arial"/>
        <family val="0"/>
        <charset val="1"/>
      </rPr>
      <t xml:space="preserve">UPS</t>
    </r>
    <r>
      <rPr>
        <sz val="10"/>
        <color rgb="FF000000"/>
        <rFont val="Noto Sans CJK SC"/>
        <family val="2"/>
      </rPr>
      <t xml:space="preserve">）</t>
    </r>
  </si>
  <si>
    <t xml:space="preserve">同上</t>
  </si>
  <si>
    <t xml:space="preserve">機械與散熱（液冷迴路、散熱設備）</t>
  </si>
  <si>
    <r>
      <rPr>
        <sz val="10"/>
        <color rgb="FF000000"/>
        <rFont val="Noto Sans CJK SC"/>
        <family val="2"/>
      </rPr>
      <t xml:space="preserve">機架內冷板與 </t>
    </r>
    <r>
      <rPr>
        <sz val="10"/>
        <color rgb="FF000000"/>
        <rFont val="Arial"/>
        <family val="0"/>
        <charset val="1"/>
      </rPr>
      <t xml:space="preserve">manifold </t>
    </r>
    <r>
      <rPr>
        <sz val="10"/>
        <color rgb="FF000000"/>
        <rFont val="Noto Sans CJK SC"/>
        <family val="2"/>
      </rPr>
      <t xml:space="preserve">含在機架價格</t>
    </r>
  </si>
  <si>
    <r>
      <rPr>
        <sz val="10"/>
        <color rgb="FF000000"/>
        <rFont val="Noto Sans CJK SC"/>
        <family val="2"/>
      </rPr>
      <t xml:space="preserve">光纖、佈線、保全、</t>
    </r>
    <r>
      <rPr>
        <sz val="10"/>
        <color rgb="FF000000"/>
        <rFont val="Arial"/>
        <family val="0"/>
        <charset val="1"/>
      </rPr>
      <t xml:space="preserve">BMS</t>
    </r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</si>
  <si>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</si>
  <si>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</si>
  <si>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</si>
  <si>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</si>
  <si>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</si>
  <si>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</si>
  <si>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</si>
  <si>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</si>
  <si>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</si>
  <si>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</si>
  <si>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</si>
  <si>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</si>
  <si>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</si>
  <si>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</si>
  <si>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r>
      <rPr>
        <sz val="10"/>
        <color rgb="FF000000"/>
        <rFont val="Noto Sans CJK SC"/>
        <family val="2"/>
      </rPr>
      <t xml:space="preserve">與擁有者無關的單一假設；下游公司模型以自身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覆寫（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決定）</t>
    </r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</si>
  <si>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</si>
  <si>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</si>
  <si>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</si>
  <si>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</si>
  <si>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</si>
  <si>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</si>
  <si>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</si>
  <si>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</si>
  <si>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</si>
  <si>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</si>
  <si>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</si>
  <si>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</si>
  <si>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</si>
  <si>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</si>
  <si>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</si>
  <si>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</si>
  <si>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</si>
  <si>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</si>
  <si>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</si>
  <si>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r>
      <rPr>
        <i val="true"/>
        <sz val="10"/>
        <color rgb="FF808080"/>
        <rFont val="Noto Sans CJK SC"/>
        <family val="2"/>
      </rPr>
      <t xml:space="preserve">價格為買方取得價（</t>
    </r>
    <r>
      <rPr>
        <i val="true"/>
        <sz val="10"/>
        <color rgb="FF808080"/>
        <rFont val="Arial"/>
        <family val="0"/>
        <charset val="1"/>
      </rPr>
      <t xml:space="preserve">CSP/hyperscaler </t>
    </r>
    <r>
      <rPr>
        <i val="true"/>
        <sz val="10"/>
        <color rgb="FF808080"/>
        <rFont val="Noto Sans CJK SC"/>
        <family val="2"/>
      </rPr>
      <t xml:space="preserve">口徑）；</t>
    </r>
    <r>
      <rPr>
        <i val="true"/>
        <sz val="10"/>
        <color rgb="FF808080"/>
        <rFont val="Arial"/>
        <family val="0"/>
        <charset val="1"/>
      </rPr>
      <t xml:space="preserve">Hopper </t>
    </r>
    <r>
      <rPr>
        <i val="true"/>
        <sz val="10"/>
        <color rgb="FF808080"/>
        <rFont val="Noto Sans CJK SC"/>
        <family val="2"/>
      </rPr>
      <t xml:space="preserve">以 </t>
    </r>
    <r>
      <rPr>
        <i val="true"/>
        <sz val="10"/>
        <color rgb="FF808080"/>
        <rFont val="Arial"/>
        <family val="0"/>
        <charset val="1"/>
      </rPr>
      <t xml:space="preserve">4 </t>
    </r>
    <r>
      <rPr>
        <i val="true"/>
        <sz val="10"/>
        <color rgb="FF808080"/>
        <rFont val="Noto Sans CJK SC"/>
        <family val="2"/>
      </rPr>
      <t xml:space="preserve">台 </t>
    </r>
    <r>
      <rPr>
        <i val="true"/>
        <sz val="10"/>
        <color rgb="FF808080"/>
        <rFont val="Arial"/>
        <family val="0"/>
        <charset val="1"/>
      </rPr>
      <t xml:space="preserve">HGX </t>
    </r>
    <r>
      <rPr>
        <i val="true"/>
        <sz val="10"/>
        <color rgb="FF808080"/>
        <rFont val="Noto Sans CJK SC"/>
        <family val="2"/>
      </rPr>
      <t xml:space="preserve">構成一架（</t>
    </r>
    <r>
      <rPr>
        <i val="true"/>
        <sz val="10"/>
        <color rgb="FF808080"/>
        <rFont val="Arial"/>
        <family val="0"/>
        <charset val="1"/>
      </rPr>
      <t xml:space="preserve">32 GPU</t>
    </r>
    <r>
      <rPr>
        <i val="true"/>
        <sz val="10"/>
        <color rgb="FF808080"/>
        <rFont val="Noto Sans CJK SC"/>
        <family val="2"/>
      </rPr>
      <t xml:space="preserve">）以便比較</t>
    </r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</si>
  <si>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</si>
  <si>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</si>
  <si>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</si>
  <si>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</si>
  <si>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</si>
  <si>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</si>
  <si>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</si>
  <si>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</si>
  <si>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</si>
  <si>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</si>
  <si>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</si>
  <si>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</si>
  <si>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</si>
  <si>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</si>
  <si>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</si>
  <si>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</si>
  <si>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</si>
  <si>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r>
      <rPr>
        <sz val="10"/>
        <color rgb="FF000000"/>
        <rFont val="Noto Sans CJK SC"/>
        <family val="2"/>
      </rPr>
      <t xml:space="preserve">配電設計功率 低（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</si>
  <si>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配電設計功率 基準（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</si>
  <si>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配電設計功率 高（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</si>
  <si>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 低（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</si>
  <si>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 基準（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</si>
  <si>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 高（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）</t>
    </r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</si>
  <si>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</si>
  <si>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</si>
  <si>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r>
      <rPr>
        <sz val="10"/>
        <color rgb="FF808080"/>
        <rFont val="Noto Sans CJK SC"/>
        <family val="2"/>
      </rPr>
      <t xml:space="preserve">運算匣＋</t>
    </r>
    <r>
      <rPr>
        <sz val="10"/>
        <color rgb="FF808080"/>
        <rFont val="Arial"/>
        <family val="0"/>
        <charset val="1"/>
      </rPr>
      <t xml:space="preserve">NVLink </t>
    </r>
    <r>
      <rPr>
        <sz val="10"/>
        <color rgb="FF808080"/>
        <rFont val="Noto Sans CJK SC"/>
        <family val="2"/>
      </rPr>
      <t xml:space="preserve">交換匣＋機架內冷卻</t>
    </r>
  </si>
  <si>
    <r>
      <rPr>
        <sz val="10"/>
        <color rgb="FF808080"/>
        <rFont val="Noto Sans CJK SC"/>
        <family val="2"/>
      </rPr>
      <t xml:space="preserve">運算匣＋交換匣＋冷卻＋約 </t>
    </r>
    <r>
      <rPr>
        <sz val="10"/>
        <color rgb="FF808080"/>
        <rFont val="Arial"/>
        <family val="0"/>
        <charset val="1"/>
      </rPr>
      <t xml:space="preserve">$1M NAND</t>
    </r>
    <r>
      <rPr>
        <sz val="10"/>
        <color rgb="FF808080"/>
        <rFont val="Noto Sans CJK SC"/>
        <family val="2"/>
      </rPr>
      <t xml:space="preserve">；是否含部分網路待查（</t>
    </r>
    <r>
      <rPr>
        <sz val="10"/>
        <color rgb="FF808080"/>
        <rFont val="Arial"/>
        <family val="0"/>
        <charset val="1"/>
      </rPr>
      <t xml:space="preserve">S11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</si>
  <si>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</si>
  <si>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</si>
  <si>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</si>
  <si>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120–130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139</t>
    </r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</si>
  <si>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</si>
  <si>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</si>
  <si>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600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</t>
    </r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</si>
  <si>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</si>
  <si>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</si>
  <si>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</si>
  <si>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</si>
  <si>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</si>
  <si>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</si>
  <si>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</si>
  <si>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i val="true"/>
        <sz val="10"/>
        <color rgb="FF808080"/>
        <rFont val="Noto Sans CJK SC"/>
        <family val="2"/>
      </rPr>
      <t xml:space="preserve">註：</t>
    </r>
    <r>
      <rPr>
        <i val="true"/>
        <sz val="10"/>
        <color rgb="FF808080"/>
        <rFont val="Arial"/>
        <family val="0"/>
        <charset val="1"/>
      </rPr>
      <t xml:space="preserve">GPU </t>
    </r>
    <r>
      <rPr>
        <i val="true"/>
        <sz val="10"/>
        <color rgb="FF808080"/>
        <rFont val="Noto Sans CJK SC"/>
        <family val="2"/>
      </rPr>
      <t xml:space="preserve">數為封裝數（</t>
    </r>
    <r>
      <rPr>
        <i val="true"/>
        <sz val="10"/>
        <color rgb="FF808080"/>
        <rFont val="Arial"/>
        <family val="0"/>
        <charset val="1"/>
      </rPr>
      <t xml:space="preserve">Rubin Ultra </t>
    </r>
    <r>
      <rPr>
        <i val="true"/>
        <sz val="10"/>
        <color rgb="FF808080"/>
        <rFont val="Noto Sans CJK SC"/>
        <family val="2"/>
      </rPr>
      <t xml:space="preserve">為 </t>
    </r>
    <r>
      <rPr>
        <i val="true"/>
        <sz val="10"/>
        <color rgb="FF808080"/>
        <rFont val="Arial"/>
        <family val="0"/>
        <charset val="1"/>
      </rPr>
      <t xml:space="preserve">144 </t>
    </r>
    <r>
      <rPr>
        <i val="true"/>
        <sz val="10"/>
        <color rgb="FF808080"/>
        <rFont val="Noto Sans CJK SC"/>
        <family val="2"/>
      </rPr>
      <t xml:space="preserve">封裝，</t>
    </r>
    <r>
      <rPr>
        <i val="true"/>
        <sz val="10"/>
        <color rgb="FF808080"/>
        <rFont val="Arial"/>
        <family val="0"/>
        <charset val="1"/>
      </rPr>
      <t xml:space="preserve">NVIDIA </t>
    </r>
    <r>
      <rPr>
        <i val="true"/>
        <sz val="10"/>
        <color rgb="FF808080"/>
        <rFont val="Noto Sans CJK SC"/>
        <family val="2"/>
      </rPr>
      <t xml:space="preserve">以 </t>
    </r>
    <r>
      <rPr>
        <i val="true"/>
        <sz val="10"/>
        <color rgb="FF808080"/>
        <rFont val="Arial"/>
        <family val="0"/>
        <charset val="1"/>
      </rPr>
      <t xml:space="preserve">576 die </t>
    </r>
    <r>
      <rPr>
        <i val="true"/>
        <sz val="10"/>
        <color rgb="FF808080"/>
        <rFont val="Noto Sans CJK SC"/>
        <family val="2"/>
      </rPr>
      <t xml:space="preserve">命名為 </t>
    </r>
    <r>
      <rPr>
        <i val="true"/>
        <sz val="10"/>
        <color rgb="FF808080"/>
        <rFont val="Arial"/>
        <family val="0"/>
        <charset val="1"/>
      </rPr>
      <t xml:space="preserve">NVL576</t>
    </r>
    <r>
      <rPr>
        <i val="true"/>
        <sz val="10"/>
        <color rgb="FF808080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</si>
  <si>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</si>
  <si>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r>
      <rPr>
        <i val="true"/>
        <sz val="10"/>
        <color rgb="FF808080"/>
        <rFont val="Noto Sans CJK SC"/>
        <family val="2"/>
      </rPr>
      <t xml:space="preserve">功率情境由 </t>
    </r>
    <r>
      <rPr>
        <i val="true"/>
        <sz val="10"/>
        <color rgb="FF808080"/>
        <rFont val="Arial"/>
        <family val="0"/>
        <charset val="1"/>
      </rPr>
      <t xml:space="preserve">Inputs!E6 </t>
    </r>
    <r>
      <rPr>
        <i val="true"/>
        <sz val="10"/>
        <color rgb="FF808080"/>
        <rFont val="Noto Sans CJK SC"/>
        <family val="2"/>
      </rPr>
      <t xml:space="preserve">控制；成本情境為角落情境（所有金額輸入同時取低或高）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</si>
  <si>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</si>
  <si>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</si>
  <si>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</si>
  <si>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r>
      <rPr>
        <sz val="10"/>
        <color rgb="FF000000"/>
        <rFont val="Noto Sans CJK SC"/>
        <family val="2"/>
      </rPr>
      <t xml:space="preserve">機架可用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</si>
  <si>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每架配電設計功率</t>
  </si>
  <si>
    <t xml:space="preserve">kW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</si>
  <si>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</si>
  <si>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架</t>
  </si>
  <si>
    <t xml:space="preserve">顆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</si>
  <si>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</si>
  <si>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設施電力（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</si>
  <si>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</si>
  <si>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</si>
  <si>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</si>
  <si>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</si>
  <si>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</si>
  <si>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</si>
  <si>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</si>
  <si>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</si>
  <si>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</si>
  <si>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</si>
  <si>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</si>
  <si>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</si>
  <si>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</si>
  <si>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</si>
  <si>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</si>
  <si>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資本支出（含廠房）</t>
    </r>
  </si>
  <si>
    <t xml:space="preserve">$K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</si>
  <si>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資本支出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</si>
  <si>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</si>
  <si>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</si>
  <si>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</si>
  <si>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</si>
  <si>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</si>
  <si>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</si>
  <si>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</si>
  <si>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</si>
  <si>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</si>
  <si>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</si>
  <si>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</si>
  <si>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</si>
  <si>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</si>
  <si>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r>
      <rPr>
        <sz val="10"/>
        <color rgb="FF000000"/>
        <rFont val="Noto Sans CJK SC"/>
        <family val="2"/>
      </rPr>
      <t xml:space="preserve">廠房資本回收（土地按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計機會成本）</t>
    </r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</si>
  <si>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</si>
  <si>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</si>
  <si>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</si>
  <si>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</si>
  <si>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</si>
  <si>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</si>
  <si>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</si>
  <si>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</si>
  <si>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</si>
  <si>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</si>
  <si>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</si>
  <si>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</si>
  <si>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r>
      <rPr>
        <i val="true"/>
        <sz val="10"/>
        <color rgb="FF808080"/>
        <rFont val="Noto Sans CJK SC"/>
        <family val="2"/>
      </rPr>
      <t xml:space="preserve">先看敏感度再看基準值：哪個輸入在合理範圍內移動，最能改變每 </t>
    </r>
    <r>
      <rPr>
        <i val="true"/>
        <sz val="10"/>
        <color rgb="FF808080"/>
        <rFont val="Arial"/>
        <family val="0"/>
        <charset val="1"/>
      </rPr>
      <t xml:space="preserve">GW </t>
    </r>
    <r>
      <rPr>
        <i val="true"/>
        <sz val="10"/>
        <color rgb="FF808080"/>
        <rFont val="Noto Sans CJK SC"/>
        <family val="2"/>
      </rPr>
      <t xml:space="preserve">資本支出與持有成本</t>
    </r>
  </si>
  <si>
    <t xml:space="preserve">情境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</si>
  <si>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</si>
  <si>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</si>
  <si>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</si>
  <si>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</si>
  <si>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r>
      <rPr>
        <b val="true"/>
        <sz val="10"/>
        <color rgb="FF000000"/>
        <rFont val="Noto Sans CJK SC"/>
        <family val="2"/>
      </rPr>
      <t xml:space="preserve">網路 </t>
    </r>
    <r>
      <rPr>
        <b val="true"/>
        <sz val="10"/>
        <color rgb="FF000000"/>
        <rFont val="Arial"/>
        <family val="0"/>
        <charset val="1"/>
      </rPr>
      <t xml:space="preserve">%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</si>
  <si>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Noto Sans CJK SC"/>
        <family val="2"/>
      </rPr>
      <t xml:space="preserve">網路 </t>
    </r>
    <r>
      <rPr>
        <b val="true"/>
        <sz val="10"/>
        <color rgb="FF000000"/>
        <rFont val="Arial"/>
        <family val="0"/>
        <charset val="1"/>
      </rPr>
      <t xml:space="preserve">%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</si>
  <si>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</si>
  <si>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</si>
  <si>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</si>
  <si>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</si>
  <si>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</si>
  <si>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</si>
  <si>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</si>
  <si>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</si>
  <si>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</si>
  <si>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</si>
  <si>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</si>
  <si>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</si>
  <si>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</si>
  <si>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</si>
  <si>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r>
      <rPr>
        <b val="true"/>
        <sz val="10"/>
        <color rgb="FF000000"/>
        <rFont val="Noto Sans CJK SC"/>
        <family val="2"/>
      </rPr>
      <t xml:space="preserve">機架外 </t>
    </r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占比（</t>
    </r>
    <r>
      <rPr>
        <b val="true"/>
        <sz val="10"/>
        <color rgb="FF000000"/>
        <rFont val="Arial"/>
        <family val="0"/>
        <charset val="1"/>
      </rPr>
      <t xml:space="preserve">5% </t>
    </r>
    <r>
      <rPr>
        <b val="true"/>
        <sz val="10"/>
        <color rgb="FF000000"/>
        <rFont val="Noto Sans CJK SC"/>
        <family val="2"/>
      </rPr>
      <t xml:space="preserve">對 </t>
    </r>
    <r>
      <rPr>
        <b val="true"/>
        <sz val="10"/>
        <color rgb="FF000000"/>
        <rFont val="Arial"/>
        <family val="0"/>
        <charset val="1"/>
      </rPr>
      <t xml:space="preserve">12%</t>
    </r>
    <r>
      <rPr>
        <b val="true"/>
        <sz val="10"/>
        <color rgb="FF000000"/>
        <rFont val="Noto Sans CJK SC"/>
        <family val="2"/>
      </rPr>
      <t xml:space="preserve">）－低</t>
    </r>
  </si>
  <si>
    <r>
      <rPr>
        <b val="true"/>
        <sz val="10"/>
        <color rgb="FF000000"/>
        <rFont val="Noto Sans CJK SC"/>
        <family val="2"/>
      </rPr>
      <t xml:space="preserve">機架外 </t>
    </r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占比（</t>
    </r>
    <r>
      <rPr>
        <b val="true"/>
        <sz val="10"/>
        <color rgb="FF000000"/>
        <rFont val="Arial"/>
        <family val="0"/>
        <charset val="1"/>
      </rPr>
      <t xml:space="preserve">5% </t>
    </r>
    <r>
      <rPr>
        <b val="true"/>
        <sz val="10"/>
        <color rgb="FF000000"/>
        <rFont val="Noto Sans CJK SC"/>
        <family val="2"/>
      </rPr>
      <t xml:space="preserve">對 </t>
    </r>
    <r>
      <rPr>
        <b val="true"/>
        <sz val="10"/>
        <color rgb="FF000000"/>
        <rFont val="Arial"/>
        <family val="0"/>
        <charset val="1"/>
      </rPr>
      <t xml:space="preserve">12%</t>
    </r>
    <r>
      <rPr>
        <b val="true"/>
        <sz val="10"/>
        <color rgb="FF000000"/>
        <rFont val="Noto Sans CJK SC"/>
        <family val="2"/>
      </rPr>
      <t xml:space="preserve">）－高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</si>
  <si>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</si>
  <si>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</si>
  <si>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</si>
  <si>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</si>
  <si>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r>
      <rPr>
        <b val="true"/>
        <sz val="10"/>
        <color rgb="FF000000"/>
        <rFont val="Noto Sans CJK SC"/>
        <family val="2"/>
      </rPr>
      <t xml:space="preserve">擺幅 </t>
    </r>
    <r>
      <rPr>
        <b val="true"/>
        <sz val="10"/>
        <color rgb="FF000000"/>
        <rFont val="Arial"/>
        <family val="0"/>
        <charset val="1"/>
      </rPr>
      <t xml:space="preserve">$B</t>
    </r>
  </si>
  <si>
    <t xml:space="preserve">經濟持有成本（變數取低）</t>
  </si>
  <si>
    <t xml:space="preserve">經濟持有成本（變數取高）</t>
  </si>
  <si>
    <r>
      <rPr>
        <b val="true"/>
        <sz val="10"/>
        <color rgb="FF000000"/>
        <rFont val="Noto Sans CJK SC"/>
        <family val="2"/>
      </rPr>
      <t xml:space="preserve">擺幅 </t>
    </r>
    <r>
      <rPr>
        <b val="true"/>
        <sz val="10"/>
        <color rgb="FF000000"/>
        <rFont val="Arial"/>
        <family val="0"/>
        <charset val="1"/>
      </rPr>
      <t xml:space="preserve">$B/</t>
    </r>
    <r>
      <rPr>
        <b val="true"/>
        <sz val="10"/>
        <color rgb="FF000000"/>
        <rFont val="Noto Sans CJK SC"/>
        <family val="2"/>
      </rPr>
      <t xml:space="preserve">年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</si>
  <si>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</si>
  <si>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</si>
  <si>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</si>
  <si>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</si>
  <si>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%</t>
    </r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</si>
  <si>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</si>
  <si>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</si>
  <si>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</si>
  <si>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</si>
  <si>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r>
      <rPr>
        <sz val="10"/>
        <color rgb="FF000000"/>
        <rFont val="Noto Sans CJK SC"/>
        <family val="2"/>
      </rPr>
      <t xml:space="preserve">機架外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5%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12%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</si>
  <si>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</si>
  <si>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項目</t>
  </si>
  <si>
    <t xml:space="preserve">本模型（基準）</t>
  </si>
  <si>
    <t xml:space="preserve">外部參照</t>
  </si>
  <si>
    <t xml:space="preserve">判讀</t>
  </si>
  <si>
    <t xml:space="preserve">來源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</si>
  <si>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</si>
  <si>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</si>
  <si>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</si>
  <si>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r>
      <rPr>
        <sz val="10"/>
        <color rgb="FF000000"/>
        <rFont val="Noto Sans CJK SC"/>
        <family val="2"/>
      </rPr>
      <t xml:space="preserve">黃仁勳 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$50–60B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；口徑未明）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</si>
  <si>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</si>
  <si>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35</t>
    </r>
  </si>
  <si>
    <r>
      <rPr>
        <sz val="10"/>
        <color rgb="FF000000"/>
        <rFont val="Noto Sans CJK SC"/>
        <family val="2"/>
      </rPr>
      <t xml:space="preserve">同上：其中約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晶片與系統</t>
    </r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</si>
  <si>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</si>
  <si>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</si>
  <si>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</si>
  <si>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2.21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</si>
  <si>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</si>
  <si>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</si>
  <si>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2.65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</si>
  <si>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</si>
  <si>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t xml:space="preserve">10.50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</si>
  <si>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</si>
  <si>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</si>
  <si>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3.57</t>
  </si>
  <si>
    <r>
      <rPr>
        <sz val="10"/>
        <color rgb="FF000000"/>
        <rFont val="Noto Sans CJK SC"/>
        <family val="2"/>
      </rPr>
      <t xml:space="preserve">第三方以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年回收推算之每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小時租金門檻（</t>
    </r>
    <r>
      <rPr>
        <sz val="10"/>
        <color rgb="FF000000"/>
        <rFont val="Arial"/>
        <family val="0"/>
        <charset val="1"/>
      </rPr>
      <t xml:space="preserve">S19</t>
    </r>
    <r>
      <rPr>
        <sz val="10"/>
        <color rgb="FF000000"/>
        <rFont val="Noto Sans CJK SC"/>
        <family val="2"/>
      </rPr>
      <t xml:space="preserve">；機型未明）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</si>
  <si>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</si>
  <si>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i val="true"/>
        <sz val="10"/>
        <color rgb="FF808080"/>
        <rFont val="Noto Sans CJK SC"/>
        <family val="2"/>
      </rPr>
      <t xml:space="preserve">每一列為一個具名範圍（</t>
    </r>
    <r>
      <rPr>
        <i val="true"/>
        <sz val="10"/>
        <color rgb="FF808080"/>
        <rFont val="Arial"/>
        <family val="0"/>
        <charset val="1"/>
      </rPr>
      <t xml:space="preserve">IF_…</t>
    </r>
    <r>
      <rPr>
        <i val="true"/>
        <sz val="10"/>
        <color rgb="FF808080"/>
        <rFont val="Noto Sans CJK SC"/>
        <family val="2"/>
      </rPr>
      <t xml:space="preserve">），欄＝世代 </t>
    </r>
    <r>
      <rPr>
        <i val="true"/>
        <sz val="10"/>
        <color rgb="FF808080"/>
        <rFont val="Arial"/>
        <family val="0"/>
        <charset val="1"/>
      </rPr>
      <t xml:space="preserve">× </t>
    </r>
    <r>
      <rPr>
        <i val="true"/>
        <sz val="10"/>
        <color rgb="FF808080"/>
        <rFont val="Noto Sans CJK SC"/>
        <family val="2"/>
      </rPr>
      <t xml:space="preserve">成本情境；</t>
    </r>
    <r>
      <rPr>
        <i val="true"/>
        <sz val="10"/>
        <color rgb="FF808080"/>
        <rFont val="Arial"/>
        <family val="0"/>
        <charset val="1"/>
      </rPr>
      <t xml:space="preserve">Block 2 </t>
    </r>
    <r>
      <rPr>
        <i val="true"/>
        <sz val="10"/>
        <color rgb="FF808080"/>
        <rFont val="Noto Sans CJK SC"/>
        <family val="2"/>
      </rPr>
      <t xml:space="preserve">起加入產出列</t>
    </r>
  </si>
  <si>
    <t xml:space="preserve">指標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</si>
  <si>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GW </t>
    </r>
    <r>
      <rPr>
        <sz val="10"/>
        <color rgb="FF000000"/>
        <rFont val="Noto Sans CJK SC"/>
        <family val="2"/>
      </rPr>
      <t xml:space="preserve">對應設施電力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</si>
  <si>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</si>
  <si>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廠房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</si>
  <si>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 — 合計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</si>
  <si>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會計口徑</t>
    </r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</si>
  <si>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</si>
  <si>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</si>
  <si>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Noto Sans CJK SC"/>
        <family val="2"/>
      </rPr>
      <t xml:space="preserve">其中：每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年電費</t>
    </r>
  </si>
  <si>
    <r>
      <rPr>
        <b val="true"/>
        <sz val="10"/>
        <color rgb="FF000000"/>
        <rFont val="Arial"/>
        <family val="0"/>
        <charset val="1"/>
      </rPr>
      <t xml:space="preserve">Block 2 </t>
    </r>
    <r>
      <rPr>
        <b val="true"/>
        <sz val="10"/>
        <color rgb="FF000000"/>
        <rFont val="Noto Sans CJK SC"/>
        <family val="2"/>
      </rPr>
      <t xml:space="preserve">起填入（保留列位）</t>
    </r>
  </si>
  <si>
    <r>
      <rPr>
        <i val="true"/>
        <sz val="10"/>
        <color rgb="FF808080"/>
        <rFont val="Noto Sans CJK SC"/>
        <family val="2"/>
      </rPr>
      <t xml:space="preserve">每架產出 </t>
    </r>
    <r>
      <rPr>
        <i val="true"/>
        <sz val="10"/>
        <color rgb="FF808080"/>
        <rFont val="Arial"/>
        <family val="0"/>
        <charset val="1"/>
      </rPr>
      <t xml:space="preserve">tok/s</t>
    </r>
    <r>
      <rPr>
        <i val="true"/>
        <sz val="10"/>
        <color rgb="FF808080"/>
        <rFont val="Noto Sans CJK SC"/>
        <family val="2"/>
      </rPr>
      <t xml:space="preserve">（世代 </t>
    </r>
    <r>
      <rPr>
        <i val="true"/>
        <sz val="10"/>
        <color rgb="FF808080"/>
        <rFont val="Arial"/>
        <family val="0"/>
        <charset val="1"/>
      </rPr>
      <t xml:space="preserve">× </t>
    </r>
    <r>
      <rPr>
        <i val="true"/>
        <sz val="10"/>
        <color rgb="FF808080"/>
        <rFont val="Noto Sans CJK SC"/>
        <family val="2"/>
      </rPr>
      <t xml:space="preserve">層級 </t>
    </r>
    <r>
      <rPr>
        <i val="true"/>
        <sz val="10"/>
        <color rgb="FF808080"/>
        <rFont val="Arial"/>
        <family val="0"/>
        <charset val="1"/>
      </rPr>
      <t xml:space="preserve">× SLO</t>
    </r>
    <r>
      <rPr>
        <i val="true"/>
        <sz val="10"/>
        <color rgb="FF808080"/>
        <rFont val="Noto Sans CJK SC"/>
        <family val="2"/>
      </rPr>
      <t xml:space="preserve">）</t>
    </r>
  </si>
  <si>
    <r>
      <rPr>
        <i val="true"/>
        <sz val="10"/>
        <color rgb="FF808080"/>
        <rFont val="Noto Sans CJK SC"/>
        <family val="2"/>
      </rPr>
      <t xml:space="preserve">待 </t>
    </r>
    <r>
      <rPr>
        <i val="true"/>
        <sz val="10"/>
        <color rgb="FF808080"/>
        <rFont val="Arial"/>
        <family val="0"/>
        <charset val="1"/>
      </rPr>
      <t xml:space="preserve">Block 2</t>
    </r>
    <r>
      <rPr>
        <i val="true"/>
        <sz val="10"/>
        <color rgb="FF808080"/>
        <rFont val="Noto Sans CJK SC"/>
        <family val="2"/>
      </rPr>
      <t xml:space="preserve">／</t>
    </r>
    <r>
      <rPr>
        <i val="true"/>
        <sz val="10"/>
        <color rgb="FF808080"/>
        <rFont val="Arial"/>
        <family val="0"/>
        <charset val="1"/>
      </rPr>
      <t xml:space="preserve">4</t>
    </r>
  </si>
  <si>
    <r>
      <rPr>
        <i val="true"/>
        <sz val="10"/>
        <color rgb="FF808080"/>
        <rFont val="Noto Sans CJK SC"/>
        <family val="2"/>
      </rPr>
      <t xml:space="preserve">每 </t>
    </r>
    <r>
      <rPr>
        <i val="true"/>
        <sz val="10"/>
        <color rgb="FF808080"/>
        <rFont val="Arial"/>
        <family val="0"/>
        <charset val="1"/>
      </rPr>
      <t xml:space="preserve">GW </t>
    </r>
    <r>
      <rPr>
        <i val="true"/>
        <sz val="10"/>
        <color rgb="FF808080"/>
        <rFont val="Noto Sans CJK SC"/>
        <family val="2"/>
      </rPr>
      <t xml:space="preserve">產出 </t>
    </r>
    <r>
      <rPr>
        <i val="true"/>
        <sz val="10"/>
        <color rgb="FF808080"/>
        <rFont val="Arial"/>
        <family val="0"/>
        <charset val="1"/>
      </rPr>
      <t xml:space="preserve">M tok/</t>
    </r>
    <r>
      <rPr>
        <i val="true"/>
        <sz val="10"/>
        <color rgb="FF808080"/>
        <rFont val="Noto Sans CJK SC"/>
        <family val="2"/>
      </rPr>
      <t xml:space="preserve">年</t>
    </r>
  </si>
  <si>
    <r>
      <rPr>
        <i val="true"/>
        <sz val="10"/>
        <color rgb="FF808080"/>
        <rFont val="Noto Sans CJK SC"/>
        <family val="2"/>
      </rPr>
      <t xml:space="preserve">每 </t>
    </r>
    <r>
      <rPr>
        <i val="true"/>
        <sz val="10"/>
        <color rgb="FF808080"/>
        <rFont val="Arial"/>
        <family val="0"/>
        <charset val="1"/>
      </rPr>
      <t xml:space="preserve">token </t>
    </r>
    <r>
      <rPr>
        <i val="true"/>
        <sz val="10"/>
        <color rgb="FF808080"/>
        <rFont val="Noto Sans CJK SC"/>
        <family val="2"/>
      </rPr>
      <t xml:space="preserve">完整成本（依層級）</t>
    </r>
  </si>
  <si>
    <r>
      <rPr>
        <i val="true"/>
        <sz val="10"/>
        <color rgb="FF808080"/>
        <rFont val="Noto Sans CJK SC"/>
        <family val="2"/>
      </rPr>
      <t xml:space="preserve">每 </t>
    </r>
    <r>
      <rPr>
        <i val="true"/>
        <sz val="10"/>
        <color rgb="FF808080"/>
        <rFont val="Arial"/>
        <family val="0"/>
        <charset val="1"/>
      </rPr>
      <t xml:space="preserve">GW </t>
    </r>
    <r>
      <rPr>
        <i val="true"/>
        <sz val="10"/>
        <color rgb="FF808080"/>
        <rFont val="Noto Sans CJK SC"/>
        <family val="2"/>
      </rPr>
      <t xml:space="preserve">理論營收</t>
    </r>
  </si>
  <si>
    <r>
      <rPr>
        <i val="true"/>
        <sz val="10"/>
        <color rgb="FF808080"/>
        <rFont val="Arial"/>
        <family val="0"/>
        <charset val="1"/>
      </rPr>
      <t xml:space="preserve">VR-eq </t>
    </r>
    <r>
      <rPr>
        <i val="true"/>
        <sz val="10"/>
        <color rgb="FF80808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</si>
  <si>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</si>
  <si>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ID</t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</si>
  <si>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</si>
  <si>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</si>
  <si>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</si>
  <si>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</si>
  <si>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</si>
  <si>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Noto Sans CJK SC"/>
        <family val="2"/>
      </rPr>
      <t xml:space="preserve">最大約 </t>
    </r>
    <r>
      <rPr>
        <sz val="10"/>
        <color rgb="FF000000"/>
        <rFont val="Arial"/>
        <family val="0"/>
        <charset val="1"/>
      </rPr>
      <t xml:space="preserve">10.2 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</si>
  <si>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</si>
  <si>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</si>
  <si>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</si>
  <si>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</si>
  <si>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</si>
  <si>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伺服器約 </t>
    </r>
    <r>
      <rPr>
        <sz val="10"/>
        <color rgb="FF000000"/>
        <rFont val="Arial"/>
        <family val="0"/>
        <charset val="1"/>
      </rPr>
      <t xml:space="preserve">$220–320K</t>
    </r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</si>
  <si>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</si>
  <si>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</si>
  <si>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</si>
  <si>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</si>
  <si>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</si>
  <si>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</si>
  <si>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</si>
  <si>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</si>
  <si>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</si>
  <si>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</si>
  <si>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</si>
  <si>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</si>
  <si>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</si>
  <si>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</si>
  <si>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</si>
  <si>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t xml:space="preserve">2026-08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</si>
  <si>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</si>
  <si>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</si>
  <si>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</si>
  <si>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</si>
  <si>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</si>
  <si>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</si>
  <si>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</si>
  <si>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</si>
  <si>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</si>
  <si>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</si>
  <si>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</si>
  <si>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</si>
  <si>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</si>
  <si>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</si>
  <si>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</si>
  <si>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</si>
  <si>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</si>
  <si>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</si>
  <si>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</si>
  <si>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</si>
  <si>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</si>
  <si>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</si>
  <si>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</si>
  <si>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</si>
  <si>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</si>
  <si>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r>
      <rPr>
        <sz val="10"/>
        <color rgb="FF000000"/>
        <rFont val="Noto Sans CJK SC"/>
        <family val="2"/>
      </rPr>
      <t xml:space="preserve">有來源稱報價中約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與網路設備有關；與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NAND </t>
    </r>
    <r>
      <rPr>
        <sz val="10"/>
        <color rgb="FF000000"/>
        <rFont val="Noto Sans CJK SC"/>
        <family val="2"/>
      </rPr>
      <t xml:space="preserve">說法可能重疊</t>
    </r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</si>
  <si>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</si>
  <si>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</si>
  <si>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</si>
  <si>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</si>
  <si>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</si>
  <si>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</si>
  <si>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</si>
  <si>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</si>
  <si>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</si>
  <si>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</si>
  <si>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</si>
  <si>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</si>
  <si>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</si>
  <si>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r>
      <rPr>
        <sz val="10"/>
        <color rgb="FF000000"/>
        <rFont val="Noto Sans CJK SC"/>
        <family val="2"/>
      </rPr>
      <t xml:space="preserve">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 </t>
    </r>
    <r>
      <rPr>
        <sz val="10"/>
        <color rgb="FF000000"/>
        <rFont val="Arial"/>
        <family val="0"/>
        <charset val="1"/>
      </rPr>
      <t xml:space="preserve">1.1–1.3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1.2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</si>
  <si>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</si>
  <si>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</si>
  <si>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</si>
  <si>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</si>
  <si>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</si>
  <si>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</si>
  <si>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</si>
  <si>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10-K </t>
    </r>
    <r>
      <rPr>
        <sz val="10"/>
        <color rgb="FF000000"/>
        <rFont val="Noto Sans CJK SC"/>
        <family val="2"/>
      </rPr>
      <t xml:space="preserve">原文核對</t>
    </r>
  </si>
  <si>
    <t xml:space="preserve">S16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</si>
  <si>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建置成本</t>
    </r>
  </si>
  <si>
    <r>
      <rPr>
        <sz val="10"/>
        <color rgb="FF000000"/>
        <rFont val="Noto Sans CJK SC"/>
        <family val="2"/>
      </rPr>
      <t xml:space="preserve">黃仁勳：每 </t>
    </r>
    <r>
      <rPr>
        <sz val="10"/>
        <color rgb="FF000000"/>
        <rFont val="Arial"/>
        <family val="0"/>
        <charset val="1"/>
      </rPr>
      <t xml:space="preserve">GW $50–60B</t>
    </r>
    <r>
      <rPr>
        <sz val="10"/>
        <color rgb="FF000000"/>
        <rFont val="Noto Sans CJK SC"/>
        <family val="2"/>
      </rPr>
      <t xml:space="preserve">，其中約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晶片與系統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</si>
  <si>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</si>
  <si>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</si>
  <si>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待查核；口徑（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／設施）未明</t>
    </r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</si>
  <si>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</si>
  <si>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</si>
  <si>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</si>
  <si>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</si>
  <si>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</si>
  <si>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</si>
  <si>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</si>
  <si>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</si>
  <si>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</si>
  <si>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</si>
  <si>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</si>
  <si>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</si>
  <si>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Derived</t>
  </si>
  <si>
    <t xml:space="preserve">capefearadvisors.substack.com</t>
  </si>
  <si>
    <t xml:space="preserve">機型未明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</si>
</sst>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"/>
    <numFmt numFmtId="170" formatCode="0"/>
    <numFmt numFmtId="171" formatCode="0.000"/>
    <numFmt numFmtId="172" formatCode="0.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10"/>
      <color rgb="FF808080"/>
      <name val="Noto Sans CJK SC"/>
      <family val="2"/>
    </font>
    <font>
      <i val="true"/>
      <sz val="10"/>
      <color rgb="FF80808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s">
        <v>5</v>
      </c>
    </row>
    <row r="6" customFormat="false" ht="15" hidden="false" customHeight="false" outlineLevel="0" collapsed="false">
      <c r="A6" s="3" t="s">
        <v>6</v>
      </c>
      <c r="B6" s="5" t="s">
        <v>7</v>
      </c>
    </row>
    <row r="7" customFormat="false" ht="29.85" hidden="false" customHeight="false" outlineLevel="0" collapsed="false">
      <c r="A7" s="3" t="s">
        <v>8</v>
      </c>
      <c r="B7" s="5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5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5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29.85" hidden="false" customHeight="false" outlineLevel="0" collapsed="false">
      <c r="A13" s="3" t="s">
        <v>20</v>
      </c>
      <c r="B13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"/>
    <col collapsed="false" customWidth="true" hidden="false" outlineLevel="0" max="6" min="4" style="0" width="11"/>
    <col collapsed="false" customWidth="true" hidden="false" outlineLevel="0" max="7" min="7" style="0" width="16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3" customFormat="false" ht="15" hidden="false" customHeight="false" outlineLevel="0" collapsed="false">
      <c r="A3" s="6" t="s">
        <v>24</v>
      </c>
      <c r="B3" s="6" t="s">
        <v>25</v>
      </c>
      <c r="C3" s="6"/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</row>
    <row r="4" customFormat="false" ht="15" hidden="false" customHeight="false" outlineLevel="0" collapsed="false">
      <c r="A4" s="7" t="s">
        <v>31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9" t="s">
        <v>32</v>
      </c>
      <c r="B5" s="10" t="s">
        <v>33</v>
      </c>
      <c r="D5" s="11" t="n">
        <f aca="false">E5</f>
        <v>1</v>
      </c>
      <c r="E5" s="12" t="n">
        <v>1</v>
      </c>
      <c r="F5" s="11" t="n">
        <f aca="false">E5</f>
        <v>1</v>
      </c>
      <c r="G5" s="10" t="s">
        <v>34</v>
      </c>
      <c r="H5" s="4" t="s">
        <v>35</v>
      </c>
    </row>
    <row r="6" customFormat="false" ht="15" hidden="false" customHeight="false" outlineLevel="0" collapsed="false">
      <c r="A6" s="13" t="s">
        <v>36</v>
      </c>
      <c r="B6" s="14" t="s">
        <v>37</v>
      </c>
      <c r="D6" s="11" t="n">
        <f aca="false">E6</f>
        <v>2</v>
      </c>
      <c r="E6" s="12" t="n">
        <v>2</v>
      </c>
      <c r="F6" s="11" t="n">
        <f aca="false">E6</f>
        <v>2</v>
      </c>
      <c r="G6" s="10" t="s">
        <v>34</v>
      </c>
      <c r="H6" s="4" t="s">
        <v>38</v>
      </c>
    </row>
    <row r="7" customFormat="false" ht="15" hidden="false" customHeight="false" outlineLevel="0" collapsed="false">
      <c r="A7" s="7" t="s">
        <v>39</v>
      </c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13" t="s">
        <v>40</v>
      </c>
      <c r="B8" s="10" t="s">
        <v>41</v>
      </c>
      <c r="D8" s="15" t="n">
        <f aca="false">E8</f>
        <v>0.08</v>
      </c>
      <c r="E8" s="16" t="n">
        <v>0.08</v>
      </c>
      <c r="F8" s="15" t="n">
        <f aca="false">E8</f>
        <v>0.08</v>
      </c>
      <c r="G8" s="10" t="s">
        <v>42</v>
      </c>
      <c r="H8" s="4" t="s">
        <v>43</v>
      </c>
    </row>
    <row r="9" customFormat="false" ht="15" hidden="false" customHeight="false" outlineLevel="0" collapsed="false">
      <c r="A9" s="9" t="s">
        <v>44</v>
      </c>
      <c r="B9" s="10" t="s">
        <v>45</v>
      </c>
      <c r="D9" s="17" t="n">
        <v>1.1</v>
      </c>
      <c r="E9" s="17" t="n">
        <v>1.2</v>
      </c>
      <c r="F9" s="17" t="n">
        <v>1.3</v>
      </c>
      <c r="G9" s="10" t="s">
        <v>46</v>
      </c>
      <c r="H9" s="4" t="s">
        <v>47</v>
      </c>
    </row>
    <row r="10" customFormat="false" ht="15" hidden="false" customHeight="false" outlineLevel="0" collapsed="false">
      <c r="A10" s="13" t="s">
        <v>48</v>
      </c>
      <c r="B10" s="10" t="s">
        <v>41</v>
      </c>
      <c r="D10" s="16" t="n">
        <v>0.7</v>
      </c>
      <c r="E10" s="16" t="n">
        <v>0.8</v>
      </c>
      <c r="F10" s="16" t="n">
        <v>0.9</v>
      </c>
      <c r="G10" s="10" t="s">
        <v>42</v>
      </c>
      <c r="H10" s="5" t="s">
        <v>49</v>
      </c>
    </row>
    <row r="11" customFormat="false" ht="15" hidden="false" customHeight="false" outlineLevel="0" collapsed="false">
      <c r="A11" s="13" t="s">
        <v>50</v>
      </c>
      <c r="B11" s="10" t="s">
        <v>51</v>
      </c>
      <c r="D11" s="17" t="n">
        <v>0.06</v>
      </c>
      <c r="E11" s="17" t="n">
        <v>0.08</v>
      </c>
      <c r="F11" s="17" t="n">
        <v>0.1</v>
      </c>
      <c r="G11" s="10" t="s">
        <v>52</v>
      </c>
      <c r="H11" s="5" t="s">
        <v>53</v>
      </c>
    </row>
    <row r="12" customFormat="false" ht="15" hidden="false" customHeight="false" outlineLevel="0" collapsed="false">
      <c r="A12" s="18" t="s">
        <v>54</v>
      </c>
      <c r="B12" s="8"/>
      <c r="C12" s="8"/>
      <c r="D12" s="8"/>
      <c r="E12" s="8"/>
      <c r="F12" s="8"/>
      <c r="G12" s="8"/>
      <c r="H12" s="8"/>
    </row>
    <row r="13" customFormat="false" ht="26.85" hidden="false" customHeight="false" outlineLevel="0" collapsed="false">
      <c r="A13" s="9" t="s">
        <v>55</v>
      </c>
      <c r="B13" s="10" t="s">
        <v>41</v>
      </c>
      <c r="D13" s="16" t="n">
        <v>0.05</v>
      </c>
      <c r="E13" s="16" t="n">
        <v>0.1</v>
      </c>
      <c r="F13" s="16" t="n">
        <v>0.15</v>
      </c>
      <c r="G13" s="10" t="s">
        <v>46</v>
      </c>
      <c r="H13" s="5" t="s">
        <v>56</v>
      </c>
    </row>
    <row r="14" customFormat="false" ht="15" hidden="false" customHeight="false" outlineLevel="0" collapsed="false">
      <c r="A14" s="13" t="s">
        <v>57</v>
      </c>
      <c r="B14" s="10" t="s">
        <v>58</v>
      </c>
      <c r="D14" s="12" t="n">
        <v>300</v>
      </c>
      <c r="E14" s="12" t="n">
        <v>500</v>
      </c>
      <c r="F14" s="12" t="n">
        <v>800</v>
      </c>
      <c r="G14" s="10" t="s">
        <v>42</v>
      </c>
      <c r="H14" s="5" t="s">
        <v>59</v>
      </c>
    </row>
    <row r="15" customFormat="false" ht="15" hidden="false" customHeight="false" outlineLevel="0" collapsed="false">
      <c r="A15" s="7" t="s">
        <v>60</v>
      </c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13" t="s">
        <v>61</v>
      </c>
      <c r="B16" s="10" t="s">
        <v>62</v>
      </c>
      <c r="D16" s="17" t="n">
        <v>0.02</v>
      </c>
      <c r="E16" s="17" t="n">
        <v>0.02</v>
      </c>
      <c r="F16" s="17" t="n">
        <v>0.02</v>
      </c>
      <c r="G16" s="10" t="s">
        <v>42</v>
      </c>
      <c r="H16" s="5" t="s">
        <v>63</v>
      </c>
    </row>
    <row r="17" customFormat="false" ht="15" hidden="false" customHeight="false" outlineLevel="0" collapsed="false">
      <c r="A17" s="13" t="s">
        <v>64</v>
      </c>
      <c r="B17" s="10" t="s">
        <v>62</v>
      </c>
      <c r="D17" s="17" t="n">
        <v>3</v>
      </c>
      <c r="E17" s="17" t="n">
        <v>3.6</v>
      </c>
      <c r="F17" s="17" t="n">
        <v>4.5</v>
      </c>
      <c r="G17" s="10" t="s">
        <v>42</v>
      </c>
      <c r="H17" s="4" t="s">
        <v>65</v>
      </c>
    </row>
    <row r="18" customFormat="false" ht="15" hidden="false" customHeight="false" outlineLevel="0" collapsed="false">
      <c r="A18" s="13" t="s">
        <v>66</v>
      </c>
      <c r="B18" s="10" t="s">
        <v>62</v>
      </c>
      <c r="D18" s="17" t="n">
        <v>3.8</v>
      </c>
      <c r="E18" s="17" t="n">
        <v>4.5</v>
      </c>
      <c r="F18" s="17" t="n">
        <v>5.5</v>
      </c>
      <c r="G18" s="10" t="s">
        <v>42</v>
      </c>
      <c r="H18" s="4" t="s">
        <v>67</v>
      </c>
    </row>
    <row r="19" customFormat="false" ht="15" hidden="false" customHeight="false" outlineLevel="0" collapsed="false">
      <c r="A19" s="13" t="s">
        <v>68</v>
      </c>
      <c r="B19" s="10" t="s">
        <v>62</v>
      </c>
      <c r="D19" s="17" t="n">
        <v>2</v>
      </c>
      <c r="E19" s="17" t="n">
        <v>2.5</v>
      </c>
      <c r="F19" s="17" t="n">
        <v>3.2</v>
      </c>
      <c r="G19" s="10" t="s">
        <v>42</v>
      </c>
      <c r="H19" s="4" t="s">
        <v>69</v>
      </c>
    </row>
    <row r="20" customFormat="false" ht="15" hidden="false" customHeight="false" outlineLevel="0" collapsed="false">
      <c r="A20" s="13" t="s">
        <v>70</v>
      </c>
      <c r="B20" s="10" t="s">
        <v>62</v>
      </c>
      <c r="D20" s="17" t="n">
        <v>0.3</v>
      </c>
      <c r="E20" s="17" t="n">
        <v>0.4</v>
      </c>
      <c r="F20" s="17" t="n">
        <v>0.5</v>
      </c>
      <c r="G20" s="10" t="s">
        <v>42</v>
      </c>
      <c r="H20" s="4" t="s">
        <v>67</v>
      </c>
    </row>
    <row r="21" customFormat="false" ht="15" hidden="false" customHeight="false" outlineLevel="0" collapsed="false">
      <c r="A21" s="13" t="s">
        <v>71</v>
      </c>
      <c r="B21" s="10" t="s">
        <v>72</v>
      </c>
      <c r="D21" s="16" t="n">
        <v>0.12</v>
      </c>
      <c r="E21" s="16" t="n">
        <v>0.15</v>
      </c>
      <c r="F21" s="16" t="n">
        <v>0.18</v>
      </c>
      <c r="G21" s="10" t="s">
        <v>42</v>
      </c>
      <c r="H21" s="5" t="s">
        <v>73</v>
      </c>
    </row>
    <row r="22" customFormat="false" ht="15" hidden="false" customHeight="false" outlineLevel="0" collapsed="false">
      <c r="A22" s="7" t="s">
        <v>74</v>
      </c>
      <c r="B22" s="8"/>
      <c r="C22" s="8"/>
      <c r="D22" s="8"/>
      <c r="E22" s="8"/>
      <c r="F22" s="8"/>
      <c r="G22" s="8"/>
      <c r="H22" s="8"/>
    </row>
    <row r="23" customFormat="false" ht="29.85" hidden="false" customHeight="false" outlineLevel="0" collapsed="false">
      <c r="A23" s="9" t="s">
        <v>75</v>
      </c>
      <c r="B23" s="14" t="s">
        <v>76</v>
      </c>
      <c r="D23" s="12" t="n">
        <v>6</v>
      </c>
      <c r="E23" s="12" t="n">
        <v>6</v>
      </c>
      <c r="F23" s="12" t="n">
        <v>4</v>
      </c>
      <c r="G23" s="10" t="s">
        <v>77</v>
      </c>
      <c r="H23" s="5" t="s">
        <v>78</v>
      </c>
    </row>
    <row r="24" customFormat="false" ht="15" hidden="false" customHeight="false" outlineLevel="0" collapsed="false">
      <c r="A24" s="13" t="s">
        <v>79</v>
      </c>
      <c r="B24" s="14" t="s">
        <v>76</v>
      </c>
      <c r="D24" s="11" t="n">
        <f aca="false">E24</f>
        <v>30</v>
      </c>
      <c r="E24" s="12" t="n">
        <v>30</v>
      </c>
      <c r="F24" s="11" t="n">
        <f aca="false">E24</f>
        <v>30</v>
      </c>
      <c r="G24" s="10" t="s">
        <v>46</v>
      </c>
      <c r="H24" s="5" t="s">
        <v>80</v>
      </c>
    </row>
    <row r="25" customFormat="false" ht="15" hidden="false" customHeight="false" outlineLevel="0" collapsed="false">
      <c r="A25" s="13" t="s">
        <v>81</v>
      </c>
      <c r="B25" s="14" t="s">
        <v>76</v>
      </c>
      <c r="D25" s="11" t="n">
        <f aca="false">E25</f>
        <v>20</v>
      </c>
      <c r="E25" s="12" t="n">
        <v>20</v>
      </c>
      <c r="F25" s="11" t="n">
        <f aca="false">E25</f>
        <v>20</v>
      </c>
      <c r="G25" s="10" t="s">
        <v>46</v>
      </c>
      <c r="H25" s="5" t="s">
        <v>80</v>
      </c>
    </row>
    <row r="26" customFormat="false" ht="15" hidden="false" customHeight="false" outlineLevel="0" collapsed="false">
      <c r="A26" s="13" t="s">
        <v>82</v>
      </c>
      <c r="B26" s="14" t="s">
        <v>76</v>
      </c>
      <c r="D26" s="11" t="n">
        <f aca="false">E26</f>
        <v>15</v>
      </c>
      <c r="E26" s="12" t="n">
        <v>15</v>
      </c>
      <c r="F26" s="11" t="n">
        <f aca="false">E26</f>
        <v>15</v>
      </c>
      <c r="G26" s="10" t="s">
        <v>46</v>
      </c>
      <c r="H26" s="5" t="s">
        <v>80</v>
      </c>
    </row>
    <row r="27" customFormat="false" ht="15" hidden="false" customHeight="false" outlineLevel="0" collapsed="false">
      <c r="A27" s="13" t="s">
        <v>83</v>
      </c>
      <c r="B27" s="14" t="s">
        <v>76</v>
      </c>
      <c r="D27" s="11" t="n">
        <f aca="false">E27</f>
        <v>10</v>
      </c>
      <c r="E27" s="12" t="n">
        <v>10</v>
      </c>
      <c r="F27" s="11" t="n">
        <f aca="false">E27</f>
        <v>10</v>
      </c>
      <c r="G27" s="10" t="s">
        <v>46</v>
      </c>
      <c r="H27" s="5" t="s">
        <v>80</v>
      </c>
    </row>
    <row r="28" customFormat="false" ht="15" hidden="false" customHeight="false" outlineLevel="0" collapsed="false">
      <c r="A28" s="9" t="s">
        <v>84</v>
      </c>
      <c r="B28" s="10" t="s">
        <v>41</v>
      </c>
      <c r="D28" s="16" t="n">
        <v>0.08</v>
      </c>
      <c r="E28" s="16" t="n">
        <v>0.1</v>
      </c>
      <c r="F28" s="16" t="n">
        <v>0.13</v>
      </c>
      <c r="G28" s="10" t="s">
        <v>42</v>
      </c>
      <c r="H28" s="4" t="s">
        <v>85</v>
      </c>
    </row>
    <row r="29" customFormat="false" ht="15" hidden="false" customHeight="false" outlineLevel="0" collapsed="false">
      <c r="A29" s="7" t="s">
        <v>86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9" t="s">
        <v>87</v>
      </c>
      <c r="B30" s="10" t="s">
        <v>88</v>
      </c>
      <c r="D30" s="16" t="n">
        <v>0.02</v>
      </c>
      <c r="E30" s="16" t="n">
        <v>0.03</v>
      </c>
      <c r="F30" s="16" t="n">
        <v>0.04</v>
      </c>
      <c r="G30" s="10" t="s">
        <v>46</v>
      </c>
      <c r="H30" s="5" t="s">
        <v>89</v>
      </c>
    </row>
    <row r="31" customFormat="false" ht="15" hidden="false" customHeight="false" outlineLevel="0" collapsed="false">
      <c r="A31" s="13" t="s">
        <v>90</v>
      </c>
      <c r="B31" s="10" t="s">
        <v>91</v>
      </c>
      <c r="D31" s="16" t="n">
        <v>0.015</v>
      </c>
      <c r="E31" s="16" t="n">
        <v>0.02</v>
      </c>
      <c r="F31" s="16" t="n">
        <v>0.025</v>
      </c>
      <c r="G31" s="10" t="s">
        <v>46</v>
      </c>
      <c r="H31" s="5" t="s">
        <v>92</v>
      </c>
    </row>
    <row r="32" customFormat="false" ht="15" hidden="false" customHeight="false" outlineLevel="0" collapsed="false">
      <c r="A32" s="13" t="s">
        <v>93</v>
      </c>
      <c r="B32" s="10" t="s">
        <v>94</v>
      </c>
      <c r="D32" s="12" t="n">
        <v>50</v>
      </c>
      <c r="E32" s="12" t="n">
        <v>75</v>
      </c>
      <c r="F32" s="12" t="n">
        <v>100</v>
      </c>
      <c r="G32" s="10" t="s">
        <v>42</v>
      </c>
      <c r="H32" s="5" t="s">
        <v>95</v>
      </c>
    </row>
    <row r="33" customFormat="false" ht="15" hidden="false" customHeight="false" outlineLevel="0" collapsed="false">
      <c r="A33" s="13" t="s">
        <v>96</v>
      </c>
      <c r="B33" s="10" t="s">
        <v>94</v>
      </c>
      <c r="D33" s="12" t="n">
        <v>150</v>
      </c>
      <c r="E33" s="12" t="n">
        <v>200</v>
      </c>
      <c r="F33" s="12" t="n">
        <v>250</v>
      </c>
      <c r="G33" s="10" t="s">
        <v>42</v>
      </c>
      <c r="H33" s="5" t="s">
        <v>97</v>
      </c>
    </row>
    <row r="34" customFormat="false" ht="15" hidden="false" customHeight="false" outlineLevel="0" collapsed="false">
      <c r="A34" s="13" t="s">
        <v>98</v>
      </c>
      <c r="B34" s="10" t="s">
        <v>99</v>
      </c>
      <c r="D34" s="17" t="n">
        <v>0.04</v>
      </c>
      <c r="E34" s="17" t="n">
        <v>0.05</v>
      </c>
      <c r="F34" s="17" t="n">
        <v>0.06</v>
      </c>
      <c r="G34" s="10" t="s">
        <v>42</v>
      </c>
      <c r="H34" s="5" t="s">
        <v>100</v>
      </c>
    </row>
    <row r="35" customFormat="false" ht="15" hidden="false" customHeight="false" outlineLevel="0" collapsed="false">
      <c r="A35" s="13" t="s">
        <v>101</v>
      </c>
      <c r="B35" s="10" t="s">
        <v>102</v>
      </c>
      <c r="D35" s="16" t="n">
        <v>0.003</v>
      </c>
      <c r="E35" s="16" t="n">
        <v>0.005</v>
      </c>
      <c r="F35" s="16" t="n">
        <v>0.008</v>
      </c>
      <c r="G35" s="10" t="s">
        <v>46</v>
      </c>
      <c r="H35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3" style="0" width="26"/>
  </cols>
  <sheetData>
    <row r="1" customFormat="false" ht="20.1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3" t="s">
        <v>106</v>
      </c>
      <c r="C4" s="18" t="s">
        <v>107</v>
      </c>
      <c r="D4" s="18" t="s">
        <v>108</v>
      </c>
      <c r="E4" s="18" t="s">
        <v>109</v>
      </c>
      <c r="F4" s="18" t="s">
        <v>110</v>
      </c>
      <c r="G4" s="18" t="s">
        <v>111</v>
      </c>
    </row>
    <row r="5" customFormat="false" ht="15" hidden="false" customHeight="false" outlineLevel="0" collapsed="false">
      <c r="A5" s="13" t="s">
        <v>112</v>
      </c>
      <c r="C5" s="5" t="s">
        <v>113</v>
      </c>
      <c r="D5" s="5" t="s">
        <v>114</v>
      </c>
      <c r="E5" s="5" t="s">
        <v>115</v>
      </c>
      <c r="F5" s="5" t="s">
        <v>116</v>
      </c>
      <c r="G5" s="5" t="s">
        <v>117</v>
      </c>
    </row>
    <row r="6" customFormat="false" ht="15" hidden="false" customHeight="false" outlineLevel="0" collapsed="false">
      <c r="A6" s="9" t="s">
        <v>118</v>
      </c>
      <c r="C6" s="12" t="n">
        <v>32</v>
      </c>
      <c r="D6" s="12" t="n">
        <v>72</v>
      </c>
      <c r="E6" s="12" t="n">
        <v>72</v>
      </c>
      <c r="F6" s="12" t="n">
        <v>72</v>
      </c>
      <c r="G6" s="12" t="n">
        <v>144</v>
      </c>
    </row>
    <row r="7" customFormat="false" ht="15" hidden="false" customHeight="false" outlineLevel="0" collapsed="false">
      <c r="A7" s="13" t="s">
        <v>119</v>
      </c>
      <c r="C7" s="4" t="s">
        <v>120</v>
      </c>
      <c r="D7" s="4" t="s">
        <v>121</v>
      </c>
      <c r="E7" s="4" t="s">
        <v>121</v>
      </c>
      <c r="F7" s="4" t="s">
        <v>122</v>
      </c>
      <c r="G7" s="4" t="s">
        <v>121</v>
      </c>
    </row>
    <row r="8" customFormat="false" ht="15" hidden="false" customHeight="false" outlineLevel="0" collapsed="false">
      <c r="A8" s="13" t="s">
        <v>123</v>
      </c>
      <c r="C8" s="12" t="n">
        <v>38</v>
      </c>
      <c r="D8" s="12" t="n">
        <v>120</v>
      </c>
      <c r="E8" s="12" t="n">
        <v>132</v>
      </c>
      <c r="F8" s="12" t="n">
        <v>190</v>
      </c>
      <c r="G8" s="12" t="n">
        <v>550</v>
      </c>
    </row>
    <row r="9" customFormat="false" ht="15" hidden="false" customHeight="false" outlineLevel="0" collapsed="false">
      <c r="A9" s="13" t="s">
        <v>124</v>
      </c>
      <c r="C9" s="12" t="n">
        <v>41</v>
      </c>
      <c r="D9" s="12" t="n">
        <v>130</v>
      </c>
      <c r="E9" s="12" t="n">
        <v>137</v>
      </c>
      <c r="F9" s="12" t="n">
        <v>227</v>
      </c>
      <c r="G9" s="12" t="n">
        <v>600</v>
      </c>
    </row>
    <row r="10" customFormat="false" ht="15" hidden="false" customHeight="false" outlineLevel="0" collapsed="false">
      <c r="A10" s="13" t="s">
        <v>125</v>
      </c>
      <c r="C10" s="12" t="n">
        <v>44</v>
      </c>
      <c r="D10" s="12" t="n">
        <v>140</v>
      </c>
      <c r="E10" s="12" t="n">
        <v>142</v>
      </c>
      <c r="F10" s="12" t="n">
        <v>230</v>
      </c>
      <c r="G10" s="12" t="n">
        <v>650</v>
      </c>
    </row>
    <row r="11" customFormat="false" ht="15" hidden="false" customHeight="false" outlineLevel="0" collapsed="false">
      <c r="A11" s="13" t="s">
        <v>126</v>
      </c>
      <c r="C11" s="19" t="n">
        <v>0.9</v>
      </c>
      <c r="D11" s="19" t="n">
        <v>2.8</v>
      </c>
      <c r="E11" s="19" t="n">
        <v>4</v>
      </c>
      <c r="F11" s="19" t="n">
        <v>6.7</v>
      </c>
      <c r="G11" s="19" t="n">
        <v>23.4</v>
      </c>
    </row>
    <row r="12" customFormat="false" ht="15" hidden="false" customHeight="false" outlineLevel="0" collapsed="false">
      <c r="A12" s="13" t="s">
        <v>127</v>
      </c>
      <c r="C12" s="19" t="n">
        <v>1.1</v>
      </c>
      <c r="D12" s="19" t="n">
        <v>3.1</v>
      </c>
      <c r="E12" s="19" t="n">
        <v>5</v>
      </c>
      <c r="F12" s="19" t="n">
        <v>7.8</v>
      </c>
      <c r="G12" s="19" t="n">
        <v>31.2</v>
      </c>
    </row>
    <row r="13" customFormat="false" ht="15" hidden="false" customHeight="false" outlineLevel="0" collapsed="false">
      <c r="A13" s="13" t="s">
        <v>128</v>
      </c>
      <c r="C13" s="19" t="n">
        <v>1.3</v>
      </c>
      <c r="D13" s="19" t="n">
        <v>3.4</v>
      </c>
      <c r="E13" s="19" t="n">
        <v>6.5</v>
      </c>
      <c r="F13" s="19" t="n">
        <v>9.1</v>
      </c>
      <c r="G13" s="19" t="n">
        <v>39</v>
      </c>
    </row>
    <row r="14" customFormat="false" ht="54" hidden="false" customHeight="true" outlineLevel="0" collapsed="false">
      <c r="A14" s="13" t="s">
        <v>129</v>
      </c>
      <c r="C14" s="20" t="s">
        <v>130</v>
      </c>
      <c r="D14" s="21" t="s">
        <v>131</v>
      </c>
      <c r="E14" s="21" t="s">
        <v>67</v>
      </c>
      <c r="F14" s="21" t="s">
        <v>132</v>
      </c>
      <c r="G14" s="20" t="s">
        <v>133</v>
      </c>
    </row>
    <row r="15" customFormat="false" ht="54" hidden="false" customHeight="true" outlineLevel="0" collapsed="false">
      <c r="A15" s="13" t="s">
        <v>134</v>
      </c>
      <c r="C15" s="20" t="s">
        <v>135</v>
      </c>
      <c r="D15" s="21" t="s">
        <v>136</v>
      </c>
      <c r="E15" s="20" t="s">
        <v>137</v>
      </c>
      <c r="F15" s="20" t="s">
        <v>138</v>
      </c>
      <c r="G15" s="21" t="s">
        <v>139</v>
      </c>
    </row>
    <row r="16" customFormat="false" ht="54" hidden="false" customHeight="true" outlineLevel="0" collapsed="false">
      <c r="A16" s="13" t="s">
        <v>140</v>
      </c>
      <c r="C16" s="20" t="s">
        <v>141</v>
      </c>
      <c r="D16" s="20" t="s">
        <v>142</v>
      </c>
      <c r="E16" s="20" t="s">
        <v>143</v>
      </c>
      <c r="F16" s="20" t="s">
        <v>144</v>
      </c>
      <c r="G16" s="21" t="s">
        <v>145</v>
      </c>
    </row>
    <row r="17" customFormat="false" ht="54" hidden="false" customHeight="true" outlineLevel="0" collapsed="false">
      <c r="A17" s="13" t="s">
        <v>29</v>
      </c>
      <c r="C17" s="20" t="s">
        <v>46</v>
      </c>
      <c r="D17" s="20" t="s">
        <v>146</v>
      </c>
      <c r="E17" s="20" t="s">
        <v>146</v>
      </c>
      <c r="F17" s="20" t="s">
        <v>146</v>
      </c>
      <c r="G17" s="20" t="s">
        <v>42</v>
      </c>
    </row>
    <row r="19" customFormat="false" ht="15" hidden="false" customHeight="false" outlineLevel="0" collapsed="false">
      <c r="A19" s="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">
        <v>149</v>
      </c>
    </row>
    <row r="4" customFormat="false" ht="15" hidden="false" customHeight="false" outlineLevel="0" collapsed="false">
      <c r="A4" s="13" t="s">
        <v>106</v>
      </c>
      <c r="C4" s="22" t="str">
        <f aca="false">Spec_Rack!C4</f>
        <v>Hopper H100</v>
      </c>
      <c r="D4" s="22" t="str">
        <f aca="false">Spec_Rack!C4</f>
        <v>Hopper H100</v>
      </c>
      <c r="E4" s="22" t="str">
        <f aca="false">Spec_Rack!C4</f>
        <v>Hopper H100</v>
      </c>
      <c r="F4" s="22" t="str">
        <f aca="false">Spec_Rack!D4</f>
        <v>GB200 NVL72</v>
      </c>
      <c r="G4" s="22" t="str">
        <f aca="false">Spec_Rack!D4</f>
        <v>GB200 NVL72</v>
      </c>
      <c r="H4" s="22" t="str">
        <f aca="false">Spec_Rack!D4</f>
        <v>GB200 NVL72</v>
      </c>
      <c r="I4" s="22" t="str">
        <f aca="false">Spec_Rack!E4</f>
        <v>GB300 NVL72</v>
      </c>
      <c r="J4" s="22" t="str">
        <f aca="false">Spec_Rack!E4</f>
        <v>GB300 NVL72</v>
      </c>
      <c r="K4" s="22" t="str">
        <f aca="false">Spec_Rack!E4</f>
        <v>GB300 NVL72</v>
      </c>
      <c r="L4" s="22" t="str">
        <f aca="false">Spec_Rack!F4</f>
        <v>VR200 NVL72</v>
      </c>
      <c r="M4" s="22" t="str">
        <f aca="false">Spec_Rack!F4</f>
        <v>VR200 NVL72</v>
      </c>
      <c r="N4" s="22" t="str">
        <f aca="false">Spec_Rack!F4</f>
        <v>VR200 NVL72</v>
      </c>
      <c r="O4" s="22" t="str">
        <f aca="false">Spec_Rack!G4</f>
        <v>Rubin Ultra NVL576</v>
      </c>
      <c r="P4" s="22" t="str">
        <f aca="false">Spec_Rack!G4</f>
        <v>Rubin Ultra NVL576</v>
      </c>
      <c r="Q4" s="22" t="str">
        <f aca="false">Spec_Rack!G4</f>
        <v>Rubin Ultra NVL576</v>
      </c>
    </row>
    <row r="5" customFormat="false" ht="15" hidden="false" customHeight="false" outlineLevel="0" collapsed="false">
      <c r="A5" s="13" t="s">
        <v>10</v>
      </c>
      <c r="C5" s="3" t="s">
        <v>26</v>
      </c>
      <c r="D5" s="3" t="s">
        <v>27</v>
      </c>
      <c r="E5" s="3" t="s">
        <v>28</v>
      </c>
      <c r="F5" s="3" t="s">
        <v>26</v>
      </c>
      <c r="G5" s="3" t="s">
        <v>27</v>
      </c>
      <c r="H5" s="3" t="s">
        <v>28</v>
      </c>
      <c r="I5" s="3" t="s">
        <v>26</v>
      </c>
      <c r="J5" s="3" t="s">
        <v>27</v>
      </c>
      <c r="K5" s="3" t="s">
        <v>28</v>
      </c>
      <c r="L5" s="3" t="s">
        <v>26</v>
      </c>
      <c r="M5" s="3" t="s">
        <v>27</v>
      </c>
      <c r="N5" s="3" t="s">
        <v>28</v>
      </c>
      <c r="O5" s="3" t="s">
        <v>26</v>
      </c>
      <c r="P5" s="3" t="s">
        <v>27</v>
      </c>
      <c r="Q5" s="3" t="s">
        <v>28</v>
      </c>
    </row>
    <row r="7" customFormat="false" ht="15" hidden="false" customHeight="false" outlineLevel="0" collapsed="false">
      <c r="A7" s="18" t="s">
        <v>150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customFormat="false" ht="15" hidden="false" customHeight="false" outlineLevel="0" collapsed="false">
      <c r="A8" s="9" t="s">
        <v>151</v>
      </c>
      <c r="B8" s="10" t="s">
        <v>152</v>
      </c>
      <c r="C8" s="11" t="n">
        <f aca="false">Inputs!$E$5*1000</f>
        <v>1000</v>
      </c>
      <c r="D8" s="11" t="n">
        <f aca="false">Inputs!$E$5*1000</f>
        <v>1000</v>
      </c>
      <c r="E8" s="11" t="n">
        <f aca="false">Inputs!$E$5*1000</f>
        <v>1000</v>
      </c>
      <c r="F8" s="11" t="n">
        <f aca="false">Inputs!$E$5*1000</f>
        <v>1000</v>
      </c>
      <c r="G8" s="11" t="n">
        <f aca="false">Inputs!$E$5*1000</f>
        <v>1000</v>
      </c>
      <c r="H8" s="11" t="n">
        <f aca="false">Inputs!$E$5*1000</f>
        <v>1000</v>
      </c>
      <c r="I8" s="11" t="n">
        <f aca="false">Inputs!$E$5*1000</f>
        <v>1000</v>
      </c>
      <c r="J8" s="11" t="n">
        <f aca="false">Inputs!$E$5*1000</f>
        <v>1000</v>
      </c>
      <c r="K8" s="11" t="n">
        <f aca="false">Inputs!$E$5*1000</f>
        <v>1000</v>
      </c>
      <c r="L8" s="11" t="n">
        <f aca="false">Inputs!$E$5*1000</f>
        <v>1000</v>
      </c>
      <c r="M8" s="11" t="n">
        <f aca="false">Inputs!$E$5*1000</f>
        <v>1000</v>
      </c>
      <c r="N8" s="11" t="n">
        <f aca="false">Inputs!$E$5*1000</f>
        <v>1000</v>
      </c>
      <c r="O8" s="11" t="n">
        <f aca="false">Inputs!$E$5*1000</f>
        <v>1000</v>
      </c>
      <c r="P8" s="11" t="n">
        <f aca="false">Inputs!$E$5*1000</f>
        <v>1000</v>
      </c>
      <c r="Q8" s="11" t="n">
        <f aca="false">Inputs!$E$5*1000</f>
        <v>1000</v>
      </c>
    </row>
    <row r="9" customFormat="false" ht="15" hidden="false" customHeight="false" outlineLevel="0" collapsed="false">
      <c r="A9" s="13" t="s">
        <v>40</v>
      </c>
      <c r="B9" s="10" t="s">
        <v>41</v>
      </c>
      <c r="C9" s="23" t="n">
        <f aca="false">Inputs!$E$8</f>
        <v>0.08</v>
      </c>
      <c r="D9" s="23" t="n">
        <f aca="false">Inputs!$E$8</f>
        <v>0.08</v>
      </c>
      <c r="E9" s="23" t="n">
        <f aca="false">Inputs!$E$8</f>
        <v>0.08</v>
      </c>
      <c r="F9" s="23" t="n">
        <f aca="false">Inputs!$E$8</f>
        <v>0.08</v>
      </c>
      <c r="G9" s="23" t="n">
        <f aca="false">Inputs!$E$8</f>
        <v>0.08</v>
      </c>
      <c r="H9" s="23" t="n">
        <f aca="false">Inputs!$E$8</f>
        <v>0.08</v>
      </c>
      <c r="I9" s="23" t="n">
        <f aca="false">Inputs!$E$8</f>
        <v>0.08</v>
      </c>
      <c r="J9" s="23" t="n">
        <f aca="false">Inputs!$E$8</f>
        <v>0.08</v>
      </c>
      <c r="K9" s="23" t="n">
        <f aca="false">Inputs!$E$8</f>
        <v>0.08</v>
      </c>
      <c r="L9" s="23" t="n">
        <f aca="false">Inputs!$E$8</f>
        <v>0.08</v>
      </c>
      <c r="M9" s="23" t="n">
        <f aca="false">Inputs!$E$8</f>
        <v>0.08</v>
      </c>
      <c r="N9" s="23" t="n">
        <f aca="false">Inputs!$E$8</f>
        <v>0.08</v>
      </c>
      <c r="O9" s="23" t="n">
        <f aca="false">Inputs!$E$8</f>
        <v>0.08</v>
      </c>
      <c r="P9" s="23" t="n">
        <f aca="false">Inputs!$E$8</f>
        <v>0.08</v>
      </c>
      <c r="Q9" s="23" t="n">
        <f aca="false">Inputs!$E$8</f>
        <v>0.08</v>
      </c>
    </row>
    <row r="10" customFormat="false" ht="15" hidden="false" customHeight="false" outlineLevel="0" collapsed="false">
      <c r="A10" s="13" t="s">
        <v>153</v>
      </c>
      <c r="B10" s="10" t="s">
        <v>152</v>
      </c>
      <c r="C10" s="11" t="n">
        <f aca="false">C8*(1-C9)</f>
        <v>920</v>
      </c>
      <c r="D10" s="11" t="n">
        <f aca="false">D8*(1-D9)</f>
        <v>920</v>
      </c>
      <c r="E10" s="11" t="n">
        <f aca="false">E8*(1-E9)</f>
        <v>920</v>
      </c>
      <c r="F10" s="11" t="n">
        <f aca="false">F8*(1-F9)</f>
        <v>920</v>
      </c>
      <c r="G10" s="11" t="n">
        <f aca="false">G8*(1-G9)</f>
        <v>920</v>
      </c>
      <c r="H10" s="11" t="n">
        <f aca="false">H8*(1-H9)</f>
        <v>920</v>
      </c>
      <c r="I10" s="11" t="n">
        <f aca="false">I8*(1-I9)</f>
        <v>920</v>
      </c>
      <c r="J10" s="11" t="n">
        <f aca="false">J8*(1-J9)</f>
        <v>920</v>
      </c>
      <c r="K10" s="11" t="n">
        <f aca="false">K8*(1-K9)</f>
        <v>920</v>
      </c>
      <c r="L10" s="11" t="n">
        <f aca="false">L8*(1-L9)</f>
        <v>920</v>
      </c>
      <c r="M10" s="11" t="n">
        <f aca="false">M8*(1-M9)</f>
        <v>920</v>
      </c>
      <c r="N10" s="11" t="n">
        <f aca="false">N8*(1-N9)</f>
        <v>920</v>
      </c>
      <c r="O10" s="11" t="n">
        <f aca="false">O8*(1-O9)</f>
        <v>920</v>
      </c>
      <c r="P10" s="11" t="n">
        <f aca="false">P8*(1-P9)</f>
        <v>920</v>
      </c>
      <c r="Q10" s="11" t="n">
        <f aca="false">Q8*(1-Q9)</f>
        <v>920</v>
      </c>
    </row>
    <row r="11" customFormat="false" ht="15" hidden="false" customHeight="false" outlineLevel="0" collapsed="false">
      <c r="A11" s="13" t="s">
        <v>154</v>
      </c>
      <c r="B11" s="10" t="s">
        <v>155</v>
      </c>
      <c r="C11" s="24" t="n">
        <f aca="false">CHOOSE(Inputs!$E$6,Spec_Rack!C8,Spec_Rack!C9,Spec_Rack!C10)</f>
        <v>41</v>
      </c>
      <c r="D11" s="24" t="n">
        <f aca="false">CHOOSE(Inputs!$E$6,Spec_Rack!C8,Spec_Rack!C9,Spec_Rack!C10)</f>
        <v>41</v>
      </c>
      <c r="E11" s="24" t="n">
        <f aca="false">CHOOSE(Inputs!$E$6,Spec_Rack!C8,Spec_Rack!C9,Spec_Rack!C10)</f>
        <v>41</v>
      </c>
      <c r="F11" s="24" t="n">
        <f aca="false">CHOOSE(Inputs!$E$6,Spec_Rack!D8,Spec_Rack!D9,Spec_Rack!D10)</f>
        <v>130</v>
      </c>
      <c r="G11" s="24" t="n">
        <f aca="false">CHOOSE(Inputs!$E$6,Spec_Rack!D8,Spec_Rack!D9,Spec_Rack!D10)</f>
        <v>130</v>
      </c>
      <c r="H11" s="24" t="n">
        <f aca="false">CHOOSE(Inputs!$E$6,Spec_Rack!D8,Spec_Rack!D9,Spec_Rack!D10)</f>
        <v>130</v>
      </c>
      <c r="I11" s="24" t="n">
        <f aca="false">CHOOSE(Inputs!$E$6,Spec_Rack!E8,Spec_Rack!E9,Spec_Rack!E10)</f>
        <v>137</v>
      </c>
      <c r="J11" s="24" t="n">
        <f aca="false">CHOOSE(Inputs!$E$6,Spec_Rack!E8,Spec_Rack!E9,Spec_Rack!E10)</f>
        <v>137</v>
      </c>
      <c r="K11" s="24" t="n">
        <f aca="false">CHOOSE(Inputs!$E$6,Spec_Rack!E8,Spec_Rack!E9,Spec_Rack!E10)</f>
        <v>137</v>
      </c>
      <c r="L11" s="24" t="n">
        <f aca="false">CHOOSE(Inputs!$E$6,Spec_Rack!F8,Spec_Rack!F9,Spec_Rack!F10)</f>
        <v>227</v>
      </c>
      <c r="M11" s="24" t="n">
        <f aca="false">CHOOSE(Inputs!$E$6,Spec_Rack!F8,Spec_Rack!F9,Spec_Rack!F10)</f>
        <v>227</v>
      </c>
      <c r="N11" s="24" t="n">
        <f aca="false">CHOOSE(Inputs!$E$6,Spec_Rack!F8,Spec_Rack!F9,Spec_Rack!F10)</f>
        <v>227</v>
      </c>
      <c r="O11" s="24" t="n">
        <f aca="false">CHOOSE(Inputs!$E$6,Spec_Rack!G8,Spec_Rack!G9,Spec_Rack!G10)</f>
        <v>600</v>
      </c>
      <c r="P11" s="24" t="n">
        <f aca="false">CHOOSE(Inputs!$E$6,Spec_Rack!G8,Spec_Rack!G9,Spec_Rack!G10)</f>
        <v>600</v>
      </c>
      <c r="Q11" s="24" t="n">
        <f aca="false">CHOOSE(Inputs!$E$6,Spec_Rack!G8,Spec_Rack!G9,Spec_Rack!G10)</f>
        <v>600</v>
      </c>
    </row>
    <row r="12" customFormat="false" ht="15" hidden="false" customHeight="false" outlineLevel="0" collapsed="false">
      <c r="A12" s="13" t="s">
        <v>156</v>
      </c>
      <c r="B12" s="14" t="s">
        <v>157</v>
      </c>
      <c r="C12" s="25" t="n">
        <f aca="false">FLOOR(C10*1000/C11,1)</f>
        <v>22439</v>
      </c>
      <c r="D12" s="25" t="n">
        <f aca="false">FLOOR(D10*1000/D11,1)</f>
        <v>22439</v>
      </c>
      <c r="E12" s="25" t="n">
        <f aca="false">FLOOR(E10*1000/E11,1)</f>
        <v>22439</v>
      </c>
      <c r="F12" s="25" t="n">
        <f aca="false">FLOOR(F10*1000/F11,1)</f>
        <v>7076</v>
      </c>
      <c r="G12" s="25" t="n">
        <f aca="false">FLOOR(G10*1000/G11,1)</f>
        <v>7076</v>
      </c>
      <c r="H12" s="25" t="n">
        <f aca="false">FLOOR(H10*1000/H11,1)</f>
        <v>7076</v>
      </c>
      <c r="I12" s="25" t="n">
        <f aca="false">FLOOR(I10*1000/I11,1)</f>
        <v>6715</v>
      </c>
      <c r="J12" s="25" t="n">
        <f aca="false">FLOOR(J10*1000/J11,1)</f>
        <v>6715</v>
      </c>
      <c r="K12" s="25" t="n">
        <f aca="false">FLOOR(K10*1000/K11,1)</f>
        <v>6715</v>
      </c>
      <c r="L12" s="25" t="n">
        <f aca="false">FLOOR(L10*1000/L11,1)</f>
        <v>4052</v>
      </c>
      <c r="M12" s="25" t="n">
        <f aca="false">FLOOR(M10*1000/M11,1)</f>
        <v>4052</v>
      </c>
      <c r="N12" s="25" t="n">
        <f aca="false">FLOOR(N10*1000/N11,1)</f>
        <v>4052</v>
      </c>
      <c r="O12" s="25" t="n">
        <f aca="false">FLOOR(O10*1000/O11,1)</f>
        <v>1533</v>
      </c>
      <c r="P12" s="25" t="n">
        <f aca="false">FLOOR(P10*1000/P11,1)</f>
        <v>1533</v>
      </c>
      <c r="Q12" s="25" t="n">
        <f aca="false">FLOOR(Q10*1000/Q11,1)</f>
        <v>1533</v>
      </c>
    </row>
    <row r="13" customFormat="false" ht="15" hidden="false" customHeight="false" outlineLevel="0" collapsed="false">
      <c r="A13" s="9" t="s">
        <v>118</v>
      </c>
      <c r="B13" s="14" t="s">
        <v>158</v>
      </c>
      <c r="C13" s="24" t="n">
        <f aca="false">Spec_Rack!C6</f>
        <v>32</v>
      </c>
      <c r="D13" s="24" t="n">
        <f aca="false">Spec_Rack!C6</f>
        <v>32</v>
      </c>
      <c r="E13" s="24" t="n">
        <f aca="false">Spec_Rack!C6</f>
        <v>32</v>
      </c>
      <c r="F13" s="24" t="n">
        <f aca="false">Spec_Rack!D6</f>
        <v>72</v>
      </c>
      <c r="G13" s="24" t="n">
        <f aca="false">Spec_Rack!D6</f>
        <v>72</v>
      </c>
      <c r="H13" s="24" t="n">
        <f aca="false">Spec_Rack!D6</f>
        <v>72</v>
      </c>
      <c r="I13" s="24" t="n">
        <f aca="false">Spec_Rack!E6</f>
        <v>72</v>
      </c>
      <c r="J13" s="24" t="n">
        <f aca="false">Spec_Rack!E6</f>
        <v>72</v>
      </c>
      <c r="K13" s="24" t="n">
        <f aca="false">Spec_Rack!E6</f>
        <v>72</v>
      </c>
      <c r="L13" s="24" t="n">
        <f aca="false">Spec_Rack!F6</f>
        <v>72</v>
      </c>
      <c r="M13" s="24" t="n">
        <f aca="false">Spec_Rack!F6</f>
        <v>72</v>
      </c>
      <c r="N13" s="24" t="n">
        <f aca="false">Spec_Rack!F6</f>
        <v>72</v>
      </c>
      <c r="O13" s="24" t="n">
        <f aca="false">Spec_Rack!G6</f>
        <v>144</v>
      </c>
      <c r="P13" s="24" t="n">
        <f aca="false">Spec_Rack!G6</f>
        <v>144</v>
      </c>
      <c r="Q13" s="24" t="n">
        <f aca="false">Spec_Rack!G6</f>
        <v>144</v>
      </c>
    </row>
    <row r="14" customFormat="false" ht="15" hidden="false" customHeight="false" outlineLevel="0" collapsed="false">
      <c r="A14" s="13" t="s">
        <v>159</v>
      </c>
      <c r="B14" s="14" t="s">
        <v>158</v>
      </c>
      <c r="C14" s="11" t="n">
        <f aca="false">C12*C13</f>
        <v>718048</v>
      </c>
      <c r="D14" s="11" t="n">
        <f aca="false">D12*D13</f>
        <v>718048</v>
      </c>
      <c r="E14" s="11" t="n">
        <f aca="false">E12*E13</f>
        <v>718048</v>
      </c>
      <c r="F14" s="11" t="n">
        <f aca="false">F12*F13</f>
        <v>509472</v>
      </c>
      <c r="G14" s="11" t="n">
        <f aca="false">G12*G13</f>
        <v>509472</v>
      </c>
      <c r="H14" s="11" t="n">
        <f aca="false">H12*H13</f>
        <v>509472</v>
      </c>
      <c r="I14" s="11" t="n">
        <f aca="false">I12*I13</f>
        <v>483480</v>
      </c>
      <c r="J14" s="11" t="n">
        <f aca="false">J12*J13</f>
        <v>483480</v>
      </c>
      <c r="K14" s="11" t="n">
        <f aca="false">K12*K13</f>
        <v>483480</v>
      </c>
      <c r="L14" s="11" t="n">
        <f aca="false">L12*L13</f>
        <v>291744</v>
      </c>
      <c r="M14" s="11" t="n">
        <f aca="false">M12*M13</f>
        <v>291744</v>
      </c>
      <c r="N14" s="11" t="n">
        <f aca="false">N12*N13</f>
        <v>291744</v>
      </c>
      <c r="O14" s="11" t="n">
        <f aca="false">O12*O13</f>
        <v>220752</v>
      </c>
      <c r="P14" s="11" t="n">
        <f aca="false">P12*P13</f>
        <v>220752</v>
      </c>
      <c r="Q14" s="11" t="n">
        <f aca="false">Q12*Q13</f>
        <v>220752</v>
      </c>
    </row>
    <row r="15" customFormat="false" ht="15" hidden="false" customHeight="false" outlineLevel="0" collapsed="false">
      <c r="A15" s="9" t="s">
        <v>44</v>
      </c>
      <c r="B15" s="10" t="s">
        <v>45</v>
      </c>
      <c r="C15" s="26" t="n">
        <f aca="false">Inputs!D9</f>
        <v>1.1</v>
      </c>
      <c r="D15" s="26" t="n">
        <f aca="false">Inputs!E9</f>
        <v>1.2</v>
      </c>
      <c r="E15" s="26" t="n">
        <f aca="false">Inputs!F9</f>
        <v>1.3</v>
      </c>
      <c r="F15" s="26" t="n">
        <f aca="false">Inputs!D9</f>
        <v>1.1</v>
      </c>
      <c r="G15" s="26" t="n">
        <f aca="false">Inputs!E9</f>
        <v>1.2</v>
      </c>
      <c r="H15" s="26" t="n">
        <f aca="false">Inputs!F9</f>
        <v>1.3</v>
      </c>
      <c r="I15" s="26" t="n">
        <f aca="false">Inputs!D9</f>
        <v>1.1</v>
      </c>
      <c r="J15" s="26" t="n">
        <f aca="false">Inputs!E9</f>
        <v>1.2</v>
      </c>
      <c r="K15" s="26" t="n">
        <f aca="false">Inputs!F9</f>
        <v>1.3</v>
      </c>
      <c r="L15" s="26" t="n">
        <f aca="false">Inputs!D9</f>
        <v>1.1</v>
      </c>
      <c r="M15" s="26" t="n">
        <f aca="false">Inputs!E9</f>
        <v>1.2</v>
      </c>
      <c r="N15" s="26" t="n">
        <f aca="false">Inputs!F9</f>
        <v>1.3</v>
      </c>
      <c r="O15" s="26" t="n">
        <f aca="false">Inputs!D9</f>
        <v>1.1</v>
      </c>
      <c r="P15" s="26" t="n">
        <f aca="false">Inputs!E9</f>
        <v>1.2</v>
      </c>
      <c r="Q15" s="26" t="n">
        <f aca="false">Inputs!F9</f>
        <v>1.3</v>
      </c>
    </row>
    <row r="16" customFormat="false" ht="15" hidden="false" customHeight="false" outlineLevel="0" collapsed="false">
      <c r="A16" s="13" t="s">
        <v>160</v>
      </c>
      <c r="B16" s="10" t="s">
        <v>152</v>
      </c>
      <c r="C16" s="11" t="n">
        <f aca="false">C8*C15</f>
        <v>1100</v>
      </c>
      <c r="D16" s="11" t="n">
        <f aca="false">D8*D15</f>
        <v>1200</v>
      </c>
      <c r="E16" s="11" t="n">
        <f aca="false">E8*E15</f>
        <v>1300</v>
      </c>
      <c r="F16" s="11" t="n">
        <f aca="false">F8*F15</f>
        <v>1100</v>
      </c>
      <c r="G16" s="11" t="n">
        <f aca="false">G8*G15</f>
        <v>1200</v>
      </c>
      <c r="H16" s="11" t="n">
        <f aca="false">H8*H15</f>
        <v>1300</v>
      </c>
      <c r="I16" s="11" t="n">
        <f aca="false">I8*I15</f>
        <v>1100</v>
      </c>
      <c r="J16" s="11" t="n">
        <f aca="false">J8*J15</f>
        <v>1200</v>
      </c>
      <c r="K16" s="11" t="n">
        <f aca="false">K8*K15</f>
        <v>1300</v>
      </c>
      <c r="L16" s="11" t="n">
        <f aca="false">L8*L15</f>
        <v>1100</v>
      </c>
      <c r="M16" s="11" t="n">
        <f aca="false">M8*M15</f>
        <v>1200</v>
      </c>
      <c r="N16" s="11" t="n">
        <f aca="false">N8*N15</f>
        <v>1300</v>
      </c>
      <c r="O16" s="11" t="n">
        <f aca="false">O8*O15</f>
        <v>1100</v>
      </c>
      <c r="P16" s="11" t="n">
        <f aca="false">P8*P15</f>
        <v>1200</v>
      </c>
      <c r="Q16" s="11" t="n">
        <f aca="false">Q8*Q15</f>
        <v>1300</v>
      </c>
    </row>
    <row r="17" customFormat="false" ht="15" hidden="false" customHeight="false" outlineLevel="0" collapsed="false">
      <c r="A17" s="18" t="s">
        <v>161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15" hidden="false" customHeight="false" outlineLevel="0" collapsed="false">
      <c r="A18" s="13" t="s">
        <v>162</v>
      </c>
      <c r="B18" s="10" t="s">
        <v>163</v>
      </c>
      <c r="C18" s="27" t="n">
        <f aca="false">Spec_Rack!C11</f>
        <v>0.9</v>
      </c>
      <c r="D18" s="27" t="n">
        <f aca="false">Spec_Rack!C12</f>
        <v>1.1</v>
      </c>
      <c r="E18" s="27" t="n">
        <f aca="false">Spec_Rack!C13</f>
        <v>1.3</v>
      </c>
      <c r="F18" s="27" t="n">
        <f aca="false">Spec_Rack!D11</f>
        <v>2.8</v>
      </c>
      <c r="G18" s="27" t="n">
        <f aca="false">Spec_Rack!D12</f>
        <v>3.1</v>
      </c>
      <c r="H18" s="27" t="n">
        <f aca="false">Spec_Rack!D13</f>
        <v>3.4</v>
      </c>
      <c r="I18" s="27" t="n">
        <f aca="false">Spec_Rack!E11</f>
        <v>4</v>
      </c>
      <c r="J18" s="27" t="n">
        <f aca="false">Spec_Rack!E12</f>
        <v>5</v>
      </c>
      <c r="K18" s="27" t="n">
        <f aca="false">Spec_Rack!E13</f>
        <v>6.5</v>
      </c>
      <c r="L18" s="27" t="n">
        <f aca="false">Spec_Rack!F11</f>
        <v>6.7</v>
      </c>
      <c r="M18" s="27" t="n">
        <f aca="false">Spec_Rack!F12</f>
        <v>7.8</v>
      </c>
      <c r="N18" s="27" t="n">
        <f aca="false">Spec_Rack!F13</f>
        <v>9.1</v>
      </c>
      <c r="O18" s="27" t="n">
        <f aca="false">Spec_Rack!G11</f>
        <v>23.4</v>
      </c>
      <c r="P18" s="27" t="n">
        <f aca="false">Spec_Rack!G12</f>
        <v>31.2</v>
      </c>
      <c r="Q18" s="27" t="n">
        <f aca="false">Spec_Rack!G13</f>
        <v>39</v>
      </c>
    </row>
    <row r="19" customFormat="false" ht="15" hidden="false" customHeight="false" outlineLevel="0" collapsed="false">
      <c r="A19" s="13" t="s">
        <v>164</v>
      </c>
      <c r="B19" s="10" t="s">
        <v>165</v>
      </c>
      <c r="C19" s="28" t="n">
        <f aca="false">C12*C18/1000</f>
        <v>20.1951</v>
      </c>
      <c r="D19" s="28" t="n">
        <f aca="false">D12*D18/1000</f>
        <v>24.6829</v>
      </c>
      <c r="E19" s="28" t="n">
        <f aca="false">E12*E18/1000</f>
        <v>29.1707</v>
      </c>
      <c r="F19" s="28" t="n">
        <f aca="false">F12*F18/1000</f>
        <v>19.8128</v>
      </c>
      <c r="G19" s="28" t="n">
        <f aca="false">G12*G18/1000</f>
        <v>21.9356</v>
      </c>
      <c r="H19" s="28" t="n">
        <f aca="false">H12*H18/1000</f>
        <v>24.0584</v>
      </c>
      <c r="I19" s="28" t="n">
        <f aca="false">I12*I18/1000</f>
        <v>26.86</v>
      </c>
      <c r="J19" s="28" t="n">
        <f aca="false">J12*J18/1000</f>
        <v>33.575</v>
      </c>
      <c r="K19" s="28" t="n">
        <f aca="false">K12*K18/1000</f>
        <v>43.6475</v>
      </c>
      <c r="L19" s="28" t="n">
        <f aca="false">L12*L18/1000</f>
        <v>27.1484</v>
      </c>
      <c r="M19" s="28" t="n">
        <f aca="false">M12*M18/1000</f>
        <v>31.6056</v>
      </c>
      <c r="N19" s="28" t="n">
        <f aca="false">N12*N18/1000</f>
        <v>36.8732</v>
      </c>
      <c r="O19" s="28" t="n">
        <f aca="false">O12*O18/1000</f>
        <v>35.8722</v>
      </c>
      <c r="P19" s="28" t="n">
        <f aca="false">P12*P18/1000</f>
        <v>47.8296</v>
      </c>
      <c r="Q19" s="28" t="n">
        <f aca="false">Q12*Q18/1000</f>
        <v>59.787</v>
      </c>
    </row>
    <row r="20" customFormat="false" ht="15" hidden="false" customHeight="false" outlineLevel="0" collapsed="false">
      <c r="A20" s="9" t="s">
        <v>55</v>
      </c>
      <c r="B20" s="10" t="s">
        <v>41</v>
      </c>
      <c r="C20" s="23" t="n">
        <f aca="false">Inputs!D13</f>
        <v>0.05</v>
      </c>
      <c r="D20" s="23" t="n">
        <f aca="false">Inputs!E13</f>
        <v>0.1</v>
      </c>
      <c r="E20" s="23" t="n">
        <f aca="false">Inputs!F13</f>
        <v>0.15</v>
      </c>
      <c r="F20" s="23" t="n">
        <f aca="false">Inputs!D13</f>
        <v>0.05</v>
      </c>
      <c r="G20" s="23" t="n">
        <f aca="false">Inputs!E13</f>
        <v>0.1</v>
      </c>
      <c r="H20" s="23" t="n">
        <f aca="false">Inputs!F13</f>
        <v>0.15</v>
      </c>
      <c r="I20" s="23" t="n">
        <f aca="false">Inputs!D13</f>
        <v>0.05</v>
      </c>
      <c r="J20" s="23" t="n">
        <f aca="false">Inputs!E13</f>
        <v>0.1</v>
      </c>
      <c r="K20" s="23" t="n">
        <f aca="false">Inputs!F13</f>
        <v>0.15</v>
      </c>
      <c r="L20" s="23" t="n">
        <f aca="false">Inputs!D13</f>
        <v>0.05</v>
      </c>
      <c r="M20" s="23" t="n">
        <f aca="false">Inputs!E13</f>
        <v>0.1</v>
      </c>
      <c r="N20" s="23" t="n">
        <f aca="false">Inputs!F13</f>
        <v>0.15</v>
      </c>
      <c r="O20" s="23" t="n">
        <f aca="false">Inputs!D13</f>
        <v>0.05</v>
      </c>
      <c r="P20" s="23" t="n">
        <f aca="false">Inputs!E13</f>
        <v>0.1</v>
      </c>
      <c r="Q20" s="23" t="n">
        <f aca="false">Inputs!F13</f>
        <v>0.15</v>
      </c>
    </row>
    <row r="21" customFormat="false" ht="15" hidden="false" customHeight="false" outlineLevel="0" collapsed="false">
      <c r="A21" s="9" t="s">
        <v>166</v>
      </c>
      <c r="B21" s="10" t="s">
        <v>165</v>
      </c>
      <c r="C21" s="28" t="n">
        <f aca="false">C19*C20</f>
        <v>1.009755</v>
      </c>
      <c r="D21" s="28" t="n">
        <f aca="false">D19*D20</f>
        <v>2.46829</v>
      </c>
      <c r="E21" s="28" t="n">
        <f aca="false">E19*E20</f>
        <v>4.375605</v>
      </c>
      <c r="F21" s="28" t="n">
        <f aca="false">F19*F20</f>
        <v>0.99064</v>
      </c>
      <c r="G21" s="28" t="n">
        <f aca="false">G19*G20</f>
        <v>2.19356</v>
      </c>
      <c r="H21" s="28" t="n">
        <f aca="false">H19*H20</f>
        <v>3.60876</v>
      </c>
      <c r="I21" s="28" t="n">
        <f aca="false">I19*I20</f>
        <v>1.343</v>
      </c>
      <c r="J21" s="28" t="n">
        <f aca="false">J19*J20</f>
        <v>3.3575</v>
      </c>
      <c r="K21" s="28" t="n">
        <f aca="false">K19*K20</f>
        <v>6.547125</v>
      </c>
      <c r="L21" s="28" t="n">
        <f aca="false">L19*L20</f>
        <v>1.35742</v>
      </c>
      <c r="M21" s="28" t="n">
        <f aca="false">M19*M20</f>
        <v>3.16056</v>
      </c>
      <c r="N21" s="28" t="n">
        <f aca="false">N19*N20</f>
        <v>5.53098</v>
      </c>
      <c r="O21" s="28" t="n">
        <f aca="false">O19*O20</f>
        <v>1.79361</v>
      </c>
      <c r="P21" s="28" t="n">
        <f aca="false">P19*P20</f>
        <v>4.78296</v>
      </c>
      <c r="Q21" s="28" t="n">
        <f aca="false">Q19*Q20</f>
        <v>8.96805</v>
      </c>
    </row>
    <row r="22" customFormat="false" ht="15" hidden="false" customHeight="false" outlineLevel="0" collapsed="false">
      <c r="A22" s="13" t="s">
        <v>167</v>
      </c>
      <c r="B22" s="10" t="s">
        <v>58</v>
      </c>
      <c r="C22" s="24" t="n">
        <f aca="false">Inputs!D14</f>
        <v>300</v>
      </c>
      <c r="D22" s="24" t="n">
        <f aca="false">Inputs!E14</f>
        <v>500</v>
      </c>
      <c r="E22" s="24" t="n">
        <f aca="false">Inputs!F14</f>
        <v>800</v>
      </c>
      <c r="F22" s="24" t="n">
        <f aca="false">Inputs!D14</f>
        <v>300</v>
      </c>
      <c r="G22" s="24" t="n">
        <f aca="false">Inputs!E14</f>
        <v>500</v>
      </c>
      <c r="H22" s="24" t="n">
        <f aca="false">Inputs!F14</f>
        <v>800</v>
      </c>
      <c r="I22" s="24" t="n">
        <f aca="false">Inputs!D14</f>
        <v>300</v>
      </c>
      <c r="J22" s="24" t="n">
        <f aca="false">Inputs!E14</f>
        <v>500</v>
      </c>
      <c r="K22" s="24" t="n">
        <f aca="false">Inputs!F14</f>
        <v>800</v>
      </c>
      <c r="L22" s="24" t="n">
        <f aca="false">Inputs!D14</f>
        <v>300</v>
      </c>
      <c r="M22" s="24" t="n">
        <f aca="false">Inputs!E14</f>
        <v>500</v>
      </c>
      <c r="N22" s="24" t="n">
        <f aca="false">Inputs!F14</f>
        <v>800</v>
      </c>
      <c r="O22" s="24" t="n">
        <f aca="false">Inputs!D14</f>
        <v>300</v>
      </c>
      <c r="P22" s="24" t="n">
        <f aca="false">Inputs!E14</f>
        <v>500</v>
      </c>
      <c r="Q22" s="24" t="n">
        <f aca="false">Inputs!F14</f>
        <v>800</v>
      </c>
    </row>
    <row r="23" customFormat="false" ht="15" hidden="false" customHeight="false" outlineLevel="0" collapsed="false">
      <c r="A23" s="13" t="s">
        <v>167</v>
      </c>
      <c r="B23" s="10" t="s">
        <v>165</v>
      </c>
      <c r="C23" s="28" t="n">
        <f aca="false">C14*C22/1000000000</f>
        <v>0.2154144</v>
      </c>
      <c r="D23" s="28" t="n">
        <f aca="false">D14*D22/1000000000</f>
        <v>0.359024</v>
      </c>
      <c r="E23" s="28" t="n">
        <f aca="false">E14*E22/1000000000</f>
        <v>0.5744384</v>
      </c>
      <c r="F23" s="28" t="n">
        <f aca="false">F14*F22/1000000000</f>
        <v>0.1528416</v>
      </c>
      <c r="G23" s="28" t="n">
        <f aca="false">G14*G22/1000000000</f>
        <v>0.254736</v>
      </c>
      <c r="H23" s="28" t="n">
        <f aca="false">H14*H22/1000000000</f>
        <v>0.4075776</v>
      </c>
      <c r="I23" s="28" t="n">
        <f aca="false">I14*I22/1000000000</f>
        <v>0.145044</v>
      </c>
      <c r="J23" s="28" t="n">
        <f aca="false">J14*J22/1000000000</f>
        <v>0.24174</v>
      </c>
      <c r="K23" s="28" t="n">
        <f aca="false">K14*K22/1000000000</f>
        <v>0.386784</v>
      </c>
      <c r="L23" s="28" t="n">
        <f aca="false">L14*L22/1000000000</f>
        <v>0.0875232</v>
      </c>
      <c r="M23" s="28" t="n">
        <f aca="false">M14*M22/1000000000</f>
        <v>0.145872</v>
      </c>
      <c r="N23" s="28" t="n">
        <f aca="false">N14*N22/1000000000</f>
        <v>0.2333952</v>
      </c>
      <c r="O23" s="28" t="n">
        <f aca="false">O14*O22/1000000000</f>
        <v>0.0662256</v>
      </c>
      <c r="P23" s="28" t="n">
        <f aca="false">P14*P22/1000000000</f>
        <v>0.110376</v>
      </c>
      <c r="Q23" s="28" t="n">
        <f aca="false">Q14*Q22/1000000000</f>
        <v>0.1766016</v>
      </c>
    </row>
    <row r="24" customFormat="false" ht="15" hidden="false" customHeight="false" outlineLevel="0" collapsed="false">
      <c r="A24" s="9" t="s">
        <v>168</v>
      </c>
      <c r="B24" s="10" t="s">
        <v>165</v>
      </c>
      <c r="C24" s="28" t="n">
        <f aca="false">C19+C21+C23</f>
        <v>21.4202694</v>
      </c>
      <c r="D24" s="28" t="n">
        <f aca="false">D19+D21+D23</f>
        <v>27.510214</v>
      </c>
      <c r="E24" s="28" t="n">
        <f aca="false">E19+E21+E23</f>
        <v>34.1207434</v>
      </c>
      <c r="F24" s="28" t="n">
        <f aca="false">F19+F21+F23</f>
        <v>20.9562816</v>
      </c>
      <c r="G24" s="28" t="n">
        <f aca="false">G19+G21+G23</f>
        <v>24.383896</v>
      </c>
      <c r="H24" s="28" t="n">
        <f aca="false">H19+H21+H23</f>
        <v>28.0747376</v>
      </c>
      <c r="I24" s="28" t="n">
        <f aca="false">I19+I21+I23</f>
        <v>28.348044</v>
      </c>
      <c r="J24" s="28" t="n">
        <f aca="false">J19+J21+J23</f>
        <v>37.17424</v>
      </c>
      <c r="K24" s="28" t="n">
        <f aca="false">K19+K21+K23</f>
        <v>50.581409</v>
      </c>
      <c r="L24" s="28" t="n">
        <f aca="false">L19+L21+L23</f>
        <v>28.5933432</v>
      </c>
      <c r="M24" s="28" t="n">
        <f aca="false">M19+M21+M23</f>
        <v>34.912032</v>
      </c>
      <c r="N24" s="28" t="n">
        <f aca="false">N19+N21+N23</f>
        <v>42.6375752</v>
      </c>
      <c r="O24" s="28" t="n">
        <f aca="false">O19+O21+O23</f>
        <v>37.7320356</v>
      </c>
      <c r="P24" s="28" t="n">
        <f aca="false">P19+P21+P23</f>
        <v>52.722936</v>
      </c>
      <c r="Q24" s="28" t="n">
        <f aca="false">Q19+Q21+Q23</f>
        <v>68.9316516</v>
      </c>
    </row>
    <row r="25" customFormat="false" ht="15" hidden="false" customHeight="false" outlineLevel="0" collapsed="false">
      <c r="A25" s="13" t="s">
        <v>61</v>
      </c>
      <c r="B25" s="10" t="s">
        <v>165</v>
      </c>
      <c r="C25" s="28" t="n">
        <f aca="false">C8*Inputs!D16/1000</f>
        <v>0.02</v>
      </c>
      <c r="D25" s="28" t="n">
        <f aca="false">D8*Inputs!E16/1000</f>
        <v>0.02</v>
      </c>
      <c r="E25" s="28" t="n">
        <f aca="false">E8*Inputs!F16/1000</f>
        <v>0.02</v>
      </c>
      <c r="F25" s="28" t="n">
        <f aca="false">F8*Inputs!D16/1000</f>
        <v>0.02</v>
      </c>
      <c r="G25" s="28" t="n">
        <f aca="false">G8*Inputs!E16/1000</f>
        <v>0.02</v>
      </c>
      <c r="H25" s="28" t="n">
        <f aca="false">H8*Inputs!F16/1000</f>
        <v>0.02</v>
      </c>
      <c r="I25" s="28" t="n">
        <f aca="false">I8*Inputs!D16/1000</f>
        <v>0.02</v>
      </c>
      <c r="J25" s="28" t="n">
        <f aca="false">J8*Inputs!E16/1000</f>
        <v>0.02</v>
      </c>
      <c r="K25" s="28" t="n">
        <f aca="false">K8*Inputs!F16/1000</f>
        <v>0.02</v>
      </c>
      <c r="L25" s="28" t="n">
        <f aca="false">L8*Inputs!D16/1000</f>
        <v>0.02</v>
      </c>
      <c r="M25" s="28" t="n">
        <f aca="false">M8*Inputs!E16/1000</f>
        <v>0.02</v>
      </c>
      <c r="N25" s="28" t="n">
        <f aca="false">N8*Inputs!F16/1000</f>
        <v>0.02</v>
      </c>
      <c r="O25" s="28" t="n">
        <f aca="false">O8*Inputs!D16/1000</f>
        <v>0.02</v>
      </c>
      <c r="P25" s="28" t="n">
        <f aca="false">P8*Inputs!E16/1000</f>
        <v>0.02</v>
      </c>
      <c r="Q25" s="28" t="n">
        <f aca="false">Q8*Inputs!F16/1000</f>
        <v>0.02</v>
      </c>
    </row>
    <row r="26" customFormat="false" ht="15" hidden="false" customHeight="false" outlineLevel="0" collapsed="false">
      <c r="A26" s="13" t="s">
        <v>169</v>
      </c>
      <c r="B26" s="10" t="s">
        <v>165</v>
      </c>
      <c r="C26" s="28" t="n">
        <f aca="false">C8*Inputs!D17/1000</f>
        <v>3</v>
      </c>
      <c r="D26" s="28" t="n">
        <f aca="false">D8*Inputs!E17/1000</f>
        <v>3.6</v>
      </c>
      <c r="E26" s="28" t="n">
        <f aca="false">E8*Inputs!F17/1000</f>
        <v>4.5</v>
      </c>
      <c r="F26" s="28" t="n">
        <f aca="false">F8*Inputs!D17/1000</f>
        <v>3</v>
      </c>
      <c r="G26" s="28" t="n">
        <f aca="false">G8*Inputs!E17/1000</f>
        <v>3.6</v>
      </c>
      <c r="H26" s="28" t="n">
        <f aca="false">H8*Inputs!F17/1000</f>
        <v>4.5</v>
      </c>
      <c r="I26" s="28" t="n">
        <f aca="false">I8*Inputs!D17/1000</f>
        <v>3</v>
      </c>
      <c r="J26" s="28" t="n">
        <f aca="false">J8*Inputs!E17/1000</f>
        <v>3.6</v>
      </c>
      <c r="K26" s="28" t="n">
        <f aca="false">K8*Inputs!F17/1000</f>
        <v>4.5</v>
      </c>
      <c r="L26" s="28" t="n">
        <f aca="false">L8*Inputs!D17/1000</f>
        <v>3</v>
      </c>
      <c r="M26" s="28" t="n">
        <f aca="false">M8*Inputs!E17/1000</f>
        <v>3.6</v>
      </c>
      <c r="N26" s="28" t="n">
        <f aca="false">N8*Inputs!F17/1000</f>
        <v>4.5</v>
      </c>
      <c r="O26" s="28" t="n">
        <f aca="false">O8*Inputs!D17/1000</f>
        <v>3</v>
      </c>
      <c r="P26" s="28" t="n">
        <f aca="false">P8*Inputs!E17/1000</f>
        <v>3.6</v>
      </c>
      <c r="Q26" s="28" t="n">
        <f aca="false">Q8*Inputs!F17/1000</f>
        <v>4.5</v>
      </c>
    </row>
    <row r="27" customFormat="false" ht="15" hidden="false" customHeight="false" outlineLevel="0" collapsed="false">
      <c r="A27" s="13" t="s">
        <v>170</v>
      </c>
      <c r="B27" s="10" t="s">
        <v>165</v>
      </c>
      <c r="C27" s="28" t="n">
        <f aca="false">C8*Inputs!D18/1000</f>
        <v>3.8</v>
      </c>
      <c r="D27" s="28" t="n">
        <f aca="false">D8*Inputs!E18/1000</f>
        <v>4.5</v>
      </c>
      <c r="E27" s="28" t="n">
        <f aca="false">E8*Inputs!F18/1000</f>
        <v>5.5</v>
      </c>
      <c r="F27" s="28" t="n">
        <f aca="false">F8*Inputs!D18/1000</f>
        <v>3.8</v>
      </c>
      <c r="G27" s="28" t="n">
        <f aca="false">G8*Inputs!E18/1000</f>
        <v>4.5</v>
      </c>
      <c r="H27" s="28" t="n">
        <f aca="false">H8*Inputs!F18/1000</f>
        <v>5.5</v>
      </c>
      <c r="I27" s="28" t="n">
        <f aca="false">I8*Inputs!D18/1000</f>
        <v>3.8</v>
      </c>
      <c r="J27" s="28" t="n">
        <f aca="false">J8*Inputs!E18/1000</f>
        <v>4.5</v>
      </c>
      <c r="K27" s="28" t="n">
        <f aca="false">K8*Inputs!F18/1000</f>
        <v>5.5</v>
      </c>
      <c r="L27" s="28" t="n">
        <f aca="false">L8*Inputs!D18/1000</f>
        <v>3.8</v>
      </c>
      <c r="M27" s="28" t="n">
        <f aca="false">M8*Inputs!E18/1000</f>
        <v>4.5</v>
      </c>
      <c r="N27" s="28" t="n">
        <f aca="false">N8*Inputs!F18/1000</f>
        <v>5.5</v>
      </c>
      <c r="O27" s="28" t="n">
        <f aca="false">O8*Inputs!D18/1000</f>
        <v>3.8</v>
      </c>
      <c r="P27" s="28" t="n">
        <f aca="false">P8*Inputs!E18/1000</f>
        <v>4.5</v>
      </c>
      <c r="Q27" s="28" t="n">
        <f aca="false">Q8*Inputs!F18/1000</f>
        <v>5.5</v>
      </c>
    </row>
    <row r="28" customFormat="false" ht="15" hidden="false" customHeight="false" outlineLevel="0" collapsed="false">
      <c r="A28" s="13" t="s">
        <v>171</v>
      </c>
      <c r="B28" s="10" t="s">
        <v>165</v>
      </c>
      <c r="C28" s="28" t="n">
        <f aca="false">C8*Inputs!D19/1000</f>
        <v>2</v>
      </c>
      <c r="D28" s="28" t="n">
        <f aca="false">D8*Inputs!E19/1000</f>
        <v>2.5</v>
      </c>
      <c r="E28" s="28" t="n">
        <f aca="false">E8*Inputs!F19/1000</f>
        <v>3.2</v>
      </c>
      <c r="F28" s="28" t="n">
        <f aca="false">F8*Inputs!D19/1000</f>
        <v>2</v>
      </c>
      <c r="G28" s="28" t="n">
        <f aca="false">G8*Inputs!E19/1000</f>
        <v>2.5</v>
      </c>
      <c r="H28" s="28" t="n">
        <f aca="false">H8*Inputs!F19/1000</f>
        <v>3.2</v>
      </c>
      <c r="I28" s="28" t="n">
        <f aca="false">I8*Inputs!D19/1000</f>
        <v>2</v>
      </c>
      <c r="J28" s="28" t="n">
        <f aca="false">J8*Inputs!E19/1000</f>
        <v>2.5</v>
      </c>
      <c r="K28" s="28" t="n">
        <f aca="false">K8*Inputs!F19/1000</f>
        <v>3.2</v>
      </c>
      <c r="L28" s="28" t="n">
        <f aca="false">L8*Inputs!D19/1000</f>
        <v>2</v>
      </c>
      <c r="M28" s="28" t="n">
        <f aca="false">M8*Inputs!E19/1000</f>
        <v>2.5</v>
      </c>
      <c r="N28" s="28" t="n">
        <f aca="false">N8*Inputs!F19/1000</f>
        <v>3.2</v>
      </c>
      <c r="O28" s="28" t="n">
        <f aca="false">O8*Inputs!D19/1000</f>
        <v>2</v>
      </c>
      <c r="P28" s="28" t="n">
        <f aca="false">P8*Inputs!E19/1000</f>
        <v>2.5</v>
      </c>
      <c r="Q28" s="28" t="n">
        <f aca="false">Q8*Inputs!F19/1000</f>
        <v>3.2</v>
      </c>
    </row>
    <row r="29" customFormat="false" ht="15" hidden="false" customHeight="false" outlineLevel="0" collapsed="false">
      <c r="A29" s="13" t="s">
        <v>172</v>
      </c>
      <c r="B29" s="10" t="s">
        <v>165</v>
      </c>
      <c r="C29" s="28" t="n">
        <f aca="false">C8*Inputs!D20/1000</f>
        <v>0.3</v>
      </c>
      <c r="D29" s="28" t="n">
        <f aca="false">D8*Inputs!E20/1000</f>
        <v>0.4</v>
      </c>
      <c r="E29" s="28" t="n">
        <f aca="false">E8*Inputs!F20/1000</f>
        <v>0.5</v>
      </c>
      <c r="F29" s="28" t="n">
        <f aca="false">F8*Inputs!D20/1000</f>
        <v>0.3</v>
      </c>
      <c r="G29" s="28" t="n">
        <f aca="false">G8*Inputs!E20/1000</f>
        <v>0.4</v>
      </c>
      <c r="H29" s="28" t="n">
        <f aca="false">H8*Inputs!F20/1000</f>
        <v>0.5</v>
      </c>
      <c r="I29" s="28" t="n">
        <f aca="false">I8*Inputs!D20/1000</f>
        <v>0.3</v>
      </c>
      <c r="J29" s="28" t="n">
        <f aca="false">J8*Inputs!E20/1000</f>
        <v>0.4</v>
      </c>
      <c r="K29" s="28" t="n">
        <f aca="false">K8*Inputs!F20/1000</f>
        <v>0.5</v>
      </c>
      <c r="L29" s="28" t="n">
        <f aca="false">L8*Inputs!D20/1000</f>
        <v>0.3</v>
      </c>
      <c r="M29" s="28" t="n">
        <f aca="false">M8*Inputs!E20/1000</f>
        <v>0.4</v>
      </c>
      <c r="N29" s="28" t="n">
        <f aca="false">N8*Inputs!F20/1000</f>
        <v>0.5</v>
      </c>
      <c r="O29" s="28" t="n">
        <f aca="false">O8*Inputs!D20/1000</f>
        <v>0.3</v>
      </c>
      <c r="P29" s="28" t="n">
        <f aca="false">P8*Inputs!E20/1000</f>
        <v>0.4</v>
      </c>
      <c r="Q29" s="28" t="n">
        <f aca="false">Q8*Inputs!F20/1000</f>
        <v>0.5</v>
      </c>
    </row>
    <row r="30" customFormat="false" ht="15" hidden="false" customHeight="false" outlineLevel="0" collapsed="false">
      <c r="A30" s="13" t="s">
        <v>173</v>
      </c>
      <c r="B30" s="10" t="s">
        <v>41</v>
      </c>
      <c r="C30" s="23" t="n">
        <f aca="false">Inputs!D21</f>
        <v>0.12</v>
      </c>
      <c r="D30" s="23" t="n">
        <f aca="false">Inputs!E21</f>
        <v>0.15</v>
      </c>
      <c r="E30" s="23" t="n">
        <f aca="false">Inputs!F21</f>
        <v>0.18</v>
      </c>
      <c r="F30" s="23" t="n">
        <f aca="false">Inputs!D21</f>
        <v>0.12</v>
      </c>
      <c r="G30" s="23" t="n">
        <f aca="false">Inputs!E21</f>
        <v>0.15</v>
      </c>
      <c r="H30" s="23" t="n">
        <f aca="false">Inputs!F21</f>
        <v>0.18</v>
      </c>
      <c r="I30" s="23" t="n">
        <f aca="false">Inputs!D21</f>
        <v>0.12</v>
      </c>
      <c r="J30" s="23" t="n">
        <f aca="false">Inputs!E21</f>
        <v>0.15</v>
      </c>
      <c r="K30" s="23" t="n">
        <f aca="false">Inputs!F21</f>
        <v>0.18</v>
      </c>
      <c r="L30" s="23" t="n">
        <f aca="false">Inputs!D21</f>
        <v>0.12</v>
      </c>
      <c r="M30" s="23" t="n">
        <f aca="false">Inputs!E21</f>
        <v>0.15</v>
      </c>
      <c r="N30" s="23" t="n">
        <f aca="false">Inputs!F21</f>
        <v>0.18</v>
      </c>
      <c r="O30" s="23" t="n">
        <f aca="false">Inputs!D21</f>
        <v>0.12</v>
      </c>
      <c r="P30" s="23" t="n">
        <f aca="false">Inputs!E21</f>
        <v>0.15</v>
      </c>
      <c r="Q30" s="23" t="n">
        <f aca="false">Inputs!F21</f>
        <v>0.18</v>
      </c>
    </row>
    <row r="31" customFormat="false" ht="15" hidden="false" customHeight="false" outlineLevel="0" collapsed="false">
      <c r="A31" s="13" t="s">
        <v>71</v>
      </c>
      <c r="B31" s="10" t="s">
        <v>165</v>
      </c>
      <c r="C31" s="28" t="n">
        <f aca="false">(C26+C27+C28+C29)*C30</f>
        <v>1.092</v>
      </c>
      <c r="D31" s="28" t="n">
        <f aca="false">(D26+D27+D28+D29)*D30</f>
        <v>1.65</v>
      </c>
      <c r="E31" s="28" t="n">
        <f aca="false">(E26+E27+E28+E29)*E30</f>
        <v>2.466</v>
      </c>
      <c r="F31" s="28" t="n">
        <f aca="false">(F26+F27+F28+F29)*F30</f>
        <v>1.092</v>
      </c>
      <c r="G31" s="28" t="n">
        <f aca="false">(G26+G27+G28+G29)*G30</f>
        <v>1.65</v>
      </c>
      <c r="H31" s="28" t="n">
        <f aca="false">(H26+H27+H28+H29)*H30</f>
        <v>2.466</v>
      </c>
      <c r="I31" s="28" t="n">
        <f aca="false">(I26+I27+I28+I29)*I30</f>
        <v>1.092</v>
      </c>
      <c r="J31" s="28" t="n">
        <f aca="false">(J26+J27+J28+J29)*J30</f>
        <v>1.65</v>
      </c>
      <c r="K31" s="28" t="n">
        <f aca="false">(K26+K27+K28+K29)*K30</f>
        <v>2.466</v>
      </c>
      <c r="L31" s="28" t="n">
        <f aca="false">(L26+L27+L28+L29)*L30</f>
        <v>1.092</v>
      </c>
      <c r="M31" s="28" t="n">
        <f aca="false">(M26+M27+M28+M29)*M30</f>
        <v>1.65</v>
      </c>
      <c r="N31" s="28" t="n">
        <f aca="false">(N26+N27+N28+N29)*N30</f>
        <v>2.466</v>
      </c>
      <c r="O31" s="28" t="n">
        <f aca="false">(O26+O27+O28+O29)*O30</f>
        <v>1.092</v>
      </c>
      <c r="P31" s="28" t="n">
        <f aca="false">(P26+P27+P28+P29)*P30</f>
        <v>1.65</v>
      </c>
      <c r="Q31" s="28" t="n">
        <f aca="false">(Q26+Q27+Q28+Q29)*Q30</f>
        <v>2.466</v>
      </c>
    </row>
    <row r="32" customFormat="false" ht="15" hidden="false" customHeight="false" outlineLevel="0" collapsed="false">
      <c r="A32" s="13" t="s">
        <v>174</v>
      </c>
      <c r="B32" s="10" t="s">
        <v>165</v>
      </c>
      <c r="C32" s="28" t="n">
        <f aca="false">C25+C26+C27+C28+C29+C31</f>
        <v>10.212</v>
      </c>
      <c r="D32" s="28" t="n">
        <f aca="false">D25+D26+D27+D28+D29+D31</f>
        <v>12.67</v>
      </c>
      <c r="E32" s="28" t="n">
        <f aca="false">E25+E26+E27+E28+E29+E31</f>
        <v>16.186</v>
      </c>
      <c r="F32" s="28" t="n">
        <f aca="false">F25+F26+F27+F28+F29+F31</f>
        <v>10.212</v>
      </c>
      <c r="G32" s="28" t="n">
        <f aca="false">G25+G26+G27+G28+G29+G31</f>
        <v>12.67</v>
      </c>
      <c r="H32" s="28" t="n">
        <f aca="false">H25+H26+H27+H28+H29+H31</f>
        <v>16.186</v>
      </c>
      <c r="I32" s="28" t="n">
        <f aca="false">I25+I26+I27+I28+I29+I31</f>
        <v>10.212</v>
      </c>
      <c r="J32" s="28" t="n">
        <f aca="false">J25+J26+J27+J28+J29+J31</f>
        <v>12.67</v>
      </c>
      <c r="K32" s="28" t="n">
        <f aca="false">K25+K26+K27+K28+K29+K31</f>
        <v>16.186</v>
      </c>
      <c r="L32" s="28" t="n">
        <f aca="false">L25+L26+L27+L28+L29+L31</f>
        <v>10.212</v>
      </c>
      <c r="M32" s="28" t="n">
        <f aca="false">M25+M26+M27+M28+M29+M31</f>
        <v>12.67</v>
      </c>
      <c r="N32" s="28" t="n">
        <f aca="false">N25+N26+N27+N28+N29+N31</f>
        <v>16.186</v>
      </c>
      <c r="O32" s="28" t="n">
        <f aca="false">O25+O26+O27+O28+O29+O31</f>
        <v>10.212</v>
      </c>
      <c r="P32" s="28" t="n">
        <f aca="false">P25+P26+P27+P28+P29+P31</f>
        <v>12.67</v>
      </c>
      <c r="Q32" s="28" t="n">
        <f aca="false">Q25+Q26+Q27+Q28+Q29+Q31</f>
        <v>16.186</v>
      </c>
    </row>
    <row r="33" customFormat="false" ht="15" hidden="false" customHeight="false" outlineLevel="0" collapsed="false">
      <c r="A33" s="13" t="s">
        <v>175</v>
      </c>
      <c r="B33" s="10" t="s">
        <v>165</v>
      </c>
      <c r="C33" s="29" t="n">
        <f aca="false">C24+C32</f>
        <v>31.6322694</v>
      </c>
      <c r="D33" s="29" t="n">
        <f aca="false">D24+D32</f>
        <v>40.180214</v>
      </c>
      <c r="E33" s="29" t="n">
        <f aca="false">E24+E32</f>
        <v>50.3067434</v>
      </c>
      <c r="F33" s="29" t="n">
        <f aca="false">F24+F32</f>
        <v>31.1682816</v>
      </c>
      <c r="G33" s="29" t="n">
        <f aca="false">G24+G32</f>
        <v>37.053896</v>
      </c>
      <c r="H33" s="29" t="n">
        <f aca="false">H24+H32</f>
        <v>44.2607376</v>
      </c>
      <c r="I33" s="29" t="n">
        <f aca="false">I24+I32</f>
        <v>38.560044</v>
      </c>
      <c r="J33" s="29" t="n">
        <f aca="false">J24+J32</f>
        <v>49.84424</v>
      </c>
      <c r="K33" s="29" t="n">
        <f aca="false">K24+K32</f>
        <v>66.767409</v>
      </c>
      <c r="L33" s="29" t="n">
        <f aca="false">L24+L32</f>
        <v>38.8053432</v>
      </c>
      <c r="M33" s="29" t="n">
        <f aca="false">M24+M32</f>
        <v>47.582032</v>
      </c>
      <c r="N33" s="29" t="n">
        <f aca="false">N24+N32</f>
        <v>58.8235752</v>
      </c>
      <c r="O33" s="29" t="n">
        <f aca="false">O24+O32</f>
        <v>47.9440356</v>
      </c>
      <c r="P33" s="29" t="n">
        <f aca="false">P24+P32</f>
        <v>65.392936</v>
      </c>
      <c r="Q33" s="29" t="n">
        <f aca="false">Q24+Q32</f>
        <v>85.1176516</v>
      </c>
    </row>
    <row r="34" customFormat="false" ht="15" hidden="false" customHeight="false" outlineLevel="0" collapsed="false">
      <c r="A34" s="13" t="s">
        <v>176</v>
      </c>
      <c r="B34" s="10" t="s">
        <v>177</v>
      </c>
      <c r="C34" s="30" t="n">
        <f aca="false">C33*1000000/C14</f>
        <v>44.0531404585766</v>
      </c>
      <c r="D34" s="30" t="n">
        <f aca="false">D33*1000000/D14</f>
        <v>55.9575599402826</v>
      </c>
      <c r="E34" s="30" t="n">
        <f aca="false">E33*1000000/E14</f>
        <v>70.0604185235527</v>
      </c>
      <c r="F34" s="30" t="n">
        <f aca="false">F33*1000000/F14</f>
        <v>61.1776144714528</v>
      </c>
      <c r="G34" s="30" t="n">
        <f aca="false">G33*1000000/G14</f>
        <v>72.72999497519</v>
      </c>
      <c r="H34" s="30" t="n">
        <f aca="false">H33*1000000/H14</f>
        <v>86.8757019031468</v>
      </c>
      <c r="I34" s="30" t="n">
        <f aca="false">I33*1000000/I14</f>
        <v>79.7551998014396</v>
      </c>
      <c r="J34" s="30" t="n">
        <f aca="false">J33*1000000/J14</f>
        <v>103.094729875072</v>
      </c>
      <c r="K34" s="30" t="n">
        <f aca="false">K33*1000000/K14</f>
        <v>138.097561429635</v>
      </c>
      <c r="L34" s="30" t="n">
        <f aca="false">L33*1000000/L14</f>
        <v>133.011623889437</v>
      </c>
      <c r="M34" s="30" t="n">
        <f aca="false">M33*1000000/M14</f>
        <v>163.095151914007</v>
      </c>
      <c r="N34" s="30" t="n">
        <f aca="false">N33*1000000/N14</f>
        <v>201.627369200395</v>
      </c>
      <c r="O34" s="30" t="n">
        <f aca="false">O33*1000000/O14</f>
        <v>217.185056534029</v>
      </c>
      <c r="P34" s="30" t="n">
        <f aca="false">P33*1000000/P14</f>
        <v>296.228056823947</v>
      </c>
      <c r="Q34" s="30" t="n">
        <f aca="false">Q33*1000000/Q14</f>
        <v>385.580432340364</v>
      </c>
    </row>
    <row r="35" customFormat="false" ht="15" hidden="false" customHeight="false" outlineLevel="0" collapsed="false">
      <c r="A35" s="13" t="s">
        <v>178</v>
      </c>
      <c r="B35" s="10" t="s">
        <v>163</v>
      </c>
      <c r="C35" s="30" t="n">
        <f aca="false">C33*1000/C8</f>
        <v>31.6322694</v>
      </c>
      <c r="D35" s="30" t="n">
        <f aca="false">D33*1000/D8</f>
        <v>40.180214</v>
      </c>
      <c r="E35" s="30" t="n">
        <f aca="false">E33*1000/E8</f>
        <v>50.3067434</v>
      </c>
      <c r="F35" s="30" t="n">
        <f aca="false">F33*1000/F8</f>
        <v>31.1682816</v>
      </c>
      <c r="G35" s="30" t="n">
        <f aca="false">G33*1000/G8</f>
        <v>37.053896</v>
      </c>
      <c r="H35" s="30" t="n">
        <f aca="false">H33*1000/H8</f>
        <v>44.2607376</v>
      </c>
      <c r="I35" s="30" t="n">
        <f aca="false">I33*1000/I8</f>
        <v>38.560044</v>
      </c>
      <c r="J35" s="30" t="n">
        <f aca="false">J33*1000/J8</f>
        <v>49.84424</v>
      </c>
      <c r="K35" s="30" t="n">
        <f aca="false">K33*1000/K8</f>
        <v>66.767409</v>
      </c>
      <c r="L35" s="30" t="n">
        <f aca="false">L33*1000/L8</f>
        <v>38.8053432</v>
      </c>
      <c r="M35" s="30" t="n">
        <f aca="false">M33*1000/M8</f>
        <v>47.582032</v>
      </c>
      <c r="N35" s="30" t="n">
        <f aca="false">N33*1000/N8</f>
        <v>58.8235752</v>
      </c>
      <c r="O35" s="30" t="n">
        <f aca="false">O33*1000/O8</f>
        <v>47.9440356</v>
      </c>
      <c r="P35" s="30" t="n">
        <f aca="false">P33*1000/P8</f>
        <v>65.392936</v>
      </c>
      <c r="Q35" s="30" t="n">
        <f aca="false">Q33*1000/Q8</f>
        <v>85.1176516</v>
      </c>
    </row>
    <row r="36" customFormat="false" ht="15" hidden="false" customHeight="false" outlineLevel="0" collapsed="false">
      <c r="A36" s="13" t="s">
        <v>179</v>
      </c>
      <c r="B36" s="10" t="s">
        <v>163</v>
      </c>
      <c r="C36" s="28" t="n">
        <f aca="false">C32*1000/C8</f>
        <v>10.212</v>
      </c>
      <c r="D36" s="28" t="n">
        <f aca="false">D32*1000/D8</f>
        <v>12.67</v>
      </c>
      <c r="E36" s="28" t="n">
        <f aca="false">E32*1000/E8</f>
        <v>16.186</v>
      </c>
      <c r="F36" s="28" t="n">
        <f aca="false">F32*1000/F8</f>
        <v>10.212</v>
      </c>
      <c r="G36" s="28" t="n">
        <f aca="false">G32*1000/G8</f>
        <v>12.67</v>
      </c>
      <c r="H36" s="28" t="n">
        <f aca="false">H32*1000/H8</f>
        <v>16.186</v>
      </c>
      <c r="I36" s="28" t="n">
        <f aca="false">I32*1000/I8</f>
        <v>10.212</v>
      </c>
      <c r="J36" s="28" t="n">
        <f aca="false">J32*1000/J8</f>
        <v>12.67</v>
      </c>
      <c r="K36" s="28" t="n">
        <f aca="false">K32*1000/K8</f>
        <v>16.186</v>
      </c>
      <c r="L36" s="28" t="n">
        <f aca="false">L32*1000/L8</f>
        <v>10.212</v>
      </c>
      <c r="M36" s="28" t="n">
        <f aca="false">M32*1000/M8</f>
        <v>12.67</v>
      </c>
      <c r="N36" s="28" t="n">
        <f aca="false">N32*1000/N8</f>
        <v>16.186</v>
      </c>
      <c r="O36" s="28" t="n">
        <f aca="false">O32*1000/O8</f>
        <v>10.212</v>
      </c>
      <c r="P36" s="28" t="n">
        <f aca="false">P32*1000/P8</f>
        <v>12.67</v>
      </c>
      <c r="Q36" s="28" t="n">
        <f aca="false">Q32*1000/Q8</f>
        <v>16.186</v>
      </c>
    </row>
    <row r="37" customFormat="false" ht="15" hidden="false" customHeight="false" outlineLevel="0" collapsed="false">
      <c r="A37" s="18" t="s">
        <v>180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customFormat="false" ht="15" hidden="false" customHeight="false" outlineLevel="0" collapsed="false">
      <c r="A38" s="9" t="s">
        <v>181</v>
      </c>
      <c r="B38" s="14" t="s">
        <v>76</v>
      </c>
      <c r="C38" s="31" t="n">
        <f aca="false">Inputs!D23</f>
        <v>6</v>
      </c>
      <c r="D38" s="31" t="n">
        <f aca="false">Inputs!E23</f>
        <v>6</v>
      </c>
      <c r="E38" s="31" t="n">
        <f aca="false">Inputs!F23</f>
        <v>4</v>
      </c>
      <c r="F38" s="31" t="n">
        <f aca="false">Inputs!D23</f>
        <v>6</v>
      </c>
      <c r="G38" s="31" t="n">
        <f aca="false">Inputs!E23</f>
        <v>6</v>
      </c>
      <c r="H38" s="31" t="n">
        <f aca="false">Inputs!F23</f>
        <v>4</v>
      </c>
      <c r="I38" s="31" t="n">
        <f aca="false">Inputs!D23</f>
        <v>6</v>
      </c>
      <c r="J38" s="31" t="n">
        <f aca="false">Inputs!E23</f>
        <v>6</v>
      </c>
      <c r="K38" s="31" t="n">
        <f aca="false">Inputs!F23</f>
        <v>4</v>
      </c>
      <c r="L38" s="31" t="n">
        <f aca="false">Inputs!D23</f>
        <v>6</v>
      </c>
      <c r="M38" s="31" t="n">
        <f aca="false">Inputs!E23</f>
        <v>6</v>
      </c>
      <c r="N38" s="31" t="n">
        <f aca="false">Inputs!F23</f>
        <v>4</v>
      </c>
      <c r="O38" s="31" t="n">
        <f aca="false">Inputs!D23</f>
        <v>6</v>
      </c>
      <c r="P38" s="31" t="n">
        <f aca="false">Inputs!E23</f>
        <v>6</v>
      </c>
      <c r="Q38" s="31" t="n">
        <f aca="false">Inputs!F23</f>
        <v>4</v>
      </c>
    </row>
    <row r="39" customFormat="false" ht="15" hidden="false" customHeight="false" outlineLevel="0" collapsed="false">
      <c r="A39" s="9" t="s">
        <v>182</v>
      </c>
      <c r="B39" s="10" t="s">
        <v>165</v>
      </c>
      <c r="C39" s="28" t="n">
        <f aca="false">C24/C38</f>
        <v>3.5700449</v>
      </c>
      <c r="D39" s="28" t="n">
        <f aca="false">D24/D38</f>
        <v>4.58503566666667</v>
      </c>
      <c r="E39" s="28" t="n">
        <f aca="false">E24/E38</f>
        <v>8.53018585</v>
      </c>
      <c r="F39" s="28" t="n">
        <f aca="false">F24/F38</f>
        <v>3.4927136</v>
      </c>
      <c r="G39" s="28" t="n">
        <f aca="false">G24/G38</f>
        <v>4.06398266666667</v>
      </c>
      <c r="H39" s="28" t="n">
        <f aca="false">H24/H38</f>
        <v>7.0186844</v>
      </c>
      <c r="I39" s="28" t="n">
        <f aca="false">I24/I38</f>
        <v>4.724674</v>
      </c>
      <c r="J39" s="28" t="n">
        <f aca="false">J24/J38</f>
        <v>6.19570666666667</v>
      </c>
      <c r="K39" s="28" t="n">
        <f aca="false">K24/K38</f>
        <v>12.64535225</v>
      </c>
      <c r="L39" s="28" t="n">
        <f aca="false">L24/L38</f>
        <v>4.7655572</v>
      </c>
      <c r="M39" s="28" t="n">
        <f aca="false">M24/M38</f>
        <v>5.818672</v>
      </c>
      <c r="N39" s="28" t="n">
        <f aca="false">N24/N38</f>
        <v>10.6593938</v>
      </c>
      <c r="O39" s="28" t="n">
        <f aca="false">O24/O38</f>
        <v>6.2886726</v>
      </c>
      <c r="P39" s="28" t="n">
        <f aca="false">P24/P38</f>
        <v>8.787156</v>
      </c>
      <c r="Q39" s="28" t="n">
        <f aca="false">Q24/Q38</f>
        <v>17.2329129</v>
      </c>
    </row>
    <row r="40" customFormat="false" ht="15" hidden="false" customHeight="false" outlineLevel="0" collapsed="false">
      <c r="A40" s="13" t="s">
        <v>183</v>
      </c>
      <c r="B40" s="10" t="s">
        <v>165</v>
      </c>
      <c r="C40" s="28" t="n">
        <f aca="false">(C26/Inputs!D24+C27/Inputs!D25+C28/Inputs!D26+C29/Inputs!D27)*(1+C30)</f>
        <v>0.507733333333333</v>
      </c>
      <c r="D40" s="28" t="n">
        <f aca="false">(D26/Inputs!E24+D27/Inputs!E25+D28/Inputs!E26+D29/Inputs!E27)*(1+D30)</f>
        <v>0.634416666666667</v>
      </c>
      <c r="E40" s="28" t="n">
        <f aca="false">(E26/Inputs!F24+E27/Inputs!F25+E28/Inputs!F26+E29/Inputs!F27)*(1+E30)</f>
        <v>0.812233333333334</v>
      </c>
      <c r="F40" s="28" t="n">
        <f aca="false">(F26/Inputs!D24+F27/Inputs!D25+F28/Inputs!D26+F29/Inputs!D27)*(1+F30)</f>
        <v>0.507733333333333</v>
      </c>
      <c r="G40" s="28" t="n">
        <f aca="false">(G26/Inputs!E24+G27/Inputs!E25+G28/Inputs!E26+G29/Inputs!E27)*(1+G30)</f>
        <v>0.634416666666667</v>
      </c>
      <c r="H40" s="28" t="n">
        <f aca="false">(H26/Inputs!F24+H27/Inputs!F25+H28/Inputs!F26+H29/Inputs!F27)*(1+H30)</f>
        <v>0.812233333333334</v>
      </c>
      <c r="I40" s="28" t="n">
        <f aca="false">(I26/Inputs!D24+I27/Inputs!D25+I28/Inputs!D26+I29/Inputs!D27)*(1+I30)</f>
        <v>0.507733333333333</v>
      </c>
      <c r="J40" s="28" t="n">
        <f aca="false">(J26/Inputs!E24+J27/Inputs!E25+J28/Inputs!E26+J29/Inputs!E27)*(1+J30)</f>
        <v>0.634416666666667</v>
      </c>
      <c r="K40" s="28" t="n">
        <f aca="false">(K26/Inputs!F24+K27/Inputs!F25+K28/Inputs!F26+K29/Inputs!F27)*(1+K30)</f>
        <v>0.812233333333334</v>
      </c>
      <c r="L40" s="28" t="n">
        <f aca="false">(L26/Inputs!D24+L27/Inputs!D25+L28/Inputs!D26+L29/Inputs!D27)*(1+L30)</f>
        <v>0.507733333333333</v>
      </c>
      <c r="M40" s="28" t="n">
        <f aca="false">(M26/Inputs!E24+M27/Inputs!E25+M28/Inputs!E26+M29/Inputs!E27)*(1+M30)</f>
        <v>0.634416666666667</v>
      </c>
      <c r="N40" s="28" t="n">
        <f aca="false">(N26/Inputs!F24+N27/Inputs!F25+N28/Inputs!F26+N29/Inputs!F27)*(1+N30)</f>
        <v>0.812233333333334</v>
      </c>
      <c r="O40" s="28" t="n">
        <f aca="false">(O26/Inputs!D24+O27/Inputs!D25+O28/Inputs!D26+O29/Inputs!D27)*(1+O30)</f>
        <v>0.507733333333333</v>
      </c>
      <c r="P40" s="28" t="n">
        <f aca="false">(P26/Inputs!E24+P27/Inputs!E25+P28/Inputs!E26+P29/Inputs!E27)*(1+P30)</f>
        <v>0.634416666666667</v>
      </c>
      <c r="Q40" s="28" t="n">
        <f aca="false">(Q26/Inputs!F24+Q27/Inputs!F25+Q28/Inputs!F26+Q29/Inputs!F27)*(1+Q30)</f>
        <v>0.812233333333334</v>
      </c>
    </row>
    <row r="41" customFormat="false" ht="15" hidden="false" customHeight="false" outlineLevel="0" collapsed="false">
      <c r="A41" s="13" t="s">
        <v>48</v>
      </c>
      <c r="B41" s="10" t="s">
        <v>41</v>
      </c>
      <c r="C41" s="23" t="n">
        <f aca="false">Inputs!D10</f>
        <v>0.7</v>
      </c>
      <c r="D41" s="23" t="n">
        <f aca="false">Inputs!E10</f>
        <v>0.8</v>
      </c>
      <c r="E41" s="23" t="n">
        <f aca="false">Inputs!F10</f>
        <v>0.9</v>
      </c>
      <c r="F41" s="23" t="n">
        <f aca="false">Inputs!D10</f>
        <v>0.7</v>
      </c>
      <c r="G41" s="23" t="n">
        <f aca="false">Inputs!E10</f>
        <v>0.8</v>
      </c>
      <c r="H41" s="23" t="n">
        <f aca="false">Inputs!F10</f>
        <v>0.9</v>
      </c>
      <c r="I41" s="23" t="n">
        <f aca="false">Inputs!D10</f>
        <v>0.7</v>
      </c>
      <c r="J41" s="23" t="n">
        <f aca="false">Inputs!E10</f>
        <v>0.8</v>
      </c>
      <c r="K41" s="23" t="n">
        <f aca="false">Inputs!F10</f>
        <v>0.9</v>
      </c>
      <c r="L41" s="23" t="n">
        <f aca="false">Inputs!D10</f>
        <v>0.7</v>
      </c>
      <c r="M41" s="23" t="n">
        <f aca="false">Inputs!E10</f>
        <v>0.8</v>
      </c>
      <c r="N41" s="23" t="n">
        <f aca="false">Inputs!F10</f>
        <v>0.9</v>
      </c>
      <c r="O41" s="23" t="n">
        <f aca="false">Inputs!D10</f>
        <v>0.7</v>
      </c>
      <c r="P41" s="23" t="n">
        <f aca="false">Inputs!E10</f>
        <v>0.8</v>
      </c>
      <c r="Q41" s="23" t="n">
        <f aca="false">Inputs!F10</f>
        <v>0.9</v>
      </c>
    </row>
    <row r="42" customFormat="false" ht="15" hidden="false" customHeight="false" outlineLevel="0" collapsed="false">
      <c r="A42" s="13" t="s">
        <v>50</v>
      </c>
      <c r="B42" s="10" t="s">
        <v>51</v>
      </c>
      <c r="C42" s="32" t="n">
        <f aca="false">Inputs!D11</f>
        <v>0.06</v>
      </c>
      <c r="D42" s="32" t="n">
        <f aca="false">Inputs!E11</f>
        <v>0.08</v>
      </c>
      <c r="E42" s="32" t="n">
        <f aca="false">Inputs!F11</f>
        <v>0.1</v>
      </c>
      <c r="F42" s="32" t="n">
        <f aca="false">Inputs!D11</f>
        <v>0.06</v>
      </c>
      <c r="G42" s="32" t="n">
        <f aca="false">Inputs!E11</f>
        <v>0.08</v>
      </c>
      <c r="H42" s="32" t="n">
        <f aca="false">Inputs!F11</f>
        <v>0.1</v>
      </c>
      <c r="I42" s="32" t="n">
        <f aca="false">Inputs!D11</f>
        <v>0.06</v>
      </c>
      <c r="J42" s="32" t="n">
        <f aca="false">Inputs!E11</f>
        <v>0.08</v>
      </c>
      <c r="K42" s="32" t="n">
        <f aca="false">Inputs!F11</f>
        <v>0.1</v>
      </c>
      <c r="L42" s="32" t="n">
        <f aca="false">Inputs!D11</f>
        <v>0.06</v>
      </c>
      <c r="M42" s="32" t="n">
        <f aca="false">Inputs!E11</f>
        <v>0.08</v>
      </c>
      <c r="N42" s="32" t="n">
        <f aca="false">Inputs!F11</f>
        <v>0.1</v>
      </c>
      <c r="O42" s="32" t="n">
        <f aca="false">Inputs!D11</f>
        <v>0.06</v>
      </c>
      <c r="P42" s="32" t="n">
        <f aca="false">Inputs!E11</f>
        <v>0.08</v>
      </c>
      <c r="Q42" s="32" t="n">
        <f aca="false">Inputs!F11</f>
        <v>0.1</v>
      </c>
    </row>
    <row r="43" customFormat="false" ht="15" hidden="false" customHeight="false" outlineLevel="0" collapsed="false">
      <c r="A43" s="13" t="s">
        <v>184</v>
      </c>
      <c r="B43" s="10" t="s">
        <v>165</v>
      </c>
      <c r="C43" s="28" t="n">
        <f aca="false">C8*1000*C41*C15*8760*C42/1000000000</f>
        <v>0.404712</v>
      </c>
      <c r="D43" s="28" t="n">
        <f aca="false">D8*1000*D41*D15*8760*D42/1000000000</f>
        <v>0.672768</v>
      </c>
      <c r="E43" s="28" t="n">
        <f aca="false">E8*1000*E41*E15*8760*E42/1000000000</f>
        <v>1.02492</v>
      </c>
      <c r="F43" s="28" t="n">
        <f aca="false">F8*1000*F41*F15*8760*F42/1000000000</f>
        <v>0.404712</v>
      </c>
      <c r="G43" s="28" t="n">
        <f aca="false">G8*1000*G41*G15*8760*G42/1000000000</f>
        <v>0.672768</v>
      </c>
      <c r="H43" s="28" t="n">
        <f aca="false">H8*1000*H41*H15*8760*H42/1000000000</f>
        <v>1.02492</v>
      </c>
      <c r="I43" s="28" t="n">
        <f aca="false">I8*1000*I41*I15*8760*I42/1000000000</f>
        <v>0.404712</v>
      </c>
      <c r="J43" s="28" t="n">
        <f aca="false">J8*1000*J41*J15*8760*J42/1000000000</f>
        <v>0.672768</v>
      </c>
      <c r="K43" s="28" t="n">
        <f aca="false">K8*1000*K41*K15*8760*K42/1000000000</f>
        <v>1.02492</v>
      </c>
      <c r="L43" s="28" t="n">
        <f aca="false">L8*1000*L41*L15*8760*L42/1000000000</f>
        <v>0.404712</v>
      </c>
      <c r="M43" s="28" t="n">
        <f aca="false">M8*1000*M41*M15*8760*M42/1000000000</f>
        <v>0.672768</v>
      </c>
      <c r="N43" s="28" t="n">
        <f aca="false">N8*1000*N41*N15*8760*N42/1000000000</f>
        <v>1.02492</v>
      </c>
      <c r="O43" s="28" t="n">
        <f aca="false">O8*1000*O41*O15*8760*O42/1000000000</f>
        <v>0.404712</v>
      </c>
      <c r="P43" s="28" t="n">
        <f aca="false">P8*1000*P41*P15*8760*P42/1000000000</f>
        <v>0.672768</v>
      </c>
      <c r="Q43" s="28" t="n">
        <f aca="false">Q8*1000*Q41*Q15*8760*Q42/1000000000</f>
        <v>1.02492</v>
      </c>
    </row>
    <row r="44" customFormat="false" ht="15" hidden="false" customHeight="false" outlineLevel="0" collapsed="false">
      <c r="A44" s="9" t="s">
        <v>87</v>
      </c>
      <c r="B44" s="10" t="s">
        <v>165</v>
      </c>
      <c r="C44" s="28" t="n">
        <f aca="false">C24*Inputs!D30</f>
        <v>0.428405388</v>
      </c>
      <c r="D44" s="28" t="n">
        <f aca="false">D24*Inputs!E30</f>
        <v>0.82530642</v>
      </c>
      <c r="E44" s="28" t="n">
        <f aca="false">E24*Inputs!F30</f>
        <v>1.364829736</v>
      </c>
      <c r="F44" s="28" t="n">
        <f aca="false">F24*Inputs!D30</f>
        <v>0.419125632</v>
      </c>
      <c r="G44" s="28" t="n">
        <f aca="false">G24*Inputs!E30</f>
        <v>0.73151688</v>
      </c>
      <c r="H44" s="28" t="n">
        <f aca="false">H24*Inputs!F30</f>
        <v>1.122989504</v>
      </c>
      <c r="I44" s="28" t="n">
        <f aca="false">I24*Inputs!D30</f>
        <v>0.56696088</v>
      </c>
      <c r="J44" s="28" t="n">
        <f aca="false">J24*Inputs!E30</f>
        <v>1.1152272</v>
      </c>
      <c r="K44" s="28" t="n">
        <f aca="false">K24*Inputs!F30</f>
        <v>2.02325636</v>
      </c>
      <c r="L44" s="28" t="n">
        <f aca="false">L24*Inputs!D30</f>
        <v>0.571866864</v>
      </c>
      <c r="M44" s="28" t="n">
        <f aca="false">M24*Inputs!E30</f>
        <v>1.04736096</v>
      </c>
      <c r="N44" s="28" t="n">
        <f aca="false">N24*Inputs!F30</f>
        <v>1.705503008</v>
      </c>
      <c r="O44" s="28" t="n">
        <f aca="false">O24*Inputs!D30</f>
        <v>0.754640712</v>
      </c>
      <c r="P44" s="28" t="n">
        <f aca="false">P24*Inputs!E30</f>
        <v>1.58168808</v>
      </c>
      <c r="Q44" s="28" t="n">
        <f aca="false">Q24*Inputs!F30</f>
        <v>2.757266064</v>
      </c>
    </row>
    <row r="45" customFormat="false" ht="15" hidden="false" customHeight="false" outlineLevel="0" collapsed="false">
      <c r="A45" s="13" t="s">
        <v>90</v>
      </c>
      <c r="B45" s="10" t="s">
        <v>165</v>
      </c>
      <c r="C45" s="28" t="n">
        <f aca="false">C32*Inputs!D31</f>
        <v>0.15318</v>
      </c>
      <c r="D45" s="28" t="n">
        <f aca="false">D32*Inputs!E31</f>
        <v>0.2534</v>
      </c>
      <c r="E45" s="28" t="n">
        <f aca="false">E32*Inputs!F31</f>
        <v>0.40465</v>
      </c>
      <c r="F45" s="28" t="n">
        <f aca="false">F32*Inputs!D31</f>
        <v>0.15318</v>
      </c>
      <c r="G45" s="28" t="n">
        <f aca="false">G32*Inputs!E31</f>
        <v>0.2534</v>
      </c>
      <c r="H45" s="28" t="n">
        <f aca="false">H32*Inputs!F31</f>
        <v>0.40465</v>
      </c>
      <c r="I45" s="28" t="n">
        <f aca="false">I32*Inputs!D31</f>
        <v>0.15318</v>
      </c>
      <c r="J45" s="28" t="n">
        <f aca="false">J32*Inputs!E31</f>
        <v>0.2534</v>
      </c>
      <c r="K45" s="28" t="n">
        <f aca="false">K32*Inputs!F31</f>
        <v>0.40465</v>
      </c>
      <c r="L45" s="28" t="n">
        <f aca="false">L32*Inputs!D31</f>
        <v>0.15318</v>
      </c>
      <c r="M45" s="28" t="n">
        <f aca="false">M32*Inputs!E31</f>
        <v>0.2534</v>
      </c>
      <c r="N45" s="28" t="n">
        <f aca="false">N32*Inputs!F31</f>
        <v>0.40465</v>
      </c>
      <c r="O45" s="28" t="n">
        <f aca="false">O32*Inputs!D31</f>
        <v>0.15318</v>
      </c>
      <c r="P45" s="28" t="n">
        <f aca="false">P32*Inputs!E31</f>
        <v>0.2534</v>
      </c>
      <c r="Q45" s="28" t="n">
        <f aca="false">Q32*Inputs!F31</f>
        <v>0.40465</v>
      </c>
    </row>
    <row r="46" customFormat="false" ht="15" hidden="false" customHeight="false" outlineLevel="0" collapsed="false">
      <c r="A46" s="13" t="s">
        <v>185</v>
      </c>
      <c r="B46" s="10" t="s">
        <v>165</v>
      </c>
      <c r="C46" s="28" t="n">
        <f aca="false">(Inputs!D32*C8/1000+Inputs!D33*C8/1000+Inputs!D34*C8)/1000</f>
        <v>0.24</v>
      </c>
      <c r="D46" s="28" t="n">
        <f aca="false">(Inputs!E32*D8/1000+Inputs!E33*D8/1000+Inputs!E34*D8)/1000</f>
        <v>0.325</v>
      </c>
      <c r="E46" s="28" t="n">
        <f aca="false">(Inputs!F32*E8/1000+Inputs!F33*E8/1000+Inputs!F34*E8)/1000</f>
        <v>0.41</v>
      </c>
      <c r="F46" s="28" t="n">
        <f aca="false">(Inputs!D32*F8/1000+Inputs!D33*F8/1000+Inputs!D34*F8)/1000</f>
        <v>0.24</v>
      </c>
      <c r="G46" s="28" t="n">
        <f aca="false">(Inputs!E32*G8/1000+Inputs!E33*G8/1000+Inputs!E34*G8)/1000</f>
        <v>0.325</v>
      </c>
      <c r="H46" s="28" t="n">
        <f aca="false">(Inputs!F32*H8/1000+Inputs!F33*H8/1000+Inputs!F34*H8)/1000</f>
        <v>0.41</v>
      </c>
      <c r="I46" s="28" t="n">
        <f aca="false">(Inputs!D32*I8/1000+Inputs!D33*I8/1000+Inputs!D34*I8)/1000</f>
        <v>0.24</v>
      </c>
      <c r="J46" s="28" t="n">
        <f aca="false">(Inputs!E32*J8/1000+Inputs!E33*J8/1000+Inputs!E34*J8)/1000</f>
        <v>0.325</v>
      </c>
      <c r="K46" s="28" t="n">
        <f aca="false">(Inputs!F32*K8/1000+Inputs!F33*K8/1000+Inputs!F34*K8)/1000</f>
        <v>0.41</v>
      </c>
      <c r="L46" s="28" t="n">
        <f aca="false">(Inputs!D32*L8/1000+Inputs!D33*L8/1000+Inputs!D34*L8)/1000</f>
        <v>0.24</v>
      </c>
      <c r="M46" s="28" t="n">
        <f aca="false">(Inputs!E32*M8/1000+Inputs!E33*M8/1000+Inputs!E34*M8)/1000</f>
        <v>0.325</v>
      </c>
      <c r="N46" s="28" t="n">
        <f aca="false">(Inputs!F32*N8/1000+Inputs!F33*N8/1000+Inputs!F34*N8)/1000</f>
        <v>0.41</v>
      </c>
      <c r="O46" s="28" t="n">
        <f aca="false">(Inputs!D32*O8/1000+Inputs!D33*O8/1000+Inputs!D34*O8)/1000</f>
        <v>0.24</v>
      </c>
      <c r="P46" s="28" t="n">
        <f aca="false">(Inputs!E32*P8/1000+Inputs!E33*P8/1000+Inputs!E34*P8)/1000</f>
        <v>0.325</v>
      </c>
      <c r="Q46" s="28" t="n">
        <f aca="false">(Inputs!F32*Q8/1000+Inputs!F33*Q8/1000+Inputs!F34*Q8)/1000</f>
        <v>0.41</v>
      </c>
    </row>
    <row r="47" customFormat="false" ht="15" hidden="false" customHeight="false" outlineLevel="0" collapsed="false">
      <c r="A47" s="13" t="s">
        <v>101</v>
      </c>
      <c r="B47" s="10" t="s">
        <v>165</v>
      </c>
      <c r="C47" s="28" t="n">
        <f aca="false">C33*Inputs!D35</f>
        <v>0.0948968082</v>
      </c>
      <c r="D47" s="28" t="n">
        <f aca="false">D33*Inputs!E35</f>
        <v>0.20090107</v>
      </c>
      <c r="E47" s="28" t="n">
        <f aca="false">E33*Inputs!F35</f>
        <v>0.4024539472</v>
      </c>
      <c r="F47" s="28" t="n">
        <f aca="false">F33*Inputs!D35</f>
        <v>0.0935048448</v>
      </c>
      <c r="G47" s="28" t="n">
        <f aca="false">G33*Inputs!E35</f>
        <v>0.18526948</v>
      </c>
      <c r="H47" s="28" t="n">
        <f aca="false">H33*Inputs!F35</f>
        <v>0.3540859008</v>
      </c>
      <c r="I47" s="28" t="n">
        <f aca="false">I33*Inputs!D35</f>
        <v>0.115680132</v>
      </c>
      <c r="J47" s="28" t="n">
        <f aca="false">J33*Inputs!E35</f>
        <v>0.2492212</v>
      </c>
      <c r="K47" s="28" t="n">
        <f aca="false">K33*Inputs!F35</f>
        <v>0.534139272</v>
      </c>
      <c r="L47" s="28" t="n">
        <f aca="false">L33*Inputs!D35</f>
        <v>0.1164160296</v>
      </c>
      <c r="M47" s="28" t="n">
        <f aca="false">M33*Inputs!E35</f>
        <v>0.23791016</v>
      </c>
      <c r="N47" s="28" t="n">
        <f aca="false">N33*Inputs!F35</f>
        <v>0.4705886016</v>
      </c>
      <c r="O47" s="28" t="n">
        <f aca="false">O33*Inputs!D35</f>
        <v>0.1438321068</v>
      </c>
      <c r="P47" s="28" t="n">
        <f aca="false">P33*Inputs!E35</f>
        <v>0.32696468</v>
      </c>
      <c r="Q47" s="28" t="n">
        <f aca="false">Q33*Inputs!F35</f>
        <v>0.6809412128</v>
      </c>
    </row>
    <row r="48" customFormat="false" ht="15" hidden="false" customHeight="false" outlineLevel="0" collapsed="false">
      <c r="A48" s="13" t="s">
        <v>186</v>
      </c>
      <c r="B48" s="10" t="s">
        <v>165</v>
      </c>
      <c r="C48" s="28" t="n">
        <f aca="false">C43+C44+C45+C46+C47</f>
        <v>1.3211941962</v>
      </c>
      <c r="D48" s="28" t="n">
        <f aca="false">D43+D44+D45+D46+D47</f>
        <v>2.27737549</v>
      </c>
      <c r="E48" s="28" t="n">
        <f aca="false">E43+E44+E45+E46+E47</f>
        <v>3.6068536832</v>
      </c>
      <c r="F48" s="28" t="n">
        <f aca="false">F43+F44+F45+F46+F47</f>
        <v>1.3105224768</v>
      </c>
      <c r="G48" s="28" t="n">
        <f aca="false">G43+G44+G45+G46+G47</f>
        <v>2.16795436</v>
      </c>
      <c r="H48" s="28" t="n">
        <f aca="false">H43+H44+H45+H46+H47</f>
        <v>3.3166454048</v>
      </c>
      <c r="I48" s="28" t="n">
        <f aca="false">I43+I44+I45+I46+I47</f>
        <v>1.480533012</v>
      </c>
      <c r="J48" s="28" t="n">
        <f aca="false">J43+J44+J45+J46+J47</f>
        <v>2.6156164</v>
      </c>
      <c r="K48" s="28" t="n">
        <f aca="false">K43+K44+K45+K46+K47</f>
        <v>4.396965632</v>
      </c>
      <c r="L48" s="28" t="n">
        <f aca="false">L43+L44+L45+L46+L47</f>
        <v>1.4861748936</v>
      </c>
      <c r="M48" s="28" t="n">
        <f aca="false">M43+M44+M45+M46+M47</f>
        <v>2.53643912</v>
      </c>
      <c r="N48" s="28" t="n">
        <f aca="false">N43+N44+N45+N46+N47</f>
        <v>4.0156616096</v>
      </c>
      <c r="O48" s="28" t="n">
        <f aca="false">O43+O44+O45+O46+O47</f>
        <v>1.6963648188</v>
      </c>
      <c r="P48" s="28" t="n">
        <f aca="false">P43+P44+P45+P46+P47</f>
        <v>3.15982076</v>
      </c>
      <c r="Q48" s="28" t="n">
        <f aca="false">Q43+Q44+Q45+Q46+Q47</f>
        <v>5.2777772768</v>
      </c>
    </row>
    <row r="49" customFormat="false" ht="15" hidden="false" customHeight="false" outlineLevel="0" collapsed="false">
      <c r="A49" s="13" t="s">
        <v>187</v>
      </c>
      <c r="B49" s="10" t="s">
        <v>165</v>
      </c>
      <c r="C49" s="29" t="n">
        <f aca="false">C39+C40+C48</f>
        <v>5.39897242953333</v>
      </c>
      <c r="D49" s="29" t="n">
        <f aca="false">D39+D40+D48</f>
        <v>7.49682782333333</v>
      </c>
      <c r="E49" s="29" t="n">
        <f aca="false">E39+E40+E48</f>
        <v>12.9492728665333</v>
      </c>
      <c r="F49" s="29" t="n">
        <f aca="false">F39+F40+F48</f>
        <v>5.31096941013333</v>
      </c>
      <c r="G49" s="29" t="n">
        <f aca="false">G39+G40+G48</f>
        <v>6.86635369333333</v>
      </c>
      <c r="H49" s="29" t="n">
        <f aca="false">H39+H40+H48</f>
        <v>11.1475631381333</v>
      </c>
      <c r="I49" s="29" t="n">
        <f aca="false">I39+I40+I48</f>
        <v>6.71294034533333</v>
      </c>
      <c r="J49" s="29" t="n">
        <f aca="false">J39+J40+J48</f>
        <v>9.44573973333333</v>
      </c>
      <c r="K49" s="29" t="n">
        <f aca="false">K39+K40+K48</f>
        <v>17.8545512153333</v>
      </c>
      <c r="L49" s="29" t="n">
        <f aca="false">L39+L40+L48</f>
        <v>6.75946542693333</v>
      </c>
      <c r="M49" s="29" t="n">
        <f aca="false">M39+M40+M48</f>
        <v>8.98952778666667</v>
      </c>
      <c r="N49" s="29" t="n">
        <f aca="false">N39+N40+N48</f>
        <v>15.4872887429333</v>
      </c>
      <c r="O49" s="29" t="n">
        <f aca="false">O39+O40+O48</f>
        <v>8.49277075213334</v>
      </c>
      <c r="P49" s="29" t="n">
        <f aca="false">P39+P40+P48</f>
        <v>12.5813934266667</v>
      </c>
      <c r="Q49" s="29" t="n">
        <f aca="false">Q39+Q40+Q48</f>
        <v>23.3229235101333</v>
      </c>
    </row>
    <row r="50" customFormat="false" ht="15" hidden="false" customHeight="false" outlineLevel="0" collapsed="false">
      <c r="A50" s="18" t="s">
        <v>188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customFormat="false" ht="15" hidden="false" customHeight="false" outlineLevel="0" collapsed="false">
      <c r="A51" s="9" t="s">
        <v>189</v>
      </c>
      <c r="B51" s="10" t="s">
        <v>41</v>
      </c>
      <c r="C51" s="23" t="n">
        <f aca="false">Inputs!D28</f>
        <v>0.08</v>
      </c>
      <c r="D51" s="23" t="n">
        <f aca="false">Inputs!E28</f>
        <v>0.1</v>
      </c>
      <c r="E51" s="23" t="n">
        <f aca="false">Inputs!F28</f>
        <v>0.13</v>
      </c>
      <c r="F51" s="23" t="n">
        <f aca="false">Inputs!D28</f>
        <v>0.08</v>
      </c>
      <c r="G51" s="23" t="n">
        <f aca="false">Inputs!E28</f>
        <v>0.1</v>
      </c>
      <c r="H51" s="23" t="n">
        <f aca="false">Inputs!F28</f>
        <v>0.13</v>
      </c>
      <c r="I51" s="23" t="n">
        <f aca="false">Inputs!D28</f>
        <v>0.08</v>
      </c>
      <c r="J51" s="23" t="n">
        <f aca="false">Inputs!E28</f>
        <v>0.1</v>
      </c>
      <c r="K51" s="23" t="n">
        <f aca="false">Inputs!F28</f>
        <v>0.13</v>
      </c>
      <c r="L51" s="23" t="n">
        <f aca="false">Inputs!D28</f>
        <v>0.08</v>
      </c>
      <c r="M51" s="23" t="n">
        <f aca="false">Inputs!E28</f>
        <v>0.1</v>
      </c>
      <c r="N51" s="23" t="n">
        <f aca="false">Inputs!F28</f>
        <v>0.13</v>
      </c>
      <c r="O51" s="23" t="n">
        <f aca="false">Inputs!D28</f>
        <v>0.08</v>
      </c>
      <c r="P51" s="23" t="n">
        <f aca="false">Inputs!E28</f>
        <v>0.1</v>
      </c>
      <c r="Q51" s="23" t="n">
        <f aca="false">Inputs!F28</f>
        <v>0.13</v>
      </c>
    </row>
    <row r="52" customFormat="false" ht="15" hidden="false" customHeight="false" outlineLevel="0" collapsed="false">
      <c r="A52" s="9" t="s">
        <v>190</v>
      </c>
      <c r="B52" s="10" t="s">
        <v>45</v>
      </c>
      <c r="C52" s="33" t="n">
        <f aca="false">C51/(1-(1+C51)^(-C38))</f>
        <v>0.21631538622901</v>
      </c>
      <c r="D52" s="33" t="n">
        <f aca="false">D51/(1-(1+D51)^(-D38))</f>
        <v>0.229607380362667</v>
      </c>
      <c r="E52" s="33" t="n">
        <f aca="false">E51/(1-(1+E51)^(-E38))</f>
        <v>0.336194197406613</v>
      </c>
      <c r="F52" s="33" t="n">
        <f aca="false">F51/(1-(1+F51)^(-F38))</f>
        <v>0.21631538622901</v>
      </c>
      <c r="G52" s="33" t="n">
        <f aca="false">G51/(1-(1+G51)^(-G38))</f>
        <v>0.229607380362667</v>
      </c>
      <c r="H52" s="33" t="n">
        <f aca="false">H51/(1-(1+H51)^(-H38))</f>
        <v>0.336194197406613</v>
      </c>
      <c r="I52" s="33" t="n">
        <f aca="false">I51/(1-(1+I51)^(-I38))</f>
        <v>0.21631538622901</v>
      </c>
      <c r="J52" s="33" t="n">
        <f aca="false">J51/(1-(1+J51)^(-J38))</f>
        <v>0.229607380362667</v>
      </c>
      <c r="K52" s="33" t="n">
        <f aca="false">K51/(1-(1+K51)^(-K38))</f>
        <v>0.336194197406613</v>
      </c>
      <c r="L52" s="33" t="n">
        <f aca="false">L51/(1-(1+L51)^(-L38))</f>
        <v>0.21631538622901</v>
      </c>
      <c r="M52" s="33" t="n">
        <f aca="false">M51/(1-(1+M51)^(-M38))</f>
        <v>0.229607380362667</v>
      </c>
      <c r="N52" s="33" t="n">
        <f aca="false">N51/(1-(1+N51)^(-N38))</f>
        <v>0.336194197406613</v>
      </c>
      <c r="O52" s="33" t="n">
        <f aca="false">O51/(1-(1+O51)^(-O38))</f>
        <v>0.21631538622901</v>
      </c>
      <c r="P52" s="33" t="n">
        <f aca="false">P51/(1-(1+P51)^(-P38))</f>
        <v>0.229607380362667</v>
      </c>
      <c r="Q52" s="33" t="n">
        <f aca="false">Q51/(1-(1+Q51)^(-Q38))</f>
        <v>0.336194197406613</v>
      </c>
    </row>
    <row r="53" customFormat="false" ht="15" hidden="false" customHeight="false" outlineLevel="0" collapsed="false">
      <c r="A53" s="9" t="s">
        <v>191</v>
      </c>
      <c r="B53" s="10" t="s">
        <v>165</v>
      </c>
      <c r="C53" s="28" t="n">
        <f aca="false">C24*C52</f>
        <v>4.63353384839044</v>
      </c>
      <c r="D53" s="28" t="n">
        <f aca="false">D24*D52</f>
        <v>6.31654816975637</v>
      </c>
      <c r="E53" s="28" t="n">
        <f aca="false">E24*E52</f>
        <v>11.47119594228</v>
      </c>
      <c r="F53" s="28" t="n">
        <f aca="false">F24*F52</f>
        <v>4.53316614822789</v>
      </c>
      <c r="G53" s="28" t="n">
        <f aca="false">G24*G52</f>
        <v>5.59872248359572</v>
      </c>
      <c r="H53" s="28" t="n">
        <f aca="false">H24*H52</f>
        <v>9.43856387483327</v>
      </c>
      <c r="I53" s="28" t="n">
        <f aca="false">I24*I52</f>
        <v>6.13211808669696</v>
      </c>
      <c r="J53" s="28" t="n">
        <f aca="false">J24*J52</f>
        <v>8.53547986337308</v>
      </c>
      <c r="K53" s="28" t="n">
        <f aca="false">K24*K52</f>
        <v>17.0051762024507</v>
      </c>
      <c r="L53" s="28" t="n">
        <f aca="false">L24*L52</f>
        <v>6.18518007788663</v>
      </c>
      <c r="M53" s="28" t="n">
        <f aca="false">M24*M52</f>
        <v>8.01606021065761</v>
      </c>
      <c r="N53" s="28" t="n">
        <f aca="false">N24*N52</f>
        <v>14.3345053737281</v>
      </c>
      <c r="O53" s="28" t="n">
        <f aca="false">O24*O52</f>
        <v>8.16201985402074</v>
      </c>
      <c r="P53" s="28" t="n">
        <f aca="false">P24*P52</f>
        <v>12.1055752199886</v>
      </c>
      <c r="Q53" s="28" t="n">
        <f aca="false">Q24*Q52</f>
        <v>23.1744212855743</v>
      </c>
    </row>
    <row r="54" customFormat="false" ht="15" hidden="false" customHeight="false" outlineLevel="0" collapsed="false">
      <c r="A54" s="13" t="s">
        <v>192</v>
      </c>
      <c r="B54" s="10" t="s">
        <v>165</v>
      </c>
      <c r="C54" s="28" t="n">
        <f aca="false">(C26*C51/(1-(1+C51)^(-Inputs!D24))+C27*C51/(1-(1+C51)^(-Inputs!D25))+C28*C51/(1-(1+C51)^(-Inputs!D26))+C29*C51/(1-(1+C51)^(-Inputs!D27)))*(1+C30)+C25*C51</f>
        <v>1.04531526579147</v>
      </c>
      <c r="D54" s="28" t="n">
        <f aca="false">(D26*D51/(1-(1+D51)^(-Inputs!E24))+D27*D51/(1-(1+D51)^(-Inputs!E25))+D28*D51/(1-(1+D51)^(-Inputs!E26))+D29*D51/(1-(1+D51)^(-Inputs!E27)))*(1+D30)+D25*D51</f>
        <v>1.50187163616098</v>
      </c>
      <c r="E54" s="28" t="n">
        <f aca="false">(E26*E51/(1-(1+E51)^(-Inputs!F24))+E27*E51/(1-(1+E51)^(-Inputs!F25))+E28*E51/(1-(1+E51)^(-Inputs!F26))+E29*E51/(1-(1+E51)^(-Inputs!F27)))*(1+E30)+E25*E51</f>
        <v>2.32792243821144</v>
      </c>
      <c r="F54" s="28" t="n">
        <f aca="false">(F26*F51/(1-(1+F51)^(-Inputs!D24))+F27*F51/(1-(1+F51)^(-Inputs!D25))+F28*F51/(1-(1+F51)^(-Inputs!D26))+F29*F51/(1-(1+F51)^(-Inputs!D27)))*(1+F30)+F25*F51</f>
        <v>1.04531526579147</v>
      </c>
      <c r="G54" s="28" t="n">
        <f aca="false">(G26*G51/(1-(1+G51)^(-Inputs!E24))+G27*G51/(1-(1+G51)^(-Inputs!E25))+G28*G51/(1-(1+G51)^(-Inputs!E26))+G29*G51/(1-(1+G51)^(-Inputs!E27)))*(1+G30)+G25*G51</f>
        <v>1.50187163616098</v>
      </c>
      <c r="H54" s="28" t="n">
        <f aca="false">(H26*H51/(1-(1+H51)^(-Inputs!F24))+H27*H51/(1-(1+H51)^(-Inputs!F25))+H28*H51/(1-(1+H51)^(-Inputs!F26))+H29*H51/(1-(1+H51)^(-Inputs!F27)))*(1+H30)+H25*H51</f>
        <v>2.32792243821144</v>
      </c>
      <c r="I54" s="28" t="n">
        <f aca="false">(I26*I51/(1-(1+I51)^(-Inputs!D24))+I27*I51/(1-(1+I51)^(-Inputs!D25))+I28*I51/(1-(1+I51)^(-Inputs!D26))+I29*I51/(1-(1+I51)^(-Inputs!D27)))*(1+I30)+I25*I51</f>
        <v>1.04531526579147</v>
      </c>
      <c r="J54" s="28" t="n">
        <f aca="false">(J26*J51/(1-(1+J51)^(-Inputs!E24))+J27*J51/(1-(1+J51)^(-Inputs!E25))+J28*J51/(1-(1+J51)^(-Inputs!E26))+J29*J51/(1-(1+J51)^(-Inputs!E27)))*(1+J30)+J25*J51</f>
        <v>1.50187163616098</v>
      </c>
      <c r="K54" s="28" t="n">
        <f aca="false">(K26*K51/(1-(1+K51)^(-Inputs!F24))+K27*K51/(1-(1+K51)^(-Inputs!F25))+K28*K51/(1-(1+K51)^(-Inputs!F26))+K29*K51/(1-(1+K51)^(-Inputs!F27)))*(1+K30)+K25*K51</f>
        <v>2.32792243821144</v>
      </c>
      <c r="L54" s="28" t="n">
        <f aca="false">(L26*L51/(1-(1+L51)^(-Inputs!D24))+L27*L51/(1-(1+L51)^(-Inputs!D25))+L28*L51/(1-(1+L51)^(-Inputs!D26))+L29*L51/(1-(1+L51)^(-Inputs!D27)))*(1+L30)+L25*L51</f>
        <v>1.04531526579147</v>
      </c>
      <c r="M54" s="28" t="n">
        <f aca="false">(M26*M51/(1-(1+M51)^(-Inputs!E24))+M27*M51/(1-(1+M51)^(-Inputs!E25))+M28*M51/(1-(1+M51)^(-Inputs!E26))+M29*M51/(1-(1+M51)^(-Inputs!E27)))*(1+M30)+M25*M51</f>
        <v>1.50187163616098</v>
      </c>
      <c r="N54" s="28" t="n">
        <f aca="false">(N26*N51/(1-(1+N51)^(-Inputs!F24))+N27*N51/(1-(1+N51)^(-Inputs!F25))+N28*N51/(1-(1+N51)^(-Inputs!F26))+N29*N51/(1-(1+N51)^(-Inputs!F27)))*(1+N30)+N25*N51</f>
        <v>2.32792243821144</v>
      </c>
      <c r="O54" s="28" t="n">
        <f aca="false">(O26*O51/(1-(1+O51)^(-Inputs!D24))+O27*O51/(1-(1+O51)^(-Inputs!D25))+O28*O51/(1-(1+O51)^(-Inputs!D26))+O29*O51/(1-(1+O51)^(-Inputs!D27)))*(1+O30)+O25*O51</f>
        <v>1.04531526579147</v>
      </c>
      <c r="P54" s="28" t="n">
        <f aca="false">(P26*P51/(1-(1+P51)^(-Inputs!E24))+P27*P51/(1-(1+P51)^(-Inputs!E25))+P28*P51/(1-(1+P51)^(-Inputs!E26))+P29*P51/(1-(1+P51)^(-Inputs!E27)))*(1+P30)+P25*P51</f>
        <v>1.50187163616098</v>
      </c>
      <c r="Q54" s="28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false" outlineLevel="0" collapsed="false">
      <c r="A55" s="13" t="s">
        <v>193</v>
      </c>
      <c r="B55" s="10" t="s">
        <v>165</v>
      </c>
      <c r="C55" s="29" t="n">
        <f aca="false">C53+C54+C48</f>
        <v>7.0000433103819</v>
      </c>
      <c r="D55" s="29" t="n">
        <f aca="false">D53+D54+D48</f>
        <v>10.0957952959174</v>
      </c>
      <c r="E55" s="29" t="n">
        <f aca="false">E53+E54+E48</f>
        <v>17.4059720636914</v>
      </c>
      <c r="F55" s="29" t="n">
        <f aca="false">F53+F54+F48</f>
        <v>6.88900389081935</v>
      </c>
      <c r="G55" s="29" t="n">
        <f aca="false">G53+G54+G48</f>
        <v>9.2685484797567</v>
      </c>
      <c r="H55" s="29" t="n">
        <f aca="false">H53+H54+H48</f>
        <v>15.0831317178447</v>
      </c>
      <c r="I55" s="29" t="n">
        <f aca="false">I53+I54+I48</f>
        <v>8.65796636448843</v>
      </c>
      <c r="J55" s="29" t="n">
        <f aca="false">J53+J54+J48</f>
        <v>12.6529678995341</v>
      </c>
      <c r="K55" s="29" t="n">
        <f aca="false">K53+K54+K48</f>
        <v>23.7300642726621</v>
      </c>
      <c r="L55" s="29" t="n">
        <f aca="false">L53+L54+L48</f>
        <v>8.7166702372781</v>
      </c>
      <c r="M55" s="29" t="n">
        <f aca="false">M53+M54+M48</f>
        <v>12.0543709668186</v>
      </c>
      <c r="N55" s="29" t="n">
        <f aca="false">N53+N54+N48</f>
        <v>20.6780894215396</v>
      </c>
      <c r="O55" s="29" t="n">
        <f aca="false">O53+O54+O48</f>
        <v>10.9036999386122</v>
      </c>
      <c r="P55" s="29" t="n">
        <f aca="false">P53+P54+P48</f>
        <v>16.7672676161495</v>
      </c>
      <c r="Q55" s="29" t="n">
        <f aca="false">Q53+Q54+Q48</f>
        <v>30.7801210005857</v>
      </c>
    </row>
    <row r="56" customFormat="false" ht="15" hidden="false" customHeight="false" outlineLevel="0" collapsed="false">
      <c r="A56" s="18" t="s">
        <v>194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customFormat="false" ht="15" hidden="false" customHeight="false" outlineLevel="0" collapsed="false">
      <c r="A57" s="13" t="s">
        <v>195</v>
      </c>
      <c r="B57" s="10" t="s">
        <v>196</v>
      </c>
      <c r="C57" s="28" t="n">
        <f aca="false">C49*1000000000/(C14*8760)</f>
        <v>0.858328487231628</v>
      </c>
      <c r="D57" s="28" t="n">
        <f aca="false">D49*1000000000/(D14*8760)</f>
        <v>1.19184547960247</v>
      </c>
      <c r="E57" s="28" t="n">
        <f aca="false">E49*1000000000/(E14*8760)</f>
        <v>2.058675041473</v>
      </c>
      <c r="F57" s="28" t="n">
        <f aca="false">F49*1000000000/(F14*8760)</f>
        <v>1.19000660844732</v>
      </c>
      <c r="G57" s="28" t="n">
        <f aca="false">G49*1000000000/(G14*8760)</f>
        <v>1.53851503181567</v>
      </c>
      <c r="H57" s="28" t="n">
        <f aca="false">H49*1000000000/(H14*8760)</f>
        <v>2.49778765005716</v>
      </c>
      <c r="I57" s="28" t="n">
        <f aca="false">I49*1000000000/(I14*8760)</f>
        <v>1.5850032907665</v>
      </c>
      <c r="J57" s="28" t="n">
        <f aca="false">J49*1000000000/(J14*8760)</f>
        <v>2.23024901025153</v>
      </c>
      <c r="K57" s="28" t="n">
        <f aca="false">K49*1000000000/(K14*8760)</f>
        <v>4.21566720031043</v>
      </c>
      <c r="L57" s="28" t="n">
        <f aca="false">L49*1000000000/(L14*8760)</f>
        <v>2.64488206576388</v>
      </c>
      <c r="M57" s="28" t="n">
        <f aca="false">M49*1000000000/(M14*8760)</f>
        <v>3.51747354574866</v>
      </c>
      <c r="N57" s="28" t="n">
        <f aca="false">N49*1000000000/(N14*8760)</f>
        <v>6.05995439820971</v>
      </c>
      <c r="O57" s="28" t="n">
        <f aca="false">O49*1000000000/(O14*8760)</f>
        <v>4.39178072269974</v>
      </c>
      <c r="P57" s="28" t="n">
        <f aca="false">P49*1000000000/(P14*8760)</f>
        <v>6.50608885234023</v>
      </c>
      <c r="Q57" s="28" t="n">
        <f aca="false">Q49*1000000000/(Q14*8760)</f>
        <v>12.0607477651595</v>
      </c>
    </row>
    <row r="58" customFormat="false" ht="15" hidden="false" customHeight="false" outlineLevel="0" collapsed="false">
      <c r="A58" s="13" t="s">
        <v>197</v>
      </c>
      <c r="B58" s="10" t="s">
        <v>196</v>
      </c>
      <c r="C58" s="29" t="n">
        <f aca="false">C55*1000000000/(C14*8760)</f>
        <v>1.11286669150028</v>
      </c>
      <c r="D58" s="29" t="n">
        <f aca="false">D55*1000000000/(D14*8760)</f>
        <v>1.60502925637165</v>
      </c>
      <c r="E58" s="29" t="n">
        <f aca="false">E55*1000000000/(E14*8760)</f>
        <v>2.76720095633376</v>
      </c>
      <c r="F58" s="29" t="n">
        <f aca="false">F55*1000000000/(F14*8760)</f>
        <v>1.54359016643037</v>
      </c>
      <c r="G58" s="29" t="n">
        <f aca="false">G55*1000000000/(G14*8760)</f>
        <v>2.07676472784428</v>
      </c>
      <c r="H58" s="29" t="n">
        <f aca="false">H55*1000000000/(H14*8760)</f>
        <v>3.37961397142862</v>
      </c>
      <c r="I58" s="29" t="n">
        <f aca="false">I55*1000000000/(I14*8760)</f>
        <v>2.04424655562441</v>
      </c>
      <c r="J58" s="29" t="n">
        <f aca="false">J55*1000000000/(J14*8760)</f>
        <v>2.98751288214055</v>
      </c>
      <c r="K58" s="29" t="n">
        <f aca="false">K55*1000000000/(K14*8760)</f>
        <v>5.6029441686335</v>
      </c>
      <c r="L58" s="29" t="n">
        <f aca="false">L55*1000000000/(L14*8760)</f>
        <v>3.41070829238845</v>
      </c>
      <c r="M58" s="29" t="n">
        <f aca="false">M55*1000000000/(M14*8760)</f>
        <v>4.71670281161092</v>
      </c>
      <c r="N58" s="29" t="n">
        <f aca="false">N55*1000000000/(N14*8760)</f>
        <v>8.09104040200768</v>
      </c>
      <c r="O58" s="29" t="n">
        <f aca="false">O55*1000000000/(O14*8760)</f>
        <v>5.63852017134344</v>
      </c>
      <c r="P58" s="29" t="n">
        <f aca="false">P55*1000000000/(P14*8760)</f>
        <v>8.6706876752155</v>
      </c>
      <c r="Q58" s="29" t="n">
        <f aca="false">Q55*1000000000/(Q14*8760)</f>
        <v>15.9170129511363</v>
      </c>
    </row>
    <row r="59" customFormat="false" ht="15" hidden="false" customHeight="false" outlineLevel="0" collapsed="false">
      <c r="A59" s="13" t="s">
        <v>198</v>
      </c>
      <c r="B59" s="10" t="s">
        <v>199</v>
      </c>
      <c r="C59" s="11" t="n">
        <f aca="false">C55*1000000000/(C12*8760)</f>
        <v>35.6117341280089</v>
      </c>
      <c r="D59" s="11" t="n">
        <f aca="false">D55*1000000000/(D12*8760)</f>
        <v>51.3609362038928</v>
      </c>
      <c r="E59" s="11" t="n">
        <f aca="false">E55*1000000000/(E12*8760)</f>
        <v>88.5504306026803</v>
      </c>
      <c r="F59" s="11" t="n">
        <f aca="false">F55*1000000000/(F12*8760)</f>
        <v>111.138491982987</v>
      </c>
      <c r="G59" s="11" t="n">
        <f aca="false">G55*1000000000/(G12*8760)</f>
        <v>149.527060404788</v>
      </c>
      <c r="H59" s="11" t="n">
        <f aca="false">H55*1000000000/(H12*8760)</f>
        <v>243.33220594286</v>
      </c>
      <c r="I59" s="11" t="n">
        <f aca="false">I55*1000000000/(I12*8760)</f>
        <v>147.185752004958</v>
      </c>
      <c r="J59" s="11" t="n">
        <f aca="false">J55*1000000000/(J12*8760)</f>
        <v>215.10092751412</v>
      </c>
      <c r="K59" s="11" t="n">
        <f aca="false">K55*1000000000/(K12*8760)</f>
        <v>403.411980141612</v>
      </c>
      <c r="L59" s="11" t="n">
        <f aca="false">L55*1000000000/(L12*8760)</f>
        <v>245.570997051969</v>
      </c>
      <c r="M59" s="11" t="n">
        <f aca="false">M55*1000000000/(M12*8760)</f>
        <v>339.602602435986</v>
      </c>
      <c r="N59" s="11" t="n">
        <f aca="false">N55*1000000000/(N12*8760)</f>
        <v>582.554908944553</v>
      </c>
      <c r="O59" s="11" t="n">
        <f aca="false">O55*1000000000/(O12*8760)</f>
        <v>811.946904673456</v>
      </c>
      <c r="P59" s="11" t="n">
        <f aca="false">P55*1000000000/(P12*8760)</f>
        <v>1248.57902523103</v>
      </c>
      <c r="Q59" s="11" t="n">
        <f aca="false">Q55*1000000000/(Q12*8760)</f>
        <v>2292.04986496363</v>
      </c>
    </row>
    <row r="60" customFormat="false" ht="15" hidden="false" customHeight="false" outlineLevel="0" collapsed="false">
      <c r="A60" s="13" t="s">
        <v>200</v>
      </c>
      <c r="B60" s="10" t="s">
        <v>201</v>
      </c>
      <c r="C60" s="28" t="n">
        <f aca="false">C8*C41*C15*8760/1000000</f>
        <v>6.7452</v>
      </c>
      <c r="D60" s="28" t="n">
        <f aca="false">D8*D41*D15*8760/1000000</f>
        <v>8.4096</v>
      </c>
      <c r="E60" s="28" t="n">
        <f aca="false">E8*E41*E15*8760/1000000</f>
        <v>10.2492</v>
      </c>
      <c r="F60" s="28" t="n">
        <f aca="false">F8*F41*F15*8760/1000000</f>
        <v>6.7452</v>
      </c>
      <c r="G60" s="28" t="n">
        <f aca="false">G8*G41*G15*8760/1000000</f>
        <v>8.4096</v>
      </c>
      <c r="H60" s="28" t="n">
        <f aca="false">H8*H41*H15*8760/1000000</f>
        <v>10.2492</v>
      </c>
      <c r="I60" s="28" t="n">
        <f aca="false">I8*I41*I15*8760/1000000</f>
        <v>6.7452</v>
      </c>
      <c r="J60" s="28" t="n">
        <f aca="false">J8*J41*J15*8760/1000000</f>
        <v>8.4096</v>
      </c>
      <c r="K60" s="28" t="n">
        <f aca="false">K8*K41*K15*8760/1000000</f>
        <v>10.2492</v>
      </c>
      <c r="L60" s="28" t="n">
        <f aca="false">L8*L41*L15*8760/1000000</f>
        <v>6.7452</v>
      </c>
      <c r="M60" s="28" t="n">
        <f aca="false">M8*M41*M15*8760/1000000</f>
        <v>8.4096</v>
      </c>
      <c r="N60" s="28" t="n">
        <f aca="false">N8*N41*N15*8760/1000000</f>
        <v>10.2492</v>
      </c>
      <c r="O60" s="28" t="n">
        <f aca="false">O8*O41*O15*8760/1000000</f>
        <v>6.7452</v>
      </c>
      <c r="P60" s="28" t="n">
        <f aca="false">P8*P41*P15*8760/1000000</f>
        <v>8.4096</v>
      </c>
      <c r="Q60" s="28" t="n">
        <f aca="false">Q8*Q41*Q15*8760/1000000</f>
        <v>10.2492</v>
      </c>
    </row>
    <row r="61" customFormat="false" ht="15" hidden="false" customHeight="false" outlineLevel="0" collapsed="false">
      <c r="A61" s="13" t="s">
        <v>202</v>
      </c>
      <c r="B61" s="10" t="s">
        <v>41</v>
      </c>
      <c r="C61" s="15" t="n">
        <f aca="false">(C53+C54)/C55</f>
        <v>0.811259139748391</v>
      </c>
      <c r="D61" s="15" t="n">
        <f aca="false">(D53+D54)/D55</f>
        <v>0.774423369011756</v>
      </c>
      <c r="E61" s="15" t="n">
        <f aca="false">(E53+E54)/E55</f>
        <v>0.792780680676615</v>
      </c>
      <c r="F61" s="15" t="n">
        <f aca="false">(F53+F54)/F55</f>
        <v>0.809766042004059</v>
      </c>
      <c r="G61" s="15" t="n">
        <f aca="false">(G53+G54)/G55</f>
        <v>0.766095590400698</v>
      </c>
      <c r="H61" s="15" t="n">
        <f aca="false">(H53+H54)/H55</f>
        <v>0.780108967630634</v>
      </c>
      <c r="I61" s="15" t="n">
        <f aca="false">(I53+I54)/I55</f>
        <v>0.828997601784114</v>
      </c>
      <c r="J61" s="15" t="n">
        <f aca="false">(J53+J54)/J55</f>
        <v>0.793280404979426</v>
      </c>
      <c r="K61" s="15" t="n">
        <f aca="false">(K53+K54)/K55</f>
        <v>0.814709071940211</v>
      </c>
      <c r="L61" s="15" t="n">
        <f aca="false">(L53+L54)/L55</f>
        <v>0.829501994093552</v>
      </c>
      <c r="M61" s="15" t="n">
        <f aca="false">(M53+M54)/M55</f>
        <v>0.789583452593095</v>
      </c>
      <c r="N61" s="15" t="n">
        <f aca="false">(N53+N54)/N55</f>
        <v>0.805801129507785</v>
      </c>
      <c r="O61" s="15" t="n">
        <f aca="false">(O53+O54)/O55</f>
        <v>0.844423009771864</v>
      </c>
      <c r="P61" s="15" t="n">
        <f aca="false">(P53+P54)/P55</f>
        <v>0.811548259839511</v>
      </c>
      <c r="Q61" s="15" t="n">
        <f aca="false">(Q53+Q54)/Q55</f>
        <v>0.828532926277334</v>
      </c>
    </row>
    <row r="62" customFormat="false" ht="15" hidden="false" customHeight="false" outlineLevel="0" collapsed="false">
      <c r="A62" s="13" t="s">
        <v>203</v>
      </c>
      <c r="B62" s="10" t="s">
        <v>41</v>
      </c>
      <c r="C62" s="15" t="n">
        <f aca="false">C43/C55</f>
        <v>0.0578156422832076</v>
      </c>
      <c r="D62" s="15" t="n">
        <f aca="false">D43/D55</f>
        <v>0.0666384351386425</v>
      </c>
      <c r="E62" s="15" t="n">
        <f aca="false">E43/E55</f>
        <v>0.0588832382500467</v>
      </c>
      <c r="F62" s="15" t="n">
        <f aca="false">F43/F55</f>
        <v>0.0587475354077446</v>
      </c>
      <c r="G62" s="15" t="n">
        <f aca="false">G43/G55</f>
        <v>0.0725861230018252</v>
      </c>
      <c r="H62" s="15" t="n">
        <f aca="false">H43/H55</f>
        <v>0.0679514055285632</v>
      </c>
      <c r="I62" s="15" t="n">
        <f aca="false">I43/I55</f>
        <v>0.0467444643421081</v>
      </c>
      <c r="J62" s="15" t="n">
        <f aca="false">J43/J55</f>
        <v>0.053170766364212</v>
      </c>
      <c r="K62" s="15" t="n">
        <f aca="false">K43/K55</f>
        <v>0.043190780615826</v>
      </c>
      <c r="L62" s="15" t="n">
        <f aca="false">L43/L55</f>
        <v>0.0464296559332015</v>
      </c>
      <c r="M62" s="15" t="n">
        <f aca="false">M43/M55</f>
        <v>0.0558111245996902</v>
      </c>
      <c r="N62" s="15" t="n">
        <f aca="false">N43/N55</f>
        <v>0.0495655076784986</v>
      </c>
      <c r="O62" s="15" t="n">
        <f aca="false">O43/O55</f>
        <v>0.0371169421644513</v>
      </c>
      <c r="P62" s="15" t="n">
        <f aca="false">P43/P55</f>
        <v>0.0401238899146584</v>
      </c>
      <c r="Q62" s="15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25" min="3" style="0" width="11"/>
  </cols>
  <sheetData>
    <row r="1" customFormat="false" ht="20.1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30" hidden="false" customHeight="true" outlineLevel="0" collapsed="false">
      <c r="A4" s="13" t="s">
        <v>206</v>
      </c>
      <c r="C4" s="34" t="s">
        <v>27</v>
      </c>
      <c r="D4" s="34" t="s">
        <v>207</v>
      </c>
      <c r="E4" s="34" t="s">
        <v>208</v>
      </c>
      <c r="F4" s="34" t="s">
        <v>209</v>
      </c>
      <c r="G4" s="34" t="s">
        <v>210</v>
      </c>
      <c r="H4" s="34" t="s">
        <v>211</v>
      </c>
      <c r="I4" s="34" t="s">
        <v>212</v>
      </c>
      <c r="J4" s="34" t="s">
        <v>213</v>
      </c>
      <c r="K4" s="34" t="s">
        <v>214</v>
      </c>
      <c r="L4" s="34" t="s">
        <v>215</v>
      </c>
      <c r="M4" s="34" t="s">
        <v>216</v>
      </c>
      <c r="N4" s="35" t="s">
        <v>217</v>
      </c>
      <c r="O4" s="35" t="s">
        <v>218</v>
      </c>
      <c r="P4" s="35" t="s">
        <v>219</v>
      </c>
      <c r="Q4" s="35" t="s">
        <v>220</v>
      </c>
      <c r="R4" s="34" t="s">
        <v>221</v>
      </c>
      <c r="S4" s="34" t="s">
        <v>222</v>
      </c>
      <c r="T4" s="35" t="s">
        <v>223</v>
      </c>
      <c r="U4" s="35" t="s">
        <v>224</v>
      </c>
      <c r="V4" s="34" t="s">
        <v>225</v>
      </c>
      <c r="W4" s="34" t="s">
        <v>226</v>
      </c>
      <c r="X4" s="34" t="s">
        <v>227</v>
      </c>
      <c r="Y4" s="34" t="s">
        <v>228</v>
      </c>
    </row>
    <row r="6" customFormat="false" ht="15" hidden="false" customHeight="false" outlineLevel="0" collapsed="false">
      <c r="A6" s="18" t="s">
        <v>150</v>
      </c>
      <c r="B6" s="8"/>
      <c r="C6" s="8"/>
    </row>
    <row r="7" customFormat="false" ht="15" hidden="false" customHeight="false" outlineLevel="0" collapsed="false">
      <c r="A7" s="9" t="s">
        <v>151</v>
      </c>
      <c r="B7" s="10" t="s">
        <v>152</v>
      </c>
      <c r="C7" s="11" t="n">
        <f aca="false">Inputs!$E$5*1000</f>
        <v>1000</v>
      </c>
      <c r="D7" s="11" t="n">
        <f aca="false">Inputs!$E$5*1000</f>
        <v>1000</v>
      </c>
      <c r="E7" s="11" t="n">
        <f aca="false">Inputs!$E$5*1000</f>
        <v>1000</v>
      </c>
      <c r="F7" s="11" t="n">
        <f aca="false">Inputs!$E$5*1000</f>
        <v>1000</v>
      </c>
      <c r="G7" s="11" t="n">
        <f aca="false">Inputs!$E$5*1000</f>
        <v>1000</v>
      </c>
      <c r="H7" s="11" t="n">
        <f aca="false">Inputs!$E$5*1000</f>
        <v>1000</v>
      </c>
      <c r="I7" s="11" t="n">
        <f aca="false">Inputs!$E$5*1000</f>
        <v>1000</v>
      </c>
      <c r="J7" s="11" t="n">
        <f aca="false">Inputs!$E$5*1000</f>
        <v>1000</v>
      </c>
      <c r="K7" s="11" t="n">
        <f aca="false">Inputs!$E$5*1000</f>
        <v>1000</v>
      </c>
      <c r="L7" s="11" t="n">
        <f aca="false">Inputs!$E$5*1000</f>
        <v>1000</v>
      </c>
      <c r="M7" s="11" t="n">
        <f aca="false">Inputs!$E$5*1000</f>
        <v>1000</v>
      </c>
      <c r="N7" s="11" t="n">
        <f aca="false">Inputs!$E$5*1000</f>
        <v>1000</v>
      </c>
      <c r="O7" s="11" t="n">
        <f aca="false">Inputs!$E$5*1000</f>
        <v>1000</v>
      </c>
      <c r="P7" s="11" t="n">
        <f aca="false">Inputs!$E$5*1000</f>
        <v>1000</v>
      </c>
      <c r="Q7" s="11" t="n">
        <f aca="false">Inputs!$E$5*1000</f>
        <v>1000</v>
      </c>
      <c r="R7" s="11" t="n">
        <f aca="false">Inputs!$E$5*1000</f>
        <v>1000</v>
      </c>
      <c r="S7" s="11" t="n">
        <f aca="false">Inputs!$E$5*1000</f>
        <v>1000</v>
      </c>
      <c r="T7" s="11" t="n">
        <f aca="false">Inputs!$E$5*1000</f>
        <v>1000</v>
      </c>
      <c r="U7" s="11" t="n">
        <f aca="false">Inputs!$E$5*1000</f>
        <v>1000</v>
      </c>
      <c r="V7" s="11" t="n">
        <f aca="false">Inputs!$E$5*1000</f>
        <v>1000</v>
      </c>
      <c r="W7" s="11" t="n">
        <f aca="false">Inputs!$E$5*1000</f>
        <v>1000</v>
      </c>
      <c r="X7" s="11" t="n">
        <f aca="false">Inputs!$E$5*1000</f>
        <v>1000</v>
      </c>
      <c r="Y7" s="11" t="n">
        <f aca="false">Inputs!$E$5*1000</f>
        <v>1000</v>
      </c>
    </row>
    <row r="8" customFormat="false" ht="15" hidden="false" customHeight="false" outlineLevel="0" collapsed="false">
      <c r="A8" s="13" t="s">
        <v>40</v>
      </c>
      <c r="B8" s="10" t="s">
        <v>41</v>
      </c>
      <c r="C8" s="23" t="n">
        <f aca="false">Inputs!$E$8</f>
        <v>0.08</v>
      </c>
      <c r="D8" s="23" t="n">
        <f aca="false">Inputs!$E$8</f>
        <v>0.08</v>
      </c>
      <c r="E8" s="23" t="n">
        <f aca="false">Inputs!$E$8</f>
        <v>0.08</v>
      </c>
      <c r="F8" s="23" t="n">
        <f aca="false">Inputs!$E$8</f>
        <v>0.08</v>
      </c>
      <c r="G8" s="23" t="n">
        <f aca="false">Inputs!$E$8</f>
        <v>0.08</v>
      </c>
      <c r="H8" s="23" t="n">
        <f aca="false">Inputs!$E$8</f>
        <v>0.08</v>
      </c>
      <c r="I8" s="23" t="n">
        <f aca="false">Inputs!$E$8</f>
        <v>0.08</v>
      </c>
      <c r="J8" s="23" t="n">
        <f aca="false">Inputs!$E$8</f>
        <v>0.08</v>
      </c>
      <c r="K8" s="23" t="n">
        <f aca="false">Inputs!$E$8</f>
        <v>0.08</v>
      </c>
      <c r="L8" s="23" t="n">
        <f aca="false">Inputs!$E$8</f>
        <v>0.08</v>
      </c>
      <c r="M8" s="23" t="n">
        <f aca="false">Inputs!$E$8</f>
        <v>0.08</v>
      </c>
      <c r="N8" s="23" t="n">
        <f aca="false">Inputs!$E$8</f>
        <v>0.08</v>
      </c>
      <c r="O8" s="23" t="n">
        <f aca="false">Inputs!$E$8</f>
        <v>0.08</v>
      </c>
      <c r="P8" s="23" t="n">
        <f aca="false">Inputs!$E$8</f>
        <v>0.08</v>
      </c>
      <c r="Q8" s="23" t="n">
        <f aca="false">Inputs!$E$8</f>
        <v>0.08</v>
      </c>
      <c r="R8" s="23" t="n">
        <f aca="false">Inputs!$E$8</f>
        <v>0.08</v>
      </c>
      <c r="S8" s="23" t="n">
        <f aca="false">Inputs!$E$8</f>
        <v>0.08</v>
      </c>
      <c r="T8" s="23" t="n">
        <f aca="false">Inputs!$E$8</f>
        <v>0.08</v>
      </c>
      <c r="U8" s="23" t="n">
        <f aca="false">Inputs!$E$8</f>
        <v>0.08</v>
      </c>
      <c r="V8" s="23" t="n">
        <f aca="false">Inputs!$E$8</f>
        <v>0.08</v>
      </c>
      <c r="W8" s="23" t="n">
        <f aca="false">Inputs!$E$8</f>
        <v>0.08</v>
      </c>
      <c r="X8" s="15" t="n">
        <f aca="false">0.05</f>
        <v>0.05</v>
      </c>
      <c r="Y8" s="15" t="n">
        <f aca="false">0.12</f>
        <v>0.12</v>
      </c>
    </row>
    <row r="9" customFormat="false" ht="15" hidden="false" customHeight="false" outlineLevel="0" collapsed="false">
      <c r="A9" s="13" t="s">
        <v>153</v>
      </c>
      <c r="B9" s="10" t="s">
        <v>152</v>
      </c>
      <c r="C9" s="11" t="n">
        <f aca="false">C7*(1-C8)</f>
        <v>920</v>
      </c>
      <c r="D9" s="11" t="n">
        <f aca="false">D7*(1-D8)</f>
        <v>920</v>
      </c>
      <c r="E9" s="11" t="n">
        <f aca="false">E7*(1-E8)</f>
        <v>920</v>
      </c>
      <c r="F9" s="11" t="n">
        <f aca="false">F7*(1-F8)</f>
        <v>920</v>
      </c>
      <c r="G9" s="11" t="n">
        <f aca="false">G7*(1-G8)</f>
        <v>920</v>
      </c>
      <c r="H9" s="11" t="n">
        <f aca="false">H7*(1-H8)</f>
        <v>920</v>
      </c>
      <c r="I9" s="11" t="n">
        <f aca="false">I7*(1-I8)</f>
        <v>920</v>
      </c>
      <c r="J9" s="11" t="n">
        <f aca="false">J7*(1-J8)</f>
        <v>920</v>
      </c>
      <c r="K9" s="11" t="n">
        <f aca="false">K7*(1-K8)</f>
        <v>920</v>
      </c>
      <c r="L9" s="11" t="n">
        <f aca="false">L7*(1-L8)</f>
        <v>920</v>
      </c>
      <c r="M9" s="11" t="n">
        <f aca="false">M7*(1-M8)</f>
        <v>920</v>
      </c>
      <c r="N9" s="11" t="n">
        <f aca="false">N7*(1-N8)</f>
        <v>920</v>
      </c>
      <c r="O9" s="11" t="n">
        <f aca="false">O7*(1-O8)</f>
        <v>920</v>
      </c>
      <c r="P9" s="11" t="n">
        <f aca="false">P7*(1-P8)</f>
        <v>920</v>
      </c>
      <c r="Q9" s="11" t="n">
        <f aca="false">Q7*(1-Q8)</f>
        <v>920</v>
      </c>
      <c r="R9" s="11" t="n">
        <f aca="false">R7*(1-R8)</f>
        <v>920</v>
      </c>
      <c r="S9" s="11" t="n">
        <f aca="false">S7*(1-S8)</f>
        <v>920</v>
      </c>
      <c r="T9" s="11" t="n">
        <f aca="false">T7*(1-T8)</f>
        <v>920</v>
      </c>
      <c r="U9" s="11" t="n">
        <f aca="false">U7*(1-U8)</f>
        <v>920</v>
      </c>
      <c r="V9" s="11" t="n">
        <f aca="false">V7*(1-V8)</f>
        <v>920</v>
      </c>
      <c r="W9" s="11" t="n">
        <f aca="false">W7*(1-W8)</f>
        <v>920</v>
      </c>
      <c r="X9" s="11" t="n">
        <f aca="false">X7*(1-X8)</f>
        <v>950</v>
      </c>
      <c r="Y9" s="11" t="n">
        <f aca="false">Y7*(1-Y8)</f>
        <v>880</v>
      </c>
    </row>
    <row r="10" customFormat="false" ht="15" hidden="false" customHeight="false" outlineLevel="0" collapsed="false">
      <c r="A10" s="13" t="s">
        <v>154</v>
      </c>
      <c r="B10" s="10" t="s">
        <v>155</v>
      </c>
      <c r="C10" s="24" t="n">
        <f aca="false">Spec_Rack!F9</f>
        <v>227</v>
      </c>
      <c r="D10" s="24" t="n">
        <f aca="false">Spec_Rack!F9</f>
        <v>227</v>
      </c>
      <c r="E10" s="24" t="n">
        <f aca="false">Spec_Rack!F9</f>
        <v>227</v>
      </c>
      <c r="F10" s="24" t="n">
        <f aca="false">Spec_Rack!F8</f>
        <v>190</v>
      </c>
      <c r="G10" s="24" t="n">
        <f aca="false">Spec_Rack!F10</f>
        <v>230</v>
      </c>
      <c r="H10" s="24" t="n">
        <f aca="false">Spec_Rack!F9</f>
        <v>227</v>
      </c>
      <c r="I10" s="24" t="n">
        <f aca="false">Spec_Rack!F9</f>
        <v>227</v>
      </c>
      <c r="J10" s="24" t="n">
        <f aca="false">Spec_Rack!F9</f>
        <v>227</v>
      </c>
      <c r="K10" s="24" t="n">
        <f aca="false">Spec_Rack!F9</f>
        <v>227</v>
      </c>
      <c r="L10" s="24" t="n">
        <f aca="false">Spec_Rack!F9</f>
        <v>227</v>
      </c>
      <c r="M10" s="24" t="n">
        <f aca="false">Spec_Rack!F9</f>
        <v>227</v>
      </c>
      <c r="N10" s="24" t="n">
        <f aca="false">Spec_Rack!F9</f>
        <v>227</v>
      </c>
      <c r="O10" s="24" t="n">
        <f aca="false">Spec_Rack!F9</f>
        <v>227</v>
      </c>
      <c r="P10" s="24" t="n">
        <f aca="false">Spec_Rack!F9</f>
        <v>227</v>
      </c>
      <c r="Q10" s="24" t="n">
        <f aca="false">Spec_Rack!F9</f>
        <v>227</v>
      </c>
      <c r="R10" s="24" t="n">
        <f aca="false">Spec_Rack!F9</f>
        <v>227</v>
      </c>
      <c r="S10" s="24" t="n">
        <f aca="false">Spec_Rack!F9</f>
        <v>227</v>
      </c>
      <c r="T10" s="24" t="n">
        <f aca="false">Spec_Rack!F9</f>
        <v>227</v>
      </c>
      <c r="U10" s="24" t="n">
        <f aca="false">Spec_Rack!F9</f>
        <v>227</v>
      </c>
      <c r="V10" s="24" t="n">
        <f aca="false">Spec_Rack!F9</f>
        <v>227</v>
      </c>
      <c r="W10" s="24" t="n">
        <f aca="false">Spec_Rack!F9</f>
        <v>227</v>
      </c>
      <c r="X10" s="24" t="n">
        <f aca="false">Spec_Rack!F9</f>
        <v>227</v>
      </c>
      <c r="Y10" s="24" t="n">
        <f aca="false">Spec_Rack!F9</f>
        <v>227</v>
      </c>
    </row>
    <row r="11" customFormat="false" ht="15" hidden="false" customHeight="false" outlineLevel="0" collapsed="false">
      <c r="A11" s="13" t="s">
        <v>156</v>
      </c>
      <c r="B11" s="14" t="s">
        <v>157</v>
      </c>
      <c r="C11" s="25" t="n">
        <f aca="false">FLOOR(C9*1000/C10,1)</f>
        <v>4052</v>
      </c>
      <c r="D11" s="25" t="n">
        <f aca="false">FLOOR(D9*1000/D10,1)</f>
        <v>4052</v>
      </c>
      <c r="E11" s="25" t="n">
        <f aca="false">FLOOR(E9*1000/E10,1)</f>
        <v>4052</v>
      </c>
      <c r="F11" s="25" t="n">
        <f aca="false">FLOOR(F9*1000/F10,1)</f>
        <v>4842</v>
      </c>
      <c r="G11" s="25" t="n">
        <f aca="false">FLOOR(G9*1000/G10,1)</f>
        <v>4000</v>
      </c>
      <c r="H11" s="25" t="n">
        <f aca="false">FLOOR(H9*1000/H10,1)</f>
        <v>4052</v>
      </c>
      <c r="I11" s="25" t="n">
        <f aca="false">FLOOR(I9*1000/I10,1)</f>
        <v>4052</v>
      </c>
      <c r="J11" s="25" t="n">
        <f aca="false">FLOOR(J9*1000/J10,1)</f>
        <v>4052</v>
      </c>
      <c r="K11" s="25" t="n">
        <f aca="false">FLOOR(K9*1000/K10,1)</f>
        <v>4052</v>
      </c>
      <c r="L11" s="25" t="n">
        <f aca="false">FLOOR(L9*1000/L10,1)</f>
        <v>4052</v>
      </c>
      <c r="M11" s="25" t="n">
        <f aca="false">FLOOR(M9*1000/M10,1)</f>
        <v>4052</v>
      </c>
      <c r="N11" s="25" t="n">
        <f aca="false">FLOOR(N9*1000/N10,1)</f>
        <v>4052</v>
      </c>
      <c r="O11" s="25" t="n">
        <f aca="false">FLOOR(O9*1000/O10,1)</f>
        <v>4052</v>
      </c>
      <c r="P11" s="25" t="n">
        <f aca="false">FLOOR(P9*1000/P10,1)</f>
        <v>4052</v>
      </c>
      <c r="Q11" s="25" t="n">
        <f aca="false">FLOOR(Q9*1000/Q10,1)</f>
        <v>4052</v>
      </c>
      <c r="R11" s="25" t="n">
        <f aca="false">FLOOR(R9*1000/R10,1)</f>
        <v>4052</v>
      </c>
      <c r="S11" s="25" t="n">
        <f aca="false">FLOOR(S9*1000/S10,1)</f>
        <v>4052</v>
      </c>
      <c r="T11" s="25" t="n">
        <f aca="false">FLOOR(T9*1000/T10,1)</f>
        <v>4052</v>
      </c>
      <c r="U11" s="25" t="n">
        <f aca="false">FLOOR(U9*1000/U10,1)</f>
        <v>4052</v>
      </c>
      <c r="V11" s="25" t="n">
        <f aca="false">FLOOR(V9*1000/V10,1)</f>
        <v>4052</v>
      </c>
      <c r="W11" s="25" t="n">
        <f aca="false">FLOOR(W9*1000/W10,1)</f>
        <v>4052</v>
      </c>
      <c r="X11" s="25" t="n">
        <f aca="false">FLOOR(X9*1000/X10,1)</f>
        <v>4185</v>
      </c>
      <c r="Y11" s="25" t="n">
        <f aca="false">FLOOR(Y9*1000/Y10,1)</f>
        <v>3876</v>
      </c>
    </row>
    <row r="12" customFormat="false" ht="15" hidden="false" customHeight="false" outlineLevel="0" collapsed="false">
      <c r="A12" s="9" t="s">
        <v>118</v>
      </c>
      <c r="B12" s="14" t="s">
        <v>158</v>
      </c>
      <c r="C12" s="24" t="n">
        <f aca="false">Spec_Rack!F6</f>
        <v>72</v>
      </c>
      <c r="D12" s="24" t="n">
        <f aca="false">Spec_Rack!F6</f>
        <v>72</v>
      </c>
      <c r="E12" s="24" t="n">
        <f aca="false">Spec_Rack!F6</f>
        <v>72</v>
      </c>
      <c r="F12" s="24" t="n">
        <f aca="false">Spec_Rack!F6</f>
        <v>72</v>
      </c>
      <c r="G12" s="24" t="n">
        <f aca="false">Spec_Rack!F6</f>
        <v>72</v>
      </c>
      <c r="H12" s="24" t="n">
        <f aca="false">Spec_Rack!F6</f>
        <v>72</v>
      </c>
      <c r="I12" s="24" t="n">
        <f aca="false">Spec_Rack!F6</f>
        <v>72</v>
      </c>
      <c r="J12" s="24" t="n">
        <f aca="false">Spec_Rack!F6</f>
        <v>72</v>
      </c>
      <c r="K12" s="24" t="n">
        <f aca="false">Spec_Rack!F6</f>
        <v>72</v>
      </c>
      <c r="L12" s="24" t="n">
        <f aca="false">Spec_Rack!F6</f>
        <v>72</v>
      </c>
      <c r="M12" s="24" t="n">
        <f aca="false">Spec_Rack!F6</f>
        <v>72</v>
      </c>
      <c r="N12" s="24" t="n">
        <f aca="false">Spec_Rack!F6</f>
        <v>72</v>
      </c>
      <c r="O12" s="24" t="n">
        <f aca="false">Spec_Rack!F6</f>
        <v>72</v>
      </c>
      <c r="P12" s="24" t="n">
        <f aca="false">Spec_Rack!F6</f>
        <v>72</v>
      </c>
      <c r="Q12" s="24" t="n">
        <f aca="false">Spec_Rack!F6</f>
        <v>72</v>
      </c>
      <c r="R12" s="24" t="n">
        <f aca="false">Spec_Rack!F6</f>
        <v>72</v>
      </c>
      <c r="S12" s="24" t="n">
        <f aca="false">Spec_Rack!F6</f>
        <v>72</v>
      </c>
      <c r="T12" s="24" t="n">
        <f aca="false">Spec_Rack!F6</f>
        <v>72</v>
      </c>
      <c r="U12" s="24" t="n">
        <f aca="false">Spec_Rack!F6</f>
        <v>72</v>
      </c>
      <c r="V12" s="24" t="n">
        <f aca="false">Spec_Rack!F6</f>
        <v>72</v>
      </c>
      <c r="W12" s="24" t="n">
        <f aca="false">Spec_Rack!F6</f>
        <v>72</v>
      </c>
      <c r="X12" s="24" t="n">
        <f aca="false">Spec_Rack!F6</f>
        <v>72</v>
      </c>
      <c r="Y12" s="24" t="n">
        <f aca="false">Spec_Rack!F6</f>
        <v>72</v>
      </c>
    </row>
    <row r="13" customFormat="false" ht="15" hidden="false" customHeight="false" outlineLevel="0" collapsed="false">
      <c r="A13" s="13" t="s">
        <v>159</v>
      </c>
      <c r="B13" s="14" t="s">
        <v>158</v>
      </c>
      <c r="C13" s="11" t="n">
        <f aca="false">C11*C12</f>
        <v>291744</v>
      </c>
      <c r="D13" s="11" t="n">
        <f aca="false">D11*D12</f>
        <v>291744</v>
      </c>
      <c r="E13" s="11" t="n">
        <f aca="false">E11*E12</f>
        <v>291744</v>
      </c>
      <c r="F13" s="11" t="n">
        <f aca="false">F11*F12</f>
        <v>348624</v>
      </c>
      <c r="G13" s="11" t="n">
        <f aca="false">G11*G12</f>
        <v>288000</v>
      </c>
      <c r="H13" s="11" t="n">
        <f aca="false">H11*H12</f>
        <v>291744</v>
      </c>
      <c r="I13" s="11" t="n">
        <f aca="false">I11*I12</f>
        <v>291744</v>
      </c>
      <c r="J13" s="11" t="n">
        <f aca="false">J11*J12</f>
        <v>291744</v>
      </c>
      <c r="K13" s="11" t="n">
        <f aca="false">K11*K12</f>
        <v>291744</v>
      </c>
      <c r="L13" s="11" t="n">
        <f aca="false">L11*L12</f>
        <v>291744</v>
      </c>
      <c r="M13" s="11" t="n">
        <f aca="false">M11*M12</f>
        <v>291744</v>
      </c>
      <c r="N13" s="11" t="n">
        <f aca="false">N11*N12</f>
        <v>291744</v>
      </c>
      <c r="O13" s="11" t="n">
        <f aca="false">O11*O12</f>
        <v>291744</v>
      </c>
      <c r="P13" s="11" t="n">
        <f aca="false">P11*P12</f>
        <v>291744</v>
      </c>
      <c r="Q13" s="11" t="n">
        <f aca="false">Q11*Q12</f>
        <v>291744</v>
      </c>
      <c r="R13" s="11" t="n">
        <f aca="false">R11*R12</f>
        <v>291744</v>
      </c>
      <c r="S13" s="11" t="n">
        <f aca="false">S11*S12</f>
        <v>291744</v>
      </c>
      <c r="T13" s="11" t="n">
        <f aca="false">T11*T12</f>
        <v>291744</v>
      </c>
      <c r="U13" s="11" t="n">
        <f aca="false">U11*U12</f>
        <v>291744</v>
      </c>
      <c r="V13" s="11" t="n">
        <f aca="false">V11*V12</f>
        <v>291744</v>
      </c>
      <c r="W13" s="11" t="n">
        <f aca="false">W11*W12</f>
        <v>291744</v>
      </c>
      <c r="X13" s="11" t="n">
        <f aca="false">X11*X12</f>
        <v>301320</v>
      </c>
      <c r="Y13" s="11" t="n">
        <f aca="false">Y11*Y12</f>
        <v>279072</v>
      </c>
    </row>
    <row r="14" customFormat="false" ht="15" hidden="false" customHeight="false" outlineLevel="0" collapsed="false">
      <c r="A14" s="9" t="s">
        <v>44</v>
      </c>
      <c r="B14" s="10" t="s">
        <v>45</v>
      </c>
      <c r="C14" s="26" t="n">
        <f aca="false">Inputs!$E$9</f>
        <v>1.2</v>
      </c>
      <c r="D14" s="26" t="n">
        <f aca="false">Inputs!$E$9</f>
        <v>1.2</v>
      </c>
      <c r="E14" s="26" t="n">
        <f aca="false">Inputs!$E$9</f>
        <v>1.2</v>
      </c>
      <c r="F14" s="26" t="n">
        <f aca="false">Inputs!$E$9</f>
        <v>1.2</v>
      </c>
      <c r="G14" s="26" t="n">
        <f aca="false">Inputs!$E$9</f>
        <v>1.2</v>
      </c>
      <c r="H14" s="26" t="n">
        <f aca="false">Inputs!$E$9</f>
        <v>1.2</v>
      </c>
      <c r="I14" s="26" t="n">
        <f aca="false">Inputs!$E$9</f>
        <v>1.2</v>
      </c>
      <c r="J14" s="26" t="n">
        <f aca="false">Inputs!$E$9</f>
        <v>1.2</v>
      </c>
      <c r="K14" s="26" t="n">
        <f aca="false">Inputs!$E$9</f>
        <v>1.2</v>
      </c>
      <c r="L14" s="26" t="n">
        <f aca="false">Inputs!$E$9</f>
        <v>1.2</v>
      </c>
      <c r="M14" s="26" t="n">
        <f aca="false">Inputs!$E$9</f>
        <v>1.2</v>
      </c>
      <c r="N14" s="26" t="n">
        <f aca="false">Inputs!$E$9</f>
        <v>1.2</v>
      </c>
      <c r="O14" s="26" t="n">
        <f aca="false">Inputs!$E$9</f>
        <v>1.2</v>
      </c>
      <c r="P14" s="26" t="n">
        <f aca="false">Inputs!$E$9</f>
        <v>1.2</v>
      </c>
      <c r="Q14" s="26" t="n">
        <f aca="false">Inputs!$E$9</f>
        <v>1.2</v>
      </c>
      <c r="R14" s="26" t="n">
        <f aca="false">Inputs!$E$9</f>
        <v>1.2</v>
      </c>
      <c r="S14" s="26" t="n">
        <f aca="false">Inputs!$E$9</f>
        <v>1.2</v>
      </c>
      <c r="T14" s="26" t="n">
        <f aca="false">Inputs!$D$9</f>
        <v>1.1</v>
      </c>
      <c r="U14" s="26" t="n">
        <f aca="false">Inputs!$F$9</f>
        <v>1.3</v>
      </c>
      <c r="V14" s="26" t="n">
        <f aca="false">Inputs!$E$9</f>
        <v>1.2</v>
      </c>
      <c r="W14" s="26" t="n">
        <f aca="false">Inputs!$E$9</f>
        <v>1.2</v>
      </c>
      <c r="X14" s="26" t="n">
        <f aca="false">Inputs!$E$9</f>
        <v>1.2</v>
      </c>
      <c r="Y14" s="26" t="n">
        <f aca="false">Inputs!$E$9</f>
        <v>1.2</v>
      </c>
    </row>
    <row r="15" customFormat="false" ht="15" hidden="false" customHeight="false" outlineLevel="0" collapsed="false">
      <c r="A15" s="13" t="s">
        <v>160</v>
      </c>
      <c r="B15" s="10" t="s">
        <v>152</v>
      </c>
      <c r="C15" s="11" t="n">
        <f aca="false">C7*C14</f>
        <v>1200</v>
      </c>
      <c r="D15" s="11" t="n">
        <f aca="false">D7*D14</f>
        <v>1200</v>
      </c>
      <c r="E15" s="11" t="n">
        <f aca="false">E7*E14</f>
        <v>1200</v>
      </c>
      <c r="F15" s="11" t="n">
        <f aca="false">F7*F14</f>
        <v>1200</v>
      </c>
      <c r="G15" s="11" t="n">
        <f aca="false">G7*G14</f>
        <v>1200</v>
      </c>
      <c r="H15" s="11" t="n">
        <f aca="false">H7*H14</f>
        <v>1200</v>
      </c>
      <c r="I15" s="11" t="n">
        <f aca="false">I7*I14</f>
        <v>1200</v>
      </c>
      <c r="J15" s="11" t="n">
        <f aca="false">J7*J14</f>
        <v>1200</v>
      </c>
      <c r="K15" s="11" t="n">
        <f aca="false">K7*K14</f>
        <v>1200</v>
      </c>
      <c r="L15" s="11" t="n">
        <f aca="false">L7*L14</f>
        <v>1200</v>
      </c>
      <c r="M15" s="11" t="n">
        <f aca="false">M7*M14</f>
        <v>1200</v>
      </c>
      <c r="N15" s="11" t="n">
        <f aca="false">N7*N14</f>
        <v>1200</v>
      </c>
      <c r="O15" s="11" t="n">
        <f aca="false">O7*O14</f>
        <v>1200</v>
      </c>
      <c r="P15" s="11" t="n">
        <f aca="false">P7*P14</f>
        <v>1200</v>
      </c>
      <c r="Q15" s="11" t="n">
        <f aca="false">Q7*Q14</f>
        <v>1200</v>
      </c>
      <c r="R15" s="11" t="n">
        <f aca="false">R7*R14</f>
        <v>1200</v>
      </c>
      <c r="S15" s="11" t="n">
        <f aca="false">S7*S14</f>
        <v>1200</v>
      </c>
      <c r="T15" s="11" t="n">
        <f aca="false">T7*T14</f>
        <v>1100</v>
      </c>
      <c r="U15" s="11" t="n">
        <f aca="false">U7*U14</f>
        <v>1300</v>
      </c>
      <c r="V15" s="11" t="n">
        <f aca="false">V7*V14</f>
        <v>1200</v>
      </c>
      <c r="W15" s="11" t="n">
        <f aca="false">W7*W14</f>
        <v>1200</v>
      </c>
      <c r="X15" s="11" t="n">
        <f aca="false">X7*X14</f>
        <v>1200</v>
      </c>
      <c r="Y15" s="11" t="n">
        <f aca="false">Y7*Y14</f>
        <v>1200</v>
      </c>
    </row>
    <row r="16" customFormat="false" ht="15" hidden="false" customHeight="false" outlineLevel="0" collapsed="false">
      <c r="A16" s="18" t="s">
        <v>161</v>
      </c>
      <c r="B16" s="8"/>
      <c r="C16" s="8"/>
    </row>
    <row r="17" customFormat="false" ht="15" hidden="false" customHeight="false" outlineLevel="0" collapsed="false">
      <c r="A17" s="13" t="s">
        <v>162</v>
      </c>
      <c r="B17" s="10" t="s">
        <v>163</v>
      </c>
      <c r="C17" s="27" t="n">
        <f aca="false">Spec_Rack!F12</f>
        <v>7.8</v>
      </c>
      <c r="D17" s="27" t="n">
        <f aca="false">Spec_Rack!F11</f>
        <v>6.7</v>
      </c>
      <c r="E17" s="27" t="n">
        <f aca="false">Spec_Rack!F13</f>
        <v>9.1</v>
      </c>
      <c r="F17" s="27" t="n">
        <f aca="false">Spec_Rack!F12</f>
        <v>7.8</v>
      </c>
      <c r="G17" s="27" t="n">
        <f aca="false">Spec_Rack!F12</f>
        <v>7.8</v>
      </c>
      <c r="H17" s="27" t="n">
        <f aca="false">Spec_Rack!F12</f>
        <v>7.8</v>
      </c>
      <c r="I17" s="27" t="n">
        <f aca="false">Spec_Rack!F12</f>
        <v>7.8</v>
      </c>
      <c r="J17" s="27" t="n">
        <f aca="false">Spec_Rack!F12</f>
        <v>7.8</v>
      </c>
      <c r="K17" s="27" t="n">
        <f aca="false">Spec_Rack!F12</f>
        <v>7.8</v>
      </c>
      <c r="L17" s="27" t="n">
        <f aca="false">Spec_Rack!F12</f>
        <v>7.8</v>
      </c>
      <c r="M17" s="27" t="n">
        <f aca="false">Spec_Rack!F12</f>
        <v>7.8</v>
      </c>
      <c r="N17" s="27" t="n">
        <f aca="false">Spec_Rack!F12</f>
        <v>7.8</v>
      </c>
      <c r="O17" s="27" t="n">
        <f aca="false">Spec_Rack!F12</f>
        <v>7.8</v>
      </c>
      <c r="P17" s="27" t="n">
        <f aca="false">Spec_Rack!F12</f>
        <v>7.8</v>
      </c>
      <c r="Q17" s="27" t="n">
        <f aca="false">Spec_Rack!F12</f>
        <v>7.8</v>
      </c>
      <c r="R17" s="27" t="n">
        <f aca="false">Spec_Rack!F12</f>
        <v>7.8</v>
      </c>
      <c r="S17" s="27" t="n">
        <f aca="false">Spec_Rack!F12</f>
        <v>7.8</v>
      </c>
      <c r="T17" s="27" t="n">
        <f aca="false">Spec_Rack!F12</f>
        <v>7.8</v>
      </c>
      <c r="U17" s="27" t="n">
        <f aca="false">Spec_Rack!F12</f>
        <v>7.8</v>
      </c>
      <c r="V17" s="27" t="n">
        <f aca="false">Spec_Rack!F12</f>
        <v>7.8</v>
      </c>
      <c r="W17" s="27" t="n">
        <f aca="false">Spec_Rack!F12</f>
        <v>7.8</v>
      </c>
      <c r="X17" s="27" t="n">
        <f aca="false">Spec_Rack!F12</f>
        <v>7.8</v>
      </c>
      <c r="Y17" s="27" t="n">
        <f aca="false">Spec_Rack!F12</f>
        <v>7.8</v>
      </c>
    </row>
    <row r="18" customFormat="false" ht="15" hidden="false" customHeight="false" outlineLevel="0" collapsed="false">
      <c r="A18" s="13" t="s">
        <v>164</v>
      </c>
      <c r="B18" s="10" t="s">
        <v>165</v>
      </c>
      <c r="C18" s="28" t="n">
        <f aca="false">C11*C17/1000</f>
        <v>31.6056</v>
      </c>
      <c r="D18" s="28" t="n">
        <f aca="false">D11*D17/1000</f>
        <v>27.1484</v>
      </c>
      <c r="E18" s="28" t="n">
        <f aca="false">E11*E17/1000</f>
        <v>36.8732</v>
      </c>
      <c r="F18" s="28" t="n">
        <f aca="false">F11*F17/1000</f>
        <v>37.7676</v>
      </c>
      <c r="G18" s="28" t="n">
        <f aca="false">G11*G17/1000</f>
        <v>31.2</v>
      </c>
      <c r="H18" s="28" t="n">
        <f aca="false">H11*H17/1000</f>
        <v>31.6056</v>
      </c>
      <c r="I18" s="28" t="n">
        <f aca="false">I11*I17/1000</f>
        <v>31.6056</v>
      </c>
      <c r="J18" s="28" t="n">
        <f aca="false">J11*J17/1000</f>
        <v>31.6056</v>
      </c>
      <c r="K18" s="28" t="n">
        <f aca="false">K11*K17/1000</f>
        <v>31.6056</v>
      </c>
      <c r="L18" s="28" t="n">
        <f aca="false">L11*L17/1000</f>
        <v>31.6056</v>
      </c>
      <c r="M18" s="28" t="n">
        <f aca="false">M11*M17/1000</f>
        <v>31.6056</v>
      </c>
      <c r="N18" s="28" t="n">
        <f aca="false">N11*N17/1000</f>
        <v>31.6056</v>
      </c>
      <c r="O18" s="28" t="n">
        <f aca="false">O11*O17/1000</f>
        <v>31.6056</v>
      </c>
      <c r="P18" s="28" t="n">
        <f aca="false">P11*P17/1000</f>
        <v>31.6056</v>
      </c>
      <c r="Q18" s="28" t="n">
        <f aca="false">Q11*Q17/1000</f>
        <v>31.6056</v>
      </c>
      <c r="R18" s="28" t="n">
        <f aca="false">R11*R17/1000</f>
        <v>31.6056</v>
      </c>
      <c r="S18" s="28" t="n">
        <f aca="false">S11*S17/1000</f>
        <v>31.6056</v>
      </c>
      <c r="T18" s="28" t="n">
        <f aca="false">T11*T17/1000</f>
        <v>31.6056</v>
      </c>
      <c r="U18" s="28" t="n">
        <f aca="false">U11*U17/1000</f>
        <v>31.6056</v>
      </c>
      <c r="V18" s="28" t="n">
        <f aca="false">V11*V17/1000</f>
        <v>31.6056</v>
      </c>
      <c r="W18" s="28" t="n">
        <f aca="false">W11*W17/1000</f>
        <v>31.6056</v>
      </c>
      <c r="X18" s="28" t="n">
        <f aca="false">X11*X17/1000</f>
        <v>32.643</v>
      </c>
      <c r="Y18" s="28" t="n">
        <f aca="false">Y11*Y17/1000</f>
        <v>30.2328</v>
      </c>
    </row>
    <row r="19" customFormat="false" ht="15" hidden="false" customHeight="false" outlineLevel="0" collapsed="false">
      <c r="A19" s="9" t="s">
        <v>55</v>
      </c>
      <c r="B19" s="10" t="s">
        <v>41</v>
      </c>
      <c r="C19" s="23" t="n">
        <f aca="false">Inputs!$E$13</f>
        <v>0.1</v>
      </c>
      <c r="D19" s="23" t="n">
        <f aca="false">Inputs!$E$13</f>
        <v>0.1</v>
      </c>
      <c r="E19" s="23" t="n">
        <f aca="false">Inputs!$E$13</f>
        <v>0.1</v>
      </c>
      <c r="F19" s="23" t="n">
        <f aca="false">Inputs!$E$13</f>
        <v>0.1</v>
      </c>
      <c r="G19" s="23" t="n">
        <f aca="false">Inputs!$E$13</f>
        <v>0.1</v>
      </c>
      <c r="H19" s="23" t="n">
        <f aca="false">Inputs!$D$13</f>
        <v>0.05</v>
      </c>
      <c r="I19" s="23" t="n">
        <f aca="false">Inputs!$F$13</f>
        <v>0.15</v>
      </c>
      <c r="J19" s="23" t="n">
        <f aca="false">Inputs!$E$13</f>
        <v>0.1</v>
      </c>
      <c r="K19" s="23" t="n">
        <f aca="false">Inputs!$E$13</f>
        <v>0.1</v>
      </c>
      <c r="L19" s="23" t="n">
        <f aca="false">Inputs!$E$13</f>
        <v>0.1</v>
      </c>
      <c r="M19" s="23" t="n">
        <f aca="false">Inputs!$E$13</f>
        <v>0.1</v>
      </c>
      <c r="N19" s="23" t="n">
        <f aca="false">Inputs!$E$13</f>
        <v>0.1</v>
      </c>
      <c r="O19" s="23" t="n">
        <f aca="false">Inputs!$E$13</f>
        <v>0.1</v>
      </c>
      <c r="P19" s="23" t="n">
        <f aca="false">Inputs!$E$13</f>
        <v>0.1</v>
      </c>
      <c r="Q19" s="23" t="n">
        <f aca="false">Inputs!$E$13</f>
        <v>0.1</v>
      </c>
      <c r="R19" s="23" t="n">
        <f aca="false">Inputs!$E$13</f>
        <v>0.1</v>
      </c>
      <c r="S19" s="23" t="n">
        <f aca="false">Inputs!$E$13</f>
        <v>0.1</v>
      </c>
      <c r="T19" s="23" t="n">
        <f aca="false">Inputs!$E$13</f>
        <v>0.1</v>
      </c>
      <c r="U19" s="23" t="n">
        <f aca="false">Inputs!$E$13</f>
        <v>0.1</v>
      </c>
      <c r="V19" s="23" t="n">
        <f aca="false">Inputs!$E$13</f>
        <v>0.1</v>
      </c>
      <c r="W19" s="23" t="n">
        <f aca="false">Inputs!$E$13</f>
        <v>0.1</v>
      </c>
      <c r="X19" s="23" t="n">
        <f aca="false">Inputs!$E$13</f>
        <v>0.1</v>
      </c>
      <c r="Y19" s="23" t="n">
        <f aca="false">Inputs!$E$13</f>
        <v>0.1</v>
      </c>
    </row>
    <row r="20" customFormat="false" ht="15" hidden="false" customHeight="false" outlineLevel="0" collapsed="false">
      <c r="A20" s="9" t="s">
        <v>166</v>
      </c>
      <c r="B20" s="10" t="s">
        <v>165</v>
      </c>
      <c r="C20" s="28" t="n">
        <f aca="false">C18*C19</f>
        <v>3.16056</v>
      </c>
      <c r="D20" s="28" t="n">
        <f aca="false">D18*D19</f>
        <v>2.71484</v>
      </c>
      <c r="E20" s="28" t="n">
        <f aca="false">E18*E19</f>
        <v>3.68732</v>
      </c>
      <c r="F20" s="28" t="n">
        <f aca="false">F18*F19</f>
        <v>3.77676</v>
      </c>
      <c r="G20" s="28" t="n">
        <f aca="false">G18*G19</f>
        <v>3.12</v>
      </c>
      <c r="H20" s="28" t="n">
        <f aca="false">H18*H19</f>
        <v>1.58028</v>
      </c>
      <c r="I20" s="28" t="n">
        <f aca="false">I18*I19</f>
        <v>4.74084</v>
      </c>
      <c r="J20" s="28" t="n">
        <f aca="false">J18*J19</f>
        <v>3.16056</v>
      </c>
      <c r="K20" s="28" t="n">
        <f aca="false">K18*K19</f>
        <v>3.16056</v>
      </c>
      <c r="L20" s="28" t="n">
        <f aca="false">L18*L19</f>
        <v>3.16056</v>
      </c>
      <c r="M20" s="28" t="n">
        <f aca="false">M18*M19</f>
        <v>3.16056</v>
      </c>
      <c r="N20" s="28" t="n">
        <f aca="false">N18*N19</f>
        <v>3.16056</v>
      </c>
      <c r="O20" s="28" t="n">
        <f aca="false">O18*O19</f>
        <v>3.16056</v>
      </c>
      <c r="P20" s="28" t="n">
        <f aca="false">P18*P19</f>
        <v>3.16056</v>
      </c>
      <c r="Q20" s="28" t="n">
        <f aca="false">Q18*Q19</f>
        <v>3.16056</v>
      </c>
      <c r="R20" s="28" t="n">
        <f aca="false">R18*R19</f>
        <v>3.16056</v>
      </c>
      <c r="S20" s="28" t="n">
        <f aca="false">S18*S19</f>
        <v>3.16056</v>
      </c>
      <c r="T20" s="28" t="n">
        <f aca="false">T18*T19</f>
        <v>3.16056</v>
      </c>
      <c r="U20" s="28" t="n">
        <f aca="false">U18*U19</f>
        <v>3.16056</v>
      </c>
      <c r="V20" s="28" t="n">
        <f aca="false">V18*V19</f>
        <v>3.16056</v>
      </c>
      <c r="W20" s="28" t="n">
        <f aca="false">W18*W19</f>
        <v>3.16056</v>
      </c>
      <c r="X20" s="28" t="n">
        <f aca="false">X18*X19</f>
        <v>3.2643</v>
      </c>
      <c r="Y20" s="28" t="n">
        <f aca="false">Y18*Y19</f>
        <v>3.02328</v>
      </c>
    </row>
    <row r="21" customFormat="false" ht="15" hidden="false" customHeight="false" outlineLevel="0" collapsed="false">
      <c r="A21" s="13" t="s">
        <v>167</v>
      </c>
      <c r="B21" s="10" t="s">
        <v>58</v>
      </c>
      <c r="C21" s="24" t="n">
        <f aca="false">Inputs!$E$14</f>
        <v>500</v>
      </c>
      <c r="D21" s="24" t="n">
        <f aca="false">Inputs!$E$14</f>
        <v>500</v>
      </c>
      <c r="E21" s="24" t="n">
        <f aca="false">Inputs!$E$14</f>
        <v>500</v>
      </c>
      <c r="F21" s="24" t="n">
        <f aca="false">Inputs!$E$14</f>
        <v>500</v>
      </c>
      <c r="G21" s="24" t="n">
        <f aca="false">Inputs!$E$14</f>
        <v>500</v>
      </c>
      <c r="H21" s="24" t="n">
        <f aca="false">Inputs!$E$14</f>
        <v>500</v>
      </c>
      <c r="I21" s="24" t="n">
        <f aca="false">Inputs!$E$14</f>
        <v>500</v>
      </c>
      <c r="J21" s="24" t="n">
        <f aca="false">Inputs!$E$14</f>
        <v>500</v>
      </c>
      <c r="K21" s="24" t="n">
        <f aca="false">Inputs!$E$14</f>
        <v>500</v>
      </c>
      <c r="L21" s="24" t="n">
        <f aca="false">Inputs!$E$14</f>
        <v>500</v>
      </c>
      <c r="M21" s="24" t="n">
        <f aca="false">Inputs!$E$14</f>
        <v>500</v>
      </c>
      <c r="N21" s="24" t="n">
        <f aca="false">Inputs!$E$14</f>
        <v>500</v>
      </c>
      <c r="O21" s="24" t="n">
        <f aca="false">Inputs!$E$14</f>
        <v>500</v>
      </c>
      <c r="P21" s="24" t="n">
        <f aca="false">Inputs!$E$14</f>
        <v>500</v>
      </c>
      <c r="Q21" s="24" t="n">
        <f aca="false">Inputs!$E$14</f>
        <v>500</v>
      </c>
      <c r="R21" s="24" t="n">
        <f aca="false">Inputs!$E$14</f>
        <v>500</v>
      </c>
      <c r="S21" s="24" t="n">
        <f aca="false">Inputs!$E$14</f>
        <v>500</v>
      </c>
      <c r="T21" s="24" t="n">
        <f aca="false">Inputs!$E$14</f>
        <v>500</v>
      </c>
      <c r="U21" s="24" t="n">
        <f aca="false">Inputs!$E$14</f>
        <v>500</v>
      </c>
      <c r="V21" s="24" t="n">
        <f aca="false">Inputs!$E$14</f>
        <v>500</v>
      </c>
      <c r="W21" s="24" t="n">
        <f aca="false">Inputs!$E$14</f>
        <v>500</v>
      </c>
      <c r="X21" s="24" t="n">
        <f aca="false">Inputs!$E$14</f>
        <v>500</v>
      </c>
      <c r="Y21" s="24" t="n">
        <f aca="false">Inputs!$E$14</f>
        <v>500</v>
      </c>
    </row>
    <row r="22" customFormat="false" ht="15" hidden="false" customHeight="false" outlineLevel="0" collapsed="false">
      <c r="A22" s="13" t="s">
        <v>167</v>
      </c>
      <c r="B22" s="10" t="s">
        <v>165</v>
      </c>
      <c r="C22" s="28" t="n">
        <f aca="false">C13*C21/1000000000</f>
        <v>0.145872</v>
      </c>
      <c r="D22" s="28" t="n">
        <f aca="false">D13*D21/1000000000</f>
        <v>0.145872</v>
      </c>
      <c r="E22" s="28" t="n">
        <f aca="false">E13*E21/1000000000</f>
        <v>0.145872</v>
      </c>
      <c r="F22" s="28" t="n">
        <f aca="false">F13*F21/1000000000</f>
        <v>0.174312</v>
      </c>
      <c r="G22" s="28" t="n">
        <f aca="false">G13*G21/1000000000</f>
        <v>0.144</v>
      </c>
      <c r="H22" s="28" t="n">
        <f aca="false">H13*H21/1000000000</f>
        <v>0.145872</v>
      </c>
      <c r="I22" s="28" t="n">
        <f aca="false">I13*I21/1000000000</f>
        <v>0.145872</v>
      </c>
      <c r="J22" s="28" t="n">
        <f aca="false">J13*J21/1000000000</f>
        <v>0.145872</v>
      </c>
      <c r="K22" s="28" t="n">
        <f aca="false">K13*K21/1000000000</f>
        <v>0.145872</v>
      </c>
      <c r="L22" s="28" t="n">
        <f aca="false">L13*L21/1000000000</f>
        <v>0.145872</v>
      </c>
      <c r="M22" s="28" t="n">
        <f aca="false">M13*M21/1000000000</f>
        <v>0.145872</v>
      </c>
      <c r="N22" s="28" t="n">
        <f aca="false">N13*N21/1000000000</f>
        <v>0.145872</v>
      </c>
      <c r="O22" s="28" t="n">
        <f aca="false">O13*O21/1000000000</f>
        <v>0.145872</v>
      </c>
      <c r="P22" s="28" t="n">
        <f aca="false">P13*P21/1000000000</f>
        <v>0.145872</v>
      </c>
      <c r="Q22" s="28" t="n">
        <f aca="false">Q13*Q21/1000000000</f>
        <v>0.145872</v>
      </c>
      <c r="R22" s="28" t="n">
        <f aca="false">R13*R21/1000000000</f>
        <v>0.145872</v>
      </c>
      <c r="S22" s="28" t="n">
        <f aca="false">S13*S21/1000000000</f>
        <v>0.145872</v>
      </c>
      <c r="T22" s="28" t="n">
        <f aca="false">T13*T21/1000000000</f>
        <v>0.145872</v>
      </c>
      <c r="U22" s="28" t="n">
        <f aca="false">U13*U21/1000000000</f>
        <v>0.145872</v>
      </c>
      <c r="V22" s="28" t="n">
        <f aca="false">V13*V21/1000000000</f>
        <v>0.145872</v>
      </c>
      <c r="W22" s="28" t="n">
        <f aca="false">W13*W21/1000000000</f>
        <v>0.145872</v>
      </c>
      <c r="X22" s="28" t="n">
        <f aca="false">X13*X21/1000000000</f>
        <v>0.15066</v>
      </c>
      <c r="Y22" s="28" t="n">
        <f aca="false">Y13*Y21/1000000000</f>
        <v>0.139536</v>
      </c>
    </row>
    <row r="23" customFormat="false" ht="15" hidden="false" customHeight="false" outlineLevel="0" collapsed="false">
      <c r="A23" s="9" t="s">
        <v>168</v>
      </c>
      <c r="B23" s="10" t="s">
        <v>165</v>
      </c>
      <c r="C23" s="28" t="n">
        <f aca="false">C18+C20+C22</f>
        <v>34.912032</v>
      </c>
      <c r="D23" s="28" t="n">
        <f aca="false">D18+D20+D22</f>
        <v>30.009112</v>
      </c>
      <c r="E23" s="28" t="n">
        <f aca="false">E18+E20+E22</f>
        <v>40.706392</v>
      </c>
      <c r="F23" s="28" t="n">
        <f aca="false">F18+F20+F22</f>
        <v>41.718672</v>
      </c>
      <c r="G23" s="28" t="n">
        <f aca="false">G18+G20+G22</f>
        <v>34.464</v>
      </c>
      <c r="H23" s="28" t="n">
        <f aca="false">H18+H20+H22</f>
        <v>33.331752</v>
      </c>
      <c r="I23" s="28" t="n">
        <f aca="false">I18+I20+I22</f>
        <v>36.492312</v>
      </c>
      <c r="J23" s="28" t="n">
        <f aca="false">J18+J20+J22</f>
        <v>34.912032</v>
      </c>
      <c r="K23" s="28" t="n">
        <f aca="false">K18+K20+K22</f>
        <v>34.912032</v>
      </c>
      <c r="L23" s="28" t="n">
        <f aca="false">L18+L20+L22</f>
        <v>34.912032</v>
      </c>
      <c r="M23" s="28" t="n">
        <f aca="false">M18+M20+M22</f>
        <v>34.912032</v>
      </c>
      <c r="N23" s="28" t="n">
        <f aca="false">N18+N20+N22</f>
        <v>34.912032</v>
      </c>
      <c r="O23" s="28" t="n">
        <f aca="false">O18+O20+O22</f>
        <v>34.912032</v>
      </c>
      <c r="P23" s="28" t="n">
        <f aca="false">P18+P20+P22</f>
        <v>34.912032</v>
      </c>
      <c r="Q23" s="28" t="n">
        <f aca="false">Q18+Q20+Q22</f>
        <v>34.912032</v>
      </c>
      <c r="R23" s="28" t="n">
        <f aca="false">R18+R20+R22</f>
        <v>34.912032</v>
      </c>
      <c r="S23" s="28" t="n">
        <f aca="false">S18+S20+S22</f>
        <v>34.912032</v>
      </c>
      <c r="T23" s="28" t="n">
        <f aca="false">T18+T20+T22</f>
        <v>34.912032</v>
      </c>
      <c r="U23" s="28" t="n">
        <f aca="false">U18+U20+U22</f>
        <v>34.912032</v>
      </c>
      <c r="V23" s="28" t="n">
        <f aca="false">V18+V20+V22</f>
        <v>34.912032</v>
      </c>
      <c r="W23" s="28" t="n">
        <f aca="false">W18+W20+W22</f>
        <v>34.912032</v>
      </c>
      <c r="X23" s="28" t="n">
        <f aca="false">X18+X20+X22</f>
        <v>36.05796</v>
      </c>
      <c r="Y23" s="28" t="n">
        <f aca="false">Y18+Y20+Y22</f>
        <v>33.395616</v>
      </c>
    </row>
    <row r="24" customFormat="false" ht="15" hidden="false" customHeight="false" outlineLevel="0" collapsed="false">
      <c r="A24" s="13" t="s">
        <v>61</v>
      </c>
      <c r="B24" s="10" t="s">
        <v>165</v>
      </c>
      <c r="C24" s="28" t="n">
        <f aca="false">C7*Inputs!$E$16/1000</f>
        <v>0.02</v>
      </c>
      <c r="D24" s="28" t="n">
        <f aca="false">D7*Inputs!$E$16/1000</f>
        <v>0.02</v>
      </c>
      <c r="E24" s="28" t="n">
        <f aca="false">E7*Inputs!$E$16/1000</f>
        <v>0.02</v>
      </c>
      <c r="F24" s="28" t="n">
        <f aca="false">F7*Inputs!$E$16/1000</f>
        <v>0.02</v>
      </c>
      <c r="G24" s="28" t="n">
        <f aca="false">G7*Inputs!$E$16/1000</f>
        <v>0.02</v>
      </c>
      <c r="H24" s="28" t="n">
        <f aca="false">H7*Inputs!$E$16/1000</f>
        <v>0.02</v>
      </c>
      <c r="I24" s="28" t="n">
        <f aca="false">I7*Inputs!$E$16/1000</f>
        <v>0.02</v>
      </c>
      <c r="J24" s="28" t="n">
        <f aca="false">J7*Inputs!$E$16/1000</f>
        <v>0.02</v>
      </c>
      <c r="K24" s="28" t="n">
        <f aca="false">K7*Inputs!$E$16/1000</f>
        <v>0.02</v>
      </c>
      <c r="L24" s="28" t="n">
        <f aca="false">L7*Inputs!$E$16/1000</f>
        <v>0.02</v>
      </c>
      <c r="M24" s="28" t="n">
        <f aca="false">M7*Inputs!$E$16/1000</f>
        <v>0.02</v>
      </c>
      <c r="N24" s="28" t="n">
        <f aca="false">N7*Inputs!$E$16/1000</f>
        <v>0.02</v>
      </c>
      <c r="O24" s="28" t="n">
        <f aca="false">O7*Inputs!$E$16/1000</f>
        <v>0.02</v>
      </c>
      <c r="P24" s="28" t="n">
        <f aca="false">P7*Inputs!$E$16/1000</f>
        <v>0.02</v>
      </c>
      <c r="Q24" s="28" t="n">
        <f aca="false">Q7*Inputs!$E$16/1000</f>
        <v>0.02</v>
      </c>
      <c r="R24" s="28" t="n">
        <f aca="false">R7*Inputs!$E$16/1000</f>
        <v>0.02</v>
      </c>
      <c r="S24" s="28" t="n">
        <f aca="false">S7*Inputs!$E$16/1000</f>
        <v>0.02</v>
      </c>
      <c r="T24" s="28" t="n">
        <f aca="false">T7*Inputs!$E$16/1000</f>
        <v>0.02</v>
      </c>
      <c r="U24" s="28" t="n">
        <f aca="false">U7*Inputs!$E$16/1000</f>
        <v>0.02</v>
      </c>
      <c r="V24" s="28" t="n">
        <f aca="false">V7*Inputs!$E$16/1000</f>
        <v>0.02</v>
      </c>
      <c r="W24" s="28" t="n">
        <f aca="false">W7*Inputs!$E$16/1000</f>
        <v>0.02</v>
      </c>
      <c r="X24" s="28" t="n">
        <f aca="false">X7*Inputs!$E$16/1000</f>
        <v>0.02</v>
      </c>
      <c r="Y24" s="28" t="n">
        <f aca="false">Y7*Inputs!$E$16/1000</f>
        <v>0.02</v>
      </c>
    </row>
    <row r="25" customFormat="false" ht="15" hidden="false" customHeight="false" outlineLevel="0" collapsed="false">
      <c r="A25" s="13" t="s">
        <v>169</v>
      </c>
      <c r="B25" s="10" t="s">
        <v>165</v>
      </c>
      <c r="C25" s="28" t="n">
        <f aca="false">C7*Inputs!$E$17/1000</f>
        <v>3.6</v>
      </c>
      <c r="D25" s="28" t="n">
        <f aca="false">D7*Inputs!$E$17/1000</f>
        <v>3.6</v>
      </c>
      <c r="E25" s="28" t="n">
        <f aca="false">E7*Inputs!$E$17/1000</f>
        <v>3.6</v>
      </c>
      <c r="F25" s="28" t="n">
        <f aca="false">F7*Inputs!$E$17/1000</f>
        <v>3.6</v>
      </c>
      <c r="G25" s="28" t="n">
        <f aca="false">G7*Inputs!$E$17/1000</f>
        <v>3.6</v>
      </c>
      <c r="H25" s="28" t="n">
        <f aca="false">H7*Inputs!$E$17/1000</f>
        <v>3.6</v>
      </c>
      <c r="I25" s="28" t="n">
        <f aca="false">I7*Inputs!$E$17/1000</f>
        <v>3.6</v>
      </c>
      <c r="J25" s="28" t="n">
        <f aca="false">J7*Inputs!$D$17/1000</f>
        <v>3</v>
      </c>
      <c r="K25" s="28" t="n">
        <f aca="false">K7*Inputs!$F$17/1000</f>
        <v>4.5</v>
      </c>
      <c r="L25" s="28" t="n">
        <f aca="false">L7*Inputs!$E$17/1000</f>
        <v>3.6</v>
      </c>
      <c r="M25" s="28" t="n">
        <f aca="false">M7*Inputs!$E$17/1000</f>
        <v>3.6</v>
      </c>
      <c r="N25" s="28" t="n">
        <f aca="false">N7*Inputs!$E$17/1000</f>
        <v>3.6</v>
      </c>
      <c r="O25" s="28" t="n">
        <f aca="false">O7*Inputs!$E$17/1000</f>
        <v>3.6</v>
      </c>
      <c r="P25" s="28" t="n">
        <f aca="false">P7*Inputs!$E$17/1000</f>
        <v>3.6</v>
      </c>
      <c r="Q25" s="28" t="n">
        <f aca="false">Q7*Inputs!$E$17/1000</f>
        <v>3.6</v>
      </c>
      <c r="R25" s="28" t="n">
        <f aca="false">R7*Inputs!$E$17/1000</f>
        <v>3.6</v>
      </c>
      <c r="S25" s="28" t="n">
        <f aca="false">S7*Inputs!$E$17/1000</f>
        <v>3.6</v>
      </c>
      <c r="T25" s="28" t="n">
        <f aca="false">T7*Inputs!$E$17/1000</f>
        <v>3.6</v>
      </c>
      <c r="U25" s="28" t="n">
        <f aca="false">U7*Inputs!$E$17/1000</f>
        <v>3.6</v>
      </c>
      <c r="V25" s="28" t="n">
        <f aca="false">V7*Inputs!$E$17/1000</f>
        <v>3.6</v>
      </c>
      <c r="W25" s="28" t="n">
        <f aca="false">W7*Inputs!$E$17/1000</f>
        <v>3.6</v>
      </c>
      <c r="X25" s="28" t="n">
        <f aca="false">X7*Inputs!$E$17/1000</f>
        <v>3.6</v>
      </c>
      <c r="Y25" s="28" t="n">
        <f aca="false">Y7*Inputs!$E$17/1000</f>
        <v>3.6</v>
      </c>
    </row>
    <row r="26" customFormat="false" ht="15" hidden="false" customHeight="false" outlineLevel="0" collapsed="false">
      <c r="A26" s="13" t="s">
        <v>170</v>
      </c>
      <c r="B26" s="10" t="s">
        <v>165</v>
      </c>
      <c r="C26" s="28" t="n">
        <f aca="false">C7*Inputs!$E$18/1000</f>
        <v>4.5</v>
      </c>
      <c r="D26" s="28" t="n">
        <f aca="false">D7*Inputs!$E$18/1000</f>
        <v>4.5</v>
      </c>
      <c r="E26" s="28" t="n">
        <f aca="false">E7*Inputs!$E$18/1000</f>
        <v>4.5</v>
      </c>
      <c r="F26" s="28" t="n">
        <f aca="false">F7*Inputs!$E$18/1000</f>
        <v>4.5</v>
      </c>
      <c r="G26" s="28" t="n">
        <f aca="false">G7*Inputs!$E$18/1000</f>
        <v>4.5</v>
      </c>
      <c r="H26" s="28" t="n">
        <f aca="false">H7*Inputs!$E$18/1000</f>
        <v>4.5</v>
      </c>
      <c r="I26" s="28" t="n">
        <f aca="false">I7*Inputs!$E$18/1000</f>
        <v>4.5</v>
      </c>
      <c r="J26" s="28" t="n">
        <f aca="false">J7*Inputs!$E$18/1000</f>
        <v>4.5</v>
      </c>
      <c r="K26" s="28" t="n">
        <f aca="false">K7*Inputs!$E$18/1000</f>
        <v>4.5</v>
      </c>
      <c r="L26" s="28" t="n">
        <f aca="false">L7*Inputs!$D$18/1000</f>
        <v>3.8</v>
      </c>
      <c r="M26" s="28" t="n">
        <f aca="false">M7*Inputs!$F$18/1000</f>
        <v>5.5</v>
      </c>
      <c r="N26" s="28" t="n">
        <f aca="false">N7*Inputs!$E$18/1000</f>
        <v>4.5</v>
      </c>
      <c r="O26" s="28" t="n">
        <f aca="false">O7*Inputs!$E$18/1000</f>
        <v>4.5</v>
      </c>
      <c r="P26" s="28" t="n">
        <f aca="false">P7*Inputs!$E$18/1000</f>
        <v>4.5</v>
      </c>
      <c r="Q26" s="28" t="n">
        <f aca="false">Q7*Inputs!$E$18/1000</f>
        <v>4.5</v>
      </c>
      <c r="R26" s="28" t="n">
        <f aca="false">R7*Inputs!$E$18/1000</f>
        <v>4.5</v>
      </c>
      <c r="S26" s="28" t="n">
        <f aca="false">S7*Inputs!$E$18/1000</f>
        <v>4.5</v>
      </c>
      <c r="T26" s="28" t="n">
        <f aca="false">T7*Inputs!$E$18/1000</f>
        <v>4.5</v>
      </c>
      <c r="U26" s="28" t="n">
        <f aca="false">U7*Inputs!$E$18/1000</f>
        <v>4.5</v>
      </c>
      <c r="V26" s="28" t="n">
        <f aca="false">V7*Inputs!$E$18/1000</f>
        <v>4.5</v>
      </c>
      <c r="W26" s="28" t="n">
        <f aca="false">W7*Inputs!$E$18/1000</f>
        <v>4.5</v>
      </c>
      <c r="X26" s="28" t="n">
        <f aca="false">X7*Inputs!$E$18/1000</f>
        <v>4.5</v>
      </c>
      <c r="Y26" s="28" t="n">
        <f aca="false">Y7*Inputs!$E$18/1000</f>
        <v>4.5</v>
      </c>
    </row>
    <row r="27" customFormat="false" ht="15" hidden="false" customHeight="false" outlineLevel="0" collapsed="false">
      <c r="A27" s="13" t="s">
        <v>171</v>
      </c>
      <c r="B27" s="10" t="s">
        <v>165</v>
      </c>
      <c r="C27" s="28" t="n">
        <f aca="false">C7*Inputs!$E$19/1000</f>
        <v>2.5</v>
      </c>
      <c r="D27" s="28" t="n">
        <f aca="false">D7*Inputs!$E$19/1000</f>
        <v>2.5</v>
      </c>
      <c r="E27" s="28" t="n">
        <f aca="false">E7*Inputs!$E$19/1000</f>
        <v>2.5</v>
      </c>
      <c r="F27" s="28" t="n">
        <f aca="false">F7*Inputs!$E$19/1000</f>
        <v>2.5</v>
      </c>
      <c r="G27" s="28" t="n">
        <f aca="false">G7*Inputs!$E$19/1000</f>
        <v>2.5</v>
      </c>
      <c r="H27" s="28" t="n">
        <f aca="false">H7*Inputs!$E$19/1000</f>
        <v>2.5</v>
      </c>
      <c r="I27" s="28" t="n">
        <f aca="false">I7*Inputs!$E$19/1000</f>
        <v>2.5</v>
      </c>
      <c r="J27" s="28" t="n">
        <f aca="false">J7*Inputs!$E$19/1000</f>
        <v>2.5</v>
      </c>
      <c r="K27" s="28" t="n">
        <f aca="false">K7*Inputs!$E$19/1000</f>
        <v>2.5</v>
      </c>
      <c r="L27" s="28" t="n">
        <f aca="false">L7*Inputs!$E$19/1000</f>
        <v>2.5</v>
      </c>
      <c r="M27" s="28" t="n">
        <f aca="false">M7*Inputs!$E$19/1000</f>
        <v>2.5</v>
      </c>
      <c r="N27" s="28" t="n">
        <f aca="false">N7*Inputs!$E$19/1000</f>
        <v>2.5</v>
      </c>
      <c r="O27" s="28" t="n">
        <f aca="false">O7*Inputs!$E$19/1000</f>
        <v>2.5</v>
      </c>
      <c r="P27" s="28" t="n">
        <f aca="false">P7*Inputs!$E$19/1000</f>
        <v>2.5</v>
      </c>
      <c r="Q27" s="28" t="n">
        <f aca="false">Q7*Inputs!$E$19/1000</f>
        <v>2.5</v>
      </c>
      <c r="R27" s="28" t="n">
        <f aca="false">R7*Inputs!$E$19/1000</f>
        <v>2.5</v>
      </c>
      <c r="S27" s="28" t="n">
        <f aca="false">S7*Inputs!$E$19/1000</f>
        <v>2.5</v>
      </c>
      <c r="T27" s="28" t="n">
        <f aca="false">T7*Inputs!$E$19/1000</f>
        <v>2.5</v>
      </c>
      <c r="U27" s="28" t="n">
        <f aca="false">U7*Inputs!$E$19/1000</f>
        <v>2.5</v>
      </c>
      <c r="V27" s="28" t="n">
        <f aca="false">V7*Inputs!$E$19/1000</f>
        <v>2.5</v>
      </c>
      <c r="W27" s="28" t="n">
        <f aca="false">W7*Inputs!$E$19/1000</f>
        <v>2.5</v>
      </c>
      <c r="X27" s="28" t="n">
        <f aca="false">X7*Inputs!$E$19/1000</f>
        <v>2.5</v>
      </c>
      <c r="Y27" s="28" t="n">
        <f aca="false">Y7*Inputs!$E$19/1000</f>
        <v>2.5</v>
      </c>
    </row>
    <row r="28" customFormat="false" ht="15" hidden="false" customHeight="false" outlineLevel="0" collapsed="false">
      <c r="A28" s="13" t="s">
        <v>172</v>
      </c>
      <c r="B28" s="10" t="s">
        <v>165</v>
      </c>
      <c r="C28" s="28" t="n">
        <f aca="false">C7*Inputs!$E$20/1000</f>
        <v>0.4</v>
      </c>
      <c r="D28" s="28" t="n">
        <f aca="false">D7*Inputs!$E$20/1000</f>
        <v>0.4</v>
      </c>
      <c r="E28" s="28" t="n">
        <f aca="false">E7*Inputs!$E$20/1000</f>
        <v>0.4</v>
      </c>
      <c r="F28" s="28" t="n">
        <f aca="false">F7*Inputs!$E$20/1000</f>
        <v>0.4</v>
      </c>
      <c r="G28" s="28" t="n">
        <f aca="false">G7*Inputs!$E$20/1000</f>
        <v>0.4</v>
      </c>
      <c r="H28" s="28" t="n">
        <f aca="false">H7*Inputs!$E$20/1000</f>
        <v>0.4</v>
      </c>
      <c r="I28" s="28" t="n">
        <f aca="false">I7*Inputs!$E$20/1000</f>
        <v>0.4</v>
      </c>
      <c r="J28" s="28" t="n">
        <f aca="false">J7*Inputs!$E$20/1000</f>
        <v>0.4</v>
      </c>
      <c r="K28" s="28" t="n">
        <f aca="false">K7*Inputs!$E$20/1000</f>
        <v>0.4</v>
      </c>
      <c r="L28" s="28" t="n">
        <f aca="false">L7*Inputs!$E$20/1000</f>
        <v>0.4</v>
      </c>
      <c r="M28" s="28" t="n">
        <f aca="false">M7*Inputs!$E$20/1000</f>
        <v>0.4</v>
      </c>
      <c r="N28" s="28" t="n">
        <f aca="false">N7*Inputs!$E$20/1000</f>
        <v>0.4</v>
      </c>
      <c r="O28" s="28" t="n">
        <f aca="false">O7*Inputs!$E$20/1000</f>
        <v>0.4</v>
      </c>
      <c r="P28" s="28" t="n">
        <f aca="false">P7*Inputs!$E$20/1000</f>
        <v>0.4</v>
      </c>
      <c r="Q28" s="28" t="n">
        <f aca="false">Q7*Inputs!$E$20/1000</f>
        <v>0.4</v>
      </c>
      <c r="R28" s="28" t="n">
        <f aca="false">R7*Inputs!$E$20/1000</f>
        <v>0.4</v>
      </c>
      <c r="S28" s="28" t="n">
        <f aca="false">S7*Inputs!$E$20/1000</f>
        <v>0.4</v>
      </c>
      <c r="T28" s="28" t="n">
        <f aca="false">T7*Inputs!$E$20/1000</f>
        <v>0.4</v>
      </c>
      <c r="U28" s="28" t="n">
        <f aca="false">U7*Inputs!$E$20/1000</f>
        <v>0.4</v>
      </c>
      <c r="V28" s="28" t="n">
        <f aca="false">V7*Inputs!$E$20/1000</f>
        <v>0.4</v>
      </c>
      <c r="W28" s="28" t="n">
        <f aca="false">W7*Inputs!$E$20/1000</f>
        <v>0.4</v>
      </c>
      <c r="X28" s="28" t="n">
        <f aca="false">X7*Inputs!$E$20/1000</f>
        <v>0.4</v>
      </c>
      <c r="Y28" s="28" t="n">
        <f aca="false">Y7*Inputs!$E$20/1000</f>
        <v>0.4</v>
      </c>
    </row>
    <row r="29" customFormat="false" ht="15" hidden="false" customHeight="false" outlineLevel="0" collapsed="false">
      <c r="A29" s="13" t="s">
        <v>173</v>
      </c>
      <c r="B29" s="10" t="s">
        <v>41</v>
      </c>
      <c r="C29" s="23" t="n">
        <f aca="false">Inputs!$E$21</f>
        <v>0.15</v>
      </c>
      <c r="D29" s="23" t="n">
        <f aca="false">Inputs!$E$21</f>
        <v>0.15</v>
      </c>
      <c r="E29" s="23" t="n">
        <f aca="false">Inputs!$E$21</f>
        <v>0.15</v>
      </c>
      <c r="F29" s="23" t="n">
        <f aca="false">Inputs!$E$21</f>
        <v>0.15</v>
      </c>
      <c r="G29" s="23" t="n">
        <f aca="false">Inputs!$E$21</f>
        <v>0.15</v>
      </c>
      <c r="H29" s="23" t="n">
        <f aca="false">Inputs!$E$21</f>
        <v>0.15</v>
      </c>
      <c r="I29" s="23" t="n">
        <f aca="false">Inputs!$E$21</f>
        <v>0.15</v>
      </c>
      <c r="J29" s="23" t="n">
        <f aca="false">Inputs!$E$21</f>
        <v>0.15</v>
      </c>
      <c r="K29" s="23" t="n">
        <f aca="false">Inputs!$E$21</f>
        <v>0.15</v>
      </c>
      <c r="L29" s="23" t="n">
        <f aca="false">Inputs!$E$21</f>
        <v>0.15</v>
      </c>
      <c r="M29" s="23" t="n">
        <f aca="false">Inputs!$E$21</f>
        <v>0.15</v>
      </c>
      <c r="N29" s="23" t="n">
        <f aca="false">Inputs!$E$21</f>
        <v>0.15</v>
      </c>
      <c r="O29" s="23" t="n">
        <f aca="false">Inputs!$E$21</f>
        <v>0.15</v>
      </c>
      <c r="P29" s="23" t="n">
        <f aca="false">Inputs!$E$21</f>
        <v>0.15</v>
      </c>
      <c r="Q29" s="23" t="n">
        <f aca="false">Inputs!$E$21</f>
        <v>0.15</v>
      </c>
      <c r="R29" s="23" t="n">
        <f aca="false">Inputs!$E$21</f>
        <v>0.15</v>
      </c>
      <c r="S29" s="23" t="n">
        <f aca="false">Inputs!$E$21</f>
        <v>0.15</v>
      </c>
      <c r="T29" s="23" t="n">
        <f aca="false">Inputs!$E$21</f>
        <v>0.15</v>
      </c>
      <c r="U29" s="23" t="n">
        <f aca="false">Inputs!$E$21</f>
        <v>0.15</v>
      </c>
      <c r="V29" s="23" t="n">
        <f aca="false">Inputs!$E$21</f>
        <v>0.15</v>
      </c>
      <c r="W29" s="23" t="n">
        <f aca="false">Inputs!$E$21</f>
        <v>0.15</v>
      </c>
      <c r="X29" s="23" t="n">
        <f aca="false">Inputs!$E$21</f>
        <v>0.15</v>
      </c>
      <c r="Y29" s="23" t="n">
        <f aca="false">Inputs!$E$21</f>
        <v>0.15</v>
      </c>
    </row>
    <row r="30" customFormat="false" ht="15" hidden="false" customHeight="false" outlineLevel="0" collapsed="false">
      <c r="A30" s="13" t="s">
        <v>71</v>
      </c>
      <c r="B30" s="10" t="s">
        <v>165</v>
      </c>
      <c r="C30" s="28" t="n">
        <f aca="false">(C25+C26+C27+C28)*C29</f>
        <v>1.65</v>
      </c>
      <c r="D30" s="28" t="n">
        <f aca="false">(D25+D26+D27+D28)*D29</f>
        <v>1.65</v>
      </c>
      <c r="E30" s="28" t="n">
        <f aca="false">(E25+E26+E27+E28)*E29</f>
        <v>1.65</v>
      </c>
      <c r="F30" s="28" t="n">
        <f aca="false">(F25+F26+F27+F28)*F29</f>
        <v>1.65</v>
      </c>
      <c r="G30" s="28" t="n">
        <f aca="false">(G25+G26+G27+G28)*G29</f>
        <v>1.65</v>
      </c>
      <c r="H30" s="28" t="n">
        <f aca="false">(H25+H26+H27+H28)*H29</f>
        <v>1.65</v>
      </c>
      <c r="I30" s="28" t="n">
        <f aca="false">(I25+I26+I27+I28)*I29</f>
        <v>1.65</v>
      </c>
      <c r="J30" s="28" t="n">
        <f aca="false">(J25+J26+J27+J28)*J29</f>
        <v>1.56</v>
      </c>
      <c r="K30" s="28" t="n">
        <f aca="false">(K25+K26+K27+K28)*K29</f>
        <v>1.785</v>
      </c>
      <c r="L30" s="28" t="n">
        <f aca="false">(L25+L26+L27+L28)*L29</f>
        <v>1.545</v>
      </c>
      <c r="M30" s="28" t="n">
        <f aca="false">(M25+M26+M27+M28)*M29</f>
        <v>1.8</v>
      </c>
      <c r="N30" s="28" t="n">
        <f aca="false">(N25+N26+N27+N28)*N29</f>
        <v>1.65</v>
      </c>
      <c r="O30" s="28" t="n">
        <f aca="false">(O25+O26+O27+O28)*O29</f>
        <v>1.65</v>
      </c>
      <c r="P30" s="28" t="n">
        <f aca="false">(P25+P26+P27+P28)*P29</f>
        <v>1.65</v>
      </c>
      <c r="Q30" s="28" t="n">
        <f aca="false">(Q25+Q26+Q27+Q28)*Q29</f>
        <v>1.65</v>
      </c>
      <c r="R30" s="28" t="n">
        <f aca="false">(R25+R26+R27+R28)*R29</f>
        <v>1.65</v>
      </c>
      <c r="S30" s="28" t="n">
        <f aca="false">(S25+S26+S27+S28)*S29</f>
        <v>1.65</v>
      </c>
      <c r="T30" s="28" t="n">
        <f aca="false">(T25+T26+T27+T28)*T29</f>
        <v>1.65</v>
      </c>
      <c r="U30" s="28" t="n">
        <f aca="false">(U25+U26+U27+U28)*U29</f>
        <v>1.65</v>
      </c>
      <c r="V30" s="28" t="n">
        <f aca="false">(V25+V26+V27+V28)*V29</f>
        <v>1.65</v>
      </c>
      <c r="W30" s="28" t="n">
        <f aca="false">(W25+W26+W27+W28)*W29</f>
        <v>1.65</v>
      </c>
      <c r="X30" s="28" t="n">
        <f aca="false">(X25+X26+X27+X28)*X29</f>
        <v>1.65</v>
      </c>
      <c r="Y30" s="28" t="n">
        <f aca="false">(Y25+Y26+Y27+Y28)*Y29</f>
        <v>1.65</v>
      </c>
    </row>
    <row r="31" customFormat="false" ht="15" hidden="false" customHeight="false" outlineLevel="0" collapsed="false">
      <c r="A31" s="13" t="s">
        <v>174</v>
      </c>
      <c r="B31" s="10" t="s">
        <v>165</v>
      </c>
      <c r="C31" s="28" t="n">
        <f aca="false">C24+C25+C26+C27+C28+C30</f>
        <v>12.67</v>
      </c>
      <c r="D31" s="28" t="n">
        <f aca="false">D24+D25+D26+D27+D28+D30</f>
        <v>12.67</v>
      </c>
      <c r="E31" s="28" t="n">
        <f aca="false">E24+E25+E26+E27+E28+E30</f>
        <v>12.67</v>
      </c>
      <c r="F31" s="28" t="n">
        <f aca="false">F24+F25+F26+F27+F28+F30</f>
        <v>12.67</v>
      </c>
      <c r="G31" s="28" t="n">
        <f aca="false">G24+G25+G26+G27+G28+G30</f>
        <v>12.67</v>
      </c>
      <c r="H31" s="28" t="n">
        <f aca="false">H24+H25+H26+H27+H28+H30</f>
        <v>12.67</v>
      </c>
      <c r="I31" s="28" t="n">
        <f aca="false">I24+I25+I26+I27+I28+I30</f>
        <v>12.67</v>
      </c>
      <c r="J31" s="28" t="n">
        <f aca="false">J24+J25+J26+J27+J28+J30</f>
        <v>11.98</v>
      </c>
      <c r="K31" s="28" t="n">
        <f aca="false">K24+K25+K26+K27+K28+K30</f>
        <v>13.705</v>
      </c>
      <c r="L31" s="28" t="n">
        <f aca="false">L24+L25+L26+L27+L28+L30</f>
        <v>11.865</v>
      </c>
      <c r="M31" s="28" t="n">
        <f aca="false">M24+M25+M26+M27+M28+M30</f>
        <v>13.82</v>
      </c>
      <c r="N31" s="28" t="n">
        <f aca="false">N24+N25+N26+N27+N28+N30</f>
        <v>12.67</v>
      </c>
      <c r="O31" s="28" t="n">
        <f aca="false">O24+O25+O26+O27+O28+O30</f>
        <v>12.67</v>
      </c>
      <c r="P31" s="28" t="n">
        <f aca="false">P24+P25+P26+P27+P28+P30</f>
        <v>12.67</v>
      </c>
      <c r="Q31" s="28" t="n">
        <f aca="false">Q24+Q25+Q26+Q27+Q28+Q30</f>
        <v>12.67</v>
      </c>
      <c r="R31" s="28" t="n">
        <f aca="false">R24+R25+R26+R27+R28+R30</f>
        <v>12.67</v>
      </c>
      <c r="S31" s="28" t="n">
        <f aca="false">S24+S25+S26+S27+S28+S30</f>
        <v>12.67</v>
      </c>
      <c r="T31" s="28" t="n">
        <f aca="false">T24+T25+T26+T27+T28+T30</f>
        <v>12.67</v>
      </c>
      <c r="U31" s="28" t="n">
        <f aca="false">U24+U25+U26+U27+U28+U30</f>
        <v>12.67</v>
      </c>
      <c r="V31" s="28" t="n">
        <f aca="false">V24+V25+V26+V27+V28+V30</f>
        <v>12.67</v>
      </c>
      <c r="W31" s="28" t="n">
        <f aca="false">W24+W25+W26+W27+W28+W30</f>
        <v>12.67</v>
      </c>
      <c r="X31" s="28" t="n">
        <f aca="false">X24+X25+X26+X27+X28+X30</f>
        <v>12.67</v>
      </c>
      <c r="Y31" s="28" t="n">
        <f aca="false">Y24+Y25+Y26+Y27+Y28+Y30</f>
        <v>12.67</v>
      </c>
    </row>
    <row r="32" customFormat="false" ht="15" hidden="false" customHeight="false" outlineLevel="0" collapsed="false">
      <c r="A32" s="13" t="s">
        <v>175</v>
      </c>
      <c r="B32" s="10" t="s">
        <v>165</v>
      </c>
      <c r="C32" s="29" t="n">
        <f aca="false">C23+C31</f>
        <v>47.582032</v>
      </c>
      <c r="D32" s="29" t="n">
        <f aca="false">D23+D31</f>
        <v>42.679112</v>
      </c>
      <c r="E32" s="29" t="n">
        <f aca="false">E23+E31</f>
        <v>53.376392</v>
      </c>
      <c r="F32" s="29" t="n">
        <f aca="false">F23+F31</f>
        <v>54.388672</v>
      </c>
      <c r="G32" s="29" t="n">
        <f aca="false">G23+G31</f>
        <v>47.134</v>
      </c>
      <c r="H32" s="29" t="n">
        <f aca="false">H23+H31</f>
        <v>46.001752</v>
      </c>
      <c r="I32" s="29" t="n">
        <f aca="false">I23+I31</f>
        <v>49.162312</v>
      </c>
      <c r="J32" s="29" t="n">
        <f aca="false">J23+J31</f>
        <v>46.892032</v>
      </c>
      <c r="K32" s="29" t="n">
        <f aca="false">K23+K31</f>
        <v>48.617032</v>
      </c>
      <c r="L32" s="29" t="n">
        <f aca="false">L23+L31</f>
        <v>46.777032</v>
      </c>
      <c r="M32" s="29" t="n">
        <f aca="false">M23+M31</f>
        <v>48.732032</v>
      </c>
      <c r="N32" s="29" t="n">
        <f aca="false">N23+N31</f>
        <v>47.582032</v>
      </c>
      <c r="O32" s="29" t="n">
        <f aca="false">O23+O31</f>
        <v>47.582032</v>
      </c>
      <c r="P32" s="29" t="n">
        <f aca="false">P23+P31</f>
        <v>47.582032</v>
      </c>
      <c r="Q32" s="29" t="n">
        <f aca="false">Q23+Q31</f>
        <v>47.582032</v>
      </c>
      <c r="R32" s="29" t="n">
        <f aca="false">R23+R31</f>
        <v>47.582032</v>
      </c>
      <c r="S32" s="29" t="n">
        <f aca="false">S23+S31</f>
        <v>47.582032</v>
      </c>
      <c r="T32" s="29" t="n">
        <f aca="false">T23+T31</f>
        <v>47.582032</v>
      </c>
      <c r="U32" s="29" t="n">
        <f aca="false">U23+U31</f>
        <v>47.582032</v>
      </c>
      <c r="V32" s="29" t="n">
        <f aca="false">V23+V31</f>
        <v>47.582032</v>
      </c>
      <c r="W32" s="29" t="n">
        <f aca="false">W23+W31</f>
        <v>47.582032</v>
      </c>
      <c r="X32" s="29" t="n">
        <f aca="false">X23+X31</f>
        <v>48.72796</v>
      </c>
      <c r="Y32" s="29" t="n">
        <f aca="false">Y23+Y31</f>
        <v>46.065616</v>
      </c>
    </row>
    <row r="33" customFormat="false" ht="15" hidden="false" customHeight="false" outlineLevel="0" collapsed="false">
      <c r="A33" s="13" t="s">
        <v>176</v>
      </c>
      <c r="B33" s="10" t="s">
        <v>177</v>
      </c>
      <c r="C33" s="30" t="n">
        <f aca="false">C32*1000000/C13</f>
        <v>163.095151914007</v>
      </c>
      <c r="D33" s="30" t="n">
        <f aca="false">D32*1000000/D13</f>
        <v>146.289596358451</v>
      </c>
      <c r="E33" s="30" t="n">
        <f aca="false">E32*1000000/E13</f>
        <v>182.956263025118</v>
      </c>
      <c r="F33" s="30" t="n">
        <f aca="false">F32*1000000/F13</f>
        <v>156.009546101244</v>
      </c>
      <c r="G33" s="30" t="n">
        <f aca="false">G32*1000000/G13</f>
        <v>163.659722222222</v>
      </c>
      <c r="H33" s="30" t="n">
        <f aca="false">H32*1000000/H13</f>
        <v>157.67848524734</v>
      </c>
      <c r="I33" s="30" t="n">
        <f aca="false">I32*1000000/I13</f>
        <v>168.511818580673</v>
      </c>
      <c r="J33" s="30" t="n">
        <f aca="false">J32*1000000/J13</f>
        <v>160.73006471427</v>
      </c>
      <c r="K33" s="30" t="n">
        <f aca="false">K32*1000000/K13</f>
        <v>166.642782713612</v>
      </c>
      <c r="L33" s="30" t="n">
        <f aca="false">L32*1000000/L13</f>
        <v>160.335883514314</v>
      </c>
      <c r="M33" s="30" t="n">
        <f aca="false">M32*1000000/M13</f>
        <v>167.036963913568</v>
      </c>
      <c r="N33" s="30" t="n">
        <f aca="false">N32*1000000/N13</f>
        <v>163.095151914007</v>
      </c>
      <c r="O33" s="30" t="n">
        <f aca="false">O32*1000000/O13</f>
        <v>163.095151914007</v>
      </c>
      <c r="P33" s="30" t="n">
        <f aca="false">P32*1000000/P13</f>
        <v>163.095151914007</v>
      </c>
      <c r="Q33" s="30" t="n">
        <f aca="false">Q32*1000000/Q13</f>
        <v>163.095151914007</v>
      </c>
      <c r="R33" s="30" t="n">
        <f aca="false">R32*1000000/R13</f>
        <v>163.095151914007</v>
      </c>
      <c r="S33" s="30" t="n">
        <f aca="false">S32*1000000/S13</f>
        <v>163.095151914007</v>
      </c>
      <c r="T33" s="30" t="n">
        <f aca="false">T32*1000000/T13</f>
        <v>163.095151914007</v>
      </c>
      <c r="U33" s="30" t="n">
        <f aca="false">U32*1000000/U13</f>
        <v>163.095151914007</v>
      </c>
      <c r="V33" s="30" t="n">
        <f aca="false">V32*1000000/V13</f>
        <v>163.095151914007</v>
      </c>
      <c r="W33" s="30" t="n">
        <f aca="false">W32*1000000/W13</f>
        <v>163.095151914007</v>
      </c>
      <c r="X33" s="30" t="n">
        <f aca="false">X32*1000000/X13</f>
        <v>161.714987388823</v>
      </c>
      <c r="Y33" s="30" t="n">
        <f aca="false">Y32*1000000/Y13</f>
        <v>165.067136796239</v>
      </c>
    </row>
    <row r="34" customFormat="false" ht="15" hidden="false" customHeight="false" outlineLevel="0" collapsed="false">
      <c r="A34" s="13" t="s">
        <v>178</v>
      </c>
      <c r="B34" s="10" t="s">
        <v>163</v>
      </c>
      <c r="C34" s="30" t="n">
        <f aca="false">C32*1000/C7</f>
        <v>47.582032</v>
      </c>
      <c r="D34" s="30" t="n">
        <f aca="false">D32*1000/D7</f>
        <v>42.679112</v>
      </c>
      <c r="E34" s="30" t="n">
        <f aca="false">E32*1000/E7</f>
        <v>53.376392</v>
      </c>
      <c r="F34" s="30" t="n">
        <f aca="false">F32*1000/F7</f>
        <v>54.388672</v>
      </c>
      <c r="G34" s="30" t="n">
        <f aca="false">G32*1000/G7</f>
        <v>47.134</v>
      </c>
      <c r="H34" s="30" t="n">
        <f aca="false">H32*1000/H7</f>
        <v>46.001752</v>
      </c>
      <c r="I34" s="30" t="n">
        <f aca="false">I32*1000/I7</f>
        <v>49.162312</v>
      </c>
      <c r="J34" s="30" t="n">
        <f aca="false">J32*1000/J7</f>
        <v>46.892032</v>
      </c>
      <c r="K34" s="30" t="n">
        <f aca="false">K32*1000/K7</f>
        <v>48.617032</v>
      </c>
      <c r="L34" s="30" t="n">
        <f aca="false">L32*1000/L7</f>
        <v>46.777032</v>
      </c>
      <c r="M34" s="30" t="n">
        <f aca="false">M32*1000/M7</f>
        <v>48.732032</v>
      </c>
      <c r="N34" s="30" t="n">
        <f aca="false">N32*1000/N7</f>
        <v>47.582032</v>
      </c>
      <c r="O34" s="30" t="n">
        <f aca="false">O32*1000/O7</f>
        <v>47.582032</v>
      </c>
      <c r="P34" s="30" t="n">
        <f aca="false">P32*1000/P7</f>
        <v>47.582032</v>
      </c>
      <c r="Q34" s="30" t="n">
        <f aca="false">Q32*1000/Q7</f>
        <v>47.582032</v>
      </c>
      <c r="R34" s="30" t="n">
        <f aca="false">R32*1000/R7</f>
        <v>47.582032</v>
      </c>
      <c r="S34" s="30" t="n">
        <f aca="false">S32*1000/S7</f>
        <v>47.582032</v>
      </c>
      <c r="T34" s="30" t="n">
        <f aca="false">T32*1000/T7</f>
        <v>47.582032</v>
      </c>
      <c r="U34" s="30" t="n">
        <f aca="false">U32*1000/U7</f>
        <v>47.582032</v>
      </c>
      <c r="V34" s="30" t="n">
        <f aca="false">V32*1000/V7</f>
        <v>47.582032</v>
      </c>
      <c r="W34" s="30" t="n">
        <f aca="false">W32*1000/W7</f>
        <v>47.582032</v>
      </c>
      <c r="X34" s="30" t="n">
        <f aca="false">X32*1000/X7</f>
        <v>48.72796</v>
      </c>
      <c r="Y34" s="30" t="n">
        <f aca="false">Y32*1000/Y7</f>
        <v>46.065616</v>
      </c>
    </row>
    <row r="35" customFormat="false" ht="15" hidden="false" customHeight="false" outlineLevel="0" collapsed="false">
      <c r="A35" s="13" t="s">
        <v>179</v>
      </c>
      <c r="B35" s="10" t="s">
        <v>163</v>
      </c>
      <c r="C35" s="28" t="n">
        <f aca="false">C31*1000/C7</f>
        <v>12.67</v>
      </c>
      <c r="D35" s="28" t="n">
        <f aca="false">D31*1000/D7</f>
        <v>12.67</v>
      </c>
      <c r="E35" s="28" t="n">
        <f aca="false">E31*1000/E7</f>
        <v>12.67</v>
      </c>
      <c r="F35" s="28" t="n">
        <f aca="false">F31*1000/F7</f>
        <v>12.67</v>
      </c>
      <c r="G35" s="28" t="n">
        <f aca="false">G31*1000/G7</f>
        <v>12.67</v>
      </c>
      <c r="H35" s="28" t="n">
        <f aca="false">H31*1000/H7</f>
        <v>12.67</v>
      </c>
      <c r="I35" s="28" t="n">
        <f aca="false">I31*1000/I7</f>
        <v>12.67</v>
      </c>
      <c r="J35" s="28" t="n">
        <f aca="false">J31*1000/J7</f>
        <v>11.98</v>
      </c>
      <c r="K35" s="28" t="n">
        <f aca="false">K31*1000/K7</f>
        <v>13.705</v>
      </c>
      <c r="L35" s="28" t="n">
        <f aca="false">L31*1000/L7</f>
        <v>11.865</v>
      </c>
      <c r="M35" s="28" t="n">
        <f aca="false">M31*1000/M7</f>
        <v>13.82</v>
      </c>
      <c r="N35" s="28" t="n">
        <f aca="false">N31*1000/N7</f>
        <v>12.67</v>
      </c>
      <c r="O35" s="28" t="n">
        <f aca="false">O31*1000/O7</f>
        <v>12.67</v>
      </c>
      <c r="P35" s="28" t="n">
        <f aca="false">P31*1000/P7</f>
        <v>12.67</v>
      </c>
      <c r="Q35" s="28" t="n">
        <f aca="false">Q31*1000/Q7</f>
        <v>12.67</v>
      </c>
      <c r="R35" s="28" t="n">
        <f aca="false">R31*1000/R7</f>
        <v>12.67</v>
      </c>
      <c r="S35" s="28" t="n">
        <f aca="false">S31*1000/S7</f>
        <v>12.67</v>
      </c>
      <c r="T35" s="28" t="n">
        <f aca="false">T31*1000/T7</f>
        <v>12.67</v>
      </c>
      <c r="U35" s="28" t="n">
        <f aca="false">U31*1000/U7</f>
        <v>12.67</v>
      </c>
      <c r="V35" s="28" t="n">
        <f aca="false">V31*1000/V7</f>
        <v>12.67</v>
      </c>
      <c r="W35" s="28" t="n">
        <f aca="false">W31*1000/W7</f>
        <v>12.67</v>
      </c>
      <c r="X35" s="28" t="n">
        <f aca="false">X31*1000/X7</f>
        <v>12.67</v>
      </c>
      <c r="Y35" s="28" t="n">
        <f aca="false">Y31*1000/Y7</f>
        <v>12.67</v>
      </c>
    </row>
    <row r="36" customFormat="false" ht="15" hidden="false" customHeight="false" outlineLevel="0" collapsed="false">
      <c r="A36" s="18" t="s">
        <v>180</v>
      </c>
      <c r="B36" s="8"/>
      <c r="C36" s="8"/>
    </row>
    <row r="37" customFormat="false" ht="15" hidden="false" customHeight="false" outlineLevel="0" collapsed="false">
      <c r="A37" s="9" t="s">
        <v>181</v>
      </c>
      <c r="B37" s="14" t="s">
        <v>76</v>
      </c>
      <c r="C37" s="31" t="n">
        <f aca="false">Inputs!$E$23</f>
        <v>6</v>
      </c>
      <c r="D37" s="31" t="n">
        <f aca="false">Inputs!$E$23</f>
        <v>6</v>
      </c>
      <c r="E37" s="31" t="n">
        <f aca="false">Inputs!$E$23</f>
        <v>6</v>
      </c>
      <c r="F37" s="31" t="n">
        <f aca="false">Inputs!$E$23</f>
        <v>6</v>
      </c>
      <c r="G37" s="31" t="n">
        <f aca="false">Inputs!$E$23</f>
        <v>6</v>
      </c>
      <c r="H37" s="31" t="n">
        <f aca="false">Inputs!$E$23</f>
        <v>6</v>
      </c>
      <c r="I37" s="31" t="n">
        <f aca="false">Inputs!$E$23</f>
        <v>6</v>
      </c>
      <c r="J37" s="31" t="n">
        <f aca="false">Inputs!$E$23</f>
        <v>6</v>
      </c>
      <c r="K37" s="31" t="n">
        <f aca="false">Inputs!$E$23</f>
        <v>6</v>
      </c>
      <c r="L37" s="31" t="n">
        <f aca="false">Inputs!$E$23</f>
        <v>6</v>
      </c>
      <c r="M37" s="31" t="n">
        <f aca="false">Inputs!$E$23</f>
        <v>6</v>
      </c>
      <c r="N37" s="36" t="n">
        <f aca="false">7</f>
        <v>7</v>
      </c>
      <c r="O37" s="31" t="n">
        <f aca="false">Inputs!$F$23</f>
        <v>4</v>
      </c>
      <c r="P37" s="31" t="n">
        <f aca="false">Inputs!$E$23</f>
        <v>6</v>
      </c>
      <c r="Q37" s="31" t="n">
        <f aca="false">Inputs!$E$23</f>
        <v>6</v>
      </c>
      <c r="R37" s="31" t="n">
        <f aca="false">Inputs!$E$23</f>
        <v>6</v>
      </c>
      <c r="S37" s="31" t="n">
        <f aca="false">Inputs!$E$23</f>
        <v>6</v>
      </c>
      <c r="T37" s="31" t="n">
        <f aca="false">Inputs!$E$23</f>
        <v>6</v>
      </c>
      <c r="U37" s="31" t="n">
        <f aca="false">Inputs!$E$23</f>
        <v>6</v>
      </c>
      <c r="V37" s="31" t="n">
        <f aca="false">Inputs!$E$23</f>
        <v>6</v>
      </c>
      <c r="W37" s="31" t="n">
        <f aca="false">Inputs!$E$23</f>
        <v>6</v>
      </c>
      <c r="X37" s="31" t="n">
        <f aca="false">Inputs!$E$23</f>
        <v>6</v>
      </c>
      <c r="Y37" s="31" t="n">
        <f aca="false">Inputs!$E$23</f>
        <v>6</v>
      </c>
    </row>
    <row r="38" customFormat="false" ht="15" hidden="false" customHeight="false" outlineLevel="0" collapsed="false">
      <c r="A38" s="9" t="s">
        <v>182</v>
      </c>
      <c r="B38" s="10" t="s">
        <v>165</v>
      </c>
      <c r="C38" s="28" t="n">
        <f aca="false">C23/C37</f>
        <v>5.818672</v>
      </c>
      <c r="D38" s="28" t="n">
        <f aca="false">D23/D37</f>
        <v>5.00151866666667</v>
      </c>
      <c r="E38" s="28" t="n">
        <f aca="false">E23/E37</f>
        <v>6.78439866666667</v>
      </c>
      <c r="F38" s="28" t="n">
        <f aca="false">F23/F37</f>
        <v>6.953112</v>
      </c>
      <c r="G38" s="28" t="n">
        <f aca="false">G23/G37</f>
        <v>5.744</v>
      </c>
      <c r="H38" s="28" t="n">
        <f aca="false">H23/H37</f>
        <v>5.555292</v>
      </c>
      <c r="I38" s="28" t="n">
        <f aca="false">I23/I37</f>
        <v>6.082052</v>
      </c>
      <c r="J38" s="28" t="n">
        <f aca="false">J23/J37</f>
        <v>5.818672</v>
      </c>
      <c r="K38" s="28" t="n">
        <f aca="false">K23/K37</f>
        <v>5.818672</v>
      </c>
      <c r="L38" s="28" t="n">
        <f aca="false">L23/L37</f>
        <v>5.818672</v>
      </c>
      <c r="M38" s="28" t="n">
        <f aca="false">M23/M37</f>
        <v>5.818672</v>
      </c>
      <c r="N38" s="28" t="n">
        <f aca="false">N23/N37</f>
        <v>4.98743314285714</v>
      </c>
      <c r="O38" s="28" t="n">
        <f aca="false">O23/O37</f>
        <v>8.728008</v>
      </c>
      <c r="P38" s="28" t="n">
        <f aca="false">P23/P37</f>
        <v>5.818672</v>
      </c>
      <c r="Q38" s="28" t="n">
        <f aca="false">Q23/Q37</f>
        <v>5.818672</v>
      </c>
      <c r="R38" s="28" t="n">
        <f aca="false">R23/R37</f>
        <v>5.818672</v>
      </c>
      <c r="S38" s="28" t="n">
        <f aca="false">S23/S37</f>
        <v>5.818672</v>
      </c>
      <c r="T38" s="28" t="n">
        <f aca="false">T23/T37</f>
        <v>5.818672</v>
      </c>
      <c r="U38" s="28" t="n">
        <f aca="false">U23/U37</f>
        <v>5.818672</v>
      </c>
      <c r="V38" s="28" t="n">
        <f aca="false">V23/V37</f>
        <v>5.818672</v>
      </c>
      <c r="W38" s="28" t="n">
        <f aca="false">W23/W37</f>
        <v>5.818672</v>
      </c>
      <c r="X38" s="28" t="n">
        <f aca="false">X23/X37</f>
        <v>6.00966</v>
      </c>
      <c r="Y38" s="28" t="n">
        <f aca="false">Y23/Y37</f>
        <v>5.565936</v>
      </c>
    </row>
    <row r="39" customFormat="false" ht="15" hidden="false" customHeight="false" outlineLevel="0" collapsed="false">
      <c r="A39" s="13" t="s">
        <v>183</v>
      </c>
      <c r="B39" s="10" t="s">
        <v>165</v>
      </c>
      <c r="C39" s="28" t="n">
        <f aca="false">(C25/Inputs!$E$24+C26/Inputs!$E$25+C27/Inputs!$E$26+C28/Inputs!$E$27)*(1+C29)</f>
        <v>0.634416666666667</v>
      </c>
      <c r="D39" s="28" t="n">
        <f aca="false">(D25/Inputs!$E$24+D26/Inputs!$E$25+D27/Inputs!$E$26+D28/Inputs!$E$27)*(1+D29)</f>
        <v>0.634416666666667</v>
      </c>
      <c r="E39" s="28" t="n">
        <f aca="false">(E25/Inputs!$E$24+E26/Inputs!$E$25+E27/Inputs!$E$26+E28/Inputs!$E$27)*(1+E29)</f>
        <v>0.634416666666667</v>
      </c>
      <c r="F39" s="28" t="n">
        <f aca="false">(F25/Inputs!$E$24+F26/Inputs!$E$25+F27/Inputs!$E$26+F28/Inputs!$E$27)*(1+F29)</f>
        <v>0.634416666666667</v>
      </c>
      <c r="G39" s="28" t="n">
        <f aca="false">(G25/Inputs!$E$24+G26/Inputs!$E$25+G27/Inputs!$E$26+G28/Inputs!$E$27)*(1+G29)</f>
        <v>0.634416666666667</v>
      </c>
      <c r="H39" s="28" t="n">
        <f aca="false">(H25/Inputs!$E$24+H26/Inputs!$E$25+H27/Inputs!$E$26+H28/Inputs!$E$27)*(1+H29)</f>
        <v>0.634416666666667</v>
      </c>
      <c r="I39" s="28" t="n">
        <f aca="false">(I25/Inputs!$E$24+I26/Inputs!$E$25+I27/Inputs!$E$26+I28/Inputs!$E$27)*(1+I29)</f>
        <v>0.634416666666667</v>
      </c>
      <c r="J39" s="28" t="n">
        <f aca="false">(J25/Inputs!$E$24+J26/Inputs!$E$25+J27/Inputs!$E$26+J28/Inputs!$E$27)*(1+J29)</f>
        <v>0.611416666666667</v>
      </c>
      <c r="K39" s="28" t="n">
        <f aca="false">(K25/Inputs!$E$24+K26/Inputs!$E$25+K27/Inputs!$E$26+K28/Inputs!$E$27)*(1+K29)</f>
        <v>0.668916666666667</v>
      </c>
      <c r="L39" s="28" t="n">
        <f aca="false">(L25/Inputs!$E$24+L26/Inputs!$E$25+L27/Inputs!$E$26+L28/Inputs!$E$27)*(1+L29)</f>
        <v>0.594166666666667</v>
      </c>
      <c r="M39" s="28" t="n">
        <f aca="false">(M25/Inputs!$E$24+M26/Inputs!$E$25+M27/Inputs!$E$26+M28/Inputs!$E$27)*(1+M29)</f>
        <v>0.691916666666667</v>
      </c>
      <c r="N39" s="28" t="n">
        <f aca="false">(N25/Inputs!$E$24+N26/Inputs!$E$25+N27/Inputs!$E$26+N28/Inputs!$E$27)*(1+N29)</f>
        <v>0.634416666666667</v>
      </c>
      <c r="O39" s="28" t="n">
        <f aca="false">(O25/Inputs!$E$24+O26/Inputs!$E$25+O27/Inputs!$E$26+O28/Inputs!$E$27)*(1+O29)</f>
        <v>0.634416666666667</v>
      </c>
      <c r="P39" s="28" t="n">
        <f aca="false">(P25/Inputs!$E$24+P26/Inputs!$E$25+P27/Inputs!$E$26+P28/Inputs!$E$27)*(1+P29)</f>
        <v>0.634416666666667</v>
      </c>
      <c r="Q39" s="28" t="n">
        <f aca="false">(Q25/Inputs!$E$24+Q26/Inputs!$E$25+Q27/Inputs!$E$26+Q28/Inputs!$E$27)*(1+Q29)</f>
        <v>0.634416666666667</v>
      </c>
      <c r="R39" s="28" t="n">
        <f aca="false">(R25/Inputs!$E$24+R26/Inputs!$E$25+R27/Inputs!$E$26+R28/Inputs!$E$27)*(1+R29)</f>
        <v>0.634416666666667</v>
      </c>
      <c r="S39" s="28" t="n">
        <f aca="false">(S25/Inputs!$E$24+S26/Inputs!$E$25+S27/Inputs!$E$26+S28/Inputs!$E$27)*(1+S29)</f>
        <v>0.634416666666667</v>
      </c>
      <c r="T39" s="28" t="n">
        <f aca="false">(T25/Inputs!$E$24+T26/Inputs!$E$25+T27/Inputs!$E$26+T28/Inputs!$E$27)*(1+T29)</f>
        <v>0.634416666666667</v>
      </c>
      <c r="U39" s="28" t="n">
        <f aca="false">(U25/Inputs!$E$24+U26/Inputs!$E$25+U27/Inputs!$E$26+U28/Inputs!$E$27)*(1+U29)</f>
        <v>0.634416666666667</v>
      </c>
      <c r="V39" s="28" t="n">
        <f aca="false">(V25/Inputs!$E$24+V26/Inputs!$E$25+V27/Inputs!$E$26+V28/Inputs!$E$27)*(1+V29)</f>
        <v>0.634416666666667</v>
      </c>
      <c r="W39" s="28" t="n">
        <f aca="false">(W25/Inputs!$E$24+W26/Inputs!$E$25+W27/Inputs!$E$26+W28/Inputs!$E$27)*(1+W29)</f>
        <v>0.634416666666667</v>
      </c>
      <c r="X39" s="28" t="n">
        <f aca="false">(X25/Inputs!$E$24+X26/Inputs!$E$25+X27/Inputs!$E$26+X28/Inputs!$E$27)*(1+X29)</f>
        <v>0.634416666666667</v>
      </c>
      <c r="Y39" s="28" t="n">
        <f aca="false">(Y25/Inputs!$E$24+Y26/Inputs!$E$25+Y27/Inputs!$E$26+Y28/Inputs!$E$27)*(1+Y29)</f>
        <v>0.634416666666667</v>
      </c>
    </row>
    <row r="40" customFormat="false" ht="15" hidden="false" customHeight="false" outlineLevel="0" collapsed="false">
      <c r="A40" s="13" t="s">
        <v>48</v>
      </c>
      <c r="B40" s="10" t="s">
        <v>41</v>
      </c>
      <c r="C40" s="23" t="n">
        <f aca="false">Inputs!$E$10</f>
        <v>0.8</v>
      </c>
      <c r="D40" s="23" t="n">
        <f aca="false">Inputs!$E$10</f>
        <v>0.8</v>
      </c>
      <c r="E40" s="23" t="n">
        <f aca="false">Inputs!$E$10</f>
        <v>0.8</v>
      </c>
      <c r="F40" s="23" t="n">
        <f aca="false">Inputs!$E$10</f>
        <v>0.8</v>
      </c>
      <c r="G40" s="23" t="n">
        <f aca="false">Inputs!$E$10</f>
        <v>0.8</v>
      </c>
      <c r="H40" s="23" t="n">
        <f aca="false">Inputs!$E$10</f>
        <v>0.8</v>
      </c>
      <c r="I40" s="23" t="n">
        <f aca="false">Inputs!$E$10</f>
        <v>0.8</v>
      </c>
      <c r="J40" s="23" t="n">
        <f aca="false">Inputs!$E$10</f>
        <v>0.8</v>
      </c>
      <c r="K40" s="23" t="n">
        <f aca="false">Inputs!$E$10</f>
        <v>0.8</v>
      </c>
      <c r="L40" s="23" t="n">
        <f aca="false">Inputs!$E$10</f>
        <v>0.8</v>
      </c>
      <c r="M40" s="23" t="n">
        <f aca="false">Inputs!$E$10</f>
        <v>0.8</v>
      </c>
      <c r="N40" s="23" t="n">
        <f aca="false">Inputs!$E$10</f>
        <v>0.8</v>
      </c>
      <c r="O40" s="23" t="n">
        <f aca="false">Inputs!$E$10</f>
        <v>0.8</v>
      </c>
      <c r="P40" s="23" t="n">
        <f aca="false">Inputs!$E$10</f>
        <v>0.8</v>
      </c>
      <c r="Q40" s="23" t="n">
        <f aca="false">Inputs!$E$10</f>
        <v>0.8</v>
      </c>
      <c r="R40" s="23" t="n">
        <f aca="false">Inputs!$E$10</f>
        <v>0.8</v>
      </c>
      <c r="S40" s="23" t="n">
        <f aca="false">Inputs!$E$10</f>
        <v>0.8</v>
      </c>
      <c r="T40" s="23" t="n">
        <f aca="false">Inputs!$E$10</f>
        <v>0.8</v>
      </c>
      <c r="U40" s="23" t="n">
        <f aca="false">Inputs!$E$10</f>
        <v>0.8</v>
      </c>
      <c r="V40" s="23" t="n">
        <f aca="false">Inputs!$D$10</f>
        <v>0.7</v>
      </c>
      <c r="W40" s="23" t="n">
        <f aca="false">Inputs!$F$10</f>
        <v>0.9</v>
      </c>
      <c r="X40" s="23" t="n">
        <f aca="false">Inputs!$E$10</f>
        <v>0.8</v>
      </c>
      <c r="Y40" s="23" t="n">
        <f aca="false">Inputs!$E$10</f>
        <v>0.8</v>
      </c>
    </row>
    <row r="41" customFormat="false" ht="15" hidden="false" customHeight="false" outlineLevel="0" collapsed="false">
      <c r="A41" s="13" t="s">
        <v>50</v>
      </c>
      <c r="B41" s="10" t="s">
        <v>51</v>
      </c>
      <c r="C41" s="32" t="n">
        <f aca="false">Inputs!$E$11</f>
        <v>0.08</v>
      </c>
      <c r="D41" s="32" t="n">
        <f aca="false">Inputs!$E$11</f>
        <v>0.08</v>
      </c>
      <c r="E41" s="32" t="n">
        <f aca="false">Inputs!$E$11</f>
        <v>0.08</v>
      </c>
      <c r="F41" s="32" t="n">
        <f aca="false">Inputs!$E$11</f>
        <v>0.08</v>
      </c>
      <c r="G41" s="32" t="n">
        <f aca="false">Inputs!$E$11</f>
        <v>0.08</v>
      </c>
      <c r="H41" s="32" t="n">
        <f aca="false">Inputs!$E$11</f>
        <v>0.08</v>
      </c>
      <c r="I41" s="32" t="n">
        <f aca="false">Inputs!$E$11</f>
        <v>0.08</v>
      </c>
      <c r="J41" s="32" t="n">
        <f aca="false">Inputs!$E$11</f>
        <v>0.08</v>
      </c>
      <c r="K41" s="32" t="n">
        <f aca="false">Inputs!$E$11</f>
        <v>0.08</v>
      </c>
      <c r="L41" s="32" t="n">
        <f aca="false">Inputs!$E$11</f>
        <v>0.08</v>
      </c>
      <c r="M41" s="32" t="n">
        <f aca="false">Inputs!$E$11</f>
        <v>0.08</v>
      </c>
      <c r="N41" s="32" t="n">
        <f aca="false">Inputs!$E$11</f>
        <v>0.08</v>
      </c>
      <c r="O41" s="32" t="n">
        <f aca="false">Inputs!$E$11</f>
        <v>0.08</v>
      </c>
      <c r="P41" s="32" t="n">
        <f aca="false">Inputs!$E$11</f>
        <v>0.08</v>
      </c>
      <c r="Q41" s="32" t="n">
        <f aca="false">Inputs!$E$11</f>
        <v>0.08</v>
      </c>
      <c r="R41" s="32" t="n">
        <f aca="false">Inputs!$D$11</f>
        <v>0.06</v>
      </c>
      <c r="S41" s="32" t="n">
        <f aca="false">Inputs!$F$11</f>
        <v>0.1</v>
      </c>
      <c r="T41" s="32" t="n">
        <f aca="false">Inputs!$E$11</f>
        <v>0.08</v>
      </c>
      <c r="U41" s="32" t="n">
        <f aca="false">Inputs!$E$11</f>
        <v>0.08</v>
      </c>
      <c r="V41" s="32" t="n">
        <f aca="false">Inputs!$E$11</f>
        <v>0.08</v>
      </c>
      <c r="W41" s="32" t="n">
        <f aca="false">Inputs!$E$11</f>
        <v>0.08</v>
      </c>
      <c r="X41" s="32" t="n">
        <f aca="false">Inputs!$E$11</f>
        <v>0.08</v>
      </c>
      <c r="Y41" s="32" t="n">
        <f aca="false">Inputs!$E$11</f>
        <v>0.08</v>
      </c>
    </row>
    <row r="42" customFormat="false" ht="15" hidden="false" customHeight="false" outlineLevel="0" collapsed="false">
      <c r="A42" s="13" t="s">
        <v>184</v>
      </c>
      <c r="B42" s="10" t="s">
        <v>165</v>
      </c>
      <c r="C42" s="28" t="n">
        <f aca="false">C7*1000*C40*C14*8760*C41/1000000000</f>
        <v>0.672768</v>
      </c>
      <c r="D42" s="28" t="n">
        <f aca="false">D7*1000*D40*D14*8760*D41/1000000000</f>
        <v>0.672768</v>
      </c>
      <c r="E42" s="28" t="n">
        <f aca="false">E7*1000*E40*E14*8760*E41/1000000000</f>
        <v>0.672768</v>
      </c>
      <c r="F42" s="28" t="n">
        <f aca="false">F7*1000*F40*F14*8760*F41/1000000000</f>
        <v>0.672768</v>
      </c>
      <c r="G42" s="28" t="n">
        <f aca="false">G7*1000*G40*G14*8760*G41/1000000000</f>
        <v>0.672768</v>
      </c>
      <c r="H42" s="28" t="n">
        <f aca="false">H7*1000*H40*H14*8760*H41/1000000000</f>
        <v>0.672768</v>
      </c>
      <c r="I42" s="28" t="n">
        <f aca="false">I7*1000*I40*I14*8760*I41/1000000000</f>
        <v>0.672768</v>
      </c>
      <c r="J42" s="28" t="n">
        <f aca="false">J7*1000*J40*J14*8760*J41/1000000000</f>
        <v>0.672768</v>
      </c>
      <c r="K42" s="28" t="n">
        <f aca="false">K7*1000*K40*K14*8760*K41/1000000000</f>
        <v>0.672768</v>
      </c>
      <c r="L42" s="28" t="n">
        <f aca="false">L7*1000*L40*L14*8760*L41/1000000000</f>
        <v>0.672768</v>
      </c>
      <c r="M42" s="28" t="n">
        <f aca="false">M7*1000*M40*M14*8760*M41/1000000000</f>
        <v>0.672768</v>
      </c>
      <c r="N42" s="28" t="n">
        <f aca="false">N7*1000*N40*N14*8760*N41/1000000000</f>
        <v>0.672768</v>
      </c>
      <c r="O42" s="28" t="n">
        <f aca="false">O7*1000*O40*O14*8760*O41/1000000000</f>
        <v>0.672768</v>
      </c>
      <c r="P42" s="28" t="n">
        <f aca="false">P7*1000*P40*P14*8760*P41/1000000000</f>
        <v>0.672768</v>
      </c>
      <c r="Q42" s="28" t="n">
        <f aca="false">Q7*1000*Q40*Q14*8760*Q41/1000000000</f>
        <v>0.672768</v>
      </c>
      <c r="R42" s="28" t="n">
        <f aca="false">R7*1000*R40*R14*8760*R41/1000000000</f>
        <v>0.504576</v>
      </c>
      <c r="S42" s="28" t="n">
        <f aca="false">S7*1000*S40*S14*8760*S41/1000000000</f>
        <v>0.84096</v>
      </c>
      <c r="T42" s="28" t="n">
        <f aca="false">T7*1000*T40*T14*8760*T41/1000000000</f>
        <v>0.616704</v>
      </c>
      <c r="U42" s="28" t="n">
        <f aca="false">U7*1000*U40*U14*8760*U41/1000000000</f>
        <v>0.728832</v>
      </c>
      <c r="V42" s="28" t="n">
        <f aca="false">V7*1000*V40*V14*8760*V41/1000000000</f>
        <v>0.588672</v>
      </c>
      <c r="W42" s="28" t="n">
        <f aca="false">W7*1000*W40*W14*8760*W41/1000000000</f>
        <v>0.756864</v>
      </c>
      <c r="X42" s="28" t="n">
        <f aca="false">X7*1000*X40*X14*8760*X41/1000000000</f>
        <v>0.672768</v>
      </c>
      <c r="Y42" s="28" t="n">
        <f aca="false">Y7*1000*Y40*Y14*8760*Y41/1000000000</f>
        <v>0.672768</v>
      </c>
    </row>
    <row r="43" customFormat="false" ht="15" hidden="false" customHeight="false" outlineLevel="0" collapsed="false">
      <c r="A43" s="9" t="s">
        <v>87</v>
      </c>
      <c r="B43" s="10" t="s">
        <v>165</v>
      </c>
      <c r="C43" s="28" t="n">
        <f aca="false">C23*Inputs!$E$30</f>
        <v>1.04736096</v>
      </c>
      <c r="D43" s="28" t="n">
        <f aca="false">D23*Inputs!$E$30</f>
        <v>0.90027336</v>
      </c>
      <c r="E43" s="28" t="n">
        <f aca="false">E23*Inputs!$E$30</f>
        <v>1.22119176</v>
      </c>
      <c r="F43" s="28" t="n">
        <f aca="false">F23*Inputs!$E$30</f>
        <v>1.25156016</v>
      </c>
      <c r="G43" s="28" t="n">
        <f aca="false">G23*Inputs!$E$30</f>
        <v>1.03392</v>
      </c>
      <c r="H43" s="28" t="n">
        <f aca="false">H23*Inputs!$E$30</f>
        <v>0.99995256</v>
      </c>
      <c r="I43" s="28" t="n">
        <f aca="false">I23*Inputs!$E$30</f>
        <v>1.09476936</v>
      </c>
      <c r="J43" s="28" t="n">
        <f aca="false">J23*Inputs!$E$30</f>
        <v>1.04736096</v>
      </c>
      <c r="K43" s="28" t="n">
        <f aca="false">K23*Inputs!$E$30</f>
        <v>1.04736096</v>
      </c>
      <c r="L43" s="28" t="n">
        <f aca="false">L23*Inputs!$E$30</f>
        <v>1.04736096</v>
      </c>
      <c r="M43" s="28" t="n">
        <f aca="false">M23*Inputs!$E$30</f>
        <v>1.04736096</v>
      </c>
      <c r="N43" s="28" t="n">
        <f aca="false">N23*Inputs!$E$30</f>
        <v>1.04736096</v>
      </c>
      <c r="O43" s="28" t="n">
        <f aca="false">O23*Inputs!$E$30</f>
        <v>1.04736096</v>
      </c>
      <c r="P43" s="28" t="n">
        <f aca="false">P23*Inputs!$E$30</f>
        <v>1.04736096</v>
      </c>
      <c r="Q43" s="28" t="n">
        <f aca="false">Q23*Inputs!$E$30</f>
        <v>1.04736096</v>
      </c>
      <c r="R43" s="28" t="n">
        <f aca="false">R23*Inputs!$E$30</f>
        <v>1.04736096</v>
      </c>
      <c r="S43" s="28" t="n">
        <f aca="false">S23*Inputs!$E$30</f>
        <v>1.04736096</v>
      </c>
      <c r="T43" s="28" t="n">
        <f aca="false">T23*Inputs!$E$30</f>
        <v>1.04736096</v>
      </c>
      <c r="U43" s="28" t="n">
        <f aca="false">U23*Inputs!$E$30</f>
        <v>1.04736096</v>
      </c>
      <c r="V43" s="28" t="n">
        <f aca="false">V23*Inputs!$E$30</f>
        <v>1.04736096</v>
      </c>
      <c r="W43" s="28" t="n">
        <f aca="false">W23*Inputs!$E$30</f>
        <v>1.04736096</v>
      </c>
      <c r="X43" s="28" t="n">
        <f aca="false">X23*Inputs!$E$30</f>
        <v>1.0817388</v>
      </c>
      <c r="Y43" s="28" t="n">
        <f aca="false">Y23*Inputs!$E$30</f>
        <v>1.00186848</v>
      </c>
    </row>
    <row r="44" customFormat="false" ht="15" hidden="false" customHeight="false" outlineLevel="0" collapsed="false">
      <c r="A44" s="13" t="s">
        <v>90</v>
      </c>
      <c r="B44" s="10" t="s">
        <v>165</v>
      </c>
      <c r="C44" s="28" t="n">
        <f aca="false">C31*Inputs!$E$31</f>
        <v>0.2534</v>
      </c>
      <c r="D44" s="28" t="n">
        <f aca="false">D31*Inputs!$E$31</f>
        <v>0.2534</v>
      </c>
      <c r="E44" s="28" t="n">
        <f aca="false">E31*Inputs!$E$31</f>
        <v>0.2534</v>
      </c>
      <c r="F44" s="28" t="n">
        <f aca="false">F31*Inputs!$E$31</f>
        <v>0.2534</v>
      </c>
      <c r="G44" s="28" t="n">
        <f aca="false">G31*Inputs!$E$31</f>
        <v>0.2534</v>
      </c>
      <c r="H44" s="28" t="n">
        <f aca="false">H31*Inputs!$E$31</f>
        <v>0.2534</v>
      </c>
      <c r="I44" s="28" t="n">
        <f aca="false">I31*Inputs!$E$31</f>
        <v>0.2534</v>
      </c>
      <c r="J44" s="28" t="n">
        <f aca="false">J31*Inputs!$E$31</f>
        <v>0.2396</v>
      </c>
      <c r="K44" s="28" t="n">
        <f aca="false">K31*Inputs!$E$31</f>
        <v>0.2741</v>
      </c>
      <c r="L44" s="28" t="n">
        <f aca="false">L31*Inputs!$E$31</f>
        <v>0.2373</v>
      </c>
      <c r="M44" s="28" t="n">
        <f aca="false">M31*Inputs!$E$31</f>
        <v>0.2764</v>
      </c>
      <c r="N44" s="28" t="n">
        <f aca="false">N31*Inputs!$E$31</f>
        <v>0.2534</v>
      </c>
      <c r="O44" s="28" t="n">
        <f aca="false">O31*Inputs!$E$31</f>
        <v>0.2534</v>
      </c>
      <c r="P44" s="28" t="n">
        <f aca="false">P31*Inputs!$E$31</f>
        <v>0.2534</v>
      </c>
      <c r="Q44" s="28" t="n">
        <f aca="false">Q31*Inputs!$E$31</f>
        <v>0.2534</v>
      </c>
      <c r="R44" s="28" t="n">
        <f aca="false">R31*Inputs!$E$31</f>
        <v>0.2534</v>
      </c>
      <c r="S44" s="28" t="n">
        <f aca="false">S31*Inputs!$E$31</f>
        <v>0.2534</v>
      </c>
      <c r="T44" s="28" t="n">
        <f aca="false">T31*Inputs!$E$31</f>
        <v>0.2534</v>
      </c>
      <c r="U44" s="28" t="n">
        <f aca="false">U31*Inputs!$E$31</f>
        <v>0.2534</v>
      </c>
      <c r="V44" s="28" t="n">
        <f aca="false">V31*Inputs!$E$31</f>
        <v>0.2534</v>
      </c>
      <c r="W44" s="28" t="n">
        <f aca="false">W31*Inputs!$E$31</f>
        <v>0.2534</v>
      </c>
      <c r="X44" s="28" t="n">
        <f aca="false">X31*Inputs!$E$31</f>
        <v>0.2534</v>
      </c>
      <c r="Y44" s="28" t="n">
        <f aca="false">Y31*Inputs!$E$31</f>
        <v>0.2534</v>
      </c>
    </row>
    <row r="45" customFormat="false" ht="15" hidden="false" customHeight="false" outlineLevel="0" collapsed="false">
      <c r="A45" s="13" t="s">
        <v>185</v>
      </c>
      <c r="B45" s="10" t="s">
        <v>165</v>
      </c>
      <c r="C45" s="28" t="n">
        <f aca="false">(Inputs!$E$32*C7/1000+Inputs!$E$33*C7/1000+Inputs!$E$34*C7)/1000</f>
        <v>0.325</v>
      </c>
      <c r="D45" s="28" t="n">
        <f aca="false">(Inputs!$E$32*D7/1000+Inputs!$E$33*D7/1000+Inputs!$E$34*D7)/1000</f>
        <v>0.325</v>
      </c>
      <c r="E45" s="28" t="n">
        <f aca="false">(Inputs!$E$32*E7/1000+Inputs!$E$33*E7/1000+Inputs!$E$34*E7)/1000</f>
        <v>0.325</v>
      </c>
      <c r="F45" s="28" t="n">
        <f aca="false">(Inputs!$E$32*F7/1000+Inputs!$E$33*F7/1000+Inputs!$E$34*F7)/1000</f>
        <v>0.325</v>
      </c>
      <c r="G45" s="28" t="n">
        <f aca="false">(Inputs!$E$32*G7/1000+Inputs!$E$33*G7/1000+Inputs!$E$34*G7)/1000</f>
        <v>0.325</v>
      </c>
      <c r="H45" s="28" t="n">
        <f aca="false">(Inputs!$E$32*H7/1000+Inputs!$E$33*H7/1000+Inputs!$E$34*H7)/1000</f>
        <v>0.325</v>
      </c>
      <c r="I45" s="28" t="n">
        <f aca="false">(Inputs!$E$32*I7/1000+Inputs!$E$33*I7/1000+Inputs!$E$34*I7)/1000</f>
        <v>0.325</v>
      </c>
      <c r="J45" s="28" t="n">
        <f aca="false">(Inputs!$E$32*J7/1000+Inputs!$E$33*J7/1000+Inputs!$E$34*J7)/1000</f>
        <v>0.325</v>
      </c>
      <c r="K45" s="28" t="n">
        <f aca="false">(Inputs!$E$32*K7/1000+Inputs!$E$33*K7/1000+Inputs!$E$34*K7)/1000</f>
        <v>0.325</v>
      </c>
      <c r="L45" s="28" t="n">
        <f aca="false">(Inputs!$E$32*L7/1000+Inputs!$E$33*L7/1000+Inputs!$E$34*L7)/1000</f>
        <v>0.325</v>
      </c>
      <c r="M45" s="28" t="n">
        <f aca="false">(Inputs!$E$32*M7/1000+Inputs!$E$33*M7/1000+Inputs!$E$34*M7)/1000</f>
        <v>0.325</v>
      </c>
      <c r="N45" s="28" t="n">
        <f aca="false">(Inputs!$E$32*N7/1000+Inputs!$E$33*N7/1000+Inputs!$E$34*N7)/1000</f>
        <v>0.325</v>
      </c>
      <c r="O45" s="28" t="n">
        <f aca="false">(Inputs!$E$32*O7/1000+Inputs!$E$33*O7/1000+Inputs!$E$34*O7)/1000</f>
        <v>0.325</v>
      </c>
      <c r="P45" s="28" t="n">
        <f aca="false">(Inputs!$E$32*P7/1000+Inputs!$E$33*P7/1000+Inputs!$E$34*P7)/1000</f>
        <v>0.325</v>
      </c>
      <c r="Q45" s="28" t="n">
        <f aca="false">(Inputs!$E$32*Q7/1000+Inputs!$E$33*Q7/1000+Inputs!$E$34*Q7)/1000</f>
        <v>0.325</v>
      </c>
      <c r="R45" s="28" t="n">
        <f aca="false">(Inputs!$E$32*R7/1000+Inputs!$E$33*R7/1000+Inputs!$E$34*R7)/1000</f>
        <v>0.325</v>
      </c>
      <c r="S45" s="28" t="n">
        <f aca="false">(Inputs!$E$32*S7/1000+Inputs!$E$33*S7/1000+Inputs!$E$34*S7)/1000</f>
        <v>0.325</v>
      </c>
      <c r="T45" s="28" t="n">
        <f aca="false">(Inputs!$E$32*T7/1000+Inputs!$E$33*T7/1000+Inputs!$E$34*T7)/1000</f>
        <v>0.325</v>
      </c>
      <c r="U45" s="28" t="n">
        <f aca="false">(Inputs!$E$32*U7/1000+Inputs!$E$33*U7/1000+Inputs!$E$34*U7)/1000</f>
        <v>0.325</v>
      </c>
      <c r="V45" s="28" t="n">
        <f aca="false">(Inputs!$E$32*V7/1000+Inputs!$E$33*V7/1000+Inputs!$E$34*V7)/1000</f>
        <v>0.325</v>
      </c>
      <c r="W45" s="28" t="n">
        <f aca="false">(Inputs!$E$32*W7/1000+Inputs!$E$33*W7/1000+Inputs!$E$34*W7)/1000</f>
        <v>0.325</v>
      </c>
      <c r="X45" s="28" t="n">
        <f aca="false">(Inputs!$E$32*X7/1000+Inputs!$E$33*X7/1000+Inputs!$E$34*X7)/1000</f>
        <v>0.325</v>
      </c>
      <c r="Y45" s="28" t="n">
        <f aca="false">(Inputs!$E$32*Y7/1000+Inputs!$E$33*Y7/1000+Inputs!$E$34*Y7)/1000</f>
        <v>0.325</v>
      </c>
    </row>
    <row r="46" customFormat="false" ht="15" hidden="false" customHeight="false" outlineLevel="0" collapsed="false">
      <c r="A46" s="13" t="s">
        <v>101</v>
      </c>
      <c r="B46" s="10" t="s">
        <v>165</v>
      </c>
      <c r="C46" s="28" t="n">
        <f aca="false">C32*Inputs!$E$35</f>
        <v>0.23791016</v>
      </c>
      <c r="D46" s="28" t="n">
        <f aca="false">D32*Inputs!$E$35</f>
        <v>0.21339556</v>
      </c>
      <c r="E46" s="28" t="n">
        <f aca="false">E32*Inputs!$E$35</f>
        <v>0.26688196</v>
      </c>
      <c r="F46" s="28" t="n">
        <f aca="false">F32*Inputs!$E$35</f>
        <v>0.27194336</v>
      </c>
      <c r="G46" s="28" t="n">
        <f aca="false">G32*Inputs!$E$35</f>
        <v>0.23567</v>
      </c>
      <c r="H46" s="28" t="n">
        <f aca="false">H32*Inputs!$E$35</f>
        <v>0.23000876</v>
      </c>
      <c r="I46" s="28" t="n">
        <f aca="false">I32*Inputs!$E$35</f>
        <v>0.24581156</v>
      </c>
      <c r="J46" s="28" t="n">
        <f aca="false">J32*Inputs!$E$35</f>
        <v>0.23446016</v>
      </c>
      <c r="K46" s="28" t="n">
        <f aca="false">K32*Inputs!$E$35</f>
        <v>0.24308516</v>
      </c>
      <c r="L46" s="28" t="n">
        <f aca="false">L32*Inputs!$E$35</f>
        <v>0.23388516</v>
      </c>
      <c r="M46" s="28" t="n">
        <f aca="false">M32*Inputs!$E$35</f>
        <v>0.24366016</v>
      </c>
      <c r="N46" s="28" t="n">
        <f aca="false">N32*Inputs!$E$35</f>
        <v>0.23791016</v>
      </c>
      <c r="O46" s="28" t="n">
        <f aca="false">O32*Inputs!$E$35</f>
        <v>0.23791016</v>
      </c>
      <c r="P46" s="28" t="n">
        <f aca="false">P32*Inputs!$E$35</f>
        <v>0.23791016</v>
      </c>
      <c r="Q46" s="28" t="n">
        <f aca="false">Q32*Inputs!$E$35</f>
        <v>0.23791016</v>
      </c>
      <c r="R46" s="28" t="n">
        <f aca="false">R32*Inputs!$E$35</f>
        <v>0.23791016</v>
      </c>
      <c r="S46" s="28" t="n">
        <f aca="false">S32*Inputs!$E$35</f>
        <v>0.23791016</v>
      </c>
      <c r="T46" s="28" t="n">
        <f aca="false">T32*Inputs!$E$35</f>
        <v>0.23791016</v>
      </c>
      <c r="U46" s="28" t="n">
        <f aca="false">U32*Inputs!$E$35</f>
        <v>0.23791016</v>
      </c>
      <c r="V46" s="28" t="n">
        <f aca="false">V32*Inputs!$E$35</f>
        <v>0.23791016</v>
      </c>
      <c r="W46" s="28" t="n">
        <f aca="false">W32*Inputs!$E$35</f>
        <v>0.23791016</v>
      </c>
      <c r="X46" s="28" t="n">
        <f aca="false">X32*Inputs!$E$35</f>
        <v>0.2436398</v>
      </c>
      <c r="Y46" s="28" t="n">
        <f aca="false">Y32*Inputs!$E$35</f>
        <v>0.23032808</v>
      </c>
    </row>
    <row r="47" customFormat="false" ht="15" hidden="false" customHeight="false" outlineLevel="0" collapsed="false">
      <c r="A47" s="13" t="s">
        <v>186</v>
      </c>
      <c r="B47" s="10" t="s">
        <v>165</v>
      </c>
      <c r="C47" s="28" t="n">
        <f aca="false">C42+C43+C44+C45+C46</f>
        <v>2.53643912</v>
      </c>
      <c r="D47" s="28" t="n">
        <f aca="false">D42+D43+D44+D45+D46</f>
        <v>2.36483692</v>
      </c>
      <c r="E47" s="28" t="n">
        <f aca="false">E42+E43+E44+E45+E46</f>
        <v>2.73924172</v>
      </c>
      <c r="F47" s="28" t="n">
        <f aca="false">F42+F43+F44+F45+F46</f>
        <v>2.77467152</v>
      </c>
      <c r="G47" s="28" t="n">
        <f aca="false">G42+G43+G44+G45+G46</f>
        <v>2.520758</v>
      </c>
      <c r="H47" s="28" t="n">
        <f aca="false">H42+H43+H44+H45+H46</f>
        <v>2.48112932</v>
      </c>
      <c r="I47" s="28" t="n">
        <f aca="false">I42+I43+I44+I45+I46</f>
        <v>2.59174892</v>
      </c>
      <c r="J47" s="28" t="n">
        <f aca="false">J42+J43+J44+J45+J46</f>
        <v>2.51918912</v>
      </c>
      <c r="K47" s="28" t="n">
        <f aca="false">K42+K43+K44+K45+K46</f>
        <v>2.56231412</v>
      </c>
      <c r="L47" s="28" t="n">
        <f aca="false">L42+L43+L44+L45+L46</f>
        <v>2.51631412</v>
      </c>
      <c r="M47" s="28" t="n">
        <f aca="false">M42+M43+M44+M45+M46</f>
        <v>2.56518912</v>
      </c>
      <c r="N47" s="28" t="n">
        <f aca="false">N42+N43+N44+N45+N46</f>
        <v>2.53643912</v>
      </c>
      <c r="O47" s="28" t="n">
        <f aca="false">O42+O43+O44+O45+O46</f>
        <v>2.53643912</v>
      </c>
      <c r="P47" s="28" t="n">
        <f aca="false">P42+P43+P44+P45+P46</f>
        <v>2.53643912</v>
      </c>
      <c r="Q47" s="28" t="n">
        <f aca="false">Q42+Q43+Q44+Q45+Q46</f>
        <v>2.53643912</v>
      </c>
      <c r="R47" s="28" t="n">
        <f aca="false">R42+R43+R44+R45+R46</f>
        <v>2.36824712</v>
      </c>
      <c r="S47" s="28" t="n">
        <f aca="false">S42+S43+S44+S45+S46</f>
        <v>2.70463112</v>
      </c>
      <c r="T47" s="28" t="n">
        <f aca="false">T42+T43+T44+T45+T46</f>
        <v>2.48037512</v>
      </c>
      <c r="U47" s="28" t="n">
        <f aca="false">U42+U43+U44+U45+U46</f>
        <v>2.59250312</v>
      </c>
      <c r="V47" s="28" t="n">
        <f aca="false">V42+V43+V44+V45+V46</f>
        <v>2.45234312</v>
      </c>
      <c r="W47" s="28" t="n">
        <f aca="false">W42+W43+W44+W45+W46</f>
        <v>2.62053512</v>
      </c>
      <c r="X47" s="28" t="n">
        <f aca="false">X42+X43+X44+X45+X46</f>
        <v>2.5765466</v>
      </c>
      <c r="Y47" s="28" t="n">
        <f aca="false">Y42+Y43+Y44+Y45+Y46</f>
        <v>2.48336456</v>
      </c>
    </row>
    <row r="48" customFormat="false" ht="15" hidden="false" customHeight="false" outlineLevel="0" collapsed="false">
      <c r="A48" s="13" t="s">
        <v>187</v>
      </c>
      <c r="B48" s="10" t="s">
        <v>165</v>
      </c>
      <c r="C48" s="29" t="n">
        <f aca="false">C38+C39+C47</f>
        <v>8.98952778666667</v>
      </c>
      <c r="D48" s="29" t="n">
        <f aca="false">D38+D39+D47</f>
        <v>8.00077225333333</v>
      </c>
      <c r="E48" s="29" t="n">
        <f aca="false">E38+E39+E47</f>
        <v>10.1580570533333</v>
      </c>
      <c r="F48" s="29" t="n">
        <f aca="false">F38+F39+F47</f>
        <v>10.3622001866667</v>
      </c>
      <c r="G48" s="29" t="n">
        <f aca="false">G38+G39+G47</f>
        <v>8.89917466666667</v>
      </c>
      <c r="H48" s="29" t="n">
        <f aca="false">H38+H39+H47</f>
        <v>8.67083798666667</v>
      </c>
      <c r="I48" s="29" t="n">
        <f aca="false">I38+I39+I47</f>
        <v>9.30821758666667</v>
      </c>
      <c r="J48" s="29" t="n">
        <f aca="false">J38+J39+J47</f>
        <v>8.94927778666667</v>
      </c>
      <c r="K48" s="29" t="n">
        <f aca="false">K38+K39+K47</f>
        <v>9.04990278666667</v>
      </c>
      <c r="L48" s="29" t="n">
        <f aca="false">L38+L39+L47</f>
        <v>8.92915278666667</v>
      </c>
      <c r="M48" s="29" t="n">
        <f aca="false">M38+M39+M47</f>
        <v>9.07577778666667</v>
      </c>
      <c r="N48" s="29" t="n">
        <f aca="false">N38+N39+N47</f>
        <v>8.15828892952381</v>
      </c>
      <c r="O48" s="29" t="n">
        <f aca="false">O38+O39+O47</f>
        <v>11.8988637866667</v>
      </c>
      <c r="P48" s="29" t="n">
        <f aca="false">P38+P39+P47</f>
        <v>8.98952778666667</v>
      </c>
      <c r="Q48" s="29" t="n">
        <f aca="false">Q38+Q39+Q47</f>
        <v>8.98952778666667</v>
      </c>
      <c r="R48" s="29" t="n">
        <f aca="false">R38+R39+R47</f>
        <v>8.82133578666667</v>
      </c>
      <c r="S48" s="29" t="n">
        <f aca="false">S38+S39+S47</f>
        <v>9.15771978666667</v>
      </c>
      <c r="T48" s="29" t="n">
        <f aca="false">T38+T39+T47</f>
        <v>8.93346378666667</v>
      </c>
      <c r="U48" s="29" t="n">
        <f aca="false">U38+U39+U47</f>
        <v>9.04559178666667</v>
      </c>
      <c r="V48" s="29" t="n">
        <f aca="false">V38+V39+V47</f>
        <v>8.90543178666667</v>
      </c>
      <c r="W48" s="29" t="n">
        <f aca="false">W38+W39+W47</f>
        <v>9.07362378666667</v>
      </c>
      <c r="X48" s="29" t="n">
        <f aca="false">X38+X39+X47</f>
        <v>9.22062326666667</v>
      </c>
      <c r="Y48" s="29" t="n">
        <f aca="false">Y38+Y39+Y47</f>
        <v>8.68371722666667</v>
      </c>
    </row>
    <row r="49" customFormat="false" ht="15" hidden="false" customHeight="false" outlineLevel="0" collapsed="false">
      <c r="A49" s="18" t="s">
        <v>188</v>
      </c>
      <c r="B49" s="8"/>
      <c r="C49" s="8"/>
    </row>
    <row r="50" customFormat="false" ht="15" hidden="false" customHeight="false" outlineLevel="0" collapsed="false">
      <c r="A50" s="9" t="s">
        <v>189</v>
      </c>
      <c r="B50" s="10" t="s">
        <v>41</v>
      </c>
      <c r="C50" s="23" t="n">
        <f aca="false">Inputs!$E$28</f>
        <v>0.1</v>
      </c>
      <c r="D50" s="23" t="n">
        <f aca="false">Inputs!$E$28</f>
        <v>0.1</v>
      </c>
      <c r="E50" s="23" t="n">
        <f aca="false">Inputs!$E$28</f>
        <v>0.1</v>
      </c>
      <c r="F50" s="23" t="n">
        <f aca="false">Inputs!$E$28</f>
        <v>0.1</v>
      </c>
      <c r="G50" s="23" t="n">
        <f aca="false">Inputs!$E$28</f>
        <v>0.1</v>
      </c>
      <c r="H50" s="23" t="n">
        <f aca="false">Inputs!$E$28</f>
        <v>0.1</v>
      </c>
      <c r="I50" s="23" t="n">
        <f aca="false">Inputs!$E$28</f>
        <v>0.1</v>
      </c>
      <c r="J50" s="23" t="n">
        <f aca="false">Inputs!$E$28</f>
        <v>0.1</v>
      </c>
      <c r="K50" s="23" t="n">
        <f aca="false">Inputs!$E$28</f>
        <v>0.1</v>
      </c>
      <c r="L50" s="23" t="n">
        <f aca="false">Inputs!$E$28</f>
        <v>0.1</v>
      </c>
      <c r="M50" s="23" t="n">
        <f aca="false">Inputs!$E$28</f>
        <v>0.1</v>
      </c>
      <c r="N50" s="23" t="n">
        <f aca="false">Inputs!$E$28</f>
        <v>0.1</v>
      </c>
      <c r="O50" s="23" t="n">
        <f aca="false">Inputs!$E$28</f>
        <v>0.1</v>
      </c>
      <c r="P50" s="23" t="n">
        <f aca="false">Inputs!$D$28</f>
        <v>0.08</v>
      </c>
      <c r="Q50" s="23" t="n">
        <f aca="false">Inputs!$F$28</f>
        <v>0.13</v>
      </c>
      <c r="R50" s="23" t="n">
        <f aca="false">Inputs!$E$28</f>
        <v>0.1</v>
      </c>
      <c r="S50" s="23" t="n">
        <f aca="false">Inputs!$E$28</f>
        <v>0.1</v>
      </c>
      <c r="T50" s="23" t="n">
        <f aca="false">Inputs!$E$28</f>
        <v>0.1</v>
      </c>
      <c r="U50" s="23" t="n">
        <f aca="false">Inputs!$E$28</f>
        <v>0.1</v>
      </c>
      <c r="V50" s="23" t="n">
        <f aca="false">Inputs!$E$28</f>
        <v>0.1</v>
      </c>
      <c r="W50" s="23" t="n">
        <f aca="false">Inputs!$E$28</f>
        <v>0.1</v>
      </c>
      <c r="X50" s="23" t="n">
        <f aca="false">Inputs!$E$28</f>
        <v>0.1</v>
      </c>
      <c r="Y50" s="23" t="n">
        <f aca="false">Inputs!$E$28</f>
        <v>0.1</v>
      </c>
    </row>
    <row r="51" customFormat="false" ht="15" hidden="false" customHeight="false" outlineLevel="0" collapsed="false">
      <c r="A51" s="9" t="s">
        <v>190</v>
      </c>
      <c r="B51" s="10" t="s">
        <v>45</v>
      </c>
      <c r="C51" s="33" t="n">
        <f aca="false">C50/(1-(1+C50)^(-C37))</f>
        <v>0.229607380362667</v>
      </c>
      <c r="D51" s="33" t="n">
        <f aca="false">D50/(1-(1+D50)^(-D37))</f>
        <v>0.229607380362667</v>
      </c>
      <c r="E51" s="33" t="n">
        <f aca="false">E50/(1-(1+E50)^(-E37))</f>
        <v>0.229607380362667</v>
      </c>
      <c r="F51" s="33" t="n">
        <f aca="false">F50/(1-(1+F50)^(-F37))</f>
        <v>0.229607380362667</v>
      </c>
      <c r="G51" s="33" t="n">
        <f aca="false">G50/(1-(1+G50)^(-G37))</f>
        <v>0.229607380362667</v>
      </c>
      <c r="H51" s="33" t="n">
        <f aca="false">H50/(1-(1+H50)^(-H37))</f>
        <v>0.229607380362667</v>
      </c>
      <c r="I51" s="33" t="n">
        <f aca="false">I50/(1-(1+I50)^(-I37))</f>
        <v>0.229607380362667</v>
      </c>
      <c r="J51" s="33" t="n">
        <f aca="false">J50/(1-(1+J50)^(-J37))</f>
        <v>0.229607380362667</v>
      </c>
      <c r="K51" s="33" t="n">
        <f aca="false">K50/(1-(1+K50)^(-K37))</f>
        <v>0.229607380362667</v>
      </c>
      <c r="L51" s="33" t="n">
        <f aca="false">L50/(1-(1+L50)^(-L37))</f>
        <v>0.229607380362667</v>
      </c>
      <c r="M51" s="33" t="n">
        <f aca="false">M50/(1-(1+M50)^(-M37))</f>
        <v>0.229607380362667</v>
      </c>
      <c r="N51" s="33" t="n">
        <f aca="false">N50/(1-(1+N50)^(-N37))</f>
        <v>0.205405499700596</v>
      </c>
      <c r="O51" s="33" t="n">
        <f aca="false">O50/(1-(1+O50)^(-O37))</f>
        <v>0.315470803706098</v>
      </c>
      <c r="P51" s="33" t="n">
        <f aca="false">P50/(1-(1+P50)^(-P37))</f>
        <v>0.21631538622901</v>
      </c>
      <c r="Q51" s="33" t="n">
        <f aca="false">Q50/(1-(1+Q50)^(-Q37))</f>
        <v>0.250153232051725</v>
      </c>
      <c r="R51" s="33" t="n">
        <f aca="false">R50/(1-(1+R50)^(-R37))</f>
        <v>0.229607380362667</v>
      </c>
      <c r="S51" s="33" t="n">
        <f aca="false">S50/(1-(1+S50)^(-S37))</f>
        <v>0.229607380362667</v>
      </c>
      <c r="T51" s="33" t="n">
        <f aca="false">T50/(1-(1+T50)^(-T37))</f>
        <v>0.229607380362667</v>
      </c>
      <c r="U51" s="33" t="n">
        <f aca="false">U50/(1-(1+U50)^(-U37))</f>
        <v>0.229607380362667</v>
      </c>
      <c r="V51" s="33" t="n">
        <f aca="false">V50/(1-(1+V50)^(-V37))</f>
        <v>0.229607380362667</v>
      </c>
      <c r="W51" s="33" t="n">
        <f aca="false">W50/(1-(1+W50)^(-W37))</f>
        <v>0.229607380362667</v>
      </c>
      <c r="X51" s="33" t="n">
        <f aca="false">X50/(1-(1+X50)^(-X37))</f>
        <v>0.229607380362667</v>
      </c>
      <c r="Y51" s="33" t="n">
        <f aca="false">Y50/(1-(1+Y50)^(-Y37))</f>
        <v>0.229607380362667</v>
      </c>
    </row>
    <row r="52" customFormat="false" ht="15" hidden="false" customHeight="false" outlineLevel="0" collapsed="false">
      <c r="A52" s="9" t="s">
        <v>191</v>
      </c>
      <c r="B52" s="10" t="s">
        <v>165</v>
      </c>
      <c r="C52" s="28" t="n">
        <f aca="false">C23*C51</f>
        <v>8.01606021065761</v>
      </c>
      <c r="D52" s="28" t="n">
        <f aca="false">D23*D51</f>
        <v>6.89031359332988</v>
      </c>
      <c r="E52" s="28" t="n">
        <f aca="false">E23*E51</f>
        <v>9.34648803113583</v>
      </c>
      <c r="F52" s="28" t="n">
        <f aca="false">F23*F51</f>
        <v>9.57891499012936</v>
      </c>
      <c r="G52" s="28" t="n">
        <f aca="false">G23*G51</f>
        <v>7.91318875681896</v>
      </c>
      <c r="H52" s="28" t="n">
        <f aca="false">H23*H51</f>
        <v>7.65321625961809</v>
      </c>
      <c r="I52" s="28" t="n">
        <f aca="false">I23*I51</f>
        <v>8.37890416169712</v>
      </c>
      <c r="J52" s="28" t="n">
        <f aca="false">J23*J51</f>
        <v>8.01606021065761</v>
      </c>
      <c r="K52" s="28" t="n">
        <f aca="false">K23*K51</f>
        <v>8.01606021065761</v>
      </c>
      <c r="L52" s="28" t="n">
        <f aca="false">L23*L51</f>
        <v>8.01606021065761</v>
      </c>
      <c r="M52" s="28" t="n">
        <f aca="false">M23*M51</f>
        <v>8.01606021065761</v>
      </c>
      <c r="N52" s="28" t="n">
        <f aca="false">N23*N51</f>
        <v>7.17112337852318</v>
      </c>
      <c r="O52" s="28" t="n">
        <f aca="false">O23*O51</f>
        <v>11.013726794053</v>
      </c>
      <c r="P52" s="28" t="n">
        <f aca="false">P23*P51</f>
        <v>7.55200968611954</v>
      </c>
      <c r="Q52" s="28" t="n">
        <f aca="false">Q23*Q51</f>
        <v>8.73335764229326</v>
      </c>
      <c r="R52" s="28" t="n">
        <f aca="false">R23*R51</f>
        <v>8.01606021065761</v>
      </c>
      <c r="S52" s="28" t="n">
        <f aca="false">S23*S51</f>
        <v>8.01606021065761</v>
      </c>
      <c r="T52" s="28" t="n">
        <f aca="false">T23*T51</f>
        <v>8.01606021065761</v>
      </c>
      <c r="U52" s="28" t="n">
        <f aca="false">U23*U51</f>
        <v>8.01606021065761</v>
      </c>
      <c r="V52" s="28" t="n">
        <f aca="false">V23*V51</f>
        <v>8.01606021065761</v>
      </c>
      <c r="W52" s="28" t="n">
        <f aca="false">W23*W51</f>
        <v>8.01606021065761</v>
      </c>
      <c r="X52" s="28" t="n">
        <f aca="false">X23*X51</f>
        <v>8.27917373682184</v>
      </c>
      <c r="Y52" s="28" t="n">
        <f aca="false">Y23*Y51</f>
        <v>7.66787990535758</v>
      </c>
    </row>
    <row r="53" customFormat="false" ht="15" hidden="false" customHeight="false" outlineLevel="0" collapsed="false">
      <c r="A53" s="13" t="s">
        <v>192</v>
      </c>
      <c r="B53" s="10" t="s">
        <v>165</v>
      </c>
      <c r="C53" s="28" t="n">
        <f aca="false">(C25*C50/(1-(1+C50)^(-Inputs!$E$24))+C26*C50/(1-(1+C50)^(-Inputs!$E$25))+C27*C50/(1-(1+C50)^(-Inputs!$E$26))+C28*C50/(1-(1+C50)^(-Inputs!$E$27)))*(1+C29)+C24*C50</f>
        <v>1.50187163616098</v>
      </c>
      <c r="D53" s="28" t="n">
        <f aca="false">(D25*D50/(1-(1+D50)^(-Inputs!$E$24))+D26*D50/(1-(1+D50)^(-Inputs!$E$25))+D27*D50/(1-(1+D50)^(-Inputs!$E$26))+D28*D50/(1-(1+D50)^(-Inputs!$E$27)))*(1+D29)+D24*D50</f>
        <v>1.50187163616098</v>
      </c>
      <c r="E53" s="28" t="n">
        <f aca="false">(E25*E50/(1-(1+E50)^(-Inputs!$E$24))+E26*E50/(1-(1+E50)^(-Inputs!$E$25))+E27*E50/(1-(1+E50)^(-Inputs!$E$26))+E28*E50/(1-(1+E50)^(-Inputs!$E$27)))*(1+E29)+E24*E50</f>
        <v>1.50187163616098</v>
      </c>
      <c r="F53" s="28" t="n">
        <f aca="false">(F25*F50/(1-(1+F50)^(-Inputs!$E$24))+F26*F50/(1-(1+F50)^(-Inputs!$E$25))+F27*F50/(1-(1+F50)^(-Inputs!$E$26))+F28*F50/(1-(1+F50)^(-Inputs!$E$27)))*(1+F29)+F24*F50</f>
        <v>1.50187163616098</v>
      </c>
      <c r="G53" s="28" t="n">
        <f aca="false">(G25*G50/(1-(1+G50)^(-Inputs!$E$24))+G26*G50/(1-(1+G50)^(-Inputs!$E$25))+G27*G50/(1-(1+G50)^(-Inputs!$E$26))+G28*G50/(1-(1+G50)^(-Inputs!$E$27)))*(1+G29)+G24*G50</f>
        <v>1.50187163616098</v>
      </c>
      <c r="H53" s="28" t="n">
        <f aca="false">(H25*H50/(1-(1+H50)^(-Inputs!$E$24))+H26*H50/(1-(1+H50)^(-Inputs!$E$25))+H27*H50/(1-(1+H50)^(-Inputs!$E$26))+H28*H50/(1-(1+H50)^(-Inputs!$E$27)))*(1+H29)+H24*H50</f>
        <v>1.50187163616098</v>
      </c>
      <c r="I53" s="28" t="n">
        <f aca="false">(I25*I50/(1-(1+I50)^(-Inputs!$E$24))+I26*I50/(1-(1+I50)^(-Inputs!$E$25))+I27*I50/(1-(1+I50)^(-Inputs!$E$26))+I28*I50/(1-(1+I50)^(-Inputs!$E$27)))*(1+I29)+I24*I50</f>
        <v>1.50187163616098</v>
      </c>
      <c r="J53" s="28" t="n">
        <f aca="false">(J25*J50/(1-(1+J50)^(-Inputs!$E$24))+J26*J50/(1-(1+J50)^(-Inputs!$E$25))+J27*J50/(1-(1+J50)^(-Inputs!$E$26))+J28*J50/(1-(1+J50)^(-Inputs!$E$27)))*(1+J29)+J24*J50</f>
        <v>1.42867695486666</v>
      </c>
      <c r="K53" s="28" t="n">
        <f aca="false">(K25*K50/(1-(1+K50)^(-Inputs!$E$24))+K26*K50/(1-(1+K50)^(-Inputs!$E$25))+K27*K50/(1-(1+K50)^(-Inputs!$E$26))+K28*K50/(1-(1+K50)^(-Inputs!$E$27)))*(1+K29)+K24*K50</f>
        <v>1.61166365810245</v>
      </c>
      <c r="L53" s="28" t="n">
        <f aca="false">(L25*L50/(1-(1+L50)^(-Inputs!$E$24))+L26*L50/(1-(1+L50)^(-Inputs!$E$25))+L27*L50/(1-(1+L50)^(-Inputs!$E$26))+L28*L50/(1-(1+L50)^(-Inputs!$E$27)))*(1+L29)+L24*L50</f>
        <v>1.40731663821908</v>
      </c>
      <c r="M53" s="28" t="n">
        <f aca="false">(M25*M50/(1-(1+M50)^(-Inputs!$E$24))+M26*M50/(1-(1+M50)^(-Inputs!$E$25))+M27*M50/(1-(1+M50)^(-Inputs!$E$26))+M28*M50/(1-(1+M50)^(-Inputs!$E$27)))*(1+M29)+M24*M50</f>
        <v>1.63695020464941</v>
      </c>
      <c r="N53" s="28" t="n">
        <f aca="false">(N25*N50/(1-(1+N50)^(-Inputs!$E$24))+N26*N50/(1-(1+N50)^(-Inputs!$E$25))+N27*N50/(1-(1+N50)^(-Inputs!$E$26))+N28*N50/(1-(1+N50)^(-Inputs!$E$27)))*(1+N29)+N24*N50</f>
        <v>1.50187163616098</v>
      </c>
      <c r="O53" s="28" t="n">
        <f aca="false">(O25*O50/(1-(1+O50)^(-Inputs!$E$24))+O26*O50/(1-(1+O50)^(-Inputs!$E$25))+O27*O50/(1-(1+O50)^(-Inputs!$E$26))+O28*O50/(1-(1+O50)^(-Inputs!$E$27)))*(1+O29)+O24*O50</f>
        <v>1.50187163616098</v>
      </c>
      <c r="P53" s="28" t="n">
        <f aca="false">(P25*P50/(1-(1+P50)^(-Inputs!$E$24))+P26*P50/(1-(1+P50)^(-Inputs!$E$25))+P27*P50/(1-(1+P50)^(-Inputs!$E$26))+P28*P50/(1-(1+P50)^(-Inputs!$E$27)))*(1+P29)+P24*P50</f>
        <v>1.30086926137482</v>
      </c>
      <c r="Q53" s="28" t="n">
        <f aca="false">(Q25*Q50/(1-(1+Q50)^(-Inputs!$E$24))+Q26*Q50/(1-(1+Q50)^(-Inputs!$E$25))+Q27*Q50/(1-(1+Q50)^(-Inputs!$E$26))+Q28*Q50/(1-(1+Q50)^(-Inputs!$E$27)))*(1+Q29)+Q24*Q50</f>
        <v>1.82125675978435</v>
      </c>
      <c r="R53" s="28" t="n">
        <f aca="false">(R25*R50/(1-(1+R50)^(-Inputs!$E$24))+R26*R50/(1-(1+R50)^(-Inputs!$E$25))+R27*R50/(1-(1+R50)^(-Inputs!$E$26))+R28*R50/(1-(1+R50)^(-Inputs!$E$27)))*(1+R29)+R24*R50</f>
        <v>1.50187163616098</v>
      </c>
      <c r="S53" s="28" t="n">
        <f aca="false">(S25*S50/(1-(1+S50)^(-Inputs!$E$24))+S26*S50/(1-(1+S50)^(-Inputs!$E$25))+S27*S50/(1-(1+S50)^(-Inputs!$E$26))+S28*S50/(1-(1+S50)^(-Inputs!$E$27)))*(1+S29)+S24*S50</f>
        <v>1.50187163616098</v>
      </c>
      <c r="T53" s="28" t="n">
        <f aca="false">(T25*T50/(1-(1+T50)^(-Inputs!$E$24))+T26*T50/(1-(1+T50)^(-Inputs!$E$25))+T27*T50/(1-(1+T50)^(-Inputs!$E$26))+T28*T50/(1-(1+T50)^(-Inputs!$E$27)))*(1+T29)+T24*T50</f>
        <v>1.50187163616098</v>
      </c>
      <c r="U53" s="28" t="n">
        <f aca="false">(U25*U50/(1-(1+U50)^(-Inputs!$E$24))+U26*U50/(1-(1+U50)^(-Inputs!$E$25))+U27*U50/(1-(1+U50)^(-Inputs!$E$26))+U28*U50/(1-(1+U50)^(-Inputs!$E$27)))*(1+U29)+U24*U50</f>
        <v>1.50187163616098</v>
      </c>
      <c r="V53" s="28" t="n">
        <f aca="false">(V25*V50/(1-(1+V50)^(-Inputs!$E$24))+V26*V50/(1-(1+V50)^(-Inputs!$E$25))+V27*V50/(1-(1+V50)^(-Inputs!$E$26))+V28*V50/(1-(1+V50)^(-Inputs!$E$27)))*(1+V29)+V24*V50</f>
        <v>1.50187163616098</v>
      </c>
      <c r="W53" s="28" t="n">
        <f aca="false">(W25*W50/(1-(1+W50)^(-Inputs!$E$24))+W26*W50/(1-(1+W50)^(-Inputs!$E$25))+W27*W50/(1-(1+W50)^(-Inputs!$E$26))+W28*W50/(1-(1+W50)^(-Inputs!$E$27)))*(1+W29)+W24*W50</f>
        <v>1.50187163616098</v>
      </c>
      <c r="X53" s="28" t="n">
        <f aca="false">(X25*X50/(1-(1+X50)^(-Inputs!$E$24))+X26*X50/(1-(1+X50)^(-Inputs!$E$25))+X27*X50/(1-(1+X50)^(-Inputs!$E$26))+X28*X50/(1-(1+X50)^(-Inputs!$E$27)))*(1+X29)+X24*X50</f>
        <v>1.50187163616098</v>
      </c>
      <c r="Y53" s="28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false" outlineLevel="0" collapsed="false">
      <c r="A54" s="13" t="s">
        <v>193</v>
      </c>
      <c r="B54" s="10" t="s">
        <v>165</v>
      </c>
      <c r="C54" s="29" t="n">
        <f aca="false">C52+C53+C47</f>
        <v>12.0543709668186</v>
      </c>
      <c r="D54" s="29" t="n">
        <f aca="false">D52+D53+D47</f>
        <v>10.7570221494909</v>
      </c>
      <c r="E54" s="29" t="n">
        <f aca="false">E52+E53+E47</f>
        <v>13.5876013872968</v>
      </c>
      <c r="F54" s="29" t="n">
        <f aca="false">F52+F53+F47</f>
        <v>13.8554581462903</v>
      </c>
      <c r="G54" s="29" t="n">
        <f aca="false">G52+G53+G47</f>
        <v>11.9358183929799</v>
      </c>
      <c r="H54" s="29" t="n">
        <f aca="false">H52+H53+H47</f>
        <v>11.6362172157791</v>
      </c>
      <c r="I54" s="29" t="n">
        <f aca="false">I52+I53+I47</f>
        <v>12.4725247178581</v>
      </c>
      <c r="J54" s="29" t="n">
        <f aca="false">J52+J53+J47</f>
        <v>11.9639262855243</v>
      </c>
      <c r="K54" s="29" t="n">
        <f aca="false">K52+K53+K47</f>
        <v>12.1900379887601</v>
      </c>
      <c r="L54" s="29" t="n">
        <f aca="false">L52+L53+L47</f>
        <v>11.9396909688767</v>
      </c>
      <c r="M54" s="29" t="n">
        <f aca="false">M52+M53+M47</f>
        <v>12.218199535307</v>
      </c>
      <c r="N54" s="29" t="n">
        <f aca="false">N52+N53+N47</f>
        <v>11.2094341346842</v>
      </c>
      <c r="O54" s="29" t="n">
        <f aca="false">O52+O53+O47</f>
        <v>15.052037550214</v>
      </c>
      <c r="P54" s="29" t="n">
        <f aca="false">P52+P53+P47</f>
        <v>11.3893180674944</v>
      </c>
      <c r="Q54" s="29" t="n">
        <f aca="false">Q52+Q53+Q47</f>
        <v>13.0910535220776</v>
      </c>
      <c r="R54" s="29" t="n">
        <f aca="false">R52+R53+R47</f>
        <v>11.8861789668186</v>
      </c>
      <c r="S54" s="29" t="n">
        <f aca="false">S52+S53+S47</f>
        <v>12.2225629668186</v>
      </c>
      <c r="T54" s="29" t="n">
        <f aca="false">T52+T53+T47</f>
        <v>11.9983069668186</v>
      </c>
      <c r="U54" s="29" t="n">
        <f aca="false">U52+U53+U47</f>
        <v>12.1104349668186</v>
      </c>
      <c r="V54" s="29" t="n">
        <f aca="false">V52+V53+V47</f>
        <v>11.9702749668186</v>
      </c>
      <c r="W54" s="29" t="n">
        <f aca="false">W52+W53+W47</f>
        <v>12.1384669668186</v>
      </c>
      <c r="X54" s="29" t="n">
        <f aca="false">X52+X53+X47</f>
        <v>12.3575919729828</v>
      </c>
      <c r="Y54" s="29" t="n">
        <f aca="false">Y52+Y53+Y47</f>
        <v>11.6531161015186</v>
      </c>
    </row>
    <row r="55" customFormat="false" ht="15" hidden="false" customHeight="false" outlineLevel="0" collapsed="false">
      <c r="A55" s="18" t="s">
        <v>194</v>
      </c>
      <c r="B55" s="8"/>
      <c r="C55" s="8"/>
    </row>
    <row r="56" customFormat="false" ht="15" hidden="false" customHeight="false" outlineLevel="0" collapsed="false">
      <c r="A56" s="13" t="s">
        <v>195</v>
      </c>
      <c r="B56" s="10" t="s">
        <v>196</v>
      </c>
      <c r="C56" s="28" t="n">
        <f aca="false">C48*1000000000/(C13*8760)</f>
        <v>3.51747354574866</v>
      </c>
      <c r="D56" s="28" t="n">
        <f aca="false">D48*1000000000/(D13*8760)</f>
        <v>3.13058765872008</v>
      </c>
      <c r="E56" s="28" t="n">
        <f aca="false">E48*1000000000/(E13*8760)</f>
        <v>3.9747023213279</v>
      </c>
      <c r="F56" s="28" t="n">
        <f aca="false">F48*1000000000/(F13*8760)</f>
        <v>3.393052585846</v>
      </c>
      <c r="G56" s="28" t="n">
        <f aca="false">G48*1000000000/(G13*8760)</f>
        <v>3.52738721883985</v>
      </c>
      <c r="H56" s="28" t="n">
        <f aca="false">H48*1000000000/(H13*8760)</f>
        <v>3.39277478877251</v>
      </c>
      <c r="I56" s="28" t="n">
        <f aca="false">I48*1000000000/(I13*8760)</f>
        <v>3.64217230272482</v>
      </c>
      <c r="J56" s="28" t="n">
        <f aca="false">J48*1000000000/(J13*8760)</f>
        <v>3.50172429689197</v>
      </c>
      <c r="K56" s="28" t="n">
        <f aca="false">K48*1000000000/(K13*8760)</f>
        <v>3.54109741903371</v>
      </c>
      <c r="L56" s="28" t="n">
        <f aca="false">L48*1000000000/(L13*8760)</f>
        <v>3.49384967246362</v>
      </c>
      <c r="M56" s="28" t="n">
        <f aca="false">M48*1000000000/(M13*8760)</f>
        <v>3.55122193615587</v>
      </c>
      <c r="N56" s="28" t="n">
        <f aca="false">N48*1000000000/(N13*8760)</f>
        <v>3.19222167940091</v>
      </c>
      <c r="O56" s="28" t="n">
        <f aca="false">O48*1000000000/(O13*8760)</f>
        <v>4.65585507796581</v>
      </c>
      <c r="P56" s="28" t="n">
        <f aca="false">P48*1000000000/(P13*8760)</f>
        <v>3.51747354574866</v>
      </c>
      <c r="Q56" s="28" t="n">
        <f aca="false">Q48*1000000000/(Q13*8760)</f>
        <v>3.51747354574866</v>
      </c>
      <c r="R56" s="28" t="n">
        <f aca="false">R48*1000000000/(R13*8760)</f>
        <v>3.45166242366903</v>
      </c>
      <c r="S56" s="28" t="n">
        <f aca="false">S48*1000000000/(S13*8760)</f>
        <v>3.58328466782829</v>
      </c>
      <c r="T56" s="28" t="n">
        <f aca="false">T48*1000000000/(T13*8760)</f>
        <v>3.49553650505545</v>
      </c>
      <c r="U56" s="28" t="n">
        <f aca="false">U48*1000000000/(U13*8760)</f>
        <v>3.53941058644187</v>
      </c>
      <c r="V56" s="28" t="n">
        <f aca="false">V48*1000000000/(V13*8760)</f>
        <v>3.48456798470885</v>
      </c>
      <c r="W56" s="28" t="n">
        <f aca="false">W48*1000000000/(W13*8760)</f>
        <v>3.55037910678848</v>
      </c>
      <c r="X56" s="28" t="n">
        <f aca="false">X48*1000000000/(X13*8760)</f>
        <v>3.49323830043799</v>
      </c>
      <c r="Y56" s="28" t="n">
        <f aca="false">Y48*1000000000/(Y13*8760)</f>
        <v>3.55210096624656</v>
      </c>
    </row>
    <row r="57" customFormat="false" ht="15" hidden="false" customHeight="false" outlineLevel="0" collapsed="false">
      <c r="A57" s="13" t="s">
        <v>197</v>
      </c>
      <c r="B57" s="10" t="s">
        <v>196</v>
      </c>
      <c r="C57" s="29" t="n">
        <f aca="false">C54*1000000000/(C13*8760)</f>
        <v>4.71670281161092</v>
      </c>
      <c r="D57" s="29" t="n">
        <f aca="false">D54*1000000000/(D13*8760)</f>
        <v>4.20906878979644</v>
      </c>
      <c r="E57" s="29" t="n">
        <f aca="false">E54*1000000000/(E13*8760)</f>
        <v>5.31663392830075</v>
      </c>
      <c r="F57" s="29" t="n">
        <f aca="false">F54*1000000000/(F13*8760)</f>
        <v>4.53690309436827</v>
      </c>
      <c r="G57" s="29" t="n">
        <f aca="false">G54*1000000000/(G13*8760)</f>
        <v>4.73102897996732</v>
      </c>
      <c r="H57" s="29" t="n">
        <f aca="false">H54*1000000000/(H13*8760)</f>
        <v>4.55308523433187</v>
      </c>
      <c r="I57" s="29" t="n">
        <f aca="false">I54*1000000000/(I13*8760)</f>
        <v>4.88032038888996</v>
      </c>
      <c r="J57" s="29" t="n">
        <f aca="false">J54*1000000000/(J13*8760)</f>
        <v>4.68131310245642</v>
      </c>
      <c r="K57" s="29" t="n">
        <f aca="false">K54*1000000000/(K13*8760)</f>
        <v>4.76978737534267</v>
      </c>
      <c r="L57" s="29" t="n">
        <f aca="false">L54*1000000000/(L13*8760)</f>
        <v>4.67183016995943</v>
      </c>
      <c r="M57" s="29" t="n">
        <f aca="false">M54*1000000000/(M13*8760)</f>
        <v>4.78080658539875</v>
      </c>
      <c r="N57" s="29" t="n">
        <f aca="false">N54*1000000000/(N13*8760)</f>
        <v>4.38609112372341</v>
      </c>
      <c r="O57" s="29" t="n">
        <f aca="false">O54*1000000000/(O13*8760)</f>
        <v>5.88964683673616</v>
      </c>
      <c r="P57" s="29" t="n">
        <f aca="false">P54*1000000000/(P13*8760)</f>
        <v>4.45647713175195</v>
      </c>
      <c r="Q57" s="29" t="n">
        <f aca="false">Q54*1000000000/(Q13*8760)</f>
        <v>5.1223418562859</v>
      </c>
      <c r="R57" s="29" t="n">
        <f aca="false">R54*1000000000/(R13*8760)</f>
        <v>4.65089168953128</v>
      </c>
      <c r="S57" s="29" t="n">
        <f aca="false">S54*1000000000/(S13*8760)</f>
        <v>4.78251393369055</v>
      </c>
      <c r="T57" s="29" t="n">
        <f aca="false">T54*1000000000/(T13*8760)</f>
        <v>4.69476577091771</v>
      </c>
      <c r="U57" s="29" t="n">
        <f aca="false">U54*1000000000/(U13*8760)</f>
        <v>4.73863985230413</v>
      </c>
      <c r="V57" s="29" t="n">
        <f aca="false">V54*1000000000/(V13*8760)</f>
        <v>4.6837972505711</v>
      </c>
      <c r="W57" s="29" t="n">
        <f aca="false">W54*1000000000/(W13*8760)</f>
        <v>4.74960837265073</v>
      </c>
      <c r="X57" s="29" t="n">
        <f aca="false">X54*1000000000/(X13*8760)</f>
        <v>4.68168065571714</v>
      </c>
      <c r="Y57" s="29" t="n">
        <f aca="false">Y54*1000000000/(Y13*8760)</f>
        <v>4.76674261534844</v>
      </c>
    </row>
    <row r="58" customFormat="false" ht="15" hidden="false" customHeight="false" outlineLevel="0" collapsed="false">
      <c r="A58" s="13" t="s">
        <v>198</v>
      </c>
      <c r="B58" s="10" t="s">
        <v>199</v>
      </c>
      <c r="C58" s="11" t="n">
        <f aca="false">C54*1000000000/(C11*8760)</f>
        <v>339.602602435986</v>
      </c>
      <c r="D58" s="11" t="n">
        <f aca="false">D54*1000000000/(D11*8760)</f>
        <v>303.052952865344</v>
      </c>
      <c r="E58" s="11" t="n">
        <f aca="false">E54*1000000000/(E11*8760)</f>
        <v>382.797642837654</v>
      </c>
      <c r="F58" s="11" t="n">
        <f aca="false">F54*1000000000/(F11*8760)</f>
        <v>326.657022794515</v>
      </c>
      <c r="G58" s="11" t="n">
        <f aca="false">G54*1000000000/(G11*8760)</f>
        <v>340.634086557647</v>
      </c>
      <c r="H58" s="11" t="n">
        <f aca="false">H54*1000000000/(H11*8760)</f>
        <v>327.822136871895</v>
      </c>
      <c r="I58" s="11" t="n">
        <f aca="false">I54*1000000000/(I11*8760)</f>
        <v>351.383068000077</v>
      </c>
      <c r="J58" s="11" t="n">
        <f aca="false">J54*1000000000/(J11*8760)</f>
        <v>337.054543376862</v>
      </c>
      <c r="K58" s="11" t="n">
        <f aca="false">K54*1000000000/(K11*8760)</f>
        <v>343.424691024672</v>
      </c>
      <c r="L58" s="11" t="n">
        <f aca="false">L54*1000000000/(L11*8760)</f>
        <v>336.371772237079</v>
      </c>
      <c r="M58" s="11" t="n">
        <f aca="false">M54*1000000000/(M11*8760)</f>
        <v>344.21807414871</v>
      </c>
      <c r="N58" s="11" t="n">
        <f aca="false">N54*1000000000/(N11*8760)</f>
        <v>315.798560908085</v>
      </c>
      <c r="O58" s="11" t="n">
        <f aca="false">O54*1000000000/(O11*8760)</f>
        <v>424.054572245004</v>
      </c>
      <c r="P58" s="11" t="n">
        <f aca="false">P54*1000000000/(P11*8760)</f>
        <v>320.866353486141</v>
      </c>
      <c r="Q58" s="11" t="n">
        <f aca="false">Q54*1000000000/(Q11*8760)</f>
        <v>368.808613652585</v>
      </c>
      <c r="R58" s="11" t="n">
        <f aca="false">R54*1000000000/(R11*8760)</f>
        <v>334.864201646252</v>
      </c>
      <c r="S58" s="11" t="n">
        <f aca="false">S54*1000000000/(S11*8760)</f>
        <v>344.341003225719</v>
      </c>
      <c r="T58" s="11" t="n">
        <f aca="false">T54*1000000000/(T11*8760)</f>
        <v>338.023135506075</v>
      </c>
      <c r="U58" s="11" t="n">
        <f aca="false">U54*1000000000/(U11*8760)</f>
        <v>341.182069365897</v>
      </c>
      <c r="V58" s="11" t="n">
        <f aca="false">V54*1000000000/(V11*8760)</f>
        <v>337.233402041119</v>
      </c>
      <c r="W58" s="11" t="n">
        <f aca="false">W54*1000000000/(W11*8760)</f>
        <v>341.971802830853</v>
      </c>
      <c r="X58" s="11" t="n">
        <f aca="false">X54*1000000000/(X11*8760)</f>
        <v>337.081007211634</v>
      </c>
      <c r="Y58" s="11" t="n">
        <f aca="false">Y54*1000000000/(Y11*8760)</f>
        <v>343.205468305088</v>
      </c>
    </row>
    <row r="59" customFormat="false" ht="15" hidden="false" customHeight="false" outlineLevel="0" collapsed="false">
      <c r="A59" s="13" t="s">
        <v>200</v>
      </c>
      <c r="B59" s="10" t="s">
        <v>201</v>
      </c>
      <c r="C59" s="28" t="n">
        <f aca="false">C7*C40*C14*8760/1000000</f>
        <v>8.4096</v>
      </c>
      <c r="D59" s="28" t="n">
        <f aca="false">D7*D40*D14*8760/1000000</f>
        <v>8.4096</v>
      </c>
      <c r="E59" s="28" t="n">
        <f aca="false">E7*E40*E14*8760/1000000</f>
        <v>8.4096</v>
      </c>
      <c r="F59" s="28" t="n">
        <f aca="false">F7*F40*F14*8760/1000000</f>
        <v>8.4096</v>
      </c>
      <c r="G59" s="28" t="n">
        <f aca="false">G7*G40*G14*8760/1000000</f>
        <v>8.4096</v>
      </c>
      <c r="H59" s="28" t="n">
        <f aca="false">H7*H40*H14*8760/1000000</f>
        <v>8.4096</v>
      </c>
      <c r="I59" s="28" t="n">
        <f aca="false">I7*I40*I14*8760/1000000</f>
        <v>8.4096</v>
      </c>
      <c r="J59" s="28" t="n">
        <f aca="false">J7*J40*J14*8760/1000000</f>
        <v>8.4096</v>
      </c>
      <c r="K59" s="28" t="n">
        <f aca="false">K7*K40*K14*8760/1000000</f>
        <v>8.4096</v>
      </c>
      <c r="L59" s="28" t="n">
        <f aca="false">L7*L40*L14*8760/1000000</f>
        <v>8.4096</v>
      </c>
      <c r="M59" s="28" t="n">
        <f aca="false">M7*M40*M14*8760/1000000</f>
        <v>8.4096</v>
      </c>
      <c r="N59" s="28" t="n">
        <f aca="false">N7*N40*N14*8760/1000000</f>
        <v>8.4096</v>
      </c>
      <c r="O59" s="28" t="n">
        <f aca="false">O7*O40*O14*8760/1000000</f>
        <v>8.4096</v>
      </c>
      <c r="P59" s="28" t="n">
        <f aca="false">P7*P40*P14*8760/1000000</f>
        <v>8.4096</v>
      </c>
      <c r="Q59" s="28" t="n">
        <f aca="false">Q7*Q40*Q14*8760/1000000</f>
        <v>8.4096</v>
      </c>
      <c r="R59" s="28" t="n">
        <f aca="false">R7*R40*R14*8760/1000000</f>
        <v>8.4096</v>
      </c>
      <c r="S59" s="28" t="n">
        <f aca="false">S7*S40*S14*8760/1000000</f>
        <v>8.4096</v>
      </c>
      <c r="T59" s="28" t="n">
        <f aca="false">T7*T40*T14*8760/1000000</f>
        <v>7.7088</v>
      </c>
      <c r="U59" s="28" t="n">
        <f aca="false">U7*U40*U14*8760/1000000</f>
        <v>9.1104</v>
      </c>
      <c r="V59" s="28" t="n">
        <f aca="false">V7*V40*V14*8760/1000000</f>
        <v>7.3584</v>
      </c>
      <c r="W59" s="28" t="n">
        <f aca="false">W7*W40*W14*8760/1000000</f>
        <v>9.4608</v>
      </c>
      <c r="X59" s="28" t="n">
        <f aca="false">X7*X40*X14*8760/1000000</f>
        <v>8.4096</v>
      </c>
      <c r="Y59" s="28" t="n">
        <f aca="false">Y7*Y40*Y14*8760/1000000</f>
        <v>8.4096</v>
      </c>
    </row>
    <row r="60" customFormat="false" ht="15" hidden="false" customHeight="false" outlineLevel="0" collapsed="false">
      <c r="A60" s="13" t="s">
        <v>202</v>
      </c>
      <c r="B60" s="10" t="s">
        <v>41</v>
      </c>
      <c r="C60" s="15" t="n">
        <f aca="false">(C52+C53)/C54</f>
        <v>0.789583452593095</v>
      </c>
      <c r="D60" s="15" t="n">
        <f aca="false">(D52+D53)/D54</f>
        <v>0.780158775622496</v>
      </c>
      <c r="E60" s="15" t="n">
        <f aca="false">(E52+E53)/E54</f>
        <v>0.798401377702989</v>
      </c>
      <c r="F60" s="15" t="n">
        <f aca="false">(F52+F53)/F54</f>
        <v>0.799741625956779</v>
      </c>
      <c r="G60" s="15" t="n">
        <f aca="false">(G52+G53)/G54</f>
        <v>0.788807275965041</v>
      </c>
      <c r="H60" s="15" t="n">
        <f aca="false">(H52+H53)/H54</f>
        <v>0.786775266051625</v>
      </c>
      <c r="I60" s="15" t="n">
        <f aca="false">(I52+I53)/I54</f>
        <v>0.792203344661314</v>
      </c>
      <c r="J60" s="15" t="n">
        <f aca="false">(J52+J53)/J54</f>
        <v>0.78943458360755</v>
      </c>
      <c r="K60" s="15" t="n">
        <f aca="false">(K52+K53)/K54</f>
        <v>0.789802614039218</v>
      </c>
      <c r="L60" s="15" t="n">
        <f aca="false">(L52+L53)/L54</f>
        <v>0.789247969100766</v>
      </c>
      <c r="M60" s="15" t="n">
        <f aca="false">(M52+M53)/M54</f>
        <v>0.790051790152276</v>
      </c>
      <c r="N60" s="15" t="n">
        <f aca="false">(N52+N53)/N54</f>
        <v>0.773722822265241</v>
      </c>
      <c r="O60" s="15" t="n">
        <f aca="false">(O52+O53)/O54</f>
        <v>0.831488653178125</v>
      </c>
      <c r="P60" s="15" t="n">
        <f aca="false">(P52+P53)/P54</f>
        <v>0.777296664737188</v>
      </c>
      <c r="Q60" s="15" t="n">
        <f aca="false">(Q52+Q53)/Q54</f>
        <v>0.806246371560365</v>
      </c>
      <c r="R60" s="15" t="n">
        <f aca="false">(R52+R53)/R54</f>
        <v>0.800756229010922</v>
      </c>
      <c r="S60" s="15" t="n">
        <f aca="false">(S52+S53)/S54</f>
        <v>0.778718168411777</v>
      </c>
      <c r="T60" s="15" t="n">
        <f aca="false">(T52+T53)/T54</f>
        <v>0.79327290701434</v>
      </c>
      <c r="U60" s="15" t="n">
        <f aca="false">(U52+U53)/U54</f>
        <v>0.785928158063422</v>
      </c>
      <c r="V60" s="15" t="n">
        <f aca="false">(V52+V53)/V54</f>
        <v>0.795130594176169</v>
      </c>
      <c r="W60" s="15" t="n">
        <f aca="false">(W52+W53)/W54</f>
        <v>0.784113172844361</v>
      </c>
      <c r="X60" s="15" t="n">
        <f aca="false">(X52+X53)/X54</f>
        <v>0.791500916551294</v>
      </c>
      <c r="Y60" s="15" t="n">
        <f aca="false">(Y52+Y53)/Y54</f>
        <v>0.786892661296288</v>
      </c>
    </row>
    <row r="61" customFormat="false" ht="15" hidden="false" customHeight="false" outlineLevel="0" collapsed="false">
      <c r="A61" s="13" t="s">
        <v>203</v>
      </c>
      <c r="B61" s="10" t="s">
        <v>41</v>
      </c>
      <c r="C61" s="15" t="n">
        <f aca="false">C42/C54</f>
        <v>0.0558111245996902</v>
      </c>
      <c r="D61" s="15" t="n">
        <f aca="false">D42/D54</f>
        <v>0.0625422157406121</v>
      </c>
      <c r="E61" s="15" t="n">
        <f aca="false">E42/E54</f>
        <v>0.0495133747910045</v>
      </c>
      <c r="F61" s="15" t="n">
        <f aca="false">F42/F54</f>
        <v>0.0485561713583702</v>
      </c>
      <c r="G61" s="15" t="n">
        <f aca="false">G42/G54</f>
        <v>0.0563654688643461</v>
      </c>
      <c r="H61" s="15" t="n">
        <f aca="false">H42/H54</f>
        <v>0.05781672750898</v>
      </c>
      <c r="I61" s="15" t="n">
        <f aca="false">I42/I54</f>
        <v>0.053940001340445</v>
      </c>
      <c r="J61" s="15" t="n">
        <f aca="false">J42/J54</f>
        <v>0.0562330445661484</v>
      </c>
      <c r="K61" s="15" t="n">
        <f aca="false">K42/K54</f>
        <v>0.0551899838721038</v>
      </c>
      <c r="L61" s="15" t="n">
        <f aca="false">L42/L54</f>
        <v>0.056347187021315</v>
      </c>
      <c r="M61" s="15" t="n">
        <f aca="false">M42/M54</f>
        <v>0.055062777298398</v>
      </c>
      <c r="N61" s="15" t="n">
        <f aca="false">N42/N54</f>
        <v>0.0600180162456484</v>
      </c>
      <c r="O61" s="15" t="n">
        <f aca="false">O42/O54</f>
        <v>0.0446961414862027</v>
      </c>
      <c r="P61" s="15" t="n">
        <f aca="false">P42/P54</f>
        <v>0.0590700861994636</v>
      </c>
      <c r="Q61" s="15" t="n">
        <f aca="false">Q42/Q54</f>
        <v>0.0513914330015839</v>
      </c>
      <c r="R61" s="15" t="n">
        <f aca="false">R42/R54</f>
        <v>0.0424506480517055</v>
      </c>
      <c r="S61" s="15" t="n">
        <f aca="false">S42/S54</f>
        <v>0.0688038999907802</v>
      </c>
      <c r="T61" s="15" t="n">
        <f aca="false">T42/T54</f>
        <v>0.0513992517198885</v>
      </c>
      <c r="U61" s="15" t="n">
        <f aca="false">U42/U54</f>
        <v>0.0601821488655799</v>
      </c>
      <c r="V61" s="15" t="n">
        <f aca="false">V42/V54</f>
        <v>0.0491778176885485</v>
      </c>
      <c r="W61" s="15" t="n">
        <f aca="false">W42/W54</f>
        <v>0.06235251964428</v>
      </c>
      <c r="X61" s="15" t="n">
        <f aca="false">X42/X54</f>
        <v>0.0544416745164317</v>
      </c>
      <c r="Y61" s="15" t="n">
        <f aca="false">Y42/Y54</f>
        <v>0.0577328839890585</v>
      </c>
    </row>
    <row r="64" customFormat="false" ht="15" hidden="false" customHeight="false" outlineLevel="0" collapsed="false">
      <c r="A64" s="7" t="s">
        <v>229</v>
      </c>
      <c r="B64" s="8"/>
      <c r="C64" s="8"/>
      <c r="D64" s="8"/>
      <c r="E64" s="8"/>
      <c r="F64" s="8"/>
      <c r="G64" s="8"/>
      <c r="H64" s="8"/>
      <c r="I64" s="8"/>
      <c r="J64" s="8"/>
    </row>
    <row r="65" customFormat="false" ht="15" hidden="false" customHeight="false" outlineLevel="0" collapsed="false">
      <c r="A65" s="3" t="s">
        <v>230</v>
      </c>
      <c r="B65" s="3"/>
      <c r="C65" s="3" t="s">
        <v>231</v>
      </c>
      <c r="D65" s="3" t="s">
        <v>232</v>
      </c>
      <c r="E65" s="3" t="s">
        <v>233</v>
      </c>
      <c r="F65" s="3" t="s">
        <v>234</v>
      </c>
      <c r="G65" s="3" t="s">
        <v>235</v>
      </c>
      <c r="H65" s="3" t="s">
        <v>236</v>
      </c>
      <c r="I65" s="37" t="s">
        <v>237</v>
      </c>
      <c r="J65" s="37" t="s">
        <v>238</v>
      </c>
    </row>
    <row r="66" customFormat="false" ht="15" hidden="false" customHeight="false" outlineLevel="0" collapsed="false">
      <c r="A66" s="13" t="s">
        <v>27</v>
      </c>
      <c r="C66" s="30" t="n">
        <f aca="false">C32</f>
        <v>47.582032</v>
      </c>
      <c r="F66" s="28" t="n">
        <f aca="false">C54</f>
        <v>12.0543709668186</v>
      </c>
      <c r="I66" s="28" t="n">
        <f aca="false">C57</f>
        <v>4.71670281161092</v>
      </c>
    </row>
    <row r="67" customFormat="false" ht="15" hidden="false" customHeight="false" outlineLevel="0" collapsed="false">
      <c r="A67" s="13" t="s">
        <v>239</v>
      </c>
      <c r="C67" s="30" t="n">
        <f aca="false">D32</f>
        <v>42.679112</v>
      </c>
      <c r="D67" s="30" t="n">
        <f aca="false">E32</f>
        <v>53.376392</v>
      </c>
      <c r="E67" s="38" t="n">
        <f aca="false">ABS(D67-C67)</f>
        <v>10.69728</v>
      </c>
      <c r="F67" s="28" t="n">
        <f aca="false">D54</f>
        <v>10.7570221494909</v>
      </c>
      <c r="G67" s="28" t="n">
        <f aca="false">E54</f>
        <v>13.5876013872968</v>
      </c>
      <c r="H67" s="29" t="n">
        <f aca="false">ABS(G67-F67)</f>
        <v>2.83057923780595</v>
      </c>
      <c r="I67" s="28" t="n">
        <f aca="false">D57</f>
        <v>4.20906878979644</v>
      </c>
      <c r="J67" s="28" t="n">
        <f aca="false">E57</f>
        <v>5.31663392830075</v>
      </c>
    </row>
    <row r="68" customFormat="false" ht="15" hidden="false" customHeight="false" outlineLevel="0" collapsed="false">
      <c r="A68" s="13" t="s">
        <v>240</v>
      </c>
      <c r="C68" s="30" t="n">
        <f aca="false">F32</f>
        <v>54.388672</v>
      </c>
      <c r="D68" s="30" t="n">
        <f aca="false">G32</f>
        <v>47.134</v>
      </c>
      <c r="E68" s="38" t="n">
        <f aca="false">ABS(D68-C68)</f>
        <v>7.25467200000001</v>
      </c>
      <c r="F68" s="28" t="n">
        <f aca="false">F54</f>
        <v>13.8554581462903</v>
      </c>
      <c r="G68" s="28" t="n">
        <f aca="false">G54</f>
        <v>11.9358183929799</v>
      </c>
      <c r="H68" s="29" t="n">
        <f aca="false">ABS(G68-F68)</f>
        <v>1.9196397533104</v>
      </c>
      <c r="I68" s="28" t="n">
        <f aca="false">F57</f>
        <v>4.53690309436827</v>
      </c>
      <c r="J68" s="28" t="n">
        <f aca="false">G57</f>
        <v>4.73102897996732</v>
      </c>
    </row>
    <row r="69" customFormat="false" ht="15" hidden="false" customHeight="false" outlineLevel="0" collapsed="false">
      <c r="A69" s="13" t="s">
        <v>241</v>
      </c>
      <c r="C69" s="30" t="n">
        <f aca="false">H32</f>
        <v>46.001752</v>
      </c>
      <c r="D69" s="30" t="n">
        <f aca="false">I32</f>
        <v>49.162312</v>
      </c>
      <c r="E69" s="38" t="n">
        <f aca="false">ABS(D69-C69)</f>
        <v>3.16056</v>
      </c>
      <c r="F69" s="28" t="n">
        <f aca="false">H54</f>
        <v>11.6362172157791</v>
      </c>
      <c r="G69" s="28" t="n">
        <f aca="false">I54</f>
        <v>12.4725247178581</v>
      </c>
      <c r="H69" s="29" t="n">
        <f aca="false">ABS(G69-F69)</f>
        <v>0.836307502079034</v>
      </c>
      <c r="I69" s="28" t="n">
        <f aca="false">H57</f>
        <v>4.55308523433187</v>
      </c>
      <c r="J69" s="28" t="n">
        <f aca="false">I57</f>
        <v>4.88032038888996</v>
      </c>
    </row>
    <row r="70" customFormat="false" ht="15" hidden="false" customHeight="false" outlineLevel="0" collapsed="false">
      <c r="A70" s="13" t="s">
        <v>242</v>
      </c>
      <c r="C70" s="30" t="n">
        <f aca="false">J32</f>
        <v>46.892032</v>
      </c>
      <c r="D70" s="30" t="n">
        <f aca="false">K32</f>
        <v>48.617032</v>
      </c>
      <c r="E70" s="38" t="n">
        <f aca="false">ABS(D70-C70)</f>
        <v>1.72499999999999</v>
      </c>
      <c r="F70" s="28" t="n">
        <f aca="false">J54</f>
        <v>11.9639262855243</v>
      </c>
      <c r="G70" s="28" t="n">
        <f aca="false">K54</f>
        <v>12.1900379887601</v>
      </c>
      <c r="H70" s="29" t="n">
        <f aca="false">ABS(G70-F70)</f>
        <v>0.226111703235793</v>
      </c>
      <c r="I70" s="28" t="n">
        <f aca="false">J57</f>
        <v>4.68131310245642</v>
      </c>
      <c r="J70" s="28" t="n">
        <f aca="false">K57</f>
        <v>4.76978737534267</v>
      </c>
    </row>
    <row r="71" customFormat="false" ht="15" hidden="false" customHeight="false" outlineLevel="0" collapsed="false">
      <c r="A71" s="13" t="s">
        <v>243</v>
      </c>
      <c r="C71" s="30" t="n">
        <f aca="false">L32</f>
        <v>46.777032</v>
      </c>
      <c r="D71" s="30" t="n">
        <f aca="false">M32</f>
        <v>48.732032</v>
      </c>
      <c r="E71" s="38" t="n">
        <f aca="false">ABS(D71-C71)</f>
        <v>1.955</v>
      </c>
      <c r="F71" s="28" t="n">
        <f aca="false">L54</f>
        <v>11.9396909688767</v>
      </c>
      <c r="G71" s="28" t="n">
        <f aca="false">M54</f>
        <v>12.218199535307</v>
      </c>
      <c r="H71" s="29" t="n">
        <f aca="false">ABS(G71-F71)</f>
        <v>0.278508566430327</v>
      </c>
      <c r="I71" s="28" t="n">
        <f aca="false">L57</f>
        <v>4.67183016995943</v>
      </c>
      <c r="J71" s="28" t="n">
        <f aca="false">M57</f>
        <v>4.78080658539875</v>
      </c>
    </row>
    <row r="72" customFormat="false" ht="15" hidden="false" customHeight="false" outlineLevel="0" collapsed="false">
      <c r="A72" s="9" t="s">
        <v>244</v>
      </c>
      <c r="C72" s="30" t="n">
        <f aca="false">N32</f>
        <v>47.582032</v>
      </c>
      <c r="D72" s="30" t="n">
        <f aca="false">O32</f>
        <v>47.582032</v>
      </c>
      <c r="E72" s="38" t="n">
        <f aca="false">ABS(D72-C72)</f>
        <v>0</v>
      </c>
      <c r="F72" s="28" t="n">
        <f aca="false">N54</f>
        <v>11.2094341346842</v>
      </c>
      <c r="G72" s="28" t="n">
        <f aca="false">O54</f>
        <v>15.052037550214</v>
      </c>
      <c r="H72" s="29" t="n">
        <f aca="false">ABS(G72-F72)</f>
        <v>3.84260341552982</v>
      </c>
      <c r="I72" s="28" t="n">
        <f aca="false">N57</f>
        <v>4.38609112372341</v>
      </c>
      <c r="J72" s="28" t="n">
        <f aca="false">O57</f>
        <v>5.88964683673616</v>
      </c>
    </row>
    <row r="73" customFormat="false" ht="15" hidden="false" customHeight="false" outlineLevel="0" collapsed="false">
      <c r="A73" s="9" t="s">
        <v>189</v>
      </c>
      <c r="C73" s="30" t="n">
        <f aca="false">P32</f>
        <v>47.582032</v>
      </c>
      <c r="D73" s="30" t="n">
        <f aca="false">Q32</f>
        <v>47.582032</v>
      </c>
      <c r="E73" s="38" t="n">
        <f aca="false">ABS(D73-C73)</f>
        <v>0</v>
      </c>
      <c r="F73" s="28" t="n">
        <f aca="false">P54</f>
        <v>11.3893180674944</v>
      </c>
      <c r="G73" s="28" t="n">
        <f aca="false">Q54</f>
        <v>13.0910535220776</v>
      </c>
      <c r="H73" s="29" t="n">
        <f aca="false">ABS(G73-F73)</f>
        <v>1.70173545458324</v>
      </c>
      <c r="I73" s="28" t="n">
        <f aca="false">P57</f>
        <v>4.45647713175195</v>
      </c>
      <c r="J73" s="28" t="n">
        <f aca="false">Q57</f>
        <v>5.1223418562859</v>
      </c>
    </row>
    <row r="74" customFormat="false" ht="15" hidden="false" customHeight="false" outlineLevel="0" collapsed="false">
      <c r="A74" s="13" t="s">
        <v>50</v>
      </c>
      <c r="C74" s="30" t="n">
        <f aca="false">R32</f>
        <v>47.582032</v>
      </c>
      <c r="D74" s="30" t="n">
        <f aca="false">S32</f>
        <v>47.582032</v>
      </c>
      <c r="E74" s="38" t="n">
        <f aca="false">ABS(D74-C74)</f>
        <v>0</v>
      </c>
      <c r="F74" s="28" t="n">
        <f aca="false">R54</f>
        <v>11.8861789668186</v>
      </c>
      <c r="G74" s="28" t="n">
        <f aca="false">S54</f>
        <v>12.2225629668186</v>
      </c>
      <c r="H74" s="29" t="n">
        <f aca="false">ABS(G74-F74)</f>
        <v>0.336384000000001</v>
      </c>
      <c r="I74" s="28" t="n">
        <f aca="false">R57</f>
        <v>4.65089168953128</v>
      </c>
      <c r="J74" s="28" t="n">
        <f aca="false">S57</f>
        <v>4.78251393369055</v>
      </c>
    </row>
    <row r="75" customFormat="false" ht="15" hidden="false" customHeight="false" outlineLevel="0" collapsed="false">
      <c r="A75" s="9" t="s">
        <v>44</v>
      </c>
      <c r="C75" s="30" t="n">
        <f aca="false">T32</f>
        <v>47.582032</v>
      </c>
      <c r="D75" s="30" t="n">
        <f aca="false">U32</f>
        <v>47.582032</v>
      </c>
      <c r="E75" s="38" t="n">
        <f aca="false">ABS(D75-C75)</f>
        <v>0</v>
      </c>
      <c r="F75" s="28" t="n">
        <f aca="false">T54</f>
        <v>11.9983069668186</v>
      </c>
      <c r="G75" s="28" t="n">
        <f aca="false">U54</f>
        <v>12.1104349668186</v>
      </c>
      <c r="H75" s="29" t="n">
        <f aca="false">ABS(G75-F75)</f>
        <v>0.112128</v>
      </c>
      <c r="I75" s="28" t="n">
        <f aca="false">T57</f>
        <v>4.69476577091771</v>
      </c>
      <c r="J75" s="28" t="n">
        <f aca="false">U57</f>
        <v>4.73863985230413</v>
      </c>
    </row>
    <row r="76" customFormat="false" ht="15" hidden="false" customHeight="false" outlineLevel="0" collapsed="false">
      <c r="A76" s="13" t="s">
        <v>245</v>
      </c>
      <c r="C76" s="30" t="n">
        <f aca="false">V32</f>
        <v>47.582032</v>
      </c>
      <c r="D76" s="30" t="n">
        <f aca="false">W32</f>
        <v>47.582032</v>
      </c>
      <c r="E76" s="38" t="n">
        <f aca="false">ABS(D76-C76)</f>
        <v>0</v>
      </c>
      <c r="F76" s="28" t="n">
        <f aca="false">V54</f>
        <v>11.9702749668186</v>
      </c>
      <c r="G76" s="28" t="n">
        <f aca="false">W54</f>
        <v>12.1384669668186</v>
      </c>
      <c r="H76" s="29" t="n">
        <f aca="false">ABS(G76-F76)</f>
        <v>0.168191999999999</v>
      </c>
      <c r="I76" s="28" t="n">
        <f aca="false">V57</f>
        <v>4.6837972505711</v>
      </c>
      <c r="J76" s="28" t="n">
        <f aca="false">W57</f>
        <v>4.74960837265073</v>
      </c>
    </row>
    <row r="77" customFormat="false" ht="15" hidden="false" customHeight="false" outlineLevel="0" collapsed="false">
      <c r="A77" s="13" t="s">
        <v>246</v>
      </c>
      <c r="C77" s="30" t="n">
        <f aca="false">X32</f>
        <v>48.72796</v>
      </c>
      <c r="D77" s="30" t="n">
        <f aca="false">Y32</f>
        <v>46.065616</v>
      </c>
      <c r="E77" s="38" t="n">
        <f aca="false">ABS(D77-C77)</f>
        <v>2.662344</v>
      </c>
      <c r="F77" s="28" t="n">
        <f aca="false">X54</f>
        <v>12.3575919729828</v>
      </c>
      <c r="G77" s="28" t="n">
        <f aca="false">Y54</f>
        <v>11.6531161015186</v>
      </c>
      <c r="H77" s="29" t="n">
        <f aca="false">ABS(G77-F77)</f>
        <v>0.704475871464265</v>
      </c>
      <c r="I77" s="28" t="n">
        <f aca="false">X57</f>
        <v>4.68168065571714</v>
      </c>
      <c r="J77" s="28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2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6" t="s">
        <v>248</v>
      </c>
      <c r="B3" s="6" t="s">
        <v>249</v>
      </c>
      <c r="C3" s="6" t="s">
        <v>250</v>
      </c>
      <c r="D3" s="6" t="s">
        <v>25</v>
      </c>
      <c r="E3" s="6" t="s">
        <v>251</v>
      </c>
      <c r="F3" s="6" t="s">
        <v>252</v>
      </c>
    </row>
    <row r="4" customFormat="false" ht="15" hidden="false" customHeight="false" outlineLevel="0" collapsed="false">
      <c r="A4" s="9" t="s">
        <v>253</v>
      </c>
      <c r="B4" s="39" t="n">
        <f aca="false">DC_Cost!M33</f>
        <v>47.582032</v>
      </c>
      <c r="C4" s="40" t="s">
        <v>254</v>
      </c>
      <c r="D4" s="10" t="s">
        <v>255</v>
      </c>
      <c r="E4" s="13" t="str">
        <f aca="false">IF(AND(B4&gt;=50,B4&lt;=60),"落在區間",IF(B4&lt;50,"低於參照","高於參照"))</f>
        <v>低於參照</v>
      </c>
      <c r="F4" s="4" t="s">
        <v>256</v>
      </c>
    </row>
    <row r="5" customFormat="false" ht="15" hidden="false" customHeight="false" outlineLevel="0" collapsed="false">
      <c r="A5" s="9" t="s">
        <v>257</v>
      </c>
      <c r="B5" s="39" t="n">
        <f aca="false">DC_Cost!M19</f>
        <v>31.6056</v>
      </c>
      <c r="C5" s="41" t="s">
        <v>258</v>
      </c>
      <c r="D5" s="10" t="s">
        <v>255</v>
      </c>
      <c r="E5" s="13" t="str">
        <f aca="false">IF(ABS(B5-35)/35&lt;=0.2,"±20% 內","差距 &gt;20%")</f>
        <v>±20% 內</v>
      </c>
      <c r="F5" s="4" t="s">
        <v>259</v>
      </c>
    </row>
    <row r="6" customFormat="false" ht="15" hidden="false" customHeight="false" outlineLevel="0" collapsed="false">
      <c r="A6" s="13" t="s">
        <v>179</v>
      </c>
      <c r="B6" s="39" t="n">
        <f aca="false">DC_Cost!M36</f>
        <v>12.67</v>
      </c>
      <c r="C6" s="40" t="s">
        <v>260</v>
      </c>
      <c r="D6" s="10" t="s">
        <v>62</v>
      </c>
      <c r="E6" s="13" t="str">
        <f aca="false">IF(AND(B6&gt;=11.3*1.07*0.9,B6&lt;=11.3*1.1*1.3),"合理區間","需檢查")</f>
        <v>合理區間</v>
      </c>
      <c r="F6" s="5" t="s">
        <v>261</v>
      </c>
    </row>
    <row r="7" customFormat="false" ht="15" hidden="false" customHeight="false" outlineLevel="0" collapsed="false">
      <c r="A7" s="9" t="s">
        <v>262</v>
      </c>
      <c r="B7" s="39" t="n">
        <f aca="false">DC_Cost!G58</f>
        <v>2.07676472784428</v>
      </c>
      <c r="C7" s="40" t="s">
        <v>263</v>
      </c>
      <c r="D7" s="10" t="s">
        <v>196</v>
      </c>
      <c r="E7" s="13" t="str">
        <f aca="false">IF(B7&gt;2.21,"高於參照（參照假設未知）","低於參照")</f>
        <v>低於參照</v>
      </c>
      <c r="F7" s="5" t="s">
        <v>264</v>
      </c>
    </row>
    <row r="8" customFormat="false" ht="15" hidden="false" customHeight="false" outlineLevel="0" collapsed="false">
      <c r="A8" s="9" t="s">
        <v>265</v>
      </c>
      <c r="B8" s="39" t="n">
        <f aca="false">DC_Cost!J58</f>
        <v>2.98751288214055</v>
      </c>
      <c r="C8" s="40" t="s">
        <v>266</v>
      </c>
      <c r="D8" s="10" t="s">
        <v>196</v>
      </c>
      <c r="E8" s="13" t="str">
        <f aca="false">IF(B8&gt;2.65,"高於參照（參照假設未知）","低於參照")</f>
        <v>高於參照（參照假設未知）</v>
      </c>
      <c r="F8" s="4" t="s">
        <v>67</v>
      </c>
    </row>
    <row r="9" customFormat="false" ht="15" hidden="false" customHeight="false" outlineLevel="0" collapsed="false">
      <c r="A9" s="9" t="s">
        <v>267</v>
      </c>
      <c r="B9" s="39" t="n">
        <f aca="false">DC_Cost!G58</f>
        <v>2.07676472784428</v>
      </c>
      <c r="C9" s="40" t="s">
        <v>268</v>
      </c>
      <c r="D9" s="10" t="s">
        <v>196</v>
      </c>
      <c r="E9" s="13" t="str">
        <f aca="false">"牌價 ÷ 持有成本＝"&amp;TEXT(10.5/B9,"0.0")&amp;" 倍"</f>
        <v>牌價 ÷ 持有成本＝5.1 倍</v>
      </c>
      <c r="F9" s="5" t="s">
        <v>269</v>
      </c>
    </row>
    <row r="10" customFormat="false" ht="15" hidden="false" customHeight="false" outlineLevel="0" collapsed="false">
      <c r="A10" s="13" t="s">
        <v>270</v>
      </c>
      <c r="B10" s="39" t="n">
        <f aca="false">DC_Cost!J58</f>
        <v>2.98751288214055</v>
      </c>
      <c r="C10" s="40" t="s">
        <v>271</v>
      </c>
      <c r="D10" s="10" t="s">
        <v>196</v>
      </c>
      <c r="E10" s="13" t="str">
        <f aca="false">"參照 ÷ 本模型＝"&amp;TEXT(3.57/B10,"0.00")</f>
        <v>參照 ÷ 本模型＝1.19</v>
      </c>
      <c r="F10" s="4" t="s">
        <v>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15" hidden="false" customHeight="false" outlineLevel="0" collapsed="false">
      <c r="A4" s="13" t="s">
        <v>275</v>
      </c>
      <c r="B4" s="13" t="s">
        <v>25</v>
      </c>
      <c r="C4" s="22" t="str">
        <f aca="false">Spec_Rack!C4</f>
        <v>Hopper H100</v>
      </c>
      <c r="D4" s="22" t="str">
        <f aca="false">Spec_Rack!C4</f>
        <v>Hopper H100</v>
      </c>
      <c r="E4" s="22" t="str">
        <f aca="false">Spec_Rack!C4</f>
        <v>Hopper H100</v>
      </c>
      <c r="F4" s="22" t="str">
        <f aca="false">Spec_Rack!D4</f>
        <v>GB200 NVL72</v>
      </c>
      <c r="G4" s="22" t="str">
        <f aca="false">Spec_Rack!D4</f>
        <v>GB200 NVL72</v>
      </c>
      <c r="H4" s="22" t="str">
        <f aca="false">Spec_Rack!D4</f>
        <v>GB200 NVL72</v>
      </c>
      <c r="I4" s="22" t="str">
        <f aca="false">Spec_Rack!E4</f>
        <v>GB300 NVL72</v>
      </c>
      <c r="J4" s="22" t="str">
        <f aca="false">Spec_Rack!E4</f>
        <v>GB300 NVL72</v>
      </c>
      <c r="K4" s="22" t="str">
        <f aca="false">Spec_Rack!E4</f>
        <v>GB300 NVL72</v>
      </c>
      <c r="L4" s="22" t="str">
        <f aca="false">Spec_Rack!F4</f>
        <v>VR200 NVL72</v>
      </c>
      <c r="M4" s="22" t="str">
        <f aca="false">Spec_Rack!F4</f>
        <v>VR200 NVL72</v>
      </c>
      <c r="N4" s="22" t="str">
        <f aca="false">Spec_Rack!F4</f>
        <v>VR200 NVL72</v>
      </c>
      <c r="O4" s="22" t="str">
        <f aca="false">Spec_Rack!G4</f>
        <v>Rubin Ultra NVL576</v>
      </c>
      <c r="P4" s="22" t="str">
        <f aca="false">Spec_Rack!G4</f>
        <v>Rubin Ultra NVL576</v>
      </c>
      <c r="Q4" s="22" t="str">
        <f aca="false">Spec_Rack!G4</f>
        <v>Rubin Ultra NVL576</v>
      </c>
    </row>
    <row r="5" customFormat="false" ht="15" hidden="false" customHeight="false" outlineLevel="0" collapsed="false">
      <c r="A5" s="13" t="s">
        <v>10</v>
      </c>
      <c r="C5" s="3" t="s">
        <v>26</v>
      </c>
      <c r="D5" s="3" t="s">
        <v>27</v>
      </c>
      <c r="E5" s="3" t="s">
        <v>28</v>
      </c>
      <c r="F5" s="3" t="s">
        <v>26</v>
      </c>
      <c r="G5" s="3" t="s">
        <v>27</v>
      </c>
      <c r="H5" s="3" t="s">
        <v>28</v>
      </c>
      <c r="I5" s="3" t="s">
        <v>26</v>
      </c>
      <c r="J5" s="3" t="s">
        <v>27</v>
      </c>
      <c r="K5" s="3" t="s">
        <v>28</v>
      </c>
      <c r="L5" s="3" t="s">
        <v>26</v>
      </c>
      <c r="M5" s="3" t="s">
        <v>27</v>
      </c>
      <c r="N5" s="3" t="s">
        <v>28</v>
      </c>
      <c r="O5" s="3" t="s">
        <v>26</v>
      </c>
      <c r="P5" s="3" t="s">
        <v>27</v>
      </c>
      <c r="Q5" s="3" t="s">
        <v>28</v>
      </c>
    </row>
    <row r="6" customFormat="false" ht="15" hidden="false" customHeight="false" outlineLevel="0" collapsed="false">
      <c r="A6" s="13" t="s">
        <v>156</v>
      </c>
      <c r="B6" s="14" t="s">
        <v>157</v>
      </c>
      <c r="C6" s="24" t="n">
        <f aca="false">DC_Cost!C12</f>
        <v>22439</v>
      </c>
      <c r="D6" s="42" t="n">
        <f aca="false">DC_Cost!D12</f>
        <v>22439</v>
      </c>
      <c r="E6" s="24" t="n">
        <f aca="false">DC_Cost!E12</f>
        <v>22439</v>
      </c>
      <c r="F6" s="24" t="n">
        <f aca="false">DC_Cost!F12</f>
        <v>7076</v>
      </c>
      <c r="G6" s="42" t="n">
        <f aca="false">DC_Cost!G12</f>
        <v>7076</v>
      </c>
      <c r="H6" s="24" t="n">
        <f aca="false">DC_Cost!H12</f>
        <v>7076</v>
      </c>
      <c r="I6" s="24" t="n">
        <f aca="false">DC_Cost!I12</f>
        <v>6715</v>
      </c>
      <c r="J6" s="42" t="n">
        <f aca="false">DC_Cost!J12</f>
        <v>6715</v>
      </c>
      <c r="K6" s="24" t="n">
        <f aca="false">DC_Cost!K12</f>
        <v>6715</v>
      </c>
      <c r="L6" s="24" t="n">
        <f aca="false">DC_Cost!L12</f>
        <v>4052</v>
      </c>
      <c r="M6" s="42" t="n">
        <f aca="false">DC_Cost!M12</f>
        <v>4052</v>
      </c>
      <c r="N6" s="24" t="n">
        <f aca="false">DC_Cost!N12</f>
        <v>4052</v>
      </c>
      <c r="O6" s="24" t="n">
        <f aca="false">DC_Cost!O12</f>
        <v>1533</v>
      </c>
      <c r="P6" s="42" t="n">
        <f aca="false">DC_Cost!P12</f>
        <v>1533</v>
      </c>
      <c r="Q6" s="24" t="n">
        <f aca="false">DC_Cost!Q12</f>
        <v>1533</v>
      </c>
    </row>
    <row r="7" customFormat="false" ht="15" hidden="false" customHeight="false" outlineLevel="0" collapsed="false">
      <c r="A7" s="13" t="s">
        <v>159</v>
      </c>
      <c r="B7" s="14" t="s">
        <v>158</v>
      </c>
      <c r="C7" s="24" t="n">
        <f aca="false">DC_Cost!C14</f>
        <v>718048</v>
      </c>
      <c r="D7" s="42" t="n">
        <f aca="false">DC_Cost!D14</f>
        <v>718048</v>
      </c>
      <c r="E7" s="24" t="n">
        <f aca="false">DC_Cost!E14</f>
        <v>718048</v>
      </c>
      <c r="F7" s="24" t="n">
        <f aca="false">DC_Cost!F14</f>
        <v>509472</v>
      </c>
      <c r="G7" s="42" t="n">
        <f aca="false">DC_Cost!G14</f>
        <v>509472</v>
      </c>
      <c r="H7" s="24" t="n">
        <f aca="false">DC_Cost!H14</f>
        <v>509472</v>
      </c>
      <c r="I7" s="24" t="n">
        <f aca="false">DC_Cost!I14</f>
        <v>483480</v>
      </c>
      <c r="J7" s="42" t="n">
        <f aca="false">DC_Cost!J14</f>
        <v>483480</v>
      </c>
      <c r="K7" s="24" t="n">
        <f aca="false">DC_Cost!K14</f>
        <v>483480</v>
      </c>
      <c r="L7" s="24" t="n">
        <f aca="false">DC_Cost!L14</f>
        <v>291744</v>
      </c>
      <c r="M7" s="42" t="n">
        <f aca="false">DC_Cost!M14</f>
        <v>291744</v>
      </c>
      <c r="N7" s="24" t="n">
        <f aca="false">DC_Cost!N14</f>
        <v>291744</v>
      </c>
      <c r="O7" s="24" t="n">
        <f aca="false">DC_Cost!O14</f>
        <v>220752</v>
      </c>
      <c r="P7" s="42" t="n">
        <f aca="false">DC_Cost!P14</f>
        <v>220752</v>
      </c>
      <c r="Q7" s="24" t="n">
        <f aca="false">DC_Cost!Q14</f>
        <v>220752</v>
      </c>
    </row>
    <row r="8" customFormat="false" ht="15" hidden="false" customHeight="false" outlineLevel="0" collapsed="false">
      <c r="A8" s="13" t="s">
        <v>276</v>
      </c>
      <c r="B8" s="10" t="s">
        <v>33</v>
      </c>
      <c r="C8" s="26" t="n">
        <f aca="false">DC_Cost!C16/1000</f>
        <v>1.1</v>
      </c>
      <c r="D8" s="43" t="n">
        <f aca="false">DC_Cost!D16/1000</f>
        <v>1.2</v>
      </c>
      <c r="E8" s="26" t="n">
        <f aca="false">DC_Cost!E16/1000</f>
        <v>1.3</v>
      </c>
      <c r="F8" s="26" t="n">
        <f aca="false">DC_Cost!F16/1000</f>
        <v>1.1</v>
      </c>
      <c r="G8" s="43" t="n">
        <f aca="false">DC_Cost!G16/1000</f>
        <v>1.2</v>
      </c>
      <c r="H8" s="26" t="n">
        <f aca="false">DC_Cost!H16/1000</f>
        <v>1.3</v>
      </c>
      <c r="I8" s="26" t="n">
        <f aca="false">DC_Cost!I16/1000</f>
        <v>1.1</v>
      </c>
      <c r="J8" s="43" t="n">
        <f aca="false">DC_Cost!J16/1000</f>
        <v>1.2</v>
      </c>
      <c r="K8" s="26" t="n">
        <f aca="false">DC_Cost!K16/1000</f>
        <v>1.3</v>
      </c>
      <c r="L8" s="26" t="n">
        <f aca="false">DC_Cost!L16/1000</f>
        <v>1.1</v>
      </c>
      <c r="M8" s="43" t="n">
        <f aca="false">DC_Cost!M16/1000</f>
        <v>1.2</v>
      </c>
      <c r="N8" s="26" t="n">
        <f aca="false">DC_Cost!N16/1000</f>
        <v>1.3</v>
      </c>
      <c r="O8" s="26" t="n">
        <f aca="false">DC_Cost!O16/1000</f>
        <v>1.1</v>
      </c>
      <c r="P8" s="43" t="n">
        <f aca="false">DC_Cost!P16/1000</f>
        <v>1.2</v>
      </c>
      <c r="Q8" s="26" t="n">
        <f aca="false">DC_Cost!Q16/1000</f>
        <v>1.3</v>
      </c>
    </row>
    <row r="9" customFormat="false" ht="15" hidden="false" customHeight="false" outlineLevel="0" collapsed="false">
      <c r="A9" s="13" t="s">
        <v>277</v>
      </c>
      <c r="B9" s="10" t="s">
        <v>165</v>
      </c>
      <c r="C9" s="27" t="n">
        <f aca="false">DC_Cost!C24</f>
        <v>21.4202694</v>
      </c>
      <c r="D9" s="44" t="n">
        <f aca="false">DC_Cost!D24</f>
        <v>27.510214</v>
      </c>
      <c r="E9" s="27" t="n">
        <f aca="false">DC_Cost!E24</f>
        <v>34.1207434</v>
      </c>
      <c r="F9" s="27" t="n">
        <f aca="false">DC_Cost!F24</f>
        <v>20.9562816</v>
      </c>
      <c r="G9" s="44" t="n">
        <f aca="false">DC_Cost!G24</f>
        <v>24.383896</v>
      </c>
      <c r="H9" s="27" t="n">
        <f aca="false">DC_Cost!H24</f>
        <v>28.0747376</v>
      </c>
      <c r="I9" s="27" t="n">
        <f aca="false">DC_Cost!I24</f>
        <v>28.348044</v>
      </c>
      <c r="J9" s="44" t="n">
        <f aca="false">DC_Cost!J24</f>
        <v>37.17424</v>
      </c>
      <c r="K9" s="27" t="n">
        <f aca="false">DC_Cost!K24</f>
        <v>50.581409</v>
      </c>
      <c r="L9" s="27" t="n">
        <f aca="false">DC_Cost!L24</f>
        <v>28.5933432</v>
      </c>
      <c r="M9" s="44" t="n">
        <f aca="false">DC_Cost!M24</f>
        <v>34.912032</v>
      </c>
      <c r="N9" s="27" t="n">
        <f aca="false">DC_Cost!N24</f>
        <v>42.6375752</v>
      </c>
      <c r="O9" s="27" t="n">
        <f aca="false">DC_Cost!O24</f>
        <v>37.7320356</v>
      </c>
      <c r="P9" s="44" t="n">
        <f aca="false">DC_Cost!P24</f>
        <v>52.722936</v>
      </c>
      <c r="Q9" s="27" t="n">
        <f aca="false">DC_Cost!Q24</f>
        <v>68.9316516</v>
      </c>
    </row>
    <row r="10" customFormat="false" ht="15" hidden="false" customHeight="false" outlineLevel="0" collapsed="false">
      <c r="A10" s="13" t="s">
        <v>278</v>
      </c>
      <c r="B10" s="10" t="s">
        <v>165</v>
      </c>
      <c r="C10" s="27" t="n">
        <f aca="false">DC_Cost!C32</f>
        <v>10.212</v>
      </c>
      <c r="D10" s="44" t="n">
        <f aca="false">DC_Cost!D32</f>
        <v>12.67</v>
      </c>
      <c r="E10" s="27" t="n">
        <f aca="false">DC_Cost!E32</f>
        <v>16.186</v>
      </c>
      <c r="F10" s="27" t="n">
        <f aca="false">DC_Cost!F32</f>
        <v>10.212</v>
      </c>
      <c r="G10" s="44" t="n">
        <f aca="false">DC_Cost!G32</f>
        <v>12.67</v>
      </c>
      <c r="H10" s="27" t="n">
        <f aca="false">DC_Cost!H32</f>
        <v>16.186</v>
      </c>
      <c r="I10" s="27" t="n">
        <f aca="false">DC_Cost!I32</f>
        <v>10.212</v>
      </c>
      <c r="J10" s="44" t="n">
        <f aca="false">DC_Cost!J32</f>
        <v>12.67</v>
      </c>
      <c r="K10" s="27" t="n">
        <f aca="false">DC_Cost!K32</f>
        <v>16.186</v>
      </c>
      <c r="L10" s="27" t="n">
        <f aca="false">DC_Cost!L32</f>
        <v>10.212</v>
      </c>
      <c r="M10" s="44" t="n">
        <f aca="false">DC_Cost!M32</f>
        <v>12.67</v>
      </c>
      <c r="N10" s="27" t="n">
        <f aca="false">DC_Cost!N32</f>
        <v>16.186</v>
      </c>
      <c r="O10" s="27" t="n">
        <f aca="false">DC_Cost!O32</f>
        <v>10.212</v>
      </c>
      <c r="P10" s="44" t="n">
        <f aca="false">DC_Cost!P32</f>
        <v>12.67</v>
      </c>
      <c r="Q10" s="27" t="n">
        <f aca="false">DC_Cost!Q32</f>
        <v>16.186</v>
      </c>
    </row>
    <row r="11" customFormat="false" ht="15" hidden="false" customHeight="false" outlineLevel="0" collapsed="false">
      <c r="A11" s="13" t="s">
        <v>279</v>
      </c>
      <c r="B11" s="10" t="s">
        <v>165</v>
      </c>
      <c r="C11" s="27" t="n">
        <f aca="false">DC_Cost!C33</f>
        <v>31.6322694</v>
      </c>
      <c r="D11" s="44" t="n">
        <f aca="false">DC_Cost!D33</f>
        <v>40.180214</v>
      </c>
      <c r="E11" s="27" t="n">
        <f aca="false">DC_Cost!E33</f>
        <v>50.3067434</v>
      </c>
      <c r="F11" s="27" t="n">
        <f aca="false">DC_Cost!F33</f>
        <v>31.1682816</v>
      </c>
      <c r="G11" s="44" t="n">
        <f aca="false">DC_Cost!G33</f>
        <v>37.053896</v>
      </c>
      <c r="H11" s="27" t="n">
        <f aca="false">DC_Cost!H33</f>
        <v>44.2607376</v>
      </c>
      <c r="I11" s="27" t="n">
        <f aca="false">DC_Cost!I33</f>
        <v>38.560044</v>
      </c>
      <c r="J11" s="44" t="n">
        <f aca="false">DC_Cost!J33</f>
        <v>49.84424</v>
      </c>
      <c r="K11" s="27" t="n">
        <f aca="false">DC_Cost!K33</f>
        <v>66.767409</v>
      </c>
      <c r="L11" s="27" t="n">
        <f aca="false">DC_Cost!L33</f>
        <v>38.8053432</v>
      </c>
      <c r="M11" s="44" t="n">
        <f aca="false">DC_Cost!M33</f>
        <v>47.582032</v>
      </c>
      <c r="N11" s="27" t="n">
        <f aca="false">DC_Cost!N33</f>
        <v>58.8235752</v>
      </c>
      <c r="O11" s="27" t="n">
        <f aca="false">DC_Cost!O33</f>
        <v>47.9440356</v>
      </c>
      <c r="P11" s="44" t="n">
        <f aca="false">DC_Cost!P33</f>
        <v>65.392936</v>
      </c>
      <c r="Q11" s="27" t="n">
        <f aca="false">DC_Cost!Q33</f>
        <v>85.1176516</v>
      </c>
    </row>
    <row r="12" customFormat="false" ht="15" hidden="false" customHeight="false" outlineLevel="0" collapsed="false">
      <c r="A12" s="13" t="s">
        <v>280</v>
      </c>
      <c r="B12" s="10" t="s">
        <v>281</v>
      </c>
      <c r="C12" s="39" t="n">
        <f aca="false">DC_Cost!C49</f>
        <v>5.39897242953333</v>
      </c>
      <c r="D12" s="45" t="n">
        <f aca="false">DC_Cost!D49</f>
        <v>7.49682782333333</v>
      </c>
      <c r="E12" s="39" t="n">
        <f aca="false">DC_Cost!E49</f>
        <v>12.9492728665333</v>
      </c>
      <c r="F12" s="39" t="n">
        <f aca="false">DC_Cost!F49</f>
        <v>5.31096941013333</v>
      </c>
      <c r="G12" s="45" t="n">
        <f aca="false">DC_Cost!G49</f>
        <v>6.86635369333333</v>
      </c>
      <c r="H12" s="39" t="n">
        <f aca="false">DC_Cost!H49</f>
        <v>11.1475631381333</v>
      </c>
      <c r="I12" s="39" t="n">
        <f aca="false">DC_Cost!I49</f>
        <v>6.71294034533333</v>
      </c>
      <c r="J12" s="45" t="n">
        <f aca="false">DC_Cost!J49</f>
        <v>9.44573973333333</v>
      </c>
      <c r="K12" s="39" t="n">
        <f aca="false">DC_Cost!K49</f>
        <v>17.8545512153333</v>
      </c>
      <c r="L12" s="39" t="n">
        <f aca="false">DC_Cost!L49</f>
        <v>6.75946542693333</v>
      </c>
      <c r="M12" s="45" t="n">
        <f aca="false">DC_Cost!M49</f>
        <v>8.98952778666667</v>
      </c>
      <c r="N12" s="39" t="n">
        <f aca="false">DC_Cost!N49</f>
        <v>15.4872887429333</v>
      </c>
      <c r="O12" s="39" t="n">
        <f aca="false">DC_Cost!O49</f>
        <v>8.49277075213334</v>
      </c>
      <c r="P12" s="45" t="n">
        <f aca="false">DC_Cost!P49</f>
        <v>12.5813934266667</v>
      </c>
      <c r="Q12" s="39" t="n">
        <f aca="false">DC_Cost!Q49</f>
        <v>23.3229235101333</v>
      </c>
    </row>
    <row r="13" customFormat="false" ht="15" hidden="false" customHeight="false" outlineLevel="0" collapsed="false">
      <c r="A13" s="13" t="s">
        <v>282</v>
      </c>
      <c r="B13" s="10" t="s">
        <v>281</v>
      </c>
      <c r="C13" s="39" t="n">
        <f aca="false">DC_Cost!C55</f>
        <v>7.0000433103819</v>
      </c>
      <c r="D13" s="45" t="n">
        <f aca="false">DC_Cost!D55</f>
        <v>10.0957952959174</v>
      </c>
      <c r="E13" s="39" t="n">
        <f aca="false">DC_Cost!E55</f>
        <v>17.4059720636914</v>
      </c>
      <c r="F13" s="39" t="n">
        <f aca="false">DC_Cost!F55</f>
        <v>6.88900389081935</v>
      </c>
      <c r="G13" s="45" t="n">
        <f aca="false">DC_Cost!G55</f>
        <v>9.2685484797567</v>
      </c>
      <c r="H13" s="39" t="n">
        <f aca="false">DC_Cost!H55</f>
        <v>15.0831317178447</v>
      </c>
      <c r="I13" s="39" t="n">
        <f aca="false">DC_Cost!I55</f>
        <v>8.65796636448843</v>
      </c>
      <c r="J13" s="45" t="n">
        <f aca="false">DC_Cost!J55</f>
        <v>12.6529678995341</v>
      </c>
      <c r="K13" s="39" t="n">
        <f aca="false">DC_Cost!K55</f>
        <v>23.7300642726621</v>
      </c>
      <c r="L13" s="39" t="n">
        <f aca="false">DC_Cost!L55</f>
        <v>8.7166702372781</v>
      </c>
      <c r="M13" s="45" t="n">
        <f aca="false">DC_Cost!M55</f>
        <v>12.0543709668186</v>
      </c>
      <c r="N13" s="39" t="n">
        <f aca="false">DC_Cost!N55</f>
        <v>20.6780894215396</v>
      </c>
      <c r="O13" s="39" t="n">
        <f aca="false">DC_Cost!O55</f>
        <v>10.9036999386122</v>
      </c>
      <c r="P13" s="45" t="n">
        <f aca="false">DC_Cost!P55</f>
        <v>16.7672676161495</v>
      </c>
      <c r="Q13" s="39" t="n">
        <f aca="false">DC_Cost!Q55</f>
        <v>30.7801210005857</v>
      </c>
    </row>
    <row r="14" customFormat="false" ht="15" hidden="false" customHeight="false" outlineLevel="0" collapsed="false">
      <c r="A14" s="13" t="s">
        <v>197</v>
      </c>
      <c r="B14" s="10" t="s">
        <v>196</v>
      </c>
      <c r="C14" s="39" t="n">
        <f aca="false">DC_Cost!C58</f>
        <v>1.11286669150028</v>
      </c>
      <c r="D14" s="45" t="n">
        <f aca="false">DC_Cost!D58</f>
        <v>1.60502925637165</v>
      </c>
      <c r="E14" s="39" t="n">
        <f aca="false">DC_Cost!E58</f>
        <v>2.76720095633376</v>
      </c>
      <c r="F14" s="39" t="n">
        <f aca="false">DC_Cost!F58</f>
        <v>1.54359016643037</v>
      </c>
      <c r="G14" s="45" t="n">
        <f aca="false">DC_Cost!G58</f>
        <v>2.07676472784428</v>
      </c>
      <c r="H14" s="39" t="n">
        <f aca="false">DC_Cost!H58</f>
        <v>3.37961397142862</v>
      </c>
      <c r="I14" s="39" t="n">
        <f aca="false">DC_Cost!I58</f>
        <v>2.04424655562441</v>
      </c>
      <c r="J14" s="45" t="n">
        <f aca="false">DC_Cost!J58</f>
        <v>2.98751288214055</v>
      </c>
      <c r="K14" s="39" t="n">
        <f aca="false">DC_Cost!K58</f>
        <v>5.6029441686335</v>
      </c>
      <c r="L14" s="39" t="n">
        <f aca="false">DC_Cost!L58</f>
        <v>3.41070829238845</v>
      </c>
      <c r="M14" s="45" t="n">
        <f aca="false">DC_Cost!M58</f>
        <v>4.71670281161092</v>
      </c>
      <c r="N14" s="39" t="n">
        <f aca="false">DC_Cost!N58</f>
        <v>8.09104040200768</v>
      </c>
      <c r="O14" s="39" t="n">
        <f aca="false">DC_Cost!O58</f>
        <v>5.63852017134344</v>
      </c>
      <c r="P14" s="45" t="n">
        <f aca="false">DC_Cost!P58</f>
        <v>8.6706876752155</v>
      </c>
      <c r="Q14" s="39" t="n">
        <f aca="false">DC_Cost!Q58</f>
        <v>15.9170129511363</v>
      </c>
    </row>
    <row r="15" customFormat="false" ht="15" hidden="false" customHeight="false" outlineLevel="0" collapsed="false">
      <c r="A15" s="13" t="s">
        <v>283</v>
      </c>
      <c r="B15" s="10" t="s">
        <v>281</v>
      </c>
      <c r="C15" s="39" t="n">
        <f aca="false">DC_Cost!C43</f>
        <v>0.404712</v>
      </c>
      <c r="D15" s="45" t="n">
        <f aca="false">DC_Cost!D43</f>
        <v>0.672768</v>
      </c>
      <c r="E15" s="39" t="n">
        <f aca="false">DC_Cost!E43</f>
        <v>1.02492</v>
      </c>
      <c r="F15" s="39" t="n">
        <f aca="false">DC_Cost!F43</f>
        <v>0.404712</v>
      </c>
      <c r="G15" s="45" t="n">
        <f aca="false">DC_Cost!G43</f>
        <v>0.672768</v>
      </c>
      <c r="H15" s="39" t="n">
        <f aca="false">DC_Cost!H43</f>
        <v>1.02492</v>
      </c>
      <c r="I15" s="39" t="n">
        <f aca="false">DC_Cost!I43</f>
        <v>0.404712</v>
      </c>
      <c r="J15" s="45" t="n">
        <f aca="false">DC_Cost!J43</f>
        <v>0.672768</v>
      </c>
      <c r="K15" s="39" t="n">
        <f aca="false">DC_Cost!K43</f>
        <v>1.02492</v>
      </c>
      <c r="L15" s="39" t="n">
        <f aca="false">DC_Cost!L43</f>
        <v>0.404712</v>
      </c>
      <c r="M15" s="45" t="n">
        <f aca="false">DC_Cost!M43</f>
        <v>0.672768</v>
      </c>
      <c r="N15" s="39" t="n">
        <f aca="false">DC_Cost!N43</f>
        <v>1.02492</v>
      </c>
      <c r="O15" s="39" t="n">
        <f aca="false">DC_Cost!O43</f>
        <v>0.404712</v>
      </c>
      <c r="P15" s="45" t="n">
        <f aca="false">DC_Cost!P43</f>
        <v>0.672768</v>
      </c>
      <c r="Q15" s="39" t="n">
        <f aca="false">DC_Cost!Q43</f>
        <v>1.02492</v>
      </c>
    </row>
    <row r="17" customFormat="false" ht="15" hidden="false" customHeight="false" outlineLevel="0" collapsed="false">
      <c r="A17" s="18" t="s">
        <v>284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2" t="s">
        <v>285</v>
      </c>
      <c r="C18" s="2" t="s">
        <v>286</v>
      </c>
    </row>
    <row r="19" customFormat="false" ht="15" hidden="false" customHeight="false" outlineLevel="0" collapsed="false">
      <c r="A19" s="2" t="s">
        <v>287</v>
      </c>
      <c r="C19" s="2" t="s">
        <v>286</v>
      </c>
    </row>
    <row r="20" customFormat="false" ht="15" hidden="false" customHeight="false" outlineLevel="0" collapsed="false">
      <c r="A20" s="2" t="s">
        <v>288</v>
      </c>
      <c r="C20" s="2" t="s">
        <v>286</v>
      </c>
    </row>
    <row r="21" customFormat="false" ht="15" hidden="false" customHeight="false" outlineLevel="0" collapsed="false">
      <c r="A21" s="2" t="s">
        <v>289</v>
      </c>
      <c r="C21" s="2" t="s">
        <v>286</v>
      </c>
    </row>
    <row r="22" customFormat="false" ht="15" hidden="false" customHeight="false" outlineLevel="0" collapsed="false">
      <c r="A22" s="46" t="s">
        <v>290</v>
      </c>
      <c r="C22" s="2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52"/>
    <col collapsed="false" customWidth="true" hidden="false" outlineLevel="0" max="7" min="7" style="0" width="18"/>
  </cols>
  <sheetData>
    <row r="1" customFormat="false" ht="20.1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47" t="s">
        <v>292</v>
      </c>
      <c r="B3" s="6" t="s">
        <v>248</v>
      </c>
      <c r="C3" s="6" t="s">
        <v>293</v>
      </c>
      <c r="D3" s="6" t="s">
        <v>29</v>
      </c>
      <c r="E3" s="6" t="s">
        <v>294</v>
      </c>
      <c r="F3" s="6" t="s">
        <v>252</v>
      </c>
      <c r="G3" s="6" t="s">
        <v>295</v>
      </c>
    </row>
    <row r="4" customFormat="false" ht="29.85" hidden="false" customHeight="false" outlineLevel="0" collapsed="false">
      <c r="A4" s="9" t="s">
        <v>296</v>
      </c>
      <c r="B4" s="9" t="s">
        <v>297</v>
      </c>
      <c r="C4" s="4" t="s">
        <v>298</v>
      </c>
      <c r="D4" s="9" t="s">
        <v>77</v>
      </c>
      <c r="E4" s="9" t="s">
        <v>299</v>
      </c>
      <c r="F4" s="5" t="s">
        <v>300</v>
      </c>
      <c r="G4" s="13" t="s">
        <v>301</v>
      </c>
    </row>
    <row r="5" customFormat="false" ht="15" hidden="false" customHeight="false" outlineLevel="0" collapsed="false">
      <c r="A5" s="9" t="s">
        <v>302</v>
      </c>
      <c r="B5" s="9" t="s">
        <v>303</v>
      </c>
      <c r="C5" s="4" t="s">
        <v>304</v>
      </c>
      <c r="D5" s="9" t="s">
        <v>46</v>
      </c>
      <c r="E5" s="9" t="s">
        <v>305</v>
      </c>
      <c r="F5" s="5" t="s">
        <v>306</v>
      </c>
      <c r="G5" s="13" t="s">
        <v>301</v>
      </c>
    </row>
    <row r="6" customFormat="false" ht="15" hidden="false" customHeight="false" outlineLevel="0" collapsed="false">
      <c r="A6" s="9" t="s">
        <v>307</v>
      </c>
      <c r="B6" s="9" t="s">
        <v>308</v>
      </c>
      <c r="C6" s="5" t="s">
        <v>309</v>
      </c>
      <c r="D6" s="9" t="s">
        <v>146</v>
      </c>
      <c r="E6" s="9" t="s">
        <v>310</v>
      </c>
      <c r="F6" s="5" t="s">
        <v>311</v>
      </c>
      <c r="G6" s="13" t="s">
        <v>301</v>
      </c>
    </row>
    <row r="7" customFormat="false" ht="15" hidden="false" customHeight="false" outlineLevel="0" collapsed="false">
      <c r="A7" s="9" t="s">
        <v>312</v>
      </c>
      <c r="B7" s="9" t="s">
        <v>313</v>
      </c>
      <c r="C7" s="5" t="s">
        <v>314</v>
      </c>
      <c r="D7" s="9" t="s">
        <v>146</v>
      </c>
      <c r="E7" s="9" t="s">
        <v>315</v>
      </c>
      <c r="F7" s="5" t="s">
        <v>316</v>
      </c>
      <c r="G7" s="13" t="s">
        <v>301</v>
      </c>
    </row>
    <row r="8" customFormat="false" ht="15" hidden="false" customHeight="false" outlineLevel="0" collapsed="false">
      <c r="A8" s="9" t="s">
        <v>317</v>
      </c>
      <c r="B8" s="9" t="s">
        <v>318</v>
      </c>
      <c r="C8" s="5" t="s">
        <v>319</v>
      </c>
      <c r="D8" s="9" t="s">
        <v>146</v>
      </c>
      <c r="E8" s="9" t="s">
        <v>320</v>
      </c>
      <c r="F8" s="5" t="s">
        <v>321</v>
      </c>
      <c r="G8" s="13" t="s">
        <v>301</v>
      </c>
    </row>
    <row r="9" customFormat="false" ht="15" hidden="false" customHeight="false" outlineLevel="0" collapsed="false">
      <c r="A9" s="9" t="s">
        <v>322</v>
      </c>
      <c r="B9" s="9" t="s">
        <v>323</v>
      </c>
      <c r="C9" s="5" t="s">
        <v>324</v>
      </c>
      <c r="D9" s="9" t="s">
        <v>146</v>
      </c>
      <c r="E9" s="9" t="s">
        <v>320</v>
      </c>
      <c r="F9" s="5" t="s">
        <v>325</v>
      </c>
      <c r="G9" s="13" t="s">
        <v>301</v>
      </c>
    </row>
    <row r="10" customFormat="false" ht="29.85" hidden="false" customHeight="false" outlineLevel="0" collapsed="false">
      <c r="A10" s="9" t="s">
        <v>326</v>
      </c>
      <c r="B10" s="9" t="s">
        <v>327</v>
      </c>
      <c r="C10" s="5" t="s">
        <v>328</v>
      </c>
      <c r="D10" s="9" t="s">
        <v>146</v>
      </c>
      <c r="E10" s="9" t="s">
        <v>305</v>
      </c>
      <c r="F10" s="5" t="s">
        <v>329</v>
      </c>
      <c r="G10" s="13" t="s">
        <v>301</v>
      </c>
    </row>
    <row r="11" customFormat="false" ht="15" hidden="false" customHeight="false" outlineLevel="0" collapsed="false">
      <c r="A11" s="9" t="s">
        <v>330</v>
      </c>
      <c r="B11" s="9" t="s">
        <v>331</v>
      </c>
      <c r="C11" s="5" t="s">
        <v>332</v>
      </c>
      <c r="D11" s="9" t="s">
        <v>146</v>
      </c>
      <c r="E11" s="9" t="s">
        <v>333</v>
      </c>
      <c r="F11" s="5" t="s">
        <v>334</v>
      </c>
      <c r="G11" s="13" t="s">
        <v>301</v>
      </c>
    </row>
    <row r="12" customFormat="false" ht="15" hidden="false" customHeight="false" outlineLevel="0" collapsed="false">
      <c r="A12" s="9" t="s">
        <v>335</v>
      </c>
      <c r="B12" s="9" t="s">
        <v>336</v>
      </c>
      <c r="C12" s="5" t="s">
        <v>337</v>
      </c>
      <c r="D12" s="9" t="s">
        <v>146</v>
      </c>
      <c r="E12" s="9" t="s">
        <v>338</v>
      </c>
      <c r="F12" s="5" t="s">
        <v>339</v>
      </c>
      <c r="G12" s="13" t="s">
        <v>301</v>
      </c>
    </row>
    <row r="13" customFormat="false" ht="15" hidden="false" customHeight="false" outlineLevel="0" collapsed="false">
      <c r="A13" s="9" t="s">
        <v>340</v>
      </c>
      <c r="B13" s="13" t="s">
        <v>341</v>
      </c>
      <c r="C13" s="5" t="s">
        <v>342</v>
      </c>
      <c r="D13" s="9" t="s">
        <v>46</v>
      </c>
      <c r="E13" s="9" t="s">
        <v>305</v>
      </c>
      <c r="F13" s="5" t="s">
        <v>343</v>
      </c>
      <c r="G13" s="13" t="s">
        <v>301</v>
      </c>
    </row>
    <row r="14" customFormat="false" ht="15" hidden="false" customHeight="false" outlineLevel="0" collapsed="false">
      <c r="A14" s="9" t="s">
        <v>344</v>
      </c>
      <c r="B14" s="9" t="s">
        <v>345</v>
      </c>
      <c r="C14" s="4" t="s">
        <v>346</v>
      </c>
      <c r="D14" s="9" t="s">
        <v>146</v>
      </c>
      <c r="E14" s="9" t="s">
        <v>305</v>
      </c>
      <c r="F14" s="5" t="s">
        <v>347</v>
      </c>
      <c r="G14" s="13" t="s">
        <v>348</v>
      </c>
    </row>
    <row r="15" customFormat="false" ht="29.85" hidden="false" customHeight="false" outlineLevel="0" collapsed="false">
      <c r="A15" s="9" t="s">
        <v>349</v>
      </c>
      <c r="B15" s="13" t="s">
        <v>350</v>
      </c>
      <c r="C15" s="5" t="s">
        <v>351</v>
      </c>
      <c r="D15" s="9" t="s">
        <v>46</v>
      </c>
      <c r="E15" s="9" t="s">
        <v>305</v>
      </c>
      <c r="F15" s="5" t="s">
        <v>352</v>
      </c>
      <c r="G15" s="13" t="s">
        <v>301</v>
      </c>
    </row>
    <row r="16" customFormat="false" ht="26.85" hidden="false" customHeight="false" outlineLevel="0" collapsed="false">
      <c r="A16" s="9" t="s">
        <v>353</v>
      </c>
      <c r="B16" s="13" t="s">
        <v>354</v>
      </c>
      <c r="C16" s="5" t="s">
        <v>355</v>
      </c>
      <c r="D16" s="9" t="s">
        <v>77</v>
      </c>
      <c r="E16" s="9" t="s">
        <v>356</v>
      </c>
      <c r="F16" s="5" t="s">
        <v>357</v>
      </c>
      <c r="G16" s="13" t="s">
        <v>358</v>
      </c>
    </row>
    <row r="17" customFormat="false" ht="15" hidden="false" customHeight="false" outlineLevel="0" collapsed="false">
      <c r="A17" s="9" t="s">
        <v>359</v>
      </c>
      <c r="B17" s="9" t="s">
        <v>44</v>
      </c>
      <c r="C17" s="4" t="s">
        <v>360</v>
      </c>
      <c r="D17" s="9" t="s">
        <v>46</v>
      </c>
      <c r="E17" s="9" t="s">
        <v>361</v>
      </c>
      <c r="F17" s="5" t="s">
        <v>362</v>
      </c>
      <c r="G17" s="13" t="s">
        <v>301</v>
      </c>
    </row>
    <row r="18" customFormat="false" ht="29.85" hidden="false" customHeight="false" outlineLevel="0" collapsed="false">
      <c r="A18" s="9" t="s">
        <v>363</v>
      </c>
      <c r="B18" s="9" t="s">
        <v>364</v>
      </c>
      <c r="C18" s="5" t="s">
        <v>365</v>
      </c>
      <c r="D18" s="9" t="s">
        <v>77</v>
      </c>
      <c r="E18" s="9" t="s">
        <v>366</v>
      </c>
      <c r="F18" s="5" t="s">
        <v>367</v>
      </c>
      <c r="G18" s="13" t="s">
        <v>368</v>
      </c>
    </row>
    <row r="19" customFormat="false" ht="15" hidden="false" customHeight="false" outlineLevel="0" collapsed="false">
      <c r="A19" s="9" t="s">
        <v>369</v>
      </c>
      <c r="B19" s="13" t="s">
        <v>370</v>
      </c>
      <c r="C19" s="4" t="s">
        <v>371</v>
      </c>
      <c r="D19" s="9" t="s">
        <v>146</v>
      </c>
      <c r="E19" s="9" t="s">
        <v>372</v>
      </c>
      <c r="F19" s="5" t="s">
        <v>373</v>
      </c>
      <c r="G19" s="13" t="s">
        <v>374</v>
      </c>
    </row>
    <row r="20" customFormat="false" ht="15" hidden="false" customHeight="false" outlineLevel="0" collapsed="false">
      <c r="A20" s="9" t="s">
        <v>375</v>
      </c>
      <c r="B20" s="9" t="s">
        <v>376</v>
      </c>
      <c r="C20" s="5" t="s">
        <v>377</v>
      </c>
      <c r="D20" s="9" t="s">
        <v>146</v>
      </c>
      <c r="E20" s="9" t="s">
        <v>356</v>
      </c>
      <c r="F20" s="5" t="s">
        <v>378</v>
      </c>
      <c r="G20" s="13" t="s">
        <v>379</v>
      </c>
    </row>
    <row r="21" customFormat="false" ht="15" hidden="false" customHeight="false" outlineLevel="0" collapsed="false">
      <c r="A21" s="9" t="s">
        <v>380</v>
      </c>
      <c r="B21" s="9" t="s">
        <v>381</v>
      </c>
      <c r="C21" s="5" t="s">
        <v>382</v>
      </c>
      <c r="D21" s="9" t="s">
        <v>77</v>
      </c>
      <c r="E21" s="9" t="s">
        <v>356</v>
      </c>
      <c r="F21" s="5" t="s">
        <v>383</v>
      </c>
      <c r="G21" s="13" t="s">
        <v>301</v>
      </c>
    </row>
    <row r="22" customFormat="false" ht="15" hidden="false" customHeight="false" outlineLevel="0" collapsed="false">
      <c r="A22" s="9" t="s">
        <v>384</v>
      </c>
      <c r="B22" s="13" t="s">
        <v>385</v>
      </c>
      <c r="C22" s="5" t="s">
        <v>386</v>
      </c>
      <c r="D22" s="9" t="s">
        <v>387</v>
      </c>
      <c r="E22" s="9" t="s">
        <v>333</v>
      </c>
      <c r="F22" s="5" t="s">
        <v>388</v>
      </c>
      <c r="G22" s="13" t="s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2026-09-30T08:28:40Z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