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彙總" sheetId="1" state="visible" r:id="rId3"/>
    <sheet name="輸入" sheetId="2" state="visible" r:id="rId4"/>
    <sheet name="CoreWeave" sheetId="3" state="visible" r:id="rId5"/>
    <sheet name="Nebius" sheetId="4" state="visible" r:id="rId6"/>
    <sheet name="IREN" sheetId="5" state="visible" r:id="rId7"/>
    <sheet name="WhiteFiber" sheetId="6" state="visible" r:id="rId8"/>
    <sheet name="GB300單價與營運費用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<sst xmlns="http://schemas.openxmlformats.org/spreadsheetml/2006/main" count="712" uniqueCount="473">
  <si>
    <r>
      <rPr>
        <b val="true"/>
        <sz val="11"/>
        <rFont val="Noto Sans CJK SC"/>
        <family val="2"/>
      </rPr>
      <t xml:space="preserve">出租方計價倍數錨點彙總：每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年營收 </t>
    </r>
    <r>
      <rPr>
        <b val="true"/>
        <sz val="11"/>
        <rFont val="Cambria"/>
        <family val="0"/>
        <charset val="1"/>
      </rPr>
      <t xml:space="preserve">÷ TK </t>
    </r>
    <r>
      <rPr>
        <b val="true"/>
        <sz val="11"/>
        <rFont val="Noto Sans CJK SC"/>
        <family val="2"/>
      </rPr>
      <t xml:space="preserve">世代持有成本（</t>
    </r>
    <r>
      <rPr>
        <b val="true"/>
        <sz val="11"/>
        <rFont val="Cambria"/>
        <family val="0"/>
        <charset val="1"/>
      </rPr>
      <t xml:space="preserve">AL_SpendBasis </t>
    </r>
    <r>
      <rPr>
        <b val="true"/>
        <sz val="11"/>
        <rFont val="Noto Sans CJK SC"/>
        <family val="2"/>
      </rPr>
      <t xml:space="preserve">基準 </t>
    </r>
    <r>
      <rPr>
        <b val="true"/>
        <sz val="11"/>
        <rFont val="Cambria"/>
        <family val="0"/>
        <charset val="1"/>
      </rPr>
      <t xml:space="preserve">1.8</t>
    </r>
    <r>
      <rPr>
        <b val="true"/>
        <sz val="11"/>
        <rFont val="Noto Sans CJK SC"/>
        <family val="2"/>
      </rPr>
      <t xml:space="preserve">，區間 </t>
    </r>
    <r>
      <rPr>
        <b val="true"/>
        <sz val="11"/>
        <rFont val="Cambria"/>
        <family val="0"/>
        <charset val="1"/>
      </rPr>
      <t xml:space="preserve">0.85–2.3</t>
    </r>
    <r>
      <rPr>
        <b val="true"/>
        <sz val="11"/>
        <rFont val="Noto Sans CJK SC"/>
        <family val="2"/>
      </rPr>
      <t xml:space="preserve">）</t>
    </r>
  </si>
  <si>
    <t xml:space="preserve">出租方</t>
  </si>
  <si>
    <t xml:space="preserve">項目</t>
  </si>
  <si>
    <t xml:space="preserve">類型</t>
  </si>
  <si>
    <t xml:space="preserve">電力口徑</t>
  </si>
  <si>
    <t xml:space="preserve">比值 低</t>
  </si>
  <si>
    <t xml:space="preserve">比值 高</t>
  </si>
  <si>
    <t xml:space="preserve">標記</t>
  </si>
  <si>
    <t xml:space="preserve">說明</t>
  </si>
  <si>
    <t xml:space="preserve">CoreWeave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</si>
  <si>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active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 #163</t>
    </r>
    <r>
      <rPr>
        <sz val="11"/>
        <color theme="1"/>
        <rFont val="Noto Sans CJK SC"/>
        <family val="2"/>
      </rPr>
      <t xml:space="preserve">）</t>
    </r>
  </si>
  <si>
    <t xml:space="preserve">機隊平均</t>
  </si>
  <si>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，口徑未定義（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／設施兩算）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</si>
  <si>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MW Interested-party</t>
    </r>
  </si>
  <si>
    <r>
      <rPr>
        <sz val="11"/>
        <color theme="1"/>
        <rFont val="Calibri"/>
        <family val="2"/>
        <charset val="1"/>
      </rPr>
      <t xml:space="preserve">÷GB200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</si>
  <si>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Calibri"/>
        <family val="2"/>
        <charset val="1"/>
      </rPr>
      <t xml:space="preserve">Q2 2026 × 7 </t>
    </r>
    <r>
      <rPr>
        <sz val="11"/>
        <color theme="1"/>
        <rFont val="Noto Sans CJK SC"/>
        <family val="2"/>
      </rPr>
      <t xml:space="preserve">月漲價 </t>
    </r>
    <r>
      <rPr>
        <sz val="11"/>
        <color theme="1"/>
        <rFont val="Calibri"/>
        <family val="2"/>
        <charset val="1"/>
      </rPr>
      <t xml:space="preserve">1.25</t>
    </r>
  </si>
  <si>
    <t xml:space="preserve">機隊平均（漲價後）</t>
  </si>
  <si>
    <t xml:space="preserve">同上</t>
  </si>
  <si>
    <t xml:space="preserve">漲價為法說</t>
  </si>
  <si>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active GW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</si>
  <si>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H1−Q2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</si>
  <si>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÷Hopper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PUE 1.3</t>
    </r>
  </si>
  <si>
    <t xml:space="preserve">Nebius</t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</si>
  <si>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active GW</t>
    </r>
  </si>
  <si>
    <r>
      <rPr>
        <sz val="11"/>
        <color theme="1"/>
        <rFont val="Calibri"/>
        <family val="2"/>
        <charset val="1"/>
      </rPr>
      <t xml:space="preserve">active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設備耗用容量（公司定義）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</si>
  <si>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</si>
  <si>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÷Hopper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GB200</t>
    </r>
  </si>
  <si>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2026 base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ACV per MW</t>
    </r>
  </si>
  <si>
    <t xml:space="preserve">存量合約平均</t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</si>
  <si>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未定義（以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計）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</si>
  <si>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</si>
  <si>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÷GB300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÷GB200</t>
    </r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</si>
  <si>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四筆大單 </t>
    </r>
    <r>
      <rPr>
        <sz val="11"/>
        <color theme="1"/>
        <rFont val="Calibri"/>
        <family val="2"/>
        <charset val="1"/>
      </rPr>
      <t xml:space="preserve">$20–25M/MW</t>
    </r>
  </si>
  <si>
    <t xml:space="preserve">新約邊際</t>
  </si>
  <si>
    <r>
      <rPr>
        <sz val="11"/>
        <color theme="1"/>
        <rFont val="Calibri"/>
        <family val="2"/>
        <charset val="1"/>
      </rPr>
      <t xml:space="preserve">÷GB300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÷VR200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1.64–2.04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</si>
  <si>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短期 </t>
    </r>
    <r>
      <rPr>
        <sz val="11"/>
        <color theme="1"/>
        <rFont val="Calibri"/>
        <family val="2"/>
        <charset val="1"/>
      </rPr>
      <t xml:space="preserve">$40–50M/MW</t>
    </r>
  </si>
  <si>
    <t xml:space="preserve">短約邊際</t>
  </si>
  <si>
    <r>
      <rPr>
        <sz val="11"/>
        <color theme="1"/>
        <rFont val="Calibri"/>
        <family val="2"/>
        <charset val="1"/>
      </rPr>
      <t xml:space="preserve">÷GB300</t>
    </r>
    <r>
      <rPr>
        <sz val="11"/>
        <color theme="1"/>
        <rFont val="Noto Sans CJK SC"/>
        <family val="2"/>
      </rPr>
      <t xml:space="preserve">；≤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</t>
    </r>
  </si>
  <si>
    <t xml:space="preserve">IREN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</si>
  <si>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合約（</t>
    </r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Noto Sans CJK SC"/>
        <family val="2"/>
      </rPr>
      <t xml:space="preserve">）</t>
    </r>
  </si>
  <si>
    <t xml:space="preserve">長約（簽約時）</t>
  </si>
  <si>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（公司標明）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</si>
  <si>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對應 </t>
    </r>
    <r>
      <rPr>
        <sz val="11"/>
        <color theme="1"/>
        <rFont val="Calibri"/>
        <family val="2"/>
        <charset val="1"/>
      </rPr>
      <t xml:space="preserve">Assumed</t>
    </r>
  </si>
  <si>
    <t xml:space="preserve">÷GB300</t>
  </si>
  <si>
    <r>
      <rPr>
        <sz val="11"/>
        <color theme="1"/>
        <rFont val="Noto Sans CJK SC"/>
        <family val="2"/>
      </rPr>
      <t xml:space="preserve">近期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&gt;$20M</t>
    </r>
    <r>
      <rPr>
        <sz val="11"/>
        <color theme="1"/>
        <rFont val="Noto Sans CJK SC"/>
        <family val="2"/>
      </rPr>
      <t xml:space="preserve">／洽談 </t>
    </r>
    <r>
      <rPr>
        <sz val="11"/>
        <color theme="1"/>
        <rFont val="Calibri"/>
        <family val="2"/>
        <charset val="1"/>
      </rPr>
      <t xml:space="preserve">~$25M per MW(IT)</t>
    </r>
  </si>
  <si>
    <t xml:space="preserve">WhiteFiber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</si>
  <si>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經常性雲端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冰島 </t>
    </r>
    <r>
      <rPr>
        <sz val="11"/>
        <color theme="1"/>
        <rFont val="Calibri"/>
        <family val="2"/>
        <charset val="1"/>
      </rPr>
      <t xml:space="preserve">5.5 MW-IT</t>
    </r>
  </si>
  <si>
    <t xml:space="preserve">機隊平均（偏上界）</t>
  </si>
  <si>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（公司揭露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</si>
  <si>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MW Interested-party</t>
    </r>
  </si>
  <si>
    <r>
      <rPr>
        <sz val="11"/>
        <color theme="1"/>
        <rFont val="Calibri"/>
        <family val="2"/>
        <charset val="1"/>
      </rPr>
      <t xml:space="preserve">÷GB200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</si>
  <si>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新約（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</si>
  <si>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 </t>
    </r>
    <r>
      <rPr>
        <sz val="11"/>
        <color theme="1"/>
        <rFont val="Calibri"/>
        <family val="2"/>
        <charset val="1"/>
      </rPr>
      <t xml:space="preserve">× TK </t>
    </r>
    <r>
      <rPr>
        <sz val="11"/>
        <color theme="1"/>
        <rFont val="Noto Sans CJK SC"/>
        <family val="2"/>
      </rPr>
      <t xml:space="preserve">密度（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</si>
  <si>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合約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）；換算 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</si>
  <si>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Noto Sans CJK SC"/>
        <family val="2"/>
      </rPr>
      <t xml:space="preserve">同世代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持有成本</t>
    </r>
  </si>
  <si>
    <r>
      <rPr>
        <sz val="11"/>
        <color theme="1"/>
        <rFont val="Noto Sans CJK SC"/>
        <family val="2"/>
      </rPr>
      <t xml:space="preserve">存量世代續約（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）</t>
    </r>
  </si>
  <si>
    <t xml:space="preserve">存量續約</t>
  </si>
  <si>
    <r>
      <rPr>
        <sz val="11"/>
        <color theme="1"/>
        <rFont val="Calibri"/>
        <family val="2"/>
        <charset val="1"/>
      </rPr>
      <t xml:space="preserve">VR200 576 </t>
    </r>
    <r>
      <rPr>
        <sz val="11"/>
        <color theme="1"/>
        <rFont val="Noto Sans CJK SC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起）</t>
    </r>
  </si>
  <si>
    <t xml:space="preserve">組別</t>
  </si>
  <si>
    <t xml:space="preserve">低</t>
  </si>
  <si>
    <t xml:space="preserve">高</t>
  </si>
  <si>
    <r>
      <rPr>
        <sz val="11"/>
        <color theme="1"/>
        <rFont val="Noto Sans CJK SC"/>
        <family val="2"/>
      </rPr>
      <t xml:space="preserve">機隊平均（不含漲價列、不含 </t>
    </r>
    <r>
      <rPr>
        <sz val="11"/>
        <color theme="1"/>
        <rFont val="Calibri"/>
        <family val="2"/>
        <charset val="1"/>
      </rPr>
      <t xml:space="preserve">WhiteFiber </t>
    </r>
    <r>
      <rPr>
        <sz val="11"/>
        <color theme="1"/>
        <rFont val="Noto Sans CJK SC"/>
        <family val="2"/>
      </rPr>
      <t xml:space="preserve">上界）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</si>
  <si>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</si>
  <si>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CoreWeave Q1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 Q4</t>
    </r>
  </si>
  <si>
    <r>
      <rPr>
        <sz val="11"/>
        <color theme="1"/>
        <rFont val="Noto Sans CJK SC"/>
        <family val="2"/>
      </rPr>
      <t xml:space="preserve">新約邊際（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WhiteFiber Blackwell</t>
    </r>
    <r>
      <rPr>
        <sz val="11"/>
        <color theme="1"/>
        <rFont val="Noto Sans CJK SC"/>
        <family val="2"/>
      </rPr>
      <t xml:space="preserve">；不含短約）</t>
    </r>
  </si>
  <si>
    <r>
      <rPr>
        <sz val="11"/>
        <color theme="1"/>
        <rFont val="Calibri"/>
        <family val="2"/>
        <charset val="1"/>
      </rPr>
      <t xml:space="preserve">AL_SpendBasis </t>
    </r>
    <r>
      <rPr>
        <sz val="11"/>
        <color theme="1"/>
        <rFont val="Noto Sans CJK SC"/>
        <family val="2"/>
      </rPr>
      <t xml:space="preserve">基準</t>
    </r>
  </si>
  <si>
    <t xml:space="preserve">Assumed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</si>
  <si>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0.85–2.3</t>
    </r>
  </si>
  <si>
    <t xml:space="preserve">鍵</t>
  </si>
  <si>
    <t xml:space="preserve">值</t>
  </si>
  <si>
    <t xml:space="preserve">單位</t>
  </si>
  <si>
    <t xml:space="preserve">來源</t>
  </si>
  <si>
    <t xml:space="preserve">tk_hop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</si>
  <si>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AL_HoldGen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L1_HoldEconGW_Hopper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</si>
  <si>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$B/GW·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</si>
  <si>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TK v21.4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model/20261024_Tokenomics_v21.4.xlsx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Alloc!C39</t>
    </r>
  </si>
  <si>
    <t xml:space="preserve">tk_gb200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</si>
  <si>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GB200</t>
    </r>
  </si>
  <si>
    <r>
      <rPr>
        <sz val="11"/>
        <color theme="1"/>
        <rFont val="Calibri"/>
        <family val="2"/>
        <charset val="1"/>
      </rPr>
      <t xml:space="preserve">TK v21.4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model/20261024_Tokenomics_v21.4.xlsx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Alloc!D39</t>
    </r>
  </si>
  <si>
    <t xml:space="preserve">tk_gb300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</si>
  <si>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</si>
  <si>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Calibri"/>
        <family val="2"/>
        <charset val="1"/>
      </rPr>
      <t xml:space="preserve">TK v21.4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model/20261024_Tokenomics_v21.4.xlsx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Alloc!E39</t>
    </r>
  </si>
  <si>
    <t xml:space="preserve">tk_vr200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</si>
  <si>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</si>
  <si>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TK v21.4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model/20261024_Tokenomics_v21.4.xlsx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Alloc!F39</t>
    </r>
  </si>
  <si>
    <t xml:space="preserve">tk_gpu_hop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</si>
  <si>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GPU </t>
    </r>
    <r>
      <rPr>
        <sz val="11"/>
        <color theme="1"/>
        <rFont val="Noto Sans CJK SC"/>
        <family val="2"/>
      </rPr>
      <t xml:space="preserve">數 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</si>
  <si>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顆</t>
    </r>
    <r>
      <rPr>
        <sz val="11"/>
        <color theme="1"/>
        <rFont val="Calibri"/>
        <family val="2"/>
        <charset val="1"/>
      </rPr>
      <t xml:space="preserve">/GW</t>
    </r>
  </si>
  <si>
    <r>
      <rPr>
        <sz val="11"/>
        <color theme="1"/>
        <rFont val="Calibri"/>
        <family val="2"/>
        <charset val="1"/>
      </rPr>
      <t xml:space="preserve">TK v21.4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model/20261024_Tokenomics_v21.4.xlsx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Interface!D7</t>
    </r>
  </si>
  <si>
    <t xml:space="preserve">tk_gpu_gb200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</si>
  <si>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GPU </t>
    </r>
    <r>
      <rPr>
        <sz val="11"/>
        <color theme="1"/>
        <rFont val="Noto Sans CJK SC"/>
        <family val="2"/>
      </rPr>
      <t xml:space="preserve">數 </t>
    </r>
    <r>
      <rPr>
        <sz val="11"/>
        <color theme="1"/>
        <rFont val="Calibri"/>
        <family val="2"/>
        <charset val="1"/>
      </rPr>
      <t xml:space="preserve">GB200</t>
    </r>
  </si>
  <si>
    <r>
      <rPr>
        <sz val="11"/>
        <color theme="1"/>
        <rFont val="Calibri"/>
        <family val="2"/>
        <charset val="1"/>
      </rPr>
      <t xml:space="preserve">TK v21.4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model/20261024_Tokenomics_v21.4.xlsx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Interface!G7</t>
    </r>
  </si>
  <si>
    <t xml:space="preserve">tk_gpu_gb300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</si>
  <si>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GPU </t>
    </r>
    <r>
      <rPr>
        <sz val="11"/>
        <color theme="1"/>
        <rFont val="Noto Sans CJK SC"/>
        <family val="2"/>
      </rPr>
      <t xml:space="preserve">數 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</si>
  <si>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Calibri"/>
        <family val="2"/>
        <charset val="1"/>
      </rPr>
      <t xml:space="preserve">TK v21.4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model/20261024_Tokenomics_v21.4.xlsx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Interface!J7</t>
    </r>
  </si>
  <si>
    <t xml:space="preserve">tk_gpu_vr200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</si>
  <si>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GPU </t>
    </r>
    <r>
      <rPr>
        <sz val="11"/>
        <color theme="1"/>
        <rFont val="Noto Sans CJK SC"/>
        <family val="2"/>
      </rPr>
      <t xml:space="preserve">數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</si>
  <si>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TK v21.4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model/20261024_Tokenomics_v21.4.xlsx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Interface!M7</t>
    </r>
  </si>
  <si>
    <t xml:space="preserve">tk_capexit_lo</t>
  </si>
  <si>
    <r>
      <rPr>
        <sz val="11"/>
        <color theme="1"/>
        <rFont val="Calibri"/>
        <family val="2"/>
        <charset val="1"/>
      </rPr>
      <t xml:space="preserve">TK IF_CapexIT GB300 </t>
    </r>
    <r>
      <rPr>
        <sz val="11"/>
        <color theme="1"/>
        <rFont val="Noto Sans CJK SC"/>
        <family val="2"/>
      </rPr>
      <t xml:space="preserve">低</t>
    </r>
  </si>
  <si>
    <t xml:space="preserve">$B/GW</t>
  </si>
  <si>
    <r>
      <rPr>
        <sz val="11"/>
        <color theme="1"/>
        <rFont val="Calibri"/>
        <family val="2"/>
        <charset val="1"/>
      </rPr>
      <t xml:space="preserve">TK v21.4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model/20261024_Tokenomics_v21.4.xlsx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Interface!I9</t>
    </r>
  </si>
  <si>
    <t xml:space="preserve">tk_capexit</t>
  </si>
  <si>
    <r>
      <rPr>
        <sz val="11"/>
        <color theme="1"/>
        <rFont val="Calibri"/>
        <family val="2"/>
        <charset val="1"/>
      </rPr>
      <t xml:space="preserve">TK IF_CapexIT GB300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</si>
  <si>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TK v21.4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model/20261024_Tokenomics_v21.4.xlsx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Interface!J9</t>
    </r>
  </si>
  <si>
    <t xml:space="preserve">tk_capexit_hi</t>
  </si>
  <si>
    <r>
      <rPr>
        <sz val="11"/>
        <color theme="1"/>
        <rFont val="Calibri"/>
        <family val="2"/>
        <charset val="1"/>
      </rPr>
      <t xml:space="preserve">TK IF_CapexIT GB300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</si>
  <si>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TK v21.4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model/20261024_Tokenomics_v21.4.xlsx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Interface!K9</t>
    </r>
  </si>
  <si>
    <t xml:space="preserve">tk_capexfac</t>
  </si>
  <si>
    <r>
      <rPr>
        <sz val="11"/>
        <color theme="1"/>
        <rFont val="Calibri"/>
        <family val="2"/>
        <charset val="1"/>
      </rPr>
      <t xml:space="preserve">TK IF_CapexFacility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</si>
  <si>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TK v21.4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model/20261024_Tokenomics_v21.4.xlsx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Interface!J10</t>
    </r>
  </si>
  <si>
    <t xml:space="preserve">tk_opex_lo</t>
  </si>
  <si>
    <r>
      <rPr>
        <sz val="11"/>
        <color theme="1"/>
        <rFont val="Calibri"/>
        <family val="2"/>
        <charset val="1"/>
      </rPr>
      <t xml:space="preserve">TK IF_OpexGW GB300 </t>
    </r>
    <r>
      <rPr>
        <sz val="11"/>
        <color theme="1"/>
        <rFont val="Noto Sans CJK SC"/>
        <family val="2"/>
      </rPr>
      <t xml:space="preserve">低（含電費、不含折舊）</t>
    </r>
  </si>
  <si>
    <r>
      <rPr>
        <sz val="11"/>
        <color theme="1"/>
        <rFont val="Calibri"/>
        <family val="2"/>
        <charset val="1"/>
      </rPr>
      <t xml:space="preserve">TK v21.4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model/20261024_Tokenomics_v21.4.xlsx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Interface!I228</t>
    </r>
  </si>
  <si>
    <t xml:space="preserve">tk_opex</t>
  </si>
  <si>
    <r>
      <rPr>
        <sz val="11"/>
        <color theme="1"/>
        <rFont val="Calibri"/>
        <family val="2"/>
        <charset val="1"/>
      </rPr>
      <t xml:space="preserve">TK IF_OpexGW GB300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</si>
  <si>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TK v21.4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model/20261024_Tokenomics_v21.4.xlsx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Interface!J228</t>
    </r>
  </si>
  <si>
    <t xml:space="preserve">tk_opex_hi</t>
  </si>
  <si>
    <r>
      <rPr>
        <sz val="11"/>
        <color theme="1"/>
        <rFont val="Calibri"/>
        <family val="2"/>
        <charset val="1"/>
      </rPr>
      <t xml:space="preserve">TK IF_OpexGW GB300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</si>
  <si>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TK v21.4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model/20261024_Tokenomics_v21.4.xlsx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Interface!K228</t>
    </r>
  </si>
  <si>
    <t xml:space="preserve">tk_racks_gb300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</si>
  <si>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機架數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IF_RacksPerGW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</si>
  <si>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架</t>
    </r>
    <r>
      <rPr>
        <sz val="11"/>
        <color theme="1"/>
        <rFont val="Calibri"/>
        <family val="2"/>
        <charset val="1"/>
      </rPr>
      <t xml:space="preserve">/GW</t>
    </r>
  </si>
  <si>
    <r>
      <rPr>
        <sz val="11"/>
        <color theme="1"/>
        <rFont val="Calibri"/>
        <family val="2"/>
        <charset val="1"/>
      </rPr>
      <t xml:space="preserve">TK v21.4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model/20261024_Tokenomics_v21.4.xlsx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Interface!J6</t>
    </r>
  </si>
  <si>
    <t xml:space="preserve">tk_rack_lo</t>
  </si>
  <si>
    <r>
      <rPr>
        <sz val="11"/>
        <color theme="1"/>
        <rFont val="Calibri"/>
        <family val="2"/>
        <charset val="1"/>
      </rPr>
      <t xml:space="preserve">TK GB300 </t>
    </r>
    <r>
      <rPr>
        <sz val="11"/>
        <color theme="1"/>
        <rFont val="Noto Sans CJK SC"/>
        <family val="2"/>
      </rPr>
      <t xml:space="preserve">機架價 低（</t>
    </r>
    <r>
      <rPr>
        <sz val="11"/>
        <color theme="1"/>
        <rFont val="Calibri"/>
        <family val="2"/>
        <charset val="1"/>
      </rPr>
      <t xml:space="preserve">IF_RackPrice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</si>
  <si>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</si>
  <si>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TK v21.4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model/20261024_Tokenomics_v21.4.xlsx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Interface!I364</t>
    </r>
  </si>
  <si>
    <t xml:space="preserve">tk_rack</t>
  </si>
  <si>
    <r>
      <rPr>
        <sz val="11"/>
        <color theme="1"/>
        <rFont val="Calibri"/>
        <family val="2"/>
        <charset val="1"/>
      </rPr>
      <t xml:space="preserve">TK GB300 </t>
    </r>
    <r>
      <rPr>
        <sz val="11"/>
        <color theme="1"/>
        <rFont val="Noto Sans CJK SC"/>
        <family val="2"/>
      </rPr>
      <t xml:space="preserve">機架價 基準</t>
    </r>
  </si>
  <si>
    <r>
      <rPr>
        <sz val="11"/>
        <color theme="1"/>
        <rFont val="Calibri"/>
        <family val="2"/>
        <charset val="1"/>
      </rPr>
      <t xml:space="preserve">TK v21.4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model/20261024_Tokenomics_v21.4.xlsx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Interface!J364</t>
    </r>
  </si>
  <si>
    <t xml:space="preserve">tk_rack_hi</t>
  </si>
  <si>
    <r>
      <rPr>
        <sz val="11"/>
        <color theme="1"/>
        <rFont val="Calibri"/>
        <family val="2"/>
        <charset val="1"/>
      </rPr>
      <t xml:space="preserve">TK GB300 </t>
    </r>
    <r>
      <rPr>
        <sz val="11"/>
        <color theme="1"/>
        <rFont val="Noto Sans CJK SC"/>
        <family val="2"/>
      </rPr>
      <t xml:space="preserve">機架價 高</t>
    </r>
  </si>
  <si>
    <r>
      <rPr>
        <sz val="11"/>
        <color theme="1"/>
        <rFont val="Calibri"/>
        <family val="2"/>
        <charset val="1"/>
      </rPr>
      <t xml:space="preserve">TK v21.4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model/20261024_Tokenomics_v21.4.xlsx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Interface!K364</t>
    </r>
  </si>
  <si>
    <t xml:space="preserve">tk_draw_lo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</si>
  <si>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平均用電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設計功率 低（</t>
    </r>
    <r>
      <rPr>
        <sz val="11"/>
        <color theme="1"/>
        <rFont val="Calibri"/>
        <family val="2"/>
        <charset val="1"/>
      </rPr>
      <t xml:space="preserve">IF_AvgDraw</t>
    </r>
    <r>
      <rPr>
        <sz val="11"/>
        <color theme="1"/>
        <rFont val="Noto Sans CJK SC"/>
        <family val="2"/>
      </rPr>
      <t xml:space="preserve">）</t>
    </r>
  </si>
  <si>
    <t xml:space="preserve">x</t>
  </si>
  <si>
    <r>
      <rPr>
        <sz val="11"/>
        <color theme="1"/>
        <rFont val="Calibri"/>
        <family val="2"/>
        <charset val="1"/>
      </rPr>
      <t xml:space="preserve">TK v21.4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model/20261024_Tokenomics_v21.4.xlsx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Interface!I222</t>
    </r>
  </si>
  <si>
    <t xml:space="preserve">tk_draw_hi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</si>
  <si>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平均用電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設計功率 高</t>
    </r>
  </si>
  <si>
    <r>
      <rPr>
        <sz val="11"/>
        <color theme="1"/>
        <rFont val="Calibri"/>
        <family val="2"/>
        <charset val="1"/>
      </rPr>
      <t xml:space="preserve">TK v21.4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model/20261024_Tokenomics_v21.4.xlsx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Interface!K222</t>
    </r>
  </si>
  <si>
    <t xml:space="preserve">pue_lo</t>
  </si>
  <si>
    <r>
      <rPr>
        <sz val="11"/>
        <color theme="1"/>
        <rFont val="Calibri"/>
        <family val="2"/>
        <charset val="1"/>
      </rPr>
      <t xml:space="preserve">PUE </t>
    </r>
    <r>
      <rPr>
        <sz val="11"/>
        <color theme="1"/>
        <rFont val="Noto Sans CJK SC"/>
        <family val="2"/>
      </rPr>
      <t xml:space="preserve">低（若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為設施電力）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</si>
  <si>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錨點</t>
    </r>
  </si>
  <si>
    <t xml:space="preserve">pue_hi</t>
  </si>
  <si>
    <r>
      <rPr>
        <sz val="11"/>
        <color theme="1"/>
        <rFont val="Calibri"/>
        <family val="2"/>
        <charset val="1"/>
      </rPr>
      <t xml:space="preserve">PUE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</si>
  <si>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設施係數區間 </t>
    </r>
    <r>
      <rPr>
        <sz val="11"/>
        <color theme="1"/>
        <rFont val="Calibri"/>
        <family val="2"/>
        <charset val="1"/>
      </rPr>
      <t xml:space="preserve">1.1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</t>
    </r>
  </si>
  <si>
    <t xml:space="preserve">sb</t>
  </si>
  <si>
    <r>
      <rPr>
        <sz val="11"/>
        <color theme="1"/>
        <rFont val="Calibri"/>
        <family val="2"/>
        <charset val="1"/>
      </rPr>
      <t xml:space="preserve">TK v21.4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model/20261024_Tokenomics_v21.4.xlsx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Alloc_In!C23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0.85–2.3</t>
    </r>
    <r>
      <rPr>
        <sz val="11"/>
        <color theme="1"/>
        <rFont val="Noto Sans CJK SC"/>
        <family val="2"/>
      </rPr>
      <t xml:space="preserve">）</t>
    </r>
  </si>
  <si>
    <t xml:space="preserve">cw_q2rev</t>
  </si>
  <si>
    <r>
      <rPr>
        <sz val="11"/>
        <color theme="1"/>
        <rFont val="Calibri"/>
        <family val="2"/>
        <charset val="1"/>
      </rPr>
      <t xml:space="preserve">CoreWeave Q2 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</si>
  <si>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$B/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</si>
  <si>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</si>
  <si>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CoreWeave 10-Q 2026-06-30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8-K 2026-08-11 </t>
    </r>
    <r>
      <rPr>
        <sz val="11"/>
        <color theme="1"/>
        <rFont val="Noto Sans CJK SC"/>
        <family val="2"/>
      </rPr>
      <t xml:space="preserve">新聞稿同</t>
    </r>
  </si>
  <si>
    <t xml:space="preserve">cw_h1rev</t>
  </si>
  <si>
    <r>
      <rPr>
        <sz val="11"/>
        <color theme="1"/>
        <rFont val="Calibri"/>
        <family val="2"/>
        <charset val="1"/>
      </rPr>
      <t xml:space="preserve">CoreWeave H1 2026 </t>
    </r>
    <r>
      <rPr>
        <sz val="11"/>
        <color theme="1"/>
        <rFont val="Noto Sans CJK SC"/>
        <family val="2"/>
      </rPr>
      <t xml:space="preserve">營收</t>
    </r>
  </si>
  <si>
    <t xml:space="preserve">$B</t>
  </si>
  <si>
    <t xml:space="preserve">cw_q2end</t>
  </si>
  <si>
    <t xml:space="preserve">CoreWeave 6/30 active power</t>
  </si>
  <si>
    <t xml:space="preserve">GW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</si>
  <si>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；口徑未定義）</t>
    </r>
  </si>
  <si>
    <r>
      <rPr>
        <sz val="11"/>
        <color theme="1"/>
        <rFont val="Calibri"/>
        <family val="2"/>
        <charset val="1"/>
      </rPr>
      <t xml:space="preserve">8-K 2026-08-11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reach 1.5 GW</t>
    </r>
    <r>
      <rPr>
        <sz val="11"/>
        <color theme="1"/>
        <rFont val="Noto Sans CJK SC"/>
        <family val="2"/>
      </rPr>
      <t xml:space="preserve">」</t>
    </r>
  </si>
  <si>
    <t xml:space="preserve">cw_q2add</t>
  </si>
  <si>
    <r>
      <rPr>
        <sz val="11"/>
        <color theme="1"/>
        <rFont val="Calibri"/>
        <family val="2"/>
        <charset val="1"/>
      </rPr>
      <t xml:space="preserve">CoreWeave Q2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active power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</si>
  <si>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</si>
  <si>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8-K 2026-08-11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nearly 500 MWs</t>
    </r>
    <r>
      <rPr>
        <sz val="11"/>
        <color theme="1"/>
        <rFont val="Noto Sans CJK SC"/>
        <family val="2"/>
      </rPr>
      <t xml:space="preserve">」</t>
    </r>
  </si>
  <si>
    <t xml:space="preserve">cw_junadd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</si>
  <si>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月新增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</si>
  <si>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（法說）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</si>
  <si>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轉載逐字稿，二手）「</t>
    </r>
    <r>
      <rPr>
        <sz val="11"/>
        <color theme="1"/>
        <rFont val="Calibri"/>
        <family val="2"/>
        <charset val="1"/>
      </rPr>
      <t xml:space="preserve">in June, we brought on more than 300 megawatts</t>
    </r>
    <r>
      <rPr>
        <sz val="11"/>
        <color theme="1"/>
        <rFont val="Noto Sans CJK SC"/>
        <family val="2"/>
      </rPr>
      <t xml:space="preserve">」</t>
    </r>
  </si>
  <si>
    <t xml:space="preserve">cw_ye25</t>
  </si>
  <si>
    <t xml:space="preserve">CoreWeave 2025-12-31 active power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</si>
  <si>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業務章節）</t>
    </r>
  </si>
  <si>
    <r>
      <rPr>
        <sz val="11"/>
        <color theme="1"/>
        <rFont val="Calibri"/>
        <family val="2"/>
        <charset val="1"/>
      </rPr>
      <t xml:space="preserve">10-K FY2025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over 850 MW of active power</t>
    </r>
    <r>
      <rPr>
        <sz val="11"/>
        <color theme="1"/>
        <rFont val="Noto Sans CJK SC"/>
        <family val="2"/>
      </rPr>
      <t xml:space="preserve">」（下限）</t>
    </r>
  </si>
  <si>
    <t xml:space="preserve">cw_q1end</t>
  </si>
  <si>
    <t xml:space="preserve">CoreWeave 2026-03-31 active power</t>
  </si>
  <si>
    <r>
      <rPr>
        <sz val="11"/>
        <color theme="1"/>
        <rFont val="Calibri"/>
        <family val="2"/>
        <charset val="1"/>
      </rPr>
      <t xml:space="preserve">8-K 2026-05-07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Surpassed 1 GW of active power</t>
    </r>
    <r>
      <rPr>
        <sz val="11"/>
        <color theme="1"/>
        <rFont val="Noto Sans CJK SC"/>
        <family val="2"/>
      </rPr>
      <t xml:space="preserve">」（下限）</t>
    </r>
  </si>
  <si>
    <t xml:space="preserve">cw_price</t>
  </si>
  <si>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全 </t>
    </r>
    <r>
      <rPr>
        <sz val="11"/>
        <color theme="1"/>
        <rFont val="Calibri"/>
        <family val="2"/>
        <charset val="1"/>
      </rPr>
      <t xml:space="preserve">SKU </t>
    </r>
    <r>
      <rPr>
        <sz val="11"/>
        <color theme="1"/>
        <rFont val="Noto Sans CJK SC"/>
        <family val="2"/>
      </rPr>
      <t xml:space="preserve">漲價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</si>
  <si>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法說「</t>
    </r>
    <r>
      <rPr>
        <sz val="11"/>
        <color theme="1"/>
        <rFont val="Calibri"/>
        <family val="2"/>
        <charset val="1"/>
      </rPr>
      <t xml:space="preserve">approximately 25% increase across SKUs</t>
    </r>
    <r>
      <rPr>
        <sz val="11"/>
        <color theme="1"/>
        <rFont val="Noto Sans CJK SC"/>
        <family val="2"/>
      </rPr>
      <t xml:space="preserve">」</t>
    </r>
  </si>
  <si>
    <t xml:space="preserve">cw_q2cor</t>
  </si>
  <si>
    <r>
      <rPr>
        <sz val="11"/>
        <color theme="1"/>
        <rFont val="Calibri"/>
        <family val="2"/>
        <charset val="1"/>
      </rPr>
      <t xml:space="preserve">CoreWeave Q2 2026 cost of revenue</t>
    </r>
    <r>
      <rPr>
        <sz val="11"/>
        <color theme="1"/>
        <rFont val="Noto Sans CJK SC"/>
        <family val="2"/>
      </rPr>
      <t xml:space="preserve">（不含折舊；含機房租金與電費）</t>
    </r>
  </si>
  <si>
    <r>
      <rPr>
        <sz val="11"/>
        <color theme="1"/>
        <rFont val="Calibri"/>
        <family val="2"/>
        <charset val="1"/>
      </rPr>
      <t xml:space="preserve">8-K 2026-08-11 </t>
    </r>
    <r>
      <rPr>
        <sz val="11"/>
        <color theme="1"/>
        <rFont val="Noto Sans CJK SC"/>
        <family val="2"/>
      </rPr>
      <t xml:space="preserve">新聞稿損益表 </t>
    </r>
    <r>
      <rPr>
        <sz val="11"/>
        <color theme="1"/>
        <rFont val="Calibri"/>
        <family val="2"/>
        <charset val="1"/>
      </rPr>
      <t xml:space="preserve">879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）</t>
    </r>
  </si>
  <si>
    <t xml:space="preserve">nb_arr_ye</t>
  </si>
  <si>
    <r>
      <rPr>
        <sz val="11"/>
        <color theme="1"/>
        <rFont val="Calibri"/>
        <family val="2"/>
        <charset val="1"/>
      </rPr>
      <t xml:space="preserve">Nebius ARR 2025-12-31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cloud 12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</si>
  <si>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$B/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</si>
  <si>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6-K 2026-02-12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股東信）</t>
    </r>
  </si>
  <si>
    <t xml:space="preserve">nb_arr_q3</t>
  </si>
  <si>
    <t xml:space="preserve">Nebius ARR 2025-09-30</t>
  </si>
  <si>
    <r>
      <rPr>
        <sz val="11"/>
        <color theme="1"/>
        <rFont val="Noto Sans CJK SC"/>
        <family val="2"/>
      </rPr>
      <t xml:space="preserve">同上「</t>
    </r>
    <r>
      <rPr>
        <sz val="11"/>
        <color theme="1"/>
        <rFont val="Calibri"/>
        <family val="2"/>
        <charset val="1"/>
      </rPr>
      <t xml:space="preserve">more than doubled from $551 million reported as of the end of September</t>
    </r>
    <r>
      <rPr>
        <sz val="11"/>
        <color theme="1"/>
        <rFont val="Noto Sans CJK SC"/>
        <family val="2"/>
      </rPr>
      <t xml:space="preserve">」</t>
    </r>
  </si>
  <si>
    <t xml:space="preserve">nb_act_ye</t>
  </si>
  <si>
    <r>
      <rPr>
        <sz val="11"/>
        <color theme="1"/>
        <rFont val="Calibri"/>
        <family val="2"/>
        <charset val="1"/>
      </rPr>
      <t xml:space="preserve">Nebius 2025-12-31 active power</t>
    </r>
    <r>
      <rPr>
        <sz val="11"/>
        <color theme="1"/>
        <rFont val="Noto Sans CJK SC"/>
        <family val="2"/>
      </rPr>
      <t xml:space="preserve">（約數）</t>
    </r>
  </si>
  <si>
    <r>
      <rPr>
        <sz val="11"/>
        <color theme="1"/>
        <rFont val="Noto Sans CJK SC"/>
        <family val="2"/>
      </rPr>
      <t xml:space="preserve">同上「</t>
    </r>
    <r>
      <rPr>
        <sz val="11"/>
        <color theme="1"/>
        <rFont val="Calibri"/>
        <family val="2"/>
        <charset val="1"/>
      </rPr>
      <t xml:space="preserve">~170 MW of active power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20-F </t>
    </r>
    <r>
      <rPr>
        <sz val="11"/>
        <color theme="1"/>
        <rFont val="Noto Sans CJK SC"/>
        <family val="2"/>
      </rPr>
      <t xml:space="preserve">同</t>
    </r>
  </si>
  <si>
    <t xml:space="preserve">nb_q3cap</t>
  </si>
  <si>
    <r>
      <rPr>
        <sz val="11"/>
        <color theme="1"/>
        <rFont val="Calibri"/>
        <family val="2"/>
        <charset val="1"/>
      </rPr>
      <t xml:space="preserve">Nebius 2025-09-30 active power </t>
    </r>
    <r>
      <rPr>
        <sz val="11"/>
        <color theme="1"/>
        <rFont val="Noto Sans CJK SC"/>
        <family val="2"/>
      </rPr>
      <t xml:space="preserve">上界（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信：年底目標 </t>
    </r>
    <r>
      <rPr>
        <sz val="11"/>
        <color theme="1"/>
        <rFont val="Calibri"/>
        <family val="2"/>
        <charset val="1"/>
      </rPr>
      <t xml:space="preserve">100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</si>
  <si>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（上界）</t>
    </r>
  </si>
  <si>
    <r>
      <rPr>
        <sz val="11"/>
        <color theme="1"/>
        <rFont val="Calibri"/>
        <family val="2"/>
        <charset val="1"/>
      </rPr>
      <t xml:space="preserve">6-K 2025-11-11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99.2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on track for … 100 MW of active power by the end of 2025</t>
    </r>
    <r>
      <rPr>
        <sz val="11"/>
        <color theme="1"/>
        <rFont val="Noto Sans CJK SC"/>
        <family val="2"/>
      </rPr>
      <t xml:space="preserve">」</t>
    </r>
  </si>
  <si>
    <t xml:space="preserve">nb_q4rev</t>
  </si>
  <si>
    <r>
      <rPr>
        <sz val="11"/>
        <color theme="1"/>
        <rFont val="Calibri"/>
        <family val="2"/>
        <charset val="1"/>
      </rPr>
      <t xml:space="preserve">Nebius Q4 2025 core AI cloud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</si>
  <si>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股東信「</t>
    </r>
    <r>
      <rPr>
        <sz val="11"/>
        <color theme="1"/>
        <rFont val="Calibri"/>
        <family val="2"/>
        <charset val="1"/>
      </rPr>
      <t xml:space="preserve">Core AI cloud revenue was $214.2 million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20-F </t>
    </r>
    <r>
      <rPr>
        <sz val="11"/>
        <color theme="1"/>
        <rFont val="Noto Sans CJK SC"/>
        <family val="2"/>
      </rPr>
      <t xml:space="preserve">年度數 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，季度數未查核）</t>
    </r>
  </si>
  <si>
    <t xml:space="preserve">nb_base26</t>
  </si>
  <si>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2026 base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ACV per MW</t>
    </r>
  </si>
  <si>
    <r>
      <rPr>
        <sz val="11"/>
        <color theme="1"/>
        <rFont val="Calibri"/>
        <family val="2"/>
        <charset val="1"/>
      </rPr>
      <t xml:space="preserve">$M/MW·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</si>
  <si>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6-K 2026-08-12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99.2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頁圖「</t>
    </r>
    <r>
      <rPr>
        <sz val="11"/>
        <color theme="1"/>
        <rFont val="Calibri"/>
        <family val="2"/>
        <charset val="1"/>
      </rPr>
      <t xml:space="preserve">ACV per MW is stepping up … 2026 base $12M</t>
    </r>
    <r>
      <rPr>
        <sz val="11"/>
        <color theme="1"/>
        <rFont val="Noto Sans CJK SC"/>
        <family val="2"/>
      </rPr>
      <t xml:space="preserve">」；註 </t>
    </r>
    <r>
      <rPr>
        <sz val="11"/>
        <color theme="1"/>
        <rFont val="Calibri"/>
        <family val="2"/>
        <charset val="1"/>
      </rPr>
      <t xml:space="preserve">(1) ACV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Annual contract value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營收認列口徑、不含預付</t>
    </r>
  </si>
  <si>
    <t xml:space="preserve">nb_q2lo</t>
  </si>
  <si>
    <r>
      <rPr>
        <sz val="11"/>
        <color theme="1"/>
        <rFont val="Calibri"/>
        <family val="2"/>
        <charset val="1"/>
      </rPr>
      <t xml:space="preserve">Nebius Q2 2026 </t>
    </r>
    <r>
      <rPr>
        <sz val="11"/>
        <color theme="1"/>
        <rFont val="Noto Sans CJK SC"/>
        <family val="2"/>
      </rPr>
      <t xml:space="preserve">四筆大單 </t>
    </r>
    <r>
      <rPr>
        <sz val="11"/>
        <color theme="1"/>
        <rFont val="Calibri"/>
        <family val="2"/>
        <charset val="1"/>
      </rPr>
      <t xml:space="preserve">yield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</si>
  <si>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同上「</t>
    </r>
    <r>
      <rPr>
        <sz val="11"/>
        <color theme="1"/>
        <rFont val="Calibri"/>
        <family val="2"/>
        <charset val="1"/>
      </rPr>
      <t xml:space="preserve">a yield of $20-25 million per megawatt</t>
    </r>
    <r>
      <rPr>
        <sz val="11"/>
        <color theme="1"/>
        <rFont val="Noto Sans CJK SC"/>
        <family val="2"/>
      </rPr>
      <t xml:space="preserve">」</t>
    </r>
  </si>
  <si>
    <t xml:space="preserve">nb_q2hi</t>
  </si>
  <si>
    <r>
      <rPr>
        <sz val="11"/>
        <color theme="1"/>
        <rFont val="Calibri"/>
        <family val="2"/>
        <charset val="1"/>
      </rPr>
      <t xml:space="preserve">Nebius Q2 2026 </t>
    </r>
    <r>
      <rPr>
        <sz val="11"/>
        <color theme="1"/>
        <rFont val="Noto Sans CJK SC"/>
        <family val="2"/>
      </rPr>
      <t xml:space="preserve">四筆大單 </t>
    </r>
    <r>
      <rPr>
        <sz val="11"/>
        <color theme="1"/>
        <rFont val="Calibri"/>
        <family val="2"/>
        <charset val="1"/>
      </rPr>
      <t xml:space="preserve">yield </t>
    </r>
    <r>
      <rPr>
        <sz val="11"/>
        <color theme="1"/>
        <rFont val="Noto Sans CJK SC"/>
        <family val="2"/>
      </rPr>
      <t xml:space="preserve">高</t>
    </r>
  </si>
  <si>
    <t xml:space="preserve">nb_stlo</t>
  </si>
  <si>
    <r>
      <rPr>
        <sz val="11"/>
        <color theme="1"/>
        <rFont val="Calibri"/>
        <family val="2"/>
        <charset val="1"/>
      </rPr>
      <t xml:space="preserve">Nebius Q3 </t>
    </r>
    <r>
      <rPr>
        <sz val="11"/>
        <color theme="1"/>
        <rFont val="Noto Sans CJK SC"/>
        <family val="2"/>
      </rPr>
      <t xml:space="preserve">短期容量 價格區間 低</t>
    </r>
  </si>
  <si>
    <r>
      <rPr>
        <sz val="11"/>
        <color theme="1"/>
        <rFont val="Noto Sans CJK SC"/>
        <family val="2"/>
      </rPr>
      <t xml:space="preserve">同上「</t>
    </r>
    <r>
      <rPr>
        <sz val="11"/>
        <color theme="1"/>
        <rFont val="Calibri"/>
        <family val="2"/>
        <charset val="1"/>
      </rPr>
      <t xml:space="preserve">price opportunity in the $40-50 million per MW range</t>
    </r>
    <r>
      <rPr>
        <sz val="11"/>
        <color theme="1"/>
        <rFont val="Noto Sans CJK SC"/>
        <family val="2"/>
      </rPr>
      <t xml:space="preserve">」（已簽第一筆）</t>
    </r>
  </si>
  <si>
    <t xml:space="preserve">nb_sthi</t>
  </si>
  <si>
    <r>
      <rPr>
        <sz val="11"/>
        <color theme="1"/>
        <rFont val="Calibri"/>
        <family val="2"/>
        <charset val="1"/>
      </rPr>
      <t xml:space="preserve">Nebius Q3 </t>
    </r>
    <r>
      <rPr>
        <sz val="11"/>
        <color theme="1"/>
        <rFont val="Noto Sans CJK SC"/>
        <family val="2"/>
      </rPr>
      <t xml:space="preserve">短期容量 價格區間 高</t>
    </r>
  </si>
  <si>
    <t xml:space="preserve">nb_payback</t>
  </si>
  <si>
    <r>
      <rPr>
        <sz val="11"/>
        <color theme="1"/>
        <rFont val="Calibri"/>
        <family val="2"/>
        <charset val="1"/>
      </rPr>
      <t xml:space="preserve">Nebius Q2 </t>
    </r>
    <r>
      <rPr>
        <sz val="11"/>
        <color theme="1"/>
        <rFont val="Noto Sans CJK SC"/>
        <family val="2"/>
      </rPr>
      <t xml:space="preserve">新約回本期</t>
    </r>
  </si>
  <si>
    <t xml:space="preserve">年</t>
  </si>
  <si>
    <r>
      <rPr>
        <sz val="11"/>
        <color theme="1"/>
        <rFont val="Noto Sans CJK SC"/>
        <family val="2"/>
      </rPr>
      <t xml:space="preserve">同上「</t>
    </r>
    <r>
      <rPr>
        <sz val="11"/>
        <color theme="1"/>
        <rFont val="Calibri"/>
        <family val="2"/>
        <charset val="1"/>
      </rPr>
      <t xml:space="preserve">payback period for the associated capex and related operating costs for Q2 deals is 1 year and 10 months</t>
    </r>
    <r>
      <rPr>
        <sz val="11"/>
        <color theme="1"/>
        <rFont val="Noto Sans CJK SC"/>
        <family val="2"/>
      </rPr>
      <t xml:space="preserve">」</t>
    </r>
  </si>
  <si>
    <t xml:space="preserve">ir_tcv</t>
  </si>
  <si>
    <r>
      <rPr>
        <sz val="11"/>
        <color theme="1"/>
        <rFont val="Calibri"/>
        <family val="2"/>
        <charset val="1"/>
      </rPr>
      <t xml:space="preserve">IREN–Microsoft </t>
    </r>
    <r>
      <rPr>
        <sz val="11"/>
        <color theme="1"/>
        <rFont val="Noto Sans CJK SC"/>
        <family val="2"/>
      </rPr>
      <t xml:space="preserve">合約總值</t>
    </r>
  </si>
  <si>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2025-11-03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approximately $9.7 billion</t>
    </r>
    <r>
      <rPr>
        <sz val="11"/>
        <color theme="1"/>
        <rFont val="Noto Sans CJK SC"/>
        <family val="2"/>
      </rPr>
      <t xml:space="preserve">」（含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預付）</t>
    </r>
  </si>
  <si>
    <t xml:space="preserve">ir_yrs</t>
  </si>
  <si>
    <r>
      <rPr>
        <sz val="11"/>
        <color theme="1"/>
        <rFont val="Calibri"/>
        <family val="2"/>
        <charset val="1"/>
      </rPr>
      <t xml:space="preserve">IREN–Microsoft </t>
    </r>
    <r>
      <rPr>
        <sz val="11"/>
        <color theme="1"/>
        <rFont val="Noto Sans CJK SC"/>
        <family val="2"/>
      </rPr>
      <t xml:space="preserve">合約年數</t>
    </r>
  </si>
  <si>
    <r>
      <rPr>
        <sz val="11"/>
        <color theme="1"/>
        <rFont val="Noto Sans CJK SC"/>
        <family val="2"/>
      </rPr>
      <t xml:space="preserve">同上「</t>
    </r>
    <r>
      <rPr>
        <sz val="11"/>
        <color theme="1"/>
        <rFont val="Calibri"/>
        <family val="2"/>
        <charset val="1"/>
      </rPr>
      <t xml:space="preserve">five-year term</t>
    </r>
    <r>
      <rPr>
        <sz val="11"/>
        <color theme="1"/>
        <rFont val="Noto Sans CJK SC"/>
        <family val="2"/>
      </rPr>
      <t xml:space="preserve">」</t>
    </r>
  </si>
  <si>
    <t xml:space="preserve">ir_mw</t>
  </si>
  <si>
    <r>
      <rPr>
        <sz val="11"/>
        <color theme="1"/>
        <rFont val="Calibri"/>
        <family val="2"/>
        <charset val="1"/>
      </rPr>
      <t xml:space="preserve">IREN Childress Horizon 1–4 </t>
    </r>
    <r>
      <rPr>
        <sz val="11"/>
        <color theme="1"/>
        <rFont val="Noto Sans CJK SC"/>
        <family val="2"/>
      </rPr>
      <t xml:space="preserve">關鍵 </t>
    </r>
    <r>
      <rPr>
        <sz val="11"/>
        <color theme="1"/>
        <rFont val="Calibri"/>
        <family val="2"/>
        <charset val="1"/>
      </rPr>
      <t xml:space="preserve">IT</t>
    </r>
  </si>
  <si>
    <t xml:space="preserve">MW-IT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</si>
  <si>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（全數對應本合約）</t>
    </r>
  </si>
  <si>
    <r>
      <rPr>
        <sz val="11"/>
        <color theme="1"/>
        <rFont val="Noto Sans CJK SC"/>
        <family val="2"/>
      </rPr>
      <t xml:space="preserve">同上「</t>
    </r>
    <r>
      <rPr>
        <sz val="11"/>
        <color theme="1"/>
        <rFont val="Calibri"/>
        <family val="2"/>
        <charset val="1"/>
      </rPr>
      <t xml:space="preserve">200MW of critical IT load (Horizon 1–4)</t>
    </r>
    <r>
      <rPr>
        <sz val="11"/>
        <color theme="1"/>
        <rFont val="Noto Sans CJK SC"/>
        <family val="2"/>
      </rPr>
      <t xml:space="preserve">」；對應關係原文未明寫（</t>
    </r>
    <r>
      <rPr>
        <sz val="11"/>
        <color theme="1"/>
        <rFont val="Calibri"/>
        <family val="2"/>
        <charset val="1"/>
      </rPr>
      <t xml:space="preserve">TK Decisions D139 </t>
    </r>
    <r>
      <rPr>
        <sz val="11"/>
        <color theme="1"/>
        <rFont val="Noto Sans CJK SC"/>
        <family val="2"/>
      </rPr>
      <t xml:space="preserve">同註）</t>
    </r>
  </si>
  <si>
    <t xml:space="preserve">ir_newlo</t>
  </si>
  <si>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近期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年約 每 </t>
    </r>
    <r>
      <rPr>
        <sz val="11"/>
        <color theme="1"/>
        <rFont val="Calibri"/>
        <family val="2"/>
        <charset val="1"/>
      </rPr>
      <t xml:space="preserve">MW(IT) </t>
    </r>
    <r>
      <rPr>
        <sz val="11"/>
        <color theme="1"/>
        <rFont val="Noto Sans CJK SC"/>
        <family val="2"/>
      </rPr>
      <t xml:space="preserve">營收（下限）</t>
    </r>
  </si>
  <si>
    <r>
      <rPr>
        <sz val="11"/>
        <color theme="1"/>
        <rFont val="Calibri"/>
        <family val="2"/>
        <charset val="1"/>
      </rPr>
      <t xml:space="preserve">$M/MW-IT·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</si>
  <si>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IREN FY26 </t>
    </r>
    <r>
      <rPr>
        <sz val="11"/>
        <color theme="1"/>
        <rFont val="Noto Sans CJK SC"/>
        <family val="2"/>
      </rPr>
      <t xml:space="preserve">結果新聞稿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Recent 3-year contracts &gt;$20m revenue per MW (IT)</t>
    </r>
    <r>
      <rPr>
        <sz val="11"/>
        <color theme="1"/>
        <rFont val="Noto Sans CJK SC"/>
        <family val="2"/>
      </rPr>
      <t xml:space="preserve">」</t>
    </r>
  </si>
  <si>
    <t xml:space="preserve">ir_newhi</t>
  </si>
  <si>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洽談中 每 </t>
    </r>
    <r>
      <rPr>
        <sz val="11"/>
        <color theme="1"/>
        <rFont val="Calibri"/>
        <family val="2"/>
        <charset val="1"/>
      </rPr>
      <t xml:space="preserve">MW(IT)</t>
    </r>
  </si>
  <si>
    <r>
      <rPr>
        <sz val="11"/>
        <color theme="1"/>
        <rFont val="Noto Sans CJK SC"/>
        <family val="2"/>
      </rPr>
      <t xml:space="preserve">同上「</t>
    </r>
    <r>
      <rPr>
        <sz val="11"/>
        <color theme="1"/>
        <rFont val="Calibri"/>
        <family val="2"/>
        <charset val="1"/>
      </rPr>
      <t xml:space="preserve">Active discussions at ~$25m per MW (IT)</t>
    </r>
    <r>
      <rPr>
        <sz val="11"/>
        <color theme="1"/>
        <rFont val="Noto Sans CJK SC"/>
        <family val="2"/>
      </rPr>
      <t xml:space="preserve">」</t>
    </r>
  </si>
  <si>
    <t xml:space="preserve">ir_payback</t>
  </si>
  <si>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近期合約回本期（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與附屬設備）</t>
    </r>
  </si>
  <si>
    <r>
      <rPr>
        <sz val="11"/>
        <color theme="1"/>
        <rFont val="Noto Sans CJK SC"/>
        <family val="2"/>
      </rPr>
      <t xml:space="preserve">同上「</t>
    </r>
    <r>
      <rPr>
        <sz val="11"/>
        <color theme="1"/>
        <rFont val="Calibri"/>
        <family val="2"/>
        <charset val="1"/>
      </rPr>
      <t xml:space="preserve">~2 year payback</t>
    </r>
    <r>
      <rPr>
        <sz val="11"/>
        <color theme="1"/>
        <rFont val="Noto Sans CJK SC"/>
        <family val="2"/>
      </rPr>
      <t xml:space="preserve">」；註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與附屬設備資本支出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（合約營收 − 直接成本）</t>
    </r>
  </si>
  <si>
    <t xml:space="preserve">ir_q4rev</t>
  </si>
  <si>
    <r>
      <rPr>
        <sz val="11"/>
        <color theme="1"/>
        <rFont val="Calibri"/>
        <family val="2"/>
        <charset val="1"/>
      </rPr>
      <t xml:space="preserve">IREN Q4 FY26 AI Cloud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</si>
  <si>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</si>
  <si>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IREN FY26 </t>
    </r>
    <r>
      <rPr>
        <sz val="11"/>
        <color theme="1"/>
        <rFont val="Noto Sans CJK SC"/>
        <family val="2"/>
      </rPr>
      <t xml:space="preserve">結果新聞稿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（季度數未查核）</t>
    </r>
  </si>
  <si>
    <t xml:space="preserve">ir_q4cor</t>
  </si>
  <si>
    <t xml:space="preserve">IREN Q4 FY26 AI Cloud cost of revenue</t>
  </si>
  <si>
    <t xml:space="preserve">ir_dell</t>
  </si>
  <si>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向 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採購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設備</t>
    </r>
  </si>
  <si>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2025-11-03</t>
    </r>
    <r>
      <rPr>
        <sz val="11"/>
        <color theme="1"/>
        <rFont val="Noto Sans CJK SC"/>
        <family val="2"/>
      </rPr>
      <t xml:space="preserve">（含伺服器、</t>
    </r>
    <r>
      <rPr>
        <sz val="11"/>
        <color theme="1"/>
        <rFont val="Calibri"/>
        <family val="2"/>
        <charset val="1"/>
      </rPr>
      <t xml:space="preserve">InfiniBand</t>
    </r>
    <r>
      <rPr>
        <sz val="11"/>
        <color theme="1"/>
        <rFont val="Noto Sans CJK SC"/>
        <family val="2"/>
      </rPr>
      <t xml:space="preserve">、線材、軟體授權、部署）；</t>
    </r>
    <r>
      <rPr>
        <sz val="11"/>
        <color theme="1"/>
        <rFont val="Calibri"/>
        <family val="2"/>
        <charset val="1"/>
      </rPr>
      <t xml:space="preserve">TK SRC_DC_014</t>
    </r>
  </si>
  <si>
    <t xml:space="preserve">wf_cloud</t>
  </si>
  <si>
    <r>
      <rPr>
        <sz val="11"/>
        <color theme="1"/>
        <rFont val="Calibri"/>
        <family val="2"/>
        <charset val="1"/>
      </rPr>
      <t xml:space="preserve">WhiteFiber Q2 2026 </t>
    </r>
    <r>
      <rPr>
        <sz val="11"/>
        <color theme="1"/>
        <rFont val="Noto Sans CJK SC"/>
        <family val="2"/>
      </rPr>
      <t xml:space="preserve">雲端服務營收</t>
    </r>
  </si>
  <si>
    <r>
      <rPr>
        <sz val="11"/>
        <color theme="1"/>
        <rFont val="Calibri"/>
        <family val="2"/>
        <charset val="1"/>
      </rPr>
      <t xml:space="preserve">WhiteFiber 10-Q 2026-06-30 </t>
    </r>
    <r>
      <rPr>
        <sz val="11"/>
        <color theme="1"/>
        <rFont val="Noto Sans CJK SC"/>
        <family val="2"/>
      </rPr>
      <t xml:space="preserve">損益表</t>
    </r>
  </si>
  <si>
    <t xml:space="preserve">wf_term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</si>
  <si>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Initial Customer </t>
    </r>
    <r>
      <rPr>
        <sz val="11"/>
        <color theme="1"/>
        <rFont val="Noto Sans CJK SC"/>
        <family val="2"/>
      </rPr>
      <t xml:space="preserve">終止費（一次性）</t>
    </r>
  </si>
  <si>
    <t xml:space="preserve">$M</t>
  </si>
  <si>
    <r>
      <rPr>
        <sz val="11"/>
        <color theme="1"/>
        <rFont val="Noto Sans CJK SC"/>
        <family val="2"/>
      </rPr>
      <t xml:space="preserve">同上「</t>
    </r>
    <r>
      <rPr>
        <sz val="11"/>
        <color theme="1"/>
        <rFont val="Calibri"/>
        <family val="2"/>
        <charset val="1"/>
      </rPr>
      <t xml:space="preserve">fixed termination fee of $12.3 million that was recognized as revenue</t>
    </r>
    <r>
      <rPr>
        <sz val="11"/>
        <color theme="1"/>
        <rFont val="Noto Sans CJK SC"/>
        <family val="2"/>
      </rPr>
      <t xml:space="preserve">」</t>
    </r>
  </si>
  <si>
    <t xml:space="preserve">wf_ice</t>
  </si>
  <si>
    <r>
      <rPr>
        <sz val="11"/>
        <color theme="1"/>
        <rFont val="Calibri"/>
        <family val="2"/>
        <charset val="1"/>
      </rPr>
      <t xml:space="preserve">WhiteFiber </t>
    </r>
    <r>
      <rPr>
        <sz val="11"/>
        <color theme="1"/>
        <rFont val="Noto Sans CJK SC"/>
        <family val="2"/>
      </rPr>
      <t xml:space="preserve">冰島已簽約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負載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</si>
  <si>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MD&amp;A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</si>
  <si>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同上「</t>
    </r>
    <r>
      <rPr>
        <sz val="11"/>
        <color theme="1"/>
        <rFont val="Calibri"/>
        <family val="2"/>
        <charset val="1"/>
      </rPr>
      <t xml:space="preserve">executed contracts for 5.5 MW IT load</t>
    </r>
    <r>
      <rPr>
        <sz val="11"/>
        <color theme="1"/>
        <rFont val="Noto Sans CJK SC"/>
        <family val="2"/>
      </rPr>
      <t xml:space="preserve">」；亞特蘭大 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起另租容量，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未揭露</t>
    </r>
  </si>
  <si>
    <t xml:space="preserve">wfc1_tcv</t>
  </si>
  <si>
    <r>
      <rPr>
        <sz val="11"/>
        <color theme="1"/>
        <rFont val="Calibri"/>
        <family val="2"/>
        <charset val="1"/>
      </rPr>
      <t xml:space="preserve">WhiteFiber </t>
    </r>
    <r>
      <rPr>
        <sz val="11"/>
        <color theme="1"/>
        <rFont val="Noto Sans CJK SC"/>
        <family val="2"/>
      </rPr>
      <t xml:space="preserve">合約 </t>
    </r>
    <r>
      <rPr>
        <sz val="11"/>
        <color theme="1"/>
        <rFont val="Calibri"/>
        <family val="2"/>
        <charset val="1"/>
      </rPr>
      <t xml:space="preserve">Baseten 1,392 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個月，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起）：總值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</si>
  <si>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揭露）</t>
    </r>
  </si>
  <si>
    <t xml:space="preserve">WhiteFiber 10-Q 2026-06-30 Recent Developments</t>
  </si>
  <si>
    <t xml:space="preserve">wfc1_yrs</t>
  </si>
  <si>
    <t xml:space="preserve">　同上：初始年數</t>
  </si>
  <si>
    <t xml:space="preserve">wfc1_gpu</t>
  </si>
  <si>
    <r>
      <rPr>
        <sz val="11"/>
        <color theme="1"/>
        <rFont val="Noto Sans CJK SC"/>
        <family val="2"/>
      </rPr>
      <t xml:space="preserve">　同上：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</t>
    </r>
  </si>
  <si>
    <t xml:space="preserve">顆</t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</si>
  <si>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密度、</t>
    </r>
    <r>
      <rPr>
        <sz val="11"/>
        <color theme="1"/>
        <rFont val="Calibri"/>
        <family val="2"/>
        <charset val="1"/>
      </rPr>
      <t xml:space="preserve">B200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密度近似（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</si>
  <si>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t xml:space="preserve">wfc2_tcv</t>
  </si>
  <si>
    <r>
      <rPr>
        <sz val="11"/>
        <color theme="1"/>
        <rFont val="Calibri"/>
        <family val="2"/>
        <charset val="1"/>
      </rPr>
      <t xml:space="preserve">WhiteFiber </t>
    </r>
    <r>
      <rPr>
        <sz val="11"/>
        <color theme="1"/>
        <rFont val="Noto Sans CJK SC"/>
        <family val="2"/>
      </rPr>
      <t xml:space="preserve">合約 冰島 </t>
    </r>
    <r>
      <rPr>
        <sz val="11"/>
        <color theme="1"/>
        <rFont val="Calibri"/>
        <family val="2"/>
        <charset val="1"/>
      </rPr>
      <t xml:space="preserve">576 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起；另有營收分成）：總值</t>
    </r>
  </si>
  <si>
    <t xml:space="preserve">wfc2_yrs</t>
  </si>
  <si>
    <t xml:space="preserve">wfc2_gpu</t>
  </si>
  <si>
    <t xml:space="preserve">wfc3_tcv</t>
  </si>
  <si>
    <r>
      <rPr>
        <sz val="11"/>
        <color theme="1"/>
        <rFont val="Calibri"/>
        <family val="2"/>
        <charset val="1"/>
      </rPr>
      <t xml:space="preserve">WhiteFiber </t>
    </r>
    <r>
      <rPr>
        <sz val="11"/>
        <color theme="1"/>
        <rFont val="Noto Sans CJK SC"/>
        <family val="2"/>
      </rPr>
      <t xml:space="preserve">合約 新客戶 </t>
    </r>
    <r>
      <rPr>
        <sz val="11"/>
        <color theme="1"/>
        <rFont val="Calibri"/>
        <family val="2"/>
        <charset val="1"/>
      </rPr>
      <t xml:space="preserve">128 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個月，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簽）：總值</t>
    </r>
  </si>
  <si>
    <t xml:space="preserve">wfc3_yrs</t>
  </si>
  <si>
    <t xml:space="preserve">wfc3_gpu</t>
  </si>
  <si>
    <t xml:space="preserve">wfc4_tcv</t>
  </si>
  <si>
    <r>
      <rPr>
        <sz val="11"/>
        <color theme="1"/>
        <rFont val="Calibri"/>
        <family val="2"/>
        <charset val="1"/>
      </rPr>
      <t xml:space="preserve">WhiteFiber </t>
    </r>
    <r>
      <rPr>
        <sz val="11"/>
        <color theme="1"/>
        <rFont val="Noto Sans CJK SC"/>
        <family val="2"/>
      </rPr>
      <t xml:space="preserve">合約 </t>
    </r>
    <r>
      <rPr>
        <sz val="11"/>
        <color theme="1"/>
        <rFont val="Calibri"/>
        <family val="2"/>
        <charset val="1"/>
      </rPr>
      <t xml:space="preserve">Prime Intellect 576 VR200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個月，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起）：總值</t>
    </r>
  </si>
  <si>
    <t xml:space="preserve">wfc4_yrs</t>
  </si>
  <si>
    <t xml:space="preserve">wfc4_gpu</t>
  </si>
  <si>
    <t xml:space="preserve">wfc5_tcv</t>
  </si>
  <si>
    <r>
      <rPr>
        <sz val="11"/>
        <color theme="1"/>
        <rFont val="Calibri"/>
        <family val="2"/>
        <charset val="1"/>
      </rPr>
      <t xml:space="preserve">WhiteFiber </t>
    </r>
    <r>
      <rPr>
        <sz val="11"/>
        <color theme="1"/>
        <rFont val="Noto Sans CJK SC"/>
        <family val="2"/>
      </rPr>
      <t xml:space="preserve">合約 </t>
    </r>
    <r>
      <rPr>
        <sz val="11"/>
        <color theme="1"/>
        <rFont val="Calibri"/>
        <family val="2"/>
        <charset val="1"/>
      </rPr>
      <t xml:space="preserve">Prime Intellect 216 GB200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起）：總值</t>
    </r>
  </si>
  <si>
    <t xml:space="preserve">wfc5_yrs</t>
  </si>
  <si>
    <t xml:space="preserve">wfc5_gpu</t>
  </si>
  <si>
    <t xml:space="preserve">wfc6_tcv</t>
  </si>
  <si>
    <r>
      <rPr>
        <sz val="11"/>
        <color theme="1"/>
        <rFont val="Calibri"/>
        <family val="2"/>
        <charset val="1"/>
      </rPr>
      <t xml:space="preserve">WhiteFiber </t>
    </r>
    <r>
      <rPr>
        <sz val="11"/>
        <color theme="1"/>
        <rFont val="Noto Sans CJK SC"/>
        <family val="2"/>
      </rPr>
      <t xml:space="preserve">合約 既有客戶 </t>
    </r>
    <r>
      <rPr>
        <sz val="11"/>
        <color theme="1"/>
        <rFont val="Calibri"/>
        <family val="2"/>
        <charset val="1"/>
      </rPr>
      <t xml:space="preserve">384 B200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個月，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起）：總值</t>
    </r>
  </si>
  <si>
    <t xml:space="preserve">wfc6_yrs</t>
  </si>
  <si>
    <t xml:space="preserve">wfc6_gpu</t>
  </si>
  <si>
    <t xml:space="preserve">wfc7_tcv</t>
  </si>
  <si>
    <r>
      <rPr>
        <sz val="11"/>
        <color theme="1"/>
        <rFont val="Calibri"/>
        <family val="2"/>
        <charset val="1"/>
      </rPr>
      <t xml:space="preserve">WhiteFiber </t>
    </r>
    <r>
      <rPr>
        <sz val="11"/>
        <color theme="1"/>
        <rFont val="Noto Sans CJK SC"/>
        <family val="2"/>
      </rPr>
      <t xml:space="preserve">合約 既有客戶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伺服器（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個月，</t>
    </r>
    <r>
      <rPr>
        <sz val="11"/>
        <color theme="1"/>
        <rFont val="Calibri"/>
        <family val="2"/>
        <charset val="1"/>
      </rPr>
      <t xml:space="preserve">2026 Q2 </t>
    </r>
    <r>
      <rPr>
        <sz val="11"/>
        <color theme="1"/>
        <rFont val="Noto Sans CJK SC"/>
        <family val="2"/>
      </rPr>
      <t xml:space="preserve">起；以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顆／台計 </t>
    </r>
    <r>
      <rPr>
        <sz val="11"/>
        <color theme="1"/>
        <rFont val="Calibri"/>
        <family val="2"/>
        <charset val="1"/>
      </rPr>
      <t xml:space="preserve">2,048 </t>
    </r>
    <r>
      <rPr>
        <sz val="11"/>
        <color theme="1"/>
        <rFont val="Noto Sans CJK SC"/>
        <family val="2"/>
      </rPr>
      <t xml:space="preserve">顆）：總值</t>
    </r>
  </si>
  <si>
    <t xml:space="preserve">wfc7_yrs</t>
  </si>
  <si>
    <t xml:space="preserve">wfc7_gpu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</si>
  <si>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顆／台）</t>
    </r>
  </si>
  <si>
    <t xml:space="preserve">dg_rack</t>
  </si>
  <si>
    <r>
      <rPr>
        <sz val="11"/>
        <color theme="1"/>
        <rFont val="Calibri"/>
        <family val="2"/>
        <charset val="1"/>
      </rPr>
      <t xml:space="preserve">Data Gravity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採購單價（不含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</si>
  <si>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（第三方，採購單）</t>
    </r>
  </si>
  <si>
    <r>
      <rPr>
        <sz val="11"/>
        <color theme="1"/>
        <rFont val="Calibri"/>
        <family val="2"/>
        <charset val="1"/>
      </rPr>
      <t xml:space="preserve">wing.vc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Data Gravity 2026-08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just under $5.0M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TK SRC_HW_010</t>
    </r>
  </si>
  <si>
    <t xml:space="preserve">dg_dep</t>
  </si>
  <si>
    <r>
      <rPr>
        <sz val="11"/>
        <color theme="1"/>
        <rFont val="Calibri"/>
        <family val="2"/>
        <charset val="1"/>
      </rPr>
      <t xml:space="preserve">Data Gravity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部署後合計</t>
    </r>
  </si>
  <si>
    <t xml:space="preserve">Analogy</t>
  </si>
  <si>
    <r>
      <rPr>
        <sz val="11"/>
        <color theme="1"/>
        <rFont val="Noto Sans CJK SC"/>
        <family val="2"/>
      </rPr>
      <t xml:space="preserve">同上「</t>
    </r>
    <r>
      <rPr>
        <sz val="11"/>
        <color theme="1"/>
        <rFont val="Calibri"/>
        <family val="2"/>
        <charset val="1"/>
      </rPr>
      <t xml:space="preserve">closer to $5.7 million</t>
    </r>
    <r>
      <rPr>
        <sz val="11"/>
        <color theme="1"/>
        <rFont val="Noto Sans CJK SC"/>
        <family val="2"/>
      </rPr>
      <t xml:space="preserve">」（不含 </t>
    </r>
    <r>
      <rPr>
        <sz val="11"/>
        <color theme="1"/>
        <rFont val="Calibri"/>
        <family val="2"/>
        <charset val="1"/>
      </rPr>
      <t xml:space="preserve">DC </t>
    </r>
    <r>
      <rPr>
        <sz val="11"/>
        <color theme="1"/>
        <rFont val="Noto Sans CJK SC"/>
        <family val="2"/>
      </rPr>
      <t xml:space="preserve">建造、叢集核心交換、儲存）</t>
    </r>
  </si>
  <si>
    <t xml:space="preserve">th_lo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</si>
  <si>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每架（媒體估計）低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</si>
  <si>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（媒體）</t>
    </r>
  </si>
  <si>
    <r>
      <rPr>
        <sz val="11"/>
        <color theme="1"/>
        <rFont val="Noto Sans CJK SC"/>
        <family val="2"/>
      </rPr>
      <t xml:space="preserve">同上轉述「</t>
    </r>
    <r>
      <rPr>
        <sz val="11"/>
        <color theme="1"/>
        <rFont val="Calibri"/>
        <family val="2"/>
        <charset val="1"/>
      </rPr>
      <t xml:space="preserve">$6–6.5M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TK SRC_HW_007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Alt</t>
    </r>
    <r>
      <rPr>
        <sz val="11"/>
        <color theme="1"/>
        <rFont val="Noto Sans CJK SC"/>
        <family val="2"/>
      </rPr>
      <t xml:space="preserve">）</t>
    </r>
  </si>
  <si>
    <t xml:space="preserve">th_hi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</si>
  <si>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：每架 高</t>
    </r>
  </si>
  <si>
    <t xml:space="preserve">dg_oplo</t>
  </si>
  <si>
    <r>
      <rPr>
        <sz val="11"/>
        <color theme="1"/>
        <rFont val="Calibri"/>
        <family val="2"/>
        <charset val="1"/>
      </rPr>
      <t xml:space="preserve">Data Gravity</t>
    </r>
    <r>
      <rPr>
        <sz val="11"/>
        <color theme="1"/>
        <rFont val="Noto Sans CJK SC"/>
        <family val="2"/>
      </rPr>
      <t xml:space="preserve">：每架年營運成本 低（含機房租金約 </t>
    </r>
    <r>
      <rPr>
        <sz val="11"/>
        <color theme="1"/>
        <rFont val="Calibri"/>
        <family val="2"/>
        <charset val="1"/>
      </rPr>
      <t xml:space="preserve">31.8 </t>
    </r>
    <r>
      <rPr>
        <sz val="11"/>
        <color theme="1"/>
        <rFont val="Noto Sans CJK SC"/>
        <family val="2"/>
      </rPr>
      <t xml:space="preserve">萬）</t>
    </r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</si>
  <si>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</si>
  <si>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同上「</t>
    </r>
    <r>
      <rPr>
        <sz val="11"/>
        <color theme="1"/>
        <rFont val="Calibri"/>
        <family val="2"/>
        <charset val="1"/>
      </rPr>
      <t xml:space="preserve">$240–410K</t>
    </r>
    <r>
      <rPr>
        <sz val="11"/>
        <color theme="1"/>
        <rFont val="Noto Sans CJK SC"/>
        <family val="2"/>
      </rPr>
      <t xml:space="preserve">」</t>
    </r>
  </si>
  <si>
    <t xml:space="preserve">dg_ophi</t>
  </si>
  <si>
    <r>
      <rPr>
        <sz val="11"/>
        <color theme="1"/>
        <rFont val="Calibri"/>
        <family val="2"/>
        <charset val="1"/>
      </rPr>
      <t xml:space="preserve">Data Gravity</t>
    </r>
    <r>
      <rPr>
        <sz val="11"/>
        <color theme="1"/>
        <rFont val="Noto Sans CJK SC"/>
        <family val="2"/>
      </rPr>
      <t xml:space="preserve">：每架年營運成本 高</t>
    </r>
  </si>
  <si>
    <r>
      <rPr>
        <b val="true"/>
        <sz val="11"/>
        <rFont val="Cambria"/>
        <family val="0"/>
        <charset val="1"/>
      </rPr>
      <t xml:space="preserve">CoreWeave</t>
    </r>
    <r>
      <rPr>
        <b val="true"/>
        <sz val="11"/>
        <rFont val="Noto Sans CJK SC"/>
        <family val="2"/>
      </rPr>
      <t xml:space="preserve">（承接 </t>
    </r>
    <r>
      <rPr>
        <b val="true"/>
        <sz val="11"/>
        <rFont val="Cambria"/>
        <family val="0"/>
        <charset val="1"/>
      </rPr>
      <t xml:space="preserve">PR #163 </t>
    </r>
    <r>
      <rPr>
        <b val="true"/>
        <sz val="11"/>
        <rFont val="Noto Sans CJK SC"/>
        <family val="2"/>
      </rPr>
      <t xml:space="preserve">錨點；同算法重算 </t>
    </r>
    <r>
      <rPr>
        <b val="true"/>
        <sz val="11"/>
        <rFont val="Cambria"/>
        <family val="0"/>
        <charset val="1"/>
      </rPr>
      <t xml:space="preserve">Q2</t>
    </r>
    <r>
      <rPr>
        <b val="true"/>
        <sz val="11"/>
        <rFont val="Noto Sans CJK SC"/>
        <family val="2"/>
      </rPr>
      <t xml:space="preserve">，並加 </t>
    </r>
    <r>
      <rPr>
        <b val="true"/>
        <sz val="11"/>
        <rFont val="Cambria"/>
        <family val="0"/>
        <charset val="1"/>
      </rPr>
      <t xml:space="preserve">Q1 2026 </t>
    </r>
    <r>
      <rPr>
        <b val="true"/>
        <sz val="11"/>
        <rFont val="Noto Sans CJK SC"/>
        <family val="2"/>
      </rPr>
      <t xml:space="preserve">點）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</si>
  <si>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季平均 </t>
    </r>
    <r>
      <rPr>
        <b val="true"/>
        <sz val="11"/>
        <rFont val="Cambria"/>
        <family val="0"/>
        <charset val="1"/>
      </rPr>
      <t xml:space="preserve">active GW</t>
    </r>
  </si>
  <si>
    <r>
      <rPr>
        <sz val="11"/>
        <color theme="1"/>
        <rFont val="Calibri"/>
        <family val="2"/>
        <charset val="1"/>
      </rPr>
      <t xml:space="preserve">3/31 active GW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6/30 − Q2 </t>
    </r>
    <r>
      <rPr>
        <sz val="11"/>
        <color theme="1"/>
        <rFont val="Noto Sans CJK SC"/>
        <family val="2"/>
      </rPr>
      <t xml:space="preserve">新增）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</si>
  <si>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surpassed 1 GW</t>
    </r>
    <r>
      <rPr>
        <sz val="11"/>
        <color theme="1"/>
        <rFont val="Noto Sans CJK SC"/>
        <family val="2"/>
      </rPr>
      <t xml:space="preserve">」一致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</si>
  <si>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平均（線性）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</si>
  <si>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月集中）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</si>
  <si>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4–5 </t>
    </r>
    <r>
      <rPr>
        <sz val="11"/>
        <color theme="1"/>
        <rFont val="Noto Sans CJK SC"/>
        <family val="2"/>
      </rPr>
      <t xml:space="preserve">月新增計 </t>
    </r>
    <r>
      <rPr>
        <sz val="11"/>
        <color theme="1"/>
        <rFont val="Calibri"/>
        <family val="2"/>
        <charset val="1"/>
      </rPr>
      <t xml:space="preserve">2/3 </t>
    </r>
    <r>
      <rPr>
        <sz val="11"/>
        <color theme="1"/>
        <rFont val="Noto Sans CJK SC"/>
        <family val="2"/>
      </rPr>
      <t xml:space="preserve">季、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月新增計 </t>
    </r>
    <r>
      <rPr>
        <sz val="11"/>
        <color theme="1"/>
        <rFont val="Calibri"/>
        <family val="2"/>
        <charset val="1"/>
      </rPr>
      <t xml:space="preserve">1/6 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</si>
  <si>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H1 − 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</si>
  <si>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平均（線性；</t>
    </r>
    <r>
      <rPr>
        <sz val="11"/>
        <color theme="1"/>
        <rFont val="Calibri"/>
        <family val="2"/>
        <charset val="1"/>
      </rPr>
      <t xml:space="preserve">12/31 0.85 → 3/31 1.0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</si>
  <si>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；兩端皆為「逾」，平均偏低 → 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營收偏高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</si>
  <si>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active GW </t>
    </r>
    <r>
      <rPr>
        <b val="true"/>
        <sz val="11"/>
        <rFont val="Noto Sans CJK SC"/>
        <family val="2"/>
      </rPr>
      <t xml:space="preserve">年營收（</t>
    </r>
    <r>
      <rPr>
        <b val="true"/>
        <sz val="11"/>
        <rFont val="Cambria"/>
        <family val="0"/>
        <charset val="1"/>
      </rPr>
      <t xml:space="preserve">$B/GW·</t>
    </r>
    <r>
      <rPr>
        <b val="true"/>
        <sz val="11"/>
        <rFont val="Noto Sans CJK SC"/>
        <family val="2"/>
      </rPr>
      <t xml:space="preserve">年）</t>
    </r>
  </si>
  <si>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線性</t>
    </r>
  </si>
  <si>
    <r>
      <rPr>
        <b val="true"/>
        <sz val="11"/>
        <rFont val="Cambria"/>
        <family val="0"/>
        <charset val="1"/>
      </rPr>
      <t xml:space="preserve">Q2 6 </t>
    </r>
    <r>
      <rPr>
        <b val="true"/>
        <sz val="11"/>
        <rFont val="Noto Sans CJK SC"/>
        <family val="2"/>
      </rPr>
      <t xml:space="preserve">月集中</t>
    </r>
  </si>
  <si>
    <r>
      <rPr>
        <b val="true"/>
        <sz val="11"/>
        <rFont val="Cambria"/>
        <family val="0"/>
        <charset val="1"/>
      </rPr>
      <t xml:space="preserve">Q1 </t>
    </r>
    <r>
      <rPr>
        <b val="true"/>
        <sz val="11"/>
        <rFont val="Noto Sans CJK SC"/>
        <family val="2"/>
      </rPr>
      <t xml:space="preserve">線性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</si>
  <si>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</t>
    </r>
  </si>
  <si>
    <r>
      <rPr>
        <sz val="11"/>
        <color theme="1"/>
        <rFont val="Noto Sans CJK SC"/>
        <family val="2"/>
      </rPr>
      <t xml:space="preserve">設施口徑 </t>
    </r>
    <r>
      <rPr>
        <sz val="11"/>
        <color theme="1"/>
        <rFont val="Calibri"/>
        <family val="2"/>
        <charset val="1"/>
      </rPr>
      <t xml:space="preserve">PUE 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＝設施 </t>
    </r>
    <r>
      <rPr>
        <sz val="11"/>
        <color theme="1"/>
        <rFont val="Calibri"/>
        <family val="2"/>
        <charset val="1"/>
      </rPr>
      <t xml:space="preserve">÷ PUE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</si>
  <si>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設施口徑 </t>
    </r>
    <r>
      <rPr>
        <sz val="11"/>
        <color theme="1"/>
        <rFont val="Calibri"/>
        <family val="2"/>
        <charset val="1"/>
      </rPr>
      <t xml:space="preserve">PUE 1.3</t>
    </r>
  </si>
  <si>
    <r>
      <rPr>
        <b val="true"/>
        <sz val="11"/>
        <rFont val="Cambria"/>
        <family val="0"/>
        <charset val="1"/>
      </rPr>
      <t xml:space="preserve">C. ÷ TK </t>
    </r>
    <r>
      <rPr>
        <b val="true"/>
        <sz val="11"/>
        <rFont val="Noto Sans CJK SC"/>
        <family val="2"/>
      </rPr>
      <t xml:space="preserve">持有成本</t>
    </r>
  </si>
  <si>
    <t xml:space="preserve">Hopper</t>
  </si>
  <si>
    <t xml:space="preserve">GB200</t>
  </si>
  <si>
    <t xml:space="preserve">GB300</t>
  </si>
  <si>
    <r>
      <rPr>
        <sz val="11"/>
        <color theme="1"/>
        <rFont val="Calibri"/>
        <family val="2"/>
        <charset val="1"/>
      </rPr>
      <t xml:space="preserve">Q2 IT </t>
    </r>
    <r>
      <rPr>
        <sz val="11"/>
        <color theme="1"/>
        <rFont val="Noto Sans CJK SC"/>
        <family val="2"/>
      </rPr>
      <t xml:space="preserve">線性</t>
    </r>
  </si>
  <si>
    <r>
      <rPr>
        <sz val="11"/>
        <color theme="1"/>
        <rFont val="Calibri"/>
        <family val="2"/>
        <charset val="1"/>
      </rPr>
      <t xml:space="preserve">Q2 IT 6 </t>
    </r>
    <r>
      <rPr>
        <sz val="11"/>
        <color theme="1"/>
        <rFont val="Noto Sans CJK SC"/>
        <family val="2"/>
      </rPr>
      <t xml:space="preserve">月集中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</si>
  <si>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設施 </t>
    </r>
    <r>
      <rPr>
        <sz val="11"/>
        <color theme="1"/>
        <rFont val="Calibri"/>
        <family val="2"/>
        <charset val="1"/>
      </rPr>
      <t xml:space="preserve">PUE 1.2 </t>
    </r>
    <r>
      <rPr>
        <sz val="11"/>
        <color theme="1"/>
        <rFont val="Noto Sans CJK SC"/>
        <family val="2"/>
      </rPr>
      <t xml:space="preserve">線性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</si>
  <si>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設施 </t>
    </r>
    <r>
      <rPr>
        <sz val="11"/>
        <color theme="1"/>
        <rFont val="Calibri"/>
        <family val="2"/>
        <charset val="1"/>
      </rPr>
      <t xml:space="preserve">PUE 1.3 6 </t>
    </r>
    <r>
      <rPr>
        <sz val="11"/>
        <color theme="1"/>
        <rFont val="Noto Sans CJK SC"/>
        <family val="2"/>
      </rPr>
      <t xml:space="preserve">月集中</t>
    </r>
  </si>
  <si>
    <r>
      <rPr>
        <sz val="11"/>
        <color theme="1"/>
        <rFont val="Calibri"/>
        <family val="2"/>
        <charset val="1"/>
      </rPr>
      <t xml:space="preserve">Q1 IT </t>
    </r>
    <r>
      <rPr>
        <sz val="11"/>
        <color theme="1"/>
        <rFont val="Noto Sans CJK SC"/>
        <family val="2"/>
      </rPr>
      <t xml:space="preserve">線性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</si>
  <si>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設施 </t>
    </r>
    <r>
      <rPr>
        <sz val="11"/>
        <color theme="1"/>
        <rFont val="Calibri"/>
        <family val="2"/>
        <charset val="1"/>
      </rPr>
      <t xml:space="preserve">PUE 1.3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</si>
  <si>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區間（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欄，同 </t>
    </r>
    <r>
      <rPr>
        <sz val="11"/>
        <color theme="1"/>
        <rFont val="Calibri"/>
        <family val="2"/>
        <charset val="1"/>
      </rPr>
      <t xml:space="preserve">PR #163</t>
    </r>
    <r>
      <rPr>
        <sz val="11"/>
        <color theme="1"/>
        <rFont val="Noto Sans CJK SC"/>
        <family val="2"/>
      </rPr>
      <t xml:space="preserve">）：最小</t>
    </r>
  </si>
  <si>
    <r>
      <rPr>
        <sz val="11"/>
        <color theme="1"/>
        <rFont val="Calibri"/>
        <family val="2"/>
        <charset val="1"/>
      </rPr>
      <t xml:space="preserve">PR #163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0.76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</si>
  <si>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區間：最大</t>
    </r>
  </si>
  <si>
    <r>
      <rPr>
        <sz val="11"/>
        <color theme="1"/>
        <rFont val="Calibri"/>
        <family val="2"/>
        <charset val="1"/>
      </rPr>
      <t xml:space="preserve">PR #163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1.28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</si>
  <si>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× 7 </t>
    </r>
    <r>
      <rPr>
        <sz val="11"/>
        <color theme="1"/>
        <rFont val="Noto Sans CJK SC"/>
        <family val="2"/>
      </rPr>
      <t xml:space="preserve">月漲價：最小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</si>
  <si>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× 7 </t>
    </r>
    <r>
      <rPr>
        <sz val="11"/>
        <color theme="1"/>
        <rFont val="Noto Sans CJK SC"/>
        <family val="2"/>
      </rPr>
      <t xml:space="preserve">月漲價：最大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</si>
  <si>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區間（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PUE 1.3</t>
    </r>
    <r>
      <rPr>
        <sz val="11"/>
        <color theme="1"/>
        <rFont val="Noto Sans CJK SC"/>
        <family val="2"/>
      </rPr>
      <t xml:space="preserve">）：最小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</si>
  <si>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區間：最大</t>
    </r>
  </si>
  <si>
    <r>
      <rPr>
        <b val="true"/>
        <sz val="11"/>
        <rFont val="Cambria"/>
        <family val="0"/>
        <charset val="1"/>
      </rPr>
      <t xml:space="preserve">Nebius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NBIS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active power</t>
    </r>
    <r>
      <rPr>
        <b val="true"/>
        <sz val="11"/>
        <rFont val="Noto Sans CJK SC"/>
        <family val="2"/>
      </rPr>
      <t xml:space="preserve">＝「</t>
    </r>
    <r>
      <rPr>
        <b val="true"/>
        <sz val="11"/>
        <rFont val="Cambria"/>
        <family val="0"/>
        <charset val="1"/>
      </rPr>
      <t xml:space="preserve">capacity being consumed by IT equipment and available for revenue generation</t>
    </r>
    <r>
      <rPr>
        <b val="true"/>
        <sz val="11"/>
        <rFont val="Noto Sans CJK SC"/>
        <family val="2"/>
      </rPr>
      <t xml:space="preserve">」（</t>
    </r>
    <r>
      <rPr>
        <b val="true"/>
        <sz val="11"/>
        <rFont val="Cambria"/>
        <family val="0"/>
        <charset val="1"/>
      </rPr>
      <t xml:space="preserve">20-F</t>
    </r>
    <r>
      <rPr>
        <b val="true"/>
        <sz val="11"/>
        <rFont val="Noto Sans CJK SC"/>
        <family val="2"/>
      </rPr>
      <t xml:space="preserve">）→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側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</si>
  <si>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機隊平均：</t>
    </r>
    <r>
      <rPr>
        <b val="true"/>
        <sz val="11"/>
        <rFont val="Cambria"/>
        <family val="0"/>
        <charset val="1"/>
      </rPr>
      <t xml:space="preserve">2025 Q4</t>
    </r>
    <r>
      <rPr>
        <b val="true"/>
        <sz val="11"/>
        <rFont val="Noto Sans CJK SC"/>
        <family val="2"/>
      </rPr>
      <t xml:space="preserve">（唯一有 </t>
    </r>
    <r>
      <rPr>
        <b val="true"/>
        <sz val="11"/>
        <rFont val="Cambria"/>
        <family val="0"/>
        <charset val="1"/>
      </rPr>
      <t xml:space="preserve">active MW </t>
    </r>
    <r>
      <rPr>
        <b val="true"/>
        <sz val="11"/>
        <rFont val="Noto Sans CJK SC"/>
        <family val="2"/>
      </rPr>
      <t xml:space="preserve">的時點）</t>
    </r>
  </si>
  <si>
    <r>
      <rPr>
        <sz val="11"/>
        <color theme="1"/>
        <rFont val="Calibri"/>
        <family val="2"/>
        <charset val="1"/>
      </rPr>
      <t xml:space="preserve">9/30 active GW </t>
    </r>
    <r>
      <rPr>
        <sz val="11"/>
        <color theme="1"/>
        <rFont val="Noto Sans CJK SC"/>
        <family val="2"/>
      </rPr>
      <t xml:space="preserve">估計（依 </t>
    </r>
    <r>
      <rPr>
        <sz val="11"/>
        <color theme="1"/>
        <rFont val="Calibri"/>
        <family val="2"/>
        <charset val="1"/>
      </rPr>
      <t xml:space="preserve">ARR </t>
    </r>
    <r>
      <rPr>
        <sz val="11"/>
        <color theme="1"/>
        <rFont val="Noto Sans CJK SC"/>
        <family val="2"/>
      </rPr>
      <t xml:space="preserve">比例）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</si>
  <si>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月與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月相同</t>
    </r>
  </si>
  <si>
    <r>
      <rPr>
        <sz val="11"/>
        <color theme="1"/>
        <rFont val="Calibri"/>
        <family val="2"/>
        <charset val="1"/>
      </rPr>
      <t xml:space="preserve">9/30 active GW </t>
    </r>
    <r>
      <rPr>
        <sz val="11"/>
        <color theme="1"/>
        <rFont val="Noto Sans CJK SC"/>
        <family val="2"/>
      </rPr>
      <t xml:space="preserve">上界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</si>
  <si>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信稱年底目標 </t>
    </r>
    <r>
      <rPr>
        <sz val="11"/>
        <color theme="1"/>
        <rFont val="Calibri"/>
        <family val="2"/>
        <charset val="1"/>
      </rPr>
      <t xml:space="preserve">100 MW → 9 </t>
    </r>
    <r>
      <rPr>
        <sz val="11"/>
        <color theme="1"/>
        <rFont val="Noto Sans CJK SC"/>
        <family val="2"/>
      </rPr>
      <t xml:space="preserve">月底應低於此</t>
    </r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</si>
  <si>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平均（線性，</t>
    </r>
    <r>
      <rPr>
        <sz val="11"/>
        <color theme="1"/>
        <rFont val="Calibri"/>
        <family val="2"/>
        <charset val="1"/>
      </rPr>
      <t xml:space="preserve">ARR </t>
    </r>
    <r>
      <rPr>
        <sz val="11"/>
        <color theme="1"/>
        <rFont val="Noto Sans CJK SC"/>
        <family val="2"/>
      </rPr>
      <t xml:space="preserve">比例起點）</t>
    </r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</si>
  <si>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平均（線性，上界起點）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</si>
  <si>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；平均偏大 → 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營收偏低（保守端）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</si>
  <si>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active GW </t>
    </r>
    <r>
      <rPr>
        <b val="true"/>
        <sz val="11"/>
        <rFont val="Noto Sans CJK SC"/>
        <family val="2"/>
      </rPr>
      <t xml:space="preserve">年營收（</t>
    </r>
    <r>
      <rPr>
        <b val="true"/>
        <sz val="11"/>
        <rFont val="Cambria"/>
        <family val="0"/>
        <charset val="1"/>
      </rPr>
      <t xml:space="preserve">$B/GW·</t>
    </r>
    <r>
      <rPr>
        <b val="true"/>
        <sz val="1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</si>
  <si>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(1) ARR ÷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active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</si>
  <si>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× 12 ÷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月平均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低於年底 → 此值略偏低</t>
    </r>
  </si>
  <si>
    <r>
      <rPr>
        <sz val="11"/>
        <color theme="1"/>
        <rFont val="Calibri"/>
        <family val="2"/>
        <charset val="1"/>
      </rPr>
      <t xml:space="preserve">(2) Q4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4 ÷ Q4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ARR </t>
    </r>
    <r>
      <rPr>
        <sz val="11"/>
        <color theme="1"/>
        <rFont val="Noto Sans CJK SC"/>
        <family val="2"/>
      </rPr>
      <t xml:space="preserve">比例起點）</t>
    </r>
  </si>
  <si>
    <r>
      <rPr>
        <sz val="11"/>
        <color theme="1"/>
        <rFont val="Calibri"/>
        <family val="2"/>
        <charset val="1"/>
      </rPr>
      <t xml:space="preserve">core AI cloud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</si>
  <si>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(3) Q4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4 ÷ Q4 </t>
    </r>
    <r>
      <rPr>
        <sz val="11"/>
        <color theme="1"/>
        <rFont val="Noto Sans CJK SC"/>
        <family val="2"/>
      </rPr>
      <t xml:space="preserve">平均（上界起點）</t>
    </r>
  </si>
  <si>
    <t xml:space="preserve">保守端</t>
  </si>
  <si>
    <r>
      <rPr>
        <b val="true"/>
        <sz val="11"/>
        <rFont val="Cambria"/>
        <family val="0"/>
        <charset val="1"/>
      </rPr>
      <t xml:space="preserve">÷ TK </t>
    </r>
    <r>
      <rPr>
        <b val="true"/>
        <sz val="11"/>
        <rFont val="Noto Sans CJK SC"/>
        <family val="2"/>
      </rPr>
      <t xml:space="preserve">持有成本（機隊：</t>
    </r>
    <r>
      <rPr>
        <b val="true"/>
        <sz val="11"/>
        <rFont val="Cambria"/>
        <family val="0"/>
        <charset val="1"/>
      </rPr>
      <t xml:space="preserve">Hopper </t>
    </r>
    <r>
      <rPr>
        <b val="true"/>
        <sz val="11"/>
        <rFont val="Noto Sans CJK SC"/>
        <family val="2"/>
      </rPr>
      <t xml:space="preserve">為主，</t>
    </r>
    <r>
      <rPr>
        <b val="true"/>
        <sz val="11"/>
        <rFont val="Cambria"/>
        <family val="0"/>
        <charset val="1"/>
      </rPr>
      <t xml:space="preserve">B200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GB200 </t>
    </r>
    <r>
      <rPr>
        <b val="true"/>
        <sz val="11"/>
        <rFont val="Noto Sans CJK SC"/>
        <family val="2"/>
      </rPr>
      <t xml:space="preserve">次之，</t>
    </r>
    <r>
      <rPr>
        <b val="true"/>
        <sz val="11"/>
        <rFont val="Cambria"/>
        <family val="0"/>
        <charset val="1"/>
      </rPr>
      <t xml:space="preserve">B300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GB300 </t>
    </r>
    <r>
      <rPr>
        <b val="true"/>
        <sz val="11"/>
        <rFont val="Noto Sans CJK SC"/>
        <family val="2"/>
      </rPr>
      <t xml:space="preserve">剛開始）</t>
    </r>
  </si>
  <si>
    <t xml:space="preserve">(1)</t>
  </si>
  <si>
    <t xml:space="preserve">(2)</t>
  </si>
  <si>
    <t xml:space="preserve">(3)</t>
  </si>
  <si>
    <r>
      <rPr>
        <sz val="11"/>
        <color theme="1"/>
        <rFont val="Noto Sans CJK SC"/>
        <family val="2"/>
      </rPr>
      <t xml:space="preserve">機隊區間（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欄）：最小</t>
    </r>
  </si>
  <si>
    <t xml:space="preserve">機隊區間：最大</t>
  </si>
  <si>
    <r>
      <rPr>
        <sz val="11"/>
        <color theme="1"/>
        <rFont val="Noto Sans CJK SC"/>
        <family val="2"/>
      </rPr>
      <t xml:space="preserve">敏感度：若 </t>
    </r>
    <r>
      <rPr>
        <sz val="11"/>
        <color theme="1"/>
        <rFont val="Calibri"/>
        <family val="2"/>
        <charset val="1"/>
      </rPr>
      <t xml:space="preserve">active </t>
    </r>
    <r>
      <rPr>
        <sz val="11"/>
        <color theme="1"/>
        <rFont val="Noto Sans CJK SC"/>
        <family val="2"/>
      </rPr>
      <t xml:space="preserve">為實際耗電（設計功率＝</t>
    </r>
    <r>
      <rPr>
        <sz val="11"/>
        <color theme="1"/>
        <rFont val="Calibri"/>
        <family val="2"/>
        <charset val="1"/>
      </rPr>
      <t xml:space="preserve">active ÷ </t>
    </r>
    <r>
      <rPr>
        <sz val="11"/>
        <color theme="1"/>
        <rFont val="Noto Sans CJK SC"/>
        <family val="2"/>
      </rPr>
      <t xml:space="preserve">平均用電比 </t>
    </r>
    <r>
      <rPr>
        <sz val="11"/>
        <color theme="1"/>
        <rFont val="Calibri"/>
        <family val="2"/>
        <charset val="1"/>
      </rPr>
      <t xml:space="preserve">0.7–0.9</t>
    </r>
    <r>
      <rPr>
        <sz val="11"/>
        <color theme="1"/>
        <rFont val="Noto Sans CJK SC"/>
        <family val="2"/>
      </rPr>
      <t xml:space="preserve">）→ 最小</t>
    </r>
  </si>
  <si>
    <r>
      <rPr>
        <sz val="11"/>
        <color theme="1"/>
        <rFont val="Noto Sans CJK SC"/>
        <family val="2"/>
      </rPr>
      <t xml:space="preserve">本段判斷不採（「</t>
    </r>
    <r>
      <rPr>
        <sz val="11"/>
        <color theme="1"/>
        <rFont val="Calibri"/>
        <family val="2"/>
        <charset val="1"/>
      </rPr>
      <t xml:space="preserve">capacity … available for revenue generation</t>
    </r>
    <r>
      <rPr>
        <sz val="11"/>
        <color theme="1"/>
        <rFont val="Noto Sans CJK SC"/>
        <family val="2"/>
      </rPr>
      <t xml:space="preserve">」讀作可用容量）</t>
    </r>
  </si>
  <si>
    <t xml:space="preserve">同上 → 最大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</si>
  <si>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新約與存量合約單價（</t>
    </r>
    <r>
      <rPr>
        <b val="true"/>
        <sz val="11"/>
        <rFont val="Cambria"/>
        <family val="0"/>
        <charset val="1"/>
      </rPr>
      <t xml:space="preserve">ACV per MW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口徑未定義，以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計）</t>
    </r>
  </si>
  <si>
    <t xml:space="preserve">單價</t>
  </si>
  <si>
    <t xml:space="preserve">÷GB200</t>
  </si>
  <si>
    <t xml:space="preserve">÷VR200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</si>
  <si>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四筆大單 低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</si>
  <si>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四筆大單 高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</si>
  <si>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短期（≤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個月）低</t>
    </r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</si>
  <si>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短期 高</t>
    </r>
  </si>
  <si>
    <r>
      <rPr>
        <sz val="11"/>
        <color theme="1"/>
        <rFont val="Noto Sans CJK SC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為設施電力：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大單 </t>
    </r>
    <r>
      <rPr>
        <sz val="11"/>
        <color theme="1"/>
        <rFont val="Calibri"/>
        <family val="2"/>
        <charset val="1"/>
      </rPr>
      <t xml:space="preserve">÷GB300 × PUE 1.2</t>
    </r>
    <r>
      <rPr>
        <sz val="11"/>
        <color theme="1"/>
        <rFont val="Noto Sans CJK SC"/>
        <family val="2"/>
      </rPr>
      <t xml:space="preserve">（低）</t>
    </r>
  </si>
  <si>
    <r>
      <rPr>
        <sz val="11"/>
        <color theme="1"/>
        <rFont val="Noto Sans CJK SC"/>
        <family val="2"/>
      </rPr>
      <t xml:space="preserve">同上 </t>
    </r>
    <r>
      <rPr>
        <sz val="11"/>
        <color theme="1"/>
        <rFont val="Calibri"/>
        <family val="2"/>
        <charset val="1"/>
      </rPr>
      <t xml:space="preserve">× PUE 1.3</t>
    </r>
    <r>
      <rPr>
        <sz val="11"/>
        <color theme="1"/>
        <rFont val="Noto Sans CJK SC"/>
        <family val="2"/>
      </rPr>
      <t xml:space="preserve">（高）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</si>
  <si>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回本期檢查（年化讀法是否成立）</t>
    </r>
  </si>
  <si>
    <r>
      <rPr>
        <sz val="11"/>
        <color theme="1"/>
        <rFont val="Noto Sans CJK SC"/>
        <family val="2"/>
      </rPr>
      <t xml:space="preserve">隱含資本支出（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大單低，扣 </t>
    </r>
    <r>
      <rPr>
        <sz val="11"/>
        <color theme="1"/>
        <rFont val="Calibri"/>
        <family val="2"/>
        <charset val="1"/>
      </rPr>
      <t xml:space="preserve">TK opex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</si>
  <si>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Noto Sans CJK SC"/>
        <family val="2"/>
      </rPr>
      <t xml:space="preserve">；回本期 </t>
    </r>
    <r>
      <rPr>
        <sz val="11"/>
        <color theme="1"/>
        <rFont val="Calibri"/>
        <family val="2"/>
        <charset val="1"/>
      </rPr>
      <t xml:space="preserve">× (ACV − </t>
    </r>
    <r>
      <rPr>
        <sz val="11"/>
        <color theme="1"/>
        <rFont val="Noto Sans CJK SC"/>
        <family val="2"/>
      </rPr>
      <t xml:space="preserve">營運費用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</si>
  <si>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隱含資本支出（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大單高）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</si>
  <si>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TK GB300 IT</t>
    </r>
    <r>
      <rPr>
        <sz val="11"/>
        <color theme="1"/>
        <rFont val="Noto Sans CJK SC"/>
        <family val="2"/>
      </rPr>
      <t xml:space="preserve">＋廠房資本支出（基準）</t>
    </r>
  </si>
  <si>
    <r>
      <rPr>
        <sz val="11"/>
        <color theme="1"/>
        <rFont val="Noto Sans CJK SC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ACV </t>
    </r>
    <r>
      <rPr>
        <sz val="11"/>
        <color theme="1"/>
        <rFont val="Noto Sans CJK SC"/>
        <family val="2"/>
      </rPr>
      <t xml:space="preserve">是總額而非年額，隱含資本支出只有約 </t>
    </r>
    <r>
      <rPr>
        <sz val="11"/>
        <color theme="1"/>
        <rFont val="Calibri"/>
        <family val="2"/>
        <charset val="1"/>
      </rPr>
      <t xml:space="preserve">1/3</t>
    </r>
    <r>
      <rPr>
        <sz val="11"/>
        <color theme="1"/>
        <rFont val="Noto Sans CJK SC"/>
        <family val="2"/>
      </rPr>
      <t xml:space="preserve">，與任何口徑都不符 → 年化讀法成立</t>
    </r>
  </si>
  <si>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÷ TK</t>
    </r>
    <r>
      <rPr>
        <sz val="11"/>
        <color theme="1"/>
        <rFont val="Noto Sans CJK SC"/>
        <family val="2"/>
      </rPr>
      <t xml:space="preserve">（低／高）</t>
    </r>
  </si>
  <si>
    <r>
      <rPr>
        <b val="true"/>
        <sz val="11"/>
        <rFont val="Cambria"/>
        <family val="0"/>
        <charset val="1"/>
      </rPr>
      <t xml:space="preserve">IREN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cloud </t>
    </r>
    <r>
      <rPr>
        <b val="true"/>
        <sz val="11"/>
        <rFont val="Noto Sans CJK SC"/>
        <family val="2"/>
      </rPr>
      <t xml:space="preserve">部分）：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標明「</t>
    </r>
    <r>
      <rPr>
        <b val="true"/>
        <sz val="11"/>
        <rFont val="Cambria"/>
        <family val="0"/>
        <charset val="1"/>
      </rPr>
      <t xml:space="preserve">(IT)</t>
    </r>
    <r>
      <rPr>
        <b val="true"/>
        <sz val="11"/>
        <rFont val="Noto Sans CJK SC"/>
        <family val="2"/>
      </rPr>
      <t xml:space="preserve">」；機隊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未揭露 → 只做合約層</t>
    </r>
  </si>
  <si>
    <r>
      <rPr>
        <b val="true"/>
        <sz val="11"/>
        <rFont val="Cambria"/>
        <family val="0"/>
        <charset val="1"/>
      </rPr>
      <t xml:space="preserve">A. Microsoft </t>
    </r>
    <r>
      <rPr>
        <b val="true"/>
        <sz val="11"/>
        <rFont val="Noto Sans CJK SC"/>
        <family val="2"/>
      </rPr>
      <t xml:space="preserve">合約（</t>
    </r>
    <r>
      <rPr>
        <b val="true"/>
        <sz val="11"/>
        <rFont val="Cambria"/>
        <family val="0"/>
        <charset val="1"/>
      </rPr>
      <t xml:space="preserve">2025-11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GB300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年）</t>
    </r>
  </si>
  <si>
    <t xml:space="preserve">年營收</t>
  </si>
  <si>
    <r>
      <rPr>
        <sz val="11"/>
        <color theme="1"/>
        <rFont val="Calibri"/>
        <family val="2"/>
        <charset val="1"/>
      </rPr>
      <t xml:space="preserve">$B/</t>
    </r>
    <r>
      <rPr>
        <sz val="11"/>
        <color theme="1"/>
        <rFont val="Noto Sans CJK SC"/>
        <family val="2"/>
      </rPr>
      <t xml:space="preserve">年（含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預付，按直線平均）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</si>
  <si>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年營收</t>
    </r>
  </si>
  <si>
    <r>
      <rPr>
        <sz val="11"/>
        <color theme="1"/>
        <rFont val="Calibri"/>
        <family val="2"/>
        <charset val="1"/>
      </rPr>
      <t xml:space="preserve">$B/GW·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TK DB_Evidence E297 </t>
    </r>
    <r>
      <rPr>
        <sz val="11"/>
        <color theme="1"/>
        <rFont val="Noto Sans CJK SC"/>
        <family val="2"/>
      </rPr>
      <t xml:space="preserve">已記 </t>
    </r>
    <r>
      <rPr>
        <sz val="11"/>
        <color theme="1"/>
        <rFont val="Calibri"/>
        <family val="2"/>
        <charset val="1"/>
      </rPr>
      <t xml:space="preserve">9.70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</si>
  <si>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近期合約（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3–5 </t>
    </r>
    <r>
      <rPr>
        <b val="true"/>
        <sz val="1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</si>
  <si>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近期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年約（下限）</t>
    </r>
  </si>
  <si>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&gt;$20m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為「</t>
    </r>
    <r>
      <rPr>
        <sz val="11"/>
        <color theme="1"/>
        <rFont val="Calibri"/>
        <family val="2"/>
        <charset val="1"/>
      </rPr>
      <t xml:space="preserve">ordered quite some time ago</t>
    </r>
    <r>
      <rPr>
        <sz val="11"/>
        <color theme="1"/>
        <rFont val="Noto Sans CJK SC"/>
        <family val="2"/>
      </rPr>
      <t xml:space="preserve">」→ 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</t>
    </r>
  </si>
  <si>
    <t xml:space="preserve">洽談中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</si>
  <si>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直接成本率與營運費用</t>
    </r>
  </si>
  <si>
    <r>
      <rPr>
        <sz val="11"/>
        <color theme="1"/>
        <rFont val="Calibri"/>
        <family val="2"/>
        <charset val="1"/>
      </rPr>
      <t xml:space="preserve">Q4 FY26 AI Cloud </t>
    </r>
    <r>
      <rPr>
        <sz val="11"/>
        <color theme="1"/>
        <rFont val="Noto Sans CJK SC"/>
        <family val="2"/>
      </rPr>
      <t xml:space="preserve">直接成本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</si>
  <si>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不含折舊；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自有機房，主要為電費與站點營運</t>
    </r>
  </si>
  <si>
    <r>
      <rPr>
        <sz val="11"/>
        <color theme="1"/>
        <rFont val="Noto Sans CJK SC"/>
        <family val="2"/>
      </rPr>
      <t xml:space="preserve">隱含營運費用：單價 </t>
    </r>
    <r>
      <rPr>
        <sz val="11"/>
        <color theme="1"/>
        <rFont val="Calibri"/>
        <family val="2"/>
        <charset val="1"/>
      </rPr>
      <t xml:space="preserve">20 × </t>
    </r>
    <r>
      <rPr>
        <sz val="11"/>
        <color theme="1"/>
        <rFont val="Noto Sans CJK SC"/>
        <family val="2"/>
      </rPr>
      <t xml:space="preserve">直接成本率</t>
    </r>
  </si>
  <si>
    <r>
      <rPr>
        <sz val="11"/>
        <color theme="1"/>
        <rFont val="Calibri"/>
        <family val="2"/>
        <charset val="1"/>
      </rPr>
      <t xml:space="preserve">$B/GW·</t>
    </r>
    <r>
      <rPr>
        <sz val="11"/>
        <color theme="1"/>
        <rFont val="Noto Sans CJK SC"/>
        <family val="2"/>
      </rPr>
      <t xml:space="preserve">年；對照 </t>
    </r>
    <r>
      <rPr>
        <sz val="11"/>
        <color theme="1"/>
        <rFont val="Calibri"/>
        <family val="2"/>
        <charset val="1"/>
      </rPr>
      <t xml:space="preserve">TK IF_OpexGW GB300 1.98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1.21–3.00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</si>
  <si>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隱含營運費用：單價 </t>
    </r>
    <r>
      <rPr>
        <sz val="11"/>
        <color theme="1"/>
        <rFont val="Calibri"/>
        <family val="2"/>
        <charset val="1"/>
      </rPr>
      <t xml:space="preserve">25 × </t>
    </r>
    <r>
      <rPr>
        <sz val="11"/>
        <color theme="1"/>
        <rFont val="Noto Sans CJK SC"/>
        <family val="2"/>
      </rPr>
      <t xml:space="preserve">直接成本率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</si>
  <si>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回本期隱含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資本支出（註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定義）</t>
    </r>
  </si>
  <si>
    <t xml:space="preserve">÷TK IT</t>
  </si>
  <si>
    <r>
      <rPr>
        <sz val="11"/>
        <color theme="1"/>
        <rFont val="Noto Sans CJK SC"/>
        <family val="2"/>
      </rPr>
      <t xml:space="preserve">回本 </t>
    </r>
    <r>
      <rPr>
        <sz val="11"/>
        <color theme="1"/>
        <rFont val="Calibri"/>
        <family val="2"/>
        <charset val="1"/>
      </rPr>
      <t xml:space="preserve">× (20 − </t>
    </r>
    <r>
      <rPr>
        <sz val="11"/>
        <color theme="1"/>
        <rFont val="Noto Sans CJK SC"/>
        <family val="2"/>
      </rPr>
      <t xml:space="preserve">隱含營運費用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</si>
  <si>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與附屬設備</t>
    </r>
  </si>
  <si>
    <r>
      <rPr>
        <sz val="11"/>
        <color theme="1"/>
        <rFont val="Noto Sans CJK SC"/>
        <family val="2"/>
      </rPr>
      <t xml:space="preserve">回本 </t>
    </r>
    <r>
      <rPr>
        <sz val="11"/>
        <color theme="1"/>
        <rFont val="Calibri"/>
        <family val="2"/>
        <charset val="1"/>
      </rPr>
      <t xml:space="preserve">× (25 − </t>
    </r>
    <r>
      <rPr>
        <sz val="11"/>
        <color theme="1"/>
        <rFont val="Noto Sans CJK SC"/>
        <family val="2"/>
      </rPr>
      <t xml:space="preserve">隱含營運費用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</si>
  <si>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採購 </t>
    </r>
    <r>
      <rPr>
        <sz val="11"/>
        <color theme="1"/>
        <rFont val="Calibri"/>
        <family val="2"/>
        <charset val="1"/>
      </rPr>
      <t xml:space="preserve">÷ 200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</si>
  <si>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TK SRC_DC_014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29.0</t>
    </r>
  </si>
  <si>
    <r>
      <rPr>
        <b val="true"/>
        <sz val="11"/>
        <rFont val="Cambria"/>
        <family val="0"/>
        <charset val="1"/>
      </rPr>
      <t xml:space="preserve">WhiteFiber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WYFI</t>
    </r>
    <r>
      <rPr>
        <b val="true"/>
        <sz val="11"/>
        <rFont val="Noto Sans CJK SC"/>
        <family val="2"/>
      </rPr>
      <t xml:space="preserve">）：雲端分部；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負載揭露（冰島 </t>
    </r>
    <r>
      <rPr>
        <b val="true"/>
        <sz val="11"/>
        <rFont val="Cambria"/>
        <family val="0"/>
        <charset val="1"/>
      </rPr>
      <t xml:space="preserve">5.5 MW-IT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</si>
  <si>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機隊平均：</t>
    </r>
    <r>
      <rPr>
        <b val="true"/>
        <sz val="11"/>
        <rFont val="Cambria"/>
        <family val="0"/>
        <charset val="1"/>
      </rPr>
      <t xml:space="preserve">2026 Q2</t>
    </r>
  </si>
  <si>
    <t xml:space="preserve">經常性雲端營收（扣終止費）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</si>
  <si>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年營收（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冰島 </t>
    </r>
    <r>
      <rPr>
        <sz val="11"/>
        <color theme="1"/>
        <rFont val="Calibri"/>
        <family val="2"/>
        <charset val="1"/>
      </rPr>
      <t xml:space="preserve">5.5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</si>
  <si>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$M/MW·</t>
    </r>
    <r>
      <rPr>
        <sz val="11"/>
        <color theme="1"/>
        <rFont val="Noto Sans CJK SC"/>
        <family val="2"/>
      </rPr>
      <t xml:space="preserve">年＝</t>
    </r>
    <r>
      <rPr>
        <sz val="11"/>
        <color theme="1"/>
        <rFont val="Calibri"/>
        <family val="2"/>
        <charset val="1"/>
      </rPr>
      <t xml:space="preserve">$B/GW·</t>
    </r>
    <r>
      <rPr>
        <sz val="11"/>
        <color theme="1"/>
        <rFont val="Noto Sans CJK SC"/>
        <family val="2"/>
      </rPr>
      <t xml:space="preserve">年；亞特蘭大等未計入 </t>
    </r>
    <r>
      <rPr>
        <sz val="11"/>
        <color theme="1"/>
        <rFont val="Calibri"/>
        <family val="2"/>
        <charset val="1"/>
      </rPr>
      <t xml:space="preserve">MW → </t>
    </r>
    <r>
      <rPr>
        <sz val="11"/>
        <color theme="1"/>
        <rFont val="Noto Sans CJK SC"/>
        <family val="2"/>
      </rPr>
      <t xml:space="preserve">偏上界</t>
    </r>
  </si>
  <si>
    <r>
      <rPr>
        <sz val="11"/>
        <color theme="1"/>
        <rFont val="Calibri"/>
        <family val="2"/>
        <charset val="1"/>
      </rPr>
      <t xml:space="preserve">÷ TK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</si>
  <si>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機隊 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B200 </t>
    </r>
    <r>
      <rPr>
        <sz val="11"/>
        <color theme="1"/>
        <rFont val="Noto Sans CJK SC"/>
        <family val="2"/>
      </rPr>
      <t xml:space="preserve">為主</t>
    </r>
  </si>
  <si>
    <r>
      <rPr>
        <sz val="11"/>
        <color theme="1"/>
        <rFont val="Calibri"/>
        <family val="2"/>
        <charset val="1"/>
      </rPr>
      <t xml:space="preserve">÷ TK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GB200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</si>
  <si>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合約層（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數 </t>
    </r>
    <r>
      <rPr>
        <b val="true"/>
        <sz val="11"/>
        <rFont val="Cambria"/>
        <family val="0"/>
        <charset val="1"/>
      </rPr>
      <t xml:space="preserve">÷ TK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GPU </t>
    </r>
    <r>
      <rPr>
        <b val="true"/>
        <sz val="11"/>
        <rFont val="Noto Sans CJK SC"/>
        <family val="2"/>
      </rPr>
      <t xml:space="preserve">數換算 </t>
    </r>
    <r>
      <rPr>
        <b val="true"/>
        <sz val="11"/>
        <rFont val="Cambria"/>
        <family val="0"/>
        <charset val="1"/>
      </rPr>
      <t xml:space="preserve">IT GW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</si>
  <si>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年營收 </t>
    </r>
    <r>
      <rPr>
        <b val="true"/>
        <sz val="11"/>
        <rFont val="Cambria"/>
        <family val="0"/>
        <charset val="1"/>
      </rPr>
      <t xml:space="preserve">$M</t>
    </r>
  </si>
  <si>
    <t xml:space="preserve">IT MW</t>
  </si>
  <si>
    <r>
      <rPr>
        <b val="true"/>
        <sz val="11"/>
        <rFont val="Cambria"/>
        <family val="0"/>
        <charset val="1"/>
      </rPr>
      <t xml:space="preserve">$B/GW·</t>
    </r>
    <r>
      <rPr>
        <b val="true"/>
        <sz val="11"/>
        <rFont val="Noto Sans CJK SC"/>
        <family val="2"/>
      </rPr>
      <t xml:space="preserve">年</t>
    </r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</si>
  <si>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持有成本</t>
    </r>
  </si>
  <si>
    <t xml:space="preserve">比值</t>
  </si>
  <si>
    <t xml:space="preserve">世代</t>
  </si>
  <si>
    <r>
      <rPr>
        <sz val="11"/>
        <color theme="1"/>
        <rFont val="Calibri"/>
        <family val="2"/>
        <charset val="1"/>
      </rPr>
      <t xml:space="preserve">Baseten 1,392 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個月，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</si>
  <si>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冰島 </t>
    </r>
    <r>
      <rPr>
        <sz val="11"/>
        <color theme="1"/>
        <rFont val="Calibri"/>
        <family val="2"/>
        <charset val="1"/>
      </rPr>
      <t xml:space="preserve">576 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起；另有營收分成）</t>
    </r>
  </si>
  <si>
    <r>
      <rPr>
        <sz val="11"/>
        <color theme="1"/>
        <rFont val="Noto Sans CJK SC"/>
        <family val="2"/>
      </rPr>
      <t xml:space="preserve">新客戶 </t>
    </r>
    <r>
      <rPr>
        <sz val="11"/>
        <color theme="1"/>
        <rFont val="Calibri"/>
        <family val="2"/>
        <charset val="1"/>
      </rPr>
      <t xml:space="preserve">128 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個月，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簽）</t>
    </r>
  </si>
  <si>
    <r>
      <rPr>
        <sz val="11"/>
        <color theme="1"/>
        <rFont val="Calibri"/>
        <family val="2"/>
        <charset val="1"/>
      </rPr>
      <t xml:space="preserve">Prime Intellect 576 VR200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個月，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起）</t>
    </r>
  </si>
  <si>
    <t xml:space="preserve">VR200</t>
  </si>
  <si>
    <r>
      <rPr>
        <sz val="11"/>
        <color theme="1"/>
        <rFont val="Calibri"/>
        <family val="2"/>
        <charset val="1"/>
      </rPr>
      <t xml:space="preserve">Prime Intellect 216 GB200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</si>
  <si>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既有客戶 </t>
    </r>
    <r>
      <rPr>
        <sz val="11"/>
        <color theme="1"/>
        <rFont val="Calibri"/>
        <family val="2"/>
        <charset val="1"/>
      </rPr>
      <t xml:space="preserve">384 B200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個月，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</si>
  <si>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既有客戶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伺服器（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個月，</t>
    </r>
    <r>
      <rPr>
        <sz val="11"/>
        <color theme="1"/>
        <rFont val="Calibri"/>
        <family val="2"/>
        <charset val="1"/>
      </rPr>
      <t xml:space="preserve">2026 Q2 </t>
    </r>
    <r>
      <rPr>
        <sz val="11"/>
        <color theme="1"/>
        <rFont val="Noto Sans CJK SC"/>
        <family val="2"/>
      </rPr>
      <t xml:space="preserve">起；以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顆／台計 </t>
    </r>
    <r>
      <rPr>
        <sz val="11"/>
        <color theme="1"/>
        <rFont val="Calibri"/>
        <family val="2"/>
        <charset val="1"/>
      </rPr>
      <t xml:space="preserve">2,048 </t>
    </r>
    <r>
      <rPr>
        <sz val="11"/>
        <color theme="1"/>
        <rFont val="Noto Sans CJK SC"/>
        <family val="2"/>
      </rPr>
      <t xml:space="preserve">顆）</t>
    </r>
  </si>
  <si>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新約（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下半年起）比值：最小</t>
    </r>
  </si>
  <si>
    <t xml:space="preserve">同上：最大</t>
  </si>
  <si>
    <r>
      <rPr>
        <sz val="11"/>
        <color theme="1"/>
        <rFont val="Noto Sans CJK SC"/>
        <family val="2"/>
      </rPr>
      <t xml:space="preserve">存量世代續約（</t>
    </r>
    <r>
      <rPr>
        <sz val="11"/>
        <color theme="1"/>
        <rFont val="Calibri"/>
        <family val="2"/>
        <charset val="1"/>
      </rPr>
      <t xml:space="preserve">B200 2026-01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H100 2026 Q2</t>
    </r>
    <r>
      <rPr>
        <sz val="11"/>
        <color theme="1"/>
        <rFont val="Noto Sans CJK SC"/>
        <family val="2"/>
      </rPr>
      <t xml:space="preserve">）：最小</t>
    </r>
  </si>
  <si>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起）</t>
    </r>
  </si>
  <si>
    <r>
      <rPr>
        <b val="true"/>
        <sz val="11"/>
        <rFont val="Cambria"/>
        <family val="0"/>
        <charset val="1"/>
      </rPr>
      <t xml:space="preserve">GB300 NVL72 IT </t>
    </r>
    <r>
      <rPr>
        <b val="true"/>
        <sz val="11"/>
        <rFont val="Noto Sans CJK SC"/>
        <family val="2"/>
      </rPr>
      <t xml:space="preserve">資本支出與營運費用：公開點對照 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（只列，不改 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</si>
  <si>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IT GW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資本支出（</t>
    </r>
    <r>
      <rPr>
        <b val="true"/>
        <sz val="11"/>
        <rFont val="Cambria"/>
        <family val="0"/>
        <charset val="1"/>
      </rPr>
      <t xml:space="preserve">$B/GW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</si>
  <si>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÷TK </t>
    </r>
    <r>
      <rPr>
        <b val="true"/>
        <sz val="11"/>
        <rFont val="Noto Sans CJK SC"/>
        <family val="2"/>
      </rPr>
      <t xml:space="preserve">基準</t>
    </r>
  </si>
  <si>
    <t xml:space="preserve">口徑</t>
  </si>
  <si>
    <r>
      <rPr>
        <sz val="11"/>
        <color theme="1"/>
        <rFont val="Calibri"/>
        <family val="2"/>
        <charset val="1"/>
      </rPr>
      <t xml:space="preserve">TK IF_CapexIT GB300 </t>
    </r>
    <r>
      <rPr>
        <sz val="11"/>
        <color theme="1"/>
        <rFont val="Noto Sans CJK SC"/>
        <family val="2"/>
      </rPr>
      <t xml:space="preserve">低／基準／高</t>
    </r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</si>
  <si>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4.3 × 6,764 </t>
    </r>
    <r>
      <rPr>
        <sz val="11"/>
        <color theme="1"/>
        <rFont val="Noto Sans CJK SC"/>
        <family val="2"/>
      </rPr>
      <t xml:space="preserve">架（只機架）</t>
    </r>
  </si>
  <si>
    <r>
      <rPr>
        <sz val="11"/>
        <color theme="1"/>
        <rFont val="Calibri"/>
        <family val="2"/>
        <charset val="1"/>
      </rPr>
      <t xml:space="preserve">IF_RackPrice </t>
    </r>
    <r>
      <rPr>
        <sz val="11"/>
        <color theme="1"/>
        <rFont val="Noto Sans CJK SC"/>
        <family val="2"/>
      </rPr>
      <t xml:space="preserve">基準；低 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5.0</t>
    </r>
  </si>
  <si>
    <r>
      <rPr>
        <sz val="11"/>
        <color theme="1"/>
        <rFont val="Calibri"/>
        <family val="2"/>
        <charset val="1"/>
      </rPr>
      <t xml:space="preserve">IREN Dell </t>
    </r>
    <r>
      <rPr>
        <sz val="11"/>
        <color theme="1"/>
        <rFont val="Noto Sans CJK SC"/>
        <family val="2"/>
      </rPr>
      <t xml:space="preserve">採購 </t>
    </r>
    <r>
      <rPr>
        <sz val="11"/>
        <color theme="1"/>
        <rFont val="Calibri"/>
        <family val="2"/>
        <charset val="1"/>
      </rPr>
      <t xml:space="preserve">÷ 200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</si>
  <si>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含伺服器、</t>
    </r>
    <r>
      <rPr>
        <sz val="11"/>
        <color theme="1"/>
        <rFont val="Calibri"/>
        <family val="2"/>
        <charset val="1"/>
      </rPr>
      <t xml:space="preserve">IB</t>
    </r>
    <r>
      <rPr>
        <sz val="11"/>
        <color theme="1"/>
        <rFont val="Noto Sans CJK SC"/>
        <family val="2"/>
      </rPr>
      <t xml:space="preserve">、線材、軟體、部署；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已有（</t>
    </r>
    <r>
      <rPr>
        <sz val="11"/>
        <color theme="1"/>
        <rFont val="Calibri"/>
        <family val="2"/>
        <charset val="1"/>
      </rPr>
      <t xml:space="preserve">SRC_DC_014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</si>
  <si>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Data Gravity </t>
    </r>
    <r>
      <rPr>
        <sz val="11"/>
        <color theme="1"/>
        <rFont val="Noto Sans CJK SC"/>
        <family val="2"/>
      </rPr>
      <t xml:space="preserve">採購單 </t>
    </r>
    <r>
      <rPr>
        <sz val="11"/>
        <color theme="1"/>
        <rFont val="Calibri"/>
        <family val="2"/>
        <charset val="1"/>
      </rPr>
      <t xml:space="preserve">5.0 × 6,764 </t>
    </r>
    <r>
      <rPr>
        <sz val="11"/>
        <color theme="1"/>
        <rFont val="Noto Sans CJK SC"/>
        <family val="2"/>
      </rPr>
      <t xml:space="preserve">架（只機架，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</si>
  <si>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、網路、儲存；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高情境機架價即此值</t>
    </r>
  </si>
  <si>
    <r>
      <rPr>
        <sz val="11"/>
        <color theme="1"/>
        <rFont val="Calibri"/>
        <family val="2"/>
        <charset val="1"/>
      </rPr>
      <t xml:space="preserve">Data Gravity </t>
    </r>
    <r>
      <rPr>
        <sz val="11"/>
        <color theme="1"/>
        <rFont val="Noto Sans CJK SC"/>
        <family val="2"/>
      </rPr>
      <t xml:space="preserve">部署後 </t>
    </r>
    <r>
      <rPr>
        <sz val="11"/>
        <color theme="1"/>
        <rFont val="Calibri"/>
        <family val="2"/>
        <charset val="1"/>
      </rPr>
      <t xml:space="preserve">5.68 × 6,764 </t>
    </r>
    <r>
      <rPr>
        <sz val="11"/>
        <color theme="1"/>
        <rFont val="Noto Sans CJK SC"/>
        <family val="2"/>
      </rPr>
      <t xml:space="preserve">架</t>
    </r>
  </si>
  <si>
    <t xml:space="preserve">含部署項目；不含叢集核心交換與儲存</t>
  </si>
  <si>
    <r>
      <rPr>
        <sz val="11"/>
        <color theme="1"/>
        <rFont val="Noto Sans CJK SC"/>
        <family val="2"/>
      </rPr>
      <t xml:space="preserve">媒體 </t>
    </r>
    <r>
      <rPr>
        <sz val="11"/>
        <color theme="1"/>
        <rFont val="Calibri"/>
        <family val="2"/>
        <charset val="1"/>
      </rPr>
      <t xml:space="preserve">6.0 × 6,764 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</si>
  <si>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Alt</t>
    </r>
  </si>
  <si>
    <r>
      <rPr>
        <sz val="11"/>
        <color theme="1"/>
        <rFont val="Noto Sans CJK SC"/>
        <family val="2"/>
      </rPr>
      <t xml:space="preserve">媒體 </t>
    </r>
    <r>
      <rPr>
        <sz val="11"/>
        <color theme="1"/>
        <rFont val="Calibri"/>
        <family val="2"/>
        <charset val="1"/>
      </rPr>
      <t xml:space="preserve">6.5 × 6,764 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</si>
  <si>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回本期隱含（單價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</si>
  <si>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與附屬設備</t>
    </r>
  </si>
  <si>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回本期隱含（單價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</si>
  <si>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回本期隱含（單價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TK IT</t>
    </r>
    <r>
      <rPr>
        <sz val="11"/>
        <color theme="1"/>
        <rFont val="Noto Sans CJK SC"/>
        <family val="2"/>
      </rPr>
      <t xml:space="preserve">＋廠房</t>
    </r>
  </si>
  <si>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associated capex</t>
    </r>
    <r>
      <rPr>
        <sz val="11"/>
        <color theme="1"/>
        <rFont val="Noto Sans CJK SC"/>
        <family val="2"/>
      </rPr>
      <t xml:space="preserve">」範圍未定義；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欄為 </t>
    </r>
    <r>
      <rPr>
        <sz val="11"/>
        <color theme="1"/>
        <rFont val="Calibri"/>
        <family val="2"/>
        <charset val="1"/>
      </rPr>
      <t xml:space="preserve">÷ TK IT</t>
    </r>
    <r>
      <rPr>
        <sz val="11"/>
        <color theme="1"/>
        <rFont val="Noto Sans CJK SC"/>
        <family val="2"/>
      </rPr>
      <t xml:space="preserve">＋廠房 </t>
    </r>
    <r>
      <rPr>
        <sz val="11"/>
        <color theme="1"/>
        <rFont val="Calibri"/>
        <family val="2"/>
        <charset val="1"/>
      </rPr>
      <t xml:space="preserve">44.9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</si>
  <si>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IT GW </t>
    </r>
    <r>
      <rPr>
        <b val="true"/>
        <sz val="11"/>
        <rFont val="Noto Sans CJK SC"/>
        <family val="2"/>
      </rPr>
      <t xml:space="preserve">年營運費用（不含折舊，</t>
    </r>
    <r>
      <rPr>
        <b val="true"/>
        <sz val="11"/>
        <rFont val="Cambria"/>
        <family val="0"/>
        <charset val="1"/>
      </rPr>
      <t xml:space="preserve">$B/GW·</t>
    </r>
    <r>
      <rPr>
        <b val="true"/>
        <sz val="1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</si>
  <si>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TK IF_OpexGW GB300 </t>
    </r>
    <r>
      <rPr>
        <sz val="11"/>
        <color theme="1"/>
        <rFont val="Noto Sans CJK SC"/>
        <family val="2"/>
      </rPr>
      <t xml:space="preserve">基準（低 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／高 </t>
    </r>
    <r>
      <rPr>
        <sz val="11"/>
        <color theme="1"/>
        <rFont val="Calibri"/>
        <family val="2"/>
        <charset val="1"/>
      </rPr>
      <t xml:space="preserve">3.00</t>
    </r>
    <r>
      <rPr>
        <sz val="11"/>
        <color theme="1"/>
        <rFont val="Noto Sans CJK SC"/>
        <family val="2"/>
      </rPr>
      <t xml:space="preserve">）</t>
    </r>
  </si>
  <si>
    <t xml:space="preserve">含電費、維護、人員、稅保；不含廠房資本成本</t>
  </si>
  <si>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直接成本率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</si>
  <si>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；直接成本率 </t>
    </r>
    <r>
      <rPr>
        <sz val="11"/>
        <color theme="1"/>
        <rFont val="Calibri"/>
        <family val="2"/>
        <charset val="1"/>
      </rPr>
      <t xml:space="preserve">13% </t>
    </r>
    <r>
      <rPr>
        <sz val="11"/>
        <color theme="1"/>
        <rFont val="Noto Sans CJK SC"/>
        <family val="2"/>
      </rPr>
      <t xml:space="preserve">來自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混合機隊</t>
    </r>
  </si>
  <si>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直接成本率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25</t>
    </r>
  </si>
  <si>
    <r>
      <rPr>
        <sz val="11"/>
        <color theme="1"/>
        <rFont val="Calibri"/>
        <family val="2"/>
        <charset val="1"/>
      </rPr>
      <t xml:space="preserve">CoreWeave Q2 cost of revenue × 4 ÷ Q2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active GW</t>
    </r>
    <r>
      <rPr>
        <sz val="11"/>
        <color theme="1"/>
        <rFont val="Noto Sans CJK SC"/>
        <family val="2"/>
      </rPr>
      <t xml:space="preserve">（線性）</t>
    </r>
  </si>
  <si>
    <r>
      <rPr>
        <sz val="11"/>
        <color theme="1"/>
        <rFont val="Noto Sans CJK SC"/>
        <family val="2"/>
      </rPr>
      <t xml:space="preserve">含機房租金（託管）→ 應對 </t>
    </r>
    <r>
      <rPr>
        <sz val="11"/>
        <color theme="1"/>
        <rFont val="Calibri"/>
        <family val="2"/>
        <charset val="1"/>
      </rPr>
      <t xml:space="preserve">TK opex</t>
    </r>
    <r>
      <rPr>
        <sz val="11"/>
        <color theme="1"/>
        <rFont val="Noto Sans CJK SC"/>
        <family val="2"/>
      </rPr>
      <t xml:space="preserve">＋廠房資本成本，不可直接比</t>
    </r>
  </si>
  <si>
    <r>
      <rPr>
        <sz val="11"/>
        <color theme="1"/>
        <rFont val="Calibri"/>
        <family val="2"/>
        <charset val="1"/>
      </rPr>
      <t xml:space="preserve">Data Gravity </t>
    </r>
    <r>
      <rPr>
        <sz val="11"/>
        <color theme="1"/>
        <rFont val="Noto Sans CJK SC"/>
        <family val="2"/>
      </rPr>
      <t xml:space="preserve">每架年營運 </t>
    </r>
    <r>
      <rPr>
        <sz val="11"/>
        <color theme="1"/>
        <rFont val="Calibri"/>
        <family val="2"/>
        <charset val="1"/>
      </rPr>
      <t xml:space="preserve">0.24 × 6,764 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</si>
  <si>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範圍口徑未明（文中託管租金約 </t>
    </r>
    <r>
      <rPr>
        <sz val="11"/>
        <color theme="1"/>
        <rFont val="Calibri"/>
        <family val="2"/>
        <charset val="1"/>
      </rPr>
      <t xml:space="preserve">0.318</t>
    </r>
    <r>
      <rPr>
        <sz val="11"/>
        <color theme="1"/>
        <rFont val="Noto Sans CJK SC"/>
        <family val="2"/>
      </rPr>
      <t xml:space="preserve">／架落在區間內）；只作量級</t>
    </r>
  </si>
  <si>
    <r>
      <rPr>
        <sz val="11"/>
        <color theme="1"/>
        <rFont val="Calibri"/>
        <family val="2"/>
        <charset val="1"/>
      </rPr>
      <t xml:space="preserve">Data Gravity </t>
    </r>
    <r>
      <rPr>
        <sz val="11"/>
        <color theme="1"/>
        <rFont val="Noto Sans CJK SC"/>
        <family val="2"/>
      </rPr>
      <t xml:space="preserve">每架年營運 </t>
    </r>
    <r>
      <rPr>
        <sz val="11"/>
        <color theme="1"/>
        <rFont val="Calibri"/>
        <family val="2"/>
        <charset val="1"/>
      </rPr>
      <t xml:space="preserve">0.41 × 6,764 </t>
    </r>
    <r>
      <rPr>
        <sz val="11"/>
        <color theme="1"/>
        <rFont val="Noto Sans CJK SC"/>
        <family val="2"/>
      </rPr>
      <t xml:space="preserve">架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</si>
</sst>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38"/>
    <col collapsed="false" customWidth="true" hidden="false" outlineLevel="0" max="6" min="5" style="0" width="12"/>
    <col collapsed="false" customWidth="true" hidden="false" outlineLevel="0" max="7" min="7" style="0" width="30"/>
    <col collapsed="false" customWidth="true" hidden="false" outlineLevel="0" max="8" min="8" style="0" width="40"/>
  </cols>
  <sheetData>
    <row r="1" customFormat="false" ht="142.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7.15" hidden="false" customHeight="false" outlineLevel="0" collapsed="false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customFormat="false" ht="32.8" hidden="false" customHeight="false" outlineLevel="0" collapsed="false">
      <c r="A4" s="2" t="s">
        <v>9</v>
      </c>
      <c r="B4" s="2" t="s">
        <v>10</v>
      </c>
      <c r="C4" s="3" t="s">
        <v>11</v>
      </c>
      <c r="D4" s="2" t="s">
        <v>12</v>
      </c>
      <c r="E4" s="4" t="n">
        <f aca="false">CoreWeave!B23</f>
        <v>0.756906936400146</v>
      </c>
      <c r="F4" s="4" t="n">
        <f aca="false">CoreWeave!B24</f>
        <v>1.28174906476239</v>
      </c>
      <c r="G4" s="3" t="s">
        <v>13</v>
      </c>
      <c r="H4" s="2" t="s">
        <v>14</v>
      </c>
    </row>
    <row r="5" customFormat="false" ht="32.8" hidden="false" customHeight="false" outlineLevel="0" collapsed="false">
      <c r="A5" s="2" t="s">
        <v>9</v>
      </c>
      <c r="B5" s="2" t="s">
        <v>15</v>
      </c>
      <c r="C5" s="3" t="s">
        <v>16</v>
      </c>
      <c r="D5" s="3" t="s">
        <v>17</v>
      </c>
      <c r="E5" s="4" t="n">
        <f aca="false">CoreWeave!B25</f>
        <v>0.946133670500183</v>
      </c>
      <c r="F5" s="4" t="n">
        <f aca="false">CoreWeave!B26</f>
        <v>1.60218633095298</v>
      </c>
      <c r="G5" s="3" t="s">
        <v>18</v>
      </c>
      <c r="H5" s="2"/>
    </row>
    <row r="6" customFormat="false" ht="17.15" hidden="false" customHeight="false" outlineLevel="0" collapsed="false">
      <c r="A6" s="2" t="s">
        <v>9</v>
      </c>
      <c r="B6" s="2" t="s">
        <v>19</v>
      </c>
      <c r="C6" s="3" t="s">
        <v>11</v>
      </c>
      <c r="D6" s="3" t="s">
        <v>17</v>
      </c>
      <c r="E6" s="4" t="n">
        <f aca="false">CoreWeave!B27</f>
        <v>0.82542776900525</v>
      </c>
      <c r="F6" s="4" t="n">
        <f aca="false">CoreWeave!B28</f>
        <v>1.3232341014041</v>
      </c>
      <c r="G6" s="3" t="s">
        <v>20</v>
      </c>
      <c r="H6" s="2" t="s">
        <v>21</v>
      </c>
    </row>
    <row r="7" customFormat="false" ht="30.55" hidden="false" customHeight="false" outlineLevel="0" collapsed="false">
      <c r="A7" s="2" t="s">
        <v>22</v>
      </c>
      <c r="B7" s="2" t="s">
        <v>23</v>
      </c>
      <c r="C7" s="3" t="s">
        <v>11</v>
      </c>
      <c r="D7" s="2" t="s">
        <v>24</v>
      </c>
      <c r="E7" s="4" t="n">
        <f aca="false">Nebius!B18</f>
        <v>0.654087351738954</v>
      </c>
      <c r="F7" s="4" t="n">
        <f aca="false">Nebius!B19</f>
        <v>0.832895704269075</v>
      </c>
      <c r="G7" s="2" t="s">
        <v>25</v>
      </c>
      <c r="H7" s="2" t="s">
        <v>26</v>
      </c>
    </row>
    <row r="8" customFormat="false" ht="17.15" hidden="false" customHeight="false" outlineLevel="0" collapsed="false">
      <c r="A8" s="2" t="s">
        <v>22</v>
      </c>
      <c r="B8" s="3" t="s">
        <v>27</v>
      </c>
      <c r="C8" s="3" t="s">
        <v>28</v>
      </c>
      <c r="D8" s="2" t="s">
        <v>29</v>
      </c>
      <c r="E8" s="4" t="n">
        <f aca="false">Nebius!D24</f>
        <v>1.10229165495167</v>
      </c>
      <c r="F8" s="4" t="n">
        <f aca="false">Nebius!C24</f>
        <v>1.35928578936713</v>
      </c>
      <c r="G8" s="2" t="s">
        <v>30</v>
      </c>
      <c r="H8" s="2" t="s">
        <v>31</v>
      </c>
    </row>
    <row r="9" customFormat="false" ht="17.15" hidden="false" customHeight="false" outlineLevel="0" collapsed="false">
      <c r="A9" s="2" t="s">
        <v>22</v>
      </c>
      <c r="B9" s="2" t="s">
        <v>32</v>
      </c>
      <c r="C9" s="3" t="s">
        <v>33</v>
      </c>
      <c r="D9" s="3" t="s">
        <v>17</v>
      </c>
      <c r="E9" s="4" t="n">
        <f aca="false">Nebius!D25</f>
        <v>1.83715275825278</v>
      </c>
      <c r="F9" s="4" t="n">
        <f aca="false">Nebius!D26</f>
        <v>2.29644094781598</v>
      </c>
      <c r="G9" s="2" t="s">
        <v>30</v>
      </c>
      <c r="H9" s="2" t="s">
        <v>34</v>
      </c>
    </row>
    <row r="10" customFormat="false" ht="17.15" hidden="false" customHeight="false" outlineLevel="0" collapsed="false">
      <c r="A10" s="2" t="s">
        <v>22</v>
      </c>
      <c r="B10" s="2" t="s">
        <v>35</v>
      </c>
      <c r="C10" s="3" t="s">
        <v>36</v>
      </c>
      <c r="D10" s="3" t="s">
        <v>17</v>
      </c>
      <c r="E10" s="4" t="n">
        <f aca="false">Nebius!D27</f>
        <v>3.67430551650556</v>
      </c>
      <c r="F10" s="4" t="n">
        <f aca="false">Nebius!D28</f>
        <v>4.59288189563196</v>
      </c>
      <c r="G10" s="2" t="s">
        <v>30</v>
      </c>
      <c r="H10" s="2" t="s">
        <v>37</v>
      </c>
    </row>
    <row r="11" customFormat="false" ht="30.55" hidden="false" customHeight="false" outlineLevel="0" collapsed="false">
      <c r="A11" s="2" t="s">
        <v>38</v>
      </c>
      <c r="B11" s="2" t="s">
        <v>39</v>
      </c>
      <c r="C11" s="3" t="s">
        <v>40</v>
      </c>
      <c r="D11" s="2" t="s">
        <v>41</v>
      </c>
      <c r="E11" s="4" t="n">
        <f aca="false">IREN!C5</f>
        <v>0.891019087752599</v>
      </c>
      <c r="F11" s="4" t="n">
        <f aca="false">IREN!C5</f>
        <v>0.891019087752599</v>
      </c>
      <c r="G11" s="2" t="s">
        <v>42</v>
      </c>
      <c r="H11" s="2" t="s">
        <v>43</v>
      </c>
    </row>
    <row r="12" customFormat="false" ht="30.55" hidden="false" customHeight="false" outlineLevel="0" collapsed="false">
      <c r="A12" s="2" t="s">
        <v>38</v>
      </c>
      <c r="B12" s="3" t="s">
        <v>44</v>
      </c>
      <c r="C12" s="3" t="s">
        <v>33</v>
      </c>
      <c r="D12" s="2" t="s">
        <v>41</v>
      </c>
      <c r="E12" s="4" t="n">
        <f aca="false">IREN!C8</f>
        <v>1.83715275825278</v>
      </c>
      <c r="F12" s="4" t="n">
        <f aca="false">IREN!C9</f>
        <v>2.29644094781598</v>
      </c>
      <c r="G12" s="2" t="s">
        <v>30</v>
      </c>
      <c r="H12" s="2" t="s">
        <v>34</v>
      </c>
    </row>
    <row r="13" customFormat="false" ht="32.8" hidden="false" customHeight="false" outlineLevel="0" collapsed="false">
      <c r="A13" s="2" t="s">
        <v>45</v>
      </c>
      <c r="B13" s="2" t="s">
        <v>46</v>
      </c>
      <c r="C13" s="3" t="s">
        <v>47</v>
      </c>
      <c r="D13" s="2" t="s">
        <v>48</v>
      </c>
      <c r="E13" s="4" t="n">
        <f aca="false">MIN(WhiteFiber!B6:B7)</f>
        <v>0.862405928469259</v>
      </c>
      <c r="F13" s="4" t="n">
        <f aca="false">MAX(WhiteFiber!B6:B7)</f>
        <v>0.947875290452012</v>
      </c>
      <c r="G13" s="3" t="s">
        <v>49</v>
      </c>
      <c r="H13" s="2" t="s">
        <v>50</v>
      </c>
    </row>
    <row r="14" customFormat="false" ht="30.55" hidden="false" customHeight="false" outlineLevel="0" collapsed="false">
      <c r="A14" s="2" t="s">
        <v>45</v>
      </c>
      <c r="B14" s="2" t="s">
        <v>51</v>
      </c>
      <c r="C14" s="3" t="s">
        <v>33</v>
      </c>
      <c r="D14" s="2" t="s">
        <v>52</v>
      </c>
      <c r="E14" s="4" t="n">
        <f aca="false">WhiteFiber!B18</f>
        <v>1.35914857496489</v>
      </c>
      <c r="F14" s="4" t="n">
        <f aca="false">WhiteFiber!B19</f>
        <v>1.86397518852327</v>
      </c>
      <c r="G14" s="3" t="s">
        <v>53</v>
      </c>
      <c r="H14" s="3" t="s">
        <v>54</v>
      </c>
    </row>
    <row r="15" customFormat="false" ht="17.15" hidden="false" customHeight="false" outlineLevel="0" collapsed="false">
      <c r="A15" s="2" t="s">
        <v>45</v>
      </c>
      <c r="B15" s="3" t="s">
        <v>55</v>
      </c>
      <c r="C15" s="3" t="s">
        <v>56</v>
      </c>
      <c r="D15" s="3" t="s">
        <v>17</v>
      </c>
      <c r="E15" s="4" t="n">
        <f aca="false">WhiteFiber!B20</f>
        <v>0.906958275547351</v>
      </c>
      <c r="F15" s="4" t="n">
        <f aca="false">WhiteFiber!B21</f>
        <v>1.33952198637814</v>
      </c>
      <c r="G15" s="3" t="s">
        <v>17</v>
      </c>
      <c r="H15" s="2"/>
    </row>
    <row r="16" customFormat="false" ht="17.15" hidden="false" customHeight="false" outlineLevel="0" collapsed="false">
      <c r="A16" s="2" t="s">
        <v>45</v>
      </c>
      <c r="B16" s="2" t="s">
        <v>57</v>
      </c>
      <c r="C16" s="3" t="s">
        <v>33</v>
      </c>
      <c r="D16" s="3" t="s">
        <v>17</v>
      </c>
      <c r="E16" s="4" t="n">
        <f aca="false">WhiteFiber!B22</f>
        <v>1.49423827186837</v>
      </c>
      <c r="F16" s="4" t="n">
        <f aca="false">WhiteFiber!B22</f>
        <v>1.49423827186837</v>
      </c>
      <c r="G16" s="3" t="s">
        <v>17</v>
      </c>
      <c r="H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17.15" hidden="false" customHeight="false" outlineLevel="0" collapsed="false">
      <c r="A18" s="1" t="s">
        <v>58</v>
      </c>
      <c r="B18" s="1"/>
      <c r="C18" s="1"/>
      <c r="D18" s="1"/>
      <c r="E18" s="1" t="s">
        <v>59</v>
      </c>
      <c r="F18" s="1" t="s">
        <v>60</v>
      </c>
      <c r="G18" s="1"/>
      <c r="H18" s="1"/>
    </row>
    <row r="19" customFormat="false" ht="64.15" hidden="false" customHeight="false" outlineLevel="0" collapsed="false">
      <c r="A19" s="3" t="s">
        <v>61</v>
      </c>
      <c r="B19" s="2"/>
      <c r="C19" s="2"/>
      <c r="D19" s="2"/>
      <c r="E19" s="4" t="n">
        <f aca="false">MIN(E4,E6,E7)</f>
        <v>0.654087351738954</v>
      </c>
      <c r="F19" s="4" t="n">
        <f aca="false">MAX(F4,F6,F7)</f>
        <v>1.3232341014041</v>
      </c>
      <c r="G19" s="2" t="s">
        <v>62</v>
      </c>
      <c r="H19" s="2" t="s">
        <v>63</v>
      </c>
    </row>
    <row r="20" customFormat="false" ht="79.85" hidden="false" customHeight="false" outlineLevel="0" collapsed="false">
      <c r="A20" s="3" t="s">
        <v>64</v>
      </c>
      <c r="B20" s="2"/>
      <c r="C20" s="2"/>
      <c r="D20" s="2"/>
      <c r="E20" s="4" t="n">
        <f aca="false">MIN(E9,E12,E14)</f>
        <v>1.35914857496489</v>
      </c>
      <c r="F20" s="4" t="n">
        <f aca="false">MAX(F9,F12,F14)</f>
        <v>2.29644094781598</v>
      </c>
      <c r="G20" s="2" t="s">
        <v>62</v>
      </c>
      <c r="H20" s="2"/>
    </row>
    <row r="21" customFormat="false" ht="30.55" hidden="false" customHeight="false" outlineLevel="0" collapsed="false">
      <c r="A21" s="2" t="s">
        <v>65</v>
      </c>
      <c r="B21" s="2"/>
      <c r="C21" s="2"/>
      <c r="D21" s="2"/>
      <c r="E21" s="4" t="n">
        <f aca="false">輸入!$C$25</f>
        <v>1.8</v>
      </c>
      <c r="F21" s="4" t="n">
        <f aca="false">輸入!$C$25</f>
        <v>1.8</v>
      </c>
      <c r="G21" s="2" t="s">
        <v>66</v>
      </c>
      <c r="H21" s="3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2"/>
    <col collapsed="false" customWidth="true" hidden="false" outlineLevel="0" max="4" min="3" style="0" width="14"/>
    <col collapsed="false" customWidth="true" hidden="false" outlineLevel="0" max="5" min="5" style="0" width="30"/>
    <col collapsed="false" customWidth="true" hidden="false" outlineLevel="0" max="6" min="6" style="0" width="90"/>
  </cols>
  <sheetData>
    <row r="1" customFormat="false" ht="17.15" hidden="false" customHeight="false" outlineLevel="0" collapsed="false">
      <c r="A1" s="1" t="s">
        <v>68</v>
      </c>
      <c r="B1" s="1" t="s">
        <v>2</v>
      </c>
      <c r="C1" s="1" t="s">
        <v>69</v>
      </c>
      <c r="D1" s="1" t="s">
        <v>70</v>
      </c>
      <c r="E1" s="1" t="s">
        <v>7</v>
      </c>
      <c r="F1" s="1" t="s">
        <v>71</v>
      </c>
    </row>
    <row r="2" customFormat="false" ht="17.15" hidden="false" customHeight="false" outlineLevel="0" collapsed="false">
      <c r="A2" s="2" t="s">
        <v>72</v>
      </c>
      <c r="B2" s="2" t="s">
        <v>73</v>
      </c>
      <c r="C2" s="2" t="n">
        <v>9.70308728611469</v>
      </c>
      <c r="D2" s="2" t="s">
        <v>74</v>
      </c>
      <c r="E2" s="2" t="s">
        <v>62</v>
      </c>
      <c r="F2" s="2" t="s">
        <v>75</v>
      </c>
    </row>
    <row r="3" customFormat="false" ht="17.15" hidden="false" customHeight="false" outlineLevel="0" collapsed="false">
      <c r="A3" s="2" t="s">
        <v>76</v>
      </c>
      <c r="B3" s="2" t="s">
        <v>77</v>
      </c>
      <c r="C3" s="2" t="n">
        <v>8.82816556596761</v>
      </c>
      <c r="D3" s="2" t="s">
        <v>74</v>
      </c>
      <c r="E3" s="2" t="s">
        <v>62</v>
      </c>
      <c r="F3" s="2" t="s">
        <v>78</v>
      </c>
    </row>
    <row r="4" customFormat="false" ht="17.15" hidden="false" customHeight="false" outlineLevel="0" collapsed="false">
      <c r="A4" s="2" t="s">
        <v>79</v>
      </c>
      <c r="B4" s="2" t="s">
        <v>80</v>
      </c>
      <c r="C4" s="2" t="n">
        <v>10.8864110021101</v>
      </c>
      <c r="D4" s="2" t="s">
        <v>74</v>
      </c>
      <c r="E4" s="2" t="s">
        <v>62</v>
      </c>
      <c r="F4" s="2" t="s">
        <v>81</v>
      </c>
    </row>
    <row r="5" customFormat="false" ht="17.15" hidden="false" customHeight="false" outlineLevel="0" collapsed="false">
      <c r="A5" s="2" t="s">
        <v>82</v>
      </c>
      <c r="B5" s="2" t="s">
        <v>83</v>
      </c>
      <c r="C5" s="2" t="n">
        <v>12.2254710045841</v>
      </c>
      <c r="D5" s="2" t="s">
        <v>74</v>
      </c>
      <c r="E5" s="2" t="s">
        <v>62</v>
      </c>
      <c r="F5" s="2" t="s">
        <v>84</v>
      </c>
    </row>
    <row r="6" customFormat="false" ht="17.15" hidden="false" customHeight="false" outlineLevel="0" collapsed="false">
      <c r="A6" s="2" t="s">
        <v>85</v>
      </c>
      <c r="B6" s="2" t="s">
        <v>86</v>
      </c>
      <c r="C6" s="2" t="n">
        <v>718048</v>
      </c>
      <c r="D6" s="3" t="s">
        <v>87</v>
      </c>
      <c r="E6" s="2" t="s">
        <v>62</v>
      </c>
      <c r="F6" s="2" t="s">
        <v>88</v>
      </c>
    </row>
    <row r="7" customFormat="false" ht="17.15" hidden="false" customHeight="false" outlineLevel="0" collapsed="false">
      <c r="A7" s="2" t="s">
        <v>89</v>
      </c>
      <c r="B7" s="2" t="s">
        <v>90</v>
      </c>
      <c r="C7" s="2" t="n">
        <v>501768</v>
      </c>
      <c r="D7" s="3" t="s">
        <v>87</v>
      </c>
      <c r="E7" s="2" t="s">
        <v>62</v>
      </c>
      <c r="F7" s="2" t="s">
        <v>91</v>
      </c>
    </row>
    <row r="8" customFormat="false" ht="17.15" hidden="false" customHeight="false" outlineLevel="0" collapsed="false">
      <c r="A8" s="2" t="s">
        <v>92</v>
      </c>
      <c r="B8" s="2" t="s">
        <v>93</v>
      </c>
      <c r="C8" s="2" t="n">
        <v>487008</v>
      </c>
      <c r="D8" s="3" t="s">
        <v>87</v>
      </c>
      <c r="E8" s="2" t="s">
        <v>62</v>
      </c>
      <c r="F8" s="2" t="s">
        <v>94</v>
      </c>
    </row>
    <row r="9" customFormat="false" ht="17.15" hidden="false" customHeight="false" outlineLevel="0" collapsed="false">
      <c r="A9" s="2" t="s">
        <v>95</v>
      </c>
      <c r="B9" s="2" t="s">
        <v>96</v>
      </c>
      <c r="C9" s="2" t="n">
        <v>291744</v>
      </c>
      <c r="D9" s="3" t="s">
        <v>87</v>
      </c>
      <c r="E9" s="2" t="s">
        <v>62</v>
      </c>
      <c r="F9" s="2" t="s">
        <v>97</v>
      </c>
    </row>
    <row r="10" customFormat="false" ht="17.15" hidden="false" customHeight="false" outlineLevel="0" collapsed="false">
      <c r="A10" s="2" t="s">
        <v>98</v>
      </c>
      <c r="B10" s="2" t="s">
        <v>99</v>
      </c>
      <c r="C10" s="2" t="n">
        <v>28.5549024</v>
      </c>
      <c r="D10" s="2" t="s">
        <v>100</v>
      </c>
      <c r="E10" s="2" t="s">
        <v>62</v>
      </c>
      <c r="F10" s="2" t="s">
        <v>101</v>
      </c>
    </row>
    <row r="11" customFormat="false" ht="17.15" hidden="false" customHeight="false" outlineLevel="0" collapsed="false">
      <c r="A11" s="2" t="s">
        <v>102</v>
      </c>
      <c r="B11" s="2" t="s">
        <v>103</v>
      </c>
      <c r="C11" s="2" t="n">
        <v>32.237224</v>
      </c>
      <c r="D11" s="2" t="s">
        <v>100</v>
      </c>
      <c r="E11" s="2" t="s">
        <v>62</v>
      </c>
      <c r="F11" s="2" t="s">
        <v>104</v>
      </c>
    </row>
    <row r="12" customFormat="false" ht="17.15" hidden="false" customHeight="false" outlineLevel="0" collapsed="false">
      <c r="A12" s="2" t="s">
        <v>105</v>
      </c>
      <c r="B12" s="2" t="s">
        <v>106</v>
      </c>
      <c r="C12" s="2" t="n">
        <v>39.2826064</v>
      </c>
      <c r="D12" s="2" t="s">
        <v>100</v>
      </c>
      <c r="E12" s="2" t="s">
        <v>62</v>
      </c>
      <c r="F12" s="2" t="s">
        <v>107</v>
      </c>
    </row>
    <row r="13" customFormat="false" ht="17.15" hidden="false" customHeight="false" outlineLevel="0" collapsed="false">
      <c r="A13" s="2" t="s">
        <v>108</v>
      </c>
      <c r="B13" s="2" t="s">
        <v>109</v>
      </c>
      <c r="C13" s="2" t="n">
        <v>12.67</v>
      </c>
      <c r="D13" s="2" t="s">
        <v>100</v>
      </c>
      <c r="E13" s="2" t="s">
        <v>62</v>
      </c>
      <c r="F13" s="2" t="s">
        <v>110</v>
      </c>
    </row>
    <row r="14" customFormat="false" ht="17.15" hidden="false" customHeight="false" outlineLevel="0" collapsed="false">
      <c r="A14" s="2" t="s">
        <v>111</v>
      </c>
      <c r="B14" s="2" t="s">
        <v>112</v>
      </c>
      <c r="C14" s="2" t="n">
        <v>1.20671911367581</v>
      </c>
      <c r="D14" s="2" t="s">
        <v>74</v>
      </c>
      <c r="E14" s="2" t="s">
        <v>62</v>
      </c>
      <c r="F14" s="2" t="s">
        <v>113</v>
      </c>
    </row>
    <row r="15" customFormat="false" ht="17.15" hidden="false" customHeight="false" outlineLevel="0" collapsed="false">
      <c r="A15" s="2" t="s">
        <v>114</v>
      </c>
      <c r="B15" s="2" t="s">
        <v>115</v>
      </c>
      <c r="C15" s="2" t="n">
        <v>1.98263481314457</v>
      </c>
      <c r="D15" s="2" t="s">
        <v>74</v>
      </c>
      <c r="E15" s="2" t="s">
        <v>62</v>
      </c>
      <c r="F15" s="2" t="s">
        <v>116</v>
      </c>
    </row>
    <row r="16" customFormat="false" ht="17.15" hidden="false" customHeight="false" outlineLevel="0" collapsed="false">
      <c r="A16" s="2" t="s">
        <v>117</v>
      </c>
      <c r="B16" s="2" t="s">
        <v>118</v>
      </c>
      <c r="C16" s="2" t="n">
        <v>3.00013873514752</v>
      </c>
      <c r="D16" s="2" t="s">
        <v>74</v>
      </c>
      <c r="E16" s="2" t="s">
        <v>62</v>
      </c>
      <c r="F16" s="2" t="s">
        <v>119</v>
      </c>
    </row>
    <row r="17" customFormat="false" ht="17.15" hidden="false" customHeight="false" outlineLevel="0" collapsed="false">
      <c r="A17" s="2" t="s">
        <v>120</v>
      </c>
      <c r="B17" s="2" t="s">
        <v>121</v>
      </c>
      <c r="C17" s="2" t="n">
        <v>6764</v>
      </c>
      <c r="D17" s="3" t="s">
        <v>122</v>
      </c>
      <c r="E17" s="2" t="s">
        <v>62</v>
      </c>
      <c r="F17" s="2" t="s">
        <v>123</v>
      </c>
    </row>
    <row r="18" customFormat="false" ht="17.15" hidden="false" customHeight="false" outlineLevel="0" collapsed="false">
      <c r="A18" s="2" t="s">
        <v>124</v>
      </c>
      <c r="B18" s="2" t="s">
        <v>125</v>
      </c>
      <c r="C18" s="2" t="n">
        <v>4</v>
      </c>
      <c r="D18" s="2" t="s">
        <v>126</v>
      </c>
      <c r="E18" s="2" t="s">
        <v>62</v>
      </c>
      <c r="F18" s="2" t="s">
        <v>127</v>
      </c>
    </row>
    <row r="19" customFormat="false" ht="17.15" hidden="false" customHeight="false" outlineLevel="0" collapsed="false">
      <c r="A19" s="2" t="s">
        <v>128</v>
      </c>
      <c r="B19" s="2" t="s">
        <v>129</v>
      </c>
      <c r="C19" s="2" t="n">
        <v>4.3</v>
      </c>
      <c r="D19" s="2" t="s">
        <v>126</v>
      </c>
      <c r="E19" s="2" t="s">
        <v>62</v>
      </c>
      <c r="F19" s="2" t="s">
        <v>130</v>
      </c>
    </row>
    <row r="20" customFormat="false" ht="17.15" hidden="false" customHeight="false" outlineLevel="0" collapsed="false">
      <c r="A20" s="2" t="s">
        <v>131</v>
      </c>
      <c r="B20" s="2" t="s">
        <v>132</v>
      </c>
      <c r="C20" s="2" t="n">
        <v>5</v>
      </c>
      <c r="D20" s="2" t="s">
        <v>126</v>
      </c>
      <c r="E20" s="2" t="s">
        <v>62</v>
      </c>
      <c r="F20" s="2" t="s">
        <v>133</v>
      </c>
    </row>
    <row r="21" customFormat="false" ht="17.15" hidden="false" customHeight="false" outlineLevel="0" collapsed="false">
      <c r="A21" s="2" t="s">
        <v>134</v>
      </c>
      <c r="B21" s="2" t="s">
        <v>135</v>
      </c>
      <c r="C21" s="2" t="n">
        <v>0.7</v>
      </c>
      <c r="D21" s="2" t="s">
        <v>136</v>
      </c>
      <c r="E21" s="2" t="s">
        <v>62</v>
      </c>
      <c r="F21" s="2" t="s">
        <v>137</v>
      </c>
    </row>
    <row r="22" customFormat="false" ht="17.15" hidden="false" customHeight="false" outlineLevel="0" collapsed="false">
      <c r="A22" s="2" t="s">
        <v>138</v>
      </c>
      <c r="B22" s="2" t="s">
        <v>139</v>
      </c>
      <c r="C22" s="2" t="n">
        <v>0.9</v>
      </c>
      <c r="D22" s="2" t="s">
        <v>136</v>
      </c>
      <c r="E22" s="2" t="s">
        <v>62</v>
      </c>
      <c r="F22" s="2" t="s">
        <v>140</v>
      </c>
    </row>
    <row r="23" customFormat="false" ht="17.15" hidden="false" customHeight="false" outlineLevel="0" collapsed="false">
      <c r="A23" s="2" t="s">
        <v>141</v>
      </c>
      <c r="B23" s="2" t="s">
        <v>142</v>
      </c>
      <c r="C23" s="2" t="n">
        <v>1.2</v>
      </c>
      <c r="D23" s="2" t="s">
        <v>136</v>
      </c>
      <c r="E23" s="2" t="s">
        <v>66</v>
      </c>
      <c r="F23" s="3" t="s">
        <v>143</v>
      </c>
    </row>
    <row r="24" customFormat="false" ht="17.15" hidden="false" customHeight="false" outlineLevel="0" collapsed="false">
      <c r="A24" s="2" t="s">
        <v>144</v>
      </c>
      <c r="B24" s="2" t="s">
        <v>145</v>
      </c>
      <c r="C24" s="2" t="n">
        <v>1.3</v>
      </c>
      <c r="D24" s="2" t="s">
        <v>136</v>
      </c>
      <c r="E24" s="2" t="s">
        <v>66</v>
      </c>
      <c r="F24" s="2" t="s">
        <v>146</v>
      </c>
    </row>
    <row r="25" customFormat="false" ht="17.15" hidden="false" customHeight="false" outlineLevel="0" collapsed="false">
      <c r="A25" s="2" t="s">
        <v>147</v>
      </c>
      <c r="B25" s="2" t="s">
        <v>65</v>
      </c>
      <c r="C25" s="2" t="n">
        <v>1.8</v>
      </c>
      <c r="D25" s="2" t="s">
        <v>136</v>
      </c>
      <c r="E25" s="2" t="s">
        <v>66</v>
      </c>
      <c r="F25" s="2" t="s">
        <v>148</v>
      </c>
    </row>
    <row r="26" customFormat="false" ht="17.15" hidden="false" customHeight="false" outlineLevel="0" collapsed="false">
      <c r="A26" s="2" t="s">
        <v>149</v>
      </c>
      <c r="B26" s="2" t="s">
        <v>150</v>
      </c>
      <c r="C26" s="2" t="n">
        <v>2.575</v>
      </c>
      <c r="D26" s="2" t="s">
        <v>151</v>
      </c>
      <c r="E26" s="2" t="s">
        <v>152</v>
      </c>
      <c r="F26" s="2" t="s">
        <v>153</v>
      </c>
    </row>
    <row r="27" customFormat="false" ht="17.15" hidden="false" customHeight="false" outlineLevel="0" collapsed="false">
      <c r="A27" s="2" t="s">
        <v>154</v>
      </c>
      <c r="B27" s="2" t="s">
        <v>155</v>
      </c>
      <c r="C27" s="2" t="n">
        <v>4.653</v>
      </c>
      <c r="D27" s="2" t="s">
        <v>156</v>
      </c>
      <c r="E27" s="2" t="s">
        <v>152</v>
      </c>
      <c r="F27" s="3" t="s">
        <v>17</v>
      </c>
    </row>
    <row r="28" customFormat="false" ht="32.8" hidden="false" customHeight="false" outlineLevel="0" collapsed="false">
      <c r="A28" s="2" t="s">
        <v>157</v>
      </c>
      <c r="B28" s="2" t="s">
        <v>158</v>
      </c>
      <c r="C28" s="2" t="n">
        <v>1.5</v>
      </c>
      <c r="D28" s="2" t="s">
        <v>159</v>
      </c>
      <c r="E28" s="2" t="s">
        <v>160</v>
      </c>
      <c r="F28" s="2" t="s">
        <v>161</v>
      </c>
    </row>
    <row r="29" customFormat="false" ht="17.15" hidden="false" customHeight="false" outlineLevel="0" collapsed="false">
      <c r="A29" s="2" t="s">
        <v>162</v>
      </c>
      <c r="B29" s="2" t="s">
        <v>163</v>
      </c>
      <c r="C29" s="2" t="n">
        <v>0.5</v>
      </c>
      <c r="D29" s="2" t="s">
        <v>159</v>
      </c>
      <c r="E29" s="2" t="s">
        <v>164</v>
      </c>
      <c r="F29" s="2" t="s">
        <v>165</v>
      </c>
    </row>
    <row r="30" customFormat="false" ht="17.15" hidden="false" customHeight="false" outlineLevel="0" collapsed="false">
      <c r="A30" s="2" t="s">
        <v>166</v>
      </c>
      <c r="B30" s="3" t="s">
        <v>167</v>
      </c>
      <c r="C30" s="2" t="n">
        <v>0.3</v>
      </c>
      <c r="D30" s="2" t="s">
        <v>159</v>
      </c>
      <c r="E30" s="2" t="s">
        <v>168</v>
      </c>
      <c r="F30" s="2" t="s">
        <v>169</v>
      </c>
    </row>
    <row r="31" customFormat="false" ht="32.8" hidden="false" customHeight="false" outlineLevel="0" collapsed="false">
      <c r="A31" s="2" t="s">
        <v>170</v>
      </c>
      <c r="B31" s="2" t="s">
        <v>171</v>
      </c>
      <c r="C31" s="2" t="n">
        <v>0.85</v>
      </c>
      <c r="D31" s="2" t="s">
        <v>159</v>
      </c>
      <c r="E31" s="2" t="s">
        <v>172</v>
      </c>
      <c r="F31" s="2" t="s">
        <v>173</v>
      </c>
    </row>
    <row r="32" customFormat="false" ht="17.15" hidden="false" customHeight="false" outlineLevel="0" collapsed="false">
      <c r="A32" s="2" t="s">
        <v>174</v>
      </c>
      <c r="B32" s="2" t="s">
        <v>175</v>
      </c>
      <c r="C32" s="2" t="n">
        <v>1</v>
      </c>
      <c r="D32" s="2" t="s">
        <v>159</v>
      </c>
      <c r="E32" s="2" t="s">
        <v>164</v>
      </c>
      <c r="F32" s="2" t="s">
        <v>176</v>
      </c>
    </row>
    <row r="33" customFormat="false" ht="17.15" hidden="false" customHeight="false" outlineLevel="0" collapsed="false">
      <c r="A33" s="2" t="s">
        <v>177</v>
      </c>
      <c r="B33" s="2" t="s">
        <v>178</v>
      </c>
      <c r="C33" s="2" t="n">
        <v>1.25</v>
      </c>
      <c r="D33" s="2" t="s">
        <v>136</v>
      </c>
      <c r="E33" s="2" t="s">
        <v>168</v>
      </c>
      <c r="F33" s="2" t="s">
        <v>179</v>
      </c>
    </row>
    <row r="34" customFormat="false" ht="32.8" hidden="false" customHeight="false" outlineLevel="0" collapsed="false">
      <c r="A34" s="2" t="s">
        <v>180</v>
      </c>
      <c r="B34" s="2" t="s">
        <v>181</v>
      </c>
      <c r="C34" s="2" t="n">
        <v>0.879</v>
      </c>
      <c r="D34" s="2" t="s">
        <v>151</v>
      </c>
      <c r="E34" s="2" t="s">
        <v>152</v>
      </c>
      <c r="F34" s="2" t="s">
        <v>182</v>
      </c>
    </row>
    <row r="35" customFormat="false" ht="17.15" hidden="false" customHeight="false" outlineLevel="0" collapsed="false">
      <c r="A35" s="2" t="s">
        <v>183</v>
      </c>
      <c r="B35" s="2" t="s">
        <v>184</v>
      </c>
      <c r="C35" s="2" t="n">
        <v>1.25</v>
      </c>
      <c r="D35" s="2" t="s">
        <v>185</v>
      </c>
      <c r="E35" s="2" t="s">
        <v>30</v>
      </c>
      <c r="F35" s="2" t="s">
        <v>186</v>
      </c>
    </row>
    <row r="36" customFormat="false" ht="17.15" hidden="false" customHeight="false" outlineLevel="0" collapsed="false">
      <c r="A36" s="2" t="s">
        <v>187</v>
      </c>
      <c r="B36" s="2" t="s">
        <v>188</v>
      </c>
      <c r="C36" s="2" t="n">
        <v>0.551</v>
      </c>
      <c r="D36" s="2" t="s">
        <v>185</v>
      </c>
      <c r="E36" s="2" t="s">
        <v>30</v>
      </c>
      <c r="F36" s="3" t="s">
        <v>189</v>
      </c>
    </row>
    <row r="37" customFormat="false" ht="17.15" hidden="false" customHeight="false" outlineLevel="0" collapsed="false">
      <c r="A37" s="2" t="s">
        <v>190</v>
      </c>
      <c r="B37" s="2" t="s">
        <v>191</v>
      </c>
      <c r="C37" s="2" t="n">
        <v>0.17</v>
      </c>
      <c r="D37" s="2" t="s">
        <v>159</v>
      </c>
      <c r="E37" s="2" t="s">
        <v>30</v>
      </c>
      <c r="F37" s="3" t="s">
        <v>192</v>
      </c>
    </row>
    <row r="38" customFormat="false" ht="32.8" hidden="false" customHeight="false" outlineLevel="0" collapsed="false">
      <c r="A38" s="2" t="s">
        <v>193</v>
      </c>
      <c r="B38" s="2" t="s">
        <v>194</v>
      </c>
      <c r="C38" s="2" t="n">
        <v>0.1</v>
      </c>
      <c r="D38" s="2" t="s">
        <v>159</v>
      </c>
      <c r="E38" s="2" t="s">
        <v>195</v>
      </c>
      <c r="F38" s="2" t="s">
        <v>196</v>
      </c>
    </row>
    <row r="39" customFormat="false" ht="17.15" hidden="false" customHeight="false" outlineLevel="0" collapsed="false">
      <c r="A39" s="2" t="s">
        <v>197</v>
      </c>
      <c r="B39" s="2" t="s">
        <v>198</v>
      </c>
      <c r="C39" s="2" t="n">
        <v>0.2142</v>
      </c>
      <c r="D39" s="2" t="s">
        <v>151</v>
      </c>
      <c r="E39" s="2" t="s">
        <v>30</v>
      </c>
      <c r="F39" s="2" t="s">
        <v>199</v>
      </c>
    </row>
    <row r="40" customFormat="false" ht="32.8" hidden="false" customHeight="false" outlineLevel="0" collapsed="false">
      <c r="A40" s="2" t="s">
        <v>200</v>
      </c>
      <c r="B40" s="2" t="s">
        <v>201</v>
      </c>
      <c r="C40" s="2" t="n">
        <v>12</v>
      </c>
      <c r="D40" s="2" t="s">
        <v>202</v>
      </c>
      <c r="E40" s="2" t="s">
        <v>30</v>
      </c>
      <c r="F40" s="2" t="s">
        <v>203</v>
      </c>
    </row>
    <row r="41" customFormat="false" ht="17.15" hidden="false" customHeight="false" outlineLevel="0" collapsed="false">
      <c r="A41" s="2" t="s">
        <v>204</v>
      </c>
      <c r="B41" s="2" t="s">
        <v>205</v>
      </c>
      <c r="C41" s="2" t="n">
        <v>20</v>
      </c>
      <c r="D41" s="2" t="s">
        <v>202</v>
      </c>
      <c r="E41" s="2" t="s">
        <v>30</v>
      </c>
      <c r="F41" s="3" t="s">
        <v>206</v>
      </c>
    </row>
    <row r="42" customFormat="false" ht="17.15" hidden="false" customHeight="false" outlineLevel="0" collapsed="false">
      <c r="A42" s="2" t="s">
        <v>207</v>
      </c>
      <c r="B42" s="2" t="s">
        <v>208</v>
      </c>
      <c r="C42" s="2" t="n">
        <v>25</v>
      </c>
      <c r="D42" s="2" t="s">
        <v>202</v>
      </c>
      <c r="E42" s="2" t="s">
        <v>30</v>
      </c>
      <c r="F42" s="3" t="s">
        <v>17</v>
      </c>
    </row>
    <row r="43" customFormat="false" ht="17.15" hidden="false" customHeight="false" outlineLevel="0" collapsed="false">
      <c r="A43" s="2" t="s">
        <v>209</v>
      </c>
      <c r="B43" s="2" t="s">
        <v>210</v>
      </c>
      <c r="C43" s="2" t="n">
        <v>40</v>
      </c>
      <c r="D43" s="2" t="s">
        <v>202</v>
      </c>
      <c r="E43" s="2" t="s">
        <v>30</v>
      </c>
      <c r="F43" s="3" t="s">
        <v>211</v>
      </c>
    </row>
    <row r="44" customFormat="false" ht="17.15" hidden="false" customHeight="false" outlineLevel="0" collapsed="false">
      <c r="A44" s="2" t="s">
        <v>212</v>
      </c>
      <c r="B44" s="2" t="s">
        <v>213</v>
      </c>
      <c r="C44" s="2" t="n">
        <v>50</v>
      </c>
      <c r="D44" s="2" t="s">
        <v>202</v>
      </c>
      <c r="E44" s="2" t="s">
        <v>30</v>
      </c>
      <c r="F44" s="3" t="s">
        <v>17</v>
      </c>
    </row>
    <row r="45" customFormat="false" ht="32.8" hidden="false" customHeight="false" outlineLevel="0" collapsed="false">
      <c r="A45" s="2" t="s">
        <v>214</v>
      </c>
      <c r="B45" s="2" t="s">
        <v>215</v>
      </c>
      <c r="C45" s="2" t="n">
        <v>1.83333333333333</v>
      </c>
      <c r="D45" s="3" t="s">
        <v>216</v>
      </c>
      <c r="E45" s="2" t="s">
        <v>30</v>
      </c>
      <c r="F45" s="3" t="s">
        <v>217</v>
      </c>
    </row>
    <row r="46" customFormat="false" ht="17.15" hidden="false" customHeight="false" outlineLevel="0" collapsed="false">
      <c r="A46" s="2" t="s">
        <v>218</v>
      </c>
      <c r="B46" s="2" t="s">
        <v>219</v>
      </c>
      <c r="C46" s="2" t="n">
        <v>9.7</v>
      </c>
      <c r="D46" s="2" t="s">
        <v>156</v>
      </c>
      <c r="E46" s="2" t="s">
        <v>30</v>
      </c>
      <c r="F46" s="2" t="s">
        <v>220</v>
      </c>
    </row>
    <row r="47" customFormat="false" ht="17.15" hidden="false" customHeight="false" outlineLevel="0" collapsed="false">
      <c r="A47" s="2" t="s">
        <v>221</v>
      </c>
      <c r="B47" s="2" t="s">
        <v>222</v>
      </c>
      <c r="C47" s="2" t="n">
        <v>5</v>
      </c>
      <c r="D47" s="3" t="s">
        <v>216</v>
      </c>
      <c r="E47" s="2" t="s">
        <v>30</v>
      </c>
      <c r="F47" s="3" t="s">
        <v>223</v>
      </c>
    </row>
    <row r="48" customFormat="false" ht="32.8" hidden="false" customHeight="false" outlineLevel="0" collapsed="false">
      <c r="A48" s="2" t="s">
        <v>224</v>
      </c>
      <c r="B48" s="2" t="s">
        <v>225</v>
      </c>
      <c r="C48" s="2" t="n">
        <v>200</v>
      </c>
      <c r="D48" s="2" t="s">
        <v>226</v>
      </c>
      <c r="E48" s="2" t="s">
        <v>227</v>
      </c>
      <c r="F48" s="3" t="s">
        <v>228</v>
      </c>
    </row>
    <row r="49" customFormat="false" ht="17.15" hidden="false" customHeight="false" outlineLevel="0" collapsed="false">
      <c r="A49" s="2" t="s">
        <v>229</v>
      </c>
      <c r="B49" s="2" t="s">
        <v>230</v>
      </c>
      <c r="C49" s="2" t="n">
        <v>20</v>
      </c>
      <c r="D49" s="2" t="s">
        <v>231</v>
      </c>
      <c r="E49" s="2" t="s">
        <v>30</v>
      </c>
      <c r="F49" s="2" t="s">
        <v>232</v>
      </c>
    </row>
    <row r="50" customFormat="false" ht="17.15" hidden="false" customHeight="false" outlineLevel="0" collapsed="false">
      <c r="A50" s="2" t="s">
        <v>233</v>
      </c>
      <c r="B50" s="2" t="s">
        <v>234</v>
      </c>
      <c r="C50" s="2" t="n">
        <v>25</v>
      </c>
      <c r="D50" s="2" t="s">
        <v>231</v>
      </c>
      <c r="E50" s="2" t="s">
        <v>30</v>
      </c>
      <c r="F50" s="3" t="s">
        <v>235</v>
      </c>
    </row>
    <row r="51" customFormat="false" ht="17.15" hidden="false" customHeight="false" outlineLevel="0" collapsed="false">
      <c r="A51" s="2" t="s">
        <v>236</v>
      </c>
      <c r="B51" s="2" t="s">
        <v>237</v>
      </c>
      <c r="C51" s="2" t="n">
        <v>2</v>
      </c>
      <c r="D51" s="3" t="s">
        <v>216</v>
      </c>
      <c r="E51" s="2" t="s">
        <v>30</v>
      </c>
      <c r="F51" s="3" t="s">
        <v>238</v>
      </c>
    </row>
    <row r="52" customFormat="false" ht="17.15" hidden="false" customHeight="false" outlineLevel="0" collapsed="false">
      <c r="A52" s="2" t="s">
        <v>239</v>
      </c>
      <c r="B52" s="2" t="s">
        <v>240</v>
      </c>
      <c r="C52" s="2" t="n">
        <v>70.5</v>
      </c>
      <c r="D52" s="2" t="s">
        <v>241</v>
      </c>
      <c r="E52" s="2" t="s">
        <v>30</v>
      </c>
      <c r="F52" s="2" t="s">
        <v>242</v>
      </c>
    </row>
    <row r="53" customFormat="false" ht="17.15" hidden="false" customHeight="false" outlineLevel="0" collapsed="false">
      <c r="A53" s="2" t="s">
        <v>243</v>
      </c>
      <c r="B53" s="2" t="s">
        <v>244</v>
      </c>
      <c r="C53" s="2" t="n">
        <v>9.2</v>
      </c>
      <c r="D53" s="2" t="s">
        <v>241</v>
      </c>
      <c r="E53" s="2" t="s">
        <v>30</v>
      </c>
      <c r="F53" s="3" t="s">
        <v>17</v>
      </c>
    </row>
    <row r="54" customFormat="false" ht="17.15" hidden="false" customHeight="false" outlineLevel="0" collapsed="false">
      <c r="A54" s="2" t="s">
        <v>245</v>
      </c>
      <c r="B54" s="2" t="s">
        <v>246</v>
      </c>
      <c r="C54" s="2" t="n">
        <v>5.8</v>
      </c>
      <c r="D54" s="2" t="s">
        <v>156</v>
      </c>
      <c r="E54" s="2" t="s">
        <v>30</v>
      </c>
      <c r="F54" s="2" t="s">
        <v>247</v>
      </c>
    </row>
    <row r="55" customFormat="false" ht="17.15" hidden="false" customHeight="false" outlineLevel="0" collapsed="false">
      <c r="A55" s="2" t="s">
        <v>248</v>
      </c>
      <c r="B55" s="2" t="s">
        <v>249</v>
      </c>
      <c r="C55" s="2" t="n">
        <v>23.806</v>
      </c>
      <c r="D55" s="2" t="s">
        <v>241</v>
      </c>
      <c r="E55" s="2" t="s">
        <v>152</v>
      </c>
      <c r="F55" s="2" t="s">
        <v>250</v>
      </c>
    </row>
    <row r="56" customFormat="false" ht="17.15" hidden="false" customHeight="false" outlineLevel="0" collapsed="false">
      <c r="A56" s="2" t="s">
        <v>251</v>
      </c>
      <c r="B56" s="3" t="s">
        <v>252</v>
      </c>
      <c r="C56" s="2" t="n">
        <v>12.3</v>
      </c>
      <c r="D56" s="2" t="s">
        <v>253</v>
      </c>
      <c r="E56" s="2" t="s">
        <v>152</v>
      </c>
      <c r="F56" s="3" t="s">
        <v>254</v>
      </c>
    </row>
    <row r="57" customFormat="false" ht="17.15" hidden="false" customHeight="false" outlineLevel="0" collapsed="false">
      <c r="A57" s="2" t="s">
        <v>255</v>
      </c>
      <c r="B57" s="2" t="s">
        <v>256</v>
      </c>
      <c r="C57" s="2" t="n">
        <v>5.5</v>
      </c>
      <c r="D57" s="2" t="s">
        <v>226</v>
      </c>
      <c r="E57" s="2" t="s">
        <v>257</v>
      </c>
      <c r="F57" s="3" t="s">
        <v>258</v>
      </c>
    </row>
    <row r="58" customFormat="false" ht="17.15" hidden="false" customHeight="false" outlineLevel="0" collapsed="false">
      <c r="A58" s="2" t="s">
        <v>259</v>
      </c>
      <c r="B58" s="2" t="s">
        <v>260</v>
      </c>
      <c r="C58" s="2" t="n">
        <v>165.2</v>
      </c>
      <c r="D58" s="2" t="s">
        <v>253</v>
      </c>
      <c r="E58" s="2" t="s">
        <v>261</v>
      </c>
      <c r="F58" s="2" t="s">
        <v>262</v>
      </c>
    </row>
    <row r="59" customFormat="false" ht="17.15" hidden="false" customHeight="false" outlineLevel="0" collapsed="false">
      <c r="A59" s="2" t="s">
        <v>263</v>
      </c>
      <c r="B59" s="3" t="s">
        <v>264</v>
      </c>
      <c r="C59" s="2" t="n">
        <v>3</v>
      </c>
      <c r="D59" s="3" t="s">
        <v>216</v>
      </c>
      <c r="E59" s="2" t="s">
        <v>261</v>
      </c>
      <c r="F59" s="3" t="s">
        <v>17</v>
      </c>
    </row>
    <row r="60" customFormat="false" ht="17.15" hidden="false" customHeight="false" outlineLevel="0" collapsed="false">
      <c r="A60" s="2" t="s">
        <v>265</v>
      </c>
      <c r="B60" s="3" t="s">
        <v>266</v>
      </c>
      <c r="C60" s="2" t="n">
        <v>1392</v>
      </c>
      <c r="D60" s="3" t="s">
        <v>267</v>
      </c>
      <c r="E60" s="2" t="s">
        <v>261</v>
      </c>
      <c r="F60" s="3" t="s">
        <v>268</v>
      </c>
    </row>
    <row r="61" customFormat="false" ht="32.8" hidden="false" customHeight="false" outlineLevel="0" collapsed="false">
      <c r="A61" s="2" t="s">
        <v>269</v>
      </c>
      <c r="B61" s="2" t="s">
        <v>270</v>
      </c>
      <c r="C61" s="2" t="n">
        <v>87.5</v>
      </c>
      <c r="D61" s="2" t="s">
        <v>253</v>
      </c>
      <c r="E61" s="2" t="s">
        <v>261</v>
      </c>
      <c r="F61" s="2" t="s">
        <v>262</v>
      </c>
    </row>
    <row r="62" customFormat="false" ht="17.15" hidden="false" customHeight="false" outlineLevel="0" collapsed="false">
      <c r="A62" s="2" t="s">
        <v>271</v>
      </c>
      <c r="B62" s="3" t="s">
        <v>264</v>
      </c>
      <c r="C62" s="2" t="n">
        <v>5</v>
      </c>
      <c r="D62" s="3" t="s">
        <v>216</v>
      </c>
      <c r="E62" s="2" t="s">
        <v>261</v>
      </c>
      <c r="F62" s="3" t="s">
        <v>17</v>
      </c>
    </row>
    <row r="63" customFormat="false" ht="17.15" hidden="false" customHeight="false" outlineLevel="0" collapsed="false">
      <c r="A63" s="2" t="s">
        <v>272</v>
      </c>
      <c r="B63" s="3" t="s">
        <v>266</v>
      </c>
      <c r="C63" s="2" t="n">
        <v>576</v>
      </c>
      <c r="D63" s="3" t="s">
        <v>267</v>
      </c>
      <c r="E63" s="2" t="s">
        <v>261</v>
      </c>
      <c r="F63" s="3" t="s">
        <v>268</v>
      </c>
    </row>
    <row r="64" customFormat="false" ht="17.15" hidden="false" customHeight="false" outlineLevel="0" collapsed="false">
      <c r="A64" s="2" t="s">
        <v>273</v>
      </c>
      <c r="B64" s="2" t="s">
        <v>274</v>
      </c>
      <c r="C64" s="2" t="n">
        <v>16</v>
      </c>
      <c r="D64" s="2" t="s">
        <v>253</v>
      </c>
      <c r="E64" s="2" t="s">
        <v>261</v>
      </c>
      <c r="F64" s="2" t="s">
        <v>262</v>
      </c>
    </row>
    <row r="65" customFormat="false" ht="17.15" hidden="false" customHeight="false" outlineLevel="0" collapsed="false">
      <c r="A65" s="2" t="s">
        <v>275</v>
      </c>
      <c r="B65" s="3" t="s">
        <v>264</v>
      </c>
      <c r="C65" s="2" t="n">
        <v>3</v>
      </c>
      <c r="D65" s="3" t="s">
        <v>216</v>
      </c>
      <c r="E65" s="2" t="s">
        <v>261</v>
      </c>
      <c r="F65" s="3" t="s">
        <v>17</v>
      </c>
    </row>
    <row r="66" customFormat="false" ht="17.15" hidden="false" customHeight="false" outlineLevel="0" collapsed="false">
      <c r="A66" s="2" t="s">
        <v>276</v>
      </c>
      <c r="B66" s="3" t="s">
        <v>266</v>
      </c>
      <c r="C66" s="2" t="n">
        <v>128</v>
      </c>
      <c r="D66" s="3" t="s">
        <v>267</v>
      </c>
      <c r="E66" s="2" t="s">
        <v>261</v>
      </c>
      <c r="F66" s="3" t="s">
        <v>268</v>
      </c>
    </row>
    <row r="67" customFormat="false" ht="32.8" hidden="false" customHeight="false" outlineLevel="0" collapsed="false">
      <c r="A67" s="2" t="s">
        <v>277</v>
      </c>
      <c r="B67" s="2" t="s">
        <v>278</v>
      </c>
      <c r="C67" s="2" t="n">
        <v>108.2</v>
      </c>
      <c r="D67" s="2" t="s">
        <v>253</v>
      </c>
      <c r="E67" s="2" t="s">
        <v>261</v>
      </c>
      <c r="F67" s="2" t="s">
        <v>262</v>
      </c>
    </row>
    <row r="68" customFormat="false" ht="17.15" hidden="false" customHeight="false" outlineLevel="0" collapsed="false">
      <c r="A68" s="2" t="s">
        <v>279</v>
      </c>
      <c r="B68" s="3" t="s">
        <v>264</v>
      </c>
      <c r="C68" s="2" t="n">
        <v>3</v>
      </c>
      <c r="D68" s="3" t="s">
        <v>216</v>
      </c>
      <c r="E68" s="2" t="s">
        <v>261</v>
      </c>
      <c r="F68" s="3" t="s">
        <v>17</v>
      </c>
    </row>
    <row r="69" customFormat="false" ht="17.15" hidden="false" customHeight="false" outlineLevel="0" collapsed="false">
      <c r="A69" s="2" t="s">
        <v>280</v>
      </c>
      <c r="B69" s="3" t="s">
        <v>266</v>
      </c>
      <c r="C69" s="2" t="n">
        <v>576</v>
      </c>
      <c r="D69" s="3" t="s">
        <v>267</v>
      </c>
      <c r="E69" s="2" t="s">
        <v>261</v>
      </c>
      <c r="F69" s="3" t="s">
        <v>17</v>
      </c>
    </row>
    <row r="70" customFormat="false" ht="32.8" hidden="false" customHeight="false" outlineLevel="0" collapsed="false">
      <c r="A70" s="2" t="s">
        <v>281</v>
      </c>
      <c r="B70" s="2" t="s">
        <v>282</v>
      </c>
      <c r="C70" s="2" t="n">
        <v>6.8</v>
      </c>
      <c r="D70" s="2" t="s">
        <v>253</v>
      </c>
      <c r="E70" s="2" t="s">
        <v>261</v>
      </c>
      <c r="F70" s="2" t="s">
        <v>262</v>
      </c>
    </row>
    <row r="71" customFormat="false" ht="17.15" hidden="false" customHeight="false" outlineLevel="0" collapsed="false">
      <c r="A71" s="2" t="s">
        <v>283</v>
      </c>
      <c r="B71" s="3" t="s">
        <v>264</v>
      </c>
      <c r="C71" s="2" t="n">
        <v>1</v>
      </c>
      <c r="D71" s="3" t="s">
        <v>216</v>
      </c>
      <c r="E71" s="2" t="s">
        <v>261</v>
      </c>
      <c r="F71" s="3" t="s">
        <v>17</v>
      </c>
    </row>
    <row r="72" customFormat="false" ht="17.15" hidden="false" customHeight="false" outlineLevel="0" collapsed="false">
      <c r="A72" s="2" t="s">
        <v>284</v>
      </c>
      <c r="B72" s="3" t="s">
        <v>266</v>
      </c>
      <c r="C72" s="2" t="n">
        <v>216</v>
      </c>
      <c r="D72" s="3" t="s">
        <v>267</v>
      </c>
      <c r="E72" s="2" t="s">
        <v>261</v>
      </c>
      <c r="F72" s="3" t="s">
        <v>268</v>
      </c>
    </row>
    <row r="73" customFormat="false" ht="17.15" hidden="false" customHeight="false" outlineLevel="0" collapsed="false">
      <c r="A73" s="2" t="s">
        <v>285</v>
      </c>
      <c r="B73" s="2" t="s">
        <v>286</v>
      </c>
      <c r="C73" s="2" t="n">
        <v>18.1</v>
      </c>
      <c r="D73" s="2" t="s">
        <v>253</v>
      </c>
      <c r="E73" s="2" t="s">
        <v>261</v>
      </c>
      <c r="F73" s="2" t="s">
        <v>262</v>
      </c>
    </row>
    <row r="74" customFormat="false" ht="17.15" hidden="false" customHeight="false" outlineLevel="0" collapsed="false">
      <c r="A74" s="2" t="s">
        <v>287</v>
      </c>
      <c r="B74" s="3" t="s">
        <v>264</v>
      </c>
      <c r="C74" s="2" t="n">
        <v>2</v>
      </c>
      <c r="D74" s="3" t="s">
        <v>216</v>
      </c>
      <c r="E74" s="2" t="s">
        <v>261</v>
      </c>
      <c r="F74" s="3" t="s">
        <v>17</v>
      </c>
    </row>
    <row r="75" customFormat="false" ht="17.15" hidden="false" customHeight="false" outlineLevel="0" collapsed="false">
      <c r="A75" s="2" t="s">
        <v>288</v>
      </c>
      <c r="B75" s="3" t="s">
        <v>266</v>
      </c>
      <c r="C75" s="2" t="n">
        <v>384</v>
      </c>
      <c r="D75" s="3" t="s">
        <v>267</v>
      </c>
      <c r="E75" s="2" t="s">
        <v>261</v>
      </c>
      <c r="F75" s="3" t="s">
        <v>268</v>
      </c>
    </row>
    <row r="76" customFormat="false" ht="32.8" hidden="false" customHeight="false" outlineLevel="0" collapsed="false">
      <c r="A76" s="2" t="s">
        <v>289</v>
      </c>
      <c r="B76" s="2" t="s">
        <v>290</v>
      </c>
      <c r="C76" s="2" t="n">
        <v>50.2</v>
      </c>
      <c r="D76" s="2" t="s">
        <v>253</v>
      </c>
      <c r="E76" s="2" t="s">
        <v>261</v>
      </c>
      <c r="F76" s="2" t="s">
        <v>262</v>
      </c>
    </row>
    <row r="77" customFormat="false" ht="17.15" hidden="false" customHeight="false" outlineLevel="0" collapsed="false">
      <c r="A77" s="2" t="s">
        <v>291</v>
      </c>
      <c r="B77" s="3" t="s">
        <v>264</v>
      </c>
      <c r="C77" s="2" t="n">
        <v>2</v>
      </c>
      <c r="D77" s="3" t="s">
        <v>216</v>
      </c>
      <c r="E77" s="2" t="s">
        <v>261</v>
      </c>
      <c r="F77" s="3" t="s">
        <v>17</v>
      </c>
    </row>
    <row r="78" customFormat="false" ht="17.15" hidden="false" customHeight="false" outlineLevel="0" collapsed="false">
      <c r="A78" s="2" t="s">
        <v>292</v>
      </c>
      <c r="B78" s="3" t="s">
        <v>266</v>
      </c>
      <c r="C78" s="2" t="n">
        <v>2048</v>
      </c>
      <c r="D78" s="3" t="s">
        <v>267</v>
      </c>
      <c r="E78" s="2" t="s">
        <v>293</v>
      </c>
      <c r="F78" s="3" t="s">
        <v>17</v>
      </c>
    </row>
    <row r="79" customFormat="false" ht="17.15" hidden="false" customHeight="false" outlineLevel="0" collapsed="false">
      <c r="A79" s="2" t="s">
        <v>294</v>
      </c>
      <c r="B79" s="2" t="s">
        <v>295</v>
      </c>
      <c r="C79" s="2" t="n">
        <v>5</v>
      </c>
      <c r="D79" s="2" t="s">
        <v>126</v>
      </c>
      <c r="E79" s="2" t="s">
        <v>296</v>
      </c>
      <c r="F79" s="2" t="s">
        <v>297</v>
      </c>
    </row>
    <row r="80" customFormat="false" ht="17.15" hidden="false" customHeight="false" outlineLevel="0" collapsed="false">
      <c r="A80" s="2" t="s">
        <v>298</v>
      </c>
      <c r="B80" s="2" t="s">
        <v>299</v>
      </c>
      <c r="C80" s="2" t="n">
        <v>5.68</v>
      </c>
      <c r="D80" s="2" t="s">
        <v>126</v>
      </c>
      <c r="E80" s="2" t="s">
        <v>300</v>
      </c>
      <c r="F80" s="3" t="s">
        <v>301</v>
      </c>
    </row>
    <row r="81" customFormat="false" ht="17.15" hidden="false" customHeight="false" outlineLevel="0" collapsed="false">
      <c r="A81" s="2" t="s">
        <v>302</v>
      </c>
      <c r="B81" s="2" t="s">
        <v>303</v>
      </c>
      <c r="C81" s="2" t="n">
        <v>6</v>
      </c>
      <c r="D81" s="2" t="s">
        <v>126</v>
      </c>
      <c r="E81" s="2" t="s">
        <v>304</v>
      </c>
      <c r="F81" s="3" t="s">
        <v>305</v>
      </c>
    </row>
    <row r="82" customFormat="false" ht="17.15" hidden="false" customHeight="false" outlineLevel="0" collapsed="false">
      <c r="A82" s="2" t="s">
        <v>306</v>
      </c>
      <c r="B82" s="2" t="s">
        <v>307</v>
      </c>
      <c r="C82" s="2" t="n">
        <v>6.5</v>
      </c>
      <c r="D82" s="2" t="s">
        <v>126</v>
      </c>
      <c r="E82" s="2" t="s">
        <v>304</v>
      </c>
      <c r="F82" s="3" t="s">
        <v>17</v>
      </c>
    </row>
    <row r="83" customFormat="false" ht="17.15" hidden="false" customHeight="false" outlineLevel="0" collapsed="false">
      <c r="A83" s="2" t="s">
        <v>308</v>
      </c>
      <c r="B83" s="2" t="s">
        <v>309</v>
      </c>
      <c r="C83" s="2" t="n">
        <v>0.24</v>
      </c>
      <c r="D83" s="2" t="s">
        <v>310</v>
      </c>
      <c r="E83" s="2" t="s">
        <v>300</v>
      </c>
      <c r="F83" s="3" t="s">
        <v>311</v>
      </c>
    </row>
    <row r="84" customFormat="false" ht="17.15" hidden="false" customHeight="false" outlineLevel="0" collapsed="false">
      <c r="A84" s="2" t="s">
        <v>312</v>
      </c>
      <c r="B84" s="2" t="s">
        <v>313</v>
      </c>
      <c r="C84" s="2" t="n">
        <v>0.41</v>
      </c>
      <c r="D84" s="2" t="s">
        <v>310</v>
      </c>
      <c r="E84" s="2" t="s">
        <v>300</v>
      </c>
      <c r="F84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60"/>
  </cols>
  <sheetData>
    <row r="1" customFormat="false" ht="32.8" hidden="false" customHeight="false" outlineLevel="0" collapsed="false">
      <c r="A1" s="5" t="s">
        <v>314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7.15" hidden="false" customHeight="false" outlineLevel="0" collapsed="false">
      <c r="A3" s="5" t="s">
        <v>315</v>
      </c>
      <c r="B3" s="1" t="s">
        <v>69</v>
      </c>
      <c r="C3" s="1"/>
      <c r="D3" s="1"/>
      <c r="E3" s="1" t="s">
        <v>8</v>
      </c>
    </row>
    <row r="4" customFormat="false" ht="17.15" hidden="false" customHeight="false" outlineLevel="0" collapsed="false">
      <c r="A4" s="2" t="s">
        <v>316</v>
      </c>
      <c r="B4" s="4" t="n">
        <f aca="false">輸入!$C$28-輸入!$C$29</f>
        <v>1</v>
      </c>
      <c r="C4" s="2"/>
      <c r="D4" s="2"/>
      <c r="E4" s="2" t="s">
        <v>317</v>
      </c>
    </row>
    <row r="5" customFormat="false" ht="17.15" hidden="false" customHeight="false" outlineLevel="0" collapsed="false">
      <c r="A5" s="2" t="s">
        <v>318</v>
      </c>
      <c r="B5" s="4" t="n">
        <f aca="false">(B4+輸入!$C$28)/2</f>
        <v>1.25</v>
      </c>
      <c r="C5" s="2"/>
      <c r="D5" s="2"/>
      <c r="E5" s="2" t="s">
        <v>159</v>
      </c>
    </row>
    <row r="6" customFormat="false" ht="17.15" hidden="false" customHeight="false" outlineLevel="0" collapsed="false">
      <c r="A6" s="2" t="s">
        <v>319</v>
      </c>
      <c r="B6" s="4" t="n">
        <f aca="false">B4+(輸入!$C$29-輸入!$C$30)*(2/3)+輸入!$C$30*(1/6)</f>
        <v>1.18333333333333</v>
      </c>
      <c r="C6" s="2"/>
      <c r="D6" s="2"/>
      <c r="E6" s="2" t="s">
        <v>320</v>
      </c>
    </row>
    <row r="7" customFormat="false" ht="17.15" hidden="false" customHeight="false" outlineLevel="0" collapsed="false">
      <c r="A7" s="2" t="s">
        <v>321</v>
      </c>
      <c r="B7" s="4" t="n">
        <f aca="false">輸入!$C$27-輸入!$C$26</f>
        <v>2.078</v>
      </c>
      <c r="C7" s="2"/>
      <c r="D7" s="2"/>
      <c r="E7" s="2" t="s">
        <v>156</v>
      </c>
    </row>
    <row r="8" customFormat="false" ht="17.15" hidden="false" customHeight="false" outlineLevel="0" collapsed="false">
      <c r="A8" s="2" t="s">
        <v>322</v>
      </c>
      <c r="B8" s="4" t="n">
        <f aca="false">(輸入!$C$31+輸入!$C$32)/2</f>
        <v>0.925</v>
      </c>
      <c r="C8" s="2"/>
      <c r="D8" s="2"/>
      <c r="E8" s="2" t="s">
        <v>323</v>
      </c>
    </row>
    <row r="9" customFormat="false" ht="15" hidden="false" customHeight="false" outlineLevel="0" collapsed="false">
      <c r="A9" s="2"/>
      <c r="B9" s="2"/>
      <c r="C9" s="2"/>
      <c r="D9" s="2"/>
      <c r="E9" s="2"/>
    </row>
    <row r="10" customFormat="false" ht="17.15" hidden="false" customHeight="false" outlineLevel="0" collapsed="false">
      <c r="A10" s="5" t="s">
        <v>324</v>
      </c>
      <c r="B10" s="5" t="s">
        <v>325</v>
      </c>
      <c r="C10" s="5" t="s">
        <v>326</v>
      </c>
      <c r="D10" s="5" t="s">
        <v>327</v>
      </c>
      <c r="E10" s="1"/>
    </row>
    <row r="11" customFormat="false" ht="17.15" hidden="false" customHeight="false" outlineLevel="0" collapsed="false">
      <c r="A11" s="2" t="s">
        <v>328</v>
      </c>
      <c r="B11" s="4" t="n">
        <f aca="false">輸入!$C$26*4/B5</f>
        <v>8.24</v>
      </c>
      <c r="C11" s="4" t="n">
        <f aca="false">輸入!$C$26*4/B6</f>
        <v>8.70422535211268</v>
      </c>
      <c r="D11" s="4" t="n">
        <f aca="false">B7*4/B8</f>
        <v>8.98594594594594</v>
      </c>
      <c r="E11" s="2"/>
    </row>
    <row r="12" customFormat="false" ht="17.15" hidden="false" customHeight="false" outlineLevel="0" collapsed="false">
      <c r="A12" s="3" t="s">
        <v>329</v>
      </c>
      <c r="B12" s="4" t="n">
        <f aca="false">B11*輸入!$C$23</f>
        <v>9.888</v>
      </c>
      <c r="C12" s="4" t="n">
        <f aca="false">C11*輸入!$C$23</f>
        <v>10.4450704225352</v>
      </c>
      <c r="D12" s="4" t="n">
        <f aca="false">D11*輸入!$C$23</f>
        <v>10.7831351351351</v>
      </c>
      <c r="E12" s="2"/>
    </row>
    <row r="13" customFormat="false" ht="17.15" hidden="false" customHeight="false" outlineLevel="0" collapsed="false">
      <c r="A13" s="3" t="s">
        <v>330</v>
      </c>
      <c r="B13" s="4" t="n">
        <f aca="false">B11*輸入!$C$24</f>
        <v>10.712</v>
      </c>
      <c r="C13" s="4" t="n">
        <f aca="false">C11*輸入!$C$24</f>
        <v>11.3154929577465</v>
      </c>
      <c r="D13" s="4" t="n">
        <f aca="false">D11*輸入!$C$24</f>
        <v>11.6817297297297</v>
      </c>
      <c r="E13" s="2"/>
    </row>
    <row r="14" customFormat="false" ht="15" hidden="false" customHeight="false" outlineLevel="0" collapsed="false">
      <c r="A14" s="2"/>
      <c r="B14" s="2"/>
      <c r="C14" s="2"/>
      <c r="D14" s="2"/>
      <c r="E14" s="2"/>
    </row>
    <row r="15" customFormat="false" ht="17.15" hidden="false" customHeight="false" outlineLevel="0" collapsed="false">
      <c r="A15" s="5" t="s">
        <v>331</v>
      </c>
      <c r="B15" s="5" t="s">
        <v>332</v>
      </c>
      <c r="C15" s="5" t="s">
        <v>333</v>
      </c>
      <c r="D15" s="5" t="s">
        <v>334</v>
      </c>
      <c r="E15" s="1"/>
    </row>
    <row r="16" customFormat="false" ht="17.15" hidden="false" customHeight="false" outlineLevel="0" collapsed="false">
      <c r="A16" s="2" t="s">
        <v>335</v>
      </c>
      <c r="B16" s="4" t="n">
        <f aca="false">B11/輸入!$C$2</f>
        <v>0.849214250787129</v>
      </c>
      <c r="C16" s="4" t="n">
        <f aca="false">B11/輸入!$C$3</f>
        <v>0.933376242032096</v>
      </c>
      <c r="D16" s="4" t="n">
        <f aca="false">B11/輸入!$C$4</f>
        <v>0.756906936400146</v>
      </c>
      <c r="E16" s="2"/>
    </row>
    <row r="17" customFormat="false" ht="17.15" hidden="false" customHeight="false" outlineLevel="0" collapsed="false">
      <c r="A17" s="2" t="s">
        <v>336</v>
      </c>
      <c r="B17" s="4" t="n">
        <f aca="false">C11/輸入!$C$2</f>
        <v>0.897057307169502</v>
      </c>
      <c r="C17" s="4" t="n">
        <f aca="false">C11/輸入!$C$3</f>
        <v>0.985960819047989</v>
      </c>
      <c r="D17" s="4" t="n">
        <f aca="false">C11/輸入!$C$4</f>
        <v>0.79954958070438</v>
      </c>
      <c r="E17" s="2"/>
    </row>
    <row r="18" customFormat="false" ht="17.15" hidden="false" customHeight="false" outlineLevel="0" collapsed="false">
      <c r="A18" s="2" t="s">
        <v>337</v>
      </c>
      <c r="B18" s="4" t="n">
        <f aca="false">B12/輸入!$C$2</f>
        <v>1.01905710094455</v>
      </c>
      <c r="C18" s="4" t="n">
        <f aca="false">B12/輸入!$C$3</f>
        <v>1.12005149043852</v>
      </c>
      <c r="D18" s="4" t="n">
        <f aca="false">B12/輸入!$C$4</f>
        <v>0.908288323680175</v>
      </c>
      <c r="E18" s="2"/>
    </row>
    <row r="19" customFormat="false" ht="17.15" hidden="false" customHeight="false" outlineLevel="0" collapsed="false">
      <c r="A19" s="2" t="s">
        <v>338</v>
      </c>
      <c r="B19" s="4" t="n">
        <f aca="false">C13/輸入!$C$2</f>
        <v>1.16617449932035</v>
      </c>
      <c r="C19" s="4" t="n">
        <f aca="false">C13/輸入!$C$3</f>
        <v>1.28174906476239</v>
      </c>
      <c r="D19" s="4" t="n">
        <f aca="false">C13/輸入!$C$4</f>
        <v>1.03941445491569</v>
      </c>
      <c r="E19" s="2"/>
    </row>
    <row r="20" customFormat="false" ht="17.15" hidden="false" customHeight="false" outlineLevel="0" collapsed="false">
      <c r="A20" s="2" t="s">
        <v>339</v>
      </c>
      <c r="B20" s="4" t="n">
        <f aca="false">D11/輸入!$C$2</f>
        <v>0.926091426468461</v>
      </c>
      <c r="C20" s="4" t="n">
        <f aca="false">D11/輸入!$C$3</f>
        <v>1.01787238569546</v>
      </c>
      <c r="D20" s="4" t="n">
        <f aca="false">D11/輸入!$C$4</f>
        <v>0.82542776900525</v>
      </c>
      <c r="E20" s="2"/>
    </row>
    <row r="21" customFormat="false" ht="17.15" hidden="false" customHeight="false" outlineLevel="0" collapsed="false">
      <c r="A21" s="2" t="s">
        <v>340</v>
      </c>
      <c r="B21" s="4" t="n">
        <f aca="false">D13/輸入!$C$2</f>
        <v>1.203918854409</v>
      </c>
      <c r="C21" s="4" t="n">
        <f aca="false">D13/輸入!$C$3</f>
        <v>1.3232341014041</v>
      </c>
      <c r="D21" s="4" t="n">
        <f aca="false">D13/輸入!$C$4</f>
        <v>1.07305609970682</v>
      </c>
      <c r="E21" s="2"/>
    </row>
    <row r="22" customFormat="false" ht="15" hidden="false" customHeight="false" outlineLevel="0" collapsed="false">
      <c r="A22" s="2"/>
      <c r="B22" s="2"/>
      <c r="C22" s="2"/>
      <c r="D22" s="2"/>
      <c r="E22" s="2"/>
    </row>
    <row r="23" customFormat="false" ht="17.15" hidden="false" customHeight="false" outlineLevel="0" collapsed="false">
      <c r="A23" s="2" t="s">
        <v>341</v>
      </c>
      <c r="B23" s="4" t="n">
        <f aca="false">MIN(C16:D19)</f>
        <v>0.756906936400146</v>
      </c>
      <c r="C23" s="2"/>
      <c r="D23" s="2"/>
      <c r="E23" s="2" t="s">
        <v>342</v>
      </c>
    </row>
    <row r="24" customFormat="false" ht="17.15" hidden="false" customHeight="false" outlineLevel="0" collapsed="false">
      <c r="A24" s="2" t="s">
        <v>343</v>
      </c>
      <c r="B24" s="4" t="n">
        <f aca="false">MAX(C16:D19)</f>
        <v>1.28174906476239</v>
      </c>
      <c r="C24" s="2"/>
      <c r="D24" s="2"/>
      <c r="E24" s="2" t="s">
        <v>344</v>
      </c>
    </row>
    <row r="25" customFormat="false" ht="17.15" hidden="false" customHeight="false" outlineLevel="0" collapsed="false">
      <c r="A25" s="2" t="s">
        <v>345</v>
      </c>
      <c r="B25" s="4" t="n">
        <f aca="false">B23*輸入!$C$33</f>
        <v>0.946133670500183</v>
      </c>
      <c r="C25" s="2"/>
      <c r="D25" s="2"/>
      <c r="E25" s="2"/>
    </row>
    <row r="26" customFormat="false" ht="17.15" hidden="false" customHeight="false" outlineLevel="0" collapsed="false">
      <c r="A26" s="2" t="s">
        <v>346</v>
      </c>
      <c r="B26" s="4" t="n">
        <f aca="false">B24*輸入!$C$33</f>
        <v>1.60218633095298</v>
      </c>
      <c r="C26" s="2"/>
      <c r="D26" s="2"/>
      <c r="E26" s="2"/>
    </row>
    <row r="27" customFormat="false" ht="17.15" hidden="false" customHeight="false" outlineLevel="0" collapsed="false">
      <c r="A27" s="2" t="s">
        <v>347</v>
      </c>
      <c r="B27" s="4" t="n">
        <f aca="false">MIN(B20:D21)</f>
        <v>0.82542776900525</v>
      </c>
      <c r="C27" s="2"/>
      <c r="D27" s="2"/>
      <c r="E27" s="2"/>
    </row>
    <row r="28" customFormat="false" ht="17.15" hidden="false" customHeight="false" outlineLevel="0" collapsed="false">
      <c r="A28" s="2" t="s">
        <v>348</v>
      </c>
      <c r="B28" s="4" t="n">
        <f aca="false">MAX(B20:D21)</f>
        <v>1.3232341014041</v>
      </c>
      <c r="C28" s="2"/>
      <c r="D28" s="2"/>
      <c r="E2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60"/>
  </cols>
  <sheetData>
    <row r="1" customFormat="false" ht="48.5" hidden="false" customHeight="false" outlineLevel="0" collapsed="false">
      <c r="A1" s="5" t="s">
        <v>349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7.15" hidden="false" customHeight="false" outlineLevel="0" collapsed="false">
      <c r="A3" s="5" t="s">
        <v>350</v>
      </c>
      <c r="B3" s="1" t="s">
        <v>69</v>
      </c>
      <c r="C3" s="1"/>
      <c r="D3" s="1"/>
      <c r="E3" s="1" t="s">
        <v>8</v>
      </c>
    </row>
    <row r="4" customFormat="false" ht="17.15" hidden="false" customHeight="false" outlineLevel="0" collapsed="false">
      <c r="A4" s="2" t="s">
        <v>351</v>
      </c>
      <c r="B4" s="4" t="n">
        <f aca="false">輸入!$C$37*輸入!$C$36/輸入!$C$35</f>
        <v>0.074936</v>
      </c>
      <c r="C4" s="2"/>
      <c r="D4" s="2"/>
      <c r="E4" s="2" t="s">
        <v>352</v>
      </c>
    </row>
    <row r="5" customFormat="false" ht="17.15" hidden="false" customHeight="false" outlineLevel="0" collapsed="false">
      <c r="A5" s="2" t="s">
        <v>353</v>
      </c>
      <c r="B5" s="4" t="n">
        <f aca="false">輸入!$C$38</f>
        <v>0.1</v>
      </c>
      <c r="C5" s="2"/>
      <c r="D5" s="2"/>
      <c r="E5" s="2" t="s">
        <v>354</v>
      </c>
    </row>
    <row r="6" customFormat="false" ht="17.15" hidden="false" customHeight="false" outlineLevel="0" collapsed="false">
      <c r="A6" s="2" t="s">
        <v>355</v>
      </c>
      <c r="B6" s="4" t="n">
        <f aca="false">(B4+輸入!$C$37)/2</f>
        <v>0.122468</v>
      </c>
      <c r="C6" s="2"/>
      <c r="D6" s="2"/>
      <c r="E6" s="2" t="s">
        <v>159</v>
      </c>
    </row>
    <row r="7" customFormat="false" ht="17.15" hidden="false" customHeight="false" outlineLevel="0" collapsed="false">
      <c r="A7" s="2" t="s">
        <v>356</v>
      </c>
      <c r="B7" s="4" t="n">
        <f aca="false">(B5+輸入!$C$37)/2</f>
        <v>0.135</v>
      </c>
      <c r="C7" s="2"/>
      <c r="D7" s="2"/>
      <c r="E7" s="2" t="s">
        <v>357</v>
      </c>
    </row>
    <row r="8" customFormat="false" ht="15" hidden="false" customHeight="false" outlineLevel="0" collapsed="false">
      <c r="A8" s="2"/>
      <c r="B8" s="2"/>
      <c r="C8" s="2"/>
      <c r="D8" s="2"/>
      <c r="E8" s="2"/>
    </row>
    <row r="9" customFormat="false" ht="17.15" hidden="false" customHeight="false" outlineLevel="0" collapsed="false">
      <c r="A9" s="1" t="s">
        <v>358</v>
      </c>
      <c r="B9" s="1" t="s">
        <v>69</v>
      </c>
      <c r="C9" s="1"/>
      <c r="D9" s="1"/>
      <c r="E9" s="1"/>
    </row>
    <row r="10" customFormat="false" ht="32.8" hidden="false" customHeight="false" outlineLevel="0" collapsed="false">
      <c r="A10" s="2" t="s">
        <v>359</v>
      </c>
      <c r="B10" s="4" t="n">
        <f aca="false">輸入!$C$35/輸入!$C$37</f>
        <v>7.35294117647059</v>
      </c>
      <c r="C10" s="2"/>
      <c r="D10" s="2"/>
      <c r="E10" s="2" t="s">
        <v>360</v>
      </c>
    </row>
    <row r="11" customFormat="false" ht="17.15" hidden="false" customHeight="false" outlineLevel="0" collapsed="false">
      <c r="A11" s="2" t="s">
        <v>361</v>
      </c>
      <c r="B11" s="4" t="n">
        <f aca="false">輸入!$C$39*4/B6</f>
        <v>6.99611327040533</v>
      </c>
      <c r="C11" s="2"/>
      <c r="D11" s="2"/>
      <c r="E11" s="2" t="s">
        <v>362</v>
      </c>
    </row>
    <row r="12" customFormat="false" ht="17.15" hidden="false" customHeight="false" outlineLevel="0" collapsed="false">
      <c r="A12" s="2" t="s">
        <v>363</v>
      </c>
      <c r="B12" s="4" t="n">
        <f aca="false">輸入!$C$39*4/B7</f>
        <v>6.34666666666667</v>
      </c>
      <c r="C12" s="2"/>
      <c r="D12" s="2"/>
      <c r="E12" s="3" t="s">
        <v>364</v>
      </c>
    </row>
    <row r="13" customFormat="false" ht="15" hidden="false" customHeight="false" outlineLevel="0" collapsed="false">
      <c r="A13" s="2"/>
      <c r="B13" s="2"/>
      <c r="C13" s="2"/>
      <c r="D13" s="2"/>
      <c r="E13" s="2"/>
    </row>
    <row r="14" customFormat="false" ht="32.8" hidden="false" customHeight="false" outlineLevel="0" collapsed="false">
      <c r="A14" s="5" t="s">
        <v>365</v>
      </c>
      <c r="B14" s="5" t="s">
        <v>332</v>
      </c>
      <c r="C14" s="5" t="s">
        <v>333</v>
      </c>
      <c r="D14" s="5" t="s">
        <v>334</v>
      </c>
      <c r="E14" s="1"/>
    </row>
    <row r="15" customFormat="false" ht="15" hidden="false" customHeight="false" outlineLevel="0" collapsed="false">
      <c r="A15" s="2" t="s">
        <v>366</v>
      </c>
      <c r="B15" s="4" t="n">
        <f aca="false">B10/輸入!$C$2</f>
        <v>0.757793984497366</v>
      </c>
      <c r="C15" s="4" t="n">
        <f aca="false">B10/輸入!$C$3</f>
        <v>0.832895704269075</v>
      </c>
      <c r="D15" s="4" t="n">
        <f aca="false">B10/輸入!$C$4</f>
        <v>0.67542380818117</v>
      </c>
      <c r="E15" s="2"/>
    </row>
    <row r="16" customFormat="false" ht="15" hidden="false" customHeight="false" outlineLevel="0" collapsed="false">
      <c r="A16" s="2" t="s">
        <v>367</v>
      </c>
      <c r="B16" s="4" t="n">
        <f aca="false">B11/輸入!$C$2</f>
        <v>0.721019306959848</v>
      </c>
      <c r="C16" s="4" t="n">
        <f aca="false">B11/輸入!$C$3</f>
        <v>0.792476445772063</v>
      </c>
      <c r="D16" s="4" t="n">
        <f aca="false">B11/輸入!$C$4</f>
        <v>0.642646439588702</v>
      </c>
      <c r="E16" s="2"/>
    </row>
    <row r="17" customFormat="false" ht="15" hidden="false" customHeight="false" outlineLevel="0" collapsed="false">
      <c r="A17" s="2" t="s">
        <v>368</v>
      </c>
      <c r="B17" s="4" t="n">
        <f aca="false">B12/輸入!$C$2</f>
        <v>0.654087351738954</v>
      </c>
      <c r="C17" s="4" t="n">
        <f aca="false">B12/輸入!$C$3</f>
        <v>0.718911150820838</v>
      </c>
      <c r="D17" s="4" t="n">
        <f aca="false">B12/輸入!$C$4</f>
        <v>0.582989808618883</v>
      </c>
      <c r="E17" s="2"/>
    </row>
    <row r="18" customFormat="false" ht="17.15" hidden="false" customHeight="false" outlineLevel="0" collapsed="false">
      <c r="A18" s="3" t="s">
        <v>369</v>
      </c>
      <c r="B18" s="4" t="n">
        <f aca="false">MIN(B15:C17)</f>
        <v>0.654087351738954</v>
      </c>
      <c r="C18" s="2"/>
      <c r="D18" s="2"/>
      <c r="E18" s="2"/>
    </row>
    <row r="19" customFormat="false" ht="17.15" hidden="false" customHeight="false" outlineLevel="0" collapsed="false">
      <c r="A19" s="3" t="s">
        <v>370</v>
      </c>
      <c r="B19" s="4" t="n">
        <f aca="false">MAX(B15:C17)</f>
        <v>0.832895704269075</v>
      </c>
      <c r="C19" s="2"/>
      <c r="D19" s="2"/>
      <c r="E19" s="2"/>
    </row>
    <row r="20" customFormat="false" ht="32.8" hidden="false" customHeight="false" outlineLevel="0" collapsed="false">
      <c r="A20" s="3" t="s">
        <v>371</v>
      </c>
      <c r="B20" s="4" t="n">
        <f aca="false">B18*輸入!$C$21</f>
        <v>0.457861146217267</v>
      </c>
      <c r="C20" s="2"/>
      <c r="D20" s="2"/>
      <c r="E20" s="3" t="s">
        <v>372</v>
      </c>
    </row>
    <row r="21" customFormat="false" ht="17.15" hidden="false" customHeight="false" outlineLevel="0" collapsed="false">
      <c r="A21" s="3" t="s">
        <v>373</v>
      </c>
      <c r="B21" s="4" t="n">
        <f aca="false">B19*輸入!$C$22</f>
        <v>0.749606133842167</v>
      </c>
      <c r="C21" s="2"/>
      <c r="D21" s="2"/>
      <c r="E21" s="2"/>
    </row>
    <row r="22" customFormat="false" ht="15" hidden="false" customHeight="false" outlineLevel="0" collapsed="false">
      <c r="A22" s="2"/>
      <c r="B22" s="2"/>
      <c r="C22" s="2"/>
      <c r="D22" s="2"/>
      <c r="E22" s="2"/>
    </row>
    <row r="23" customFormat="false" ht="32.8" hidden="false" customHeight="false" outlineLevel="0" collapsed="false">
      <c r="A23" s="5" t="s">
        <v>374</v>
      </c>
      <c r="B23" s="1" t="s">
        <v>375</v>
      </c>
      <c r="C23" s="5" t="s">
        <v>376</v>
      </c>
      <c r="D23" s="5" t="s">
        <v>43</v>
      </c>
      <c r="E23" s="5" t="s">
        <v>377</v>
      </c>
    </row>
    <row r="24" customFormat="false" ht="17.15" hidden="false" customHeight="false" outlineLevel="0" collapsed="false">
      <c r="A24" s="3" t="s">
        <v>27</v>
      </c>
      <c r="B24" s="4" t="n">
        <f aca="false">輸入!$C$40</f>
        <v>12</v>
      </c>
      <c r="C24" s="4" t="n">
        <f aca="false">B24/輸入!$C$3</f>
        <v>1.35928578936713</v>
      </c>
      <c r="D24" s="4" t="n">
        <f aca="false">B24/輸入!$C$4</f>
        <v>1.10229165495167</v>
      </c>
      <c r="E24" s="4" t="n">
        <f aca="false">B24/輸入!$C$5</f>
        <v>0.981557274603199</v>
      </c>
    </row>
    <row r="25" customFormat="false" ht="17.15" hidden="false" customHeight="false" outlineLevel="0" collapsed="false">
      <c r="A25" s="2" t="s">
        <v>378</v>
      </c>
      <c r="B25" s="4" t="n">
        <f aca="false">輸入!$C$41</f>
        <v>20</v>
      </c>
      <c r="C25" s="4" t="n">
        <f aca="false">B25/輸入!$C$3</f>
        <v>2.26547631561188</v>
      </c>
      <c r="D25" s="4" t="n">
        <f aca="false">B25/輸入!$C$4</f>
        <v>1.83715275825278</v>
      </c>
      <c r="E25" s="4" t="n">
        <f aca="false">B25/輸入!$C$5</f>
        <v>1.63592879100533</v>
      </c>
    </row>
    <row r="26" customFormat="false" ht="17.15" hidden="false" customHeight="false" outlineLevel="0" collapsed="false">
      <c r="A26" s="2" t="s">
        <v>379</v>
      </c>
      <c r="B26" s="4" t="n">
        <f aca="false">輸入!$C$42</f>
        <v>25</v>
      </c>
      <c r="C26" s="4" t="n">
        <f aca="false">B26/輸入!$C$3</f>
        <v>2.83184539451485</v>
      </c>
      <c r="D26" s="4" t="n">
        <f aca="false">B26/輸入!$C$4</f>
        <v>2.29644094781598</v>
      </c>
      <c r="E26" s="4" t="n">
        <f aca="false">B26/輸入!$C$5</f>
        <v>2.04491098875666</v>
      </c>
    </row>
    <row r="27" customFormat="false" ht="17.15" hidden="false" customHeight="false" outlineLevel="0" collapsed="false">
      <c r="A27" s="2" t="s">
        <v>380</v>
      </c>
      <c r="B27" s="4" t="n">
        <f aca="false">輸入!$C$43</f>
        <v>40</v>
      </c>
      <c r="C27" s="4" t="n">
        <f aca="false">B27/輸入!$C$3</f>
        <v>4.53095263122377</v>
      </c>
      <c r="D27" s="4" t="n">
        <f aca="false">B27/輸入!$C$4</f>
        <v>3.67430551650556</v>
      </c>
      <c r="E27" s="4" t="n">
        <f aca="false">B27/輸入!$C$5</f>
        <v>3.27185758201066</v>
      </c>
    </row>
    <row r="28" customFormat="false" ht="17.15" hidden="false" customHeight="false" outlineLevel="0" collapsed="false">
      <c r="A28" s="2" t="s">
        <v>381</v>
      </c>
      <c r="B28" s="4" t="n">
        <f aca="false">輸入!$C$44</f>
        <v>50</v>
      </c>
      <c r="C28" s="4" t="n">
        <f aca="false">B28/輸入!$C$3</f>
        <v>5.66369078902971</v>
      </c>
      <c r="D28" s="4" t="n">
        <f aca="false">B28/輸入!$C$4</f>
        <v>4.59288189563196</v>
      </c>
      <c r="E28" s="4" t="n">
        <f aca="false">B28/輸入!$C$5</f>
        <v>4.08982197751333</v>
      </c>
    </row>
    <row r="29" customFormat="false" ht="17.15" hidden="false" customHeight="false" outlineLevel="0" collapsed="false">
      <c r="A29" s="3" t="s">
        <v>382</v>
      </c>
      <c r="B29" s="2"/>
      <c r="C29" s="2"/>
      <c r="D29" s="4" t="n">
        <f aca="false">D25*輸入!$C$23</f>
        <v>2.20458330990334</v>
      </c>
      <c r="E29" s="2"/>
    </row>
    <row r="30" customFormat="false" ht="17.15" hidden="false" customHeight="false" outlineLevel="0" collapsed="false">
      <c r="A30" s="3" t="s">
        <v>383</v>
      </c>
      <c r="B30" s="2"/>
      <c r="C30" s="2"/>
      <c r="D30" s="4" t="n">
        <f aca="false">D26*輸入!$C$24</f>
        <v>2.98537323216077</v>
      </c>
      <c r="E30" s="2"/>
    </row>
    <row r="31" customFormat="false" ht="15" hidden="false" customHeight="false" outlineLevel="0" collapsed="false">
      <c r="A31" s="2"/>
      <c r="B31" s="2"/>
      <c r="C31" s="2"/>
      <c r="D31" s="2"/>
      <c r="E31" s="2"/>
    </row>
    <row r="32" customFormat="false" ht="17.15" hidden="false" customHeight="false" outlineLevel="0" collapsed="false">
      <c r="A32" s="5" t="s">
        <v>384</v>
      </c>
      <c r="B32" s="1" t="s">
        <v>69</v>
      </c>
      <c r="C32" s="1"/>
      <c r="D32" s="1"/>
      <c r="E32" s="1" t="s">
        <v>8</v>
      </c>
    </row>
    <row r="33" customFormat="false" ht="17.15" hidden="false" customHeight="false" outlineLevel="0" collapsed="false">
      <c r="A33" s="3" t="s">
        <v>385</v>
      </c>
      <c r="B33" s="4" t="n">
        <f aca="false">輸入!$C$45*(B25-輸入!$C$15)</f>
        <v>33.0318361759016</v>
      </c>
      <c r="C33" s="2"/>
      <c r="D33" s="2"/>
      <c r="E33" s="2" t="s">
        <v>386</v>
      </c>
    </row>
    <row r="34" customFormat="false" ht="17.15" hidden="false" customHeight="false" outlineLevel="0" collapsed="false">
      <c r="A34" s="3" t="s">
        <v>387</v>
      </c>
      <c r="B34" s="4" t="n">
        <f aca="false">輸入!$C$45*(B26-輸入!$C$15)</f>
        <v>42.1985028425683</v>
      </c>
      <c r="C34" s="2"/>
      <c r="D34" s="2"/>
      <c r="E34" s="2"/>
    </row>
    <row r="35" customFormat="false" ht="32.8" hidden="false" customHeight="false" outlineLevel="0" collapsed="false">
      <c r="A35" s="3" t="s">
        <v>388</v>
      </c>
      <c r="B35" s="4" t="n">
        <f aca="false">輸入!$C$11+輸入!$C$13</f>
        <v>44.907224</v>
      </c>
      <c r="C35" s="2"/>
      <c r="D35" s="2"/>
      <c r="E35" s="3" t="s">
        <v>389</v>
      </c>
    </row>
    <row r="36" customFormat="false" ht="17.15" hidden="false" customHeight="false" outlineLevel="0" collapsed="false">
      <c r="A36" s="3" t="s">
        <v>390</v>
      </c>
      <c r="B36" s="4" t="n">
        <f aca="false">B33/B35</f>
        <v>0.735557294209538</v>
      </c>
      <c r="C36" s="4" t="n">
        <f aca="false">B34/B35</f>
        <v>0.939681839219638</v>
      </c>
      <c r="D36" s="2"/>
      <c r="E3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60"/>
  </cols>
  <sheetData>
    <row r="1" customFormat="false" ht="32.8" hidden="false" customHeight="false" outlineLevel="0" collapsed="false">
      <c r="A1" s="5" t="s">
        <v>391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7.15" hidden="false" customHeight="false" outlineLevel="0" collapsed="false">
      <c r="A3" s="5" t="s">
        <v>392</v>
      </c>
      <c r="B3" s="1" t="s">
        <v>69</v>
      </c>
      <c r="C3" s="5" t="s">
        <v>43</v>
      </c>
      <c r="D3" s="1"/>
      <c r="E3" s="1" t="s">
        <v>8</v>
      </c>
    </row>
    <row r="4" customFormat="false" ht="17.15" hidden="false" customHeight="false" outlineLevel="0" collapsed="false">
      <c r="A4" s="3" t="s">
        <v>393</v>
      </c>
      <c r="B4" s="4" t="n">
        <f aca="false">輸入!$C$46/輸入!$C$47</f>
        <v>1.94</v>
      </c>
      <c r="C4" s="2"/>
      <c r="D4" s="2"/>
      <c r="E4" s="2" t="s">
        <v>394</v>
      </c>
    </row>
    <row r="5" customFormat="false" ht="17.15" hidden="false" customHeight="false" outlineLevel="0" collapsed="false">
      <c r="A5" s="3" t="s">
        <v>395</v>
      </c>
      <c r="B5" s="4" t="n">
        <f aca="false">B4/(輸入!$C$48/1000)</f>
        <v>9.7</v>
      </c>
      <c r="C5" s="4" t="n">
        <f aca="false">B5/輸入!$C$4</f>
        <v>0.891019087752599</v>
      </c>
      <c r="D5" s="2"/>
      <c r="E5" s="2" t="s">
        <v>396</v>
      </c>
    </row>
    <row r="6" customFormat="false" ht="15" hidden="false" customHeight="false" outlineLevel="0" collapsed="false">
      <c r="A6" s="2"/>
      <c r="B6" s="2"/>
      <c r="C6" s="2"/>
      <c r="D6" s="2"/>
      <c r="E6" s="2"/>
    </row>
    <row r="7" customFormat="false" ht="17.15" hidden="false" customHeight="false" outlineLevel="0" collapsed="false">
      <c r="A7" s="5" t="s">
        <v>397</v>
      </c>
      <c r="B7" s="1" t="s">
        <v>375</v>
      </c>
      <c r="C7" s="5" t="s">
        <v>43</v>
      </c>
      <c r="D7" s="5" t="s">
        <v>377</v>
      </c>
      <c r="E7" s="1"/>
    </row>
    <row r="8" customFormat="false" ht="32.8" hidden="false" customHeight="false" outlineLevel="0" collapsed="false">
      <c r="A8" s="3" t="s">
        <v>398</v>
      </c>
      <c r="B8" s="4" t="n">
        <f aca="false">輸入!$C$49</f>
        <v>20</v>
      </c>
      <c r="C8" s="4" t="n">
        <f aca="false">B8/輸入!$C$4</f>
        <v>1.83715275825278</v>
      </c>
      <c r="D8" s="4" t="n">
        <f aca="false">B8/輸入!$C$5</f>
        <v>1.63592879100533</v>
      </c>
      <c r="E8" s="3" t="s">
        <v>399</v>
      </c>
    </row>
    <row r="9" customFormat="false" ht="17.15" hidden="false" customHeight="false" outlineLevel="0" collapsed="false">
      <c r="A9" s="3" t="s">
        <v>400</v>
      </c>
      <c r="B9" s="4" t="n">
        <f aca="false">輸入!$C$50</f>
        <v>25</v>
      </c>
      <c r="C9" s="4" t="n">
        <f aca="false">B9/輸入!$C$4</f>
        <v>2.29644094781598</v>
      </c>
      <c r="D9" s="4" t="n">
        <f aca="false">B9/輸入!$C$5</f>
        <v>2.04491098875666</v>
      </c>
      <c r="E9" s="2"/>
    </row>
    <row r="10" customFormat="false" ht="15" hidden="false" customHeight="false" outlineLevel="0" collapsed="false">
      <c r="A10" s="2"/>
      <c r="B10" s="2"/>
      <c r="C10" s="2"/>
      <c r="D10" s="2"/>
      <c r="E10" s="2"/>
    </row>
    <row r="11" customFormat="false" ht="17.15" hidden="false" customHeight="false" outlineLevel="0" collapsed="false">
      <c r="A11" s="5" t="s">
        <v>401</v>
      </c>
      <c r="B11" s="1" t="s">
        <v>69</v>
      </c>
      <c r="C11" s="1"/>
      <c r="D11" s="1"/>
      <c r="E11" s="1"/>
    </row>
    <row r="12" customFormat="false" ht="17.15" hidden="false" customHeight="false" outlineLevel="0" collapsed="false">
      <c r="A12" s="2" t="s">
        <v>402</v>
      </c>
      <c r="B12" s="4" t="n">
        <f aca="false">輸入!$C$53/輸入!$C$52</f>
        <v>0.130496453900709</v>
      </c>
      <c r="C12" s="2"/>
      <c r="D12" s="2"/>
      <c r="E12" s="3" t="s">
        <v>403</v>
      </c>
    </row>
    <row r="13" customFormat="false" ht="17.15" hidden="false" customHeight="false" outlineLevel="0" collapsed="false">
      <c r="A13" s="3" t="s">
        <v>404</v>
      </c>
      <c r="B13" s="4" t="n">
        <f aca="false">B12*B8</f>
        <v>2.60992907801418</v>
      </c>
      <c r="C13" s="2"/>
      <c r="D13" s="2"/>
      <c r="E13" s="2" t="s">
        <v>405</v>
      </c>
    </row>
    <row r="14" customFormat="false" ht="17.15" hidden="false" customHeight="false" outlineLevel="0" collapsed="false">
      <c r="A14" s="3" t="s">
        <v>406</v>
      </c>
      <c r="B14" s="4" t="n">
        <f aca="false">B12*B9</f>
        <v>3.26241134751773</v>
      </c>
      <c r="C14" s="2"/>
      <c r="D14" s="2"/>
      <c r="E14" s="2"/>
    </row>
    <row r="15" customFormat="false" ht="15" hidden="false" customHeight="false" outlineLevel="0" collapsed="false">
      <c r="A15" s="2"/>
      <c r="B15" s="2"/>
      <c r="C15" s="2"/>
      <c r="D15" s="2"/>
      <c r="E15" s="2"/>
    </row>
    <row r="16" customFormat="false" ht="17.15" hidden="false" customHeight="false" outlineLevel="0" collapsed="false">
      <c r="A16" s="5" t="s">
        <v>407</v>
      </c>
      <c r="B16" s="1" t="s">
        <v>69</v>
      </c>
      <c r="C16" s="5" t="s">
        <v>408</v>
      </c>
      <c r="D16" s="1"/>
      <c r="E16" s="1"/>
    </row>
    <row r="17" customFormat="false" ht="17.15" hidden="false" customHeight="false" outlineLevel="0" collapsed="false">
      <c r="A17" s="3" t="s">
        <v>409</v>
      </c>
      <c r="B17" s="4" t="n">
        <f aca="false">輸入!$C$51*(B8-B13)</f>
        <v>34.7801418439716</v>
      </c>
      <c r="C17" s="4" t="n">
        <f aca="false">B17/輸入!$C$11</f>
        <v>1.07888141497455</v>
      </c>
      <c r="D17" s="2"/>
      <c r="E17" s="2" t="s">
        <v>410</v>
      </c>
    </row>
    <row r="18" customFormat="false" ht="17.15" hidden="false" customHeight="false" outlineLevel="0" collapsed="false">
      <c r="A18" s="3" t="s">
        <v>411</v>
      </c>
      <c r="B18" s="4" t="n">
        <f aca="false">輸入!$C$51*(B9-B14)</f>
        <v>43.4751773049645</v>
      </c>
      <c r="C18" s="4" t="n">
        <f aca="false">B18/輸入!$C$11</f>
        <v>1.34860176871819</v>
      </c>
      <c r="D18" s="2"/>
      <c r="E18" s="2"/>
    </row>
    <row r="19" customFormat="false" ht="17.15" hidden="false" customHeight="false" outlineLevel="0" collapsed="false">
      <c r="A19" s="3" t="s">
        <v>412</v>
      </c>
      <c r="B19" s="4" t="n">
        <f aca="false">輸入!$C$54/(輸入!$C$48/1000)</f>
        <v>29</v>
      </c>
      <c r="C19" s="4" t="n">
        <f aca="false">B19/輸入!$C$11</f>
        <v>0.899581179818709</v>
      </c>
      <c r="D19" s="2"/>
      <c r="E19" s="2" t="s">
        <v>413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5" min="2" style="0" width="14"/>
  </cols>
  <sheetData>
    <row r="1" customFormat="false" ht="32.8" hidden="false" customHeight="false" outlineLevel="0" collapsed="false">
      <c r="A1" s="5" t="s">
        <v>414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17.15" hidden="false" customHeight="false" outlineLevel="0" collapsed="false">
      <c r="A3" s="5" t="s">
        <v>415</v>
      </c>
      <c r="B3" s="1" t="s">
        <v>69</v>
      </c>
      <c r="C3" s="1"/>
      <c r="D3" s="1"/>
      <c r="E3" s="1" t="s">
        <v>8</v>
      </c>
      <c r="F3" s="2"/>
      <c r="G3" s="2"/>
    </row>
    <row r="4" customFormat="false" ht="17.15" hidden="false" customHeight="false" outlineLevel="0" collapsed="false">
      <c r="A4" s="3" t="s">
        <v>416</v>
      </c>
      <c r="B4" s="4" t="n">
        <f aca="false">輸入!$C$55-輸入!$C$56</f>
        <v>11.506</v>
      </c>
      <c r="C4" s="2"/>
      <c r="D4" s="2"/>
      <c r="E4" s="2" t="s">
        <v>241</v>
      </c>
      <c r="F4" s="2"/>
      <c r="G4" s="2"/>
    </row>
    <row r="5" customFormat="false" ht="79.85" hidden="false" customHeight="false" outlineLevel="0" collapsed="false">
      <c r="A5" s="3" t="s">
        <v>417</v>
      </c>
      <c r="B5" s="4" t="n">
        <f aca="false">B4*4/輸入!$C$57</f>
        <v>8.368</v>
      </c>
      <c r="C5" s="2"/>
      <c r="D5" s="2"/>
      <c r="E5" s="2" t="s">
        <v>418</v>
      </c>
      <c r="F5" s="2"/>
      <c r="G5" s="2"/>
    </row>
    <row r="6" customFormat="false" ht="48.5" hidden="false" customHeight="false" outlineLevel="0" collapsed="false">
      <c r="A6" s="2" t="s">
        <v>419</v>
      </c>
      <c r="B6" s="4" t="n">
        <f aca="false">B5/輸入!$C$2</f>
        <v>0.862405928469259</v>
      </c>
      <c r="C6" s="2"/>
      <c r="D6" s="2"/>
      <c r="E6" s="3" t="s">
        <v>420</v>
      </c>
      <c r="F6" s="2"/>
      <c r="G6" s="2"/>
    </row>
    <row r="7" customFormat="false" ht="17.15" hidden="false" customHeight="false" outlineLevel="0" collapsed="false">
      <c r="A7" s="2" t="s">
        <v>421</v>
      </c>
      <c r="B7" s="4" t="n">
        <f aca="false">B5/輸入!$C$3</f>
        <v>0.947875290452012</v>
      </c>
      <c r="C7" s="2"/>
      <c r="D7" s="2"/>
      <c r="E7" s="2"/>
      <c r="F7" s="2"/>
      <c r="G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</row>
    <row r="9" customFormat="false" ht="17.15" hidden="false" customHeight="false" outlineLevel="0" collapsed="false">
      <c r="A9" s="5" t="s">
        <v>422</v>
      </c>
      <c r="B9" s="1" t="s">
        <v>423</v>
      </c>
      <c r="C9" s="5" t="s">
        <v>424</v>
      </c>
      <c r="D9" s="5" t="s">
        <v>425</v>
      </c>
      <c r="E9" s="5" t="s">
        <v>426</v>
      </c>
      <c r="F9" s="1" t="s">
        <v>427</v>
      </c>
      <c r="G9" s="1" t="s">
        <v>428</v>
      </c>
    </row>
    <row r="10" customFormat="false" ht="17.15" hidden="false" customHeight="false" outlineLevel="0" collapsed="false">
      <c r="A10" s="2" t="s">
        <v>429</v>
      </c>
      <c r="B10" s="4" t="n">
        <f aca="false">輸入!$C$58/輸入!$C$59</f>
        <v>55.0666666666667</v>
      </c>
      <c r="C10" s="4" t="n">
        <f aca="false">輸入!$C$60/輸入!$C$8*1000</f>
        <v>2.85826926867731</v>
      </c>
      <c r="D10" s="4" t="n">
        <f aca="false">B10/C10</f>
        <v>19.2657379310345</v>
      </c>
      <c r="E10" s="4" t="n">
        <f aca="false">輸入!$C$4</f>
        <v>10.8864110021101</v>
      </c>
      <c r="F10" s="4" t="n">
        <f aca="false">D10/E10</f>
        <v>1.76970517898876</v>
      </c>
      <c r="G10" s="2" t="s">
        <v>334</v>
      </c>
    </row>
    <row r="11" customFormat="false" ht="17.15" hidden="false" customHeight="false" outlineLevel="0" collapsed="false">
      <c r="A11" s="3" t="s">
        <v>430</v>
      </c>
      <c r="B11" s="4" t="n">
        <f aca="false">輸入!$C$61/輸入!$C$62</f>
        <v>17.5</v>
      </c>
      <c r="C11" s="4" t="n">
        <f aca="false">輸入!$C$63/輸入!$C$8*1000</f>
        <v>1.18273211117682</v>
      </c>
      <c r="D11" s="4" t="n">
        <f aca="false">B11/C11</f>
        <v>14.79625</v>
      </c>
      <c r="E11" s="4" t="n">
        <f aca="false">輸入!$C$4</f>
        <v>10.8864110021101</v>
      </c>
      <c r="F11" s="4" t="n">
        <f aca="false">D11/E11</f>
        <v>1.35914857496489</v>
      </c>
      <c r="G11" s="2" t="s">
        <v>334</v>
      </c>
    </row>
    <row r="12" customFormat="false" ht="17.15" hidden="false" customHeight="false" outlineLevel="0" collapsed="false">
      <c r="A12" s="3" t="s">
        <v>431</v>
      </c>
      <c r="B12" s="4" t="n">
        <f aca="false">輸入!$C$64/輸入!$C$65</f>
        <v>5.33333333333333</v>
      </c>
      <c r="C12" s="4" t="n">
        <f aca="false">輸入!$C$66/輸入!$C$8*1000</f>
        <v>0.262829358039293</v>
      </c>
      <c r="D12" s="4" t="n">
        <f aca="false">B12/C12</f>
        <v>20.292</v>
      </c>
      <c r="E12" s="4" t="n">
        <f aca="false">輸入!$C$4</f>
        <v>10.8864110021101</v>
      </c>
      <c r="F12" s="4" t="n">
        <f aca="false">D12/E12</f>
        <v>1.86397518852327</v>
      </c>
      <c r="G12" s="2" t="s">
        <v>334</v>
      </c>
    </row>
    <row r="13" customFormat="false" ht="17.15" hidden="false" customHeight="false" outlineLevel="0" collapsed="false">
      <c r="A13" s="2" t="s">
        <v>432</v>
      </c>
      <c r="B13" s="4" t="n">
        <f aca="false">輸入!$C$67/輸入!$C$68</f>
        <v>36.0666666666667</v>
      </c>
      <c r="C13" s="4" t="n">
        <f aca="false">輸入!$C$69/輸入!$C$9*1000</f>
        <v>1.97433366238894</v>
      </c>
      <c r="D13" s="4" t="n">
        <f aca="false">B13/C13</f>
        <v>18.2677666666667</v>
      </c>
      <c r="E13" s="4" t="n">
        <f aca="false">輸入!$C$5</f>
        <v>12.2254710045841</v>
      </c>
      <c r="F13" s="4" t="n">
        <f aca="false">D13/E13</f>
        <v>1.49423827186837</v>
      </c>
      <c r="G13" s="2" t="s">
        <v>433</v>
      </c>
    </row>
    <row r="14" customFormat="false" ht="17.15" hidden="false" customHeight="false" outlineLevel="0" collapsed="false">
      <c r="A14" s="2" t="s">
        <v>434</v>
      </c>
      <c r="B14" s="4" t="n">
        <f aca="false">輸入!$C$70/輸入!$C$71</f>
        <v>6.8</v>
      </c>
      <c r="C14" s="4" t="n">
        <f aca="false">輸入!$C$72/輸入!$C$7*1000</f>
        <v>0.430477830391735</v>
      </c>
      <c r="D14" s="4" t="n">
        <f aca="false">B14/C14</f>
        <v>15.7964</v>
      </c>
      <c r="E14" s="4" t="n">
        <f aca="false">輸入!$C$3</f>
        <v>8.82816556596761</v>
      </c>
      <c r="F14" s="4" t="n">
        <f aca="false">D14/E14</f>
        <v>1.78931850359658</v>
      </c>
      <c r="G14" s="2" t="s">
        <v>333</v>
      </c>
    </row>
    <row r="15" customFormat="false" ht="17.15" hidden="false" customHeight="false" outlineLevel="0" collapsed="false">
      <c r="A15" s="3" t="s">
        <v>435</v>
      </c>
      <c r="B15" s="4" t="n">
        <f aca="false">輸入!$C$73/輸入!$C$74</f>
        <v>9.05</v>
      </c>
      <c r="C15" s="4" t="n">
        <f aca="false">輸入!$C$75/輸入!$C$7*1000</f>
        <v>0.765293920696417</v>
      </c>
      <c r="D15" s="4" t="n">
        <f aca="false">B15/C15</f>
        <v>11.825521875</v>
      </c>
      <c r="E15" s="4" t="n">
        <f aca="false">輸入!$C$3</f>
        <v>8.82816556596761</v>
      </c>
      <c r="F15" s="4" t="n">
        <f aca="false">D15/E15</f>
        <v>1.33952198637814</v>
      </c>
      <c r="G15" s="2" t="s">
        <v>333</v>
      </c>
    </row>
    <row r="16" customFormat="false" ht="32.8" hidden="false" customHeight="false" outlineLevel="0" collapsed="false">
      <c r="A16" s="3" t="s">
        <v>436</v>
      </c>
      <c r="B16" s="4" t="n">
        <f aca="false">輸入!$C$76/輸入!$C$77</f>
        <v>25.1</v>
      </c>
      <c r="C16" s="4" t="n">
        <f aca="false">輸入!$C$78/輸入!$C$6*1000</f>
        <v>2.85217701323588</v>
      </c>
      <c r="D16" s="4" t="n">
        <f aca="false">B16/C16</f>
        <v>8.8002953125</v>
      </c>
      <c r="E16" s="4" t="n">
        <f aca="false">輸入!$C$2</f>
        <v>9.70308728611469</v>
      </c>
      <c r="F16" s="4" t="n">
        <f aca="false">D16/E16</f>
        <v>0.906958275547351</v>
      </c>
      <c r="G16" s="2" t="s">
        <v>332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</row>
    <row r="18" customFormat="false" ht="17.15" hidden="false" customHeight="false" outlineLevel="0" collapsed="false">
      <c r="A18" s="2" t="s">
        <v>437</v>
      </c>
      <c r="B18" s="4" t="n">
        <f aca="false">MIN(F10:F12,F14)</f>
        <v>1.35914857496489</v>
      </c>
      <c r="C18" s="2"/>
      <c r="D18" s="2"/>
      <c r="E18" s="2"/>
      <c r="F18" s="2"/>
      <c r="G18" s="2"/>
    </row>
    <row r="19" customFormat="false" ht="17.15" hidden="false" customHeight="false" outlineLevel="0" collapsed="false">
      <c r="A19" s="3" t="s">
        <v>438</v>
      </c>
      <c r="B19" s="4" t="n">
        <f aca="false">MAX(F10:F12,F14)</f>
        <v>1.86397518852327</v>
      </c>
      <c r="C19" s="2"/>
      <c r="D19" s="2"/>
      <c r="E19" s="2"/>
      <c r="F19" s="2"/>
      <c r="G19" s="2"/>
    </row>
    <row r="20" customFormat="false" ht="17.15" hidden="false" customHeight="false" outlineLevel="0" collapsed="false">
      <c r="A20" s="3" t="s">
        <v>439</v>
      </c>
      <c r="B20" s="4" t="n">
        <f aca="false">MIN(F15:F16)</f>
        <v>0.906958275547351</v>
      </c>
      <c r="C20" s="2"/>
      <c r="D20" s="2"/>
      <c r="E20" s="2"/>
      <c r="F20" s="2"/>
      <c r="G20" s="2"/>
    </row>
    <row r="21" customFormat="false" ht="17.15" hidden="false" customHeight="false" outlineLevel="0" collapsed="false">
      <c r="A21" s="3" t="s">
        <v>438</v>
      </c>
      <c r="B21" s="4" t="n">
        <f aca="false">MAX(F15:F16)</f>
        <v>1.33952198637814</v>
      </c>
      <c r="C21" s="2"/>
      <c r="D21" s="2"/>
      <c r="E21" s="2"/>
      <c r="F21" s="2"/>
      <c r="G21" s="2"/>
    </row>
    <row r="22" customFormat="false" ht="17.15" hidden="false" customHeight="false" outlineLevel="0" collapsed="false">
      <c r="A22" s="2" t="s">
        <v>440</v>
      </c>
      <c r="B22" s="4" t="n">
        <f aca="false">F13</f>
        <v>1.49423827186837</v>
      </c>
      <c r="C22" s="2"/>
      <c r="D22" s="2"/>
      <c r="E22" s="2"/>
      <c r="F22" s="2"/>
      <c r="G2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60"/>
  </cols>
  <sheetData>
    <row r="1" customFormat="false" ht="32.8" hidden="false" customHeight="false" outlineLevel="0" collapsed="false">
      <c r="A1" s="5" t="s">
        <v>441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7.15" hidden="false" customHeight="false" outlineLevel="0" collapsed="false">
      <c r="A3" s="5" t="s">
        <v>442</v>
      </c>
      <c r="B3" s="1" t="s">
        <v>69</v>
      </c>
      <c r="C3" s="5" t="s">
        <v>443</v>
      </c>
      <c r="D3" s="1"/>
      <c r="E3" s="1" t="s">
        <v>444</v>
      </c>
    </row>
    <row r="4" customFormat="false" ht="17.15" hidden="false" customHeight="false" outlineLevel="0" collapsed="false">
      <c r="A4" s="2" t="s">
        <v>445</v>
      </c>
      <c r="B4" s="4" t="n">
        <f aca="false">輸入!$C$11</f>
        <v>32.237224</v>
      </c>
      <c r="C4" s="4" t="n">
        <f aca="false">B4/輸入!$C$11</f>
        <v>1</v>
      </c>
      <c r="D4" s="2"/>
      <c r="E4" s="4" t="str">
        <f aca="false">TEXT(輸入!$C$10,"0.0")&amp;"／"&amp;TEXT(輸入!$C$11,"0.0")&amp;"／"&amp;TEXT(輸入!$C$12,"0.0")&amp;"；機架＋scale-out 網路＋儲存與管理"</f>
        <v>28.6／32.2／39.3；機架＋scale-out 網路＋儲存與管理</v>
      </c>
    </row>
    <row r="5" customFormat="false" ht="17.15" hidden="false" customHeight="false" outlineLevel="0" collapsed="false">
      <c r="A5" s="2" t="s">
        <v>446</v>
      </c>
      <c r="B5" s="4" t="n">
        <f aca="false">輸入!$C$19*輸入!$C$17/1000</f>
        <v>29.0852</v>
      </c>
      <c r="C5" s="4" t="n">
        <f aca="false">B5/輸入!$C$11</f>
        <v>0.902224087284935</v>
      </c>
      <c r="D5" s="2"/>
      <c r="E5" s="2" t="s">
        <v>447</v>
      </c>
    </row>
    <row r="6" customFormat="false" ht="17.15" hidden="false" customHeight="false" outlineLevel="0" collapsed="false">
      <c r="A6" s="2" t="s">
        <v>448</v>
      </c>
      <c r="B6" s="4" t="n">
        <f aca="false">IREN!B19</f>
        <v>29</v>
      </c>
      <c r="C6" s="4" t="n">
        <f aca="false">B6/輸入!$C$11</f>
        <v>0.899581179818709</v>
      </c>
      <c r="D6" s="2"/>
      <c r="E6" s="3" t="s">
        <v>449</v>
      </c>
    </row>
    <row r="7" customFormat="false" ht="17.15" hidden="false" customHeight="false" outlineLevel="0" collapsed="false">
      <c r="A7" s="2" t="s">
        <v>450</v>
      </c>
      <c r="B7" s="4" t="n">
        <f aca="false">輸入!$C$79*輸入!$C$17/1000</f>
        <v>33.82</v>
      </c>
      <c r="C7" s="4" t="n">
        <f aca="false">B7/輸入!$C$11</f>
        <v>1.04909777591272</v>
      </c>
      <c r="D7" s="2"/>
      <c r="E7" s="3" t="s">
        <v>451</v>
      </c>
    </row>
    <row r="8" customFormat="false" ht="17.15" hidden="false" customHeight="false" outlineLevel="0" collapsed="false">
      <c r="A8" s="2" t="s">
        <v>452</v>
      </c>
      <c r="B8" s="4" t="n">
        <f aca="false">輸入!$C$80*輸入!$C$17/1000</f>
        <v>38.41952</v>
      </c>
      <c r="C8" s="4" t="n">
        <f aca="false">B8/輸入!$C$11</f>
        <v>1.19177507343684</v>
      </c>
      <c r="D8" s="2"/>
      <c r="E8" s="3" t="s">
        <v>453</v>
      </c>
    </row>
    <row r="9" customFormat="false" ht="17.15" hidden="false" customHeight="false" outlineLevel="0" collapsed="false">
      <c r="A9" s="3" t="s">
        <v>454</v>
      </c>
      <c r="B9" s="4" t="n">
        <f aca="false">輸入!$C$81*輸入!$C$17/1000</f>
        <v>40.584</v>
      </c>
      <c r="C9" s="4" t="n">
        <f aca="false">B9/輸入!$C$11</f>
        <v>1.25891733109526</v>
      </c>
      <c r="D9" s="2"/>
      <c r="E9" s="2" t="s">
        <v>455</v>
      </c>
    </row>
    <row r="10" customFormat="false" ht="17.15" hidden="false" customHeight="false" outlineLevel="0" collapsed="false">
      <c r="A10" s="3" t="s">
        <v>456</v>
      </c>
      <c r="B10" s="4" t="n">
        <f aca="false">輸入!$C$82*輸入!$C$17/1000</f>
        <v>43.966</v>
      </c>
      <c r="C10" s="4" t="n">
        <f aca="false">B10/輸入!$C$11</f>
        <v>1.36382710868653</v>
      </c>
      <c r="D10" s="2"/>
      <c r="E10" s="2"/>
    </row>
    <row r="11" customFormat="false" ht="17.15" hidden="false" customHeight="false" outlineLevel="0" collapsed="false">
      <c r="A11" s="2" t="s">
        <v>457</v>
      </c>
      <c r="B11" s="4" t="n">
        <f aca="false">IREN!B17</f>
        <v>34.7801418439716</v>
      </c>
      <c r="C11" s="4" t="n">
        <f aca="false">B11/輸入!$C$11</f>
        <v>1.07888141497455</v>
      </c>
      <c r="D11" s="2"/>
      <c r="E11" s="2" t="s">
        <v>458</v>
      </c>
    </row>
    <row r="12" customFormat="false" ht="17.15" hidden="false" customHeight="false" outlineLevel="0" collapsed="false">
      <c r="A12" s="2" t="s">
        <v>459</v>
      </c>
      <c r="B12" s="4" t="n">
        <f aca="false">IREN!B18</f>
        <v>43.4751773049645</v>
      </c>
      <c r="C12" s="4" t="n">
        <f aca="false">B12/輸入!$C$11</f>
        <v>1.34860176871819</v>
      </c>
      <c r="D12" s="2"/>
      <c r="E12" s="2"/>
    </row>
    <row r="13" customFormat="false" ht="17.15" hidden="false" customHeight="false" outlineLevel="0" collapsed="false">
      <c r="A13" s="2" t="s">
        <v>460</v>
      </c>
      <c r="B13" s="4" t="n">
        <f aca="false">Nebius!B33</f>
        <v>33.0318361759016</v>
      </c>
      <c r="C13" s="4" t="n">
        <f aca="false">Nebius!B36</f>
        <v>0.735557294209538</v>
      </c>
      <c r="D13" s="4" t="n">
        <f aca="false">Nebius!C36</f>
        <v>0.939681839219638</v>
      </c>
      <c r="E13" s="3" t="s">
        <v>461</v>
      </c>
    </row>
    <row r="14" customFormat="false" ht="15" hidden="false" customHeight="false" outlineLevel="0" collapsed="false">
      <c r="A14" s="2"/>
      <c r="B14" s="2"/>
      <c r="C14" s="2"/>
      <c r="D14" s="2"/>
      <c r="E14" s="2"/>
    </row>
    <row r="15" customFormat="false" ht="17.15" hidden="false" customHeight="false" outlineLevel="0" collapsed="false">
      <c r="A15" s="5" t="s">
        <v>462</v>
      </c>
      <c r="B15" s="1" t="s">
        <v>69</v>
      </c>
      <c r="C15" s="5" t="s">
        <v>443</v>
      </c>
      <c r="D15" s="1"/>
      <c r="E15" s="1" t="s">
        <v>444</v>
      </c>
    </row>
    <row r="16" customFormat="false" ht="17.15" hidden="false" customHeight="false" outlineLevel="0" collapsed="false">
      <c r="A16" s="2" t="s">
        <v>463</v>
      </c>
      <c r="B16" s="4" t="n">
        <f aca="false">輸入!$C$15</f>
        <v>1.98263481314457</v>
      </c>
      <c r="C16" s="4" t="n">
        <f aca="false">B16/輸入!$C$15</f>
        <v>1</v>
      </c>
      <c r="D16" s="2"/>
      <c r="E16" s="3" t="s">
        <v>464</v>
      </c>
    </row>
    <row r="17" customFormat="false" ht="17.15" hidden="false" customHeight="false" outlineLevel="0" collapsed="false">
      <c r="A17" s="2" t="s">
        <v>465</v>
      </c>
      <c r="B17" s="4" t="n">
        <f aca="false">IREN!B13</f>
        <v>2.60992907801418</v>
      </c>
      <c r="C17" s="4" t="n">
        <f aca="false">B17/輸入!$C$15</f>
        <v>1.31639425511483</v>
      </c>
      <c r="D17" s="2"/>
      <c r="E17" s="2" t="s">
        <v>466</v>
      </c>
    </row>
    <row r="18" customFormat="false" ht="17.15" hidden="false" customHeight="false" outlineLevel="0" collapsed="false">
      <c r="A18" s="2" t="s">
        <v>467</v>
      </c>
      <c r="B18" s="4" t="n">
        <f aca="false">IREN!B14</f>
        <v>3.26241134751773</v>
      </c>
      <c r="C18" s="4" t="n">
        <f aca="false">B18/輸入!$C$15</f>
        <v>1.64549281889354</v>
      </c>
      <c r="D18" s="2"/>
      <c r="E18" s="2"/>
    </row>
    <row r="19" customFormat="false" ht="32.8" hidden="false" customHeight="false" outlineLevel="0" collapsed="false">
      <c r="A19" s="2" t="s">
        <v>468</v>
      </c>
      <c r="B19" s="4" t="n">
        <f aca="false">輸入!$C$34*4/CoreWeave!B5</f>
        <v>2.8128</v>
      </c>
      <c r="C19" s="4" t="n">
        <f aca="false">B19/輸入!$C$15</f>
        <v>1.41871815291024</v>
      </c>
      <c r="D19" s="2"/>
      <c r="E19" s="3" t="s">
        <v>469</v>
      </c>
    </row>
    <row r="20" customFormat="false" ht="32.8" hidden="false" customHeight="false" outlineLevel="0" collapsed="false">
      <c r="A20" s="2" t="s">
        <v>470</v>
      </c>
      <c r="B20" s="4" t="n">
        <f aca="false">輸入!$C$83*輸入!$C$17/1000</f>
        <v>1.62336</v>
      </c>
      <c r="C20" s="4" t="n">
        <f aca="false">B20/輸入!$C$15</f>
        <v>0.818789213846831</v>
      </c>
      <c r="D20" s="2"/>
      <c r="E20" s="3" t="s">
        <v>471</v>
      </c>
    </row>
    <row r="21" customFormat="false" ht="17.15" hidden="false" customHeight="false" outlineLevel="0" collapsed="false">
      <c r="A21" s="2" t="s">
        <v>472</v>
      </c>
      <c r="B21" s="4" t="n">
        <f aca="false">輸入!$C$84*輸入!$C$17/1000</f>
        <v>2.77324</v>
      </c>
      <c r="C21" s="4" t="n">
        <f aca="false">B21/輸入!$C$15</f>
        <v>1.39876490698834</v>
      </c>
      <c r="D21" s="2"/>
      <c r="E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2026-10-25T02:54:56Z</dcterms:created>
  <dc:creator>openpyxl</dc:creator>
  <dc:description/>
  <dc:language>en-US</dc:language>
  <cp:lastModifiedBy/>
  <dcterms:modified xsi:type="dcterms:W3CDTF">2026-10-25T02:54:56Z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