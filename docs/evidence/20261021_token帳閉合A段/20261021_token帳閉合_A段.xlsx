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_結論" sheetId="1" state="visible" r:id="rId3"/>
    <sheet name="2_因子樹" sheetId="2" state="visible" r:id="rId4"/>
    <sheet name="3_外部證據" sheetId="3" state="visible" r:id="rId5"/>
    <sheet name="4_必須為真" sheetId="4" state="visible" r:id="rId6"/>
    <sheet name="5_待判斷與未找到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<sst xmlns="http://schemas.openxmlformats.org/spreadsheetml/2006/main" count="314" uniqueCount="245">
  <si>
    <r>
      <rPr>
        <b val="true"/>
        <sz val="11"/>
        <rFont val="Cambria"/>
        <family val="0"/>
        <charset val="1"/>
      </rPr>
      <t xml:space="preserve">Tokenomics token </t>
    </r>
    <r>
      <rPr>
        <b val="true"/>
        <sz val="11"/>
        <rFont val="Noto Sans CJK SC"/>
        <family val="2"/>
      </rPr>
      <t xml:space="preserve">帳閉合｜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段（只查證，不改模型）｜</t>
    </r>
    <r>
      <rPr>
        <b val="true"/>
        <sz val="11"/>
        <rFont val="Cambria"/>
        <family val="0"/>
        <charset val="1"/>
      </rPr>
      <t xml:space="preserve">2026-10-21</t>
    </r>
    <r>
      <rPr>
        <b val="true"/>
        <sz val="11"/>
        <rFont val="Noto Sans CJK SC"/>
        <family val="2"/>
      </rPr>
      <t xml:space="preserve">｜底稿 </t>
    </r>
    <r>
      <rPr>
        <b val="true"/>
        <sz val="11"/>
        <rFont val="Cambria"/>
        <family val="0"/>
        <charset val="1"/>
      </rPr>
      <t xml:space="preserve">v18.0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master 868e2cc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</si>
  <si>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模式：</t>
    </r>
    <r>
      <rPr>
        <sz val="11"/>
        <color theme="1"/>
        <rFont val="Calibri"/>
        <family val="2"/>
        <charset val="1"/>
      </rPr>
      <t xml:space="preserve">LIGHT</t>
    </r>
    <r>
      <rPr>
        <sz val="11"/>
        <color theme="1"/>
        <rFont val="Noto Sans CJK SC"/>
        <family val="2"/>
      </rPr>
      <t xml:space="preserve">（數據判讀）。只到「哪些因子能解釋多少」，不改任何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數值。</t>
    </r>
  </si>
  <si>
    <t xml:space="preserve">問題</t>
  </si>
  <si>
    <r>
      <rPr>
        <sz val="11"/>
        <color theme="1"/>
        <rFont val="Noto Sans CJK SC"/>
        <family val="2"/>
      </rPr>
      <t xml:space="preserve">模型推算的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（供給面 </t>
    </r>
    <r>
      <rPr>
        <sz val="11"/>
        <color theme="1"/>
        <rFont val="Calibri"/>
        <family val="2"/>
        <charset val="1"/>
      </rPr>
      <t xml:space="preserve">2.09×10¹⁶</t>
    </r>
    <r>
      <rPr>
        <sz val="11"/>
        <color theme="1"/>
        <rFont val="Noto Sans CJK SC"/>
        <family val="2"/>
      </rPr>
      <t xml:space="preserve">）是需求面（</t>
    </r>
    <r>
      <rPr>
        <sz val="11"/>
        <color theme="1"/>
        <rFont val="Calibri"/>
        <family val="2"/>
        <charset val="1"/>
      </rPr>
      <t xml:space="preserve">3.83×10¹⁵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5.46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L1_TokLedger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6.26 </t>
    </r>
    <r>
      <rPr>
        <sz val="11"/>
        <color theme="1"/>
        <rFont val="Noto Sans CJK SC"/>
        <family val="2"/>
      </rPr>
      <t xml:space="preserve">倍。哪一邊錯、錯多少？</t>
    </r>
  </si>
  <si>
    <r>
      <rPr>
        <b val="true"/>
        <sz val="11"/>
        <rFont val="Noto Sans CJK SC"/>
        <family val="2"/>
      </rPr>
      <t xml:space="preserve">結論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（可量化）</t>
    </r>
  </si>
  <si>
    <r>
      <rPr>
        <sz val="11"/>
        <color theme="1"/>
        <rFont val="Noto Sans CJK SC"/>
        <family val="2"/>
      </rPr>
      <t xml:space="preserve">供給面「推論支出 →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」高估約 </t>
    </r>
    <r>
      <rPr>
        <sz val="11"/>
        <color theme="1"/>
        <rFont val="Calibri"/>
        <family val="2"/>
        <charset val="1"/>
      </rPr>
      <t xml:space="preserve">1.6–2.1 </t>
    </r>
    <r>
      <rPr>
        <sz val="11"/>
        <color theme="1"/>
        <rFont val="Noto Sans CJK SC"/>
        <family val="2"/>
      </rPr>
      <t xml:space="preserve">倍。模型服務 </t>
    </r>
    <r>
      <rPr>
        <sz val="11"/>
        <color theme="1"/>
        <rFont val="Calibri"/>
        <family val="2"/>
        <charset val="1"/>
      </rPr>
      <t xml:space="preserve">GW 1.06</t>
    </r>
    <r>
      <rPr>
        <sz val="11"/>
        <color theme="1"/>
        <rFont val="Noto Sans CJK SC"/>
        <family val="2"/>
      </rPr>
      <t xml:space="preserve">（總機隊 </t>
    </r>
    <r>
      <rPr>
        <sz val="11"/>
        <color theme="1"/>
        <rFont val="Calibri"/>
        <family val="2"/>
        <charset val="1"/>
      </rPr>
      <t xml:space="preserve">2.58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官方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0.6 GW → 2025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1.0–1.3 GW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：研發與推論約各半 → 服務約 </t>
    </r>
    <r>
      <rPr>
        <sz val="11"/>
        <color theme="1"/>
        <rFont val="Calibri"/>
        <family val="2"/>
        <charset val="1"/>
      </rPr>
      <t xml:space="preserve">0.5–0.63 GW</t>
    </r>
    <r>
      <rPr>
        <sz val="11"/>
        <color theme="1"/>
        <rFont val="Noto Sans CJK SC"/>
        <family val="2"/>
      </rPr>
      <t xml:space="preserve">（平均 </t>
    </r>
    <r>
      <rPr>
        <sz val="11"/>
        <color theme="1"/>
        <rFont val="Calibri"/>
        <family val="2"/>
        <charset val="1"/>
      </rPr>
      <t xml:space="preserve">1.25 GW × 41–50%</t>
    </r>
    <r>
      <rPr>
        <sz val="11"/>
        <color theme="1"/>
        <rFont val="Noto Sans CJK SC"/>
        <family val="2"/>
      </rPr>
      <t xml:space="preserve">）。以每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年雲端價 </t>
    </r>
    <r>
      <rPr>
        <sz val="11"/>
        <color theme="1"/>
        <rFont val="Calibri"/>
        <family val="2"/>
        <charset val="1"/>
      </rPr>
      <t xml:space="preserve">12–12.8 $B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合約算術、</t>
    </r>
    <r>
      <rPr>
        <sz val="11"/>
        <color theme="1"/>
        <rFont val="Calibri"/>
        <family val="2"/>
        <charset val="1"/>
      </rPr>
      <t xml:space="preserve">Epoch 160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1.25 GW</t>
    </r>
    <r>
      <rPr>
        <sz val="11"/>
        <color theme="1"/>
        <rFont val="Noto Sans CJK SC"/>
        <family val="2"/>
      </rPr>
      <t xml:space="preserve">）換算，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億推論支出 ≈ </t>
    </r>
    <r>
      <rPr>
        <sz val="11"/>
        <color theme="1"/>
        <rFont val="Calibri"/>
        <family val="2"/>
        <charset val="1"/>
      </rPr>
      <t xml:space="preserve">0.66–0.70 GW</t>
    </r>
    <r>
      <rPr>
        <sz val="11"/>
        <color theme="1"/>
        <rFont val="Noto Sans CJK SC"/>
        <family val="2"/>
      </rPr>
      <t xml:space="preserve">。（總機隊 </t>
    </r>
    <r>
      <rPr>
        <sz val="11"/>
        <color theme="1"/>
        <rFont val="Calibri"/>
        <family val="2"/>
        <charset val="1"/>
      </rPr>
      <t xml:space="preserve">2.58</t>
    </r>
    <r>
      <rPr>
        <sz val="11"/>
        <color theme="1"/>
        <rFont val="Noto Sans CJK SC"/>
        <family val="2"/>
      </rPr>
      <t xml:space="preserve">＝服務 </t>
    </r>
    <r>
      <rPr>
        <sz val="11"/>
        <color theme="1"/>
        <rFont val="Calibri"/>
        <family val="2"/>
        <charset val="1"/>
      </rPr>
      <t xml:space="preserve">GW 1.057 ÷ </t>
    </r>
    <r>
      <rPr>
        <sz val="11"/>
        <color theme="1"/>
        <rFont val="Noto Sans CJK SC"/>
        <family val="2"/>
      </rPr>
      <t xml:space="preserve">對外服務占比 </t>
    </r>
    <r>
      <rPr>
        <sz val="11"/>
        <color theme="1"/>
        <rFont val="Calibri"/>
        <family val="2"/>
        <charset val="1"/>
      </rPr>
      <t xml:space="preserve">B4_Serve 0.41</t>
    </r>
    <r>
      <rPr>
        <sz val="11"/>
        <color theme="1"/>
        <rFont val="Noto Sans CJK SC"/>
        <family val="2"/>
      </rPr>
      <t xml:space="preserve">，推算值，模型無具名格。）</t>
    </r>
    <r>
      <rPr>
        <sz val="11"/>
        <color theme="1"/>
        <rFont val="Calibri"/>
        <family val="2"/>
        <charset val="1"/>
      </rPr>
      <t xml:space="preserve">[Derived</t>
    </r>
    <r>
      <rPr>
        <sz val="11"/>
        <color theme="1"/>
        <rFont val="Noto Sans CJK SC"/>
        <family val="2"/>
      </rPr>
      <t xml:space="preserve">；輸入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／第三方</t>
    </r>
    <r>
      <rPr>
        <sz val="11"/>
        <color theme="1"/>
        <rFont val="Calibri"/>
        <family val="2"/>
        <charset val="1"/>
      </rPr>
      <t xml:space="preserve">]</t>
    </r>
  </si>
  <si>
    <r>
      <rPr>
        <b val="true"/>
        <sz val="11"/>
        <rFont val="Noto Sans CJK SC"/>
        <family val="2"/>
      </rPr>
      <t xml:space="preserve">結論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（方向）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</si>
  <si>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吞吐「沒有」高估，反而偏低：模型 </t>
    </r>
    <r>
      <rPr>
        <sz val="11"/>
        <color theme="1"/>
        <rFont val="Calibri"/>
        <family val="2"/>
        <charset val="1"/>
      </rPr>
      <t xml:space="preserve">Sol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實際利用下每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總 </t>
    </r>
    <r>
      <rPr>
        <sz val="11"/>
        <color theme="1"/>
        <rFont val="Calibri"/>
        <family val="2"/>
        <charset val="1"/>
      </rPr>
      <t xml:space="preserve">token/s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Noto Sans CJK SC"/>
        <family val="2"/>
      </rPr>
      <t xml:space="preserve">官方生產（</t>
    </r>
    <r>
      <rPr>
        <sz val="11"/>
        <color theme="1"/>
        <rFont val="Calibri"/>
        <family val="2"/>
        <charset val="1"/>
      </rPr>
      <t xml:space="preserve">H800</t>
    </r>
    <r>
      <rPr>
        <sz val="11"/>
        <color theme="1"/>
        <rFont val="Noto Sans CJK SC"/>
        <family val="2"/>
      </rPr>
      <t xml:space="preserve">、啟用 </t>
    </r>
    <r>
      <rPr>
        <sz val="11"/>
        <color theme="1"/>
        <rFont val="Calibri"/>
        <family val="2"/>
        <charset val="1"/>
      </rPr>
      <t xml:space="preserve">37B</t>
    </r>
    <r>
      <rPr>
        <sz val="11"/>
        <color theme="1"/>
        <rFont val="Noto Sans CJK SC"/>
        <family val="2"/>
      </rPr>
      <t xml:space="preserve">）全日平均約 </t>
    </r>
    <r>
      <rPr>
        <sz val="11"/>
        <color theme="1"/>
        <rFont val="Calibri"/>
        <family val="2"/>
        <charset val="1"/>
      </rPr>
      <t xml:space="preserve">4,950</t>
    </r>
    <r>
      <rPr>
        <sz val="11"/>
        <color theme="1"/>
        <rFont val="Noto Sans CJK SC"/>
        <family val="2"/>
      </rPr>
      <t xml:space="preserve">（含快取命中輸入；不含快取約 </t>
    </r>
    <r>
      <rPr>
        <sz val="11"/>
        <color theme="1"/>
        <rFont val="Calibri"/>
        <family val="2"/>
        <charset val="1"/>
      </rPr>
      <t xml:space="preserve">2,770</t>
    </r>
    <r>
      <rPr>
        <sz val="11"/>
        <color theme="1"/>
        <rFont val="Noto Sans CJK SC"/>
        <family val="2"/>
      </rPr>
      <t xml:space="preserve">）；啟用參數差（</t>
    </r>
    <r>
      <rPr>
        <sz val="11"/>
        <color theme="1"/>
        <rFont val="Calibri"/>
        <family val="2"/>
        <charset val="1"/>
      </rPr>
      <t xml:space="preserve">49B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37B</t>
    </r>
    <r>
      <rPr>
        <sz val="11"/>
        <color theme="1"/>
        <rFont val="Noto Sans CJK SC"/>
        <family val="2"/>
      </rPr>
      <t xml:space="preserve">）只解釋約 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倍，其餘約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倍未解釋（與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列「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約為實測 </t>
    </r>
    <r>
      <rPr>
        <sz val="11"/>
        <color theme="1"/>
        <rFont val="Calibri"/>
        <family val="2"/>
        <charset val="1"/>
      </rPr>
      <t xml:space="preserve">0.26–0.27 </t>
    </r>
    <r>
      <rPr>
        <sz val="11"/>
        <color theme="1"/>
        <rFont val="Noto Sans CJK SC"/>
        <family val="2"/>
      </rPr>
      <t xml:space="preserve">倍」同向）。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模型約 </t>
    </r>
    <r>
      <rPr>
        <sz val="11"/>
        <color theme="1"/>
        <rFont val="Calibri"/>
        <family val="2"/>
        <charset val="1"/>
      </rPr>
      <t xml:space="preserve">3,600</t>
    </r>
    <r>
      <rPr>
        <sz val="11"/>
        <color theme="1"/>
        <rFont val="Noto Sans CJK SC"/>
        <family val="2"/>
      </rPr>
      <t xml:space="preserve">，對照廠商離線基準 </t>
    </r>
    <r>
      <rPr>
        <sz val="11"/>
        <color theme="1"/>
        <rFont val="Calibri"/>
        <family val="2"/>
        <charset val="1"/>
      </rPr>
      <t xml:space="preserve">5,000–13,000</t>
    </r>
    <r>
      <rPr>
        <sz val="11"/>
        <color theme="1"/>
        <rFont val="Noto Sans CJK SC"/>
        <family val="2"/>
      </rPr>
      <t xml:space="preserve">（口徑為最大吞吐，與模型實際利用值不同）。修正吞吐會讓缺口變大，不會變小。</t>
    </r>
    <r>
      <rPr>
        <sz val="11"/>
        <color theme="1"/>
        <rFont val="Calibri"/>
        <family val="2"/>
        <charset val="1"/>
      </rPr>
      <t xml:space="preserve">[Verified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Noto Sans CJK SC"/>
        <family val="2"/>
      </rPr>
      <t xml:space="preserve">自報）＋廠商文件</t>
    </r>
    <r>
      <rPr>
        <sz val="11"/>
        <color theme="1"/>
        <rFont val="Calibri"/>
        <family val="2"/>
        <charset val="1"/>
      </rPr>
      <t xml:space="preserve">]</t>
    </r>
  </si>
  <si>
    <r>
      <rPr>
        <b val="true"/>
        <sz val="11"/>
        <rFont val="Noto Sans CJK SC"/>
        <family val="2"/>
      </rPr>
      <t xml:space="preserve">結論 </t>
    </r>
    <r>
      <rPr>
        <b val="true"/>
        <sz val="11"/>
        <rFont val="Cambria"/>
        <family val="0"/>
        <charset val="1"/>
      </rPr>
      <t xml:space="preserve">3</t>
    </r>
    <r>
      <rPr>
        <b val="true"/>
        <sz val="11"/>
        <rFont val="Noto Sans CJK SC"/>
        <family val="2"/>
      </rPr>
      <t xml:space="preserve">（殘差）</t>
    </r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</si>
  <si>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修正後仍剩 </t>
    </r>
    <r>
      <rPr>
        <sz val="11"/>
        <color theme="1"/>
        <rFont val="Calibri"/>
        <family val="2"/>
        <charset val="1"/>
      </rPr>
      <t xml:space="preserve">2.6–3.4 </t>
    </r>
    <r>
      <rPr>
        <sz val="11"/>
        <color theme="1"/>
        <rFont val="Noto Sans CJK SC"/>
        <family val="2"/>
      </rPr>
      <t xml:space="preserve">倍，現有資料無法拆開（屬「不可分離」，不是「沒找到」）。最可能的來源都在需求面：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4,000 token </t>
    </r>
    <r>
      <rPr>
        <sz val="11"/>
        <color theme="1"/>
        <rFont val="Noto Sans CJK SC"/>
        <family val="2"/>
      </rPr>
      <t xml:space="preserve">無出處，與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同一假設（非獨立證據）；</t>
    </r>
    <r>
      <rPr>
        <sz val="11"/>
        <color theme="1"/>
        <rFont val="Calibri"/>
        <family val="2"/>
        <charset val="1"/>
      </rPr>
      <t xml:space="preserve">(b) 25 </t>
    </r>
    <r>
      <rPr>
        <sz val="11"/>
        <color theme="1"/>
        <rFont val="Noto Sans CJK SC"/>
        <family val="2"/>
      </rPr>
      <t xml:space="preserve">億則／日只含消費方案，不含 </t>
    </r>
    <r>
      <rPr>
        <sz val="11"/>
        <color theme="1"/>
        <rFont val="Calibri"/>
        <family val="2"/>
        <charset val="1"/>
      </rPr>
      <t xml:space="preserve">Business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Enterprise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Edu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(c) Codex </t>
    </r>
    <r>
      <rPr>
        <sz val="11"/>
        <color theme="1"/>
        <rFont val="Noto Sans CJK SC"/>
        <family val="2"/>
      </rPr>
      <t xml:space="preserve">等代理用量未計（</t>
    </r>
    <r>
      <rPr>
        <sz val="11"/>
        <color theme="1"/>
        <rFont val="Calibri"/>
        <family val="2"/>
        <charset val="1"/>
      </rPr>
      <t xml:space="preserve">2025-10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／日）；</t>
    </r>
    <r>
      <rPr>
        <sz val="11"/>
        <color theme="1"/>
        <rFont val="Calibri"/>
        <family val="2"/>
        <charset val="1"/>
      </rPr>
      <t xml:space="preserve">(d) </t>
    </r>
    <r>
      <rPr>
        <sz val="11"/>
        <color theme="1"/>
        <rFont val="Noto Sans CJK SC"/>
        <family val="2"/>
      </rPr>
      <t xml:space="preserve">付費占比 </t>
    </r>
    <r>
      <rPr>
        <sz val="11"/>
        <color theme="1"/>
        <rFont val="Calibri"/>
        <family val="2"/>
        <charset val="1"/>
      </rPr>
      <t xml:space="preserve">0.4 </t>
    </r>
    <r>
      <rPr>
        <sz val="11"/>
        <color theme="1"/>
        <rFont val="Noto Sans CJK SC"/>
        <family val="2"/>
      </rPr>
      <t xml:space="preserve">無出處。供給面另有一項：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億的口徑未定義（可能含 </t>
    </r>
    <r>
      <rPr>
        <sz val="11"/>
        <color theme="1"/>
        <rFont val="Calibri"/>
        <family val="2"/>
        <charset val="1"/>
      </rPr>
      <t xml:space="preserve">RL</t>
    </r>
    <r>
      <rPr>
        <sz val="11"/>
        <color theme="1"/>
        <rFont val="Noto Sans CJK SC"/>
        <family val="2"/>
      </rPr>
      <t xml:space="preserve">、內部、評測，會使服務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再降）。</t>
    </r>
  </si>
  <si>
    <t xml:space="preserve">讀法</t>
  </si>
  <si>
    <r>
      <rPr>
        <sz val="11"/>
        <color theme="1"/>
        <rFont val="Noto Sans CJK SC"/>
        <family val="2"/>
      </rPr>
      <t xml:space="preserve">若殘差全由「每則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」吸收：服務 </t>
    </r>
    <r>
      <rPr>
        <sz val="11"/>
        <color theme="1"/>
        <rFont val="Calibri"/>
        <family val="2"/>
        <charset val="1"/>
      </rPr>
      <t xml:space="preserve">GW 0.66 </t>
    </r>
    <r>
      <rPr>
        <sz val="11"/>
        <color theme="1"/>
        <rFont val="Noto Sans CJK SC"/>
        <family val="2"/>
      </rPr>
      <t xml:space="preserve">時需每則約 </t>
    </r>
    <r>
      <rPr>
        <sz val="11"/>
        <color theme="1"/>
        <rFont val="Calibri"/>
        <family val="2"/>
        <charset val="1"/>
      </rPr>
      <t xml:space="preserve">2.9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（付費占比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0.5 GW </t>
    </r>
    <r>
      <rPr>
        <sz val="11"/>
        <color theme="1"/>
        <rFont val="Noto Sans CJK SC"/>
        <family val="2"/>
      </rPr>
      <t xml:space="preserve">時約 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萬。見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必須為真。對照：</t>
    </r>
    <r>
      <rPr>
        <sz val="11"/>
        <color theme="1"/>
        <rFont val="Calibri"/>
        <family val="2"/>
        <charset val="1"/>
      </rPr>
      <t xml:space="preserve">OpenRouter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）序列長度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末逾 </t>
    </r>
    <r>
      <rPr>
        <sz val="11"/>
        <color theme="1"/>
        <rFont val="Calibri"/>
        <family val="2"/>
        <charset val="1"/>
      </rPr>
      <t xml:space="preserve">5,400</t>
    </r>
    <r>
      <rPr>
        <sz val="11"/>
        <color theme="1"/>
        <rFont val="Noto Sans CJK SC"/>
        <family val="2"/>
      </rPr>
      <t xml:space="preserve">；推理模型、對話歷史重送、搜尋結果使輸入大增，但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未揭露。</t>
    </r>
  </si>
  <si>
    <r>
      <rPr>
        <b val="true"/>
        <sz val="11"/>
        <rFont val="Noto Sans CJK SC"/>
        <family val="2"/>
      </rPr>
      <t xml:space="preserve">對 </t>
    </r>
    <r>
      <rPr>
        <b val="true"/>
        <sz val="11"/>
        <rFont val="Cambria"/>
        <family val="0"/>
        <charset val="1"/>
      </rPr>
      <t xml:space="preserve">v18.0 </t>
    </r>
    <r>
      <rPr>
        <b val="true"/>
        <sz val="11"/>
        <rFont val="Noto Sans CJK SC"/>
        <family val="2"/>
      </rPr>
      <t xml:space="preserve">的意涵</t>
    </r>
  </si>
  <si>
    <r>
      <rPr>
        <sz val="11"/>
        <color theme="1"/>
        <rFont val="Calibri"/>
        <family val="2"/>
        <charset val="1"/>
      </rPr>
      <t xml:space="preserve">`L1_RevGW_PQ_VR200`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48.8 $B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由「每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實際利用率」推出，與本表供給面同一套產能。結論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表示每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產能不偏高；</t>
    </r>
    <r>
      <rPr>
        <sz val="11"/>
        <color theme="1"/>
        <rFont val="Calibri"/>
        <family val="2"/>
        <charset val="1"/>
      </rPr>
      <t xml:space="preserve">48.8 </t>
    </r>
    <r>
      <rPr>
        <sz val="11"/>
        <color theme="1"/>
        <rFont val="Noto Sans CJK SC"/>
        <family val="2"/>
      </rPr>
      <t xml:space="preserve">是否成立取決於殘差在需求面（</t>
    </r>
    <r>
      <rPr>
        <sz val="11"/>
        <color theme="1"/>
        <rFont val="Calibri"/>
        <family val="2"/>
        <charset val="1"/>
      </rPr>
      <t xml:space="preserve">48.8 </t>
    </r>
    <r>
      <rPr>
        <sz val="11"/>
        <color theme="1"/>
        <rFont val="Noto Sans CJK SC"/>
        <family val="2"/>
      </rPr>
      <t xml:space="preserve">可成立）還是利用率（應下修）。結論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高估只影響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校準（舊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與所需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），不直接影響新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P×Q</t>
    </r>
    <r>
      <rPr>
        <sz val="11"/>
        <color theme="1"/>
        <rFont val="Noto Sans CJK SC"/>
        <family val="2"/>
      </rPr>
      <t xml:space="preserve">。</t>
    </r>
  </si>
  <si>
    <t xml:space="preserve">回本判讀受影響處</t>
  </si>
  <si>
    <r>
      <rPr>
        <sz val="11"/>
        <color theme="1"/>
        <rFont val="Noto Sans CJK SC"/>
        <family val="2"/>
      </rPr>
      <t xml:space="preserve">所需 </t>
    </r>
    <r>
      <rPr>
        <sz val="11"/>
        <color theme="1"/>
        <rFont val="Calibri"/>
        <family val="2"/>
        <charset val="1"/>
      </rPr>
      <t xml:space="preserve">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L1_LReqFleet_IdNoK</t>
    </r>
    <r>
      <rPr>
        <sz val="11"/>
        <color theme="1"/>
        <rFont val="Noto Sans CJK SC"/>
        <family val="2"/>
      </rPr>
      <t xml:space="preserve">）＝推論支出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（計價倍數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營收）不經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，不受結論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影響；但若改用「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持有成本」口徑，計價倍數需由 </t>
    </r>
    <r>
      <rPr>
        <sz val="11"/>
        <color theme="1"/>
        <rFont val="Calibri"/>
        <family val="2"/>
        <charset val="1"/>
      </rPr>
      <t xml:space="preserve">0.85 </t>
    </r>
    <r>
      <rPr>
        <sz val="11"/>
        <color theme="1"/>
        <rFont val="Noto Sans CJK SC"/>
        <family val="2"/>
      </rPr>
      <t xml:space="preserve">上調到約 </t>
    </r>
    <r>
      <rPr>
        <sz val="11"/>
        <color theme="1"/>
        <rFont val="Calibri"/>
        <family val="2"/>
        <charset val="1"/>
      </rPr>
      <t xml:space="preserve">1.3–1.4 </t>
    </r>
    <r>
      <rPr>
        <sz val="11"/>
        <color theme="1"/>
        <rFont val="Noto Sans CJK SC"/>
        <family val="2"/>
      </rPr>
      <t xml:space="preserve">才與 </t>
    </r>
    <r>
      <rPr>
        <sz val="11"/>
        <color theme="1"/>
        <rFont val="Calibri"/>
        <family val="2"/>
        <charset val="1"/>
      </rPr>
      <t xml:space="preserve">0.66 GW </t>
    </r>
    <r>
      <rPr>
        <sz val="11"/>
        <color theme="1"/>
        <rFont val="Noto Sans CJK SC"/>
        <family val="2"/>
      </rPr>
      <t xml:space="preserve">一致——與回本側證據 </t>
    </r>
    <r>
      <rPr>
        <sz val="11"/>
        <color theme="1"/>
        <rFont val="Calibri"/>
        <family val="2"/>
        <charset val="1"/>
      </rPr>
      <t xml:space="preserve">IREN 0.89 </t>
    </r>
    <r>
      <rPr>
        <sz val="11"/>
        <color theme="1"/>
        <rFont val="Noto Sans CJK SC"/>
        <family val="2"/>
      </rPr>
      <t xml:space="preserve">衝突，見 </t>
    </r>
    <r>
      <rPr>
        <sz val="11"/>
        <color theme="1"/>
        <rFont val="Calibri"/>
        <family val="2"/>
        <charset val="1"/>
      </rPr>
      <t xml:space="preserve">5_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</si>
  <si>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方向統計（</t>
    </r>
    <r>
      <rPr>
        <sz val="11"/>
        <color theme="1"/>
        <rFont val="Calibri"/>
        <family val="2"/>
        <charset val="1"/>
      </rPr>
      <t xml:space="preserve">item 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</si>
  <si>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本表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項判讀中：縮小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選項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、保留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（全部列為待判斷，不改模型）。</t>
    </r>
  </si>
  <si>
    <r>
      <rPr>
        <sz val="11"/>
        <color theme="1"/>
        <rFont val="Noto Sans CJK SC"/>
        <family val="2"/>
      </rPr>
      <t xml:space="preserve">涵蓋統計（</t>
    </r>
    <r>
      <rPr>
        <sz val="11"/>
        <color theme="1"/>
        <rFont val="Calibri"/>
        <family val="2"/>
        <charset val="1"/>
      </rPr>
      <t xml:space="preserve">item 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</si>
  <si>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[P] </t>
    </r>
    <r>
      <rPr>
        <sz val="11"/>
        <color theme="1"/>
        <rFont val="Noto Sans CJK SC"/>
        <family val="2"/>
      </rPr>
      <t xml:space="preserve">實體：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吞吐、利用率——已查；</t>
    </r>
    <r>
      <rPr>
        <sz val="11"/>
        <color theme="1"/>
        <rFont val="Calibri"/>
        <family val="2"/>
        <charset val="1"/>
      </rPr>
      <t xml:space="preserve">[A] </t>
    </r>
    <r>
      <rPr>
        <sz val="11"/>
        <color theme="1"/>
        <rFont val="Noto Sans CJK SC"/>
        <family val="2"/>
      </rPr>
      <t xml:space="preserve">帳：推論支出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 ＝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、營收 ＝ </t>
    </r>
    <r>
      <rPr>
        <sz val="11"/>
        <color theme="1"/>
        <rFont val="Calibri"/>
        <family val="2"/>
        <charset val="1"/>
      </rPr>
      <t xml:space="preserve">P×Q——</t>
    </r>
    <r>
      <rPr>
        <sz val="11"/>
        <color theme="1"/>
        <rFont val="Noto Sans CJK SC"/>
        <family val="2"/>
      </rPr>
      <t xml:space="preserve">已查；</t>
    </r>
    <r>
      <rPr>
        <sz val="11"/>
        <color theme="1"/>
        <rFont val="Calibri"/>
        <family val="2"/>
        <charset val="1"/>
      </rPr>
      <t xml:space="preserve">[I] </t>
    </r>
    <r>
      <rPr>
        <sz val="11"/>
        <color theme="1"/>
        <rFont val="Noto Sans CJK SC"/>
        <family val="2"/>
      </rPr>
      <t xml:space="preserve">誘因／資訊：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億來源為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（付費牆、未讀原文），</t>
    </r>
    <r>
      <rPr>
        <sz val="11"/>
        <color theme="1"/>
        <rFont val="Calibri"/>
        <family val="2"/>
        <charset val="1"/>
      </rPr>
      <t xml:space="preserve">OpenAI GW </t>
    </r>
    <r>
      <rPr>
        <sz val="11"/>
        <color theme="1"/>
        <rFont val="Noto Sans CJK SC"/>
        <family val="2"/>
      </rPr>
      <t xml:space="preserve">數字為公司對投資人說法（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的「各半」為第三方估計——已標示。未生成：免費用戶成本占比（無揭露）。</t>
    </r>
  </si>
  <si>
    <t xml:space="preserve">層</t>
  </si>
  <si>
    <t xml:space="preserve">因子</t>
  </si>
  <si>
    <t xml:space="preserve">值</t>
  </si>
  <si>
    <t xml:space="preserve">單位</t>
  </si>
  <si>
    <t xml:space="preserve">標記</t>
  </si>
  <si>
    <t xml:space="preserve">模型位置／公式</t>
  </si>
  <si>
    <t xml:space="preserve">外部對照</t>
  </si>
  <si>
    <r>
      <rPr>
        <b val="true"/>
        <sz val="11"/>
        <rFont val="Noto Sans CJK SC"/>
        <family val="2"/>
      </rPr>
      <t xml:space="preserve">修正倍數（供給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此值）</t>
    </r>
  </si>
  <si>
    <t xml:space="preserve">供給</t>
  </si>
  <si>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</si>
  <si>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</si>
  <si>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The Information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Sacra</t>
    </r>
    <r>
      <rPr>
        <sz val="11"/>
        <color theme="1"/>
        <rFont val="Noto Sans CJK SC"/>
        <family val="2"/>
      </rPr>
      <t xml:space="preserve">；口徑未定義）</t>
    </r>
  </si>
  <si>
    <t xml:space="preserve">SRC_DEM_004</t>
  </si>
  <si>
    <r>
      <rPr>
        <sz val="11"/>
        <color theme="1"/>
        <rFont val="Noto Sans CJK SC"/>
        <family val="2"/>
      </rPr>
      <t xml:space="preserve">洩漏 </t>
    </r>
    <r>
      <rPr>
        <sz val="11"/>
        <color theme="1"/>
        <rFont val="Calibri"/>
        <family val="2"/>
        <charset val="1"/>
      </rPr>
      <t xml:space="preserve">cost of revenue 75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86.7 </t>
    </r>
    <r>
      <rPr>
        <sz val="11"/>
        <color theme="1"/>
        <rFont val="Noto Sans CJK SC"/>
        <family val="2"/>
      </rPr>
      <t xml:space="preserve">億（衝突）</t>
    </r>
  </si>
  <si>
    <t xml:space="preserve">—</t>
  </si>
  <si>
    <t xml:space="preserve">混合持有成本</t>
  </si>
  <si>
    <r>
      <rPr>
        <sz val="11"/>
        <color theme="1"/>
        <rFont val="Calibri"/>
        <family val="2"/>
        <charset val="1"/>
      </rPr>
      <t xml:space="preserve">$B/GW/</t>
    </r>
    <r>
      <rPr>
        <sz val="11"/>
        <color theme="1"/>
        <rFont val="Noto Sans CJK SC"/>
        <family val="2"/>
      </rPr>
      <t xml:space="preserve">年</t>
    </r>
  </si>
  <si>
    <t xml:space="preserve">Derived</t>
  </si>
  <si>
    <r>
      <rPr>
        <sz val="11"/>
        <color theme="1"/>
        <rFont val="Calibri"/>
        <family val="2"/>
        <charset val="1"/>
      </rPr>
      <t xml:space="preserve">AL_FleetHold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 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0.4 </t>
    </r>
    <r>
      <rPr>
        <sz val="11"/>
        <color theme="1"/>
        <rFont val="Noto Sans CJK SC"/>
        <family val="2"/>
      </rPr>
      <t xml:space="preserve">加權）</t>
    </r>
  </si>
  <si>
    <t xml:space="preserve">計價倍數</t>
  </si>
  <si>
    <t xml:space="preserve">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</si>
  <si>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0.73–1.17</t>
    </r>
    <r>
      <rPr>
        <sz val="11"/>
        <color theme="1"/>
        <rFont val="Noto Sans CJK SC"/>
        <family val="2"/>
      </rPr>
      <t xml:space="preserve">）</t>
    </r>
  </si>
  <si>
    <t xml:space="preserve">AL_SpendBasis</t>
  </si>
  <si>
    <r>
      <rPr>
        <sz val="11"/>
        <color theme="1"/>
        <rFont val="Calibri"/>
        <family val="2"/>
        <charset val="1"/>
      </rPr>
      <t xml:space="preserve">IREN 0.89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Microsoft–IREN SEC 8-K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GB300 200 MW IT </t>
    </r>
    <r>
      <rPr>
        <sz val="11"/>
        <color theme="1"/>
        <rFont val="Noto Sans CJK SC"/>
        <family val="2"/>
      </rPr>
      <t xml:space="preserve">五年 </t>
    </r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Noto Sans CJK SC"/>
        <family val="2"/>
      </rPr>
      <t xml:space="preserve">億；回本側證據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 </t>
    </r>
    <r>
      <rPr>
        <sz val="11"/>
        <color theme="1"/>
        <rFont val="Calibri"/>
        <family val="2"/>
        <charset val="1"/>
      </rPr>
      <t xml:space="preserve">PR #136</t>
    </r>
    <r>
      <rPr>
        <sz val="11"/>
        <color theme="1"/>
        <rFont val="Noto Sans CJK SC"/>
        <family val="2"/>
      </rPr>
      <t xml:space="preserve">）；每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年雲端價 </t>
    </r>
    <r>
      <rPr>
        <sz val="11"/>
        <color theme="1"/>
        <rFont val="Calibri"/>
        <family val="2"/>
        <charset val="1"/>
      </rPr>
      <t xml:space="preserve">12–12.8 → </t>
    </r>
    <r>
      <rPr>
        <sz val="11"/>
        <color theme="1"/>
        <rFont val="Noto Sans CJK SC"/>
        <family val="2"/>
      </rPr>
      <t xml:space="preserve">隱含約 </t>
    </r>
    <r>
      <rPr>
        <sz val="11"/>
        <color theme="1"/>
        <rFont val="Calibri"/>
        <family val="2"/>
        <charset val="1"/>
      </rPr>
      <t xml:space="preserve">1.3–1.4</t>
    </r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</si>
  <si>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</si>
  <si>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</si>
  <si>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t xml:space="preserve">Cap_In C109</t>
  </si>
  <si>
    <r>
      <rPr>
        <sz val="11"/>
        <color theme="1"/>
        <rFont val="Noto Sans CJK SC"/>
        <family val="2"/>
      </rPr>
      <t xml:space="preserve">外部 </t>
    </r>
    <r>
      <rPr>
        <sz val="11"/>
        <color theme="1"/>
        <rFont val="Calibri"/>
        <family val="2"/>
        <charset val="1"/>
      </rPr>
      <t xml:space="preserve">0.5–0.66 GW</t>
    </r>
  </si>
  <si>
    <t xml:space="preserve">1.6–2.1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</si>
  <si>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付費產能（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利用、混合世代、含免費擠占）</t>
    </r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</si>
  <si>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</si>
  <si>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roofline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</si>
  <si>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AL_BlendPaid ÷ IF_Util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0.5725</t>
    </r>
  </si>
  <si>
    <r>
      <rPr>
        <sz val="11"/>
        <color theme="1"/>
        <rFont val="Noto Sans CJK SC"/>
        <family val="2"/>
      </rPr>
      <t xml:space="preserve">吞吐偏低（見結論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</si>
  <si>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&lt;1</t>
    </r>
    <r>
      <rPr>
        <sz val="11"/>
        <color theme="1"/>
        <rFont val="Noto Sans CJK SC"/>
        <family val="2"/>
      </rPr>
      <t xml:space="preserve">（反向）</t>
    </r>
  </si>
  <si>
    <r>
      <rPr>
        <sz val="11"/>
        <color theme="1"/>
        <rFont val="Noto Sans CJK SC"/>
        <family val="2"/>
      </rPr>
      <t xml:space="preserve">實際利用率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生產折減</t>
    </r>
  </si>
  <si>
    <r>
      <rPr>
        <sz val="11"/>
        <color theme="1"/>
        <rFont val="Calibri"/>
        <family val="2"/>
        <charset val="1"/>
      </rPr>
      <t xml:space="preserve">Assumed 0.41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0.30–0.65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0.85</t>
    </r>
  </si>
  <si>
    <t xml:space="preserve">AL_UtilActual × CTL_ProdDerate</t>
  </si>
  <si>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Noto Sans CJK SC"/>
        <family val="2"/>
      </rPr>
      <t xml:space="preserve">全日平均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服務期間速率：總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、輸出約 </t>
    </r>
    <r>
      <rPr>
        <sz val="11"/>
        <color theme="1"/>
        <rFont val="Calibri"/>
        <family val="2"/>
        <charset val="1"/>
      </rPr>
      <t xml:space="preserve">0.58</t>
    </r>
    <r>
      <rPr>
        <sz val="11"/>
        <color theme="1"/>
        <rFont val="Noto Sans CJK SC"/>
        <family val="2"/>
      </rPr>
      <t xml:space="preserve">（只有一家）</t>
    </r>
  </si>
  <si>
    <t xml:space="preserve">未定</t>
  </si>
  <si>
    <r>
      <rPr>
        <sz val="11"/>
        <color theme="1"/>
        <rFont val="Noto Sans CJK SC"/>
        <family val="2"/>
      </rPr>
      <t xml:space="preserve">機隊付費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</si>
  <si>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M tok/</t>
    </r>
    <r>
      <rPr>
        <sz val="11"/>
        <color theme="1"/>
        <rFont val="Noto Sans CJK SC"/>
        <family val="2"/>
      </rPr>
      <t xml:space="preserve">年</t>
    </r>
  </si>
  <si>
    <t xml:space="preserve">Cap_In C116</t>
  </si>
  <si>
    <t xml:space="preserve">需求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</si>
  <si>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每日訊息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</si>
  <si>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則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日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</si>
  <si>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2025-07</t>
    </r>
    <r>
      <rPr>
        <sz val="11"/>
        <color theme="1"/>
        <rFont val="Noto Sans CJK SC"/>
        <family val="2"/>
      </rPr>
      <t xml:space="preserve">）</t>
    </r>
  </si>
  <si>
    <t xml:space="preserve">SRC_DEM_012</t>
  </si>
  <si>
    <r>
      <rPr>
        <sz val="11"/>
        <color theme="1"/>
        <rFont val="Calibri"/>
        <family val="2"/>
        <charset val="1"/>
      </rPr>
      <t xml:space="preserve">2025-06 NBER 26.27 </t>
    </r>
    <r>
      <rPr>
        <sz val="11"/>
        <color theme="1"/>
        <rFont val="Noto Sans CJK SC"/>
        <family val="2"/>
      </rPr>
      <t xml:space="preserve">億（只含消費方案）；</t>
    </r>
    <r>
      <rPr>
        <sz val="11"/>
        <color theme="1"/>
        <rFont val="Calibri"/>
        <family val="2"/>
        <charset val="1"/>
      </rPr>
      <t xml:space="preserve">2024-12 10 </t>
    </r>
    <r>
      <rPr>
        <sz val="11"/>
        <color theme="1"/>
        <rFont val="Noto Sans CJK SC"/>
        <family val="2"/>
      </rPr>
      <t xml:space="preserve">億</t>
    </r>
  </si>
  <si>
    <t xml:space="preserve">全年平均應較低（反向）</t>
  </si>
  <si>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</t>
    </r>
  </si>
  <si>
    <t xml:space="preserve">tok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</si>
  <si>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2,000–11,000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同一假設）</t>
    </r>
  </si>
  <si>
    <t xml:space="preserve">AL_TokPerPrompt</t>
  </si>
  <si>
    <r>
      <rPr>
        <sz val="11"/>
        <color theme="1"/>
        <rFont val="Noto Sans CJK SC"/>
        <family val="2"/>
      </rPr>
      <t xml:space="preserve">無揭露；</t>
    </r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序列 </t>
    </r>
    <r>
      <rPr>
        <sz val="11"/>
        <color theme="1"/>
        <rFont val="Calibri"/>
        <family val="2"/>
        <charset val="1"/>
      </rPr>
      <t xml:space="preserve">&gt;5,400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</si>
  <si>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模型區間 </t>
    </r>
    <r>
      <rPr>
        <sz val="11"/>
        <color theme="1"/>
        <rFont val="Calibri"/>
        <family val="2"/>
        <charset val="1"/>
      </rPr>
      <t xml:space="preserve">0.5–2.75 </t>
    </r>
    <r>
      <rPr>
        <sz val="11"/>
        <color theme="1"/>
        <rFont val="Noto Sans CJK SC"/>
        <family val="2"/>
      </rPr>
      <t xml:space="preserve">倍；閉合所需 </t>
    </r>
    <r>
      <rPr>
        <sz val="11"/>
        <color theme="1"/>
        <rFont val="Calibri"/>
        <family val="2"/>
        <charset val="1"/>
      </rPr>
      <t xml:space="preserve">×5–7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4_</t>
    </r>
    <r>
      <rPr>
        <sz val="11"/>
        <color theme="1"/>
        <rFont val="Noto Sans CJK SC"/>
        <family val="2"/>
      </rPr>
      <t xml:space="preserve">必須為真）</t>
    </r>
  </si>
  <si>
    <r>
      <rPr>
        <sz val="11"/>
        <color theme="1"/>
        <rFont val="Noto Sans CJK SC"/>
        <family val="2"/>
      </rPr>
      <t xml:space="preserve">付費占比（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口徑）</t>
    </r>
  </si>
  <si>
    <t xml:space="preserve">%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</si>
  <si>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0.2–0.6</t>
    </r>
    <r>
      <rPr>
        <sz val="11"/>
        <color theme="1"/>
        <rFont val="Noto Sans CJK SC"/>
        <family val="2"/>
      </rPr>
      <t xml:space="preserve">）</t>
    </r>
  </si>
  <si>
    <t xml:space="preserve">1 − AL_FreeShare</t>
  </si>
  <si>
    <r>
      <rPr>
        <sz val="11"/>
        <color theme="1"/>
        <rFont val="Noto Sans CJK SC"/>
        <family val="2"/>
      </rPr>
      <t xml:space="preserve">付費者約占 </t>
    </r>
    <r>
      <rPr>
        <sz val="11"/>
        <color theme="1"/>
        <rFont val="Calibri"/>
        <family val="2"/>
        <charset val="1"/>
      </rPr>
      <t xml:space="preserve">WAU 5.6%</t>
    </r>
    <r>
      <rPr>
        <sz val="11"/>
        <color theme="1"/>
        <rFont val="Noto Sans CJK SC"/>
        <family val="2"/>
      </rPr>
      <t xml:space="preserve">；無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占比揭露</t>
    </r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</si>
  <si>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</t>
    </r>
  </si>
  <si>
    <t xml:space="preserve">AL_DChatPaid</t>
  </si>
  <si>
    <t xml:space="preserve">API token</t>
  </si>
  <si>
    <r>
      <rPr>
        <sz val="11"/>
        <color theme="1"/>
        <rFont val="Calibri"/>
        <family val="2"/>
        <charset val="1"/>
      </rPr>
      <t xml:space="preserve">Verified × 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億／分 </t>
    </r>
    <r>
      <rPr>
        <sz val="11"/>
        <color theme="1"/>
        <rFont val="Calibri"/>
        <family val="2"/>
        <charset val="1"/>
      </rPr>
      <t xml:space="preserve">× 0.75</t>
    </r>
    <r>
      <rPr>
        <sz val="11"/>
        <color theme="1"/>
        <rFont val="Noto Sans CJK SC"/>
        <family val="2"/>
      </rPr>
      <t xml:space="preserve">）</t>
    </r>
  </si>
  <si>
    <t xml:space="preserve">AL_DAPI</t>
  </si>
  <si>
    <r>
      <rPr>
        <sz val="11"/>
        <color theme="1"/>
        <rFont val="Calibri"/>
        <family val="2"/>
        <charset val="1"/>
      </rPr>
      <t xml:space="preserve">2025-10 60 </t>
    </r>
    <r>
      <rPr>
        <sz val="11"/>
        <color theme="1"/>
        <rFont val="Noto Sans CJK SC"/>
        <family val="2"/>
      </rPr>
      <t xml:space="preserve">億／分；</t>
    </r>
    <r>
      <rPr>
        <sz val="11"/>
        <color theme="1"/>
        <rFont val="Calibri"/>
        <family val="2"/>
        <charset val="1"/>
      </rPr>
      <t xml:space="preserve">2026-03 150 </t>
    </r>
    <r>
      <rPr>
        <sz val="11"/>
        <color theme="1"/>
        <rFont val="Noto Sans CJK SC"/>
        <family val="2"/>
      </rPr>
      <t xml:space="preserve">億／分</t>
    </r>
  </si>
  <si>
    <r>
      <rPr>
        <sz val="11"/>
        <color theme="1"/>
        <rFont val="Noto Sans CJK SC"/>
        <family val="2"/>
      </rPr>
      <t xml:space="preserve">係數 </t>
    </r>
    <r>
      <rPr>
        <sz val="11"/>
        <color theme="1"/>
        <rFont val="Calibri"/>
        <family val="2"/>
        <charset val="1"/>
      </rPr>
      <t xml:space="preserve">0.75 </t>
    </r>
    <r>
      <rPr>
        <sz val="11"/>
        <color theme="1"/>
        <rFont val="Noto Sans CJK SC"/>
        <family val="2"/>
      </rPr>
      <t xml:space="preserve">方向偏高</t>
    </r>
  </si>
  <si>
    <r>
      <rPr>
        <sz val="11"/>
        <color theme="1"/>
        <rFont val="Noto Sans CJK SC"/>
        <family val="2"/>
      </rPr>
      <t xml:space="preserve">未計：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／代理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</si>
  <si>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7.3E+08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</si>
  <si>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兆／日，</t>
    </r>
    <r>
      <rPr>
        <sz val="11"/>
        <color theme="1"/>
        <rFont val="Calibri"/>
        <family val="2"/>
        <charset val="1"/>
      </rPr>
      <t xml:space="preserve">2025-10 DevDay</t>
    </r>
    <r>
      <rPr>
        <sz val="11"/>
        <color theme="1"/>
        <rFont val="Noto Sans CJK SC"/>
        <family val="2"/>
      </rPr>
      <t xml:space="preserve">）</t>
    </r>
  </si>
  <si>
    <t xml:space="preserve">不在模型</t>
  </si>
  <si>
    <t xml:space="preserve">付費占比未知</t>
  </si>
  <si>
    <t xml:space="preserve">+0–20%</t>
  </si>
  <si>
    <r>
      <rPr>
        <sz val="11"/>
        <color theme="1"/>
        <rFont val="Noto Sans CJK SC"/>
        <family val="2"/>
      </rPr>
      <t xml:space="preserve">未計：</t>
    </r>
    <r>
      <rPr>
        <sz val="11"/>
        <color theme="1"/>
        <rFont val="Calibri"/>
        <family val="2"/>
        <charset val="1"/>
      </rPr>
      <t xml:space="preserve">Business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Enterprise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Edu </t>
    </r>
    <r>
      <rPr>
        <sz val="11"/>
        <color theme="1"/>
        <rFont val="Noto Sans CJK SC"/>
        <family val="2"/>
      </rPr>
      <t xml:space="preserve">訊息</t>
    </r>
  </si>
  <si>
    <r>
      <rPr>
        <sz val="11"/>
        <color theme="1"/>
        <rFont val="Calibri"/>
        <family val="2"/>
        <charset val="1"/>
      </rPr>
      <t xml:space="preserve">NBER </t>
    </r>
    <r>
      <rPr>
        <sz val="11"/>
        <color theme="1"/>
        <rFont val="Noto Sans CJK SC"/>
        <family val="2"/>
      </rPr>
      <t xml:space="preserve">註明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億只含消費方案</t>
    </r>
  </si>
  <si>
    <t xml:space="preserve">+?</t>
  </si>
  <si>
    <r>
      <rPr>
        <sz val="11"/>
        <color theme="1"/>
        <rFont val="Noto Sans CJK SC"/>
        <family val="2"/>
      </rPr>
      <t xml:space="preserve">需求面付費 </t>
    </r>
    <r>
      <rPr>
        <sz val="11"/>
        <color theme="1"/>
        <rFont val="Calibri"/>
        <family val="2"/>
        <charset val="1"/>
      </rPr>
      <t xml:space="preserve">token</t>
    </r>
  </si>
  <si>
    <t xml:space="preserve">AL_DPaid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</si>
  <si>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全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兆／日（含免費），本模型需求面 </t>
    </r>
    <r>
      <rPr>
        <sz val="11"/>
        <color theme="1"/>
        <rFont val="Calibri"/>
        <family val="2"/>
        <charset val="1"/>
      </rPr>
      <t xml:space="preserve">16.5</t>
    </r>
  </si>
  <si>
    <t xml:space="preserve">帳</t>
  </si>
  <si>
    <r>
      <rPr>
        <sz val="11"/>
        <color theme="1"/>
        <rFont val="Noto Sans CJK SC"/>
        <family val="2"/>
      </rPr>
      <t xml:space="preserve">倍數 </t>
    </r>
    <r>
      <rPr>
        <sz val="11"/>
        <color theme="1"/>
        <rFont val="Calibri"/>
        <family val="2"/>
        <charset val="1"/>
      </rPr>
      <t xml:space="preserve">L1_TokLedger</t>
    </r>
  </si>
  <si>
    <r>
      <rPr>
        <sz val="11"/>
        <color theme="1"/>
        <rFont val="Noto Sans CJK SC"/>
        <family val="2"/>
      </rPr>
      <t xml:space="preserve">供給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</t>
    </r>
  </si>
  <si>
    <t xml:space="preserve">#</t>
  </si>
  <si>
    <t xml:space="preserve">項目</t>
  </si>
  <si>
    <t xml:space="preserve">數字</t>
  </si>
  <si>
    <t xml:space="preserve">日期</t>
  </si>
  <si>
    <t xml:space="preserve">來源性質</t>
  </si>
  <si>
    <t xml:space="preserve">URL</t>
  </si>
  <si>
    <t xml:space="preserve">用途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</si>
  <si>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上線算力</t>
    </r>
  </si>
  <si>
    <r>
      <rPr>
        <sz val="11"/>
        <color theme="1"/>
        <rFont val="Calibri"/>
        <family val="2"/>
        <charset val="1"/>
      </rPr>
      <t xml:space="preserve">2023 0.2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2024 0.6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1.9 GW</t>
    </r>
    <r>
      <rPr>
        <sz val="11"/>
        <color theme="1"/>
        <rFont val="Noto Sans CJK SC"/>
        <family val="2"/>
      </rPr>
      <t xml:space="preserve">（年底）</t>
    </r>
  </si>
  <si>
    <t xml:space="preserve">2026-01-18</t>
  </si>
  <si>
    <r>
      <rPr>
        <sz val="11"/>
        <color theme="1"/>
        <rFont val="Noto Sans CJK SC"/>
        <family val="2"/>
      </rPr>
      <t xml:space="preserve">官方（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），口徑未明，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判斷約 </t>
    </r>
    <r>
      <rPr>
        <sz val="11"/>
        <color theme="1"/>
        <rFont val="Calibri"/>
        <family val="2"/>
        <charset val="1"/>
      </rPr>
      <t xml:space="preserve">90%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IT</t>
    </r>
  </si>
  <si>
    <t xml:space="preserve">https://openai.com/index/a-business-that-scales-with-the-value-of-intelligence/</t>
  </si>
  <si>
    <t xml:space="preserve">算力分配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</si>
  <si>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研發與推論約各半；研發約 </t>
    </r>
    <r>
      <rPr>
        <sz val="11"/>
        <color theme="1"/>
        <rFont val="Calibri"/>
        <family val="2"/>
        <charset val="1"/>
      </rPr>
      <t xml:space="preserve">900k H100e</t>
    </r>
  </si>
  <si>
    <t xml:space="preserve">2026</t>
  </si>
  <si>
    <r>
      <rPr>
        <sz val="11"/>
        <color theme="1"/>
        <rFont val="Noto Sans CJK SC"/>
        <family val="2"/>
      </rPr>
      <t xml:space="preserve">第三方（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；底層含洩漏文件）</t>
    </r>
  </si>
  <si>
    <t xml:space="preserve">https://epoch.ai/latest/introducing-the-ai-chip-users-explorer</t>
  </si>
  <si>
    <t xml:space="preserve">服務占比</t>
  </si>
  <si>
    <t xml:space="preserve">雲端算力支出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</si>
  <si>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</si>
  <si>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第三方（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引媒體）</t>
    </r>
  </si>
  <si>
    <t xml:space="preserve">https://epoch.ai/data/ai-chip-users-documentation/methodology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</si>
  <si>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年價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</si>
  <si>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合約</t>
    </r>
  </si>
  <si>
    <r>
      <rPr>
        <sz val="11"/>
        <color theme="1"/>
        <rFont val="Calibri"/>
        <family val="2"/>
        <charset val="1"/>
      </rPr>
      <t xml:space="preserve">3,000 </t>
    </r>
    <r>
      <rPr>
        <sz val="11"/>
        <color theme="1"/>
        <rFont val="Noto Sans CJK SC"/>
        <family val="2"/>
      </rPr>
      <t xml:space="preserve">億／</t>
    </r>
    <r>
      <rPr>
        <sz val="11"/>
        <color theme="1"/>
        <rFont val="Calibri"/>
        <family val="2"/>
        <charset val="1"/>
      </rPr>
      <t xml:space="preserve">5 GW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年（算術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億／</t>
    </r>
    <r>
      <rPr>
        <sz val="11"/>
        <color theme="1"/>
        <rFont val="Calibri"/>
        <family val="2"/>
        <charset val="1"/>
      </rPr>
      <t xml:space="preserve">GW·</t>
    </r>
    <r>
      <rPr>
        <sz val="11"/>
        <color theme="1"/>
        <rFont val="Noto Sans CJK SC"/>
        <family val="2"/>
      </rPr>
      <t xml:space="preserve">年）</t>
    </r>
  </si>
  <si>
    <t xml:space="preserve">2025-09-11</t>
  </si>
  <si>
    <t xml:space="preserve">媒體引匿名消息</t>
  </si>
  <si>
    <t xml:space="preserve">https://www.theregister.com/2025/09/11/openai_reportedly_on_the_hook/</t>
  </si>
  <si>
    <r>
      <rPr>
        <sz val="11"/>
        <color theme="1"/>
        <rFont val="Noto Sans CJK SC"/>
        <family val="2"/>
      </rPr>
      <t xml:space="preserve">推論支出 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</si>
  <si>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141 </t>
    </r>
    <r>
      <rPr>
        <sz val="11"/>
        <color theme="1"/>
        <rFont val="Noto Sans CJK SC"/>
        <family val="2"/>
      </rPr>
      <t xml:space="preserve">億；無定義</t>
    </r>
  </si>
  <si>
    <r>
      <rPr>
        <sz val="11"/>
        <color theme="1"/>
        <rFont val="Noto Sans CJK SC"/>
        <family val="2"/>
      </rPr>
      <t xml:space="preserve">第三方（</t>
    </r>
    <r>
      <rPr>
        <sz val="11"/>
        <color theme="1"/>
        <rFont val="Calibri"/>
        <family val="2"/>
        <charset val="1"/>
      </rPr>
      <t xml:space="preserve">Sacra</t>
    </r>
    <r>
      <rPr>
        <sz val="11"/>
        <color theme="1"/>
        <rFont val="Noto Sans CJK SC"/>
        <family val="2"/>
      </rPr>
      <t xml:space="preserve">；原始 </t>
    </r>
    <r>
      <rPr>
        <sz val="11"/>
        <color theme="1"/>
        <rFont val="Calibri"/>
        <family val="2"/>
        <charset val="1"/>
      </rPr>
      <t xml:space="preserve">The Information</t>
    </r>
    <r>
      <rPr>
        <sz val="11"/>
        <color theme="1"/>
        <rFont val="Noto Sans CJK SC"/>
        <family val="2"/>
      </rPr>
      <t xml:space="preserve">，付費牆）</t>
    </r>
  </si>
  <si>
    <t xml:space="preserve">https://www.sacra.com/c/openai</t>
  </si>
  <si>
    <t xml:space="preserve">支出口徑</t>
  </si>
  <si>
    <t xml:space="preserve">洩漏財報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</si>
  <si>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130.7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cost of revenue 75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R&amp;D 191.8 </t>
    </r>
    <r>
      <rPr>
        <sz val="11"/>
        <color theme="1"/>
        <rFont val="Noto Sans CJK SC"/>
        <family val="2"/>
      </rPr>
      <t xml:space="preserve">億</t>
    </r>
  </si>
  <si>
    <t xml:space="preserve">2026-06</t>
  </si>
  <si>
    <t xml:space="preserve">洩漏文件經第三方</t>
  </si>
  <si>
    <t xml:space="preserve">https://techspot.com/news/112794-openai-made-13-billion-2025-lost-21-billion.html</t>
  </si>
  <si>
    <t xml:space="preserve">支出口徑衝突</t>
  </si>
  <si>
    <r>
      <rPr>
        <sz val="11"/>
        <color theme="1"/>
        <rFont val="Calibri"/>
        <family val="2"/>
        <charset val="1"/>
      </rPr>
      <t xml:space="preserve">Azure </t>
    </r>
    <r>
      <rPr>
        <sz val="11"/>
        <color theme="1"/>
        <rFont val="Noto Sans CJK SC"/>
        <family val="2"/>
      </rPr>
      <t xml:space="preserve">推論（洩漏）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</si>
  <si>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86.7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&gt; 84 </t>
    </r>
    <r>
      <rPr>
        <sz val="11"/>
        <color theme="1"/>
        <rFont val="Noto Sans CJK SC"/>
        <family val="2"/>
      </rPr>
      <t xml:space="preserve">億全年）；</t>
    </r>
    <r>
      <rPr>
        <sz val="11"/>
        <color theme="1"/>
        <rFont val="Calibri"/>
        <family val="2"/>
        <charset val="1"/>
      </rPr>
      <t xml:space="preserve">Microsoft </t>
    </r>
    <r>
      <rPr>
        <sz val="11"/>
        <color theme="1"/>
        <rFont val="Noto Sans CJK SC"/>
        <family val="2"/>
      </rPr>
      <t xml:space="preserve">稱不完全正確</t>
    </r>
  </si>
  <si>
    <t xml:space="preserve">2025-11</t>
  </si>
  <si>
    <t xml:space="preserve">洩漏文件經批評者</t>
  </si>
  <si>
    <t xml:space="preserve">https://wheresyoured.at/oai_docs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</si>
  <si>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26.27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2025-06</t>
    </r>
    <r>
      <rPr>
        <sz val="11"/>
        <color theme="1"/>
        <rFont val="Noto Sans CJK SC"/>
        <family val="2"/>
      </rPr>
      <t xml:space="preserve">，只含消費方案）；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</si>
  <si>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2025</t>
  </si>
  <si>
    <t xml:space="preserve">官方</t>
  </si>
  <si>
    <t xml:space="preserve">https://cdn.openai.com/pdf/a253471f-8260-40c6-a2cc-aa93fe9f142e/economic-research-chatgpt-usage-paper.pdf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</si>
  <si>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每分鐘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</si>
  <si>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2025-10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2026-03-31</t>
    </r>
    <r>
      <rPr>
        <sz val="11"/>
        <color theme="1"/>
        <rFont val="Noto Sans CJK SC"/>
        <family val="2"/>
      </rPr>
      <t xml:space="preserve">）</t>
    </r>
  </si>
  <si>
    <t xml:space="preserve">2025–2026</t>
  </si>
  <si>
    <t xml:space="preserve">https://openai.com/index/accelerating-the-next-phase-ai/</t>
  </si>
  <si>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全 </t>
    </r>
    <r>
      <rPr>
        <sz val="11"/>
        <color theme="1"/>
        <rFont val="Calibri"/>
        <family val="2"/>
        <charset val="1"/>
      </rPr>
      <t xml:space="preserve">OpenAI token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</si>
  <si>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19 </t>
    </r>
    <r>
      <rPr>
        <sz val="11"/>
        <color theme="1"/>
        <rFont val="Noto Sans CJK SC"/>
        <family val="2"/>
      </rPr>
      <t xml:space="preserve">兆／日（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）；每則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為假設</t>
    </r>
  </si>
  <si>
    <t xml:space="preserve">第三方</t>
  </si>
  <si>
    <t xml:space="preserve">https://epoch.ai/gradient-updates/how-many-digital-workers-could-openai-deploy</t>
  </si>
  <si>
    <t xml:space="preserve">需求對照（非獨立）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</si>
  <si>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每月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</si>
  <si>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980 </t>
    </r>
    <r>
      <rPr>
        <sz val="11"/>
        <color theme="1"/>
        <rFont val="Noto Sans CJK SC"/>
        <family val="2"/>
      </rPr>
      <t xml:space="preserve">兆（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1.3 </t>
    </r>
    <r>
      <rPr>
        <sz val="11"/>
        <color theme="1"/>
        <rFont val="Noto Sans CJK SC"/>
        <family val="2"/>
      </rPr>
      <t xml:space="preserve">千兆（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3.2 </t>
    </r>
    <r>
      <rPr>
        <sz val="11"/>
        <color theme="1"/>
        <rFont val="Noto Sans CJK SC"/>
        <family val="2"/>
      </rPr>
      <t xml:space="preserve">千兆（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）</t>
    </r>
  </si>
  <si>
    <t xml:space="preserve">https://blog.google/innovation-and-ai/sundar-pichai-io-2026/</t>
  </si>
  <si>
    <t xml:space="preserve">產業對照</t>
  </si>
  <si>
    <t xml:space="preserve">Codex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</si>
  <si>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天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兆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兆／日）</t>
    </r>
  </si>
  <si>
    <t xml:space="preserve">2025-10</t>
  </si>
  <si>
    <r>
      <rPr>
        <sz val="11"/>
        <color theme="1"/>
        <rFont val="Noto Sans CJK SC"/>
        <family val="2"/>
      </rPr>
      <t xml:space="preserve">官方（</t>
    </r>
    <r>
      <rPr>
        <sz val="11"/>
        <color theme="1"/>
        <rFont val="Calibri"/>
        <family val="2"/>
        <charset val="1"/>
      </rPr>
      <t xml:space="preserve">DevDay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彙整）</t>
    </r>
  </si>
  <si>
    <t xml:space="preserve">https://epoch.ai/data/ai_companies_usage_reports.csv</t>
  </si>
  <si>
    <t xml:space="preserve">需求未計項</t>
  </si>
  <si>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Noto Sans CJK SC"/>
        <family val="2"/>
      </rPr>
      <t xml:space="preserve">生產吞吐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</si>
  <si>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H800 </t>
    </r>
    <r>
      <rPr>
        <sz val="11"/>
        <color theme="1"/>
        <rFont val="Noto Sans CJK SC"/>
        <family val="2"/>
      </rPr>
      <t xml:space="preserve">節點輸入 </t>
    </r>
    <r>
      <rPr>
        <sz val="11"/>
        <color theme="1"/>
        <rFont val="Calibri"/>
        <family val="2"/>
        <charset val="1"/>
      </rPr>
      <t xml:space="preserve">73.7k</t>
    </r>
    <r>
      <rPr>
        <sz val="11"/>
        <color theme="1"/>
        <rFont val="Noto Sans CJK SC"/>
        <family val="2"/>
      </rPr>
      <t xml:space="preserve">、輸出 </t>
    </r>
    <r>
      <rPr>
        <sz val="11"/>
        <color theme="1"/>
        <rFont val="Calibri"/>
        <family val="2"/>
        <charset val="1"/>
      </rPr>
      <t xml:space="preserve">14.8k tok/s</t>
    </r>
    <r>
      <rPr>
        <sz val="11"/>
        <color theme="1"/>
        <rFont val="Noto Sans CJK SC"/>
        <family val="2"/>
      </rPr>
      <t xml:space="preserve">（服務期間）；全日平均：輸出約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、總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45%</t>
    </r>
  </si>
  <si>
    <t xml:space="preserve">2025-02-28</t>
  </si>
  <si>
    <t xml:space="preserve">官方自報</t>
  </si>
  <si>
    <t xml:space="preserve">https://github.com/deepseek-ai/open-infra-index</t>
  </si>
  <si>
    <t xml:space="preserve">吞吐、利用率</t>
  </si>
  <si>
    <t xml:space="preserve">MLPerf DeepSeek-R1</t>
  </si>
  <si>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4,024 </t>
    </r>
    <r>
      <rPr>
        <sz val="11"/>
        <color theme="1"/>
        <rFont val="Noto Sans CJK SC"/>
        <family val="2"/>
      </rPr>
      <t xml:space="preserve">離線／</t>
    </r>
    <r>
      <rPr>
        <sz val="11"/>
        <color theme="1"/>
        <rFont val="Calibri"/>
        <family val="2"/>
        <charset val="1"/>
      </rPr>
      <t xml:space="preserve">2,327 Server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v5.1</t>
    </r>
    <r>
      <rPr>
        <sz val="11"/>
        <color theme="1"/>
        <rFont val="Noto Sans CJK SC"/>
        <family val="2"/>
      </rPr>
      <t xml:space="preserve">）</t>
    </r>
  </si>
  <si>
    <t xml:space="preserve">2025-09-09</t>
  </si>
  <si>
    <r>
      <rPr>
        <sz val="11"/>
        <color theme="1"/>
        <rFont val="Noto Sans CJK SC"/>
        <family val="2"/>
      </rPr>
      <t xml:space="preserve">廠商（</t>
    </r>
    <r>
      <rPr>
        <sz val="11"/>
        <color theme="1"/>
        <rFont val="Calibri"/>
        <family val="2"/>
        <charset val="1"/>
      </rPr>
      <t xml:space="preserve">MLCommons </t>
    </r>
    <r>
      <rPr>
        <sz val="11"/>
        <color theme="1"/>
        <rFont val="Noto Sans CJK SC"/>
        <family val="2"/>
      </rPr>
      <t xml:space="preserve">結果）</t>
    </r>
  </si>
  <si>
    <t xml:space="preserve">https://developer.nvidia.com/blog/</t>
  </si>
  <si>
    <t xml:space="preserve">吞吐</t>
  </si>
  <si>
    <t xml:space="preserve">LMSYS H100</t>
  </si>
  <si>
    <r>
      <rPr>
        <sz val="11"/>
        <color theme="1"/>
        <rFont val="Calibri"/>
        <family val="2"/>
        <charset val="1"/>
      </rPr>
      <t xml:space="preserve">DeepSeek 96×H100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2.8k </t>
    </r>
    <r>
      <rPr>
        <sz val="11"/>
        <color theme="1"/>
        <rFont val="Noto Sans CJK SC"/>
        <family val="2"/>
      </rPr>
      <t xml:space="preserve">輸出＋</t>
    </r>
    <r>
      <rPr>
        <sz val="11"/>
        <color theme="1"/>
        <rFont val="Calibri"/>
        <family val="2"/>
        <charset val="1"/>
      </rPr>
      <t xml:space="preserve">6.5k </t>
    </r>
    <r>
      <rPr>
        <sz val="11"/>
        <color theme="1"/>
        <rFont val="Noto Sans CJK SC"/>
        <family val="2"/>
      </rPr>
      <t xml:space="preserve">輸入（</t>
    </r>
    <r>
      <rPr>
        <sz val="11"/>
        <color theme="1"/>
        <rFont val="Calibri"/>
        <family val="2"/>
        <charset val="1"/>
      </rPr>
      <t xml:space="preserve">ISL 2,000</t>
    </r>
    <r>
      <rPr>
        <sz val="11"/>
        <color theme="1"/>
        <rFont val="Noto Sans CJK SC"/>
        <family val="2"/>
      </rPr>
      <t xml:space="preserve">）</t>
    </r>
  </si>
  <si>
    <t xml:space="preserve">2025-05-05</t>
  </si>
  <si>
    <t xml:space="preserve">開源框架自測</t>
  </si>
  <si>
    <t xml:space="preserve">https://lmsys.org/blog/2025-05-05-large-scale-ep/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</si>
  <si>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合約（計價倍數）</t>
    </r>
  </si>
  <si>
    <r>
      <rPr>
        <sz val="11"/>
        <color theme="1"/>
        <rFont val="Calibri"/>
        <family val="2"/>
        <charset val="1"/>
      </rPr>
      <t xml:space="preserve">Microsoft–IREN GB300 200 MW IT</t>
    </r>
    <r>
      <rPr>
        <sz val="11"/>
        <color theme="1"/>
        <rFont val="Noto Sans CJK SC"/>
        <family val="2"/>
      </rPr>
      <t xml:space="preserve">、五年 </t>
    </r>
    <r>
      <rPr>
        <sz val="11"/>
        <color theme="1"/>
        <rFont val="Calibri"/>
        <family val="2"/>
        <charset val="1"/>
      </rPr>
      <t xml:space="preserve">97 </t>
    </r>
    <r>
      <rPr>
        <sz val="11"/>
        <color theme="1"/>
        <rFont val="Noto Sans CJK SC"/>
        <family val="2"/>
      </rPr>
      <t xml:space="preserve">億 → 對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持有成本約 </t>
    </r>
    <r>
      <rPr>
        <sz val="11"/>
        <color theme="1"/>
        <rFont val="Calibri"/>
        <family val="2"/>
        <charset val="1"/>
      </rPr>
      <t xml:space="preserve">0.89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</si>
  <si>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Noto Sans CJK SC"/>
        <family val="2"/>
      </rPr>
      <t xml:space="preserve">官方（</t>
    </r>
    <r>
      <rPr>
        <sz val="11"/>
        <color theme="1"/>
        <rFont val="Calibri"/>
        <family val="2"/>
        <charset val="1"/>
      </rPr>
      <t xml:space="preserve">SEC 8-K</t>
    </r>
    <r>
      <rPr>
        <sz val="11"/>
        <color theme="1"/>
        <rFont val="Noto Sans CJK SC"/>
        <family val="2"/>
      </rPr>
      <t xml:space="preserve">），經回本側證據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</t>
    </r>
  </si>
  <si>
    <t xml:space="preserve">https://github.com/YinchenChang/Tokenomics/pull/136</t>
  </si>
  <si>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序列長度</t>
    </r>
  </si>
  <si>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prompt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1.5K → 6K+</t>
    </r>
    <r>
      <rPr>
        <sz val="11"/>
        <color theme="1"/>
        <rFont val="Noto Sans CJK SC"/>
        <family val="2"/>
      </rPr>
      <t xml:space="preserve">；序列總長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末逾 </t>
    </r>
    <r>
      <rPr>
        <sz val="11"/>
        <color theme="1"/>
        <rFont val="Calibri"/>
        <family val="2"/>
        <charset val="1"/>
      </rPr>
      <t xml:space="preserve">5,400</t>
    </r>
  </si>
  <si>
    <r>
      <rPr>
        <sz val="11"/>
        <color theme="1"/>
        <rFont val="Noto Sans CJK SC"/>
        <family val="2"/>
      </rPr>
      <t xml:space="preserve">第三方（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平台）</t>
    </r>
  </si>
  <si>
    <t xml:space="preserve">https://arxiv.org/html/2601.10088v1</t>
  </si>
  <si>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</si>
  <si>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藍字可改；其餘為公式。問：在各「服務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」下，需求面要多大才閉合？</t>
    </r>
  </si>
  <si>
    <t xml:space="preserve">輸入</t>
  </si>
  <si>
    <r>
      <rPr>
        <sz val="11"/>
        <color theme="1"/>
        <rFont val="Noto Sans CJK SC"/>
        <family val="2"/>
      </rPr>
      <t xml:space="preserve">模型服務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</si>
  <si>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模型供給付費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</si>
  <si>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付費 </t>
    </r>
    <r>
      <rPr>
        <sz val="11"/>
        <color theme="1"/>
        <rFont val="Calibri"/>
        <family val="2"/>
        <charset val="1"/>
      </rPr>
      <t xml:space="preserve">token</t>
    </r>
  </si>
  <si>
    <t xml:space="preserve">Verified × Assumed</t>
  </si>
  <si>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等未計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（付費部分）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</si>
  <si>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0–7.3E8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</si>
  <si>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</si>
  <si>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Noto Sans CJK SC"/>
        <family val="2"/>
      </rPr>
      <t xml:space="preserve">付費占比（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</si>
  <si>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</si>
  <si>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b val="true"/>
        <sz val="11"/>
        <rFont val="Noto Sans CJK SC"/>
        <family val="2"/>
      </rPr>
      <t xml:space="preserve">外部服務 </t>
    </r>
    <r>
      <rPr>
        <b val="true"/>
        <sz val="11"/>
        <rFont val="Cambria"/>
        <family val="0"/>
        <charset val="1"/>
      </rPr>
      <t xml:space="preserve">GW</t>
    </r>
  </si>
  <si>
    <r>
      <rPr>
        <b val="true"/>
        <sz val="11"/>
        <rFont val="Noto Sans CJK SC"/>
        <family val="2"/>
      </rPr>
      <t xml:space="preserve">供給（按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比例）</t>
    </r>
  </si>
  <si>
    <r>
      <rPr>
        <b val="true"/>
        <sz val="11"/>
        <rFont val="Noto Sans CJK SC"/>
        <family val="2"/>
      </rPr>
      <t xml:space="preserve">殘差倍數（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現行需求 </t>
    </r>
    <r>
      <rPr>
        <b val="true"/>
        <sz val="11"/>
        <rFont val="Cambria"/>
        <family val="0"/>
        <charset val="1"/>
      </rPr>
      <t xml:space="preserve">3.825E9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</si>
  <si>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閉合所需每則 </t>
    </r>
    <r>
      <rPr>
        <b val="true"/>
        <sz val="11"/>
        <rFont val="Cambria"/>
        <family val="0"/>
        <charset val="1"/>
      </rPr>
      <t xml:space="preserve">token</t>
    </r>
  </si>
  <si>
    <r>
      <rPr>
        <b val="true"/>
        <sz val="11"/>
        <rFont val="Noto Sans CJK SC"/>
        <family val="2"/>
      </rPr>
      <t xml:space="preserve">對照：現行 </t>
    </r>
    <r>
      <rPr>
        <b val="true"/>
        <sz val="11"/>
        <rFont val="Cambria"/>
        <family val="0"/>
        <charset val="1"/>
      </rPr>
      <t xml:space="preserve">4,000 </t>
    </r>
    <r>
      <rPr>
        <b val="true"/>
        <sz val="11"/>
        <rFont val="Noto Sans CJK SC"/>
        <family val="2"/>
      </rPr>
      <t xml:space="preserve">的倍數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</si>
  <si>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0.66 GW </t>
    </r>
    <r>
      <rPr>
        <sz val="11"/>
        <color theme="1"/>
        <rFont val="Noto Sans CJK SC"/>
        <family val="2"/>
      </rPr>
      <t xml:space="preserve">時，若殘差全由每則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吸收，需每則約 </t>
    </r>
    <r>
      <rPr>
        <sz val="11"/>
        <color theme="1"/>
        <rFont val="Calibri"/>
        <family val="2"/>
        <charset val="1"/>
      </rPr>
      <t xml:space="preserve">2.9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（付費占比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）；付費占比改 </t>
    </r>
    <r>
      <rPr>
        <sz val="11"/>
        <color theme="1"/>
        <rFont val="Calibri"/>
        <family val="2"/>
        <charset val="1"/>
      </rPr>
      <t xml:space="preserve">0.6 </t>
    </r>
    <r>
      <rPr>
        <sz val="11"/>
        <color theme="1"/>
        <rFont val="Noto Sans CJK SC"/>
        <family val="2"/>
      </rPr>
      <t xml:space="preserve">時約 </t>
    </r>
    <r>
      <rPr>
        <sz val="11"/>
        <color theme="1"/>
        <rFont val="Calibri"/>
        <family val="2"/>
        <charset val="1"/>
      </rPr>
      <t xml:space="preserve">2.0 </t>
    </r>
    <r>
      <rPr>
        <sz val="11"/>
        <color theme="1"/>
        <rFont val="Noto Sans CJK SC"/>
        <family val="2"/>
      </rPr>
      <t xml:space="preserve">萬。也可由利用率或支出口徑（</t>
    </r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億含非營收用途）分擔；現有資料無法分離。</t>
    </r>
  </si>
  <si>
    <r>
      <rPr>
        <b val="true"/>
        <sz val="11"/>
        <rFont val="Noto Sans CJK SC"/>
        <family val="2"/>
      </rPr>
      <t xml:space="preserve">待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判斷（附預設）</t>
    </r>
  </si>
  <si>
    <t xml:space="preserve">預設</t>
  </si>
  <si>
    <t xml:space="preserve">替代</t>
  </si>
  <si>
    <t xml:space="preserve">Q1</t>
  </si>
  <si>
    <r>
      <rPr>
        <sz val="11"/>
        <color theme="1"/>
        <rFont val="Noto Sans CJK SC"/>
        <family val="2"/>
      </rPr>
      <t xml:space="preserve">計價倍數：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證據隱含約 </t>
    </r>
    <r>
      <rPr>
        <sz val="11"/>
        <color theme="1"/>
        <rFont val="Calibri"/>
        <family val="2"/>
        <charset val="1"/>
      </rPr>
      <t xml:space="preserve">1.3–1.4</t>
    </r>
    <r>
      <rPr>
        <sz val="11"/>
        <color theme="1"/>
        <rFont val="Noto Sans CJK SC"/>
        <family val="2"/>
      </rPr>
      <t xml:space="preserve">，回本側證據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0.89</t>
    </r>
    <r>
      <rPr>
        <sz val="11"/>
        <color theme="1"/>
        <rFont val="Noto Sans CJK SC"/>
        <family val="2"/>
      </rPr>
      <t xml:space="preserve">，兩者衝突（差在「每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持有成本」還是「倍數」本身）</t>
    </r>
  </si>
  <si>
    <r>
      <rPr>
        <sz val="11"/>
        <color theme="1"/>
        <rFont val="Noto Sans CJK SC"/>
        <family val="2"/>
      </rPr>
      <t xml:space="preserve">暫不改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；下一步查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持有成本（</t>
    </r>
    <r>
      <rPr>
        <sz val="11"/>
        <color theme="1"/>
        <rFont val="Calibri"/>
        <family val="2"/>
        <charset val="1"/>
      </rPr>
      <t xml:space="preserve">9.35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年價 </t>
    </r>
    <r>
      <rPr>
        <sz val="11"/>
        <color theme="1"/>
        <rFont val="Calibri"/>
        <family val="2"/>
        <charset val="1"/>
      </rPr>
      <t xml:space="preserve">12–12.8 </t>
    </r>
    <r>
      <rPr>
        <sz val="11"/>
        <color theme="1"/>
        <rFont val="Noto Sans CJK SC"/>
        <family val="2"/>
      </rPr>
      <t xml:space="preserve">的口徑差（是否含網路、儲存、電力、廠房、利潤）</t>
    </r>
  </si>
  <si>
    <r>
      <rPr>
        <sz val="11"/>
        <color theme="1"/>
        <rFont val="Noto Sans CJK SC"/>
        <family val="2"/>
      </rPr>
      <t xml:space="preserve">基準改 </t>
    </r>
    <r>
      <rPr>
        <sz val="11"/>
        <color theme="1"/>
        <rFont val="Calibri"/>
        <family val="2"/>
        <charset val="1"/>
      </rPr>
      <t xml:space="preserve">1.3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0.85–1.5</t>
    </r>
  </si>
  <si>
    <t xml:space="preserve">Q2</t>
  </si>
  <si>
    <r>
      <rPr>
        <sz val="11"/>
        <color theme="1"/>
        <rFont val="Noto Sans CJK SC"/>
        <family val="2"/>
      </rPr>
      <t xml:space="preserve">服務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校準：是否新增「外部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對照」列（官方 </t>
    </r>
    <r>
      <rPr>
        <sz val="11"/>
        <color theme="1"/>
        <rFont val="Calibri"/>
        <family val="2"/>
        <charset val="1"/>
      </rPr>
      <t xml:space="preserve">0.6→1.9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 </t>
    </r>
    <r>
      <rPr>
        <sz val="11"/>
        <color theme="1"/>
        <rFont val="Noto Sans CJK SC"/>
        <family val="2"/>
      </rPr>
      <t xml:space="preserve">各半）作為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帳的第二錨點</t>
    </r>
  </si>
  <si>
    <t xml:space="preserve">新增，作對照、不驅動</t>
  </si>
  <si>
    <t xml:space="preserve">不新增</t>
  </si>
  <si>
    <t xml:space="preserve">Q3</t>
  </si>
  <si>
    <r>
      <rPr>
        <sz val="11"/>
        <color theme="1"/>
        <rFont val="Noto Sans CJK SC"/>
        <family val="2"/>
      </rPr>
      <t xml:space="preserve">需求面：每則 </t>
    </r>
    <r>
      <rPr>
        <sz val="11"/>
        <color theme="1"/>
        <rFont val="Calibri"/>
        <family val="2"/>
        <charset val="1"/>
      </rPr>
      <t xml:space="preserve">token 4,000 </t>
    </r>
    <r>
      <rPr>
        <sz val="11"/>
        <color theme="1"/>
        <rFont val="Noto Sans CJK SC"/>
        <family val="2"/>
      </rPr>
      <t xml:space="preserve">是否改為區間情境（</t>
    </r>
    <r>
      <rPr>
        <sz val="11"/>
        <color theme="1"/>
        <rFont val="Calibri"/>
        <family val="2"/>
        <charset val="1"/>
      </rPr>
      <t xml:space="preserve">4,000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30,000</t>
    </r>
    <r>
      <rPr>
        <sz val="11"/>
        <color theme="1"/>
        <rFont val="Noto Sans CJK SC"/>
        <family val="2"/>
      </rPr>
      <t xml:space="preserve">）並加 </t>
    </r>
    <r>
      <rPr>
        <sz val="11"/>
        <color theme="1"/>
        <rFont val="Calibri"/>
        <family val="2"/>
        <charset val="1"/>
      </rPr>
      <t xml:space="preserve">Codex</t>
    </r>
    <r>
      <rPr>
        <sz val="11"/>
        <color theme="1"/>
        <rFont val="Noto Sans CJK SC"/>
        <family val="2"/>
      </rPr>
      <t xml:space="preserve">、企業訊息兩個未計項</t>
    </r>
  </si>
  <si>
    <r>
      <rPr>
        <sz val="11"/>
        <color theme="1"/>
        <rFont val="Noto Sans CJK SC"/>
        <family val="2"/>
      </rPr>
      <t xml:space="preserve">下一版加為對照列，基準不改，直到找到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的獨立證據</t>
    </r>
  </si>
  <si>
    <t xml:space="preserve">直接改基準</t>
  </si>
  <si>
    <t xml:space="preserve">Q4</t>
  </si>
  <si>
    <r>
      <rPr>
        <sz val="11"/>
        <color theme="1"/>
        <rFont val="Calibri"/>
        <family val="2"/>
        <charset val="1"/>
      </rPr>
      <t xml:space="preserve">v18.0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L1_RevGW_PQ_VR200 </t>
    </r>
    <r>
      <rPr>
        <sz val="11"/>
        <color theme="1"/>
        <rFont val="Noto Sans CJK SC"/>
        <family val="2"/>
      </rPr>
      <t xml:space="preserve">是否加註「殘差未分配：若殘差在利用率，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應下修」</t>
    </r>
  </si>
  <si>
    <t xml:space="preserve">加註（文字）</t>
  </si>
  <si>
    <t xml:space="preserve">不加</t>
  </si>
  <si>
    <t xml:space="preserve">已搜尋，未找到</t>
  </si>
  <si>
    <t xml:space="preserve">N1</t>
  </si>
  <si>
    <r>
      <rPr>
        <sz val="11"/>
        <color theme="1"/>
        <rFont val="Calibri"/>
        <family val="2"/>
        <charset val="1"/>
      </rPr>
      <t xml:space="preserve">OpenAI 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各季上線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；官方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</t>
    </r>
  </si>
  <si>
    <t xml:space="preserve">N2</t>
  </si>
  <si>
    <r>
      <rPr>
        <sz val="11"/>
        <color theme="1"/>
        <rFont val="Calibri"/>
        <family val="2"/>
        <charset val="1"/>
      </rPr>
      <t xml:space="preserve">84 </t>
    </r>
    <r>
      <rPr>
        <sz val="11"/>
        <color theme="1"/>
        <rFont val="Noto Sans CJK SC"/>
        <family val="2"/>
      </rPr>
      <t xml:space="preserve">億推論支出的明文定義（是否含免費、內部、</t>
    </r>
    <r>
      <rPr>
        <sz val="11"/>
        <color theme="1"/>
        <rFont val="Calibri"/>
        <family val="2"/>
        <charset val="1"/>
      </rPr>
      <t xml:space="preserve">RL rollout</t>
    </r>
    <r>
      <rPr>
        <sz val="11"/>
        <color theme="1"/>
        <rFont val="Noto Sans CJK SC"/>
        <family val="2"/>
      </rPr>
      <t xml:space="preserve">、合成資料、評測）</t>
    </r>
  </si>
  <si>
    <t xml:space="preserve">N3</t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</si>
  <si>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Azure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的實付單價</t>
    </r>
  </si>
  <si>
    <t xml:space="preserve">N4</t>
  </si>
  <si>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每則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（輸入／輸出／推理拆分）；付費／免費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占比</t>
    </r>
  </si>
  <si>
    <t xml:space="preserve">N5</t>
  </si>
  <si>
    <r>
      <rPr>
        <sz val="11"/>
        <color theme="1"/>
        <rFont val="Calibri"/>
        <family val="2"/>
        <charset val="1"/>
      </rPr>
      <t xml:space="preserve">2025-07 </t>
    </r>
    <r>
      <rPr>
        <sz val="11"/>
        <color theme="1"/>
        <rFont val="Noto Sans CJK SC"/>
        <family val="2"/>
      </rPr>
      <t xml:space="preserve">之後的 </t>
    </r>
    <r>
      <rPr>
        <sz val="11"/>
        <color theme="1"/>
        <rFont val="Calibri"/>
        <family val="2"/>
        <charset val="1"/>
      </rPr>
      <t xml:space="preserve">ChatGPT </t>
    </r>
    <r>
      <rPr>
        <sz val="11"/>
        <color theme="1"/>
        <rFont val="Noto Sans CJK SC"/>
        <family val="2"/>
      </rPr>
      <t xml:space="preserve">每日訊息數；</t>
    </r>
    <r>
      <rPr>
        <sz val="11"/>
        <color theme="1"/>
        <rFont val="Calibri"/>
        <family val="2"/>
        <charset val="1"/>
      </rPr>
      <t xml:space="preserve">Codex </t>
    </r>
    <r>
      <rPr>
        <sz val="11"/>
        <color theme="1"/>
        <rFont val="Noto Sans CJK SC"/>
        <family val="2"/>
      </rPr>
      <t xml:space="preserve">絕對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日量</t>
    </r>
  </si>
  <si>
    <t xml:space="preserve">N6</t>
  </si>
  <si>
    <r>
      <rPr>
        <sz val="11"/>
        <color theme="1"/>
        <rFont val="Noto Sans CJK SC"/>
        <family val="2"/>
      </rPr>
      <t xml:space="preserve">啟用約 </t>
    </r>
    <r>
      <rPr>
        <sz val="11"/>
        <color theme="1"/>
        <rFont val="Calibri"/>
        <family val="2"/>
        <charset val="1"/>
      </rPr>
      <t xml:space="preserve">100B </t>
    </r>
    <r>
      <rPr>
        <sz val="11"/>
        <color theme="1"/>
        <rFont val="Noto Sans CJK SC"/>
        <family val="2"/>
      </rPr>
      <t xml:space="preserve">級 </t>
    </r>
    <r>
      <rPr>
        <sz val="11"/>
        <color theme="1"/>
        <rFont val="Calibri"/>
        <family val="2"/>
        <charset val="1"/>
      </rPr>
      <t xml:space="preserve">MoE </t>
    </r>
    <r>
      <rPr>
        <sz val="11"/>
        <color theme="1"/>
        <rFont val="Noto Sans CJK SC"/>
        <family val="2"/>
      </rPr>
      <t xml:space="preserve">的公開吞吐；</t>
    </r>
    <r>
      <rPr>
        <sz val="11"/>
        <color theme="1"/>
        <rFont val="Calibri"/>
        <family val="2"/>
        <charset val="1"/>
      </rPr>
      <t xml:space="preserve">DeepSeek </t>
    </r>
    <r>
      <rPr>
        <sz val="11"/>
        <color theme="1"/>
        <rFont val="Noto Sans CJK SC"/>
        <family val="2"/>
      </rPr>
      <t xml:space="preserve">以外的生產利用率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</si>
</sst>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95.5" hidden="false" customHeight="false" outlineLevel="0" collapsed="false">
      <c r="A1" s="1" t="s">
        <v>0</v>
      </c>
      <c r="B1" s="2"/>
    </row>
    <row r="2" customFormat="false" ht="64.15" hidden="false" customHeight="false" outlineLevel="0" collapsed="false">
      <c r="A2" s="3" t="s">
        <v>1</v>
      </c>
      <c r="B2" s="2"/>
    </row>
    <row r="3" customFormat="false" ht="15" hidden="false" customHeight="false" outlineLevel="0" collapsed="false">
      <c r="A3" s="2"/>
      <c r="B3" s="2"/>
    </row>
    <row r="4" customFormat="false" ht="17.15" hidden="false" customHeight="false" outlineLevel="0" collapsed="false">
      <c r="A4" s="4" t="s">
        <v>2</v>
      </c>
      <c r="B4" s="3" t="s">
        <v>3</v>
      </c>
    </row>
    <row r="5" customFormat="false" ht="64.15" hidden="false" customHeight="false" outlineLevel="0" collapsed="false">
      <c r="A5" s="4" t="s">
        <v>4</v>
      </c>
      <c r="B5" s="3" t="s">
        <v>5</v>
      </c>
    </row>
    <row r="6" customFormat="false" ht="64.15" hidden="false" customHeight="false" outlineLevel="0" collapsed="false">
      <c r="A6" s="4" t="s">
        <v>6</v>
      </c>
      <c r="B6" s="3" t="s">
        <v>7</v>
      </c>
    </row>
    <row r="7" customFormat="false" ht="48.5" hidden="false" customHeight="false" outlineLevel="0" collapsed="false">
      <c r="A7" s="4" t="s">
        <v>8</v>
      </c>
      <c r="B7" s="2" t="s">
        <v>9</v>
      </c>
    </row>
    <row r="8" customFormat="false" ht="32.8" hidden="false" customHeight="false" outlineLevel="0" collapsed="false">
      <c r="A8" s="4" t="s">
        <v>10</v>
      </c>
      <c r="B8" s="3" t="s">
        <v>11</v>
      </c>
    </row>
    <row r="9" customFormat="false" ht="48.5" hidden="false" customHeight="false" outlineLevel="0" collapsed="false">
      <c r="A9" s="4" t="s">
        <v>12</v>
      </c>
      <c r="B9" s="2" t="s">
        <v>13</v>
      </c>
    </row>
    <row r="10" customFormat="false" ht="32.8" hidden="false" customHeight="false" outlineLevel="0" collapsed="false">
      <c r="A10" s="4" t="s">
        <v>14</v>
      </c>
      <c r="B10" s="3" t="s">
        <v>15</v>
      </c>
    </row>
    <row r="11" customFormat="false" ht="15" hidden="false" customHeight="false" outlineLevel="0" collapsed="false">
      <c r="A11" s="2"/>
      <c r="B11" s="2"/>
    </row>
    <row r="12" customFormat="false" ht="17.15" hidden="false" customHeight="false" outlineLevel="0" collapsed="false">
      <c r="A12" s="3" t="s">
        <v>16</v>
      </c>
      <c r="B12" s="3" t="s">
        <v>17</v>
      </c>
    </row>
    <row r="13" customFormat="false" ht="48.5" hidden="false" customHeight="false" outlineLevel="0" collapsed="false">
      <c r="A13" s="3" t="s">
        <v>18</v>
      </c>
      <c r="B1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8"/>
  </cols>
  <sheetData>
    <row r="1" customFormat="false" ht="32.8" hidden="false" customHeight="fals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</row>
    <row r="2" customFormat="false" ht="32.8" hidden="false" customHeight="false" outlineLevel="0" collapsed="false">
      <c r="A2" s="3" t="s">
        <v>28</v>
      </c>
      <c r="B2" s="3" t="s">
        <v>29</v>
      </c>
      <c r="C2" s="2" t="n">
        <v>8.4</v>
      </c>
      <c r="D2" s="2" t="s">
        <v>30</v>
      </c>
      <c r="E2" s="2" t="s">
        <v>31</v>
      </c>
      <c r="F2" s="2" t="s">
        <v>32</v>
      </c>
      <c r="G2" s="3" t="s">
        <v>33</v>
      </c>
      <c r="H2" s="2" t="s">
        <v>34</v>
      </c>
    </row>
    <row r="3" customFormat="false" ht="32.8" hidden="false" customHeight="false" outlineLevel="0" collapsed="false">
      <c r="A3" s="3" t="s">
        <v>28</v>
      </c>
      <c r="B3" s="3" t="s">
        <v>35</v>
      </c>
      <c r="C3" s="2" t="n">
        <v>9.353</v>
      </c>
      <c r="D3" s="2" t="s">
        <v>36</v>
      </c>
      <c r="E3" s="2" t="s">
        <v>37</v>
      </c>
      <c r="F3" s="2" t="s">
        <v>38</v>
      </c>
      <c r="G3" s="2" t="s">
        <v>34</v>
      </c>
      <c r="H3" s="2" t="s">
        <v>34</v>
      </c>
    </row>
    <row r="4" customFormat="false" ht="48.5" hidden="false" customHeight="false" outlineLevel="0" collapsed="false">
      <c r="A4" s="3" t="s">
        <v>28</v>
      </c>
      <c r="B4" s="3" t="s">
        <v>39</v>
      </c>
      <c r="C4" s="2" t="n">
        <v>0.85</v>
      </c>
      <c r="D4" s="2" t="s">
        <v>40</v>
      </c>
      <c r="E4" s="2" t="s">
        <v>41</v>
      </c>
      <c r="F4" s="2" t="s">
        <v>42</v>
      </c>
      <c r="G4" s="2" t="s">
        <v>43</v>
      </c>
      <c r="H4" s="2" t="s">
        <v>34</v>
      </c>
    </row>
    <row r="5" customFormat="false" ht="17.15" hidden="false" customHeight="false" outlineLevel="0" collapsed="false">
      <c r="A5" s="3" t="s">
        <v>28</v>
      </c>
      <c r="B5" s="3" t="s">
        <v>44</v>
      </c>
      <c r="C5" s="2" t="n">
        <v>1.057</v>
      </c>
      <c r="D5" s="2" t="s">
        <v>45</v>
      </c>
      <c r="E5" s="2" t="s">
        <v>37</v>
      </c>
      <c r="F5" s="2" t="s">
        <v>46</v>
      </c>
      <c r="G5" s="3" t="s">
        <v>47</v>
      </c>
      <c r="H5" s="2" t="s">
        <v>48</v>
      </c>
    </row>
    <row r="6" customFormat="false" ht="32.8" hidden="false" customHeight="false" outlineLevel="0" collapsed="false">
      <c r="A6" s="3" t="s">
        <v>28</v>
      </c>
      <c r="B6" s="3" t="s">
        <v>49</v>
      </c>
      <c r="C6" s="2" t="n">
        <v>56800000000</v>
      </c>
      <c r="D6" s="2" t="s">
        <v>50</v>
      </c>
      <c r="E6" s="2" t="s">
        <v>51</v>
      </c>
      <c r="F6" s="2" t="s">
        <v>52</v>
      </c>
      <c r="G6" s="3" t="s">
        <v>53</v>
      </c>
      <c r="H6" s="2" t="s">
        <v>54</v>
      </c>
    </row>
    <row r="7" customFormat="false" ht="32.8" hidden="false" customHeight="false" outlineLevel="0" collapsed="false">
      <c r="A7" s="3" t="s">
        <v>28</v>
      </c>
      <c r="B7" s="3" t="s">
        <v>55</v>
      </c>
      <c r="C7" s="2" t="n">
        <v>0.3485</v>
      </c>
      <c r="D7" s="2" t="s">
        <v>40</v>
      </c>
      <c r="E7" s="2" t="s">
        <v>56</v>
      </c>
      <c r="F7" s="2" t="s">
        <v>57</v>
      </c>
      <c r="G7" s="2" t="s">
        <v>58</v>
      </c>
      <c r="H7" s="3" t="s">
        <v>59</v>
      </c>
    </row>
    <row r="8" customFormat="false" ht="17.15" hidden="false" customHeight="false" outlineLevel="0" collapsed="false">
      <c r="A8" s="3" t="s">
        <v>28</v>
      </c>
      <c r="B8" s="3" t="s">
        <v>60</v>
      </c>
      <c r="C8" s="2" t="n">
        <v>20900000000</v>
      </c>
      <c r="D8" s="2" t="s">
        <v>61</v>
      </c>
      <c r="E8" s="2" t="s">
        <v>37</v>
      </c>
      <c r="F8" s="2" t="s">
        <v>62</v>
      </c>
      <c r="G8" s="2" t="s">
        <v>34</v>
      </c>
      <c r="H8" s="2" t="s">
        <v>34</v>
      </c>
    </row>
    <row r="9" customFormat="false" ht="32.8" hidden="false" customHeight="false" outlineLevel="0" collapsed="false">
      <c r="A9" s="3" t="s">
        <v>63</v>
      </c>
      <c r="B9" s="2" t="s">
        <v>64</v>
      </c>
      <c r="C9" s="2" t="n">
        <v>2.5</v>
      </c>
      <c r="D9" s="2" t="s">
        <v>65</v>
      </c>
      <c r="E9" s="2" t="s">
        <v>66</v>
      </c>
      <c r="F9" s="2" t="s">
        <v>67</v>
      </c>
      <c r="G9" s="2" t="s">
        <v>68</v>
      </c>
      <c r="H9" s="3" t="s">
        <v>69</v>
      </c>
    </row>
    <row r="10" customFormat="false" ht="64.15" hidden="false" customHeight="false" outlineLevel="0" collapsed="false">
      <c r="A10" s="3" t="s">
        <v>63</v>
      </c>
      <c r="B10" s="3" t="s">
        <v>70</v>
      </c>
      <c r="C10" s="2" t="n">
        <v>4000</v>
      </c>
      <c r="D10" s="2" t="s">
        <v>71</v>
      </c>
      <c r="E10" s="2" t="s">
        <v>72</v>
      </c>
      <c r="F10" s="2" t="s">
        <v>73</v>
      </c>
      <c r="G10" s="3" t="s">
        <v>74</v>
      </c>
      <c r="H10" s="3" t="s">
        <v>75</v>
      </c>
    </row>
    <row r="11" customFormat="false" ht="17.15" hidden="false" customHeight="false" outlineLevel="0" collapsed="false">
      <c r="A11" s="3" t="s">
        <v>63</v>
      </c>
      <c r="B11" s="3" t="s">
        <v>76</v>
      </c>
      <c r="C11" s="2" t="n">
        <v>0.4</v>
      </c>
      <c r="D11" s="2" t="s">
        <v>77</v>
      </c>
      <c r="E11" s="2" t="s">
        <v>78</v>
      </c>
      <c r="F11" s="2" t="s">
        <v>79</v>
      </c>
      <c r="G11" s="3" t="s">
        <v>80</v>
      </c>
      <c r="H11" s="3" t="s">
        <v>59</v>
      </c>
    </row>
    <row r="12" customFormat="false" ht="17.15" hidden="false" customHeight="false" outlineLevel="0" collapsed="false">
      <c r="A12" s="3" t="s">
        <v>63</v>
      </c>
      <c r="B12" s="2" t="s">
        <v>81</v>
      </c>
      <c r="C12" s="2" t="n">
        <v>1460000000</v>
      </c>
      <c r="D12" s="2" t="s">
        <v>61</v>
      </c>
      <c r="E12" s="2" t="s">
        <v>37</v>
      </c>
      <c r="F12" s="2" t="s">
        <v>82</v>
      </c>
      <c r="G12" s="2" t="s">
        <v>34</v>
      </c>
      <c r="H12" s="2" t="s">
        <v>34</v>
      </c>
    </row>
    <row r="13" customFormat="false" ht="32.8" hidden="false" customHeight="false" outlineLevel="0" collapsed="false">
      <c r="A13" s="3" t="s">
        <v>63</v>
      </c>
      <c r="B13" s="2" t="s">
        <v>83</v>
      </c>
      <c r="C13" s="2" t="n">
        <v>2365000000</v>
      </c>
      <c r="D13" s="2" t="s">
        <v>61</v>
      </c>
      <c r="E13" s="2" t="s">
        <v>84</v>
      </c>
      <c r="F13" s="2" t="s">
        <v>85</v>
      </c>
      <c r="G13" s="2" t="s">
        <v>86</v>
      </c>
      <c r="H13" s="3" t="s">
        <v>87</v>
      </c>
    </row>
    <row r="14" customFormat="false" ht="32.8" hidden="false" customHeight="false" outlineLevel="0" collapsed="false">
      <c r="A14" s="3" t="s">
        <v>63</v>
      </c>
      <c r="B14" s="3" t="s">
        <v>88</v>
      </c>
      <c r="C14" s="3" t="s">
        <v>89</v>
      </c>
      <c r="D14" s="2" t="s">
        <v>61</v>
      </c>
      <c r="E14" s="2" t="s">
        <v>90</v>
      </c>
      <c r="F14" s="3" t="s">
        <v>91</v>
      </c>
      <c r="G14" s="3" t="s">
        <v>92</v>
      </c>
      <c r="H14" s="2" t="s">
        <v>93</v>
      </c>
    </row>
    <row r="15" customFormat="false" ht="32.8" hidden="false" customHeight="false" outlineLevel="0" collapsed="false">
      <c r="A15" s="3" t="s">
        <v>63</v>
      </c>
      <c r="B15" s="3" t="s">
        <v>94</v>
      </c>
      <c r="C15" s="2" t="s">
        <v>34</v>
      </c>
      <c r="D15" s="2" t="s">
        <v>34</v>
      </c>
      <c r="E15" s="2" t="s">
        <v>34</v>
      </c>
      <c r="F15" s="3" t="s">
        <v>91</v>
      </c>
      <c r="G15" s="2" t="s">
        <v>95</v>
      </c>
      <c r="H15" s="2" t="s">
        <v>96</v>
      </c>
    </row>
    <row r="16" customFormat="false" ht="32.8" hidden="false" customHeight="false" outlineLevel="0" collapsed="false">
      <c r="A16" s="3" t="s">
        <v>63</v>
      </c>
      <c r="B16" s="3" t="s">
        <v>97</v>
      </c>
      <c r="C16" s="2" t="n">
        <v>3825000000</v>
      </c>
      <c r="D16" s="2" t="s">
        <v>61</v>
      </c>
      <c r="E16" s="2" t="s">
        <v>37</v>
      </c>
      <c r="F16" s="2" t="s">
        <v>98</v>
      </c>
      <c r="G16" s="2" t="s">
        <v>99</v>
      </c>
      <c r="H16" s="2" t="s">
        <v>34</v>
      </c>
    </row>
    <row r="17" customFormat="false" ht="17.15" hidden="false" customHeight="false" outlineLevel="0" collapsed="false">
      <c r="A17" s="3" t="s">
        <v>100</v>
      </c>
      <c r="B17" s="3" t="s">
        <v>101</v>
      </c>
      <c r="C17" s="2" t="n">
        <v>5.464</v>
      </c>
      <c r="D17" s="2" t="s">
        <v>40</v>
      </c>
      <c r="E17" s="2" t="s">
        <v>37</v>
      </c>
      <c r="F17" s="3" t="s">
        <v>102</v>
      </c>
      <c r="G17" s="2" t="s">
        <v>34</v>
      </c>
      <c r="H17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4" min="4" style="0" width="12"/>
    <col collapsed="false" customWidth="true" hidden="false" outlineLevel="0" max="5" min="5" style="0" width="32"/>
    <col collapsed="false" customWidth="true" hidden="false" outlineLevel="0" max="6" min="6" style="0" width="60"/>
    <col collapsed="false" customWidth="true" hidden="false" outlineLevel="0" max="7" min="7" style="0" width="18"/>
  </cols>
  <sheetData>
    <row r="1" customFormat="false" ht="17.15" hidden="false" customHeight="false" outlineLevel="0" collapsed="false">
      <c r="A1" s="6" t="s">
        <v>103</v>
      </c>
      <c r="B1" s="5" t="s">
        <v>104</v>
      </c>
      <c r="C1" s="5" t="s">
        <v>105</v>
      </c>
      <c r="D1" s="5" t="s">
        <v>106</v>
      </c>
      <c r="E1" s="5" t="s">
        <v>107</v>
      </c>
      <c r="F1" s="6" t="s">
        <v>108</v>
      </c>
      <c r="G1" s="5" t="s">
        <v>109</v>
      </c>
    </row>
    <row r="2" customFormat="false" ht="32.8" hidden="false" customHeight="false" outlineLevel="0" collapsed="false">
      <c r="A2" s="2" t="n">
        <v>1</v>
      </c>
      <c r="B2" s="2" t="s">
        <v>110</v>
      </c>
      <c r="C2" s="2" t="s">
        <v>111</v>
      </c>
      <c r="D2" s="2" t="s">
        <v>112</v>
      </c>
      <c r="E2" s="3" t="s">
        <v>113</v>
      </c>
      <c r="F2" s="2" t="s">
        <v>114</v>
      </c>
      <c r="G2" s="3" t="s">
        <v>44</v>
      </c>
    </row>
    <row r="3" customFormat="false" ht="32.8" hidden="false" customHeight="false" outlineLevel="0" collapsed="false">
      <c r="A3" s="2" t="n">
        <v>2</v>
      </c>
      <c r="B3" s="3" t="s">
        <v>115</v>
      </c>
      <c r="C3" s="2" t="s">
        <v>116</v>
      </c>
      <c r="D3" s="2" t="s">
        <v>117</v>
      </c>
      <c r="E3" s="3" t="s">
        <v>118</v>
      </c>
      <c r="F3" s="2" t="s">
        <v>119</v>
      </c>
      <c r="G3" s="3" t="s">
        <v>120</v>
      </c>
    </row>
    <row r="4" customFormat="false" ht="17.15" hidden="false" customHeight="false" outlineLevel="0" collapsed="false">
      <c r="A4" s="2" t="n">
        <v>3</v>
      </c>
      <c r="B4" s="3" t="s">
        <v>121</v>
      </c>
      <c r="C4" s="2" t="s">
        <v>122</v>
      </c>
      <c r="D4" s="2" t="s">
        <v>117</v>
      </c>
      <c r="E4" s="3" t="s">
        <v>123</v>
      </c>
      <c r="F4" s="2" t="s">
        <v>124</v>
      </c>
      <c r="G4" s="3" t="s">
        <v>125</v>
      </c>
    </row>
    <row r="5" customFormat="false" ht="28.35" hidden="false" customHeight="false" outlineLevel="0" collapsed="false">
      <c r="A5" s="2" t="n">
        <v>4</v>
      </c>
      <c r="B5" s="2" t="s">
        <v>126</v>
      </c>
      <c r="C5" s="2" t="s">
        <v>127</v>
      </c>
      <c r="D5" s="2" t="s">
        <v>128</v>
      </c>
      <c r="E5" s="3" t="s">
        <v>129</v>
      </c>
      <c r="F5" s="2" t="s">
        <v>130</v>
      </c>
      <c r="G5" s="3" t="s">
        <v>125</v>
      </c>
    </row>
    <row r="6" customFormat="false" ht="32.8" hidden="false" customHeight="false" outlineLevel="0" collapsed="false">
      <c r="A6" s="2" t="n">
        <v>5</v>
      </c>
      <c r="B6" s="3" t="s">
        <v>131</v>
      </c>
      <c r="C6" s="2" t="s">
        <v>132</v>
      </c>
      <c r="D6" s="2" t="s">
        <v>117</v>
      </c>
      <c r="E6" s="3" t="s">
        <v>133</v>
      </c>
      <c r="F6" s="2" t="s">
        <v>134</v>
      </c>
      <c r="G6" s="3" t="s">
        <v>135</v>
      </c>
    </row>
    <row r="7" customFormat="false" ht="28.35" hidden="false" customHeight="false" outlineLevel="0" collapsed="false">
      <c r="A7" s="2" t="n">
        <v>6</v>
      </c>
      <c r="B7" s="3" t="s">
        <v>136</v>
      </c>
      <c r="C7" s="3" t="s">
        <v>137</v>
      </c>
      <c r="D7" s="2" t="s">
        <v>138</v>
      </c>
      <c r="E7" s="3" t="s">
        <v>139</v>
      </c>
      <c r="F7" s="2" t="s">
        <v>140</v>
      </c>
      <c r="G7" s="3" t="s">
        <v>141</v>
      </c>
    </row>
    <row r="8" customFormat="false" ht="32.8" hidden="false" customHeight="false" outlineLevel="0" collapsed="false">
      <c r="A8" s="2" t="n">
        <v>7</v>
      </c>
      <c r="B8" s="2" t="s">
        <v>142</v>
      </c>
      <c r="C8" s="2" t="s">
        <v>143</v>
      </c>
      <c r="D8" s="2" t="s">
        <v>144</v>
      </c>
      <c r="E8" s="3" t="s">
        <v>145</v>
      </c>
      <c r="F8" s="2" t="s">
        <v>146</v>
      </c>
      <c r="G8" s="3" t="s">
        <v>141</v>
      </c>
    </row>
    <row r="9" customFormat="false" ht="32.8" hidden="false" customHeight="false" outlineLevel="0" collapsed="false">
      <c r="A9" s="2" t="n">
        <v>8</v>
      </c>
      <c r="B9" s="2" t="s">
        <v>64</v>
      </c>
      <c r="C9" s="2" t="s">
        <v>147</v>
      </c>
      <c r="D9" s="2" t="s">
        <v>148</v>
      </c>
      <c r="E9" s="3" t="s">
        <v>149</v>
      </c>
      <c r="F9" s="2" t="s">
        <v>150</v>
      </c>
      <c r="G9" s="3" t="s">
        <v>63</v>
      </c>
    </row>
    <row r="10" customFormat="false" ht="17.15" hidden="false" customHeight="false" outlineLevel="0" collapsed="false">
      <c r="A10" s="2" t="n">
        <v>9</v>
      </c>
      <c r="B10" s="2" t="s">
        <v>151</v>
      </c>
      <c r="C10" s="2" t="s">
        <v>152</v>
      </c>
      <c r="D10" s="2" t="s">
        <v>153</v>
      </c>
      <c r="E10" s="3" t="s">
        <v>149</v>
      </c>
      <c r="F10" s="2" t="s">
        <v>154</v>
      </c>
      <c r="G10" s="3" t="s">
        <v>63</v>
      </c>
    </row>
    <row r="11" customFormat="false" ht="32.8" hidden="false" customHeight="false" outlineLevel="0" collapsed="false">
      <c r="A11" s="2" t="n">
        <v>10</v>
      </c>
      <c r="B11" s="2" t="s">
        <v>155</v>
      </c>
      <c r="C11" s="3" t="s">
        <v>156</v>
      </c>
      <c r="D11" s="2" t="s">
        <v>148</v>
      </c>
      <c r="E11" s="3" t="s">
        <v>157</v>
      </c>
      <c r="F11" s="2" t="s">
        <v>158</v>
      </c>
      <c r="G11" s="3" t="s">
        <v>159</v>
      </c>
    </row>
    <row r="12" customFormat="false" ht="32.8" hidden="false" customHeight="false" outlineLevel="0" collapsed="false">
      <c r="A12" s="2" t="n">
        <v>11</v>
      </c>
      <c r="B12" s="2" t="s">
        <v>160</v>
      </c>
      <c r="C12" s="2" t="s">
        <v>161</v>
      </c>
      <c r="D12" s="2" t="s">
        <v>153</v>
      </c>
      <c r="E12" s="3" t="s">
        <v>149</v>
      </c>
      <c r="F12" s="2" t="s">
        <v>162</v>
      </c>
      <c r="G12" s="3" t="s">
        <v>163</v>
      </c>
    </row>
    <row r="13" customFormat="false" ht="17.15" hidden="false" customHeight="false" outlineLevel="0" collapsed="false">
      <c r="A13" s="2" t="n">
        <v>12</v>
      </c>
      <c r="B13" s="2" t="s">
        <v>164</v>
      </c>
      <c r="C13" s="3" t="s">
        <v>165</v>
      </c>
      <c r="D13" s="2" t="s">
        <v>166</v>
      </c>
      <c r="E13" s="3" t="s">
        <v>167</v>
      </c>
      <c r="F13" s="2" t="s">
        <v>168</v>
      </c>
      <c r="G13" s="3" t="s">
        <v>169</v>
      </c>
    </row>
    <row r="14" customFormat="false" ht="32.8" hidden="false" customHeight="false" outlineLevel="0" collapsed="false">
      <c r="A14" s="2" t="n">
        <v>13</v>
      </c>
      <c r="B14" s="2" t="s">
        <v>170</v>
      </c>
      <c r="C14" s="3" t="s">
        <v>171</v>
      </c>
      <c r="D14" s="2" t="s">
        <v>172</v>
      </c>
      <c r="E14" s="3" t="s">
        <v>173</v>
      </c>
      <c r="F14" s="2" t="s">
        <v>174</v>
      </c>
      <c r="G14" s="3" t="s">
        <v>175</v>
      </c>
    </row>
    <row r="15" customFormat="false" ht="17.15" hidden="false" customHeight="false" outlineLevel="0" collapsed="false">
      <c r="A15" s="2" t="n">
        <v>14</v>
      </c>
      <c r="B15" s="2" t="s">
        <v>176</v>
      </c>
      <c r="C15" s="2" t="s">
        <v>177</v>
      </c>
      <c r="D15" s="2" t="s">
        <v>178</v>
      </c>
      <c r="E15" s="3" t="s">
        <v>179</v>
      </c>
      <c r="F15" s="2" t="s">
        <v>180</v>
      </c>
      <c r="G15" s="3" t="s">
        <v>181</v>
      </c>
    </row>
    <row r="16" customFormat="false" ht="32.8" hidden="false" customHeight="false" outlineLevel="0" collapsed="false">
      <c r="A16" s="2" t="n">
        <v>15</v>
      </c>
      <c r="B16" s="2" t="s">
        <v>182</v>
      </c>
      <c r="C16" s="2" t="s">
        <v>183</v>
      </c>
      <c r="D16" s="2" t="s">
        <v>184</v>
      </c>
      <c r="E16" s="3" t="s">
        <v>185</v>
      </c>
      <c r="F16" s="2" t="s">
        <v>186</v>
      </c>
      <c r="G16" s="3" t="s">
        <v>181</v>
      </c>
    </row>
    <row r="17" customFormat="false" ht="32.8" hidden="false" customHeight="false" outlineLevel="0" collapsed="false">
      <c r="A17" s="2" t="n">
        <v>17</v>
      </c>
      <c r="B17" s="2" t="s">
        <v>187</v>
      </c>
      <c r="C17" s="2" t="s">
        <v>188</v>
      </c>
      <c r="D17" s="2" t="s">
        <v>148</v>
      </c>
      <c r="E17" s="3" t="s">
        <v>189</v>
      </c>
      <c r="F17" s="2" t="s">
        <v>190</v>
      </c>
      <c r="G17" s="3" t="s">
        <v>39</v>
      </c>
    </row>
    <row r="18" customFormat="false" ht="32.8" hidden="false" customHeight="false" outlineLevel="0" collapsed="false">
      <c r="A18" s="2" t="n">
        <v>16</v>
      </c>
      <c r="B18" s="2" t="s">
        <v>191</v>
      </c>
      <c r="C18" s="3" t="s">
        <v>192</v>
      </c>
      <c r="D18" s="2" t="s">
        <v>117</v>
      </c>
      <c r="E18" s="3" t="s">
        <v>193</v>
      </c>
      <c r="F18" s="2" t="s">
        <v>194</v>
      </c>
      <c r="G18" s="3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5" min="4" style="0" width="22"/>
  </cols>
  <sheetData>
    <row r="1" customFormat="false" ht="17.15" hidden="false" customHeight="false" outlineLevel="0" collapsed="false">
      <c r="A1" s="7" t="s">
        <v>196</v>
      </c>
    </row>
    <row r="2" customFormat="false" ht="15" hidden="false" customHeight="false" outlineLevel="0" collapsed="false">
      <c r="A2" s="8" t="s">
        <v>197</v>
      </c>
      <c r="B2" s="8" t="s">
        <v>22</v>
      </c>
      <c r="C2" s="8" t="s">
        <v>23</v>
      </c>
      <c r="D2" s="8" t="s">
        <v>24</v>
      </c>
      <c r="E2" s="8"/>
    </row>
    <row r="3" customFormat="false" ht="17.15" hidden="false" customHeight="false" outlineLevel="0" collapsed="false">
      <c r="A3" s="7" t="s">
        <v>198</v>
      </c>
      <c r="B3" s="9" t="n">
        <v>1.056584</v>
      </c>
      <c r="C3" s="10" t="s">
        <v>45</v>
      </c>
      <c r="D3" s="10" t="s">
        <v>37</v>
      </c>
    </row>
    <row r="4" customFormat="false" ht="17.15" hidden="false" customHeight="false" outlineLevel="0" collapsed="false">
      <c r="A4" s="7" t="s">
        <v>199</v>
      </c>
      <c r="B4" s="9" t="n">
        <v>20901638729.22</v>
      </c>
      <c r="C4" s="10" t="s">
        <v>61</v>
      </c>
      <c r="D4" s="10" t="s">
        <v>37</v>
      </c>
    </row>
    <row r="5" customFormat="false" ht="17.15" hidden="false" customHeight="false" outlineLevel="0" collapsed="false">
      <c r="A5" s="0" t="s">
        <v>200</v>
      </c>
      <c r="B5" s="9" t="n">
        <v>2365200000</v>
      </c>
      <c r="C5" s="10" t="s">
        <v>61</v>
      </c>
      <c r="D5" s="10" t="s">
        <v>201</v>
      </c>
    </row>
    <row r="6" customFormat="false" ht="17.15" hidden="false" customHeight="false" outlineLevel="0" collapsed="false">
      <c r="A6" s="0" t="s">
        <v>202</v>
      </c>
      <c r="B6" s="9" t="n">
        <v>0</v>
      </c>
      <c r="C6" s="10" t="s">
        <v>61</v>
      </c>
      <c r="D6" s="10" t="s">
        <v>203</v>
      </c>
    </row>
    <row r="7" customFormat="false" ht="17.15" hidden="false" customHeight="false" outlineLevel="0" collapsed="false">
      <c r="A7" s="0" t="s">
        <v>64</v>
      </c>
      <c r="B7" s="9" t="n">
        <v>2.5</v>
      </c>
      <c r="C7" s="10" t="s">
        <v>65</v>
      </c>
      <c r="D7" s="10" t="s">
        <v>204</v>
      </c>
    </row>
    <row r="8" customFormat="false" ht="17.15" hidden="false" customHeight="false" outlineLevel="0" collapsed="false">
      <c r="A8" s="7" t="s">
        <v>205</v>
      </c>
      <c r="B8" s="9" t="n">
        <v>0.4</v>
      </c>
      <c r="C8" s="10" t="s">
        <v>77</v>
      </c>
      <c r="D8" s="10" t="s">
        <v>206</v>
      </c>
    </row>
    <row r="10" customFormat="false" ht="17.15" hidden="false" customHeight="false" outlineLevel="0" collapsed="false">
      <c r="A10" s="8" t="s">
        <v>207</v>
      </c>
      <c r="B10" s="8" t="s">
        <v>208</v>
      </c>
      <c r="C10" s="8" t="s">
        <v>209</v>
      </c>
      <c r="D10" s="8" t="s">
        <v>210</v>
      </c>
      <c r="E10" s="8" t="s">
        <v>211</v>
      </c>
    </row>
    <row r="11" customFormat="false" ht="15" hidden="false" customHeight="false" outlineLevel="0" collapsed="false">
      <c r="A11" s="9" t="n">
        <v>0.5</v>
      </c>
      <c r="B11" s="10" t="n">
        <f aca="false">$B$4*A11/$B$3</f>
        <v>9891139147.10993</v>
      </c>
      <c r="C11" s="10" t="n">
        <f aca="false">B11/3825200000</f>
        <v>2.58578352690315</v>
      </c>
      <c r="D11" s="10" t="n">
        <f aca="false">(B11-$B$5-$B$6)*1000000/($B$7*1000000000*365*$B$8)</f>
        <v>20619.011361945</v>
      </c>
      <c r="E11" s="10" t="n">
        <f aca="false">D11/4000</f>
        <v>5.15475284048626</v>
      </c>
    </row>
    <row r="12" customFormat="false" ht="15" hidden="false" customHeight="false" outlineLevel="0" collapsed="false">
      <c r="A12" s="9" t="n">
        <v>0.6</v>
      </c>
      <c r="B12" s="10" t="n">
        <f aca="false">$B$4*A12/$B$3</f>
        <v>11869366976.5319</v>
      </c>
      <c r="C12" s="10" t="n">
        <f aca="false">B12/3825200000</f>
        <v>3.10294023228378</v>
      </c>
      <c r="D12" s="10" t="n">
        <f aca="false">(B12-$B$5-$B$6)*1000000/($B$7*1000000000*365*$B$8)</f>
        <v>26038.813634334</v>
      </c>
      <c r="E12" s="10" t="n">
        <f aca="false">D12/4000</f>
        <v>6.50970340858351</v>
      </c>
    </row>
    <row r="13" customFormat="false" ht="15" hidden="false" customHeight="false" outlineLevel="0" collapsed="false">
      <c r="A13" s="9" t="n">
        <v>0.66</v>
      </c>
      <c r="B13" s="10" t="n">
        <f aca="false">$B$4*A13/$B$3</f>
        <v>13056303674.1851</v>
      </c>
      <c r="C13" s="10" t="n">
        <f aca="false">B13/3825200000</f>
        <v>3.41323425551216</v>
      </c>
      <c r="D13" s="10" t="n">
        <f aca="false">(B13-$B$5-$B$6)*1000000/($B$7*1000000000*365*$B$8)</f>
        <v>29290.6949977674</v>
      </c>
      <c r="E13" s="10" t="n">
        <f aca="false">D13/4000</f>
        <v>7.32267374944186</v>
      </c>
    </row>
    <row r="14" customFormat="false" ht="15" hidden="false" customHeight="false" outlineLevel="0" collapsed="false">
      <c r="A14" s="9" t="n">
        <v>0.8</v>
      </c>
      <c r="B14" s="10" t="n">
        <f aca="false">$B$4*A14/$B$3</f>
        <v>15825822635.3759</v>
      </c>
      <c r="C14" s="10" t="n">
        <f aca="false">B14/3825200000</f>
        <v>4.13725364304504</v>
      </c>
      <c r="D14" s="10" t="n">
        <f aca="false">(B14-$B$5-$B$6)*1000000/($B$7*1000000000*365*$B$8)</f>
        <v>36878.418179112</v>
      </c>
      <c r="E14" s="10" t="n">
        <f aca="false">D14/4000</f>
        <v>9.21960454477801</v>
      </c>
    </row>
    <row r="15" customFormat="false" ht="15" hidden="false" customHeight="false" outlineLevel="0" collapsed="false">
      <c r="A15" s="9" t="n">
        <v>1.0566</v>
      </c>
      <c r="B15" s="10" t="n">
        <f aca="false">$B$4*A15/$B$3</f>
        <v>20901955245.6727</v>
      </c>
      <c r="C15" s="10" t="n">
        <f aca="false">B15/3825200000</f>
        <v>5.46427774905174</v>
      </c>
      <c r="D15" s="10" t="n">
        <f aca="false">(B15-$B$5-$B$6)*1000000/($B$7*1000000000*365*$B$8)</f>
        <v>50785.6308100622</v>
      </c>
      <c r="E15" s="10" t="n">
        <f aca="false">D15/4000</f>
        <v>12.6964077025156</v>
      </c>
    </row>
    <row r="17" customFormat="false" ht="17.15" hidden="false" customHeight="false" outlineLevel="0" collapsed="false">
      <c r="A17" s="7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0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17.15" hidden="false" customHeight="false" outlineLevel="0" collapsed="false">
      <c r="A1" s="6" t="s">
        <v>103</v>
      </c>
      <c r="B1" s="5" t="s">
        <v>213</v>
      </c>
      <c r="C1" s="5" t="s">
        <v>214</v>
      </c>
      <c r="D1" s="5" t="s">
        <v>215</v>
      </c>
    </row>
    <row r="2" customFormat="false" ht="48.5" hidden="false" customHeight="false" outlineLevel="0" collapsed="false">
      <c r="A2" s="2" t="s">
        <v>216</v>
      </c>
      <c r="B2" s="3" t="s">
        <v>217</v>
      </c>
      <c r="C2" s="3" t="s">
        <v>218</v>
      </c>
      <c r="D2" s="3" t="s">
        <v>219</v>
      </c>
    </row>
    <row r="3" customFormat="false" ht="32.8" hidden="false" customHeight="false" outlineLevel="0" collapsed="false">
      <c r="A3" s="2" t="s">
        <v>220</v>
      </c>
      <c r="B3" s="3" t="s">
        <v>221</v>
      </c>
      <c r="C3" s="3" t="s">
        <v>222</v>
      </c>
      <c r="D3" s="3" t="s">
        <v>223</v>
      </c>
    </row>
    <row r="4" customFormat="false" ht="32.8" hidden="false" customHeight="false" outlineLevel="0" collapsed="false">
      <c r="A4" s="2" t="s">
        <v>224</v>
      </c>
      <c r="B4" s="3" t="s">
        <v>225</v>
      </c>
      <c r="C4" s="3" t="s">
        <v>226</v>
      </c>
      <c r="D4" s="3" t="s">
        <v>227</v>
      </c>
    </row>
    <row r="5" customFormat="false" ht="17.15" hidden="false" customHeight="false" outlineLevel="0" collapsed="false">
      <c r="A5" s="2" t="s">
        <v>228</v>
      </c>
      <c r="B5" s="2" t="s">
        <v>229</v>
      </c>
      <c r="C5" s="3" t="s">
        <v>230</v>
      </c>
      <c r="D5" s="3" t="s">
        <v>231</v>
      </c>
    </row>
    <row r="6" customFormat="false" ht="15" hidden="false" customHeight="false" outlineLevel="0" collapsed="false">
      <c r="A6" s="2"/>
      <c r="B6" s="2"/>
      <c r="C6" s="2"/>
      <c r="D6" s="2"/>
    </row>
    <row r="7" customFormat="false" ht="17.15" hidden="false" customHeight="false" outlineLevel="0" collapsed="false">
      <c r="A7" s="2" t="s">
        <v>103</v>
      </c>
      <c r="B7" s="3" t="s">
        <v>232</v>
      </c>
      <c r="C7" s="2"/>
      <c r="D7" s="2"/>
    </row>
    <row r="8" customFormat="false" ht="17.15" hidden="false" customHeight="false" outlineLevel="0" collapsed="false">
      <c r="A8" s="2" t="s">
        <v>233</v>
      </c>
      <c r="B8" s="2" t="s">
        <v>234</v>
      </c>
      <c r="C8" s="2"/>
      <c r="D8" s="2"/>
    </row>
    <row r="9" customFormat="false" ht="17.15" hidden="false" customHeight="false" outlineLevel="0" collapsed="false">
      <c r="A9" s="2" t="s">
        <v>235</v>
      </c>
      <c r="B9" s="2" t="s">
        <v>236</v>
      </c>
      <c r="C9" s="2"/>
      <c r="D9" s="2"/>
    </row>
    <row r="10" customFormat="false" ht="17.15" hidden="false" customHeight="false" outlineLevel="0" collapsed="false">
      <c r="A10" s="2" t="s">
        <v>237</v>
      </c>
      <c r="B10" s="2" t="s">
        <v>238</v>
      </c>
      <c r="C10" s="2"/>
      <c r="D10" s="2"/>
    </row>
    <row r="11" customFormat="false" ht="17.15" hidden="false" customHeight="false" outlineLevel="0" collapsed="false">
      <c r="A11" s="2" t="s">
        <v>239</v>
      </c>
      <c r="B11" s="2" t="s">
        <v>240</v>
      </c>
      <c r="C11" s="2"/>
      <c r="D11" s="2"/>
    </row>
    <row r="12" customFormat="false" ht="17.15" hidden="false" customHeight="false" outlineLevel="0" collapsed="false">
      <c r="A12" s="2" t="s">
        <v>241</v>
      </c>
      <c r="B12" s="2" t="s">
        <v>242</v>
      </c>
      <c r="C12" s="2"/>
      <c r="D12" s="2"/>
    </row>
    <row r="13" customFormat="false" ht="17.15" hidden="false" customHeight="false" outlineLevel="0" collapsed="false">
      <c r="A13" s="2" t="s">
        <v>243</v>
      </c>
      <c r="B13" s="3" t="s">
        <v>244</v>
      </c>
      <c r="C13" s="2"/>
      <c r="D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2026-10-21T13:23:26Z</dcterms:created>
  <dc:creator>openpyxl</dc:creator>
  <dc:description/>
  <dc:language>en-US</dc:language>
  <cp:lastModifiedBy/>
  <dcterms:modified xsi:type="dcterms:W3CDTF">2026-10-21T13:23:26Z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