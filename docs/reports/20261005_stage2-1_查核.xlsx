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查核紀錄" sheetId="2" state="visible" r:id="rId2"/>
    <sheet name="候選證據" sheetId="3" state="visible" r:id="rId3"/>
    <sheet name="結構與公式" sheetId="4" state="visible" r:id="rId4"/>
    <sheet name="多家估計" sheetId="5" state="visible" r:id="rId5"/>
    <sheet name="敏感度更新" sheetId="6" state="visible" r:id="rId6"/>
    <sheet name="待 Project 判斷" sheetId="7" state="visible" r:id="rId7"/>
  </sheets>
  <definedNames>
    <definedName name="_xlnm._FilterDatabase" localSheetId="1" hidden="1">'查核紀錄'!$A$1:$T$30</definedName>
    <definedName name="_xlnm._FilterDatabase" localSheetId="2" hidden="1">'候選證據'!$A$1:$I$10</definedName>
    <definedName name="_xlnm._FilterDatabase" localSheetId="3" hidden="1">'結構與公式'!$A$1:$F$6</definedName>
    <definedName name="_xlnm._FilterDatabase" localSheetId="4" hidden="1">'多家估計'!$A$1:$H$8</definedName>
    <definedName name="_xlnm._FilterDatabase" localSheetId="5" hidden="1">'敏感度更新'!$A$1:$N$212</definedName>
    <definedName name="_xlnm._FilterDatabase" localSheetId="6" hidden="1">'待 Project 判斷'!$A$1:$C$15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1" t="inlineStr">
        <is>
          <t>Stage 2-1 查核（PR B）審閱檔</t>
        </is>
      </c>
      <c r="B1" s="2" t="inlineStr">
        <is>
          <t>唯讀：未改 model／builder／tests。底稿：model/20261004_Tokenomics_v5.16.xlsx。日期 2026-10-05。</t>
        </is>
      </c>
    </row>
    <row r="2">
      <c r="A2" s="1" t="inlineStr">
        <is>
          <t>範圍</t>
        </is>
      </c>
      <c r="B2" s="2" t="inlineStr">
        <is>
          <t>B1 W2 的 20 筆 SRC；B2 V4-Flash config 7 筆；B3 SRC_DEM_011／013；B4 候選證據 9 項；B5 結構與公式 5 項；B6 多家估計；B7 敏感度更新。</t>
        </is>
      </c>
    </row>
    <row r="3">
      <c r="A3" s="1" t="inlineStr">
        <is>
          <t>規則（工作單 2.0）</t>
        </is>
      </c>
      <c r="B3" s="2" t="inlineStr">
        <is>
          <t>不改模型；讀取結果只能填代碼；建議等級依 G0-7 機械套用；SemiAnalysis 不得為唯一依據；原文摘錄最短；口徑對齊列換算式；值不同時以 engine 唯讀計算影響前 3 大。</t>
        </is>
      </c>
    </row>
    <row r="4">
      <c r="A4" s="1" t="inlineStr">
        <is>
          <t>讀取結果代碼</t>
        </is>
      </c>
      <c r="B4" s="2" t="inlineStr">
        <is>
          <t>R1 已讀原文（一手）｜R2 已讀一手文件轉載｜R3 已讀二手｜R4 讀不到：付費或需登入｜R5 讀不到：連結失效或被封鎖｜R6 找不到原始出處（列查詢詞與已查網站）</t>
        </is>
      </c>
    </row>
    <row r="5">
      <c r="A5" s="1" t="inlineStr">
        <is>
          <t>本批實況</t>
        </is>
      </c>
      <c r="B5" s="2" t="inlineStr">
        <is>
          <t>本環境出口政策封鎖幾乎所有第一手網站（32 次直接讀取 0 次成功）；只有 WebSearch 文字摘要可用。因此：全部讀取結果為 R5（或 R6）；「原文摘錄」欄為空（無原文）；另加「搜尋摘要（改寫，非原文）」欄；建議等級全為 3；「是否一致」只代表摘要與現值相符。</t>
        </is>
      </c>
    </row>
    <row r="6">
      <c r="A6" s="1" t="inlineStr">
        <is>
          <t>S1 (a)</t>
        </is>
      </c>
      <c r="B6" s="2" t="inlineStr">
        <is>
          <t>升級候選須：已讀原文、附網址與原文摘錄、值相同（容差 0）。本批 0 筆符合。值不同／A 級／改標記者逐筆交 Andy：本批未見值不同。</t>
        </is>
      </c>
    </row>
    <row r="7">
      <c r="A7" s="1" t="inlineStr">
        <is>
          <t>S2 (a)</t>
        </is>
      </c>
      <c r="B7" s="2" t="inlineStr">
        <is>
          <t>J6 利用率、J15 生產折減只蒐集證據供參考，不提議數值，不改暫用值（G0-11）。見「候選證據」最後一列。</t>
        </is>
      </c>
    </row>
    <row r="8">
      <c r="A8" s="1" t="inlineStr">
        <is>
          <t>標記</t>
        </is>
      </c>
      <c r="B8" s="2" t="inlineStr">
        <is>
          <t>[Derived] 為本審閱檔內的換算，只作參考。影響計算均由 engine（pycel，v5.16 快取）唯讀完成，不寫回 Excel；還原檢查通過。</t>
        </is>
      </c>
    </row>
    <row r="9">
      <c r="A9" s="1" t="inlineStr">
        <is>
          <t>新增欄位</t>
        </is>
      </c>
      <c r="B9" s="2" t="inlineStr">
        <is>
          <t>「查核紀錄」比工作單多兩欄：搜尋摘要（改寫，非原文）、G0-7 依據。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8" customWidth="1" min="4" max="4"/>
    <col width="18" customWidth="1" min="5" max="5"/>
    <col width="18" customWidth="1" min="6" max="6"/>
    <col width="34" customWidth="1" min="7" max="7"/>
    <col width="18" customWidth="1" min="8" max="8"/>
    <col width="34" customWidth="1" min="9" max="9"/>
    <col width="18" customWidth="1" min="10" max="10"/>
    <col width="40" customWidth="1" min="11" max="11"/>
    <col width="34" customWidth="1" min="12" max="12"/>
    <col width="30" customWidth="1" min="13" max="13"/>
    <col width="18" customWidth="1" min="14" max="14"/>
    <col width="30" customWidth="1" min="15" max="15"/>
    <col width="40" customWidth="1" min="16" max="16"/>
    <col width="18" customWidth="1" min="17" max="17"/>
    <col width="34" customWidth="1" min="18" max="18"/>
    <col width="40" customWidth="1" min="19" max="19"/>
    <col width="18" customWidth="1" min="20" max="20"/>
  </cols>
  <sheetData>
    <row r="1">
      <c r="A1" s="3" t="inlineStr">
        <is>
          <t>SRC_ID</t>
        </is>
      </c>
      <c r="B1" s="3" t="inlineStr">
        <is>
          <t>指標</t>
        </is>
      </c>
      <c r="C1" s="3" t="inlineStr">
        <is>
          <t>模型使用位置</t>
        </is>
      </c>
      <c r="D1" s="3" t="inlineStr">
        <is>
          <t>現值</t>
        </is>
      </c>
      <c r="E1" s="3" t="inlineStr">
        <is>
          <t>單位與口徑</t>
        </is>
      </c>
      <c r="F1" s="3" t="inlineStr">
        <is>
          <t>現等級</t>
        </is>
      </c>
      <c r="G1" s="3" t="inlineStr">
        <is>
          <t>原文網址</t>
        </is>
      </c>
      <c r="H1" s="3" t="inlineStr">
        <is>
          <t>讀取日期</t>
        </is>
      </c>
      <c r="I1" s="3" t="inlineStr">
        <is>
          <t>讀取結果</t>
        </is>
      </c>
      <c r="J1" s="3" t="inlineStr">
        <is>
          <t>原文摘錄</t>
        </is>
      </c>
      <c r="K1" s="3" t="inlineStr">
        <is>
          <t>原文值</t>
        </is>
      </c>
      <c r="L1" s="3" t="inlineStr">
        <is>
          <t>換算式</t>
        </is>
      </c>
      <c r="M1" s="3" t="inlineStr">
        <is>
          <t>是否一致</t>
        </is>
      </c>
      <c r="N1" s="3" t="inlineStr">
        <is>
          <t>建議等級</t>
        </is>
      </c>
      <c r="O1" s="3" t="inlineStr">
        <is>
          <t>立場與誘因</t>
        </is>
      </c>
      <c r="P1" s="3" t="inlineStr">
        <is>
          <t>第二來源（網址、值、獨立性說明）</t>
        </is>
      </c>
      <c r="Q1" s="3" t="inlineStr">
        <is>
          <t>影響前 3 大（不一致時）</t>
        </is>
      </c>
      <c r="R1" s="3" t="inlineStr">
        <is>
          <t>備註</t>
        </is>
      </c>
      <c r="S1" s="3" t="inlineStr">
        <is>
          <t>搜尋摘要（改寫，非原文）</t>
        </is>
      </c>
      <c r="T1" s="3" t="inlineStr">
        <is>
          <t>G0-7 依據</t>
        </is>
      </c>
    </row>
    <row r="2">
      <c r="A2" s="2" t="inlineStr">
        <is>
          <t>SRC_HW_047</t>
        </is>
      </c>
      <c r="B2" s="2" t="inlineStr">
        <is>
          <t>NVLink 域 GPU 數</t>
        </is>
      </c>
      <c r="C2" s="2" t="inlineStr">
        <is>
          <t>Spec_Rack D6:F6、D28:F28</t>
        </is>
      </c>
      <c r="D2" s="2" t="inlineStr">
        <is>
          <t>72</t>
        </is>
      </c>
      <c r="E2" s="2" t="inlineStr">
        <is>
          <t>GPU；NVL72 產品定義</t>
        </is>
      </c>
      <c r="F2" s="2" t="n">
        <v>3</v>
      </c>
      <c r="G2" s="2" t="inlineStr">
        <is>
          <t>https://www.nvidia.com/en-us/data-center/gb200-nvl72/</t>
        </is>
      </c>
      <c r="H2" s="2" t="inlineStr">
        <is>
          <t>2026-10-05</t>
        </is>
      </c>
      <c r="I2" s="2" t="inlineStr">
        <is>
          <t>R5 讀不到：被封鎖（nvidia.com；WebFetch 回 EGRESS_BLOCKED／curl CONNECT 403）；僅見搜尋摘要</t>
        </is>
      </c>
      <c r="J2" s="2" t="inlineStr">
        <is>
          <t>（未讀到原文，無可摘錄）</t>
        </is>
      </c>
      <c r="K2" s="2" t="inlineStr">
        <is>
          <t>未取得原文值</t>
        </is>
      </c>
      <c r="L2" s="2" t="inlineStr">
        <is>
          <t>—</t>
        </is>
      </c>
      <c r="M2" s="2" t="inlineStr">
        <is>
          <t>一致（依搜尋摘要）</t>
        </is>
      </c>
      <c r="N2" s="2" t="n">
        <v>3</v>
      </c>
      <c r="O2" s="2" t="inlineStr">
        <is>
          <t>利害關係方：NVIDIA 為賣方，有誇大規格誘因；但 72 為產品名稱定義，誘因影響極小</t>
        </is>
      </c>
      <c r="P2" s="2" t="inlineStr">
        <is>
          <t>無獨立第二來源；搜尋摘要見 Together AI、CUDO 等 GPU 雲業者頁（皆為轉述）</t>
        </is>
      </c>
      <c r="Q2" s="2" t="inlineStr">
        <is>
          <t>N/A（未見不一致）</t>
        </is>
      </c>
      <c r="R2" s="2" t="inlineStr">
        <is>
          <t>共用 SRC 列：Spec_Rack 第 6 列與第 28 列同源（見 B7）</t>
        </is>
      </c>
      <c r="S2" s="2" t="inlineStr">
        <is>
          <t>多個轉述頁一致：GB200 NVL72＝72 Blackwell GPU＋36 Grace CPU 的 72-GPU NVLink 域</t>
        </is>
      </c>
      <c r="T2" s="2" t="inlineStr">
        <is>
          <t>只見搜尋摘錄 → 3 級</t>
        </is>
      </c>
    </row>
    <row r="3">
      <c r="A3" s="2" t="inlineStr">
        <is>
          <t>SRC_HW_054</t>
        </is>
      </c>
      <c r="B3" s="2" t="inlineStr">
        <is>
          <t>Rubin Ultra NVL576 GPU 封裝數</t>
        </is>
      </c>
      <c r="C3" s="2" t="inlineStr">
        <is>
          <t>Spec_Rack G6、G28</t>
        </is>
      </c>
      <c r="D3" s="2" t="inlineStr">
        <is>
          <t>144</t>
        </is>
      </c>
      <c r="E3" s="2" t="inlineStr">
        <is>
          <t>封裝/架；NVL576＝144 封裝×4 die</t>
        </is>
      </c>
      <c r="F3" s="2" t="n">
        <v>3</v>
      </c>
      <c r="G3" s="2" t="inlineStr">
        <is>
          <t>https://www.nvidia.com/ （GTC 2025 路線圖；URL 待 Andy 提供）</t>
        </is>
      </c>
      <c r="H3" s="2" t="inlineStr">
        <is>
          <t>2026-10-05</t>
        </is>
      </c>
      <c r="I3" s="2" t="inlineStr">
        <is>
          <t>R5 讀不到：被封鎖（nvidia.com、theregister.com、datacenterdynamics.com；WebFetch 回 EGRESS_BLOCKED／curl CONNECT 403）；僅見搜尋摘要</t>
        </is>
      </c>
      <c r="J3" s="2" t="inlineStr">
        <is>
          <t>（未讀到原文，無可摘錄）</t>
        </is>
      </c>
      <c r="K3" s="2" t="inlineStr">
        <is>
          <t>搜尋摘要：576 GPU die／rack；每模組 4 個 reticle 尺寸晶粒</t>
        </is>
      </c>
      <c r="L3" s="2" t="inlineStr">
        <is>
          <t>576 die ÷ 4 die/封裝＝144（換算式，屬推論，未見原文逐字寫 144）</t>
        </is>
      </c>
      <c r="M3" s="2" t="inlineStr">
        <is>
          <t>口徑不同（NVIDIA 以 die 計 576；模型以封裝計 144），換算後一致</t>
        </is>
      </c>
      <c r="N3" s="2" t="n">
        <v>3</v>
      </c>
      <c r="O3" s="2" t="inlineStr">
        <is>
          <t>利害關係方：NVIDIA 路線圖（2027 年產品，尚未出貨，有行銷誘因）</t>
        </is>
      </c>
      <c r="P3" s="2" t="inlineStr">
        <is>
          <t>DCD、The Register 轉述（二手）</t>
        </is>
      </c>
      <c r="Q3" s="2" t="inlineStr">
        <is>
          <t>N/A（未見不一致）</t>
        </is>
      </c>
      <c r="R3" s="2" t="inlineStr">
        <is>
          <t>搜尋摘要另出現「每 pod 18 blade×每 blade 8 GPU＝176/pod」的矛盾寫法，疑為轉述錯誤；以封裝／die 口徑為準需讀原文</t>
        </is>
      </c>
      <c r="S3" s="2" t="inlineStr">
        <is>
          <t>NVL576＝576 GPU die/架；Rubin Ultra 每模組 4 reticle 晶粒</t>
        </is>
      </c>
      <c r="T3" s="2" t="inlineStr">
        <is>
          <t>只見搜尋摘錄 → 3 級</t>
        </is>
      </c>
    </row>
    <row r="4">
      <c r="A4" s="2" t="inlineStr">
        <is>
          <t>SRC_HW_001</t>
        </is>
      </c>
      <c r="B4" s="2" t="inlineStr">
        <is>
          <t>DGX H100 最大系統功率</t>
        </is>
      </c>
      <c r="C4" s="2" t="inlineStr">
        <is>
          <t>Spec_Rack C9（×4 台取整 41）</t>
        </is>
      </c>
      <c r="D4" s="2" t="inlineStr">
        <is>
          <t>10.2 kW／8 GPU</t>
        </is>
      </c>
      <c r="E4" s="2" t="inlineStr">
        <is>
          <t>系統最大功率</t>
        </is>
      </c>
      <c r="F4" s="2" t="n">
        <v>3</v>
      </c>
      <c r="G4" s="2" t="inlineStr">
        <is>
          <t>https://docs.nvidia.com/dgx-superpod/design-guides/dgx-superpod-data-center-design-h100/latest/electrical.html</t>
        </is>
      </c>
      <c r="H4" s="2" t="inlineStr">
        <is>
          <t>2026-10-05</t>
        </is>
      </c>
      <c r="I4" s="2" t="inlineStr">
        <is>
          <t>R5 讀不到：被封鎖（docs.nvidia.com；WebFetch 回 EGRESS_BLOCKED／curl CONNECT 403）；僅見搜尋摘要</t>
        </is>
      </c>
      <c r="J4" s="2" t="inlineStr">
        <is>
          <t>（未讀到原文，無可摘錄）</t>
        </is>
      </c>
      <c r="K4" s="2" t="inlineStr">
        <is>
          <t>搜尋摘要：10.2 kW max</t>
        </is>
      </c>
      <c r="L4" s="2" t="inlineStr">
        <is>
          <t>×4 台＝40.8 kW；模型取 41（G0-2 取整保留）</t>
        </is>
      </c>
      <c r="M4" s="2" t="inlineStr">
        <is>
          <t>一致（依搜尋摘要）</t>
        </is>
      </c>
      <c r="N4" s="2" t="n">
        <v>3</v>
      </c>
      <c r="O4" s="2" t="inlineStr">
        <is>
          <t>利害關係方：NVIDIA（規格值；偏保守的最大值，誘因低）</t>
        </is>
      </c>
      <c r="P4" s="2" t="inlineStr">
        <is>
          <t>Amax、FS.com、HydraHost 等轉述頁同值（二手；非獨立）</t>
        </is>
      </c>
      <c r="Q4" s="2" t="inlineStr">
        <is>
          <t>N/A（未見不一致）</t>
        </is>
      </c>
      <c r="R4" s="2" t="inlineStr">
        <is>
          <t>搜尋摘要另載 6 顆 PSU 各 3300 W，4+2 備援</t>
        </is>
      </c>
      <c r="S4" s="2" t="inlineStr">
        <is>
          <t>DGX H100 最大系統功率 10.2 kW；6×3300 W PSU</t>
        </is>
      </c>
      <c r="T4" s="2" t="inlineStr">
        <is>
          <t>只見搜尋摘錄 → 3 級</t>
        </is>
      </c>
    </row>
    <row r="5">
      <c r="A5" s="2" t="inlineStr">
        <is>
          <t>SRC_HW_004</t>
        </is>
      </c>
      <c r="B5" s="2" t="inlineStr">
        <is>
          <t>GB200 NVL72 機架功率</t>
        </is>
      </c>
      <c r="C5" s="2" t="inlineStr">
        <is>
          <t>Spec_Rack D8（低）、D9（基準 130，G0-2 保留）</t>
        </is>
      </c>
      <c r="D5" s="2" t="inlineStr">
        <is>
          <t>120（高 130）kW/架</t>
        </is>
      </c>
      <c r="E5" s="2" t="inlineStr">
        <is>
          <t>未明（設計或最大）</t>
        </is>
      </c>
      <c r="F5" s="2" t="n">
        <v>3</v>
      </c>
      <c r="G5" s="2" t="inlineStr">
        <is>
          <t>moduledge.com；hashrateindex.com（SRC 登錄來源）</t>
        </is>
      </c>
      <c r="H5" s="2" t="inlineStr">
        <is>
          <t>2026-10-05</t>
        </is>
      </c>
      <c r="I5" s="2" t="inlineStr">
        <is>
          <t>R5 讀不到：被封鎖（moduledge.com、hashrateindex.com、semianalysis.com、gigabyte.com、hpe.com；WebFetch 回 EGRESS_BLOCKED／curl CONNECT 403）；僅見搜尋摘要</t>
        </is>
      </c>
      <c r="J5" s="2" t="inlineStr">
        <is>
          <t>（未讀到原文，無可摘錄）</t>
        </is>
      </c>
      <c r="K5" s="2" t="inlineStr">
        <is>
          <t>搜尋摘要：約 120 kW（SemiAnalysis）；最高 130 kW（Gigabyte）；TDP 標稱 132 kW、EDPp 約 192 kW（HPE）</t>
        </is>
      </c>
      <c r="L5" s="2" t="inlineStr">
        <is>
          <t>口徑：120＝rack TDP；130＝廠商 spec 上限；132＝HPE 標稱 TDP；192＝電氣設計尖峰（≈1.5×TDP）</t>
        </is>
      </c>
      <c r="M5" s="2" t="inlineStr">
        <is>
          <t>口徑不同（四個值屬不同口徑；120／130 落在 SRC 區間內，192 為尖峰口徑不應混比）</t>
        </is>
      </c>
      <c r="N5" s="2" t="n">
        <v>3</v>
      </c>
      <c r="O5" s="2" t="inlineStr">
        <is>
          <t>利害關係方：零組件／挖礦業者與系統廠，皆有銷售誘因</t>
        </is>
      </c>
      <c r="P5" s="2" t="inlineStr">
        <is>
          <t>SemiAnalysis（須第二來源；此處與 HPE、Gigabyte 互為第二來源，三者皆為摘要）</t>
        </is>
      </c>
      <c r="Q5" s="2" t="inlineStr">
        <is>
          <t>N/A（未見不一致）</t>
        </is>
      </c>
      <c r="R5" s="2" t="inlineStr">
        <is>
          <t>模型 D9＝130（G0-2 保留）；D10＝140 無對應來源（SRC 備註已載）</t>
        </is>
      </c>
      <c r="S5" s="2" t="inlineStr">
        <is>
          <t>120 kW（SemiAnalysis）；130 kW（Gigabyte）；132 kW TDP／~192 kW EDPp（HPE）</t>
        </is>
      </c>
      <c r="T5" s="2" t="inlineStr">
        <is>
          <t>只見搜尋摘錄 → 3 級</t>
        </is>
      </c>
    </row>
    <row r="6">
      <c r="A6" s="2" t="inlineStr">
        <is>
          <t>SRC_HW_005</t>
        </is>
      </c>
      <c r="B6" s="2" t="inlineStr">
        <is>
          <t>GB300 NVL72 機架功率</t>
        </is>
      </c>
      <c r="C6" s="2" t="inlineStr">
        <is>
          <t>Spec_Rack E8、E9（基準 137，G0-2 保留）、E10</t>
        </is>
      </c>
      <c r="D6" s="2" t="inlineStr">
        <is>
          <t>132（高 142）kW/架</t>
        </is>
      </c>
      <c r="E6" s="2" t="inlineStr">
        <is>
          <t>未明</t>
        </is>
      </c>
      <c r="F6" s="2" t="n">
        <v>3</v>
      </c>
      <c r="G6" s="2" t="inlineStr">
        <is>
          <t>moduledge.com；hashrateindex.com（SRC 登錄來源）</t>
        </is>
      </c>
      <c r="H6" s="2" t="inlineStr">
        <is>
          <t>2026-10-05</t>
        </is>
      </c>
      <c r="I6" s="2" t="inlineStr">
        <is>
          <t>R5 讀不到：被封鎖（moduledge.com、hpe.com、dramexchange.com、spheron.network；WebFetch 回 EGRESS_BLOCKED／curl CONNECT 403）；僅見搜尋摘要</t>
        </is>
      </c>
      <c r="J6" s="2" t="inlineStr">
        <is>
          <t>（未讀到原文，無可摘錄）</t>
        </is>
      </c>
      <c r="K6" s="2" t="inlineStr">
        <is>
          <t>搜尋摘要：132 kW 標稱 TDP、EDPp 約 155 kW（HPE 類）；TrendForce 預估 135–140 kW；另見 132–140 kW 區間</t>
        </is>
      </c>
      <c r="L6" s="2" t="inlineStr">
        <is>
          <t>口徑同上：TDP 132／預估 135–140／尖峰 155</t>
        </is>
      </c>
      <c r="M6" s="2" t="inlineStr">
        <is>
          <t>一致（132 與 135–140 落在 SRC 區間 132–142 內；155 為尖峰口徑）</t>
        </is>
      </c>
      <c r="N6" s="2" t="n">
        <v>3</v>
      </c>
      <c r="O6" s="2" t="inlineStr">
        <is>
          <t>利害關係方（零組件業者）；TrendForce 為研究機構（中立，估計值）</t>
        </is>
      </c>
      <c r="P6" s="2" t="inlineStr">
        <is>
          <t>TrendForce（透過 DRAMeXchange 轉述）為獨立第二來源（摘要）</t>
        </is>
      </c>
      <c r="Q6" s="2" t="inlineStr">
        <is>
          <t>N/A（未見不一致）</t>
        </is>
      </c>
      <c r="R6" s="2" t="inlineStr">
        <is>
          <t>模型基準 137＝區間中點（SRC 備註）；見 B5 Checks 21：InferenceX 反推 2.12 kW/GPU×72＝152.6 kW，接近 155 kW 尖峰口徑</t>
        </is>
      </c>
      <c r="S6" s="2" t="inlineStr">
        <is>
          <t>132 kW TDP、~155 kW EDPp；TrendForce 135–140 kW</t>
        </is>
      </c>
      <c r="T6" s="2" t="inlineStr">
        <is>
          <t>只見搜尋摘錄 → 3 級</t>
        </is>
      </c>
    </row>
    <row r="7">
      <c r="A7" s="2" t="inlineStr">
        <is>
          <t>SRC_HW_014</t>
        </is>
      </c>
      <c r="B7" s="2" t="inlineStr">
        <is>
          <t>Supermicro VR NVL72 散熱設計點</t>
        </is>
      </c>
      <c r="C7" s="2" t="inlineStr">
        <is>
          <t>Spec_Rack F9</t>
        </is>
      </c>
      <c r="D7" s="2" t="inlineStr">
        <is>
          <t>227 kW/架</t>
        </is>
      </c>
      <c r="E7" s="2" t="inlineStr">
        <is>
          <t>DLC-2 設計點</t>
        </is>
      </c>
      <c r="F7" s="2" t="n">
        <v>3</v>
      </c>
      <c r="G7" s="2" t="inlineStr">
        <is>
          <t>https://ir.supermicro.com/news/news-details/2026/Supermicro-Now-Shipping-NVIDIA-Vera-Rubin-NVL72-Racks/default.aspx（SRC 現引 windowsforum.com 轉述）</t>
        </is>
      </c>
      <c r="H7" s="2" t="inlineStr">
        <is>
          <t>2026-10-05</t>
        </is>
      </c>
      <c r="I7" s="2" t="inlineStr">
        <is>
          <t>R5 讀不到：被封鎖（ir.supermicro.com、supermicro.com；WebFetch 回 EGRESS_BLOCKED／curl CONNECT 403）；僅見搜尋摘要</t>
        </is>
      </c>
      <c r="J7" s="2" t="inlineStr">
        <is>
          <t>（未讀到原文，無可摘錄）</t>
        </is>
      </c>
      <c r="K7" s="2" t="inlineStr">
        <is>
          <t>搜尋摘要：DLC-2「sized for 227 kW per rack」（Supermicro 新聞稿）</t>
        </is>
      </c>
      <c r="L7" s="2" t="inlineStr">
        <is>
          <t>—（散熱設計點，非 NVIDIA 官方機架功率）</t>
        </is>
      </c>
      <c r="M7" s="2" t="inlineStr">
        <is>
          <t>一致（依搜尋摘要）</t>
        </is>
      </c>
      <c r="N7" s="2" t="n">
        <v>3</v>
      </c>
      <c r="O7" s="2" t="inlineStr">
        <is>
          <t>利害關係方：Supermicro 為系統廠；散熱「設計」上限偏保守（誘因：展示散熱能力）</t>
        </is>
      </c>
      <c r="P7" s="2" t="inlineStr">
        <is>
          <t>無（NVIDIA 官方 VR200 NVL72 機架功率未找到）</t>
        </is>
      </c>
      <c r="Q7" s="2" t="inlineStr">
        <is>
          <t>N/A（未見不一致）</t>
        </is>
      </c>
      <c r="R7" s="2" t="inlineStr">
        <is>
          <t>一手出處（Supermicro 新聞稿）已找到網址，取得後可把 SRC 來源由 windowsforum 轉述換成新聞稿；口徑為散熱設計容量，不等於 IT 用電</t>
        </is>
      </c>
      <c r="S7" s="2" t="inlineStr">
        <is>
          <t>DLC-2 冷卻「sized for 227 kW per rack」</t>
        </is>
      </c>
      <c r="T7" s="2" t="inlineStr">
        <is>
          <t>只見搜尋摘錄 → 3 級</t>
        </is>
      </c>
    </row>
    <row r="8">
      <c r="A8" s="2" t="inlineStr">
        <is>
          <t>SRC_HW_013</t>
        </is>
      </c>
      <c r="B8" s="2" t="inlineStr">
        <is>
          <t>Rubin Ultra NVL576 機架功率</t>
        </is>
      </c>
      <c r="C8" s="2" t="inlineStr">
        <is>
          <t>Spec_Rack G9（基準 600；G8／G10 550／650 為 Assumed）</t>
        </is>
      </c>
      <c r="D8" s="2" t="inlineStr">
        <is>
          <t>600 kW/架</t>
        </is>
      </c>
      <c r="E8" s="2" t="inlineStr">
        <is>
          <t>約值</t>
        </is>
      </c>
      <c r="F8" s="2" t="n">
        <v>3</v>
      </c>
      <c r="G8" s="2" t="inlineStr">
        <is>
          <t>https://www.theregister.com/2025/03/19/nvidia_charts_course_for_600kw</t>
        </is>
      </c>
      <c r="H8" s="2" t="inlineStr">
        <is>
          <t>2026-10-05</t>
        </is>
      </c>
      <c r="I8" s="2" t="inlineStr">
        <is>
          <t>R5 讀不到：被封鎖（theregister.com、datacenterdynamics.com、techradar.com；WebFetch 回 EGRESS_BLOCKED／curl CONNECT 403）；僅見搜尋摘要</t>
        </is>
      </c>
      <c r="J8" s="2" t="inlineStr">
        <is>
          <t>（未讀到原文，無可摘錄）</t>
        </is>
      </c>
      <c r="K8" s="2" t="inlineStr">
        <is>
          <t>搜尋摘要：單一 NVL576 機架最高約 600 kW（The Register、DCD 皆報導 NVIDIA GTC 2025 簡報）</t>
        </is>
      </c>
      <c r="L8" s="2" t="inlineStr">
        <is>
          <t>—</t>
        </is>
      </c>
      <c r="M8" s="2" t="inlineStr">
        <is>
          <t>一致（依搜尋摘要）</t>
        </is>
      </c>
      <c r="N8" s="2" t="n">
        <v>3</v>
      </c>
      <c r="O8" s="2" t="inlineStr">
        <is>
          <t>利害關係方：NVIDIA 路線圖（尚未出貨）；The Register、DCD 為媒體轉述</t>
        </is>
      </c>
      <c r="P8" s="2" t="inlineStr">
        <is>
          <t>The Register 與 DCD 為兩個獨立媒體，但皆轉述同一場簡報（非獨立量測）</t>
        </is>
      </c>
      <c r="Q8" s="2" t="inlineStr">
        <is>
          <t>N/A（未見不一致）</t>
        </is>
      </c>
      <c r="R8" s="2" t="inlineStr">
        <is>
          <t>搜尋摘要註記 2027 下半年出貨；「up to 600 kW」為上限用語</t>
        </is>
      </c>
      <c r="S8" s="2" t="inlineStr">
        <is>
          <t>NVL576 機架 up to 600 kW，約為 Blackwell B200 機架 120 kW 的 5 倍</t>
        </is>
      </c>
      <c r="T8" s="2" t="inlineStr">
        <is>
          <t>只見搜尋摘錄 → 3 級</t>
        </is>
      </c>
    </row>
    <row r="9">
      <c r="A9" s="2" t="inlineStr">
        <is>
          <t>SRC_HW_003</t>
        </is>
      </c>
      <c r="B9" s="2" t="inlineStr">
        <is>
          <t>HGX H100 8 GPU 伺服器價格</t>
        </is>
      </c>
      <c r="C9" s="2" t="inlineStr">
        <is>
          <t>Spec_Rack C11（低）、C12（基準 1.1，G0-2 保留）、C13（高）</t>
        </is>
      </c>
      <c r="D9" s="2" t="inlineStr">
        <is>
          <t>220,000–320,000 $/台</t>
        </is>
      </c>
      <c r="E9" s="2" t="inlineStr">
        <is>
          <t>取得價區間</t>
        </is>
      </c>
      <c r="F9" s="2" t="n">
        <v>3</v>
      </c>
      <c r="G9" s="2" t="inlineStr">
        <is>
          <t>clusterbid.com（SRC 登錄；低品質來源）</t>
        </is>
      </c>
      <c r="H9" s="2" t="inlineStr">
        <is>
          <t>2026-10-05</t>
        </is>
      </c>
      <c r="I9" s="2" t="inlineStr">
        <is>
          <t>R6 找不到原始出處（clusterbid 原頁未於搜尋結果出現；查詢詞：「HGX H100 8-GPU server price $220,000 $320,000」；已查：搜尋引擎結果頁，原站被封鎖未驗證）；僅見其他零售報價摘要</t>
        </is>
      </c>
      <c r="J9" s="2" t="inlineStr">
        <is>
          <t>（未讀到原文，無可摘錄）</t>
        </is>
      </c>
      <c r="K9" s="2" t="inlineStr">
        <is>
          <t>搜尋摘要（其他來源）：Arc Compute 起價 $210,000；B2B 掛牌約 $265,000 起；ASUS 7U 掛牌 $311,599.87、$249,200.05；7U 8480+ 配置 $316,203.84</t>
        </is>
      </c>
      <c r="L9" s="2" t="inlineStr">
        <is>
          <t>×4 台＝機架 0.88–1.28 $M（SRC 備註）</t>
        </is>
      </c>
      <c r="M9" s="2" t="inlineStr">
        <is>
          <t>一致（零售掛牌價區間大致涵蓋 22–32 萬；掛牌價非成交價）</t>
        </is>
      </c>
      <c r="N9" s="2" t="n">
        <v>3</v>
      </c>
      <c r="O9" s="2" t="inlineStr">
        <is>
          <t>利害關係方：經銷商掛牌價，有銷售誘因</t>
        </is>
      </c>
      <c r="P9" s="2" t="inlineStr">
        <is>
          <t>多家經銷商掛牌價（摘要）；非獨立估計方法</t>
        </is>
      </c>
      <c r="Q9" s="2" t="inlineStr">
        <is>
          <t>N/A（未見不一致）</t>
        </is>
      </c>
      <c r="R9" s="2" t="inlineStr">
        <is>
          <t>B6 用；掛牌價與成交價差距未知</t>
        </is>
      </c>
      <c r="S9" s="2" t="inlineStr">
        <is>
          <t>HGX H100 8-GPU 伺服器掛牌約 21–32 萬美元；另有 30–46 萬的整機叢集報價</t>
        </is>
      </c>
      <c r="T9" s="2" t="inlineStr">
        <is>
          <t>只見搜尋摘錄 → 3 級</t>
        </is>
      </c>
    </row>
    <row r="10">
      <c r="A10" s="2" t="inlineStr">
        <is>
          <t>SRC_HW_006</t>
        </is>
      </c>
      <c r="B10" s="2" t="inlineStr">
        <is>
          <t>GB200 NVL72 機架價格</t>
        </is>
      </c>
      <c r="C10" s="2" t="inlineStr">
        <is>
          <t>Spec_Rack D11、D12（基準 3.1，G0-2 保留）、D13</t>
        </is>
      </c>
      <c r="D10" s="2" t="inlineStr">
        <is>
          <t>2.8–3.4 $M/架</t>
        </is>
      </c>
      <c r="E10" s="2" t="inlineStr">
        <is>
          <t>媒體報價</t>
        </is>
      </c>
      <c r="F10" s="2" t="n">
        <v>3</v>
      </c>
      <c r="G10" s="2" t="inlineStr">
        <is>
          <t>Tom's Hardware（經 Yahoo Finance，SRC 登錄）</t>
        </is>
      </c>
      <c r="H10" s="2" t="inlineStr">
        <is>
          <t>2026-10-05</t>
        </is>
      </c>
      <c r="I10" s="2" t="inlineStr">
        <is>
          <t>R5 讀不到：被封鎖（tomshardware.com、wing.vc、datagravity.dev；WebFetch 回 EGRESS_BLOCKED／curl CONNECT 403）；僅見搜尋摘要</t>
        </is>
      </c>
      <c r="J10" s="2" t="inlineStr">
        <is>
          <t>（未讀到原文，無可摘錄）</t>
        </is>
      </c>
      <c r="K10" s="2" t="inlineStr">
        <is>
          <t>搜尋摘要：Wolfe Research 約 $3.0M（2026-01-30）；Morgan Stanley $3.1M；SemiAnalysis $3.1M（裸機）、$3.9M（含網路與儲存）</t>
        </is>
      </c>
      <c r="L10" s="2" t="inlineStr">
        <is>
          <t>口徑：裸機 vs 含網路儲存；本模型以裸機（SRC 區間 2.8–3.4）</t>
        </is>
      </c>
      <c r="M10" s="2" t="inlineStr">
        <is>
          <t>一致（3.0／3.1／3.1 落在區間內）</t>
        </is>
      </c>
      <c r="N10" s="2" t="n">
        <v>3</v>
      </c>
      <c r="O10" s="2" t="inlineStr">
        <is>
          <t>Wolfe、Morgan Stanley 為賣方研究（中立偏估計，方法未公開）；SemiAnalysis 另有付費訂閱誘因</t>
        </is>
      </c>
      <c r="P10" s="2" t="inlineStr">
        <is>
          <t>Wolfe 與 Morgan Stanley（摘要）為獨立於 SemiAnalysis 的第二、第三來源</t>
        </is>
      </c>
      <c r="Q10" s="2" t="inlineStr">
        <is>
          <t>N/A（未見不一致）</t>
        </is>
      </c>
      <c r="R10" s="2" t="inlineStr">
        <is>
          <t>B6：三家同口徑（裸機）估計 3.0／3.1／3.1，中位數 3.1＝現值</t>
        </is>
      </c>
      <c r="S10" s="2" t="inlineStr">
        <is>
          <t>GB200 NVL72 機架：Wolfe ~3.0、MS 3.1、SemiAnalysis 3.1（裸機）／3.9（全含）</t>
        </is>
      </c>
      <c r="T10" s="2" t="inlineStr">
        <is>
          <t>只見搜尋摘錄 → 3 級</t>
        </is>
      </c>
    </row>
    <row r="11">
      <c r="A11" s="2" t="inlineStr">
        <is>
          <t>SRC_HW_010</t>
        </is>
      </c>
      <c r="B11" s="2" t="inlineStr">
        <is>
          <t>GB300 NVL72 採購單價</t>
        </is>
      </c>
      <c r="C11" s="2" t="inlineStr">
        <is>
          <t>Spec_Rack E12（基準）</t>
        </is>
      </c>
      <c r="D11" s="2" t="inlineStr">
        <is>
          <t>5.0 $M/架</t>
        </is>
      </c>
      <c r="E11" s="2" t="inlineStr">
        <is>
          <t>採購單</t>
        </is>
      </c>
      <c r="F11" s="2" t="n">
        <v>3</v>
      </c>
      <c r="G11" s="2" t="inlineStr">
        <is>
          <t>https://www.wing.vc/content/how-much-does-an-nvidia-nvl72-cost（Data Gravity 經 wing.vc；SRC 登錄）</t>
        </is>
      </c>
      <c r="H11" s="2" t="inlineStr">
        <is>
          <t>2026-10-05</t>
        </is>
      </c>
      <c r="I11" s="2" t="inlineStr">
        <is>
          <t>R5 讀不到：被封鎖（wing.vc、datagravity.dev；WebFetch 回 EGRESS_BLOCKED／curl CONNECT 403）；僅見搜尋摘要</t>
        </is>
      </c>
      <c r="J11" s="2" t="inlineStr">
        <is>
          <t>（未讀到原文，無可摘錄）</t>
        </is>
      </c>
      <c r="K11" s="2" t="inlineStr">
        <is>
          <t>搜尋摘要：最近採購單「just under $5.0M」不含機架內 CDU；加 250 kW CDU 約多 $32K</t>
        </is>
      </c>
      <c r="L11" s="2" t="inlineStr">
        <is>
          <t>現值 5.0 對「略低於 5.0」；差值未知（&lt;1%～數%）</t>
        </is>
      </c>
      <c r="M11" s="2" t="inlineStr">
        <is>
          <t>一致（約；原文確切值未取得）</t>
        </is>
      </c>
      <c r="N11" s="2" t="n">
        <v>3</v>
      </c>
      <c r="O11" s="2" t="inlineStr">
        <is>
          <t>利害關係方：未具名交易方，經 wing.vc／Data Gravity 轉述</t>
        </is>
      </c>
      <c r="P11" s="2" t="inlineStr">
        <is>
          <t>Wolfe 估 GB300 約 $4.3M；其他分析約 $3.7–4.0M；媒體 $6–6.5M（均為摘要，口徑不一）</t>
        </is>
      </c>
      <c r="Q11" s="2" t="inlineStr">
        <is>
          <t>N/A（未見不一致）</t>
        </is>
      </c>
      <c r="R11" s="2" t="inlineStr">
        <is>
          <t>B6：GB300 同口徑估計分歧大（3.7–6.5）；詳見多家估計頁</t>
        </is>
      </c>
      <c r="S11" s="2" t="inlineStr">
        <is>
          <t>GB300 NVL72：採購單略低於 $5.0M（不含 CDU）；媒體 6–6.5M；Wolfe 4.3M</t>
        </is>
      </c>
      <c r="T11" s="2" t="inlineStr">
        <is>
          <t>只見搜尋摘錄 → 3 級</t>
        </is>
      </c>
    </row>
    <row r="12">
      <c r="A12" s="2" t="inlineStr">
        <is>
          <t>SRC_HW_015</t>
        </is>
      </c>
      <c r="B12" s="2" t="inlineStr">
        <is>
          <t>VR200 NVL72 機架成本（Morgan Stanley）</t>
        </is>
      </c>
      <c r="C12" s="2" t="inlineStr">
        <is>
          <t>Spec_Rack F12（基準 7.8）</t>
        </is>
      </c>
      <c r="D12" s="2" t="inlineStr">
        <is>
          <t>7.8 $M/架</t>
        </is>
      </c>
      <c r="E12" s="2" t="inlineStr">
        <is>
          <t>分析師估計</t>
        </is>
      </c>
      <c r="F12" s="2" t="n">
        <v>3</v>
      </c>
      <c r="G12" s="2" t="inlineStr">
        <is>
          <t>Tom's Hardware／PC Gamer／Guru3D 轉述 Morgan Stanley（SRC 登錄 PC Gamer、BigGo）</t>
        </is>
      </c>
      <c r="H12" s="2" t="inlineStr">
        <is>
          <t>2026-10-05</t>
        </is>
      </c>
      <c r="I12" s="2" t="inlineStr">
        <is>
          <t>R5 讀不到：被封鎖（tomshardware.com、guru3d.com、pcgameshardware.de、wccftech.com；WebFetch 回 EGRESS_BLOCKED／curl CONNECT 403）；僅見搜尋摘要</t>
        </is>
      </c>
      <c r="J12" s="2" t="inlineStr">
        <is>
          <t>（未讀到原文，無可摘錄）</t>
        </is>
      </c>
      <c r="K12" s="2" t="inlineStr">
        <is>
          <t>搜尋摘要：Morgan Stanley 預期 VR200 NVL72 每機架約 $7.8M（記憶體約 25%、約 $2M）；Bernstein 認為可達 $9.1M（HBM4 $53/GB）</t>
        </is>
      </c>
      <c r="L12" s="2" t="inlineStr">
        <is>
          <t>MS 為「成本」（SRC 登錄為「機架成本」）；Bernstein 為「售價」可能；口徑未必相同</t>
        </is>
      </c>
      <c r="M12" s="2" t="inlineStr">
        <is>
          <t>一致（7.8）；另見獨立估計 9.1（B6）</t>
        </is>
      </c>
      <c r="N12" s="2" t="n">
        <v>3</v>
      </c>
      <c r="O12" s="2" t="inlineStr">
        <is>
          <t>中立（賣方研究，方法未公開）；SRC 現行標記為 IP（立場欄為中立）——兩者不一致，見待判斷</t>
        </is>
      </c>
      <c r="P12" s="2" t="inlineStr">
        <is>
          <t>Bernstein 9.1（獨立）；台灣供應鏈報導約 NT$1.8 億（≈$5.7–6.0M）口徑未明</t>
        </is>
      </c>
      <c r="Q12" s="2" t="inlineStr">
        <is>
          <t>見 B6 影響計算：F12 改 8.445 → IF_FullCost_Sol(VR200) +6.3%、L1_Ans3／Ans4 +6.3%</t>
        </is>
      </c>
      <c r="R12" s="2" t="inlineStr">
        <is>
          <t>F13＝9.1（現行硬編碼）與 Bernstein 同值；F11＝6.7 無對應來源</t>
        </is>
      </c>
      <c r="S12" s="2" t="inlineStr">
        <is>
          <t>MS：VR200 NVL72 約 $7.8M；Bernstein：$9.1M</t>
        </is>
      </c>
      <c r="T12" s="2" t="inlineStr">
        <is>
          <t>只見搜尋摘錄 → 3 級</t>
        </is>
      </c>
    </row>
    <row r="13">
      <c r="A13" s="2" t="inlineStr">
        <is>
          <t>SRC_HW_040</t>
        </is>
      </c>
      <c r="B13" s="2" t="inlineStr">
        <is>
          <t>H100 FP8 dense 峰值</t>
        </is>
      </c>
      <c r="C13" s="2" t="inlineStr">
        <is>
          <t>Spec_Rack C23、C40</t>
        </is>
      </c>
      <c r="D13" s="2" t="inlineStr">
        <is>
          <t>1.979 PF/GPU</t>
        </is>
      </c>
      <c r="E13" s="2" t="inlineStr">
        <is>
          <t>dense</t>
        </is>
      </c>
      <c r="F13" s="2" t="n">
        <v>3</v>
      </c>
      <c r="G13" s="2" t="inlineStr">
        <is>
          <t>https://www.nvidia.com/en-us/data-center/h100/（規格表；URL 待確認）</t>
        </is>
      </c>
      <c r="H13" s="2" t="inlineStr">
        <is>
          <t>2026-10-05</t>
        </is>
      </c>
      <c r="I13" s="2" t="inlineStr">
        <is>
          <t>R5 讀不到：被封鎖（nvidia.com；轉載頁亦被封鎖；WebFetch 回 EGRESS_BLOCKED／curl CONNECT 403）；僅見搜尋摘要</t>
        </is>
      </c>
      <c r="J13" s="2" t="inlineStr">
        <is>
          <t>（未讀到原文，無可摘錄）</t>
        </is>
      </c>
      <c r="K13" s="2" t="inlineStr">
        <is>
          <t>搜尋摘要：H100 SXM FP8 3,958 TFLOPS（含稀疏）；無稀疏為一半＝1,979 TFLOPS</t>
        </is>
      </c>
      <c r="L13" s="2" t="inlineStr">
        <is>
          <t>3,958 ÷ 2 ＝ 1,979 TFLOPS ＝ 1.979 PF（NVIDIA 規格表腳註：稀疏為 2×）</t>
        </is>
      </c>
      <c r="M13" s="2" t="inlineStr">
        <is>
          <t>一致（換算後；依搜尋摘要）</t>
        </is>
      </c>
      <c r="N13" s="2" t="n">
        <v>3</v>
      </c>
      <c r="O13" s="2" t="inlineStr">
        <is>
          <t>利害關係方：NVIDIA 規格（峰值為理論值）</t>
        </is>
      </c>
      <c r="P13" s="2" t="inlineStr">
        <is>
          <t>NGC 基準頁摘要：H100 FP8 峰值 1979 TFLOPS、BF16 989 TFLOPS（NVIDIA 官方基準頁，摘要）</t>
        </is>
      </c>
      <c r="Q13" s="2" t="inlineStr">
        <is>
          <t>N/A（未見不一致）</t>
        </is>
      </c>
      <c r="R13" s="2" t="inlineStr">
        <is>
          <t>Calib C69 候選公式＝SRC_HW_019/SRC_HW_040（B5）</t>
        </is>
      </c>
      <c r="S13" s="2" t="inlineStr">
        <is>
          <t>H100 SXM：FP8 3,958 TFLOPS（含稀疏）；BF16 1,979（含稀疏）；dense 為一半</t>
        </is>
      </c>
      <c r="T13" s="2" t="inlineStr">
        <is>
          <t>只見搜尋摘錄 → 3 級</t>
        </is>
      </c>
    </row>
    <row r="14">
      <c r="A14" s="2" t="inlineStr">
        <is>
          <t>SRC_HW_043</t>
        </is>
      </c>
      <c r="B14" s="2" t="inlineStr">
        <is>
          <t>GB200／GB300 FP8 dense 峰值</t>
        </is>
      </c>
      <c r="C14" s="2" t="inlineStr">
        <is>
          <t>Spec_Rack D40、E40</t>
        </is>
      </c>
      <c r="D14" s="2" t="inlineStr">
        <is>
          <t>5 PF/GPU</t>
        </is>
      </c>
      <c r="E14" s="2" t="inlineStr">
        <is>
          <t>dense；B300 未提升 FP8</t>
        </is>
      </c>
      <c r="F14" s="2" t="n">
        <v>3</v>
      </c>
      <c r="G14" s="2" t="inlineStr">
        <is>
          <t>https://www.nvidia.com/en-us/data-center/gb200-nvl72/</t>
        </is>
      </c>
      <c r="H14" s="2" t="inlineStr">
        <is>
          <t>2026-10-05</t>
        </is>
      </c>
      <c r="I14" s="2" t="inlineStr">
        <is>
          <t>R5 讀不到：被封鎖（nvidia.com；WebFetch 回 EGRESS_BLOCKED／curl CONNECT 403）；僅見搜尋摘要</t>
        </is>
      </c>
      <c r="J14" s="2" t="inlineStr">
        <is>
          <t>（未讀到原文，無可摘錄）</t>
        </is>
      </c>
      <c r="K14" s="2" t="inlineStr">
        <is>
          <t>搜尋摘要：GB200 NVL72 FP8/FP6 Tensor Core 合計 720 PFLOPS（機架）；FP4 dense 每 GPU 10 PF</t>
        </is>
      </c>
      <c r="L14" s="2" t="inlineStr">
        <is>
          <t>720 PF ÷ 72 GPU ＝ 10 PF/GPU（NVIDIA 表列含稀疏）→ dense ＝ 5 PF/GPU（稀疏 2×）；GB300 FP8 與 GB200 同（B300 FP8 未提升）此點未在摘要中得到確認</t>
        </is>
      </c>
      <c r="M14" s="2" t="inlineStr">
        <is>
          <t>一致（換算後；稀疏 2× 的前提取自 H100 規格表慣例）</t>
        </is>
      </c>
      <c r="N14" s="2" t="n">
        <v>3</v>
      </c>
      <c r="O14" s="2" t="inlineStr">
        <is>
          <t>利害關係方：NVIDIA 規格</t>
        </is>
      </c>
      <c r="P14" s="2" t="inlineStr">
        <is>
          <t>無獨立第二來源（GB300 FP8 未提升一節未得證據）</t>
        </is>
      </c>
      <c r="Q14" s="2" t="inlineStr">
        <is>
          <t>N/A（未見不一致）</t>
        </is>
      </c>
      <c r="R14" s="2" t="inlineStr">
        <is>
          <t>GB300 部分（E40）僅有 SRC 備註主張，搜尋未得證據</t>
        </is>
      </c>
      <c r="S14" s="2" t="inlineStr">
        <is>
          <t>GB200 NVL72：FP8/FP6 720 PFLOPS（機架）；FP4 dense 10 PF/GPU</t>
        </is>
      </c>
      <c r="T14" s="2" t="inlineStr">
        <is>
          <t>只見搜尋摘錄 → 3 級</t>
        </is>
      </c>
    </row>
    <row r="15">
      <c r="A15" s="2" t="inlineStr">
        <is>
          <t>SRC_HW_045</t>
        </is>
      </c>
      <c r="B15" s="2" t="inlineStr">
        <is>
          <t>Rubin Ultra NVL576 FP8 峰值（全架）</t>
        </is>
      </c>
      <c r="C15" s="2" t="inlineStr">
        <is>
          <t>Spec_Rack G40（34.7＝5000÷144，G0-2 保留）</t>
        </is>
      </c>
      <c r="D15" s="2" t="inlineStr">
        <is>
          <t>5000 PF/架</t>
        </is>
      </c>
      <c r="E15" s="2" t="inlineStr">
        <is>
          <t>144 封裝</t>
        </is>
      </c>
      <c r="F15" s="2" t="n">
        <v>3</v>
      </c>
      <c r="G15" s="2" t="inlineStr">
        <is>
          <t>https://www.nvidia.com/ （GTC 2025；URL 待 Andy 提供）</t>
        </is>
      </c>
      <c r="H15" s="2" t="inlineStr">
        <is>
          <t>2026-10-05</t>
        </is>
      </c>
      <c r="I15" s="2" t="inlineStr">
        <is>
          <t>R5 讀不到：被封鎖（nvidia.com、datacenterdynamics.com；轉載頁（3dtested、tweaktown）搜尋摘要可見；WebFetch 回 EGRESS_BLOCKED／curl CONNECT 403）；僅見搜尋摘要</t>
        </is>
      </c>
      <c r="J15" s="2" t="inlineStr">
        <is>
          <t>（未讀到原文，無可摘錄）</t>
        </is>
      </c>
      <c r="K15" s="2" t="inlineStr">
        <is>
          <t>搜尋摘要：NVL576 為 15 EF FP4 推論、5 EF FP8 訓練</t>
        </is>
      </c>
      <c r="L15" s="2" t="inlineStr">
        <is>
          <t>5 EF ＝ 5,000 PF；÷144 封裝＝34.7 PF/封裝（模型 G40）</t>
        </is>
      </c>
      <c r="M15" s="2" t="inlineStr">
        <is>
          <t>一致（依搜尋摘要）</t>
        </is>
      </c>
      <c r="N15" s="2" t="n">
        <v>3</v>
      </c>
      <c r="O15" s="2" t="inlineStr">
        <is>
          <t>利害關係方：NVIDIA 路線圖</t>
        </is>
      </c>
      <c r="P15" s="2" t="inlineStr">
        <is>
          <t>無獨立量測（皆轉述 GTC 簡報）</t>
        </is>
      </c>
      <c r="Q15" s="2" t="inlineStr">
        <is>
          <t>N/A（未見不一致）</t>
        </is>
      </c>
      <c r="R15" s="2" t="inlineStr">
        <is>
          <t>「FP8 訓練」5 EF 是否為 dense 未能確認（NVIDIA 常以稀疏列示）；若為稀疏則 dense＝2.5 EF，值差 2×，列入待判斷</t>
        </is>
      </c>
      <c r="S15" s="2" t="inlineStr">
        <is>
          <t>NVL576：15 EF FP4 inference／5 EF FP8 training；每 GPU 含 4 reticle 晶粒</t>
        </is>
      </c>
      <c r="T15" s="2" t="inlineStr">
        <is>
          <t>只見搜尋摘錄 → 3 級</t>
        </is>
      </c>
    </row>
    <row r="16">
      <c r="A16" s="2" t="inlineStr">
        <is>
          <t>SRC_MOD_006</t>
        </is>
      </c>
      <c r="B16" s="2" t="inlineStr">
        <is>
          <t>DeepSeek V4-Flash 啟用參數</t>
        </is>
      </c>
      <c r="C16" s="2" t="inlineStr">
        <is>
          <t>Arch C7</t>
        </is>
      </c>
      <c r="D16" s="2" t="inlineStr">
        <is>
          <t>13 B</t>
        </is>
      </c>
      <c r="E16" s="2" t="inlineStr">
        <is>
          <t>—</t>
        </is>
      </c>
      <c r="F16" s="2" t="n">
        <v>3</v>
      </c>
      <c r="G16" s="2" t="inlineStr">
        <is>
          <t>https://huggingface.co/deepseek-ai/DeepSeek-V4-Flash；https://arxiv.org/pdf/2606.19348</t>
        </is>
      </c>
      <c r="H16" s="2" t="inlineStr">
        <is>
          <t>2026-10-05</t>
        </is>
      </c>
      <c r="I16" s="2" t="inlineStr">
        <is>
          <t>R5 讀不到：被封鎖（huggingface.co、arxiv.org；WebFetch 回 EGRESS_BLOCKED／curl CONNECT 403）；僅見搜尋摘要</t>
        </is>
      </c>
      <c r="J16" s="2" t="inlineStr">
        <is>
          <t>（未讀到原文，無可摘錄）</t>
        </is>
      </c>
      <c r="K16" s="2" t="inlineStr">
        <is>
          <t>搜尋摘要：V4-Flash 共 284B 參數、每 token 啟用 13B（多個轉述頁；arXiv 2606.19348 摘要）</t>
        </is>
      </c>
      <c r="L16" s="2" t="inlineStr">
        <is>
          <t>—</t>
        </is>
      </c>
      <c r="M16" s="2" t="inlineStr">
        <is>
          <t>一致（依搜尋摘要）</t>
        </is>
      </c>
      <c r="N16" s="2" t="n">
        <v>3</v>
      </c>
      <c r="O16" s="2" t="inlineStr">
        <is>
          <t>利害關係方：DeepSeek 自揭</t>
        </is>
      </c>
      <c r="P16" s="2" t="inlineStr">
        <is>
          <t>NVIDIA NeMo AutoModel 文件、Vultr、SiliconFlow、Azure 目錄頁皆同（摘要）</t>
        </is>
      </c>
      <c r="Q16" s="2" t="inlineStr">
        <is>
          <t>N/A（未見不一致）</t>
        </is>
      </c>
      <c r="R16" s="2" t="inlineStr">
        <is>
          <t>一手為 arXiv 論文與 HF 模型卡；二者皆被封鎖。SRC 現稱出處為 v4 活頁簿與彙整站，可改引</t>
        </is>
      </c>
      <c r="S16" s="2" t="inlineStr">
        <is>
          <t>284B 總參數／13B 啟用</t>
        </is>
      </c>
      <c r="T16" s="2" t="inlineStr">
        <is>
          <t>只見搜尋摘錄 → 3 級</t>
        </is>
      </c>
    </row>
    <row r="17">
      <c r="A17" s="2" t="inlineStr">
        <is>
          <t>SRC_MOD_002</t>
        </is>
      </c>
      <c r="B17" s="2" t="inlineStr">
        <is>
          <t>DeepSeek V4-Pro 啟用參數</t>
        </is>
      </c>
      <c r="C17" s="2" t="inlineStr">
        <is>
          <t>Arch D7</t>
        </is>
      </c>
      <c r="D17" s="2" t="inlineStr">
        <is>
          <t>49 B</t>
        </is>
      </c>
      <c r="E17" s="2" t="inlineStr">
        <is>
          <t>—</t>
        </is>
      </c>
      <c r="F17" s="2" t="n">
        <v>3</v>
      </c>
      <c r="G17" s="2" t="inlineStr">
        <is>
          <t>https://huggingface.co/deepseek-ai/DeepSeek-V4-Pro</t>
        </is>
      </c>
      <c r="H17" s="2" t="inlineStr">
        <is>
          <t>2026-10-05</t>
        </is>
      </c>
      <c r="I17" s="2" t="inlineStr">
        <is>
          <t>R5 讀不到：被封鎖（huggingface.co；WebFetch 回 EGRESS_BLOCKED／curl CONNECT 403）；僅見搜尋摘要</t>
        </is>
      </c>
      <c r="J17" s="2" t="inlineStr">
        <is>
          <t>（未讀到原文，無可摘錄）</t>
        </is>
      </c>
      <c r="K17" s="2" t="inlineStr">
        <is>
          <t>搜尋摘要：V4-Pro 1.6T 總參數、每 token 啟用 49B</t>
        </is>
      </c>
      <c r="L17" s="2" t="inlineStr">
        <is>
          <t>—</t>
        </is>
      </c>
      <c r="M17" s="2" t="inlineStr">
        <is>
          <t>一致（依搜尋摘要）</t>
        </is>
      </c>
      <c r="N17" s="2" t="n">
        <v>3</v>
      </c>
      <c r="O17" s="2" t="inlineStr">
        <is>
          <t>利害關係方：DeepSeek 自揭</t>
        </is>
      </c>
      <c r="P17" s="2" t="inlineStr">
        <is>
          <t>LM Studio、SiliconFlow、Requesty 及 NYU Shanghai 報導同值（摘要）</t>
        </is>
      </c>
      <c r="Q17" s="2" t="inlineStr">
        <is>
          <t>N/A（未見不一致）</t>
        </is>
      </c>
      <c r="R17" s="2" t="inlineStr"/>
      <c r="S17" s="2" t="inlineStr">
        <is>
          <t>1.6T 總參數／49B 啟用</t>
        </is>
      </c>
      <c r="T17" s="2" t="inlineStr">
        <is>
          <t>只見搜尋摘錄 → 3 級</t>
        </is>
      </c>
    </row>
    <row r="18">
      <c r="A18" s="2" t="inlineStr">
        <is>
          <t>SRC_PERF_009</t>
        </is>
      </c>
      <c r="B18" s="2" t="inlineStr">
        <is>
          <t>InferenceX GB300 V4-Pro @72 tok/s/user</t>
        </is>
      </c>
      <c r="C18" s="2" t="inlineStr">
        <is>
          <t>Calib C14:C17；D67:G67 η_d 以此為可比</t>
        </is>
      </c>
      <c r="D18" s="2" t="inlineStr">
        <is>
          <t>9384.4 tok/s/GPU（72、8192、1024；MTP）</t>
        </is>
      </c>
      <c r="E18" s="2" t="inlineStr">
        <is>
          <t>tok/s/GPU（總 token）</t>
        </is>
      </c>
      <c r="F18" s="2" t="n">
        <v>3</v>
      </c>
      <c r="G18" s="2" t="inlineStr">
        <is>
          <t>https://inferencex.semianalysis.com/compare-per-dollar/deepseek-v4-b300-vs-gb300</t>
        </is>
      </c>
      <c r="H18" s="2" t="inlineStr">
        <is>
          <t>2026-10-05</t>
        </is>
      </c>
      <c r="I18" s="2" t="inlineStr">
        <is>
          <t>R5 讀不到：被封鎖（inferencex.semianalysis.com；WebFetch 回 EGRESS_BLOCKED／curl CONNECT 403）；僅見搜尋摘要</t>
        </is>
      </c>
      <c r="J18" s="2" t="inlineStr">
        <is>
          <t>（未讀到原文，無可摘錄）</t>
        </is>
      </c>
      <c r="K18" s="2" t="inlineStr">
        <is>
          <t>搜尋摘要：GB300 NVL72 在 72 tok/s/user 為 9384 tok/s/GPU，$0.08/M</t>
        </is>
      </c>
      <c r="L18" s="2" t="inlineStr">
        <is>
          <t>摘要取整為 9384；SRC 為 9384.4，小數位無法核對</t>
        </is>
      </c>
      <c r="M18" s="2" t="inlineStr">
        <is>
          <t>一致至整數位（小數位無法核對；S1 (a) 容差 0 的條件未能滿足）</t>
        </is>
      </c>
      <c r="N18" s="2" t="n">
        <v>3</v>
      </c>
      <c r="O18" s="2" t="inlineStr">
        <is>
          <t>利害關係方：SemiAnalysis（出售研究與 InferenceX 贊助相關；GPU 廠商參與設定）</t>
        </is>
      </c>
      <c r="P18" s="2" t="inlineStr">
        <is>
          <t>MLPerf Inference v6.0（NVIDIA 部落格摘要）：GB300 NVL72 DeepSeek-R1 Server 8,064 tok/s/GPU、Offline 9,821 tok/s/GPU——模型為 R1 非 V4-Pro，且情境不同，口徑不同，僅作量級參照；本模型 Checks 23 已有此比對</t>
        </is>
      </c>
      <c r="Q18" s="2" t="inlineStr">
        <is>
          <t>N/A（未見不一致）</t>
        </is>
      </c>
      <c r="R18" s="2" t="inlineStr">
        <is>
          <t>SemiAnalysis 規則：不得為唯一依據——第二來源只能量級對照，無 V4-Pro 同口徑量測</t>
        </is>
      </c>
      <c r="S18" s="2" t="inlineStr">
        <is>
          <t>InferenceX：GB300 在 72 tok/s/user＝9384 tok/s/GPU</t>
        </is>
      </c>
      <c r="T18" s="2" t="inlineStr">
        <is>
          <t>只見搜尋摘錄 → 3 級</t>
        </is>
      </c>
    </row>
    <row r="19">
      <c r="A19" s="2" t="inlineStr">
        <is>
          <t>SRC_PERF_010</t>
        </is>
      </c>
      <c r="B19" s="2" t="inlineStr">
        <is>
          <t>InferenceX GB300 V4-Pro @130 tok/s/user</t>
        </is>
      </c>
      <c r="C19" s="2" t="inlineStr">
        <is>
          <t>Calib D14:D17</t>
        </is>
      </c>
      <c r="D19" s="2" t="inlineStr">
        <is>
          <t>3473.9 tok/s/GPU（130、8192、1024；MTP）</t>
        </is>
      </c>
      <c r="E19" s="2" t="inlineStr">
        <is>
          <t>tok/s/GPU（總 token）</t>
        </is>
      </c>
      <c r="F19" s="2" t="n">
        <v>3</v>
      </c>
      <c r="G19" s="2" t="inlineStr">
        <is>
          <t>https://inferencex.semianalysis.com/compare-per-dollar/deepseek-v4-b300-vs-gb300</t>
        </is>
      </c>
      <c r="H19" s="2" t="inlineStr">
        <is>
          <t>2026-10-05</t>
        </is>
      </c>
      <c r="I19" s="2" t="inlineStr">
        <is>
          <t>R5 讀不到：被封鎖（inferencex.semianalysis.com；WebFetch 回 EGRESS_BLOCKED／curl CONNECT 403）；僅見搜尋摘要</t>
        </is>
      </c>
      <c r="J19" s="2" t="inlineStr">
        <is>
          <t>（未讀到原文，無可摘錄）</t>
        </is>
      </c>
      <c r="K19" s="2" t="inlineStr">
        <is>
          <t>搜尋摘要：130 tok/s/user 時 3474 tok/s/GPU、$0.22/M</t>
        </is>
      </c>
      <c r="L19" s="2" t="inlineStr">
        <is>
          <t>摘要取整 3474；SRC 3473.9</t>
        </is>
      </c>
      <c r="M19" s="2" t="inlineStr">
        <is>
          <t>一致至整數位（小數位無法核對）</t>
        </is>
      </c>
      <c r="N19" s="2" t="n">
        <v>3</v>
      </c>
      <c r="O19" s="2" t="inlineStr">
        <is>
          <t>利害關係方：SemiAnalysis（同上）</t>
        </is>
      </c>
      <c r="P19" s="2" t="inlineStr">
        <is>
          <t>同 SRC_PERF_009：僅有 R1 的 MLPerf 量級對照</t>
        </is>
      </c>
      <c r="Q19" s="2" t="inlineStr">
        <is>
          <t>N/A（未見不一致）</t>
        </is>
      </c>
      <c r="R19" s="2" t="inlineStr"/>
      <c r="S19" s="2" t="inlineStr">
        <is>
          <t>InferenceX：130 tok/s/user＝3474 tok/s/GPU，$0.22/M</t>
        </is>
      </c>
      <c r="T19" s="2" t="inlineStr">
        <is>
          <t>只見搜尋摘錄 → 3 級</t>
        </is>
      </c>
    </row>
    <row r="20">
      <c r="A20" s="2" t="inlineStr">
        <is>
          <t>SRC_PERF_036</t>
        </is>
      </c>
      <c r="B20" s="2" t="inlineStr">
        <is>
          <t>Llama 3 405B 預訓練 BF16 MFU</t>
        </is>
      </c>
      <c r="C20" s="2" t="inlineStr">
        <is>
          <t>（無直接連結；Train_In C6 預訓練 MFU 0.25（0.18–0.35，Analogy）的可比對象）</t>
        </is>
      </c>
      <c r="D20" s="2" t="inlineStr">
        <is>
          <t>低 0.38／高 0.43</t>
        </is>
      </c>
      <c r="E20" s="2" t="inlineStr">
        <is>
          <t>BF16；16K H100</t>
        </is>
      </c>
      <c r="F20" s="2" t="n">
        <v>3</v>
      </c>
      <c r="G20" s="2" t="inlineStr">
        <is>
          <t>https://arxiv.org/abs/2407.21783</t>
        </is>
      </c>
      <c r="H20" s="2" t="inlineStr">
        <is>
          <t>2026-10-05</t>
        </is>
      </c>
      <c r="I20" s="2" t="inlineStr">
        <is>
          <t>R5 讀不到：被封鎖（arxiv.org；WebFetch 回 EGRESS_BLOCKED／curl CONNECT 403）；僅見搜尋摘要</t>
        </is>
      </c>
      <c r="J20" s="2" t="inlineStr">
        <is>
          <t>（未讀到原文，無可摘錄）</t>
        </is>
      </c>
      <c r="K20" s="2" t="inlineStr">
        <is>
          <t>搜尋摘要：Meta 報告 BF16 MFU 38–43%（8,192 GPU 為 43%、16,384 GPU 為 41%；Table 4 另見 38%、41% 列）</t>
        </is>
      </c>
      <c r="L20" s="2" t="inlineStr">
        <is>
          <t>BF16 分母 989 TF；模型 C6 以 FP8 分母 1,979 TF：0.38–0.43 × 989/1979 ＝ 0.19–0.215（若同一運算改以 FP8 峰值為分母）</t>
        </is>
      </c>
      <c r="M20" s="2" t="inlineStr">
        <is>
          <t>一致（0.38–0.43 對摘要）；與模型 C6 口徑不同（BF16 vs FP8 分母），換算後 0.19–0.215 落在 C6 區間 0.18–0.35 下緣</t>
        </is>
      </c>
      <c r="N20" s="2" t="n">
        <v>3</v>
      </c>
      <c r="O20" s="2" t="inlineStr">
        <is>
          <t>利害關係方：Meta 技術報告（自揭；無出售算力誘因，但有展示效率誘因）</t>
        </is>
      </c>
      <c r="P20" s="2" t="inlineStr">
        <is>
          <t>NVIDIA NGC 基準頁（摘要）：Llama 3.1 405B 在 576×H100 FP8 MFU 42.71%（分母 FP8 1979）——FP8 分母口徑的獨立量測，高於模型 0.25</t>
        </is>
      </c>
      <c r="Q20" s="2" t="inlineStr">
        <is>
          <t>N/A（未見不一致）</t>
        </is>
      </c>
      <c r="R20" s="2" t="inlineStr">
        <is>
          <t>NGC 的 42.71% 為 NVIDIA 優化基準（小叢集 576 GPU），不代表大規模真實訓練；可比性差異記入候選證據</t>
        </is>
      </c>
      <c r="S20" s="2" t="inlineStr">
        <is>
          <t>Llama 3 405B：BF16 MFU 38–43%</t>
        </is>
      </c>
      <c r="T20" s="2" t="inlineStr">
        <is>
          <t>只見搜尋摘錄 → 3 級</t>
        </is>
      </c>
    </row>
    <row r="21">
      <c r="A21" s="2" t="inlineStr">
        <is>
          <t>SRC_PERF_037</t>
        </is>
      </c>
      <c r="B21" s="2" t="inlineStr">
        <is>
          <t>Llama 3 有效訓練時間比（goodput）</t>
        </is>
      </c>
      <c r="C21" s="2" t="inlineStr">
        <is>
          <t>Train_In C7 goodput 0.90（0.80–0.95，Analogy）</t>
        </is>
      </c>
      <c r="D21" s="2" t="inlineStr">
        <is>
          <t>0.90（下限 &gt;90%）</t>
        </is>
      </c>
      <c r="E21" s="2" t="inlineStr">
        <is>
          <t>%</t>
        </is>
      </c>
      <c r="F21" s="2" t="n">
        <v>3</v>
      </c>
      <c r="G21" s="2" t="inlineStr">
        <is>
          <t>https://arxiv.org/abs/2407.21783</t>
        </is>
      </c>
      <c r="H21" s="2" t="inlineStr">
        <is>
          <t>2026-10-05</t>
        </is>
      </c>
      <c r="I21" s="2" t="inlineStr">
        <is>
          <t>R5 讀不到：被封鎖（arxiv.org；WebFetch 回 EGRESS_BLOCKED／curl CONNECT 403）；僅見搜尋摘要</t>
        </is>
      </c>
      <c r="J21" s="2" t="inlineStr">
        <is>
          <t>（未讀到原文，無可摘錄）</t>
        </is>
      </c>
      <c r="K21" s="2" t="inlineStr">
        <is>
          <t>搜尋摘要：有效訓練時間 &gt;90%；54 天快照 466 次中斷（47 次計畫、419 次非預期）；僅 3 次需人工介入</t>
        </is>
      </c>
      <c r="L21" s="2" t="inlineStr">
        <is>
          <t>—</t>
        </is>
      </c>
      <c r="M21" s="2" t="inlineStr">
        <is>
          <t>一致（依搜尋摘要）</t>
        </is>
      </c>
      <c r="N21" s="2" t="n">
        <v>3</v>
      </c>
      <c r="O21" s="2" t="inlineStr">
        <is>
          <t>利害關係方：Meta 自揭</t>
        </is>
      </c>
      <c r="P21" s="2" t="inlineStr">
        <is>
          <t>DCD、SDxCentral、3dtested 轉述（非獨立）</t>
        </is>
      </c>
      <c r="Q21" s="2" t="inlineStr">
        <is>
          <t>N/A（未見不一致）</t>
        </is>
      </c>
      <c r="R21" s="2" t="inlineStr">
        <is>
          <t>Llama 3 為 16K H100、2024；goodput 不隨世代、規模自動可比（Analogy）</t>
        </is>
      </c>
      <c r="S21" s="2" t="inlineStr">
        <is>
          <t>Llama 3：有效訓練時間 &gt;90%，54 天 466 次中斷</t>
        </is>
      </c>
      <c r="T21" s="2" t="inlineStr">
        <is>
          <t>只見搜尋摘錄 → 3 級</t>
        </is>
      </c>
    </row>
    <row r="22">
      <c r="A22" s="2" t="inlineStr">
        <is>
          <t>SRC_MOD_007</t>
        </is>
      </c>
      <c r="B22" s="2" t="inlineStr">
        <is>
          <t>DeepSeek V4-Flash 層數</t>
        </is>
      </c>
      <c r="C22" s="2" t="inlineStr">
        <is>
          <t>Arch C8</t>
        </is>
      </c>
      <c r="D22" s="2" t="inlineStr">
        <is>
          <t>43 層</t>
        </is>
      </c>
      <c r="E22" s="2" t="inlineStr">
        <is>
          <t>—</t>
        </is>
      </c>
      <c r="F22" s="2" t="n">
        <v>3</v>
      </c>
      <c r="G22" s="2" t="inlineStr">
        <is>
          <t>https://huggingface.co/deepseek-ai/DeepSeek-V4-Flash/raw/main/config.json（commit fd53f94；第 8o 節）</t>
        </is>
      </c>
      <c r="H22" s="2" t="inlineStr">
        <is>
          <t>2026-10-05</t>
        </is>
      </c>
      <c r="I22" s="2" t="inlineStr">
        <is>
          <t>R5 讀不到：被封鎖（huggingface.co（config.json）；WebFetch 回 EGRESS_BLOCKED／curl CONNECT 403）；僅見搜尋摘要</t>
        </is>
      </c>
      <c r="J22" s="2" t="inlineStr">
        <is>
          <t>（未讀到原文，無可摘錄）</t>
        </is>
      </c>
      <c r="K22" s="2" t="inlineStr">
        <is>
          <t>摘要：43 個 Transformer 層，hidden 4096</t>
        </is>
      </c>
      <c r="L22" s="2" t="inlineStr">
        <is>
          <t>—</t>
        </is>
      </c>
      <c r="M22" s="2" t="inlineStr">
        <is>
          <t>一致（依搜尋摘要；config.json 本身未讀到）</t>
        </is>
      </c>
      <c r="N22" s="2" t="n">
        <v>3</v>
      </c>
      <c r="O22" s="2" t="inlineStr">
        <is>
          <t>利害關係方：DeepSeek 自揭（配置檔為事實，誘因低）</t>
        </is>
      </c>
      <c r="P22" s="2" t="inlineStr">
        <is>
          <t>NVIDIA NeMo AutoModel、Vultr、SiliconFlow、CometAPI 等文件頁（摘要，皆轉述同一份 config）</t>
        </is>
      </c>
      <c r="Q22" s="2" t="inlineStr">
        <is>
          <t>N/A（未見不一致）</t>
        </is>
      </c>
      <c r="R22" s="2" t="inlineStr">
        <is>
          <t>config.json 為一手；被封鎖時無法升為 1 級。S1 (a) 的升級條件（讀到原文）未滿足</t>
        </is>
      </c>
      <c r="S22" s="2" t="inlineStr">
        <is>
          <t>摘要：43 個 Transformer 層，hidden 4096</t>
        </is>
      </c>
      <c r="T22" s="2" t="inlineStr">
        <is>
          <t>只見搜尋摘錄 → 3 級</t>
        </is>
      </c>
    </row>
    <row r="23">
      <c r="A23" s="2" t="inlineStr">
        <is>
          <t>SRC_MOD_009</t>
        </is>
      </c>
      <c r="B23" s="2" t="inlineStr">
        <is>
          <t>DeepSeek V4 KV head 維度</t>
        </is>
      </c>
      <c r="C23" s="2" t="inlineStr">
        <is>
          <t>Arch C11、D11</t>
        </is>
      </c>
      <c r="D23" s="2" t="inlineStr">
        <is>
          <t>512 維（單一 KV head）</t>
        </is>
      </c>
      <c r="E23" s="2" t="inlineStr">
        <is>
          <t>—</t>
        </is>
      </c>
      <c r="F23" s="2" t="n">
        <v>3</v>
      </c>
      <c r="G23" s="2" t="inlineStr">
        <is>
          <t>https://huggingface.co/deepseek-ai/DeepSeek-V4-Flash/raw/main/config.json（commit fd53f94；第 8o 節）</t>
        </is>
      </c>
      <c r="H23" s="2" t="inlineStr">
        <is>
          <t>2026-10-05</t>
        </is>
      </c>
      <c r="I23" s="2" t="inlineStr">
        <is>
          <t>R5 讀不到：被封鎖（huggingface.co（config.json）；WebFetch 回 EGRESS_BLOCKED／curl CONNECT 403）；僅見搜尋摘要</t>
        </is>
      </c>
      <c r="J23" s="2" t="inlineStr">
        <is>
          <t>（未讀到原文，無可摘錄）</t>
        </is>
      </c>
      <c r="K23" s="2" t="inlineStr">
        <is>
          <t>摘要：head_dim 512、num_key_value_heads 1（論文：CSA／HCA query heads 64、head dim 512）</t>
        </is>
      </c>
      <c r="L23" s="2" t="inlineStr">
        <is>
          <t>—</t>
        </is>
      </c>
      <c r="M23" s="2" t="inlineStr">
        <is>
          <t>一致（依搜尋摘要；config.json 本身未讀到）</t>
        </is>
      </c>
      <c r="N23" s="2" t="n">
        <v>3</v>
      </c>
      <c r="O23" s="2" t="inlineStr">
        <is>
          <t>利害關係方：DeepSeek 自揭（配置檔為事實，誘因低）</t>
        </is>
      </c>
      <c r="P23" s="2" t="inlineStr">
        <is>
          <t>NVIDIA NeMo AutoModel、Vultr、SiliconFlow、CometAPI 等文件頁（摘要，皆轉述同一份 config）</t>
        </is>
      </c>
      <c r="Q23" s="2" t="inlineStr">
        <is>
          <t>N/A（未見不一致）</t>
        </is>
      </c>
      <c r="R23" s="2" t="inlineStr">
        <is>
          <t>V4-Pro 是否同為 head_dim 512：搜尋摘要稱 V4 兩型共用 512，Pro 的 config.json 另需讀取</t>
        </is>
      </c>
      <c r="S23" s="2" t="inlineStr">
        <is>
          <t>摘要：head_dim 512、num_key_value_heads 1（論文：CSA／HCA query heads 64、head dim 512）</t>
        </is>
      </c>
      <c r="T23" s="2" t="inlineStr">
        <is>
          <t>只見搜尋摘錄 → 3 級</t>
        </is>
      </c>
    </row>
    <row r="24">
      <c r="A24" s="2" t="inlineStr">
        <is>
          <t>SRC_MOD_010</t>
        </is>
      </c>
      <c r="B24" s="2" t="inlineStr">
        <is>
          <t>DeepSeek V4-Flash routed experts</t>
        </is>
      </c>
      <c r="C24" s="2" t="inlineStr">
        <is>
          <t>Arch C12</t>
        </is>
      </c>
      <c r="D24" s="2" t="inlineStr">
        <is>
          <t>256 個</t>
        </is>
      </c>
      <c r="E24" s="2" t="inlineStr">
        <is>
          <t>—</t>
        </is>
      </c>
      <c r="F24" s="2" t="n">
        <v>3</v>
      </c>
      <c r="G24" s="2" t="inlineStr">
        <is>
          <t>https://huggingface.co/deepseek-ai/DeepSeek-V4-Flash/raw/main/config.json（commit fd53f94；第 8o 節）</t>
        </is>
      </c>
      <c r="H24" s="2" t="inlineStr">
        <is>
          <t>2026-10-05</t>
        </is>
      </c>
      <c r="I24" s="2" t="inlineStr">
        <is>
          <t>R5 讀不到：被封鎖（huggingface.co（config.json）；WebFetch 回 EGRESS_BLOCKED／curl CONNECT 403）；僅見搜尋摘要</t>
        </is>
      </c>
      <c r="J24" s="2" t="inlineStr">
        <is>
          <t>（未讀到原文，無可摘錄）</t>
        </is>
      </c>
      <c r="K24" s="2" t="inlineStr">
        <is>
          <t>摘要：1 shared＋256 routed experts，每專家 intermediate 2048</t>
        </is>
      </c>
      <c r="L24" s="2" t="inlineStr">
        <is>
          <t>—</t>
        </is>
      </c>
      <c r="M24" s="2" t="inlineStr">
        <is>
          <t>一致（依搜尋摘要；config.json 本身未讀到）</t>
        </is>
      </c>
      <c r="N24" s="2" t="n">
        <v>3</v>
      </c>
      <c r="O24" s="2" t="inlineStr">
        <is>
          <t>利害關係方：DeepSeek 自揭（配置檔為事實，誘因低）</t>
        </is>
      </c>
      <c r="P24" s="2" t="inlineStr">
        <is>
          <t>NVIDIA NeMo AutoModel、Vultr、SiliconFlow、CometAPI 等文件頁（摘要，皆轉述同一份 config）</t>
        </is>
      </c>
      <c r="Q24" s="2" t="inlineStr">
        <is>
          <t>N/A（未見不一致）</t>
        </is>
      </c>
      <c r="R24" s="2" t="inlineStr">
        <is>
          <t>config.json 為一手；被封鎖時無法升為 1 級。S1 (a) 的升級條件（讀到原文）未滿足</t>
        </is>
      </c>
      <c r="S24" s="2" t="inlineStr">
        <is>
          <t>摘要：1 shared＋256 routed experts，每專家 intermediate 2048</t>
        </is>
      </c>
      <c r="T24" s="2" t="inlineStr">
        <is>
          <t>只見搜尋摘錄 → 3 級</t>
        </is>
      </c>
    </row>
    <row r="25">
      <c r="A25" s="2" t="inlineStr">
        <is>
          <t>SRC_MOD_012</t>
        </is>
      </c>
      <c r="B25" s="2" t="inlineStr">
        <is>
          <t>DeepSeek V4 每 token 啟用 routed experts</t>
        </is>
      </c>
      <c r="C25" s="2" t="inlineStr">
        <is>
          <t>Arch C13、D13</t>
        </is>
      </c>
      <c r="D25" s="2" t="inlineStr">
        <is>
          <t>6 個</t>
        </is>
      </c>
      <c r="E25" s="2" t="inlineStr">
        <is>
          <t>—</t>
        </is>
      </c>
      <c r="F25" s="2" t="n">
        <v>3</v>
      </c>
      <c r="G25" s="2" t="inlineStr">
        <is>
          <t>https://huggingface.co/deepseek-ai/DeepSeek-V4-Flash/raw/main/config.json（commit fd53f94；第 8o 節）</t>
        </is>
      </c>
      <c r="H25" s="2" t="inlineStr">
        <is>
          <t>2026-10-05</t>
        </is>
      </c>
      <c r="I25" s="2" t="inlineStr">
        <is>
          <t>R5 讀不到：被封鎖（huggingface.co（config.json）；WebFetch 回 EGRESS_BLOCKED／curl CONNECT 403）；僅見搜尋摘要</t>
        </is>
      </c>
      <c r="J25" s="2" t="inlineStr">
        <is>
          <t>（未讀到原文，無可摘錄）</t>
        </is>
      </c>
      <c r="K25" s="2" t="inlineStr">
        <is>
          <t>摘要：每 token 啟用 6 個 routed experts</t>
        </is>
      </c>
      <c r="L25" s="2" t="inlineStr">
        <is>
          <t>—</t>
        </is>
      </c>
      <c r="M25" s="2" t="inlineStr">
        <is>
          <t>一致（依搜尋摘要；config.json 本身未讀到）</t>
        </is>
      </c>
      <c r="N25" s="2" t="n">
        <v>3</v>
      </c>
      <c r="O25" s="2" t="inlineStr">
        <is>
          <t>利害關係方：DeepSeek 自揭（配置檔為事實，誘因低）</t>
        </is>
      </c>
      <c r="P25" s="2" t="inlineStr">
        <is>
          <t>NVIDIA NeMo AutoModel、Vultr、SiliconFlow、CometAPI 等文件頁（摘要，皆轉述同一份 config）</t>
        </is>
      </c>
      <c r="Q25" s="2" t="inlineStr">
        <is>
          <t>N/A（未見不一致）</t>
        </is>
      </c>
      <c r="R25" s="2" t="inlineStr">
        <is>
          <t>V4-Pro 是否同為 6：本次未得 Pro 的獨立摘要；Arch D13 引同一 SRC，需讀 Pro config 核對</t>
        </is>
      </c>
      <c r="S25" s="2" t="inlineStr">
        <is>
          <t>摘要：每 token 啟用 6 個 routed experts</t>
        </is>
      </c>
      <c r="T25" s="2" t="inlineStr">
        <is>
          <t>只見搜尋摘錄 → 3 級</t>
        </is>
      </c>
    </row>
    <row r="26">
      <c r="A26" s="2" t="inlineStr">
        <is>
          <t>SRC_MOD_013</t>
        </is>
      </c>
      <c r="B26" s="2" t="inlineStr">
        <is>
          <t>DeepSeek V4 shared experts</t>
        </is>
      </c>
      <c r="C26" s="2" t="inlineStr">
        <is>
          <t>Arch C14、D14</t>
        </is>
      </c>
      <c r="D26" s="2" t="inlineStr">
        <is>
          <t>1 個</t>
        </is>
      </c>
      <c r="E26" s="2" t="inlineStr">
        <is>
          <t>—</t>
        </is>
      </c>
      <c r="F26" s="2" t="n">
        <v>3</v>
      </c>
      <c r="G26" s="2" t="inlineStr">
        <is>
          <t>https://huggingface.co/deepseek-ai/DeepSeek-V4-Flash/raw/main/config.json（commit fd53f94；第 8o 節）</t>
        </is>
      </c>
      <c r="H26" s="2" t="inlineStr">
        <is>
          <t>2026-10-05</t>
        </is>
      </c>
      <c r="I26" s="2" t="inlineStr">
        <is>
          <t>R5 讀不到：被封鎖（huggingface.co（config.json）；WebFetch 回 EGRESS_BLOCKED／curl CONNECT 403）；僅見搜尋摘要</t>
        </is>
      </c>
      <c r="J26" s="2" t="inlineStr">
        <is>
          <t>（未讀到原文，無可摘錄）</t>
        </is>
      </c>
      <c r="K26" s="2" t="inlineStr">
        <is>
          <t>摘要：每 MoE 層 1 個 shared expert</t>
        </is>
      </c>
      <c r="L26" s="2" t="inlineStr">
        <is>
          <t>—</t>
        </is>
      </c>
      <c r="M26" s="2" t="inlineStr">
        <is>
          <t>一致（依搜尋摘要；config.json 本身未讀到）</t>
        </is>
      </c>
      <c r="N26" s="2" t="n">
        <v>3</v>
      </c>
      <c r="O26" s="2" t="inlineStr">
        <is>
          <t>利害關係方：DeepSeek 自揭（配置檔為事實，誘因低）</t>
        </is>
      </c>
      <c r="P26" s="2" t="inlineStr">
        <is>
          <t>NVIDIA NeMo AutoModel、Vultr、SiliconFlow、CometAPI 等文件頁（摘要，皆轉述同一份 config）</t>
        </is>
      </c>
      <c r="Q26" s="2" t="inlineStr">
        <is>
          <t>N/A（未見不一致）</t>
        </is>
      </c>
      <c r="R26" s="2" t="inlineStr">
        <is>
          <t>Pro 同上</t>
        </is>
      </c>
      <c r="S26" s="2" t="inlineStr">
        <is>
          <t>摘要：每 MoE 層 1 個 shared expert</t>
        </is>
      </c>
      <c r="T26" s="2" t="inlineStr">
        <is>
          <t>只見搜尋摘錄 → 3 級</t>
        </is>
      </c>
    </row>
    <row r="27">
      <c r="A27" s="2" t="inlineStr">
        <is>
          <t>SRC_MOD_014</t>
        </is>
      </c>
      <c r="B27" s="2" t="inlineStr">
        <is>
          <t>DeepSeek V4 vocab</t>
        </is>
      </c>
      <c r="C27" s="2" t="inlineStr">
        <is>
          <t>Arch C15、D15</t>
        </is>
      </c>
      <c r="D27" s="2" t="inlineStr">
        <is>
          <t>129,280</t>
        </is>
      </c>
      <c r="E27" s="2" t="inlineStr">
        <is>
          <t>—</t>
        </is>
      </c>
      <c r="F27" s="2" t="n">
        <v>3</v>
      </c>
      <c r="G27" s="2" t="inlineStr">
        <is>
          <t>https://huggingface.co/deepseek-ai/DeepSeek-V4-Flash/raw/main/config.json（commit fd53f94；第 8o 節）</t>
        </is>
      </c>
      <c r="H27" s="2" t="inlineStr">
        <is>
          <t>2026-10-05</t>
        </is>
      </c>
      <c r="I27" s="2" t="inlineStr">
        <is>
          <t>R5 讀不到：被封鎖（huggingface.co（config.json）；WebFetch 回 EGRESS_BLOCKED／curl CONNECT 403）；僅見搜尋摘要</t>
        </is>
      </c>
      <c r="J27" s="2" t="inlineStr">
        <is>
          <t>（未讀到原文，無可摘錄）</t>
        </is>
      </c>
      <c r="K27" s="2" t="inlineStr">
        <is>
          <t>摘要：tokenizer 詞表 129,280</t>
        </is>
      </c>
      <c r="L27" s="2" t="inlineStr">
        <is>
          <t>—</t>
        </is>
      </c>
      <c r="M27" s="2" t="inlineStr">
        <is>
          <t>一致（依搜尋摘要；config.json 本身未讀到）</t>
        </is>
      </c>
      <c r="N27" s="2" t="n">
        <v>3</v>
      </c>
      <c r="O27" s="2" t="inlineStr">
        <is>
          <t>利害關係方：DeepSeek 自揭（配置檔為事實，誘因低）</t>
        </is>
      </c>
      <c r="P27" s="2" t="inlineStr">
        <is>
          <t>NVIDIA NeMo AutoModel、Vultr、SiliconFlow、CometAPI 等文件頁（摘要，皆轉述同一份 config）</t>
        </is>
      </c>
      <c r="Q27" s="2" t="inlineStr">
        <is>
          <t>N/A（未見不一致）</t>
        </is>
      </c>
      <c r="R27" s="2" t="inlineStr">
        <is>
          <t>Pro 同上；摘要稱「tokenizer 詞表」，與 config vocab_size（可含 padding）是否相同需讀原文</t>
        </is>
      </c>
      <c r="S27" s="2" t="inlineStr">
        <is>
          <t>摘要：tokenizer 詞表 129,280</t>
        </is>
      </c>
      <c r="T27" s="2" t="inlineStr">
        <is>
          <t>只見搜尋摘錄 → 3 級</t>
        </is>
      </c>
    </row>
    <row r="28">
      <c r="A28" s="2" t="inlineStr">
        <is>
          <t>SRC_MOD_017</t>
        </is>
      </c>
      <c r="B28" s="2" t="inlineStr">
        <is>
          <t>DeepSeek V4 滑動窗</t>
        </is>
      </c>
      <c r="C28" s="2" t="inlineStr">
        <is>
          <t>Arch C19、D19、C17</t>
        </is>
      </c>
      <c r="D28" s="2" t="inlineStr">
        <is>
          <t>128 tok</t>
        </is>
      </c>
      <c r="E28" s="2" t="inlineStr">
        <is>
          <t>—</t>
        </is>
      </c>
      <c r="F28" s="2" t="n">
        <v>3</v>
      </c>
      <c r="G28" s="2" t="inlineStr">
        <is>
          <t>https://huggingface.co/deepseek-ai/DeepSeek-V4-Flash/raw/main/config.json（commit fd53f94；第 8o 節）</t>
        </is>
      </c>
      <c r="H28" s="2" t="inlineStr">
        <is>
          <t>2026-10-05</t>
        </is>
      </c>
      <c r="I28" s="2" t="inlineStr">
        <is>
          <t>R5 讀不到：被封鎖（huggingface.co（config.json）；WebFetch 回 EGRESS_BLOCKED／curl CONNECT 403）；僅見搜尋摘要</t>
        </is>
      </c>
      <c r="J28" s="2" t="inlineStr">
        <is>
          <t>（未讀到原文，無可摘錄）</t>
        </is>
      </c>
      <c r="K28" s="2" t="inlineStr">
        <is>
          <t>摘要：sliding_window＝128（論文：窗口大小 128）</t>
        </is>
      </c>
      <c r="L28" s="2" t="inlineStr">
        <is>
          <t>—</t>
        </is>
      </c>
      <c r="M28" s="2" t="inlineStr">
        <is>
          <t>一致（依搜尋摘要；config.json 本身未讀到）</t>
        </is>
      </c>
      <c r="N28" s="2" t="n">
        <v>3</v>
      </c>
      <c r="O28" s="2" t="inlineStr">
        <is>
          <t>利害關係方：DeepSeek 自揭（配置檔為事實，誘因低）</t>
        </is>
      </c>
      <c r="P28" s="2" t="inlineStr">
        <is>
          <t>NVIDIA NeMo AutoModel、Vultr、SiliconFlow、CometAPI 等文件頁（摘要，皆轉述同一份 config）</t>
        </is>
      </c>
      <c r="Q28" s="2" t="inlineStr">
        <is>
          <t>N/A（未見不一致）</t>
        </is>
      </c>
      <c r="R28" s="2" t="inlineStr">
        <is>
          <t>config.json 為一手；被封鎖時無法升為 1 級。S1 (a) 的升級條件（讀到原文）未滿足</t>
        </is>
      </c>
      <c r="S28" s="2" t="inlineStr">
        <is>
          <t>摘要：sliding_window＝128（論文：窗口大小 128）</t>
        </is>
      </c>
      <c r="T28" s="2" t="inlineStr">
        <is>
          <t>只見搜尋摘錄 → 3 級</t>
        </is>
      </c>
    </row>
    <row r="29">
      <c r="A29" s="2" t="inlineStr">
        <is>
          <t>SRC_DEM_011</t>
        </is>
      </c>
      <c r="B29" s="2" t="inlineStr">
        <is>
          <t>OpenAI API 處理量</t>
        </is>
      </c>
      <c r="C29" s="2" t="inlineStr">
        <is>
          <t>（備查；不在模型內使用）</t>
        </is>
      </c>
      <c r="D29" s="2" t="inlineStr">
        <is>
          <t>15 B tok/min（「超過」；API 全部）</t>
        </is>
      </c>
      <c r="E29" s="2" t="inlineStr">
        <is>
          <t>B tok/min；時點值</t>
        </is>
      </c>
      <c r="F29" s="2" t="n">
        <v>2</v>
      </c>
      <c r="G29" s="2" t="inlineStr">
        <is>
          <t>https://openai.com/index/accelerating-the-next-phase-ai/（融資公告；URL 待確認）</t>
        </is>
      </c>
      <c r="H29" s="2" t="inlineStr">
        <is>
          <t>2026-10-05</t>
        </is>
      </c>
      <c r="I29" s="2" t="inlineStr">
        <is>
          <t>R5 讀不到：被封鎖（openai.com、pulse2.com、techradar.com；WebFetch 回 EGRESS_BLOCKED／curl CONNECT 403）；僅見搜尋摘要</t>
        </is>
      </c>
      <c r="J29" s="2" t="inlineStr">
        <is>
          <t>（未讀到原文，無可摘錄）</t>
        </is>
      </c>
      <c r="K29" s="2" t="inlineStr">
        <is>
          <t>搜尋摘要：融資公告稱 API 平台目前每分鐘處理「超過 150 億 token」（2026-03 融資 $122B、估值 $852B）</t>
        </is>
      </c>
      <c r="L29" s="2" t="inlineStr">
        <is>
          <t>—</t>
        </is>
      </c>
      <c r="M29" s="2" t="inlineStr">
        <is>
          <t>一致（數值；依搜尋摘要）；時點不明：不同轉述寫「2025 年底」「2026-04」，並有一則稱 2025-10 為 6B tok/min、2026-04 為 15B</t>
        </is>
      </c>
      <c r="N29" s="2" t="n">
        <v>3</v>
      </c>
      <c r="O29" s="2" t="inlineStr">
        <is>
          <t>利害關係方：OpenAI 融資公告，有呈現成長的誘因</t>
        </is>
      </c>
      <c r="P29" s="2" t="inlineStr">
        <is>
          <t>多家媒體轉述同一公告（非獨立）</t>
        </is>
      </c>
      <c r="Q29" s="2" t="inlineStr">
        <is>
          <t>N/A（未見不一致）</t>
        </is>
      </c>
      <c r="R29" s="2" t="inlineStr">
        <is>
          <t>現等級 2；因原文未讀、僅見摘要，依 G0-7 應為 3，建議降級待原文。口徑（API 全部、「超過」）須原文確認</t>
        </is>
      </c>
      <c r="S29" s="2" t="inlineStr">
        <is>
          <t>API 平台每分鐘處理 &gt;150 億 token（融資公告，2026-03）</t>
        </is>
      </c>
      <c r="T29" s="2" t="inlineStr">
        <is>
          <t>只見搜尋摘錄 → 3 級</t>
        </is>
      </c>
    </row>
    <row r="30">
      <c r="A30" s="2" t="inlineStr">
        <is>
          <t>SRC_DEM_013</t>
        </is>
      </c>
      <c r="B30" s="2" t="inlineStr">
        <is>
          <t>前沿實驗室（OpenAI）每日 token</t>
        </is>
      </c>
      <c r="C30" s="2" t="inlineStr">
        <is>
          <t>L1 外部對照、Alloc F 節</t>
        </is>
      </c>
      <c r="D30" s="2" t="inlineStr">
        <is>
          <t>低 10／高 100 T tok/日</t>
        </is>
      </c>
      <c r="E30" s="2" t="inlineStr">
        <is>
          <t>由算力推估</t>
        </is>
      </c>
      <c r="F30" s="2" t="n">
        <v>2</v>
      </c>
      <c r="G30" s="2" t="inlineStr">
        <is>
          <t>https://epoch.ai/gradient-updates/how-many-digital-workers-could-openai-deploy（Denain、Ho、Sevilla，2025-10-03）</t>
        </is>
      </c>
      <c r="H30" s="2" t="inlineStr">
        <is>
          <t>2026-10-05</t>
        </is>
      </c>
      <c r="I30" s="2" t="inlineStr">
        <is>
          <t>R5 讀不到：被封鎖（epoch.ai、tokensperday.com；WebFetch 回 EGRESS_BLOCKED／curl CONNECT 403）；僅見搜尋摘要</t>
        </is>
      </c>
      <c r="J30" s="2" t="inlineStr">
        <is>
          <t>（未讀到原文，無可摘錄）</t>
        </is>
      </c>
      <c r="K30" s="2" t="inlineStr">
        <is>
          <t>搜尋摘要：以約 48 萬 H100e 的推論算力（每日約 10^25 FLOP）、每 token 約 100–600 B FLOP，推得約 10–100 T tokens/日；另有以 ChatGPT 每日約 40 億則訊息直接估得 GPT-5 約 19–20 T tokens/日</t>
        </is>
      </c>
      <c r="L30" s="2" t="inlineStr">
        <is>
          <t>10^25 FLOP/日 ÷（100–600×10^9 FLOP/token）＝ 1.7×10^13–10^14 ≈ 17–100 T tokens/日，與摘要「10–100 T」大致吻合</t>
        </is>
      </c>
      <c r="M30" s="2" t="inlineStr">
        <is>
          <t>一致（區間；依搜尋摘要）；對象為 OpenAI（GPT-5）；token 為「生成 token」口徑（輸出），與模型引用的「每日 token」是否含輸入未明</t>
        </is>
      </c>
      <c r="N30" s="2" t="n">
        <v>3</v>
      </c>
      <c r="O30" s="2" t="inlineStr">
        <is>
          <t>中立：Epoch AI（獨立研究；方法為推估）</t>
        </is>
      </c>
      <c r="P30" s="2" t="inlineStr">
        <is>
          <t>Epoch 同篇的第二方法（直接用量）19–20 T/日，落在區間內；為同一作者的獨立方法</t>
        </is>
      </c>
      <c r="Q30" s="2" t="inlineStr">
        <is>
          <t>N/A（未見不一致）</t>
        </is>
      </c>
      <c r="R30" s="2" t="inlineStr">
        <is>
          <t>現等級 2（二手）；Epoch 原文未讀，依 G0-7 應為 3；tokensperday.com 為引用站</t>
        </is>
      </c>
      <c r="S30" s="2" t="inlineStr">
        <is>
          <t>OpenAI 推論算力推得 10–100 T tokens/日；直接用量法 ~19 T/日</t>
        </is>
      </c>
      <c r="T30" s="2" t="inlineStr">
        <is>
          <t>只見搜尋摘錄 → 3 級</t>
        </is>
      </c>
    </row>
  </sheetData>
  <autoFilter ref="A1:T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3" t="inlineStr">
        <is>
          <t>參數</t>
        </is>
      </c>
      <c r="B1" s="3" t="inlineStr">
        <is>
          <t>現值與區間</t>
        </is>
      </c>
      <c r="C1" s="3" t="inlineStr">
        <is>
          <t>候選來源</t>
        </is>
      </c>
      <c r="D1" s="3" t="inlineStr">
        <is>
          <t>讀取結果</t>
        </is>
      </c>
      <c r="E1" s="3" t="inlineStr">
        <is>
          <t>候選值或區間</t>
        </is>
      </c>
      <c r="F1" s="3" t="inlineStr">
        <is>
          <t>口徑差異</t>
        </is>
      </c>
      <c r="G1" s="3" t="inlineStr">
        <is>
          <t>立場</t>
        </is>
      </c>
      <c r="H1" s="3" t="inlineStr">
        <is>
          <t>是否為可比（Analogy，寫出差異）</t>
        </is>
      </c>
      <c r="I1" s="3" t="inlineStr">
        <is>
          <t>備註</t>
        </is>
      </c>
    </row>
    <row r="2">
      <c r="A2" s="2" t="inlineStr">
        <is>
          <t>Workload 11 歷史快取命中率 χ（排名 2）</t>
        </is>
      </c>
      <c r="B2" s="2" t="inlineStr">
        <is>
          <t>0.5／0.5／0.9／0.9／0.9（各層級與任務；Assumed）</t>
        </is>
      </c>
      <c r="C2" s="2" t="inlineStr">
        <is>
          <t>① DeepSeek 線上服務 24 小時統計（2025-02-27/28）；② Microsoft Research「Agentic Coding in the Wild」GitHub Copilot 13.5M 工作階段追蹤；③ Danielvaughan 部落格轉述 Codex CLI／Claude Code 快取命中率</t>
        </is>
      </c>
      <c r="D2" s="2" t="inlineStr">
        <is>
          <t>R5 讀不到：被封鎖（github.com/deepseek-ai、microsoft.com、codex.danielvaughan.com 皆未能取回原頁）；僅見搜尋摘要</t>
        </is>
      </c>
      <c r="E2" s="2" t="inlineStr">
        <is>
          <t>① 56.3% 輸入 token 命中快取（608 B 輸入、168 B 輸出 token／24 h）；② 同一輪內平均約 90%（第 3 次呼叫起穩定在 92–94%，中位 98%），跨輪平均約 55%；③ Claude Code 92%、OpenCode 89%（2026-04）</t>
        </is>
      </c>
      <c r="F2" s="2" t="inlineStr">
        <is>
          <t>① 為 API＋網頁的混合流量（含無前綴的新對話）；② 為 Copilot 代理工作流，以 LLM 呼叫計；③ 為轉述的工具別數據。模型 χ 定義＝輸入中屬快取命中的比例（含歷史前綴）</t>
        </is>
      </c>
      <c r="G2" s="2" t="inlineStr">
        <is>
          <t>① DeepSeek 自揭，有誇大效率誘因（利害關係方）；② Microsoft 研究（中立偏利害：自家產品）；③ 部落格轉述（二手）</t>
        </is>
      </c>
      <c r="H2" s="2" t="inlineStr">
        <is>
          <t>Analogy：① 對一般對話層（現值 0.5）相近（0.563 vs 0.5）；②③ 對代理層（現值 0.9）相近（0.90–0.94 輪內）；差異＝跨輪邊界的命中率僅 0.55，模型是否為「整體平均」未定</t>
        </is>
      </c>
      <c r="I2" s="2" t="inlineStr">
        <is>
          <t>只列候選區間 0.55–0.94；不提議基準值。命中率與快取 TTL、定價（快取輸入折扣）相關</t>
        </is>
      </c>
    </row>
    <row r="3">
      <c r="A3" s="2" t="inlineStr">
        <is>
          <t>Workload 5 輪數 T（排名 4）</t>
        </is>
      </c>
      <c r="B3" s="2" t="inlineStr">
        <is>
          <t>1／1／4／4／30（各層級與任務；Assumed）</t>
        </is>
      </c>
      <c r="C3" s="2" t="inlineStr">
        <is>
          <t>Microsoft Research GitHub Copilot 追蹤（同上）</t>
        </is>
      </c>
      <c r="D3" s="2" t="inlineStr">
        <is>
          <t>R5 讀不到：被封鎖；僅見搜尋摘要</t>
        </is>
      </c>
      <c r="E3" s="2" t="inlineStr">
        <is>
          <t>每工作階段使用者輪數：中位 3、平均 6.1、P90 15；LLM 呼叫：中位 15、平均 40.6；每一使用者輪平均展開 6.6 次自主 LLM 呼叫</t>
        </is>
      </c>
      <c r="F3" s="2" t="inlineStr">
        <is>
          <t>模型「輪」若指使用者輪，對應 3–15；若指 LLM 呼叫（代理迴圈步），對應 15–41 或每使用者輪 6.6。模型代理任務 T＝30 與「每工作階段 LLM 呼叫」的中位至平均同量級，但一般對話 T＝1 低於追蹤中位 3</t>
        </is>
      </c>
      <c r="G3" s="2" t="inlineStr">
        <is>
          <t>Microsoft 研究（中立偏利害）</t>
        </is>
      </c>
      <c r="H3" s="2" t="inlineStr">
        <is>
          <t>Analogy（Copilot 為編碼助理；差異＝定義與產品）</t>
        </is>
      </c>
      <c r="I3" s="2" t="inlineStr">
        <is>
          <t>只列候選；不提議基準值</t>
        </is>
      </c>
    </row>
    <row r="4">
      <c r="A4" s="2" t="inlineStr">
        <is>
          <t>Train_In 13 研發倍數（排名 11）</t>
        </is>
      </c>
      <c r="B4" s="2" t="inlineStr">
        <is>
          <t>8（Analogy；4.4–10.4 倍）</t>
        </is>
      </c>
      <c r="C4" s="2" t="inlineStr">
        <is>
          <t>Epoch AI「Final training runs account for a minority of R&amp;D compute spending」（2026-03 簡報亦提及）；SRC_DEM_001–003</t>
        </is>
      </c>
      <c r="D4" s="2" t="inlineStr">
        <is>
          <t>R5 讀不到：被封鎖（epoch.ai、epochai.substack.com）；僅見搜尋摘要</t>
        </is>
      </c>
      <c r="E4" s="2" t="inlineStr">
        <is>
          <t>OpenAI 2024 研發算力支出約 $5B，其中最終訓練約 $0.5B（約 10%，即倍數約 10）；MiniMax、Z.ai 最終訓練 &lt;30%（倍數 &gt;3.3）</t>
        </is>
      </c>
      <c r="F4" s="2" t="inlineStr">
        <is>
          <t>Epoch 為「支出」口徑；模型把倍數乘在 GPU 小時（E004 備註：支出口徑，乘在 GPU 小時上）；合成資料與基礎研究是否計入未知</t>
        </is>
      </c>
      <c r="G4" s="2" t="inlineStr">
        <is>
          <t>中立：Epoch AI（獨立研究；樣本為三家公司，無完整審計）</t>
        </is>
      </c>
      <c r="H4" s="2" t="inlineStr">
        <is>
          <t>Analogy 已有來源（SRC_DEM_001–003）；本次摘要與現有 9.6–22.6% 相容，未增加新獨立對象</t>
        </is>
      </c>
      <c r="I4" s="2" t="inlineStr">
        <is>
          <t>現值 8 落在 3.3–10；無新資訊使區間改變</t>
        </is>
      </c>
    </row>
    <row r="5">
      <c r="A5" s="2" t="inlineStr">
        <is>
          <t>Serving 24 參考 OSL（含思考）（排名 19）</t>
        </is>
      </c>
      <c r="B5" s="2" t="inlineStr">
        <is>
          <t>1024／2048／4096（Assumed）</t>
        </is>
      </c>
      <c r="C5" s="2" t="inlineStr">
        <is>
          <t>查詢：OpenRouter／生產追蹤的平均輸出長度</t>
        </is>
      </c>
      <c r="D5" s="2" t="inlineStr">
        <is>
          <t>R6 找不到原始出處（查詢詞：「average input tokens output tokens per request production LLM traces OpenRouter average prompt length completion length reasoning tokens」；已查：搜尋引擎結果頁；原站未能取回）</t>
        </is>
      </c>
      <c r="E5" s="2" t="inlineStr">
        <is>
          <t>僅有一般性經驗值：聊天請求約 1,000 輸入／500 輸出；OpenRouter 的 Sonnet 4 輸入÷輸出約 50（摘要）</t>
        </is>
      </c>
      <c r="F5" s="2" t="inlineStr">
        <is>
          <t>一般性經驗值為非推理模型；模型 OSL 含思考 token。無推理模型的實測分布</t>
        </is>
      </c>
      <c r="G5" s="2" t="inlineStr">
        <is>
          <t>多為部落格與定價指南（利害關係方：API 聚合商）</t>
        </is>
      </c>
      <c r="H5" s="2" t="inlineStr">
        <is>
          <t>不可比（無含思考 token 的分布）；列為缺口</t>
        </is>
      </c>
      <c r="I5" s="2" t="inlineStr">
        <is>
          <t>需 Andy 或 Project 提供含推理 token 的追蹤資料</t>
        </is>
      </c>
    </row>
    <row r="6">
      <c r="A6" s="2" t="inlineStr">
        <is>
          <t>Train_In 21 預訓練 MFU 世代倍數（排名 22）</t>
        </is>
      </c>
      <c r="B6" s="2" t="inlineStr">
        <is>
          <t>Hopper 0.8／GB200 1／GB300 1／VR200 0.9／RU 0.9（Assumed）</t>
        </is>
      </c>
      <c r="C6" s="2" t="inlineStr">
        <is>
          <t>DeepSeek-V3（H800）MFU 推導；ByteDance MegaScale-MoE；Lambda Blackwell 白皮書；NVIDIA NGC Llama 3.1 405B 基準</t>
        </is>
      </c>
      <c r="D6" s="2" t="inlineStr">
        <is>
          <t>R5 讀不到：被封鎖（arxiv.org、lambda.ai、catalog.ngc.nvidia.com）；僅見搜尋摘要</t>
        </is>
      </c>
      <c r="E6" s="2" t="inlineStr">
        <is>
          <t>DeepSeek-V3 FP8 MFU 約 21–23%（估）；MegaScale-MoE 352B（1,440 Hopper）28–32%；MoE 預訓練一般 25–40%（部落格）；Lambda：Blackwell 優化後約 +35% 相對產業基準中位；NVIDIA：Llama 3.1 405B FP8 on 576×H100 MFU 42.71%</t>
        </is>
      </c>
      <c r="F6" s="2" t="inlineStr">
        <is>
          <t>無「世代對世代」倍數的直接來源。Lambda 的 +35% 為同廠商優化前後，非世代間；NGC 為廠商優化的小叢集基準。模型倍數以 GB200＝1 為基準，Hopper 0.8（→MFU 20%，對應 DeepSeek-V3 推導）</t>
        </is>
      </c>
      <c r="G6" s="2" t="inlineStr">
        <is>
          <t>Lambda 為 GPU 雲業者（利害關係方）；NVIDIA 為賣方；ByteDance、DeepSeek 為使用者自揭</t>
        </is>
      </c>
      <c r="H6" s="2" t="inlineStr">
        <is>
          <t>Analogy 差異大：無 Blackwell／Rubin 代際 MFU 比；僅能支持 Hopper 絕對水準約 20–32%</t>
        </is>
      </c>
      <c r="I6" s="2" t="inlineStr">
        <is>
          <t>只列候選；Hopper 0.8 對應的 20% 與 DeepSeek-V3 21–23% 一致</t>
        </is>
      </c>
    </row>
    <row r="7">
      <c r="A7" s="2" t="inlineStr">
        <is>
          <t>Serving 23 參考 ISL（每次請求輸入）（排名 25）</t>
        </is>
      </c>
      <c r="B7" s="2" t="inlineStr">
        <is>
          <t>8192／16384／32768（Assumed）</t>
        </is>
      </c>
      <c r="C7" s="2" t="inlineStr">
        <is>
          <t>Microsoft Research Copilot 追蹤；InferenceX 設定（ISL 8192／OSL 1024）</t>
        </is>
      </c>
      <c r="D7" s="2" t="inlineStr">
        <is>
          <t>R5 讀不到：被封鎖；R6 找不到含分布的原始出處（查詢詞：同 OSL 列＋「Copilot traces input tokens per call」）</t>
        </is>
      </c>
      <c r="E7" s="2" t="inlineStr">
        <is>
          <t>僅見 InferenceX 固定 ISL 8192（基準測試設定，非生產分布）；Copilot 追蹤的輸入長度分布摘要中未出現</t>
        </is>
      </c>
      <c r="F7" s="2" t="inlineStr">
        <is>
          <t>InferenceX 為固定長度；不代表生產請求長度</t>
        </is>
      </c>
      <c r="G7" s="2" t="inlineStr">
        <is>
          <t>SemiAnalysis（利害關係方）</t>
        </is>
      </c>
      <c r="H7" s="2" t="inlineStr">
        <is>
          <t>不可比；列為缺口</t>
        </is>
      </c>
      <c r="I7" s="2" t="inlineStr">
        <is>
          <t>現值 8192 與 InferenceX 設定相同，屬「與校準點一致」而非實證</t>
        </is>
      </c>
    </row>
    <row r="8">
      <c r="A8" s="2" t="inlineStr">
        <is>
          <t>Calib 68 每層延遲倍數（排名 26）</t>
        </is>
      </c>
      <c r="B8" s="2" t="inlineStr">
        <is>
          <t>Hopper 1.5、其他 1（Assumed；區間 1–3）</t>
        </is>
      </c>
      <c r="C8" s="2" t="inlineStr">
        <is>
          <t>查詢：Hopper EP 跨節點 InfiniBand 延遲、DeepSeek 線上服務（H800）</t>
        </is>
      </c>
      <c r="D8" s="2" t="inlineStr">
        <is>
          <t>R6 找不到原始出處（查詢詞：「DeepSeek inference system overview 226.75 nodes ...」；僅取得吞吐統計，無每層延遲）</t>
        </is>
      </c>
      <c r="E8" s="2" t="inlineStr">
        <is>
          <t>DeepSeek 線上統計僅給吞吐：每 H800 節點輸入 73.7k tok/s（含快取命中）、輸出 14.8k tok/s；未給每層延遲</t>
        </is>
      </c>
      <c r="F8" s="2" t="inlineStr">
        <is>
          <t>每層固定延遲無直接量測；只能由吞吐＋批次反推（需 Calib 的擬合模型）</t>
        </is>
      </c>
      <c r="G8" s="2" t="inlineStr">
        <is>
          <t>DeepSeek 自揭（利害關係方）</t>
        </is>
      </c>
      <c r="H8" s="2" t="inlineStr">
        <is>
          <t>不可比；列為缺口</t>
        </is>
      </c>
      <c r="I8" s="2" t="inlineStr">
        <is>
          <t>本批不反推（反推屬機制設計，需 Project 判斷）</t>
        </is>
      </c>
    </row>
    <row r="9">
      <c r="A9" s="2" t="inlineStr">
        <is>
          <t>Train_In 34 RL rollout 輸出 token（排名 27）</t>
        </is>
      </c>
      <c r="B9" s="2" t="inlineStr">
        <is>
          <t>2.36 T（Luna／Sol）、9.6 T（Astra）（Assumed；J9）</t>
        </is>
      </c>
      <c r="C9" s="2" t="inlineStr">
        <is>
          <t>RhymeRL、RollPacker 等 RL 系統論文；SRC_MOD_034–038（R1 RL、Nemotron Ultra RL、Grok 4）</t>
        </is>
      </c>
      <c r="D9" s="2" t="inlineStr">
        <is>
          <t>R5 讀不到：被封鎖（arxiv.org）；僅見搜尋摘要</t>
        </is>
      </c>
      <c r="E9" s="2" t="inlineStr">
        <is>
          <t>論文設定例：每批 128 個提示×每提示 5 次 rollout（GRPO）；回應長度在 320 步內由 1K 增至 10K；rollout 佔 RL 時間 70–91%（16K 上限）；DeepSeek R1 RL 0.147 M H800 小時；Nemotron Ultra RL 0.14 M H100 小時</t>
        </is>
      </c>
      <c r="F9" s="2" t="inlineStr">
        <is>
          <t>論文為研究規模，非前沿實驗室的總 rollout token；無法由摘要得到「總 rollout token」</t>
        </is>
      </c>
      <c r="G9" s="2" t="inlineStr">
        <is>
          <t>學術論文（中立）；R1／Nemotron 為自揭（利害關係方）</t>
        </is>
      </c>
      <c r="H9" s="2" t="inlineStr">
        <is>
          <t>Analogy：只能以 GPU 小時比（R1 RL÷V3 預訓練＝0.055）間接對照，不是 token 數</t>
        </is>
      </c>
      <c r="I9" s="2" t="inlineStr">
        <is>
          <t>列為缺口：需前沿實驗室揭露</t>
        </is>
      </c>
    </row>
    <row r="10">
      <c r="A10" s="2" t="inlineStr">
        <is>
          <t>Serving 18 生產折減／Serving 17 基準利用率（排名 1、8）</t>
        </is>
      </c>
      <c r="B10" s="2" t="inlineStr">
        <is>
          <t>1.0（折減）／0.6（利用率）（Assumed；G0-11 暫用值）</t>
        </is>
      </c>
      <c r="C10" s="2" t="inlineStr">
        <is>
          <t>DeepSeek 推論系統概述（2025-02-27/28，S30）；InferenceX</t>
        </is>
      </c>
      <c r="D10" s="2" t="inlineStr">
        <is>
          <t>R5 讀不到：被封鎖（github.com/deepseek-ai、atlascloud 轉述頁亦未取回原文）；僅見搜尋摘要。S2 (a)：只蒐集證據，不提議數值</t>
        </is>
      </c>
      <c r="E10" s="2" t="inlineStr">
        <is>
          <t>24 小時（UTC+8 02/27 12:00–02/28 12:00）：V3＋R1 尖峰 278 節點、平均 226.75 節點（每節點 8 張 H800）；輸入 608 B token（56.3% 命中快取）、輸出 168 B token；每節點輸入 73.7k tok/s（含命中）、輸出 14.8k tok/s</t>
        </is>
      </c>
      <c r="F10" s="2" t="inlineStr">
        <is>
          <t>[Derived，只作參考，非結論]：平均／尖峰節點＝226.75/278＝0.82；日均輸入 608e9/(86,400×226.75)＝31.0k tok/s/節點（÷73.7k＝0.42）；日均輸出 168e9/(86,400×226.75)＝8.6k tok/s/節點（÷14.8k＝0.58）。此為「日均吞吐÷DeepSeek 給的每節點吞吐」，但 73.7k／14.8k 可能是尖峰或某一負載點，分母口徑未確認；且節點含預填／解碼分工</t>
        </is>
      </c>
      <c r="G10" s="2" t="inlineStr">
        <is>
          <t>DeepSeek 自揭（利害關係方；統計用於論證「理論收益」，有誇大效率誘因）；InferenceX（SemiAnalysis）</t>
        </is>
      </c>
      <c r="H10" s="2" t="inlineStr">
        <is>
          <t>Analogy：硬體（H800）、模型（V3／R1）、年代（2025-02）均與模型第 0 層（GB300／V4）不同；僅作量級參考。與 InferenceX 的對照需讀其 H800／H200 同模型量測，未取得</t>
        </is>
      </c>
      <c r="I10" s="2" t="inlineStr">
        <is>
          <t>不提議數值、不改暫用值（G0-11 不變）；η 拆解仍依 Andy「有新數據再說」暫緩</t>
        </is>
      </c>
    </row>
  </sheetData>
  <autoFilter ref="A1:I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</cols>
  <sheetData>
    <row r="1">
      <c r="A1" s="3" t="inlineStr">
        <is>
          <t>項目</t>
        </is>
      </c>
      <c r="B1" s="3" t="inlineStr">
        <is>
          <t>現值</t>
        </is>
      </c>
      <c r="C1" s="3" t="inlineStr">
        <is>
          <t>候選公式或推導</t>
        </is>
      </c>
      <c r="D1" s="3" t="inlineStr">
        <is>
          <t>候選值</t>
        </is>
      </c>
      <c r="E1" s="3" t="inlineStr">
        <is>
          <t>影響前 3 大</t>
        </is>
      </c>
      <c r="F1" s="3" t="inlineStr">
        <is>
          <t>待決事項</t>
        </is>
      </c>
    </row>
    <row r="2">
      <c r="A2" s="2" t="inlineStr">
        <is>
          <t>Arch C34 每層 KV bytes/token（壓縮後平均，FP8）</t>
        </is>
      </c>
      <c r="B2" s="2" t="inlineStr">
        <is>
          <t>65（C34、D34；Assumed；v4 推導值）</t>
        </is>
      </c>
      <c r="C2" s="2" t="inlineStr">
        <is>
          <t>結構重算（V4 config：head_dim 512、num_key_value_heads 1、compress_ratios 4／128 交替；FP8＝1 byte/元素，SRC_HW_055）：
(a) 只計壓縮後 KV：CSA 層 512/4＝128、HCA 層 512/128＝4 B/token/層；各半平均 (128+4)/2＝66。
(b) (a)＋CSA 層的 indexer key（index_head_dim 128，若同為 FP8 且每壓縮區塊 1 筆）：128/4＝32 B → CSA 層 160、HCA 層 4；平均 82。
(c) 滑動窗 128 tok×512 B＝65,536 B/層為固定量（不隨上下文成長），在 128K 上下文攤為 +0.51 B/token/層。
層數分配：搜尋摘要稱 compress_ratios「4 與 128 交替」，是否恰為各半、首尾層是否例外，需讀 config.json（被封鎖）。</t>
        </is>
      </c>
      <c r="D2" s="2" t="inlineStr">
        <is>
          <t>(a) 66；(b) 82；(c) 另加 0.5</t>
        </is>
      </c>
      <c r="E2" s="2" t="inlineStr">
        <is>
          <t>C34、D34 同改：(a)→66：L1_Ans9 +1.7e-4、L1_Ans8 +7.6e-5、IF_FullCost_Sol(VR200) +1.2e-5（其餘 IF_／L1 變動 &lt;1e-6）；(b)→82：L1_Ans9 +2.9e-3、L1_Ans8 +1.3e-3、IF_FullCost_Sol +2.0e-4。IF_RevGW_Sol、IF_RevGWFleet、IF_TrainCost_Sol、L1_Ans1–7、GM、FullMargin、GPUh 變動 &lt;1e-5</t>
        </is>
      </c>
      <c r="F2" s="2" t="inlineStr">
        <is>
          <t>① indexer key 是否計入 KV bytes/token（屬機制定義）；② 是否改為由 SRC_MOD_009／015／016／055 的公式（Derived（公式）），及各層壓縮比如何取平均；③ D34（V4-Pro）是否同結構（需 Pro 的 compress_ratios）；④ 滑動窗固定量是否另列</t>
        </is>
      </c>
    </row>
    <row r="3">
      <c r="A3" s="2" t="inlineStr">
        <is>
          <t>Train_In C44 DeepSeek R1 RL GPU 小時 ÷ V3 預訓練</t>
        </is>
      </c>
      <c r="B3" s="2" t="inlineStr">
        <is>
          <t>0.055（硬編碼；Derived 待改公式；SRC_MOD_034＝0.147 M H800 小時、SRC_MOD_040＝2.664 M）</t>
        </is>
      </c>
      <c r="C3" s="2">
        <f>SRC_MOD_034/SRC_MOD_040（或 =SRC_MOD_034/Train_In!C42）</f>
        <v/>
      </c>
      <c r="D3" s="2" t="inlineStr">
        <is>
          <t>0.147/2.664 ＝ 0.055180（相對現值 +0.33%）</t>
        </is>
      </c>
      <c r="E3" s="2" t="inlineStr">
        <is>
          <t>IF_FullCost_Sol、IF_RevGW_Sol、IF_RevGWFleet、IF_TrainCost_Sol 全部 15 欄最大變動 0.0；L1 全部輸出 0.0。C44 僅供 Checks 外部錨點，不進推導</t>
        </is>
      </c>
      <c r="F3" s="2" t="inlineStr">
        <is>
          <t>是否改公式（改值＝次版）；R1 RL 的 0.147 M 與 R1 論文（總 R1 訓練約 0.294 M H800 小時，含 R1-Zero、SFT 資料與 RL）口徑是否一致：本次未讀到原文</t>
        </is>
      </c>
    </row>
    <row r="4">
      <c r="A4" s="2" t="inlineStr">
        <is>
          <t>Calib C69 η_p 倍數（Hopper）</t>
        </is>
      </c>
      <c r="B4" s="2" t="inlineStr">
        <is>
          <t>0.5（Derived 待改公式；其他世代 1）</t>
        </is>
      </c>
      <c r="C4" s="2" t="inlineStr">
        <is>
          <t>推導來源：Gov_Map GM351「v5.5 峰值更正（989→1,979 TF）後維持產出不變的換算（≈989÷1,979＝0.4997）」，即 BF16 與 FP8 峰值之比。候選公式：=SRC_HW_019/SRC_HW_040（H100 BF16 dense 0.989 ÷ FP8 dense 1.979）。DB_Evidence E001 備註同為「η_d、η_p 倍數同步減半維持產出」。查得，來源在本活頁簿內；原始動機（為何 prefill 效率 η_p 以 0.5 補償 989→1,979 的更正）屬 v5.5 設計，本次未另查外部出處</t>
        </is>
      </c>
      <c r="D4" s="2" t="inlineStr">
        <is>
          <t>0.989/1.979 ＝ 0.49975（相對現值 −0.05%）</t>
        </is>
      </c>
      <c r="E4" s="2" t="inlineStr">
        <is>
          <t>C69 改值：Hopper 欄 IF_FullCost_Sol 最大 +1.2e-4、IF_RevGW_Sol +1.9e-4、IF_RevGWFleet +1.5e-4、IF_TrainCost_Sol +1.2e-6；VR200 欄（k=11）與 L1 全部輸出 0.0</t>
        </is>
      </c>
      <c r="F4" s="2" t="inlineStr">
        <is>
          <t>是否改公式；同理 Calib C67（η_d 倍數 1.5）、C68 未在本批</t>
        </is>
      </c>
    </row>
    <row r="5">
      <c r="A5" s="2" t="inlineStr">
        <is>
          <t>Checks 第 21 列 2.12 kW/GPU（InferenceX 反推）</t>
        </is>
      </c>
      <c r="B5" s="2" t="inlineStr">
        <is>
          <t>2.12（硬編碼外部參照）＝9,384 tok/s/GPU ÷ 4.43M tok/s/MW×1000</t>
        </is>
      </c>
      <c r="C5" s="2" t="inlineStr">
        <is>
          <t>9384 / 4.43e6 MW⁻¹ ＝ 2.118e-3 MW/GPU ＝ 2.118 kW/GPU。查 4.43M tok/s/MW 出處：InferenceX 頁面有「tok/s/MW」欄（搜尋摘要見 DeepSeek R1 在 85 tok/s/user 為 4,962,665、在 152 tok/s/user 為 1,259,271 tok/s/MW），但 V4-Pro @72 tok/s/user 的 4.43M 未在摘要中出現——頁面被封鎖，無法核對</t>
        </is>
      </c>
      <c r="D5" s="2" t="inlineStr">
        <is>
          <t>2.118 kW/GPU；×72＝152.5 kW/架</t>
        </is>
      </c>
      <c r="E5" s="2" t="inlineStr">
        <is>
          <t>N/A（Checks 外部參照，不進推導）</t>
        </is>
      </c>
      <c r="F5" s="2" t="inlineStr">
        <is>
          <t>① 取得 InferenceX V4-Pro 頁面的 4.43M 原值；② 口徑：152.5 kW/架接近 HPE 類資料的 GB300 EDPp 約 155 kW（尖峰電氣設計），遠高於 TDP 132 kW 與本模型 1.52 kW/GPU（IT 平均用電）——該欄的「provisioned」似為尖峰口徑，與模型 IT 平均口徑不同；Checks 的對照列是否需改口徑，屬判斷類</t>
        </is>
      </c>
    </row>
    <row r="6">
      <c r="A6" s="2" t="inlineStr">
        <is>
          <t>對帳常數「Hopper 占機隊 0.6」（Checks I46）</t>
        </is>
      </c>
      <c r="B6" s="2" t="inlineStr">
        <is>
          <t>0.6（Assumed）</t>
        </is>
      </c>
      <c r="C6" s="2" t="inlineStr">
        <is>
          <t>查出處或可比對象：Epoch「AI Chip Owners／Users」資料集（epoch.ai/data/ai-chip-owners）可算各架構占比，但頁面被封鎖，未取得數值</t>
        </is>
      </c>
      <c r="D6" s="2" t="inlineStr">
        <is>
          <t>未取得。搜尋摘要僅有：Microsoft 2024 購買 485,000 張 Hopper；ByteDance、Tencent 各約 230,000；TrendForce 預估 Hopper 占 2026 年 NVIDIA 高階 GPU 出貨約 7%（出貨流量，不是存量，且為 2026 非 2025）</t>
        </is>
      </c>
      <c r="E6" s="2" t="inlineStr">
        <is>
          <t>N/A（Checks 對帳常數；不進推導）</t>
        </is>
      </c>
      <c r="F6" s="2" t="inlineStr">
        <is>
          <t>2025 年存量占比需自 Epoch 資料集計算；R5 讀不到：被封鎖（epoch.ai）。可選做法：Andy 允許 epoch.ai 後重跑</t>
        </is>
      </c>
    </row>
  </sheetData>
  <autoFilter ref="A1:F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</cols>
  <sheetData>
    <row r="1">
      <c r="A1" s="3" t="inlineStr">
        <is>
          <t>指標</t>
        </is>
      </c>
      <c r="B1" s="3" t="inlineStr">
        <is>
          <t>現值</t>
        </is>
      </c>
      <c r="C1" s="3" t="inlineStr">
        <is>
          <t>各估計（來源、值、日期、立場）</t>
        </is>
      </c>
      <c r="D1" s="3" t="inlineStr">
        <is>
          <t>候選中位數</t>
        </is>
      </c>
      <c r="E1" s="3" t="inlineStr">
        <is>
          <t>候選最小</t>
        </is>
      </c>
      <c r="F1" s="3" t="inlineStr">
        <is>
          <t>候選最大</t>
        </is>
      </c>
      <c r="G1" s="3" t="inlineStr">
        <is>
          <t>與現值差</t>
        </is>
      </c>
      <c r="H1" s="3" t="inlineStr">
        <is>
          <t>備註</t>
        </is>
      </c>
    </row>
    <row r="2">
      <c r="A2" s="2" t="inlineStr">
        <is>
          <t>Spec_Rack C9 DGX H100 配電設計功率（kW，4 台）</t>
        </is>
      </c>
      <c r="B2" s="2" t="inlineStr">
        <is>
          <t>C8 38／C9 41／C10 44</t>
        </is>
      </c>
      <c r="C2" s="2" t="inlineStr">
        <is>
          <t>NVIDIA DGX H100 最大系統功率 10.2 kW×4＝40.8（2023；一手規格，利害關係方）</t>
        </is>
      </c>
      <c r="D2" s="2" t="inlineStr">
        <is>
          <t>40.8</t>
        </is>
      </c>
      <c r="E2" s="2" t="inlineStr">
        <is>
          <t>40.8</t>
        </is>
      </c>
      <c r="F2" s="2" t="inlineStr">
        <is>
          <t>40.8</t>
        </is>
      </c>
      <c r="G2" s="2" t="inlineStr">
        <is>
          <t>C9 41 對 40.8：−0.5%；C8 38、C10 44 無對應來源</t>
        </is>
      </c>
      <c r="H2" s="2" t="inlineStr">
        <is>
          <t>只有 1 個估計，G13 的「多家」條件不成立；低／高 38／44 為 Assumed</t>
        </is>
      </c>
    </row>
    <row r="3">
      <c r="A3" s="2" t="inlineStr">
        <is>
          <t>Spec_Rack D9 GB200 NVL72 配電設計功率（kW）</t>
        </is>
      </c>
      <c r="B3" s="2" t="inlineStr">
        <is>
          <t>D8 120／D9 130／D10 140</t>
        </is>
      </c>
      <c r="C3" s="2" t="inlineStr">
        <is>
          <t>SemiAnalysis ~120（利害關係方）；Moduledge／hashrateindex 120–130（業者）；Gigabyte GIGAPOD 最高 130；HPE 標稱 TDP 132（EDPp ~192 為尖峰口徑，排除）</t>
        </is>
      </c>
      <c r="D3" s="2" t="inlineStr">
        <is>
          <t>130（{120,130,130,132} 中位）</t>
        </is>
      </c>
      <c r="E3" s="2" t="inlineStr">
        <is>
          <t>120</t>
        </is>
      </c>
      <c r="F3" s="2" t="inlineStr">
        <is>
          <t>132</t>
        </is>
      </c>
      <c r="G3" s="2" t="inlineStr">
        <is>
          <t>D9 130＝中位（0）；D10 140 高於最大 132（+6%）</t>
        </is>
      </c>
      <c r="H3" s="2" t="inlineStr">
        <is>
          <t>口徑未明；192 為尖峰電氣設計，不同口徑不入。SemiAnalysis 規則：非唯一依據，已有 Gigabyte、HPE</t>
        </is>
      </c>
    </row>
    <row r="4">
      <c r="A4" s="2" t="inlineStr">
        <is>
          <t>Spec_Rack E9 GB300 NVL72 配電設計功率（kW）</t>
        </is>
      </c>
      <c r="B4" s="2" t="inlineStr">
        <is>
          <t>E8 132／E9 137／E10 142</t>
        </is>
      </c>
      <c r="C4" s="2" t="inlineStr">
        <is>
          <t>HPE／spheron 標稱 TDP 132；TrendForce 135–140（中點 137.5）；Moduledge／hashrateindex 132–142（中點 137）；另有 ~135 kW TDP 說法（EDPp ~155 為尖峰口徑，排除）</t>
        </is>
      </c>
      <c r="D4" s="2" t="inlineStr">
        <is>
          <t>135–137.5（{132,135,137,137.5} 中位約 136）</t>
        </is>
      </c>
      <c r="E4" s="2" t="inlineStr">
        <is>
          <t>132</t>
        </is>
      </c>
      <c r="F4" s="2" t="inlineStr">
        <is>
          <t>142</t>
        </is>
      </c>
      <c r="G4" s="2" t="inlineStr">
        <is>
          <t>E9 137 對 136：+0.7%</t>
        </is>
      </c>
      <c r="H4" s="2" t="inlineStr">
        <is>
          <t>影響：E9 改 135 → L1_Ans1 +2.1e-3、L1_Ans2 +1.1e-4，IF_ 四項 0.0</t>
        </is>
      </c>
    </row>
    <row r="5">
      <c r="A5" s="2" t="inlineStr">
        <is>
          <t>Spec_Rack C11:C13 Hopper 機架價格（$M，4 台 HGX）</t>
        </is>
      </c>
      <c r="B5" s="2" t="inlineStr">
        <is>
          <t>C11 0.9／C12 1.1／C13 1.3</t>
        </is>
      </c>
      <c r="C5" s="2" t="inlineStr">
        <is>
          <t>Arc Compute 起價 $210k（經銷）；B2B 掛牌 ~$265k；ASUS 7U 掛牌 $249.2k、$311.6k、$316.2k；clusterbid 220–320k（SRC_HW_003）。×4 台</t>
        </is>
      </c>
      <c r="D5" s="2" t="inlineStr">
        <is>
          <t>1.06（伺服器中位 $265k×4）</t>
        </is>
      </c>
      <c r="E5" s="2" t="inlineStr">
        <is>
          <t>0.84（$210k×4）</t>
        </is>
      </c>
      <c r="F5" s="2" t="inlineStr">
        <is>
          <t>1.27（$316.2k×4）</t>
        </is>
      </c>
      <c r="G5" s="2" t="inlineStr">
        <is>
          <t>C12 1.1 對 1.06：+3.8%；C11 0.9 對 0.84：+7%；C13 1.3 對 1.27：+2.4%</t>
        </is>
      </c>
      <c r="H5" s="2" t="inlineStr">
        <is>
          <t>全為經銷掛牌價（利害關係方），非成交價；是否「同口徑獨立估計」（掛牌 vs 成交、含不含網路）待 Project 判斷</t>
        </is>
      </c>
    </row>
    <row r="6">
      <c r="A6" s="2" t="inlineStr">
        <is>
          <t>Spec_Rack D12 GB200 NVL72 機架價格（$M）</t>
        </is>
      </c>
      <c r="B6" s="2" t="inlineStr">
        <is>
          <t>D11 =SRC_HW_006_Lo（2.8）／D12 3.1／D13 =SRC_HW_006_Hi（3.4）</t>
        </is>
      </c>
      <c r="C6" s="2" t="inlineStr">
        <is>
          <t>Wolfe Research ~3.0（2026-01，賣方）；Morgan Stanley 3.1（賣方）；SemiAnalysis 3.1 裸機（3.9 含網路儲存，排除）；Tom's Hardware 2.8–3.4（媒體，SRC_HW_006）</t>
        </is>
      </c>
      <c r="D6" s="2" t="inlineStr">
        <is>
          <t>3.1</t>
        </is>
      </c>
      <c r="E6" s="2" t="inlineStr">
        <is>
          <t>2.8（含媒體區間端點）／3.0（僅分析師點估）</t>
        </is>
      </c>
      <c r="F6" s="2" t="inlineStr">
        <is>
          <t>3.4／3.1</t>
        </is>
      </c>
      <c r="G6" s="2" t="inlineStr">
        <is>
          <t>D12＝中位（0）</t>
        </is>
      </c>
      <c r="H6" s="2" t="inlineStr">
        <is>
          <t>影響：D12 改 3.1（＝現值）0.0</t>
        </is>
      </c>
    </row>
    <row r="7">
      <c r="A7" s="2" t="inlineStr">
        <is>
          <t>Spec_Rack F11:F13 VR200 NVL72 機架價格（$M）</t>
        </is>
      </c>
      <c r="B7" s="2" t="inlineStr">
        <is>
          <t>F11 6.7／F12 =SRC_HW_015（7.8）／F13 9.1</t>
        </is>
      </c>
      <c r="C7" s="2" t="inlineStr">
        <is>
          <t>Morgan Stanley 7.8（成本）；Bernstein 9.1（9.09；HBM4 $53/GB 情境）；台灣供應鏈報導約 NT$1.8 億≈$5.7–6.0M（cloudnews.tech 轉述；口徑未明）</t>
        </is>
      </c>
      <c r="D7" s="2" t="inlineStr">
        <is>
          <t>8.45（MS、Bernstein 兩家）；含台灣報導三家則 7.8</t>
        </is>
      </c>
      <c r="E7" s="2" t="inlineStr">
        <is>
          <t>7.8（兩家）／5.7（三家）</t>
        </is>
      </c>
      <c r="F7" s="2" t="inlineStr">
        <is>
          <t>9.1</t>
        </is>
      </c>
      <c r="G7" s="2" t="inlineStr">
        <is>
          <t>F12 7.8 對 8.45：−7.7%；F11 6.7 無對應來源；F13 9.1＝Bernstein</t>
        </is>
      </c>
      <c r="H7" s="2" t="inlineStr">
        <is>
          <t>影響：F12 改 8.445 → IF_FullCost_Sol(VR200) +6.3%、IF_TrainCost_Sol +6.3%、L1_Ans3／Ans4 +6.3%；RevGW、RevGWFleet 0.0。MS 為「成本」、Bernstein 為「售價」口徑，是否同口徑待判斷</t>
        </is>
      </c>
    </row>
    <row r="8">
      <c r="A8" s="2" t="inlineStr">
        <is>
          <t>（清單外，供參考）Spec_Rack E11:E13 GB300 NVL72 機架價格（$M）</t>
        </is>
      </c>
      <c r="B8" s="2" t="inlineStr">
        <is>
          <t>E11 =SRC_HW_052／E12 =SRC_HW_010（5.0）／E13 =SRC_HW_007_Hi</t>
        </is>
      </c>
      <c r="C8" s="2" t="inlineStr">
        <is>
          <t>採購單「略低於 5.0」（Data Gravity／wing.vc，不含 CDU）；Wolfe ~4.3；其他分析 3.7–4.0；媒體 6–6.5</t>
        </is>
      </c>
      <c r="D8" s="2" t="inlineStr">
        <is>
          <t>約 4.3（{3.85,4.3,5.0,6.25} 中位約 4.65）</t>
        </is>
      </c>
      <c r="E8" s="2" t="inlineStr">
        <is>
          <t>3.7</t>
        </is>
      </c>
      <c r="F8" s="2" t="inlineStr">
        <is>
          <t>6.5</t>
        </is>
      </c>
      <c r="G8" s="2" t="inlineStr">
        <is>
          <t>E12 5.0 對 4.65：+7.5%</t>
        </is>
      </c>
      <c r="H8" s="2" t="inlineStr">
        <is>
          <t>影響：E12 改 4.3 → L1_Ans2 +1.9%；改 6.0 → L1_Ans2 −2.5%；IF_ 四項 0.0。各估計口徑差距大（採購單 vs 估計 vs 媒體），是否同口徑待判斷</t>
        </is>
      </c>
    </row>
  </sheetData>
  <autoFilter ref="A1:H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3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</cols>
  <sheetData>
    <row r="1">
      <c r="A1" s="3" t="inlineStr">
        <is>
          <t>工作表</t>
        </is>
      </c>
      <c r="B1" s="3" t="inlineStr">
        <is>
          <t>列</t>
        </is>
      </c>
      <c r="C1" s="3" t="inlineStr">
        <is>
          <t>參數</t>
        </is>
      </c>
      <c r="D1" s="3" t="inlineStr">
        <is>
          <t>舊排名（v5.10）</t>
        </is>
      </c>
      <c r="E1" s="3" t="inlineStr">
        <is>
          <t>舊 |ε|</t>
        </is>
      </c>
      <c r="F1" s="3" t="inlineStr">
        <is>
          <t>舊分段</t>
        </is>
      </c>
      <c r="G1" s="3" t="inlineStr">
        <is>
          <t>新排名（O01–O13）</t>
        </is>
      </c>
      <c r="H1" s="3" t="inlineStr">
        <is>
          <t>新 |ε|（O01–O13）</t>
        </is>
      </c>
      <c r="I1" s="3" t="inlineStr">
        <is>
          <t>新分段（O01–O13）</t>
        </is>
      </c>
      <c r="J1" s="3" t="inlineStr">
        <is>
          <t>新排名（＋L1）</t>
        </is>
      </c>
      <c r="K1" s="3" t="inlineStr">
        <is>
          <t>新 |ε|（＋L1）</t>
        </is>
      </c>
      <c r="L1" s="3" t="inlineStr">
        <is>
          <t>新分段（＋L1）</t>
        </is>
      </c>
      <c r="M1" s="3" t="inlineStr">
        <is>
          <t>所屬輸出</t>
        </is>
      </c>
      <c r="N1" s="3" t="inlineStr">
        <is>
          <t>變動原因</t>
        </is>
      </c>
    </row>
    <row r="2">
      <c r="A2" s="2" t="inlineStr">
        <is>
          <t>Cap_In</t>
        </is>
      </c>
      <c r="B2" s="2" t="n">
        <v>54</v>
      </c>
      <c r="C2" s="2" t="inlineStr">
        <is>
          <t>GLM-5.3</t>
        </is>
      </c>
      <c r="D2" s="2" t="inlineStr">
        <is>
          <t>—</t>
        </is>
      </c>
      <c r="E2" s="2" t="inlineStr">
        <is>
          <t>—</t>
        </is>
      </c>
      <c r="F2" s="2" t="inlineStr">
        <is>
          <t>—（v5.10 無對應列）</t>
        </is>
      </c>
      <c r="G2" s="2" t="n">
        <v>156</v>
      </c>
      <c r="H2" s="2" t="n">
        <v>0</v>
      </c>
      <c r="I2" s="2" t="inlineStr">
        <is>
          <t>無</t>
        </is>
      </c>
      <c r="J2" s="2" t="n">
        <v>1</v>
      </c>
      <c r="K2" s="2" t="n">
        <v>2.765</v>
      </c>
      <c r="L2" s="2" t="inlineStr">
        <is>
          <t>高</t>
        </is>
      </c>
      <c r="M2" s="2" t="inlineStr">
        <is>
          <t>O21</t>
        </is>
      </c>
      <c r="N2" s="2" t="inlineStr">
        <is>
          <t>v5.10 無對應列（新列或結構改變）</t>
        </is>
      </c>
    </row>
    <row r="3">
      <c r="A3" s="2" t="inlineStr">
        <is>
          <t>Cap_In</t>
        </is>
      </c>
      <c r="B3" s="2" t="n">
        <v>47</v>
      </c>
      <c r="C3" s="2" t="inlineStr">
        <is>
          <t>GPT-6 Sol</t>
        </is>
      </c>
      <c r="D3" s="2" t="inlineStr">
        <is>
          <t>—</t>
        </is>
      </c>
      <c r="E3" s="2" t="inlineStr">
        <is>
          <t>—</t>
        </is>
      </c>
      <c r="F3" s="2" t="inlineStr">
        <is>
          <t>—（v5.10 無對應列）</t>
        </is>
      </c>
      <c r="G3" s="2" t="n">
        <v>14</v>
      </c>
      <c r="H3" s="2" t="n">
        <v>1</v>
      </c>
      <c r="I3" s="2" t="inlineStr">
        <is>
          <t>高</t>
        </is>
      </c>
      <c r="J3" s="2" t="n">
        <v>2</v>
      </c>
      <c r="K3" s="2" t="n">
        <v>2.687</v>
      </c>
      <c r="L3" s="2" t="inlineStr">
        <is>
          <t>高</t>
        </is>
      </c>
      <c r="M3" s="2" t="inlineStr">
        <is>
          <t>O21</t>
        </is>
      </c>
      <c r="N3" s="2" t="inlineStr">
        <is>
          <t>v5.10 無對應列（新列或結構改變）</t>
        </is>
      </c>
    </row>
    <row r="4">
      <c r="A4" s="2" t="inlineStr">
        <is>
          <t>Serving</t>
        </is>
      </c>
      <c r="B4" s="2" t="n">
        <v>18</v>
      </c>
      <c r="C4" s="2" t="inlineStr">
        <is>
          <t>實測→生產效率折減</t>
        </is>
      </c>
      <c r="D4" s="2" t="n">
        <v>1</v>
      </c>
      <c r="E4" s="2" t="n">
        <v>1.732</v>
      </c>
      <c r="F4" s="2" t="inlineStr">
        <is>
          <t>高</t>
        </is>
      </c>
      <c r="G4" s="2" t="n">
        <v>1</v>
      </c>
      <c r="H4" s="2" t="n">
        <v>1.732</v>
      </c>
      <c r="I4" s="2" t="inlineStr">
        <is>
          <t>高</t>
        </is>
      </c>
      <c r="J4" s="2" t="n">
        <v>3</v>
      </c>
      <c r="K4" s="2" t="n">
        <v>1.732</v>
      </c>
      <c r="L4" s="2" t="inlineStr">
        <is>
          <t>高</t>
        </is>
      </c>
      <c r="M4" s="2" t="inlineStr">
        <is>
          <t>O05</t>
        </is>
      </c>
      <c r="N4" s="2" t="inlineStr">
        <is>
          <t>分段不變</t>
        </is>
      </c>
    </row>
    <row r="5">
      <c r="A5" s="2" t="inlineStr">
        <is>
          <t>Workload</t>
        </is>
      </c>
      <c r="B5" s="2" t="n">
        <v>11</v>
      </c>
      <c r="C5" s="2" t="inlineStr">
        <is>
          <t>歷史快取命中率 χ</t>
        </is>
      </c>
      <c r="D5" s="2" t="n">
        <v>2</v>
      </c>
      <c r="E5" s="2" t="n">
        <v>1.6</v>
      </c>
      <c r="F5" s="2" t="inlineStr">
        <is>
          <t>高</t>
        </is>
      </c>
      <c r="G5" s="2" t="n">
        <v>2</v>
      </c>
      <c r="H5" s="2" t="n">
        <v>1.6</v>
      </c>
      <c r="I5" s="2" t="inlineStr">
        <is>
          <t>高</t>
        </is>
      </c>
      <c r="J5" s="2" t="n">
        <v>4</v>
      </c>
      <c r="K5" s="2" t="n">
        <v>1.6</v>
      </c>
      <c r="L5" s="2" t="inlineStr">
        <is>
          <t>高</t>
        </is>
      </c>
      <c r="M5" s="2" t="inlineStr">
        <is>
          <t>O13</t>
        </is>
      </c>
      <c r="N5" s="2" t="inlineStr">
        <is>
          <t>分段不變</t>
        </is>
      </c>
    </row>
    <row r="6">
      <c r="A6" s="2" t="inlineStr">
        <is>
          <t>Calib</t>
        </is>
      </c>
      <c r="B6" s="2" t="n">
        <v>17</v>
      </c>
      <c r="C6" s="2" t="inlineStr">
        <is>
          <t>實測 tok/s/GPU（總 token）</t>
        </is>
      </c>
      <c r="D6" s="2" t="n">
        <v>3</v>
      </c>
      <c r="E6" s="2" t="n">
        <v>1.351</v>
      </c>
      <c r="F6" s="2" t="inlineStr">
        <is>
          <t>高</t>
        </is>
      </c>
      <c r="G6" s="2" t="n">
        <v>3</v>
      </c>
      <c r="H6" s="2" t="n">
        <v>1.351</v>
      </c>
      <c r="I6" s="2" t="inlineStr">
        <is>
          <t>高</t>
        </is>
      </c>
      <c r="J6" s="2" t="n">
        <v>5</v>
      </c>
      <c r="K6" s="2" t="n">
        <v>1.351</v>
      </c>
      <c r="L6" s="2" t="inlineStr">
        <is>
          <t>高</t>
        </is>
      </c>
      <c r="M6" s="2" t="inlineStr">
        <is>
          <t>O04</t>
        </is>
      </c>
      <c r="N6" s="2" t="inlineStr">
        <is>
          <t>分段不變；連結列（以 SRC 格擾動）</t>
        </is>
      </c>
    </row>
    <row r="7">
      <c r="A7" s="2" t="inlineStr">
        <is>
          <t>Spec_Rack</t>
        </is>
      </c>
      <c r="B7" s="2" t="n">
        <v>24</v>
      </c>
      <c r="C7" s="2" t="inlineStr">
        <is>
          <t>峰值（高情境：NVFP4 推論口徑）PF/GPU</t>
        </is>
      </c>
      <c r="D7" s="2" t="n">
        <v>125</v>
      </c>
      <c r="E7" s="2" t="n">
        <v>0</v>
      </c>
      <c r="F7" s="2" t="inlineStr">
        <is>
          <t>無</t>
        </is>
      </c>
      <c r="G7" s="2" t="n">
        <v>4</v>
      </c>
      <c r="H7" s="2" t="n">
        <v>1.337</v>
      </c>
      <c r="I7" s="2" t="inlineStr">
        <is>
          <t>高</t>
        </is>
      </c>
      <c r="J7" s="2" t="n">
        <v>6</v>
      </c>
      <c r="K7" s="2" t="n">
        <v>1.337</v>
      </c>
      <c r="L7" s="2" t="inlineStr">
        <is>
          <t>高</t>
        </is>
      </c>
      <c r="M7" s="2" t="inlineStr">
        <is>
          <t>O04</t>
        </is>
      </c>
      <c r="N7" s="2" t="inlineStr">
        <is>
          <t>同輸出集合分段已變</t>
        </is>
      </c>
    </row>
    <row r="8">
      <c r="A8" s="2" t="inlineStr">
        <is>
          <t>Workload</t>
        </is>
      </c>
      <c r="B8" s="2" t="n">
        <v>5</v>
      </c>
      <c r="C8" s="2" t="inlineStr">
        <is>
          <t>輪數 T</t>
        </is>
      </c>
      <c r="D8" s="2" t="n">
        <v>4</v>
      </c>
      <c r="E8" s="2" t="n">
        <v>1.142</v>
      </c>
      <c r="F8" s="2" t="inlineStr">
        <is>
          <t>高</t>
        </is>
      </c>
      <c r="G8" s="2" t="n">
        <v>5</v>
      </c>
      <c r="H8" s="2" t="n">
        <v>1.142</v>
      </c>
      <c r="I8" s="2" t="inlineStr">
        <is>
          <t>高</t>
        </is>
      </c>
      <c r="J8" s="2" t="n">
        <v>7</v>
      </c>
      <c r="K8" s="2" t="n">
        <v>1.142</v>
      </c>
      <c r="L8" s="2" t="inlineStr">
        <is>
          <t>高</t>
        </is>
      </c>
      <c r="M8" s="2" t="inlineStr">
        <is>
          <t>O13</t>
        </is>
      </c>
      <c r="N8" s="2" t="inlineStr">
        <is>
          <t>分段不變</t>
        </is>
      </c>
    </row>
    <row r="9">
      <c r="A9" s="2" t="inlineStr">
        <is>
          <t>Calib</t>
        </is>
      </c>
      <c r="B9" s="2" t="n">
        <v>14</v>
      </c>
      <c r="C9" s="2" t="inlineStr">
        <is>
          <t>每用戶速度</t>
        </is>
      </c>
      <c r="D9" s="2" t="n">
        <v>5</v>
      </c>
      <c r="E9" s="2" t="n">
        <v>1.133</v>
      </c>
      <c r="F9" s="2" t="inlineStr">
        <is>
          <t>高</t>
        </is>
      </c>
      <c r="G9" s="2" t="n">
        <v>6</v>
      </c>
      <c r="H9" s="2" t="n">
        <v>1.133</v>
      </c>
      <c r="I9" s="2" t="inlineStr">
        <is>
          <t>高</t>
        </is>
      </c>
      <c r="J9" s="2" t="n">
        <v>8</v>
      </c>
      <c r="K9" s="2" t="n">
        <v>1.133</v>
      </c>
      <c r="L9" s="2" t="inlineStr">
        <is>
          <t>高</t>
        </is>
      </c>
      <c r="M9" s="2" t="inlineStr">
        <is>
          <t>O05</t>
        </is>
      </c>
      <c r="N9" s="2" t="inlineStr">
        <is>
          <t>分段不變；連結列（以 SRC 格擾動）</t>
        </is>
      </c>
    </row>
    <row r="10">
      <c r="A10" s="2" t="inlineStr">
        <is>
          <t>Har_In</t>
        </is>
      </c>
      <c r="B10" s="2" t="n">
        <v>12</v>
      </c>
      <c r="C10" s="2" t="inlineStr">
        <is>
          <t>輪數倍數</t>
        </is>
      </c>
      <c r="D10" s="2" t="n">
        <v>116</v>
      </c>
      <c r="E10" s="2" t="n">
        <v>0</v>
      </c>
      <c r="F10" s="2" t="inlineStr">
        <is>
          <t>無</t>
        </is>
      </c>
      <c r="G10" s="2" t="n">
        <v>162</v>
      </c>
      <c r="H10" s="2" t="n">
        <v>0</v>
      </c>
      <c r="I10" s="2" t="inlineStr">
        <is>
          <t>無</t>
        </is>
      </c>
      <c r="J10" s="2" t="n">
        <v>9</v>
      </c>
      <c r="K10" s="2" t="n">
        <v>1.101</v>
      </c>
      <c r="L10" s="2" t="inlineStr">
        <is>
          <t>高</t>
        </is>
      </c>
      <c r="M10" s="2" t="inlineStr">
        <is>
          <t>O22</t>
        </is>
      </c>
      <c r="N10" s="2" t="inlineStr">
        <is>
          <t>加入 L1 輸出後分段改變（O22）</t>
        </is>
      </c>
    </row>
    <row r="11">
      <c r="A11" s="2" t="inlineStr">
        <is>
          <t>Spec_Rack</t>
        </is>
      </c>
      <c r="B11" s="2" t="n">
        <v>6</v>
      </c>
      <c r="C11" s="2" t="inlineStr">
        <is>
          <t>GPU 封裝／架</t>
        </is>
      </c>
      <c r="D11" s="2" t="n">
        <v>9</v>
      </c>
      <c r="E11" s="2" t="n">
        <v>1.007</v>
      </c>
      <c r="F11" s="2" t="inlineStr">
        <is>
          <t>高</t>
        </is>
      </c>
      <c r="G11" s="2" t="n">
        <v>7</v>
      </c>
      <c r="H11" s="2" t="n">
        <v>1.019</v>
      </c>
      <c r="I11" s="2" t="inlineStr">
        <is>
          <t>高</t>
        </is>
      </c>
      <c r="J11" s="2" t="n">
        <v>10</v>
      </c>
      <c r="K11" s="2" t="n">
        <v>1.019</v>
      </c>
      <c r="L11" s="2" t="inlineStr">
        <is>
          <t>高</t>
        </is>
      </c>
      <c r="M11" s="2" t="inlineStr">
        <is>
          <t>O10</t>
        </is>
      </c>
      <c r="N11" s="2" t="inlineStr">
        <is>
          <t>分段不變</t>
        </is>
      </c>
    </row>
    <row r="12">
      <c r="A12" s="2" t="inlineStr">
        <is>
          <t>Spec_Rack</t>
        </is>
      </c>
      <c r="B12" s="2" t="n">
        <v>28</v>
      </c>
      <c r="C12" s="2" t="inlineStr">
        <is>
          <t>Scale-up 域 GPU 數</t>
        </is>
      </c>
      <c r="D12" s="2" t="inlineStr">
        <is>
          <t>—</t>
        </is>
      </c>
      <c r="E12" s="2" t="inlineStr">
        <is>
          <t>—</t>
        </is>
      </c>
      <c r="F12" s="2" t="inlineStr">
        <is>
          <t>—（v5.10 無對應列）</t>
        </is>
      </c>
      <c r="G12" s="2" t="n">
        <v>8</v>
      </c>
      <c r="H12" s="2" t="n">
        <v>1.019</v>
      </c>
      <c r="I12" s="2" t="inlineStr">
        <is>
          <t>高</t>
        </is>
      </c>
      <c r="J12" s="2" t="n">
        <v>11</v>
      </c>
      <c r="K12" s="2" t="n">
        <v>1.019</v>
      </c>
      <c r="L12" s="2" t="inlineStr">
        <is>
          <t>高</t>
        </is>
      </c>
      <c r="M12" s="2" t="inlineStr">
        <is>
          <t>O10</t>
        </is>
      </c>
      <c r="N12" s="2" t="inlineStr">
        <is>
          <t>v5.10 無對應列（新列或結構改變）；連結列（以 SRC 格擾動）</t>
        </is>
      </c>
    </row>
    <row r="13">
      <c r="A13" s="2" t="inlineStr">
        <is>
          <t>Spec_Rack</t>
        </is>
      </c>
      <c r="B13" s="2" t="n">
        <v>9</v>
      </c>
      <c r="C13" s="2" t="inlineStr">
        <is>
          <t>配電設計功率 基準（kW）</t>
        </is>
      </c>
      <c r="D13" s="2" t="n">
        <v>6</v>
      </c>
      <c r="E13" s="2" t="n">
        <v>1.011</v>
      </c>
      <c r="F13" s="2" t="inlineStr">
        <is>
          <t>高</t>
        </is>
      </c>
      <c r="G13" s="2" t="n">
        <v>9</v>
      </c>
      <c r="H13" s="2" t="n">
        <v>1.011</v>
      </c>
      <c r="I13" s="2" t="inlineStr">
        <is>
          <t>高</t>
        </is>
      </c>
      <c r="J13" s="2" t="n">
        <v>12</v>
      </c>
      <c r="K13" s="2" t="n">
        <v>1.011</v>
      </c>
      <c r="L13" s="2" t="inlineStr">
        <is>
          <t>高</t>
        </is>
      </c>
      <c r="M13" s="2" t="inlineStr">
        <is>
          <t>O11</t>
        </is>
      </c>
      <c r="N13" s="2" t="inlineStr">
        <is>
          <t>分段不變</t>
        </is>
      </c>
    </row>
    <row r="14">
      <c r="A14" s="2" t="inlineStr">
        <is>
          <t>Calib</t>
        </is>
      </c>
      <c r="B14" s="2" t="n">
        <v>67</v>
      </c>
      <c r="C14" s="2" t="inlineStr">
        <is>
          <t>η_d 倍數</t>
        </is>
      </c>
      <c r="D14" s="2" t="n">
        <v>7</v>
      </c>
      <c r="E14" s="2" t="n">
        <v>1.01</v>
      </c>
      <c r="F14" s="2" t="inlineStr">
        <is>
          <t>高</t>
        </is>
      </c>
      <c r="G14" s="2" t="n">
        <v>10</v>
      </c>
      <c r="H14" s="2" t="n">
        <v>1.01</v>
      </c>
      <c r="I14" s="2" t="inlineStr">
        <is>
          <t>高</t>
        </is>
      </c>
      <c r="J14" s="2" t="n">
        <v>13</v>
      </c>
      <c r="K14" s="2" t="n">
        <v>1.01</v>
      </c>
      <c r="L14" s="2" t="inlineStr">
        <is>
          <t>高</t>
        </is>
      </c>
      <c r="M14" s="2" t="inlineStr">
        <is>
          <t>O04</t>
        </is>
      </c>
      <c r="N14" s="2" t="inlineStr">
        <is>
          <t>分段不變</t>
        </is>
      </c>
    </row>
    <row r="15">
      <c r="A15" s="2" t="inlineStr">
        <is>
          <t>Serving</t>
        </is>
      </c>
      <c r="B15" s="2" t="n">
        <v>17</v>
      </c>
      <c r="C15" s="2" t="inlineStr">
        <is>
          <t>基準利用率（第 0 層）</t>
        </is>
      </c>
      <c r="D15" s="2" t="n">
        <v>8</v>
      </c>
      <c r="E15" s="2" t="n">
        <v>1.01</v>
      </c>
      <c r="F15" s="2" t="inlineStr">
        <is>
          <t>高</t>
        </is>
      </c>
      <c r="G15" s="2" t="n">
        <v>11</v>
      </c>
      <c r="H15" s="2" t="n">
        <v>1.01</v>
      </c>
      <c r="I15" s="2" t="inlineStr">
        <is>
          <t>高</t>
        </is>
      </c>
      <c r="J15" s="2" t="n">
        <v>14</v>
      </c>
      <c r="K15" s="2" t="n">
        <v>1.01</v>
      </c>
      <c r="L15" s="2" t="inlineStr">
        <is>
          <t>高</t>
        </is>
      </c>
      <c r="M15" s="2" t="inlineStr">
        <is>
          <t>O10</t>
        </is>
      </c>
      <c r="N15" s="2" t="inlineStr">
        <is>
          <t>分段不變</t>
        </is>
      </c>
    </row>
    <row r="16">
      <c r="A16" s="2" t="inlineStr">
        <is>
          <t>Train_In</t>
        </is>
      </c>
      <c r="B16" s="2" t="n">
        <v>13</v>
      </c>
      <c r="C16" s="2" t="inlineStr">
        <is>
          <t>研發倍數（研發總 GPU 小時 ÷ 最終訓練）</t>
        </is>
      </c>
      <c r="D16" s="2" t="n">
        <v>11</v>
      </c>
      <c r="E16" s="2" t="n">
        <v>1</v>
      </c>
      <c r="F16" s="2" t="inlineStr">
        <is>
          <t>高</t>
        </is>
      </c>
      <c r="G16" s="2" t="n">
        <v>12</v>
      </c>
      <c r="H16" s="2" t="n">
        <v>1</v>
      </c>
      <c r="I16" s="2" t="inlineStr">
        <is>
          <t>高</t>
        </is>
      </c>
      <c r="J16" s="2" t="n">
        <v>15</v>
      </c>
      <c r="K16" s="2" t="n">
        <v>1</v>
      </c>
      <c r="L16" s="2" t="inlineStr">
        <is>
          <t>高</t>
        </is>
      </c>
      <c r="M16" s="2" t="inlineStr">
        <is>
          <t>O08</t>
        </is>
      </c>
      <c r="N16" s="2" t="inlineStr">
        <is>
          <t>分段不變</t>
        </is>
      </c>
    </row>
    <row r="17">
      <c r="A17" s="2" t="inlineStr">
        <is>
          <t>Cap_In</t>
        </is>
      </c>
      <c r="B17" s="2" t="n">
        <v>28</v>
      </c>
      <c r="C17" s="2" t="inlineStr">
        <is>
          <t>對外服務占機隊</t>
        </is>
      </c>
      <c r="D17" s="2" t="n">
        <v>12</v>
      </c>
      <c r="E17" s="2" t="n">
        <v>1</v>
      </c>
      <c r="F17" s="2" t="inlineStr">
        <is>
          <t>高</t>
        </is>
      </c>
      <c r="G17" s="2" t="n">
        <v>13</v>
      </c>
      <c r="H17" s="2" t="n">
        <v>1</v>
      </c>
      <c r="I17" s="2" t="inlineStr">
        <is>
          <t>高</t>
        </is>
      </c>
      <c r="J17" s="2" t="n">
        <v>16</v>
      </c>
      <c r="K17" s="2" t="n">
        <v>1</v>
      </c>
      <c r="L17" s="2" t="inlineStr">
        <is>
          <t>高</t>
        </is>
      </c>
      <c r="M17" s="2" t="inlineStr">
        <is>
          <t>O12</t>
        </is>
      </c>
      <c r="N17" s="2" t="inlineStr">
        <is>
          <t>分段不變</t>
        </is>
      </c>
    </row>
    <row r="18">
      <c r="A18" s="2" t="inlineStr">
        <is>
          <t>Alloc_In</t>
        </is>
      </c>
      <c r="B18" s="2" t="n">
        <v>8</v>
      </c>
      <c r="C18" s="2" t="inlineStr">
        <is>
          <t>計畫規模倍數 k（相對 Block 3）</t>
        </is>
      </c>
      <c r="D18" s="2" t="inlineStr">
        <is>
          <t>—</t>
        </is>
      </c>
      <c r="E18" s="2" t="inlineStr">
        <is>
          <t>—</t>
        </is>
      </c>
      <c r="F18" s="2" t="inlineStr">
        <is>
          <t>—（v5.10 無對應列）</t>
        </is>
      </c>
      <c r="G18" s="2" t="n">
        <v>119</v>
      </c>
      <c r="H18" s="2" t="n">
        <v>0</v>
      </c>
      <c r="I18" s="2" t="inlineStr">
        <is>
          <t>無</t>
        </is>
      </c>
      <c r="J18" s="2" t="n">
        <v>17</v>
      </c>
      <c r="K18" s="2" t="n">
        <v>1</v>
      </c>
      <c r="L18" s="2" t="inlineStr">
        <is>
          <t>高</t>
        </is>
      </c>
      <c r="M18" s="2" t="inlineStr">
        <is>
          <t>O17</t>
        </is>
      </c>
      <c r="N18" s="2" t="inlineStr">
        <is>
          <t>v5.10 無對應列（新列或結構改變）</t>
        </is>
      </c>
    </row>
    <row r="19">
      <c r="A19" s="2" t="inlineStr">
        <is>
          <t>Workload</t>
        </is>
      </c>
      <c r="B19" s="2" t="n">
        <v>13</v>
      </c>
      <c r="C19" s="2" t="inlineStr">
        <is>
          <t>harness token 倍數</t>
        </is>
      </c>
      <c r="D19" s="2" t="n">
        <v>13</v>
      </c>
      <c r="E19" s="2" t="n">
        <v>1</v>
      </c>
      <c r="F19" s="2" t="inlineStr">
        <is>
          <t>高</t>
        </is>
      </c>
      <c r="G19" s="2" t="n">
        <v>15</v>
      </c>
      <c r="H19" s="2" t="n">
        <v>1</v>
      </c>
      <c r="I19" s="2" t="inlineStr">
        <is>
          <t>高</t>
        </is>
      </c>
      <c r="J19" s="2" t="n">
        <v>18</v>
      </c>
      <c r="K19" s="2" t="n">
        <v>1</v>
      </c>
      <c r="L19" s="2" t="inlineStr">
        <is>
          <t>高</t>
        </is>
      </c>
      <c r="M19" s="2" t="inlineStr">
        <is>
          <t>O13</t>
        </is>
      </c>
      <c r="N19" s="2" t="inlineStr">
        <is>
          <t>分段不變</t>
        </is>
      </c>
    </row>
    <row r="20">
      <c r="A20" s="2" t="inlineStr">
        <is>
          <t>Serving</t>
        </is>
      </c>
      <c r="B20" s="2" t="n">
        <v>21</v>
      </c>
      <c r="C20" s="2" t="inlineStr">
        <is>
          <t>SLO：每用戶 decode 速度下限</t>
        </is>
      </c>
      <c r="D20" s="2" t="n">
        <v>14</v>
      </c>
      <c r="E20" s="2" t="n">
        <v>0.914</v>
      </c>
      <c r="F20" s="2" t="inlineStr">
        <is>
          <t>高</t>
        </is>
      </c>
      <c r="G20" s="2" t="n">
        <v>16</v>
      </c>
      <c r="H20" s="2" t="n">
        <v>0.914</v>
      </c>
      <c r="I20" s="2" t="inlineStr">
        <is>
          <t>高</t>
        </is>
      </c>
      <c r="J20" s="2" t="n">
        <v>19</v>
      </c>
      <c r="K20" s="2" t="n">
        <v>0.914</v>
      </c>
      <c r="L20" s="2" t="inlineStr">
        <is>
          <t>高</t>
        </is>
      </c>
      <c r="M20" s="2" t="inlineStr">
        <is>
          <t>O05</t>
        </is>
      </c>
      <c r="N20" s="2" t="inlineStr">
        <is>
          <t>分段不變</t>
        </is>
      </c>
    </row>
    <row r="21">
      <c r="A21" s="2" t="inlineStr">
        <is>
          <t>Calib</t>
        </is>
      </c>
      <c r="B21" s="2" t="n">
        <v>16</v>
      </c>
      <c r="C21" s="2" t="inlineStr">
        <is>
          <t>OSL</t>
        </is>
      </c>
      <c r="D21" s="2" t="n">
        <v>15</v>
      </c>
      <c r="E21" s="2" t="n">
        <v>0.863</v>
      </c>
      <c r="F21" s="2" t="inlineStr">
        <is>
          <t>高</t>
        </is>
      </c>
      <c r="G21" s="2" t="n">
        <v>17</v>
      </c>
      <c r="H21" s="2" t="n">
        <v>0.863</v>
      </c>
      <c r="I21" s="2" t="inlineStr">
        <is>
          <t>高</t>
        </is>
      </c>
      <c r="J21" s="2" t="n">
        <v>20</v>
      </c>
      <c r="K21" s="2" t="n">
        <v>0.863</v>
      </c>
      <c r="L21" s="2" t="inlineStr">
        <is>
          <t>高</t>
        </is>
      </c>
      <c r="M21" s="2" t="inlineStr">
        <is>
          <t>O05</t>
        </is>
      </c>
      <c r="N21" s="2" t="inlineStr">
        <is>
          <t>分段不變；連結列（以 SRC 格擾動）</t>
        </is>
      </c>
    </row>
    <row r="22">
      <c r="A22" s="2" t="inlineStr">
        <is>
          <t>Cap_In</t>
        </is>
      </c>
      <c r="B22" s="2" t="n">
        <v>29</v>
      </c>
      <c r="C22" s="2" t="inlineStr">
        <is>
          <t>其中免費服務占服務</t>
        </is>
      </c>
      <c r="D22" s="2" t="n">
        <v>16</v>
      </c>
      <c r="E22" s="2" t="n">
        <v>0.852</v>
      </c>
      <c r="F22" s="2" t="inlineStr">
        <is>
          <t>高</t>
        </is>
      </c>
      <c r="G22" s="2" t="n">
        <v>18</v>
      </c>
      <c r="H22" s="2" t="n">
        <v>0.852</v>
      </c>
      <c r="I22" s="2" t="inlineStr">
        <is>
          <t>高</t>
        </is>
      </c>
      <c r="J22" s="2" t="n">
        <v>21</v>
      </c>
      <c r="K22" s="2" t="n">
        <v>0.852</v>
      </c>
      <c r="L22" s="2" t="inlineStr">
        <is>
          <t>高</t>
        </is>
      </c>
      <c r="M22" s="2" t="inlineStr">
        <is>
          <t>O12</t>
        </is>
      </c>
      <c r="N22" s="2" t="inlineStr">
        <is>
          <t>分段不變</t>
        </is>
      </c>
    </row>
    <row r="23">
      <c r="A23" s="2" t="inlineStr">
        <is>
          <t>Train_In</t>
        </is>
      </c>
      <c r="B23" s="2" t="n">
        <v>25</v>
      </c>
      <c r="C23" s="2" t="inlineStr">
        <is>
          <t>預訓練 token</t>
        </is>
      </c>
      <c r="D23" s="2" t="n">
        <v>24</v>
      </c>
      <c r="E23" s="2" t="n">
        <v>0.725</v>
      </c>
      <c r="F23" s="2" t="inlineStr">
        <is>
          <t>高</t>
        </is>
      </c>
      <c r="G23" s="2" t="n">
        <v>26</v>
      </c>
      <c r="H23" s="2" t="n">
        <v>0.725</v>
      </c>
      <c r="I23" s="2" t="inlineStr">
        <is>
          <t>高</t>
        </is>
      </c>
      <c r="J23" s="2" t="n">
        <v>22</v>
      </c>
      <c r="K23" s="2" t="n">
        <v>0.852</v>
      </c>
      <c r="L23" s="2" t="inlineStr">
        <is>
          <t>高</t>
        </is>
      </c>
      <c r="M23" s="2" t="inlineStr">
        <is>
          <t>O20</t>
        </is>
      </c>
      <c r="N23" s="2" t="inlineStr">
        <is>
          <t>分段不變</t>
        </is>
      </c>
    </row>
    <row r="24">
      <c r="A24" s="2" t="inlineStr">
        <is>
          <t>Calib</t>
        </is>
      </c>
      <c r="B24" s="2" t="n">
        <v>15</v>
      </c>
      <c r="C24" s="2" t="inlineStr">
        <is>
          <t>ISL</t>
        </is>
      </c>
      <c r="D24" s="2" t="n">
        <v>17</v>
      </c>
      <c r="E24" s="2" t="n">
        <v>0.802</v>
      </c>
      <c r="F24" s="2" t="inlineStr">
        <is>
          <t>高</t>
        </is>
      </c>
      <c r="G24" s="2" t="n">
        <v>19</v>
      </c>
      <c r="H24" s="2" t="n">
        <v>0.802</v>
      </c>
      <c r="I24" s="2" t="inlineStr">
        <is>
          <t>高</t>
        </is>
      </c>
      <c r="J24" s="2" t="n">
        <v>23</v>
      </c>
      <c r="K24" s="2" t="n">
        <v>0.802</v>
      </c>
      <c r="L24" s="2" t="inlineStr">
        <is>
          <t>高</t>
        </is>
      </c>
      <c r="M24" s="2" t="inlineStr">
        <is>
          <t>O05</t>
        </is>
      </c>
      <c r="N24" s="2" t="inlineStr">
        <is>
          <t>分段不變；連結列（以 SRC 格擾動）</t>
        </is>
      </c>
    </row>
    <row r="25">
      <c r="A25" s="2" t="inlineStr">
        <is>
          <t>Train_In</t>
        </is>
      </c>
      <c r="B25" s="2" t="n">
        <v>34</v>
      </c>
      <c r="C25" s="2" t="inlineStr">
        <is>
          <t>RL rollout 輸出 token（含各領域專家）</t>
        </is>
      </c>
      <c r="D25" s="2" t="n">
        <v>27</v>
      </c>
      <c r="E25" s="2" t="n">
        <v>0.681</v>
      </c>
      <c r="F25" s="2" t="inlineStr">
        <is>
          <t>高</t>
        </is>
      </c>
      <c r="G25" s="2" t="n">
        <v>29</v>
      </c>
      <c r="H25" s="2" t="n">
        <v>0.681</v>
      </c>
      <c r="I25" s="2" t="inlineStr">
        <is>
          <t>高</t>
        </is>
      </c>
      <c r="J25" s="2" t="n">
        <v>24</v>
      </c>
      <c r="K25" s="2" t="n">
        <v>0.78</v>
      </c>
      <c r="L25" s="2" t="inlineStr">
        <is>
          <t>高</t>
        </is>
      </c>
      <c r="M25" s="2" t="inlineStr">
        <is>
          <t>O20</t>
        </is>
      </c>
      <c r="N25" s="2" t="inlineStr">
        <is>
          <t>分段不變</t>
        </is>
      </c>
    </row>
    <row r="26">
      <c r="A26" s="2" t="inlineStr">
        <is>
          <t>Spec_Rack</t>
        </is>
      </c>
      <c r="B26" s="2" t="n">
        <v>12</v>
      </c>
      <c r="C26" s="2" t="inlineStr">
        <is>
          <t>機架價格 基準（$M）</t>
        </is>
      </c>
      <c r="D26" s="2" t="n">
        <v>18</v>
      </c>
      <c r="E26" s="2" t="n">
        <v>0.772</v>
      </c>
      <c r="F26" s="2" t="inlineStr">
        <is>
          <t>高</t>
        </is>
      </c>
      <c r="G26" s="2" t="n">
        <v>20</v>
      </c>
      <c r="H26" s="2" t="n">
        <v>0.772</v>
      </c>
      <c r="I26" s="2" t="inlineStr">
        <is>
          <t>高</t>
        </is>
      </c>
      <c r="J26" s="2" t="n">
        <v>25</v>
      </c>
      <c r="K26" s="2" t="n">
        <v>0.772</v>
      </c>
      <c r="L26" s="2" t="inlineStr">
        <is>
          <t>高</t>
        </is>
      </c>
      <c r="M26" s="2" t="inlineStr">
        <is>
          <t>O06</t>
        </is>
      </c>
      <c r="N26" s="2" t="inlineStr">
        <is>
          <t>分段不變</t>
        </is>
      </c>
    </row>
    <row r="27">
      <c r="A27" s="2" t="inlineStr">
        <is>
          <t>Serving</t>
        </is>
      </c>
      <c r="B27" s="2" t="n">
        <v>24</v>
      </c>
      <c r="C27" s="2" t="inlineStr">
        <is>
          <t>參考 OSL（含思考）</t>
        </is>
      </c>
      <c r="D27" s="2" t="n">
        <v>19</v>
      </c>
      <c r="E27" s="2" t="n">
        <v>0.741</v>
      </c>
      <c r="F27" s="2" t="inlineStr">
        <is>
          <t>高</t>
        </is>
      </c>
      <c r="G27" s="2" t="n">
        <v>21</v>
      </c>
      <c r="H27" s="2" t="n">
        <v>0.741</v>
      </c>
      <c r="I27" s="2" t="inlineStr">
        <is>
          <t>高</t>
        </is>
      </c>
      <c r="J27" s="2" t="n">
        <v>26</v>
      </c>
      <c r="K27" s="2" t="n">
        <v>0.741</v>
      </c>
      <c r="L27" s="2" t="inlineStr">
        <is>
          <t>高</t>
        </is>
      </c>
      <c r="M27" s="2" t="inlineStr">
        <is>
          <t>O10</t>
        </is>
      </c>
      <c r="N27" s="2" t="inlineStr">
        <is>
          <t>分段不變</t>
        </is>
      </c>
    </row>
    <row r="28">
      <c r="A28" s="2" t="inlineStr">
        <is>
          <t>Spec_Rack</t>
        </is>
      </c>
      <c r="B28" s="2" t="n">
        <v>40</v>
      </c>
      <c r="C28" s="2" t="inlineStr">
        <is>
          <t>FP8 dense PF/GPU（訓練基準，J7）</t>
        </is>
      </c>
      <c r="D28" s="2" t="n">
        <v>20</v>
      </c>
      <c r="E28" s="2" t="n">
        <v>0.732</v>
      </c>
      <c r="F28" s="2" t="inlineStr">
        <is>
          <t>高</t>
        </is>
      </c>
      <c r="G28" s="2" t="n">
        <v>22</v>
      </c>
      <c r="H28" s="2" t="n">
        <v>0.732</v>
      </c>
      <c r="I28" s="2" t="inlineStr">
        <is>
          <t>高</t>
        </is>
      </c>
      <c r="J28" s="2" t="n">
        <v>27</v>
      </c>
      <c r="K28" s="2" t="n">
        <v>0.732</v>
      </c>
      <c r="L28" s="2" t="inlineStr">
        <is>
          <t>高</t>
        </is>
      </c>
      <c r="M28" s="2" t="inlineStr">
        <is>
          <t>O07</t>
        </is>
      </c>
      <c r="N28" s="2" t="inlineStr">
        <is>
          <t>分段不變</t>
        </is>
      </c>
    </row>
    <row r="29">
      <c r="A29" s="2" t="inlineStr">
        <is>
          <t>Train_In</t>
        </is>
      </c>
      <c r="B29" s="2" t="n">
        <v>6</v>
      </c>
      <c r="C29" s="2" t="inlineStr">
        <is>
          <t>預訓練 MFU 基準（FP8 分母；GB200／GB300）</t>
        </is>
      </c>
      <c r="D29" s="2" t="n">
        <v>21</v>
      </c>
      <c r="E29" s="2" t="n">
        <v>0.732</v>
      </c>
      <c r="F29" s="2" t="inlineStr">
        <is>
          <t>高</t>
        </is>
      </c>
      <c r="G29" s="2" t="n">
        <v>23</v>
      </c>
      <c r="H29" s="2" t="n">
        <v>0.732</v>
      </c>
      <c r="I29" s="2" t="inlineStr">
        <is>
          <t>高</t>
        </is>
      </c>
      <c r="J29" s="2" t="n">
        <v>28</v>
      </c>
      <c r="K29" s="2" t="n">
        <v>0.732</v>
      </c>
      <c r="L29" s="2" t="inlineStr">
        <is>
          <t>高</t>
        </is>
      </c>
      <c r="M29" s="2" t="inlineStr">
        <is>
          <t>O07</t>
        </is>
      </c>
      <c r="N29" s="2" t="inlineStr">
        <is>
          <t>分段不變</t>
        </is>
      </c>
    </row>
    <row r="30">
      <c r="A30" s="2" t="inlineStr">
        <is>
          <t>Train_In</t>
        </is>
      </c>
      <c r="B30" s="2" t="n">
        <v>21</v>
      </c>
      <c r="C30" s="2" t="inlineStr">
        <is>
          <t>預訓練 MFU 世代倍數</t>
        </is>
      </c>
      <c r="D30" s="2" t="n">
        <v>22</v>
      </c>
      <c r="E30" s="2" t="n">
        <v>0.732</v>
      </c>
      <c r="F30" s="2" t="inlineStr">
        <is>
          <t>高</t>
        </is>
      </c>
      <c r="G30" s="2" t="n">
        <v>24</v>
      </c>
      <c r="H30" s="2" t="n">
        <v>0.732</v>
      </c>
      <c r="I30" s="2" t="inlineStr">
        <is>
          <t>高</t>
        </is>
      </c>
      <c r="J30" s="2" t="n">
        <v>29</v>
      </c>
      <c r="K30" s="2" t="n">
        <v>0.732</v>
      </c>
      <c r="L30" s="2" t="inlineStr">
        <is>
          <t>高</t>
        </is>
      </c>
      <c r="M30" s="2" t="inlineStr">
        <is>
          <t>O07</t>
        </is>
      </c>
      <c r="N30" s="2" t="inlineStr">
        <is>
          <t>分段不變</t>
        </is>
      </c>
    </row>
    <row r="31">
      <c r="A31" s="2" t="inlineStr">
        <is>
          <t>Train_In</t>
        </is>
      </c>
      <c r="B31" s="2" t="n">
        <v>7</v>
      </c>
      <c r="C31" s="2" t="inlineStr">
        <is>
          <t>goodput（扣除故障、重啟、checkpoint 的有效時間比）</t>
        </is>
      </c>
      <c r="D31" s="2" t="n">
        <v>23</v>
      </c>
      <c r="E31" s="2" t="n">
        <v>0.732</v>
      </c>
      <c r="F31" s="2" t="inlineStr">
        <is>
          <t>高</t>
        </is>
      </c>
      <c r="G31" s="2" t="n">
        <v>25</v>
      </c>
      <c r="H31" s="2" t="n">
        <v>0.732</v>
      </c>
      <c r="I31" s="2" t="inlineStr">
        <is>
          <t>高</t>
        </is>
      </c>
      <c r="J31" s="2" t="n">
        <v>30</v>
      </c>
      <c r="K31" s="2" t="n">
        <v>0.732</v>
      </c>
      <c r="L31" s="2" t="inlineStr">
        <is>
          <t>高</t>
        </is>
      </c>
      <c r="M31" s="2" t="inlineStr">
        <is>
          <t>O07</t>
        </is>
      </c>
      <c r="N31" s="2" t="inlineStr">
        <is>
          <t>分段不變</t>
        </is>
      </c>
    </row>
    <row r="32">
      <c r="A32" s="2" t="inlineStr">
        <is>
          <t>Serving</t>
        </is>
      </c>
      <c r="B32" s="2" t="n">
        <v>23</v>
      </c>
      <c r="C32" s="2" t="inlineStr">
        <is>
          <t>參考 ISL（每次請求輸入）</t>
        </is>
      </c>
      <c r="D32" s="2" t="n">
        <v>25</v>
      </c>
      <c r="E32" s="2" t="n">
        <v>0.703</v>
      </c>
      <c r="F32" s="2" t="inlineStr">
        <is>
          <t>高</t>
        </is>
      </c>
      <c r="G32" s="2" t="n">
        <v>27</v>
      </c>
      <c r="H32" s="2" t="n">
        <v>0.703</v>
      </c>
      <c r="I32" s="2" t="inlineStr">
        <is>
          <t>高</t>
        </is>
      </c>
      <c r="J32" s="2" t="n">
        <v>31</v>
      </c>
      <c r="K32" s="2" t="n">
        <v>0.703</v>
      </c>
      <c r="L32" s="2" t="inlineStr">
        <is>
          <t>高</t>
        </is>
      </c>
      <c r="M32" s="2" t="inlineStr">
        <is>
          <t>O10</t>
        </is>
      </c>
      <c r="N32" s="2" t="inlineStr">
        <is>
          <t>分段不變</t>
        </is>
      </c>
    </row>
    <row r="33">
      <c r="A33" s="2" t="inlineStr">
        <is>
          <t>Calib</t>
        </is>
      </c>
      <c r="B33" s="2" t="n">
        <v>68</v>
      </c>
      <c r="C33" s="2" t="inlineStr">
        <is>
          <t>每層延遲倍數</t>
        </is>
      </c>
      <c r="D33" s="2" t="n">
        <v>26</v>
      </c>
      <c r="E33" s="2" t="n">
        <v>0.6870000000000001</v>
      </c>
      <c r="F33" s="2" t="inlineStr">
        <is>
          <t>高</t>
        </is>
      </c>
      <c r="G33" s="2" t="n">
        <v>28</v>
      </c>
      <c r="H33" s="2" t="n">
        <v>0.6870000000000001</v>
      </c>
      <c r="I33" s="2" t="inlineStr">
        <is>
          <t>高</t>
        </is>
      </c>
      <c r="J33" s="2" t="n">
        <v>32</v>
      </c>
      <c r="K33" s="2" t="n">
        <v>0.6870000000000001</v>
      </c>
      <c r="L33" s="2" t="inlineStr">
        <is>
          <t>高</t>
        </is>
      </c>
      <c r="M33" s="2" t="inlineStr">
        <is>
          <t>O05</t>
        </is>
      </c>
      <c r="N33" s="2" t="inlineStr">
        <is>
          <t>分段不變</t>
        </is>
      </c>
    </row>
    <row r="34">
      <c r="A34" s="2" t="inlineStr">
        <is>
          <t>Arch</t>
        </is>
      </c>
      <c r="B34" s="2" t="n">
        <v>7</v>
      </c>
      <c r="C34" s="2" t="inlineStr">
        <is>
          <t>啟用參數</t>
        </is>
      </c>
      <c r="D34" s="2" t="n">
        <v>28</v>
      </c>
      <c r="E34" s="2" t="n">
        <v>0.642</v>
      </c>
      <c r="F34" s="2" t="inlineStr">
        <is>
          <t>高</t>
        </is>
      </c>
      <c r="G34" s="2" t="n">
        <v>30</v>
      </c>
      <c r="H34" s="2" t="n">
        <v>0.642</v>
      </c>
      <c r="I34" s="2" t="inlineStr">
        <is>
          <t>高</t>
        </is>
      </c>
      <c r="J34" s="2" t="n">
        <v>33</v>
      </c>
      <c r="K34" s="2" t="n">
        <v>0.642</v>
      </c>
      <c r="L34" s="2" t="inlineStr">
        <is>
          <t>高</t>
        </is>
      </c>
      <c r="M34" s="2" t="inlineStr">
        <is>
          <t>O05</t>
        </is>
      </c>
      <c r="N34" s="2" t="inlineStr">
        <is>
          <t>分段不變</t>
        </is>
      </c>
    </row>
    <row r="35">
      <c r="A35" s="2" t="inlineStr">
        <is>
          <t>Cap_In</t>
        </is>
      </c>
      <c r="B35" s="2" t="n">
        <v>48</v>
      </c>
      <c r="C35" s="2" t="inlineStr">
        <is>
          <t>GPT-6 Astra</t>
        </is>
      </c>
      <c r="D35" s="2" t="inlineStr">
        <is>
          <t>—</t>
        </is>
      </c>
      <c r="E35" s="2" t="inlineStr">
        <is>
          <t>—</t>
        </is>
      </c>
      <c r="F35" s="2" t="inlineStr">
        <is>
          <t>—（v5.10 無對應列）</t>
        </is>
      </c>
      <c r="G35" s="2" t="n">
        <v>31</v>
      </c>
      <c r="H35" s="2" t="n">
        <v>0.615</v>
      </c>
      <c r="I35" s="2" t="inlineStr">
        <is>
          <t>高</t>
        </is>
      </c>
      <c r="J35" s="2" t="n">
        <v>34</v>
      </c>
      <c r="K35" s="2" t="n">
        <v>0.615</v>
      </c>
      <c r="L35" s="2" t="inlineStr">
        <is>
          <t>高</t>
        </is>
      </c>
      <c r="M35" s="2" t="inlineStr">
        <is>
          <t>O12</t>
        </is>
      </c>
      <c r="N35" s="2" t="inlineStr">
        <is>
          <t>v5.10 無對應列（新列或結構改變）</t>
        </is>
      </c>
    </row>
    <row r="36">
      <c r="A36" s="2" t="inlineStr">
        <is>
          <t>Cap_In</t>
        </is>
      </c>
      <c r="B36" s="2" t="n">
        <v>8</v>
      </c>
      <c r="C36" s="2" t="inlineStr">
        <is>
          <t>輸出（含思考 token）</t>
        </is>
      </c>
      <c r="D36" s="2" t="n">
        <v>29</v>
      </c>
      <c r="E36" s="2" t="n">
        <v>0.553</v>
      </c>
      <c r="F36" s="2" t="inlineStr">
        <is>
          <t>高</t>
        </is>
      </c>
      <c r="G36" s="2" t="n">
        <v>32</v>
      </c>
      <c r="H36" s="2" t="n">
        <v>0.553</v>
      </c>
      <c r="I36" s="2" t="inlineStr">
        <is>
          <t>高</t>
        </is>
      </c>
      <c r="J36" s="2" t="n">
        <v>35</v>
      </c>
      <c r="K36" s="2" t="n">
        <v>0.553</v>
      </c>
      <c r="L36" s="2" t="inlineStr">
        <is>
          <t>高</t>
        </is>
      </c>
      <c r="M36" s="2" t="inlineStr">
        <is>
          <t>O12</t>
        </is>
      </c>
      <c r="N36" s="2" t="inlineStr">
        <is>
          <t>分段不變；連結列（以 SRC 格擾動）</t>
        </is>
      </c>
    </row>
    <row r="37">
      <c r="A37" s="2" t="inlineStr">
        <is>
          <t>Alloc_In</t>
        </is>
      </c>
      <c r="B37" s="2" t="n">
        <v>6</v>
      </c>
      <c r="C37" s="2" t="inlineStr">
        <is>
          <t>家族計畫數 N_major（個／年）</t>
        </is>
      </c>
      <c r="D37" s="2" t="inlineStr">
        <is>
          <t>—</t>
        </is>
      </c>
      <c r="E37" s="2" t="inlineStr">
        <is>
          <t>—</t>
        </is>
      </c>
      <c r="F37" s="2" t="inlineStr">
        <is>
          <t>—（v5.10 無對應列）</t>
        </is>
      </c>
      <c r="G37" s="2" t="n">
        <v>117</v>
      </c>
      <c r="H37" s="2" t="n">
        <v>0</v>
      </c>
      <c r="I37" s="2" t="inlineStr">
        <is>
          <t>無</t>
        </is>
      </c>
      <c r="J37" s="2" t="n">
        <v>36</v>
      </c>
      <c r="K37" s="2" t="n">
        <v>0.55</v>
      </c>
      <c r="L37" s="2" t="inlineStr">
        <is>
          <t>高</t>
        </is>
      </c>
      <c r="M37" s="2" t="inlineStr">
        <is>
          <t>O17</t>
        </is>
      </c>
      <c r="N37" s="2" t="inlineStr">
        <is>
          <t>v5.10 無對應列（新列或結構改變）</t>
        </is>
      </c>
    </row>
    <row r="38">
      <c r="A38" s="2" t="inlineStr">
        <is>
          <t>Inputs</t>
        </is>
      </c>
      <c r="B38" s="2" t="n">
        <v>23</v>
      </c>
      <c r="C38" s="2" t="inlineStr">
        <is>
          <t>IT 設備折舊年限</t>
        </is>
      </c>
      <c r="D38" s="2" t="n">
        <v>30</v>
      </c>
      <c r="E38" s="2" t="n">
        <v>0.505</v>
      </c>
      <c r="F38" s="2" t="inlineStr">
        <is>
          <t>高</t>
        </is>
      </c>
      <c r="G38" s="2" t="n">
        <v>33</v>
      </c>
      <c r="H38" s="2" t="n">
        <v>0.505</v>
      </c>
      <c r="I38" s="2" t="inlineStr">
        <is>
          <t>高</t>
        </is>
      </c>
      <c r="J38" s="2" t="n">
        <v>37</v>
      </c>
      <c r="K38" s="2" t="n">
        <v>0.505</v>
      </c>
      <c r="L38" s="2" t="inlineStr">
        <is>
          <t>高</t>
        </is>
      </c>
      <c r="M38" s="2" t="inlineStr">
        <is>
          <t>O06</t>
        </is>
      </c>
      <c r="N38" s="2" t="inlineStr">
        <is>
          <t>分段不變；連結列（以 SRC 格擾動）</t>
        </is>
      </c>
    </row>
    <row r="39">
      <c r="A39" s="2" t="inlineStr">
        <is>
          <t>Alloc_In</t>
        </is>
      </c>
      <c r="B39" s="2" t="n">
        <v>7</v>
      </c>
      <c r="C39" s="2" t="inlineStr">
        <is>
          <t>改版計畫數 N_refresh（個／年）</t>
        </is>
      </c>
      <c r="D39" s="2" t="inlineStr">
        <is>
          <t>—</t>
        </is>
      </c>
      <c r="E39" s="2" t="inlineStr">
        <is>
          <t>—</t>
        </is>
      </c>
      <c r="F39" s="2" t="inlineStr">
        <is>
          <t>—（v5.10 無對應列）</t>
        </is>
      </c>
      <c r="G39" s="2" t="n">
        <v>118</v>
      </c>
      <c r="H39" s="2" t="n">
        <v>0</v>
      </c>
      <c r="I39" s="2" t="inlineStr">
        <is>
          <t>無</t>
        </is>
      </c>
      <c r="J39" s="2" t="n">
        <v>38</v>
      </c>
      <c r="K39" s="2" t="n">
        <v>0.45</v>
      </c>
      <c r="L39" s="2" t="inlineStr">
        <is>
          <t>中</t>
        </is>
      </c>
      <c r="M39" s="2" t="inlineStr">
        <is>
          <t>O17</t>
        </is>
      </c>
      <c r="N39" s="2" t="inlineStr">
        <is>
          <t>v5.10 無對應列（新列或結構改變）</t>
        </is>
      </c>
    </row>
    <row r="40">
      <c r="A40" s="2" t="inlineStr">
        <is>
          <t>Workload</t>
        </is>
      </c>
      <c r="B40" s="2" t="n">
        <v>8</v>
      </c>
      <c r="C40" s="2" t="inlineStr">
        <is>
          <t>每輪思考 token h</t>
        </is>
      </c>
      <c r="D40" s="2" t="n">
        <v>31</v>
      </c>
      <c r="E40" s="2" t="n">
        <v>0.444</v>
      </c>
      <c r="F40" s="2" t="inlineStr">
        <is>
          <t>中</t>
        </is>
      </c>
      <c r="G40" s="2" t="n">
        <v>34</v>
      </c>
      <c r="H40" s="2" t="n">
        <v>0.444</v>
      </c>
      <c r="I40" s="2" t="inlineStr">
        <is>
          <t>中</t>
        </is>
      </c>
      <c r="J40" s="2" t="n">
        <v>39</v>
      </c>
      <c r="K40" s="2" t="n">
        <v>0.444</v>
      </c>
      <c r="L40" s="2" t="inlineStr">
        <is>
          <t>中</t>
        </is>
      </c>
      <c r="M40" s="2" t="inlineStr">
        <is>
          <t>O13</t>
        </is>
      </c>
      <c r="N40" s="2" t="inlineStr">
        <is>
          <t>分段不變</t>
        </is>
      </c>
    </row>
    <row r="41">
      <c r="A41" s="2" t="inlineStr">
        <is>
          <t>Cap_In</t>
        </is>
      </c>
      <c r="B41" s="2" t="n">
        <v>13</v>
      </c>
      <c r="C41" s="2" t="inlineStr">
        <is>
          <t>參考請求快取命中率 χ（輸入中屬快取命中的比例）</t>
        </is>
      </c>
      <c r="D41" s="2" t="n">
        <v>32</v>
      </c>
      <c r="E41" s="2" t="n">
        <v>0.438</v>
      </c>
      <c r="F41" s="2" t="inlineStr">
        <is>
          <t>中</t>
        </is>
      </c>
      <c r="G41" s="2" t="n">
        <v>35</v>
      </c>
      <c r="H41" s="2" t="n">
        <v>0.438</v>
      </c>
      <c r="I41" s="2" t="inlineStr">
        <is>
          <t>中</t>
        </is>
      </c>
      <c r="J41" s="2" t="n">
        <v>40</v>
      </c>
      <c r="K41" s="2" t="n">
        <v>0.438</v>
      </c>
      <c r="L41" s="2" t="inlineStr">
        <is>
          <t>中</t>
        </is>
      </c>
      <c r="M41" s="2" t="inlineStr">
        <is>
          <t>O12</t>
        </is>
      </c>
      <c r="N41" s="2" t="inlineStr">
        <is>
          <t>分段不變</t>
        </is>
      </c>
    </row>
    <row r="42">
      <c r="A42" s="2" t="inlineStr">
        <is>
          <t>Har_In</t>
        </is>
      </c>
      <c r="B42" s="2" t="n">
        <v>14</v>
      </c>
      <c r="C42" s="2" t="inlineStr">
        <is>
          <t>每輪思考倍數</t>
        </is>
      </c>
      <c r="D42" s="2" t="n">
        <v>117</v>
      </c>
      <c r="E42" s="2" t="n">
        <v>0</v>
      </c>
      <c r="F42" s="2" t="inlineStr">
        <is>
          <t>無</t>
        </is>
      </c>
      <c r="G42" s="2" t="n">
        <v>164</v>
      </c>
      <c r="H42" s="2" t="n">
        <v>0</v>
      </c>
      <c r="I42" s="2" t="inlineStr">
        <is>
          <t>無</t>
        </is>
      </c>
      <c r="J42" s="2" t="n">
        <v>41</v>
      </c>
      <c r="K42" s="2" t="n">
        <v>0.429</v>
      </c>
      <c r="L42" s="2" t="inlineStr">
        <is>
          <t>中</t>
        </is>
      </c>
      <c r="M42" s="2" t="inlineStr">
        <is>
          <t>O23</t>
        </is>
      </c>
      <c r="N42" s="2" t="inlineStr">
        <is>
          <t>加入 L1 輸出後分段改變（O23）</t>
        </is>
      </c>
    </row>
    <row r="43">
      <c r="A43" s="2" t="inlineStr">
        <is>
          <t>Train_In</t>
        </is>
      </c>
      <c r="B43" s="2" t="n">
        <v>9</v>
      </c>
      <c r="C43" s="2" t="inlineStr">
        <is>
          <t>RL trainer MFU 係數（× 預訓練 MFU）</t>
        </is>
      </c>
      <c r="D43" s="2" t="n">
        <v>33</v>
      </c>
      <c r="E43" s="2" t="n">
        <v>0.419</v>
      </c>
      <c r="F43" s="2" t="inlineStr">
        <is>
          <t>中</t>
        </is>
      </c>
      <c r="G43" s="2" t="n">
        <v>36</v>
      </c>
      <c r="H43" s="2" t="n">
        <v>0.419</v>
      </c>
      <c r="I43" s="2" t="inlineStr">
        <is>
          <t>中</t>
        </is>
      </c>
      <c r="J43" s="2" t="n">
        <v>42</v>
      </c>
      <c r="K43" s="2" t="n">
        <v>0.419</v>
      </c>
      <c r="L43" s="2" t="inlineStr">
        <is>
          <t>中</t>
        </is>
      </c>
      <c r="M43" s="2" t="inlineStr">
        <is>
          <t>O09</t>
        </is>
      </c>
      <c r="N43" s="2" t="inlineStr">
        <is>
          <t>分段不變</t>
        </is>
      </c>
    </row>
    <row r="44">
      <c r="A44" s="2" t="inlineStr">
        <is>
          <t>Cap_In</t>
        </is>
      </c>
      <c r="B44" s="2" t="n">
        <v>6</v>
      </c>
      <c r="C44" s="2" t="inlineStr">
        <is>
          <t>新鮮輸入</t>
        </is>
      </c>
      <c r="D44" s="2" t="n">
        <v>34</v>
      </c>
      <c r="E44" s="2" t="n">
        <v>0.398</v>
      </c>
      <c r="F44" s="2" t="inlineStr">
        <is>
          <t>中</t>
        </is>
      </c>
      <c r="G44" s="2" t="n">
        <v>37</v>
      </c>
      <c r="H44" s="2" t="n">
        <v>0.398</v>
      </c>
      <c r="I44" s="2" t="inlineStr">
        <is>
          <t>中</t>
        </is>
      </c>
      <c r="J44" s="2" t="n">
        <v>43</v>
      </c>
      <c r="K44" s="2" t="n">
        <v>0.398</v>
      </c>
      <c r="L44" s="2" t="inlineStr">
        <is>
          <t>中</t>
        </is>
      </c>
      <c r="M44" s="2" t="inlineStr">
        <is>
          <t>O12</t>
        </is>
      </c>
      <c r="N44" s="2" t="inlineStr">
        <is>
          <t>分段不變；連結列（以 SRC 格擾動）</t>
        </is>
      </c>
    </row>
    <row r="45">
      <c r="A45" s="2" t="inlineStr">
        <is>
          <t>Har_In</t>
        </is>
      </c>
      <c r="B45" s="2" t="n">
        <v>48</v>
      </c>
      <c r="C45" s="2" t="inlineStr">
        <is>
          <t>50% 時間範圍 基準</t>
        </is>
      </c>
      <c r="D45" s="2" t="n">
        <v>35</v>
      </c>
      <c r="E45" s="2" t="n">
        <v>0.378</v>
      </c>
      <c r="F45" s="2" t="inlineStr">
        <is>
          <t>中</t>
        </is>
      </c>
      <c r="G45" s="2" t="n">
        <v>38</v>
      </c>
      <c r="H45" s="2" t="n">
        <v>0.378</v>
      </c>
      <c r="I45" s="2" t="inlineStr">
        <is>
          <t>中</t>
        </is>
      </c>
      <c r="J45" s="2" t="n">
        <v>44</v>
      </c>
      <c r="K45" s="2" t="n">
        <v>0.378</v>
      </c>
      <c r="L45" s="2" t="inlineStr">
        <is>
          <t>中</t>
        </is>
      </c>
      <c r="M45" s="2" t="inlineStr">
        <is>
          <t>O13</t>
        </is>
      </c>
      <c r="N45" s="2" t="inlineStr">
        <is>
          <t>分段不變</t>
        </is>
      </c>
    </row>
    <row r="46">
      <c r="A46" s="2" t="inlineStr">
        <is>
          <t>Har_In</t>
        </is>
      </c>
      <c r="B46" s="2" t="n">
        <v>53</v>
      </c>
      <c r="C46" s="2" t="inlineStr">
        <is>
          <t>任務長度（人類完成時間）</t>
        </is>
      </c>
      <c r="D46" s="2" t="n">
        <v>36</v>
      </c>
      <c r="E46" s="2" t="n">
        <v>0.375</v>
      </c>
      <c r="F46" s="2" t="inlineStr">
        <is>
          <t>中</t>
        </is>
      </c>
      <c r="G46" s="2" t="n">
        <v>39</v>
      </c>
      <c r="H46" s="2" t="n">
        <v>0.375</v>
      </c>
      <c r="I46" s="2" t="inlineStr">
        <is>
          <t>中</t>
        </is>
      </c>
      <c r="J46" s="2" t="n">
        <v>45</v>
      </c>
      <c r="K46" s="2" t="n">
        <v>0.375</v>
      </c>
      <c r="L46" s="2" t="inlineStr">
        <is>
          <t>中</t>
        </is>
      </c>
      <c r="M46" s="2" t="inlineStr">
        <is>
          <t>O13</t>
        </is>
      </c>
      <c r="N46" s="2" t="inlineStr">
        <is>
          <t>分段不變</t>
        </is>
      </c>
    </row>
    <row r="47">
      <c r="A47" s="2" t="inlineStr">
        <is>
          <t>Workload</t>
        </is>
      </c>
      <c r="B47" s="2" t="n">
        <v>9</v>
      </c>
      <c r="C47" s="2" t="inlineStr">
        <is>
          <t>每輪可見輸出 o</t>
        </is>
      </c>
      <c r="D47" s="2" t="n">
        <v>41</v>
      </c>
      <c r="E47" s="2" t="n">
        <v>0.319</v>
      </c>
      <c r="F47" s="2" t="inlineStr">
        <is>
          <t>中</t>
        </is>
      </c>
      <c r="G47" s="2" t="n">
        <v>44</v>
      </c>
      <c r="H47" s="2" t="n">
        <v>0.319</v>
      </c>
      <c r="I47" s="2" t="inlineStr">
        <is>
          <t>中</t>
        </is>
      </c>
      <c r="J47" s="2" t="n">
        <v>46</v>
      </c>
      <c r="K47" s="2" t="n">
        <v>0.358</v>
      </c>
      <c r="L47" s="2" t="inlineStr">
        <is>
          <t>中</t>
        </is>
      </c>
      <c r="M47" s="2" t="inlineStr">
        <is>
          <t>O23</t>
        </is>
      </c>
      <c r="N47" s="2" t="inlineStr">
        <is>
          <t>分段不變</t>
        </is>
      </c>
    </row>
    <row r="48">
      <c r="A48" s="2" t="inlineStr">
        <is>
          <t>Cap_In</t>
        </is>
      </c>
      <c r="B48" s="2" t="n">
        <v>31</v>
      </c>
      <c r="C48" s="2" t="inlineStr">
        <is>
          <t>付費服務 token 層級組合</t>
        </is>
      </c>
      <c r="D48" s="2" t="n">
        <v>146</v>
      </c>
      <c r="E48" s="2" t="n">
        <v>0</v>
      </c>
      <c r="F48" s="2" t="inlineStr">
        <is>
          <t>無</t>
        </is>
      </c>
      <c r="G48" s="2" t="n">
        <v>147</v>
      </c>
      <c r="H48" s="2" t="n">
        <v>0</v>
      </c>
      <c r="I48" s="2" t="inlineStr">
        <is>
          <t>無</t>
        </is>
      </c>
      <c r="J48" s="2" t="n">
        <v>47</v>
      </c>
      <c r="K48" s="2" t="n">
        <v>0.357</v>
      </c>
      <c r="L48" s="2" t="inlineStr">
        <is>
          <t>中</t>
        </is>
      </c>
      <c r="M48" s="2" t="inlineStr">
        <is>
          <t>O15</t>
        </is>
      </c>
      <c r="N48" s="2" t="inlineStr">
        <is>
          <t>加入 L1 輸出後分段改變（O15）</t>
        </is>
      </c>
    </row>
    <row r="49">
      <c r="A49" s="2" t="inlineStr">
        <is>
          <t>Calib</t>
        </is>
      </c>
      <c r="B49" s="2" t="n">
        <v>5</v>
      </c>
      <c r="C49" s="2" t="inlineStr">
        <is>
          <t>η_p：prefill 達成峰值比例</t>
        </is>
      </c>
      <c r="D49" s="2" t="n">
        <v>38</v>
      </c>
      <c r="E49" s="2" t="n">
        <v>0.341</v>
      </c>
      <c r="F49" s="2" t="inlineStr">
        <is>
          <t>中</t>
        </is>
      </c>
      <c r="G49" s="2" t="n">
        <v>40</v>
      </c>
      <c r="H49" s="2" t="n">
        <v>0.341</v>
      </c>
      <c r="I49" s="2" t="inlineStr">
        <is>
          <t>中</t>
        </is>
      </c>
      <c r="J49" s="2" t="n">
        <v>48</v>
      </c>
      <c r="K49" s="2" t="n">
        <v>0.341</v>
      </c>
      <c r="L49" s="2" t="inlineStr">
        <is>
          <t>中</t>
        </is>
      </c>
      <c r="M49" s="2" t="inlineStr">
        <is>
          <t>O04</t>
        </is>
      </c>
      <c r="N49" s="2" t="inlineStr">
        <is>
          <t>分段不變</t>
        </is>
      </c>
    </row>
    <row r="50">
      <c r="A50" s="2" t="inlineStr">
        <is>
          <t>Spec_Rack</t>
        </is>
      </c>
      <c r="B50" s="2" t="n">
        <v>23</v>
      </c>
      <c r="C50" s="2" t="inlineStr">
        <is>
          <t>峰值 dense（基準）PF/GPU</t>
        </is>
      </c>
      <c r="D50" s="2" t="n">
        <v>37</v>
      </c>
      <c r="E50" s="2" t="n">
        <v>0.341</v>
      </c>
      <c r="F50" s="2" t="inlineStr">
        <is>
          <t>中</t>
        </is>
      </c>
      <c r="G50" s="2" t="n">
        <v>41</v>
      </c>
      <c r="H50" s="2" t="n">
        <v>0.341</v>
      </c>
      <c r="I50" s="2" t="inlineStr">
        <is>
          <t>中</t>
        </is>
      </c>
      <c r="J50" s="2" t="n">
        <v>49</v>
      </c>
      <c r="K50" s="2" t="n">
        <v>0.341</v>
      </c>
      <c r="L50" s="2" t="inlineStr">
        <is>
          <t>中</t>
        </is>
      </c>
      <c r="M50" s="2" t="inlineStr">
        <is>
          <t>O04</t>
        </is>
      </c>
      <c r="N50" s="2" t="inlineStr">
        <is>
          <t>分段不變</t>
        </is>
      </c>
    </row>
    <row r="51">
      <c r="A51" s="2" t="inlineStr">
        <is>
          <t>Train_In</t>
        </is>
      </c>
      <c r="B51" s="2" t="n">
        <v>11</v>
      </c>
      <c r="C51" s="2" t="inlineStr">
        <is>
          <t>rollout 效率（長尾等待、權重同步、閒置）</t>
        </is>
      </c>
      <c r="D51" s="2" t="n">
        <v>39</v>
      </c>
      <c r="E51" s="2" t="n">
        <v>0.325</v>
      </c>
      <c r="F51" s="2" t="inlineStr">
        <is>
          <t>中</t>
        </is>
      </c>
      <c r="G51" s="2" t="n">
        <v>42</v>
      </c>
      <c r="H51" s="2" t="n">
        <v>0.325</v>
      </c>
      <c r="I51" s="2" t="inlineStr">
        <is>
          <t>中</t>
        </is>
      </c>
      <c r="J51" s="2" t="n">
        <v>50</v>
      </c>
      <c r="K51" s="2" t="n">
        <v>0.325</v>
      </c>
      <c r="L51" s="2" t="inlineStr">
        <is>
          <t>中</t>
        </is>
      </c>
      <c r="M51" s="2" t="inlineStr">
        <is>
          <t>O09</t>
        </is>
      </c>
      <c r="N51" s="2" t="inlineStr">
        <is>
          <t>分段不變</t>
        </is>
      </c>
    </row>
    <row r="52">
      <c r="A52" s="2" t="inlineStr">
        <is>
          <t>Arch</t>
        </is>
      </c>
      <c r="B52" s="2" t="n">
        <v>16</v>
      </c>
      <c r="C52" s="2" t="inlineStr">
        <is>
          <t>全注意力層比例</t>
        </is>
      </c>
      <c r="D52" s="2" t="n">
        <v>40</v>
      </c>
      <c r="E52" s="2" t="n">
        <v>0.324</v>
      </c>
      <c r="F52" s="2" t="inlineStr">
        <is>
          <t>中</t>
        </is>
      </c>
      <c r="G52" s="2" t="n">
        <v>43</v>
      </c>
      <c r="H52" s="2" t="n">
        <v>0.324</v>
      </c>
      <c r="I52" s="2" t="inlineStr">
        <is>
          <t>中</t>
        </is>
      </c>
      <c r="J52" s="2" t="n">
        <v>51</v>
      </c>
      <c r="K52" s="2" t="n">
        <v>0.324</v>
      </c>
      <c r="L52" s="2" t="inlineStr">
        <is>
          <t>中</t>
        </is>
      </c>
      <c r="M52" s="2" t="inlineStr">
        <is>
          <t>O05</t>
        </is>
      </c>
      <c r="N52" s="2" t="inlineStr">
        <is>
          <t>分段不變</t>
        </is>
      </c>
    </row>
    <row r="53">
      <c r="A53" s="2" t="inlineStr">
        <is>
          <t>Spec_Rack</t>
        </is>
      </c>
      <c r="B53" s="2" t="n">
        <v>31</v>
      </c>
      <c r="C53" s="2" t="inlineStr">
        <is>
          <t>非專家權重 bytes/param</t>
        </is>
      </c>
      <c r="D53" s="2" t="n">
        <v>42</v>
      </c>
      <c r="E53" s="2" t="n">
        <v>0.315</v>
      </c>
      <c r="F53" s="2" t="inlineStr">
        <is>
          <t>中</t>
        </is>
      </c>
      <c r="G53" s="2" t="n">
        <v>45</v>
      </c>
      <c r="H53" s="2" t="n">
        <v>0.315</v>
      </c>
      <c r="I53" s="2" t="inlineStr">
        <is>
          <t>中</t>
        </is>
      </c>
      <c r="J53" s="2" t="n">
        <v>52</v>
      </c>
      <c r="K53" s="2" t="n">
        <v>0.315</v>
      </c>
      <c r="L53" s="2" t="inlineStr">
        <is>
          <t>中</t>
        </is>
      </c>
      <c r="M53" s="2" t="inlineStr">
        <is>
          <t>O05</t>
        </is>
      </c>
      <c r="N53" s="2" t="inlineStr">
        <is>
          <t>分段不變</t>
        </is>
      </c>
    </row>
    <row r="54">
      <c r="A54" s="2" t="inlineStr">
        <is>
          <t>Calib</t>
        </is>
      </c>
      <c r="B54" s="2" t="n">
        <v>69</v>
      </c>
      <c r="C54" s="2" t="inlineStr">
        <is>
          <t>η_p 倍數</t>
        </is>
      </c>
      <c r="D54" s="2" t="n">
        <v>43</v>
      </c>
      <c r="E54" s="2" t="n">
        <v>0.294</v>
      </c>
      <c r="F54" s="2" t="inlineStr">
        <is>
          <t>中</t>
        </is>
      </c>
      <c r="G54" s="2" t="n">
        <v>46</v>
      </c>
      <c r="H54" s="2" t="n">
        <v>0.294</v>
      </c>
      <c r="I54" s="2" t="inlineStr">
        <is>
          <t>中</t>
        </is>
      </c>
      <c r="J54" s="2" t="n">
        <v>53</v>
      </c>
      <c r="K54" s="2" t="n">
        <v>0.294</v>
      </c>
      <c r="L54" s="2" t="inlineStr">
        <is>
          <t>中</t>
        </is>
      </c>
      <c r="M54" s="2" t="inlineStr">
        <is>
          <t>O11</t>
        </is>
      </c>
      <c r="N54" s="2" t="inlineStr">
        <is>
          <t>分段不變</t>
        </is>
      </c>
    </row>
    <row r="55">
      <c r="A55" s="2" t="inlineStr">
        <is>
          <t>Har_In</t>
        </is>
      </c>
      <c r="B55" s="2" t="n">
        <v>19</v>
      </c>
      <c r="C55" s="2" t="inlineStr">
        <is>
          <t>時間範圍倍數（本任務）</t>
        </is>
      </c>
      <c r="D55" s="2" t="n">
        <v>115</v>
      </c>
      <c r="E55" s="2" t="n">
        <v>0</v>
      </c>
      <c r="F55" s="2" t="inlineStr">
        <is>
          <t>無</t>
        </is>
      </c>
      <c r="G55" s="2" t="n">
        <v>167</v>
      </c>
      <c r="H55" s="2" t="n">
        <v>0</v>
      </c>
      <c r="I55" s="2" t="inlineStr">
        <is>
          <t>無</t>
        </is>
      </c>
      <c r="J55" s="2" t="n">
        <v>54</v>
      </c>
      <c r="K55" s="2" t="n">
        <v>0.282</v>
      </c>
      <c r="L55" s="2" t="inlineStr">
        <is>
          <t>中</t>
        </is>
      </c>
      <c r="M55" s="2" t="inlineStr">
        <is>
          <t>O23</t>
        </is>
      </c>
      <c r="N55" s="2" t="inlineStr">
        <is>
          <t>加入 L1 輸出後分段改變（O23）</t>
        </is>
      </c>
    </row>
    <row r="56">
      <c r="A56" s="2" t="inlineStr">
        <is>
          <t>Inputs</t>
        </is>
      </c>
      <c r="B56" s="2" t="n">
        <v>28</v>
      </c>
      <c r="C56" s="2" t="inlineStr">
        <is>
          <t>WACC（經濟口徑）</t>
        </is>
      </c>
      <c r="D56" s="2" t="n">
        <v>45</v>
      </c>
      <c r="E56" s="2" t="n">
        <v>0.28</v>
      </c>
      <c r="F56" s="2" t="inlineStr">
        <is>
          <t>中</t>
        </is>
      </c>
      <c r="G56" s="2" t="n">
        <v>47</v>
      </c>
      <c r="H56" s="2" t="n">
        <v>0.28</v>
      </c>
      <c r="I56" s="2" t="inlineStr">
        <is>
          <t>中</t>
        </is>
      </c>
      <c r="J56" s="2" t="n">
        <v>55</v>
      </c>
      <c r="K56" s="2" t="n">
        <v>0.28</v>
      </c>
      <c r="L56" s="2" t="inlineStr">
        <is>
          <t>中</t>
        </is>
      </c>
      <c r="M56" s="2" t="inlineStr">
        <is>
          <t>O05</t>
        </is>
      </c>
      <c r="N56" s="2" t="inlineStr">
        <is>
          <t>分段不變</t>
        </is>
      </c>
    </row>
    <row r="57">
      <c r="A57" s="2" t="inlineStr">
        <is>
          <t>Alloc_In</t>
        </is>
      </c>
      <c r="B57" s="2" t="n">
        <v>14</v>
      </c>
      <c r="C57" s="2" t="inlineStr">
        <is>
          <t>API 全年平均 ÷ 10 月時點值</t>
        </is>
      </c>
      <c r="D57" s="2" t="inlineStr">
        <is>
          <t>—</t>
        </is>
      </c>
      <c r="E57" s="2" t="inlineStr">
        <is>
          <t>—</t>
        </is>
      </c>
      <c r="F57" s="2" t="inlineStr">
        <is>
          <t>—（v5.10 無對應列）</t>
        </is>
      </c>
      <c r="G57" s="2" t="n">
        <v>124</v>
      </c>
      <c r="H57" s="2" t="n">
        <v>0</v>
      </c>
      <c r="I57" s="2" t="inlineStr">
        <is>
          <t>無</t>
        </is>
      </c>
      <c r="J57" s="2" t="n">
        <v>56</v>
      </c>
      <c r="K57" s="2" t="n">
        <v>0.272</v>
      </c>
      <c r="L57" s="2" t="inlineStr">
        <is>
          <t>中</t>
        </is>
      </c>
      <c r="M57" s="2" t="inlineStr">
        <is>
          <t>O15</t>
        </is>
      </c>
      <c r="N57" s="2" t="inlineStr">
        <is>
          <t>v5.10 無對應列（新列或結構改變）</t>
        </is>
      </c>
    </row>
    <row r="58">
      <c r="A58" s="2" t="inlineStr">
        <is>
          <t>Arch</t>
        </is>
      </c>
      <c r="B58" s="2" t="n">
        <v>12</v>
      </c>
      <c r="C58" s="2" t="inlineStr">
        <is>
          <t>routed experts</t>
        </is>
      </c>
      <c r="D58" s="2" t="n">
        <v>46</v>
      </c>
      <c r="E58" s="2" t="n">
        <v>0.262</v>
      </c>
      <c r="F58" s="2" t="inlineStr">
        <is>
          <t>中</t>
        </is>
      </c>
      <c r="G58" s="2" t="n">
        <v>48</v>
      </c>
      <c r="H58" s="2" t="n">
        <v>0.262</v>
      </c>
      <c r="I58" s="2" t="inlineStr">
        <is>
          <t>中</t>
        </is>
      </c>
      <c r="J58" s="2" t="n">
        <v>57</v>
      </c>
      <c r="K58" s="2" t="n">
        <v>0.262</v>
      </c>
      <c r="L58" s="2" t="inlineStr">
        <is>
          <t>中</t>
        </is>
      </c>
      <c r="M58" s="2" t="inlineStr">
        <is>
          <t>O05</t>
        </is>
      </c>
      <c r="N58" s="2" t="inlineStr">
        <is>
          <t>分段不變</t>
        </is>
      </c>
    </row>
    <row r="59">
      <c r="A59" s="2" t="inlineStr">
        <is>
          <t>Cap_In</t>
        </is>
      </c>
      <c r="B59" s="2" t="n">
        <v>12</v>
      </c>
      <c r="C59" s="2" t="inlineStr">
        <is>
          <t>有效折扣（Batch／Flex 半價＋企業議價，加權）</t>
        </is>
      </c>
      <c r="D59" s="2" t="n">
        <v>47</v>
      </c>
      <c r="E59" s="2" t="n">
        <v>0.25</v>
      </c>
      <c r="F59" s="2" t="inlineStr">
        <is>
          <t>中</t>
        </is>
      </c>
      <c r="G59" s="2" t="n">
        <v>49</v>
      </c>
      <c r="H59" s="2" t="n">
        <v>0.25</v>
      </c>
      <c r="I59" s="2" t="inlineStr">
        <is>
          <t>中</t>
        </is>
      </c>
      <c r="J59" s="2" t="n">
        <v>58</v>
      </c>
      <c r="K59" s="2" t="n">
        <v>0.25</v>
      </c>
      <c r="L59" s="2" t="inlineStr">
        <is>
          <t>中</t>
        </is>
      </c>
      <c r="M59" s="2" t="inlineStr">
        <is>
          <t>O11</t>
        </is>
      </c>
      <c r="N59" s="2" t="inlineStr">
        <is>
          <t>分段不變</t>
        </is>
      </c>
    </row>
    <row r="60">
      <c r="A60" s="2" t="inlineStr">
        <is>
          <t>Arch</t>
        </is>
      </c>
      <c r="B60" s="2" t="n">
        <v>13</v>
      </c>
      <c r="C60" s="2" t="inlineStr">
        <is>
          <t>每 token 啟用 routed experts</t>
        </is>
      </c>
      <c r="D60" s="2" t="n">
        <v>48</v>
      </c>
      <c r="E60" s="2" t="n">
        <v>0.246</v>
      </c>
      <c r="F60" s="2" t="inlineStr">
        <is>
          <t>中</t>
        </is>
      </c>
      <c r="G60" s="2" t="n">
        <v>50</v>
      </c>
      <c r="H60" s="2" t="n">
        <v>0.246</v>
      </c>
      <c r="I60" s="2" t="inlineStr">
        <is>
          <t>中</t>
        </is>
      </c>
      <c r="J60" s="2" t="n">
        <v>59</v>
      </c>
      <c r="K60" s="2" t="n">
        <v>0.246</v>
      </c>
      <c r="L60" s="2" t="inlineStr">
        <is>
          <t>中</t>
        </is>
      </c>
      <c r="M60" s="2" t="inlineStr">
        <is>
          <t>O05</t>
        </is>
      </c>
      <c r="N60" s="2" t="inlineStr">
        <is>
          <t>分段不變</t>
        </is>
      </c>
    </row>
    <row r="61">
      <c r="A61" s="2" t="inlineStr">
        <is>
          <t>Train_In</t>
        </is>
      </c>
      <c r="B61" s="2" t="n">
        <v>32</v>
      </c>
      <c r="C61" s="2" t="inlineStr">
        <is>
          <t>rollout 參考輸入（prompt＋工具結果）</t>
        </is>
      </c>
      <c r="D61" s="2" t="n">
        <v>56</v>
      </c>
      <c r="E61" s="2" t="n">
        <v>0.142</v>
      </c>
      <c r="F61" s="2" t="inlineStr">
        <is>
          <t>中</t>
        </is>
      </c>
      <c r="G61" s="2" t="n">
        <v>58</v>
      </c>
      <c r="H61" s="2" t="n">
        <v>0.142</v>
      </c>
      <c r="I61" s="2" t="inlineStr">
        <is>
          <t>中</t>
        </is>
      </c>
      <c r="J61" s="2" t="n">
        <v>60</v>
      </c>
      <c r="K61" s="2" t="n">
        <v>0.245</v>
      </c>
      <c r="L61" s="2" t="inlineStr">
        <is>
          <t>中</t>
        </is>
      </c>
      <c r="M61" s="2" t="inlineStr">
        <is>
          <t>O20</t>
        </is>
      </c>
      <c r="N61" s="2" t="inlineStr">
        <is>
          <t>分段不變</t>
        </is>
      </c>
    </row>
    <row r="62">
      <c r="A62" s="2" t="inlineStr">
        <is>
          <t>Train_In</t>
        </is>
      </c>
      <c r="B62" s="2" t="n">
        <v>33</v>
      </c>
      <c r="C62" s="2" t="inlineStr">
        <is>
          <t>rollout 參考輸出（含思考）</t>
        </is>
      </c>
      <c r="D62" s="2" t="n">
        <v>57</v>
      </c>
      <c r="E62" s="2" t="n">
        <v>0.138</v>
      </c>
      <c r="F62" s="2" t="inlineStr">
        <is>
          <t>中</t>
        </is>
      </c>
      <c r="G62" s="2" t="n">
        <v>59</v>
      </c>
      <c r="H62" s="2" t="n">
        <v>0.138</v>
      </c>
      <c r="I62" s="2" t="inlineStr">
        <is>
          <t>中</t>
        </is>
      </c>
      <c r="J62" s="2" t="n">
        <v>61</v>
      </c>
      <c r="K62" s="2" t="n">
        <v>0.239</v>
      </c>
      <c r="L62" s="2" t="inlineStr">
        <is>
          <t>中</t>
        </is>
      </c>
      <c r="M62" s="2" t="inlineStr">
        <is>
          <t>O20</t>
        </is>
      </c>
      <c r="N62" s="2" t="inlineStr">
        <is>
          <t>分段不變</t>
        </is>
      </c>
    </row>
    <row r="63">
      <c r="A63" s="2" t="inlineStr">
        <is>
          <t>Serving</t>
        </is>
      </c>
      <c r="B63" s="2" t="n">
        <v>10</v>
      </c>
      <c r="C63" s="2" t="inlineStr">
        <is>
          <t>非專家權重占可用 HBM 上限</t>
        </is>
      </c>
      <c r="D63" s="2" t="n">
        <v>50</v>
      </c>
      <c r="E63" s="2" t="n">
        <v>0.221</v>
      </c>
      <c r="F63" s="2" t="inlineStr">
        <is>
          <t>中</t>
        </is>
      </c>
      <c r="G63" s="2" t="n">
        <v>51</v>
      </c>
      <c r="H63" s="2" t="n">
        <v>0.221</v>
      </c>
      <c r="I63" s="2" t="inlineStr">
        <is>
          <t>中</t>
        </is>
      </c>
      <c r="J63" s="2" t="n">
        <v>62</v>
      </c>
      <c r="K63" s="2" t="n">
        <v>0.221</v>
      </c>
      <c r="L63" s="2" t="inlineStr">
        <is>
          <t>中</t>
        </is>
      </c>
      <c r="M63" s="2" t="inlineStr">
        <is>
          <t>O05</t>
        </is>
      </c>
      <c r="N63" s="2" t="inlineStr">
        <is>
          <t>分段不變</t>
        </is>
      </c>
    </row>
    <row r="64">
      <c r="A64" s="2" t="inlineStr">
        <is>
          <t>Spec_Rack</t>
        </is>
      </c>
      <c r="B64" s="2" t="n">
        <v>25</v>
      </c>
      <c r="C64" s="2" t="inlineStr">
        <is>
          <t>HBM 容量 GB/GPU</t>
        </is>
      </c>
      <c r="D64" s="2" t="n">
        <v>49</v>
      </c>
      <c r="E64" s="2" t="n">
        <v>0.221</v>
      </c>
      <c r="F64" s="2" t="inlineStr">
        <is>
          <t>中</t>
        </is>
      </c>
      <c r="G64" s="2" t="n">
        <v>52</v>
      </c>
      <c r="H64" s="2" t="n">
        <v>0.221</v>
      </c>
      <c r="I64" s="2" t="inlineStr">
        <is>
          <t>中</t>
        </is>
      </c>
      <c r="J64" s="2" t="n">
        <v>63</v>
      </c>
      <c r="K64" s="2" t="n">
        <v>0.221</v>
      </c>
      <c r="L64" s="2" t="inlineStr">
        <is>
          <t>中</t>
        </is>
      </c>
      <c r="M64" s="2" t="inlineStr">
        <is>
          <t>O05</t>
        </is>
      </c>
      <c r="N64" s="2" t="inlineStr">
        <is>
          <t>分段不變</t>
        </is>
      </c>
    </row>
    <row r="65">
      <c r="A65" s="2" t="inlineStr">
        <is>
          <t>Train_In</t>
        </is>
      </c>
      <c r="B65" s="2" t="n">
        <v>26</v>
      </c>
      <c r="C65" s="2" t="inlineStr">
        <is>
          <t>預訓練序列長（dense 注意力）</t>
        </is>
      </c>
      <c r="D65" s="2" t="n">
        <v>53</v>
      </c>
      <c r="E65" s="2" t="n">
        <v>0.181</v>
      </c>
      <c r="F65" s="2" t="inlineStr">
        <is>
          <t>中</t>
        </is>
      </c>
      <c r="G65" s="2" t="n">
        <v>55</v>
      </c>
      <c r="H65" s="2" t="n">
        <v>0.181</v>
      </c>
      <c r="I65" s="2" t="inlineStr">
        <is>
          <t>中</t>
        </is>
      </c>
      <c r="J65" s="2" t="n">
        <v>64</v>
      </c>
      <c r="K65" s="2" t="n">
        <v>0.212</v>
      </c>
      <c r="L65" s="2" t="inlineStr">
        <is>
          <t>中</t>
        </is>
      </c>
      <c r="M65" s="2" t="inlineStr">
        <is>
          <t>O20</t>
        </is>
      </c>
      <c r="N65" s="2" t="inlineStr">
        <is>
          <t>分段不變</t>
        </is>
      </c>
    </row>
    <row r="66">
      <c r="A66" s="2" t="inlineStr">
        <is>
          <t>Har_In</t>
        </is>
      </c>
      <c r="B66" s="2" t="n">
        <v>51</v>
      </c>
      <c r="C66" s="2" t="inlineStr">
        <is>
          <t>斜率 β（C＝基準、D＝低、E＝高）</t>
        </is>
      </c>
      <c r="D66" s="2" t="n">
        <v>114</v>
      </c>
      <c r="E66" s="2" t="n">
        <v>0</v>
      </c>
      <c r="F66" s="2" t="inlineStr">
        <is>
          <t>無</t>
        </is>
      </c>
      <c r="G66" s="2" t="n">
        <v>174</v>
      </c>
      <c r="H66" s="2" t="n">
        <v>0</v>
      </c>
      <c r="I66" s="2" t="inlineStr">
        <is>
          <t>無</t>
        </is>
      </c>
      <c r="J66" s="2" t="n">
        <v>65</v>
      </c>
      <c r="K66" s="2" t="n">
        <v>0.194</v>
      </c>
      <c r="L66" s="2" t="inlineStr">
        <is>
          <t>中</t>
        </is>
      </c>
      <c r="M66" s="2" t="inlineStr">
        <is>
          <t>O22</t>
        </is>
      </c>
      <c r="N66" s="2" t="inlineStr">
        <is>
          <t>加入 L1 輸出後分段改變（O22）</t>
        </is>
      </c>
    </row>
    <row r="67">
      <c r="A67" s="2" t="inlineStr">
        <is>
          <t>Workload</t>
        </is>
      </c>
      <c r="B67" s="2" t="n">
        <v>7</v>
      </c>
      <c r="C67" s="2" t="inlineStr">
        <is>
          <t>每輪新輸入 u（使用者或工具結果）</t>
        </is>
      </c>
      <c r="D67" s="2" t="n">
        <v>51</v>
      </c>
      <c r="E67" s="2" t="n">
        <v>0.191</v>
      </c>
      <c r="F67" s="2" t="inlineStr">
        <is>
          <t>中</t>
        </is>
      </c>
      <c r="G67" s="2" t="n">
        <v>53</v>
      </c>
      <c r="H67" s="2" t="n">
        <v>0.191</v>
      </c>
      <c r="I67" s="2" t="inlineStr">
        <is>
          <t>中</t>
        </is>
      </c>
      <c r="J67" s="2" t="n">
        <v>66</v>
      </c>
      <c r="K67" s="2" t="n">
        <v>0.191</v>
      </c>
      <c r="L67" s="2" t="inlineStr">
        <is>
          <t>中</t>
        </is>
      </c>
      <c r="M67" s="2" t="inlineStr">
        <is>
          <t>O13</t>
        </is>
      </c>
      <c r="N67" s="2" t="inlineStr">
        <is>
          <t>分段不變</t>
        </is>
      </c>
    </row>
    <row r="68">
      <c r="A68" s="2" t="inlineStr">
        <is>
          <t>Serving</t>
        </is>
      </c>
      <c r="B68" s="2" t="n">
        <v>7</v>
      </c>
      <c r="C68" s="2" t="inlineStr">
        <is>
          <t>每個草稿 token 接受率 α</t>
        </is>
      </c>
      <c r="D68" s="2" t="n">
        <v>52</v>
      </c>
      <c r="E68" s="2" t="n">
        <v>0.189</v>
      </c>
      <c r="F68" s="2" t="inlineStr">
        <is>
          <t>中</t>
        </is>
      </c>
      <c r="G68" s="2" t="n">
        <v>54</v>
      </c>
      <c r="H68" s="2" t="n">
        <v>0.189</v>
      </c>
      <c r="I68" s="2" t="inlineStr">
        <is>
          <t>中</t>
        </is>
      </c>
      <c r="J68" s="2" t="n">
        <v>67</v>
      </c>
      <c r="K68" s="2" t="n">
        <v>0.189</v>
      </c>
      <c r="L68" s="2" t="inlineStr">
        <is>
          <t>中</t>
        </is>
      </c>
      <c r="M68" s="2" t="inlineStr">
        <is>
          <t>O05</t>
        </is>
      </c>
      <c r="N68" s="2" t="inlineStr">
        <is>
          <t>分段不變；連結列（以 SRC 格擾動）</t>
        </is>
      </c>
    </row>
    <row r="69">
      <c r="A69" s="2" t="inlineStr">
        <is>
          <t>Spec_Rack</t>
        </is>
      </c>
      <c r="B69" s="2" t="n">
        <v>26</v>
      </c>
      <c r="C69" s="2" t="inlineStr">
        <is>
          <t>HBM 頻寬 TB/s/GPU</t>
        </is>
      </c>
      <c r="D69" s="2" t="n">
        <v>54</v>
      </c>
      <c r="E69" s="2" t="n">
        <v>0.178</v>
      </c>
      <c r="F69" s="2" t="inlineStr">
        <is>
          <t>中</t>
        </is>
      </c>
      <c r="G69" s="2" t="n">
        <v>56</v>
      </c>
      <c r="H69" s="2" t="n">
        <v>0.178</v>
      </c>
      <c r="I69" s="2" t="inlineStr">
        <is>
          <t>中</t>
        </is>
      </c>
      <c r="J69" s="2" t="n">
        <v>68</v>
      </c>
      <c r="K69" s="2" t="n">
        <v>0.178</v>
      </c>
      <c r="L69" s="2" t="inlineStr">
        <is>
          <t>中</t>
        </is>
      </c>
      <c r="M69" s="2" t="inlineStr">
        <is>
          <t>O05</t>
        </is>
      </c>
      <c r="N69" s="2" t="inlineStr">
        <is>
          <t>分段不變</t>
        </is>
      </c>
    </row>
    <row r="70">
      <c r="A70" s="2" t="inlineStr">
        <is>
          <t>Arch</t>
        </is>
      </c>
      <c r="B70" s="2" t="n">
        <v>6</v>
      </c>
      <c r="C70" s="2" t="inlineStr">
        <is>
          <t>總參數</t>
        </is>
      </c>
      <c r="D70" s="2" t="n">
        <v>55</v>
      </c>
      <c r="E70" s="2" t="n">
        <v>0.172</v>
      </c>
      <c r="F70" s="2" t="inlineStr">
        <is>
          <t>中</t>
        </is>
      </c>
      <c r="G70" s="2" t="n">
        <v>57</v>
      </c>
      <c r="H70" s="2" t="n">
        <v>0.172</v>
      </c>
      <c r="I70" s="2" t="inlineStr">
        <is>
          <t>中</t>
        </is>
      </c>
      <c r="J70" s="2" t="n">
        <v>69</v>
      </c>
      <c r="K70" s="2" t="n">
        <v>0.172</v>
      </c>
      <c r="L70" s="2" t="inlineStr">
        <is>
          <t>中</t>
        </is>
      </c>
      <c r="M70" s="2" t="inlineStr">
        <is>
          <t>O05</t>
        </is>
      </c>
      <c r="N70" s="2" t="inlineStr">
        <is>
          <t>分段不變</t>
        </is>
      </c>
    </row>
    <row r="71">
      <c r="A71" s="2" t="inlineStr">
        <is>
          <t>Alloc_In</t>
        </is>
      </c>
      <c r="B71" s="2" t="n">
        <v>11</v>
      </c>
      <c r="C71" s="2" t="inlineStr">
        <is>
          <t>服務世代組合：GB300</t>
        </is>
      </c>
      <c r="D71" s="2" t="inlineStr">
        <is>
          <t>—</t>
        </is>
      </c>
      <c r="E71" s="2" t="inlineStr">
        <is>
          <t>—</t>
        </is>
      </c>
      <c r="F71" s="2" t="inlineStr">
        <is>
          <t>—（v5.10 無對應列）</t>
        </is>
      </c>
      <c r="G71" s="2" t="n">
        <v>122</v>
      </c>
      <c r="H71" s="2" t="n">
        <v>0</v>
      </c>
      <c r="I71" s="2" t="inlineStr">
        <is>
          <t>無</t>
        </is>
      </c>
      <c r="J71" s="2" t="n">
        <v>70</v>
      </c>
      <c r="K71" s="2" t="n">
        <v>0.148</v>
      </c>
      <c r="L71" s="2" t="inlineStr">
        <is>
          <t>中</t>
        </is>
      </c>
      <c r="M71" s="2" t="inlineStr">
        <is>
          <t>O15</t>
        </is>
      </c>
      <c r="N71" s="2" t="inlineStr">
        <is>
          <t>v5.10 無對應列（新列或結構改變）</t>
        </is>
      </c>
    </row>
    <row r="72">
      <c r="A72" s="2" t="inlineStr">
        <is>
          <t>Workload</t>
        </is>
      </c>
      <c r="B72" s="2" t="n">
        <v>14</v>
      </c>
      <c r="C72" s="2" t="inlineStr">
        <is>
          <t>歷史保留比 c（壓縮後保留的歷史比例；1＝不壓縮）</t>
        </is>
      </c>
      <c r="D72" s="2" t="n">
        <v>58</v>
      </c>
      <c r="E72" s="2" t="n">
        <v>0.137</v>
      </c>
      <c r="F72" s="2" t="inlineStr">
        <is>
          <t>中</t>
        </is>
      </c>
      <c r="G72" s="2" t="n">
        <v>60</v>
      </c>
      <c r="H72" s="2" t="n">
        <v>0.137</v>
      </c>
      <c r="I72" s="2" t="inlineStr">
        <is>
          <t>中</t>
        </is>
      </c>
      <c r="J72" s="2" t="n">
        <v>71</v>
      </c>
      <c r="K72" s="2" t="n">
        <v>0.137</v>
      </c>
      <c r="L72" s="2" t="inlineStr">
        <is>
          <t>中</t>
        </is>
      </c>
      <c r="M72" s="2" t="inlineStr">
        <is>
          <t>O22</t>
        </is>
      </c>
      <c r="N72" s="2" t="inlineStr">
        <is>
          <t>分段不變</t>
        </is>
      </c>
    </row>
    <row r="73">
      <c r="A73" s="2" t="inlineStr">
        <is>
          <t>Alloc_In</t>
        </is>
      </c>
      <c r="B73" s="2" t="n">
        <v>12</v>
      </c>
      <c r="C73" s="2" t="inlineStr">
        <is>
          <t>服務世代組合：VR200</t>
        </is>
      </c>
      <c r="D73" s="2" t="inlineStr">
        <is>
          <t>—</t>
        </is>
      </c>
      <c r="E73" s="2" t="inlineStr">
        <is>
          <t>—</t>
        </is>
      </c>
      <c r="F73" s="2" t="inlineStr">
        <is>
          <t>—（v5.10 無對應列）</t>
        </is>
      </c>
      <c r="G73" s="2" t="n">
        <v>123</v>
      </c>
      <c r="H73" s="2" t="n">
        <v>0</v>
      </c>
      <c r="I73" s="2" t="inlineStr">
        <is>
          <t>無</t>
        </is>
      </c>
      <c r="J73" s="2" t="n">
        <v>72</v>
      </c>
      <c r="K73" s="2" t="n">
        <v>0.135</v>
      </c>
      <c r="L73" s="2" t="inlineStr">
        <is>
          <t>中</t>
        </is>
      </c>
      <c r="M73" s="2" t="inlineStr">
        <is>
          <t>O15</t>
        </is>
      </c>
      <c r="N73" s="2" t="inlineStr">
        <is>
          <t>v5.10 無對應列（新列或結構改變）</t>
        </is>
      </c>
    </row>
    <row r="74">
      <c r="A74" s="2" t="inlineStr">
        <is>
          <t>Alloc_In</t>
        </is>
      </c>
      <c r="B74" s="2" t="n">
        <v>15</v>
      </c>
      <c r="C74" s="2" t="inlineStr">
        <is>
          <t>每則提示 token 數</t>
        </is>
      </c>
      <c r="D74" s="2" t="inlineStr">
        <is>
          <t>—</t>
        </is>
      </c>
      <c r="E74" s="2" t="inlineStr">
        <is>
          <t>—</t>
        </is>
      </c>
      <c r="F74" s="2" t="inlineStr">
        <is>
          <t>—（v5.10 無對應列）</t>
        </is>
      </c>
      <c r="G74" s="2" t="n">
        <v>125</v>
      </c>
      <c r="H74" s="2" t="n">
        <v>0</v>
      </c>
      <c r="I74" s="2" t="inlineStr">
        <is>
          <t>無</t>
        </is>
      </c>
      <c r="J74" s="2" t="n">
        <v>73</v>
      </c>
      <c r="K74" s="2" t="n">
        <v>0.117</v>
      </c>
      <c r="L74" s="2" t="inlineStr">
        <is>
          <t>中</t>
        </is>
      </c>
      <c r="M74" s="2" t="inlineStr">
        <is>
          <t>O15</t>
        </is>
      </c>
      <c r="N74" s="2" t="inlineStr">
        <is>
          <t>v5.10 無對應列（新列或結構改變）</t>
        </is>
      </c>
    </row>
    <row r="75">
      <c r="A75" s="2" t="inlineStr">
        <is>
          <t>Alloc_In</t>
        </is>
      </c>
      <c r="B75" s="2" t="n">
        <v>10</v>
      </c>
      <c r="C75" s="2" t="inlineStr">
        <is>
          <t>服務世代組合：GB200</t>
        </is>
      </c>
      <c r="D75" s="2" t="inlineStr">
        <is>
          <t>—</t>
        </is>
      </c>
      <c r="E75" s="2" t="inlineStr">
        <is>
          <t>—</t>
        </is>
      </c>
      <c r="F75" s="2" t="inlineStr">
        <is>
          <t>—（v5.10 無對應列）</t>
        </is>
      </c>
      <c r="G75" s="2" t="n">
        <v>121</v>
      </c>
      <c r="H75" s="2" t="n">
        <v>0</v>
      </c>
      <c r="I75" s="2" t="inlineStr">
        <is>
          <t>無</t>
        </is>
      </c>
      <c r="J75" s="2" t="n">
        <v>74</v>
      </c>
      <c r="K75" s="2" t="n">
        <v>0.114</v>
      </c>
      <c r="L75" s="2" t="inlineStr">
        <is>
          <t>中</t>
        </is>
      </c>
      <c r="M75" s="2" t="inlineStr">
        <is>
          <t>O15</t>
        </is>
      </c>
      <c r="N75" s="2" t="inlineStr">
        <is>
          <t>v5.10 無對應列（新列或結構改變）</t>
        </is>
      </c>
    </row>
    <row r="76">
      <c r="A76" s="2" t="inlineStr">
        <is>
          <t>Inputs</t>
        </is>
      </c>
      <c r="B76" s="2" t="n">
        <v>18</v>
      </c>
      <c r="C76" s="2" t="inlineStr">
        <is>
          <t>電力設施（變電、中壓、發電機、UPS）</t>
        </is>
      </c>
      <c r="D76" s="2" t="n">
        <v>59</v>
      </c>
      <c r="E76" s="2" t="n">
        <v>0.109</v>
      </c>
      <c r="F76" s="2" t="inlineStr">
        <is>
          <t>中</t>
        </is>
      </c>
      <c r="G76" s="2" t="n">
        <v>61</v>
      </c>
      <c r="H76" s="2" t="n">
        <v>0.109</v>
      </c>
      <c r="I76" s="2" t="inlineStr">
        <is>
          <t>中</t>
        </is>
      </c>
      <c r="J76" s="2" t="n">
        <v>75</v>
      </c>
      <c r="K76" s="2" t="n">
        <v>0.109</v>
      </c>
      <c r="L76" s="2" t="inlineStr">
        <is>
          <t>中</t>
        </is>
      </c>
      <c r="M76" s="2" t="inlineStr">
        <is>
          <t>O01</t>
        </is>
      </c>
      <c r="N76" s="2" t="inlineStr">
        <is>
          <t>分段不變</t>
        </is>
      </c>
    </row>
    <row r="77">
      <c r="A77" s="2" t="inlineStr">
        <is>
          <t>Arch</t>
        </is>
      </c>
      <c r="B77" s="2" t="n">
        <v>8</v>
      </c>
      <c r="C77" s="2" t="inlineStr">
        <is>
          <t>層數</t>
        </is>
      </c>
      <c r="D77" s="2" t="n">
        <v>60</v>
      </c>
      <c r="E77" s="2" t="n">
        <v>0.104</v>
      </c>
      <c r="F77" s="2" t="inlineStr">
        <is>
          <t>中</t>
        </is>
      </c>
      <c r="G77" s="2" t="n">
        <v>62</v>
      </c>
      <c r="H77" s="2" t="n">
        <v>0.104</v>
      </c>
      <c r="I77" s="2" t="inlineStr">
        <is>
          <t>中</t>
        </is>
      </c>
      <c r="J77" s="2" t="n">
        <v>76</v>
      </c>
      <c r="K77" s="2" t="n">
        <v>0.104</v>
      </c>
      <c r="L77" s="2" t="inlineStr">
        <is>
          <t>中</t>
        </is>
      </c>
      <c r="M77" s="2" t="inlineStr">
        <is>
          <t>O09</t>
        </is>
      </c>
      <c r="N77" s="2" t="inlineStr">
        <is>
          <t>分段不變</t>
        </is>
      </c>
    </row>
    <row r="78">
      <c r="A78" s="2" t="inlineStr">
        <is>
          <t>Arch</t>
        </is>
      </c>
      <c r="B78" s="2" t="n">
        <v>10</v>
      </c>
      <c r="C78" s="2" t="inlineStr">
        <is>
          <t>query heads</t>
        </is>
      </c>
      <c r="D78" s="2" t="n">
        <v>61</v>
      </c>
      <c r="E78" s="2" t="n">
        <v>0.104</v>
      </c>
      <c r="F78" s="2" t="inlineStr">
        <is>
          <t>中</t>
        </is>
      </c>
      <c r="G78" s="2" t="n">
        <v>63</v>
      </c>
      <c r="H78" s="2" t="n">
        <v>0.104</v>
      </c>
      <c r="I78" s="2" t="inlineStr">
        <is>
          <t>中</t>
        </is>
      </c>
      <c r="J78" s="2" t="n">
        <v>77</v>
      </c>
      <c r="K78" s="2" t="n">
        <v>0.104</v>
      </c>
      <c r="L78" s="2" t="inlineStr">
        <is>
          <t>中</t>
        </is>
      </c>
      <c r="M78" s="2" t="inlineStr">
        <is>
          <t>O09</t>
        </is>
      </c>
      <c r="N78" s="2" t="inlineStr">
        <is>
          <t>分段不變</t>
        </is>
      </c>
    </row>
    <row r="79">
      <c r="A79" s="2" t="inlineStr">
        <is>
          <t>Arch</t>
        </is>
      </c>
      <c r="B79" s="2" t="n">
        <v>11</v>
      </c>
      <c r="C79" s="2" t="inlineStr">
        <is>
          <t>head_dim</t>
        </is>
      </c>
      <c r="D79" s="2" t="n">
        <v>62</v>
      </c>
      <c r="E79" s="2" t="n">
        <v>0.104</v>
      </c>
      <c r="F79" s="2" t="inlineStr">
        <is>
          <t>中</t>
        </is>
      </c>
      <c r="G79" s="2" t="n">
        <v>64</v>
      </c>
      <c r="H79" s="2" t="n">
        <v>0.104</v>
      </c>
      <c r="I79" s="2" t="inlineStr">
        <is>
          <t>中</t>
        </is>
      </c>
      <c r="J79" s="2" t="n">
        <v>78</v>
      </c>
      <c r="K79" s="2" t="n">
        <v>0.104</v>
      </c>
      <c r="L79" s="2" t="inlineStr">
        <is>
          <t>中</t>
        </is>
      </c>
      <c r="M79" s="2" t="inlineStr">
        <is>
          <t>O09</t>
        </is>
      </c>
      <c r="N79" s="2" t="inlineStr">
        <is>
          <t>分段不變</t>
        </is>
      </c>
    </row>
    <row r="80">
      <c r="A80" s="2" t="inlineStr">
        <is>
          <t>Spec_Rack</t>
        </is>
      </c>
      <c r="B80" s="2" t="n">
        <v>29</v>
      </c>
      <c r="C80" s="2" t="inlineStr">
        <is>
          <t>decode EP 基準寬度</t>
        </is>
      </c>
      <c r="D80" s="2" t="n">
        <v>63</v>
      </c>
      <c r="E80" s="2" t="n">
        <v>0.101</v>
      </c>
      <c r="F80" s="2" t="inlineStr">
        <is>
          <t>中</t>
        </is>
      </c>
      <c r="G80" s="2" t="n">
        <v>65</v>
      </c>
      <c r="H80" s="2" t="n">
        <v>0.101</v>
      </c>
      <c r="I80" s="2" t="inlineStr">
        <is>
          <t>中</t>
        </is>
      </c>
      <c r="J80" s="2" t="n">
        <v>79</v>
      </c>
      <c r="K80" s="2" t="n">
        <v>0.101</v>
      </c>
      <c r="L80" s="2" t="inlineStr">
        <is>
          <t>中</t>
        </is>
      </c>
      <c r="M80" s="2" t="inlineStr">
        <is>
          <t>O05</t>
        </is>
      </c>
      <c r="N80" s="2" t="inlineStr">
        <is>
          <t>分段不變</t>
        </is>
      </c>
    </row>
    <row r="81">
      <c r="A81" s="2" t="inlineStr">
        <is>
          <t>Spec_Rack</t>
        </is>
      </c>
      <c r="B81" s="2" t="n">
        <v>30</v>
      </c>
      <c r="C81" s="2" t="inlineStr">
        <is>
          <t>專家權重 bytes/param</t>
        </is>
      </c>
      <c r="D81" s="2" t="n">
        <v>64</v>
      </c>
      <c r="E81" s="2" t="n">
        <v>0.101</v>
      </c>
      <c r="F81" s="2" t="inlineStr">
        <is>
          <t>中</t>
        </is>
      </c>
      <c r="G81" s="2" t="n">
        <v>66</v>
      </c>
      <c r="H81" s="2" t="n">
        <v>0.101</v>
      </c>
      <c r="I81" s="2" t="inlineStr">
        <is>
          <t>中</t>
        </is>
      </c>
      <c r="J81" s="2" t="n">
        <v>80</v>
      </c>
      <c r="K81" s="2" t="n">
        <v>0.101</v>
      </c>
      <c r="L81" s="2" t="inlineStr">
        <is>
          <t>中</t>
        </is>
      </c>
      <c r="M81" s="2" t="inlineStr">
        <is>
          <t>O05</t>
        </is>
      </c>
      <c r="N81" s="2" t="inlineStr">
        <is>
          <t>分段不變；連結列（以 SRC 格擾動）</t>
        </is>
      </c>
    </row>
    <row r="82">
      <c r="A82" s="2" t="inlineStr">
        <is>
          <t>Har_In</t>
        </is>
      </c>
      <c r="B82" s="2" t="n">
        <v>15</v>
      </c>
      <c r="C82" s="2" t="inlineStr">
        <is>
          <t>歷史保留比 c（壓縮後）</t>
        </is>
      </c>
      <c r="D82" s="2" t="n">
        <v>120</v>
      </c>
      <c r="E82" s="2" t="n">
        <v>0</v>
      </c>
      <c r="F82" s="2" t="inlineStr">
        <is>
          <t>無</t>
        </is>
      </c>
      <c r="G82" s="2" t="n">
        <v>165</v>
      </c>
      <c r="H82" s="2" t="n">
        <v>0</v>
      </c>
      <c r="I82" s="2" t="inlineStr">
        <is>
          <t>無</t>
        </is>
      </c>
      <c r="J82" s="2" t="n">
        <v>81</v>
      </c>
      <c r="K82" s="2" t="n">
        <v>0.096</v>
      </c>
      <c r="L82" s="2" t="inlineStr">
        <is>
          <t>低</t>
        </is>
      </c>
      <c r="M82" s="2" t="inlineStr">
        <is>
          <t>O23</t>
        </is>
      </c>
      <c r="N82" s="2" t="inlineStr">
        <is>
          <t>加入 L1 輸出後分段改變（O23）</t>
        </is>
      </c>
    </row>
    <row r="83">
      <c r="A83" s="2" t="inlineStr">
        <is>
          <t>Alloc_In</t>
        </is>
      </c>
      <c r="B83" s="2" t="n">
        <v>16</v>
      </c>
      <c r="C83" s="2" t="inlineStr">
        <is>
          <t>ChatGPT token 中免費用戶占比</t>
        </is>
      </c>
      <c r="D83" s="2" t="inlineStr">
        <is>
          <t>—</t>
        </is>
      </c>
      <c r="E83" s="2" t="inlineStr">
        <is>
          <t>—</t>
        </is>
      </c>
      <c r="F83" s="2" t="inlineStr">
        <is>
          <t>—（v5.10 無對應列）</t>
        </is>
      </c>
      <c r="G83" s="2" t="n">
        <v>126</v>
      </c>
      <c r="H83" s="2" t="n">
        <v>0</v>
      </c>
      <c r="I83" s="2" t="inlineStr">
        <is>
          <t>無</t>
        </is>
      </c>
      <c r="J83" s="2" t="n">
        <v>82</v>
      </c>
      <c r="K83" s="2" t="n">
        <v>0.093</v>
      </c>
      <c r="L83" s="2" t="inlineStr">
        <is>
          <t>低</t>
        </is>
      </c>
      <c r="M83" s="2" t="inlineStr">
        <is>
          <t>O15</t>
        </is>
      </c>
      <c r="N83" s="2" t="inlineStr">
        <is>
          <t>v5.10 無對應列（新列或結構改變）</t>
        </is>
      </c>
    </row>
    <row r="84">
      <c r="A84" s="2" t="inlineStr">
        <is>
          <t>Inputs</t>
        </is>
      </c>
      <c r="B84" s="2" t="n">
        <v>30</v>
      </c>
      <c r="C84" s="2" t="inlineStr">
        <is>
          <t>IT 維護</t>
        </is>
      </c>
      <c r="D84" s="2" t="n">
        <v>65</v>
      </c>
      <c r="E84" s="2" t="n">
        <v>0.08799999999999999</v>
      </c>
      <c r="F84" s="2" t="inlineStr">
        <is>
          <t>低</t>
        </is>
      </c>
      <c r="G84" s="2" t="n">
        <v>67</v>
      </c>
      <c r="H84" s="2" t="n">
        <v>0.08799999999999999</v>
      </c>
      <c r="I84" s="2" t="inlineStr">
        <is>
          <t>低</t>
        </is>
      </c>
      <c r="J84" s="2" t="n">
        <v>83</v>
      </c>
      <c r="K84" s="2" t="n">
        <v>0.08799999999999999</v>
      </c>
      <c r="L84" s="2" t="inlineStr">
        <is>
          <t>低</t>
        </is>
      </c>
      <c r="M84" s="2" t="inlineStr">
        <is>
          <t>O06</t>
        </is>
      </c>
      <c r="N84" s="2" t="inlineStr">
        <is>
          <t>分段不變</t>
        </is>
      </c>
    </row>
    <row r="85">
      <c r="A85" s="2" t="inlineStr">
        <is>
          <t>Inputs</t>
        </is>
      </c>
      <c r="B85" s="2" t="n">
        <v>8</v>
      </c>
      <c r="C85" s="2" t="inlineStr">
        <is>
          <t>機架外 IT 電力占比</t>
        </is>
      </c>
      <c r="D85" s="2" t="n">
        <v>66</v>
      </c>
      <c r="E85" s="2" t="n">
        <v>0.08799999999999999</v>
      </c>
      <c r="F85" s="2" t="inlineStr">
        <is>
          <t>低</t>
        </is>
      </c>
      <c r="G85" s="2" t="n">
        <v>68</v>
      </c>
      <c r="H85" s="2" t="n">
        <v>0.08799999999999999</v>
      </c>
      <c r="I85" s="2" t="inlineStr">
        <is>
          <t>低</t>
        </is>
      </c>
      <c r="J85" s="2" t="n">
        <v>84</v>
      </c>
      <c r="K85" s="2" t="n">
        <v>0.08799999999999999</v>
      </c>
      <c r="L85" s="2" t="inlineStr">
        <is>
          <t>低</t>
        </is>
      </c>
      <c r="M85" s="2" t="inlineStr">
        <is>
          <t>O11</t>
        </is>
      </c>
      <c r="N85" s="2" t="inlineStr">
        <is>
          <t>分段不變</t>
        </is>
      </c>
    </row>
    <row r="86">
      <c r="A86" s="2" t="inlineStr">
        <is>
          <t>Inputs</t>
        </is>
      </c>
      <c r="B86" s="2" t="n">
        <v>17</v>
      </c>
      <c r="C86" s="2" t="inlineStr">
        <is>
          <t>建物與基地工程</t>
        </is>
      </c>
      <c r="D86" s="2" t="n">
        <v>67</v>
      </c>
      <c r="E86" s="2" t="n">
        <v>0.08699999999999999</v>
      </c>
      <c r="F86" s="2" t="inlineStr">
        <is>
          <t>低</t>
        </is>
      </c>
      <c r="G86" s="2" t="n">
        <v>69</v>
      </c>
      <c r="H86" s="2" t="n">
        <v>0.08699999999999999</v>
      </c>
      <c r="I86" s="2" t="inlineStr">
        <is>
          <t>低</t>
        </is>
      </c>
      <c r="J86" s="2" t="n">
        <v>85</v>
      </c>
      <c r="K86" s="2" t="n">
        <v>0.08699999999999999</v>
      </c>
      <c r="L86" s="2" t="inlineStr">
        <is>
          <t>低</t>
        </is>
      </c>
      <c r="M86" s="2" t="inlineStr">
        <is>
          <t>O01</t>
        </is>
      </c>
      <c r="N86" s="2" t="inlineStr">
        <is>
          <t>分段不變</t>
        </is>
      </c>
    </row>
    <row r="87">
      <c r="A87" s="2" t="inlineStr">
        <is>
          <t>Train_In</t>
        </is>
      </c>
      <c r="B87" s="2" t="n">
        <v>35</v>
      </c>
      <c r="C87" s="2" t="inlineStr">
        <is>
          <t>On-policy 蒸餾：學生 rollout 輸出 token</t>
        </is>
      </c>
      <c r="D87" s="2" t="n">
        <v>70</v>
      </c>
      <c r="E87" s="2" t="n">
        <v>0.06</v>
      </c>
      <c r="F87" s="2" t="inlineStr">
        <is>
          <t>低</t>
        </is>
      </c>
      <c r="G87" s="2" t="n">
        <v>72</v>
      </c>
      <c r="H87" s="2" t="n">
        <v>0.06</v>
      </c>
      <c r="I87" s="2" t="inlineStr">
        <is>
          <t>低</t>
        </is>
      </c>
      <c r="J87" s="2" t="n">
        <v>86</v>
      </c>
      <c r="K87" s="2" t="n">
        <v>0.083</v>
      </c>
      <c r="L87" s="2" t="inlineStr">
        <is>
          <t>低</t>
        </is>
      </c>
      <c r="M87" s="2" t="inlineStr">
        <is>
          <t>O20</t>
        </is>
      </c>
      <c r="N87" s="2" t="inlineStr">
        <is>
          <t>分段不變</t>
        </is>
      </c>
    </row>
    <row r="88">
      <c r="A88" s="2" t="inlineStr">
        <is>
          <t>Train_In</t>
        </is>
      </c>
      <c r="B88" s="2" t="n">
        <v>31</v>
      </c>
      <c r="C88" s="2" t="inlineStr">
        <is>
          <t>批次推論速度下限（rollout、合成、評測）</t>
        </is>
      </c>
      <c r="D88" s="2" t="n">
        <v>71</v>
      </c>
      <c r="E88" s="2" t="n">
        <v>0.057</v>
      </c>
      <c r="F88" s="2" t="inlineStr">
        <is>
          <t>低</t>
        </is>
      </c>
      <c r="G88" s="2" t="n">
        <v>73</v>
      </c>
      <c r="H88" s="2" t="n">
        <v>0.057</v>
      </c>
      <c r="I88" s="2" t="inlineStr">
        <is>
          <t>低</t>
        </is>
      </c>
      <c r="J88" s="2" t="n">
        <v>87</v>
      </c>
      <c r="K88" s="2" t="n">
        <v>0.075</v>
      </c>
      <c r="L88" s="2" t="inlineStr">
        <is>
          <t>低</t>
        </is>
      </c>
      <c r="M88" s="2" t="inlineStr">
        <is>
          <t>O17</t>
        </is>
      </c>
      <c r="N88" s="2" t="inlineStr">
        <is>
          <t>分段不變</t>
        </is>
      </c>
    </row>
    <row r="89">
      <c r="A89" s="2" t="inlineStr">
        <is>
          <t>Inputs</t>
        </is>
      </c>
      <c r="B89" s="2" t="n">
        <v>13</v>
      </c>
      <c r="C89" s="2" t="inlineStr">
        <is>
          <t>Scale-out 網路 ÷ 機架價格</t>
        </is>
      </c>
      <c r="D89" s="2" t="n">
        <v>68</v>
      </c>
      <c r="E89" s="2" t="n">
        <v>0.07000000000000001</v>
      </c>
      <c r="F89" s="2" t="inlineStr">
        <is>
          <t>低</t>
        </is>
      </c>
      <c r="G89" s="2" t="n">
        <v>70</v>
      </c>
      <c r="H89" s="2" t="n">
        <v>0.07000000000000001</v>
      </c>
      <c r="I89" s="2" t="inlineStr">
        <is>
          <t>低</t>
        </is>
      </c>
      <c r="J89" s="2" t="n">
        <v>88</v>
      </c>
      <c r="K89" s="2" t="n">
        <v>0.07000000000000001</v>
      </c>
      <c r="L89" s="2" t="inlineStr">
        <is>
          <t>低</t>
        </is>
      </c>
      <c r="M89" s="2" t="inlineStr">
        <is>
          <t>O06</t>
        </is>
      </c>
      <c r="N89" s="2" t="inlineStr">
        <is>
          <t>分段不變</t>
        </is>
      </c>
    </row>
    <row r="90">
      <c r="A90" s="2" t="inlineStr">
        <is>
          <t>Inputs</t>
        </is>
      </c>
      <c r="B90" s="2" t="n">
        <v>19</v>
      </c>
      <c r="C90" s="2" t="inlineStr">
        <is>
          <t>機械與散熱（液冷迴路、散熱設備）</t>
        </is>
      </c>
      <c r="D90" s="2" t="n">
        <v>69</v>
      </c>
      <c r="E90" s="2" t="n">
        <v>0.06</v>
      </c>
      <c r="F90" s="2" t="inlineStr">
        <is>
          <t>低</t>
        </is>
      </c>
      <c r="G90" s="2" t="n">
        <v>71</v>
      </c>
      <c r="H90" s="2" t="n">
        <v>0.06</v>
      </c>
      <c r="I90" s="2" t="inlineStr">
        <is>
          <t>低</t>
        </is>
      </c>
      <c r="J90" s="2" t="n">
        <v>89</v>
      </c>
      <c r="K90" s="2" t="n">
        <v>0.06</v>
      </c>
      <c r="L90" s="2" t="inlineStr">
        <is>
          <t>低</t>
        </is>
      </c>
      <c r="M90" s="2" t="inlineStr">
        <is>
          <t>O01</t>
        </is>
      </c>
      <c r="N90" s="2" t="inlineStr">
        <is>
          <t>分段不變</t>
        </is>
      </c>
    </row>
    <row r="91">
      <c r="A91" s="2" t="inlineStr">
        <is>
          <t>Workload</t>
        </is>
      </c>
      <c r="B91" s="2" t="n">
        <v>6</v>
      </c>
      <c r="C91" s="2" t="inlineStr">
        <is>
          <t>初始上下文 S（系統提示、歷史、工具定義）</t>
        </is>
      </c>
      <c r="D91" s="2" t="n">
        <v>78</v>
      </c>
      <c r="E91" s="2" t="n">
        <v>0.047</v>
      </c>
      <c r="F91" s="2" t="inlineStr">
        <is>
          <t>低</t>
        </is>
      </c>
      <c r="G91" s="2" t="n">
        <v>80</v>
      </c>
      <c r="H91" s="2" t="n">
        <v>0.047</v>
      </c>
      <c r="I91" s="2" t="inlineStr">
        <is>
          <t>低</t>
        </is>
      </c>
      <c r="J91" s="2" t="n">
        <v>90</v>
      </c>
      <c r="K91" s="2" t="n">
        <v>0.057</v>
      </c>
      <c r="L91" s="2" t="inlineStr">
        <is>
          <t>低</t>
        </is>
      </c>
      <c r="M91" s="2" t="inlineStr">
        <is>
          <t>O23</t>
        </is>
      </c>
      <c r="N91" s="2" t="inlineStr">
        <is>
          <t>分段不變</t>
        </is>
      </c>
    </row>
    <row r="92">
      <c r="A92" s="2" t="inlineStr">
        <is>
          <t>Train_In</t>
        </is>
      </c>
      <c r="B92" s="2" t="n">
        <v>37</v>
      </c>
      <c r="C92" s="2" t="inlineStr">
        <is>
          <t>合成資料生成 token</t>
        </is>
      </c>
      <c r="D92" s="2" t="n">
        <v>72</v>
      </c>
      <c r="E92" s="2" t="n">
        <v>0.056</v>
      </c>
      <c r="F92" s="2" t="inlineStr">
        <is>
          <t>低</t>
        </is>
      </c>
      <c r="G92" s="2" t="n">
        <v>74</v>
      </c>
      <c r="H92" s="2" t="n">
        <v>0.056</v>
      </c>
      <c r="I92" s="2" t="inlineStr">
        <is>
          <t>低</t>
        </is>
      </c>
      <c r="J92" s="2" t="n">
        <v>91</v>
      </c>
      <c r="K92" s="2" t="n">
        <v>0.056</v>
      </c>
      <c r="L92" s="2" t="inlineStr">
        <is>
          <t>低</t>
        </is>
      </c>
      <c r="M92" s="2" t="inlineStr">
        <is>
          <t>O07</t>
        </is>
      </c>
      <c r="N92" s="2" t="inlineStr">
        <is>
          <t>分段不變</t>
        </is>
      </c>
    </row>
    <row r="93">
      <c r="A93" s="2" t="inlineStr">
        <is>
          <t>Inputs</t>
        </is>
      </c>
      <c r="B93" s="2" t="n">
        <v>9</v>
      </c>
      <c r="C93" s="2" t="inlineStr">
        <is>
          <t>PUE</t>
        </is>
      </c>
      <c r="D93" s="2" t="n">
        <v>74</v>
      </c>
      <c r="E93" s="2" t="n">
        <v>0.056</v>
      </c>
      <c r="F93" s="2" t="inlineStr">
        <is>
          <t>低</t>
        </is>
      </c>
      <c r="G93" s="2" t="n">
        <v>75</v>
      </c>
      <c r="H93" s="2" t="n">
        <v>0.056</v>
      </c>
      <c r="I93" s="2" t="inlineStr">
        <is>
          <t>低</t>
        </is>
      </c>
      <c r="J93" s="2" t="n">
        <v>92</v>
      </c>
      <c r="K93" s="2" t="n">
        <v>0.056</v>
      </c>
      <c r="L93" s="2" t="inlineStr">
        <is>
          <t>低</t>
        </is>
      </c>
      <c r="M93" s="2" t="inlineStr">
        <is>
          <t>O04</t>
        </is>
      </c>
      <c r="N93" s="2" t="inlineStr">
        <is>
          <t>分段不變</t>
        </is>
      </c>
    </row>
    <row r="94">
      <c r="A94" s="2" t="inlineStr">
        <is>
          <t>Inputs</t>
        </is>
      </c>
      <c r="B94" s="2" t="n">
        <v>10</v>
      </c>
      <c r="C94" s="2" t="inlineStr">
        <is>
          <t>平均用電 ÷ 配電設計功率</t>
        </is>
      </c>
      <c r="D94" s="2" t="n">
        <v>73</v>
      </c>
      <c r="E94" s="2" t="n">
        <v>0.056</v>
      </c>
      <c r="F94" s="2" t="inlineStr">
        <is>
          <t>低</t>
        </is>
      </c>
      <c r="G94" s="2" t="n">
        <v>76</v>
      </c>
      <c r="H94" s="2" t="n">
        <v>0.056</v>
      </c>
      <c r="I94" s="2" t="inlineStr">
        <is>
          <t>低</t>
        </is>
      </c>
      <c r="J94" s="2" t="n">
        <v>93</v>
      </c>
      <c r="K94" s="2" t="n">
        <v>0.056</v>
      </c>
      <c r="L94" s="2" t="inlineStr">
        <is>
          <t>低</t>
        </is>
      </c>
      <c r="M94" s="2" t="inlineStr">
        <is>
          <t>O04</t>
        </is>
      </c>
      <c r="N94" s="2" t="inlineStr">
        <is>
          <t>分段不變</t>
        </is>
      </c>
    </row>
    <row r="95">
      <c r="A95" s="2" t="inlineStr">
        <is>
          <t>Inputs</t>
        </is>
      </c>
      <c r="B95" s="2" t="n">
        <v>11</v>
      </c>
      <c r="C95" s="2" t="inlineStr">
        <is>
          <t>電價</t>
        </is>
      </c>
      <c r="D95" s="2" t="n">
        <v>75</v>
      </c>
      <c r="E95" s="2" t="n">
        <v>0.056</v>
      </c>
      <c r="F95" s="2" t="inlineStr">
        <is>
          <t>低</t>
        </is>
      </c>
      <c r="G95" s="2" t="n">
        <v>77</v>
      </c>
      <c r="H95" s="2" t="n">
        <v>0.056</v>
      </c>
      <c r="I95" s="2" t="inlineStr">
        <is>
          <t>低</t>
        </is>
      </c>
      <c r="J95" s="2" t="n">
        <v>94</v>
      </c>
      <c r="K95" s="2" t="n">
        <v>0.056</v>
      </c>
      <c r="L95" s="2" t="inlineStr">
        <is>
          <t>低</t>
        </is>
      </c>
      <c r="M95" s="2" t="inlineStr">
        <is>
          <t>O04</t>
        </is>
      </c>
      <c r="N95" s="2" t="inlineStr">
        <is>
          <t>分段不變</t>
        </is>
      </c>
    </row>
    <row r="96">
      <c r="A96" s="2" t="inlineStr">
        <is>
          <t>Serving</t>
        </is>
      </c>
      <c r="B96" s="2" t="n">
        <v>6</v>
      </c>
      <c r="C96" s="2" t="inlineStr">
        <is>
          <t>MTP 草稿數 N</t>
        </is>
      </c>
      <c r="D96" s="2" t="n">
        <v>76</v>
      </c>
      <c r="E96" s="2" t="n">
        <v>0.049</v>
      </c>
      <c r="F96" s="2" t="inlineStr">
        <is>
          <t>低</t>
        </is>
      </c>
      <c r="G96" s="2" t="n">
        <v>78</v>
      </c>
      <c r="H96" s="2" t="n">
        <v>0.049</v>
      </c>
      <c r="I96" s="2" t="inlineStr">
        <is>
          <t>低</t>
        </is>
      </c>
      <c r="J96" s="2" t="n">
        <v>95</v>
      </c>
      <c r="K96" s="2" t="n">
        <v>0.049</v>
      </c>
      <c r="L96" s="2" t="inlineStr">
        <is>
          <t>低</t>
        </is>
      </c>
      <c r="M96" s="2" t="inlineStr">
        <is>
          <t>O04</t>
        </is>
      </c>
      <c r="N96" s="2" t="inlineStr">
        <is>
          <t>分段不變</t>
        </is>
      </c>
    </row>
    <row r="97">
      <c r="A97" s="2" t="inlineStr">
        <is>
          <t>Cap_In</t>
        </is>
      </c>
      <c r="B97" s="2" t="n">
        <v>7</v>
      </c>
      <c r="C97" s="2" t="inlineStr">
        <is>
          <t>快取輸入</t>
        </is>
      </c>
      <c r="D97" s="2" t="n">
        <v>77</v>
      </c>
      <c r="E97" s="2" t="n">
        <v>0.049</v>
      </c>
      <c r="F97" s="2" t="inlineStr">
        <is>
          <t>低</t>
        </is>
      </c>
      <c r="G97" s="2" t="n">
        <v>79</v>
      </c>
      <c r="H97" s="2" t="n">
        <v>0.049</v>
      </c>
      <c r="I97" s="2" t="inlineStr">
        <is>
          <t>低</t>
        </is>
      </c>
      <c r="J97" s="2" t="n">
        <v>96</v>
      </c>
      <c r="K97" s="2" t="n">
        <v>0.049</v>
      </c>
      <c r="L97" s="2" t="inlineStr">
        <is>
          <t>低</t>
        </is>
      </c>
      <c r="M97" s="2" t="inlineStr">
        <is>
          <t>O12</t>
        </is>
      </c>
      <c r="N97" s="2" t="inlineStr">
        <is>
          <t>分段不變；連結列（以 SRC 格擾動）</t>
        </is>
      </c>
    </row>
    <row r="98">
      <c r="A98" s="2" t="inlineStr">
        <is>
          <t>Inputs</t>
        </is>
      </c>
      <c r="B98" s="2" t="n">
        <v>21</v>
      </c>
      <c r="C98" s="2" t="inlineStr">
        <is>
          <t>設計、管理與預備費</t>
        </is>
      </c>
      <c r="D98" s="2" t="n">
        <v>79</v>
      </c>
      <c r="E98" s="2" t="n">
        <v>0.035</v>
      </c>
      <c r="F98" s="2" t="inlineStr">
        <is>
          <t>低</t>
        </is>
      </c>
      <c r="G98" s="2" t="n">
        <v>81</v>
      </c>
      <c r="H98" s="2" t="n">
        <v>0.035</v>
      </c>
      <c r="I98" s="2" t="inlineStr">
        <is>
          <t>低</t>
        </is>
      </c>
      <c r="J98" s="2" t="n">
        <v>97</v>
      </c>
      <c r="K98" s="2" t="n">
        <v>0.035</v>
      </c>
      <c r="L98" s="2" t="inlineStr">
        <is>
          <t>低</t>
        </is>
      </c>
      <c r="M98" s="2" t="inlineStr">
        <is>
          <t>O01</t>
        </is>
      </c>
      <c r="N98" s="2" t="inlineStr">
        <is>
          <t>分段不變</t>
        </is>
      </c>
    </row>
    <row r="99">
      <c r="A99" s="2" t="inlineStr">
        <is>
          <t>Cap_In</t>
        </is>
      </c>
      <c r="B99" s="2" t="n">
        <v>32</v>
      </c>
      <c r="C99" s="2" t="inlineStr">
        <is>
          <t>免費服務 token 層級組合</t>
        </is>
      </c>
      <c r="D99" s="2" t="n">
        <v>147</v>
      </c>
      <c r="E99" s="2" t="n">
        <v>0</v>
      </c>
      <c r="F99" s="2" t="inlineStr">
        <is>
          <t>無</t>
        </is>
      </c>
      <c r="G99" s="2" t="n">
        <v>148</v>
      </c>
      <c r="H99" s="2" t="n">
        <v>0</v>
      </c>
      <c r="I99" s="2" t="inlineStr">
        <is>
          <t>無</t>
        </is>
      </c>
      <c r="J99" s="2" t="n">
        <v>98</v>
      </c>
      <c r="K99" s="2" t="n">
        <v>0.033</v>
      </c>
      <c r="L99" s="2" t="inlineStr">
        <is>
          <t>低</t>
        </is>
      </c>
      <c r="M99" s="2" t="inlineStr">
        <is>
          <t>O15</t>
        </is>
      </c>
      <c r="N99" s="2" t="inlineStr">
        <is>
          <t>加入 L1 輸出後分段改變（O15）</t>
        </is>
      </c>
    </row>
    <row r="100">
      <c r="A100" s="2" t="inlineStr">
        <is>
          <t>Train_In</t>
        </is>
      </c>
      <c r="B100" s="2" t="n">
        <v>27</v>
      </c>
      <c r="C100" s="2" t="inlineStr">
        <is>
          <t>長上下文延伸 token</t>
        </is>
      </c>
      <c r="D100" s="2" t="n">
        <v>80</v>
      </c>
      <c r="E100" s="2" t="n">
        <v>0.027</v>
      </c>
      <c r="F100" s="2" t="inlineStr">
        <is>
          <t>低</t>
        </is>
      </c>
      <c r="G100" s="2" t="n">
        <v>82</v>
      </c>
      <c r="H100" s="2" t="n">
        <v>0.027</v>
      </c>
      <c r="I100" s="2" t="inlineStr">
        <is>
          <t>低</t>
        </is>
      </c>
      <c r="J100" s="2" t="n">
        <v>99</v>
      </c>
      <c r="K100" s="2" t="n">
        <v>0.027</v>
      </c>
      <c r="L100" s="2" t="inlineStr">
        <is>
          <t>低</t>
        </is>
      </c>
      <c r="M100" s="2" t="inlineStr">
        <is>
          <t>O07</t>
        </is>
      </c>
      <c r="N100" s="2" t="inlineStr">
        <is>
          <t>分段不變</t>
        </is>
      </c>
    </row>
    <row r="101">
      <c r="A101" s="2" t="inlineStr">
        <is>
          <t>Inputs</t>
        </is>
      </c>
      <c r="B101" s="2" t="n">
        <v>31</v>
      </c>
      <c r="C101" s="2" t="inlineStr">
        <is>
          <t>廠房維護</t>
        </is>
      </c>
      <c r="D101" s="2" t="n">
        <v>81</v>
      </c>
      <c r="E101" s="2" t="n">
        <v>0.021</v>
      </c>
      <c r="F101" s="2" t="inlineStr">
        <is>
          <t>低</t>
        </is>
      </c>
      <c r="G101" s="2" t="n">
        <v>83</v>
      </c>
      <c r="H101" s="2" t="n">
        <v>0.021</v>
      </c>
      <c r="I101" s="2" t="inlineStr">
        <is>
          <t>低</t>
        </is>
      </c>
      <c r="J101" s="2" t="n">
        <v>100</v>
      </c>
      <c r="K101" s="2" t="n">
        <v>0.021</v>
      </c>
      <c r="L101" s="2" t="inlineStr">
        <is>
          <t>低</t>
        </is>
      </c>
      <c r="M101" s="2" t="inlineStr">
        <is>
          <t>O17</t>
        </is>
      </c>
      <c r="N101" s="2" t="inlineStr">
        <is>
          <t>分段不變</t>
        </is>
      </c>
    </row>
    <row r="102">
      <c r="A102" s="2" t="inlineStr">
        <is>
          <t>Inputs</t>
        </is>
      </c>
      <c r="B102" s="2" t="n">
        <v>35</v>
      </c>
      <c r="C102" s="2" t="inlineStr">
        <is>
          <t>財產稅與保險</t>
        </is>
      </c>
      <c r="D102" s="2" t="n">
        <v>82</v>
      </c>
      <c r="E102" s="2" t="n">
        <v>0.02</v>
      </c>
      <c r="F102" s="2" t="inlineStr">
        <is>
          <t>低</t>
        </is>
      </c>
      <c r="G102" s="2" t="n">
        <v>84</v>
      </c>
      <c r="H102" s="2" t="n">
        <v>0.02</v>
      </c>
      <c r="I102" s="2" t="inlineStr">
        <is>
          <t>低</t>
        </is>
      </c>
      <c r="J102" s="2" t="n">
        <v>101</v>
      </c>
      <c r="K102" s="2" t="n">
        <v>0.02</v>
      </c>
      <c r="L102" s="2" t="inlineStr">
        <is>
          <t>低</t>
        </is>
      </c>
      <c r="M102" s="2" t="inlineStr">
        <is>
          <t>O08</t>
        </is>
      </c>
      <c r="N102" s="2" t="inlineStr">
        <is>
          <t>分段不變</t>
        </is>
      </c>
    </row>
    <row r="103">
      <c r="A103" s="2" t="inlineStr">
        <is>
          <t>Arch</t>
        </is>
      </c>
      <c r="B103" s="2" t="n">
        <v>14</v>
      </c>
      <c r="C103" s="2" t="inlineStr">
        <is>
          <t>shared experts</t>
        </is>
      </c>
      <c r="D103" s="2" t="n">
        <v>83</v>
      </c>
      <c r="E103" s="2" t="n">
        <v>0.019</v>
      </c>
      <c r="F103" s="2" t="inlineStr">
        <is>
          <t>低</t>
        </is>
      </c>
      <c r="G103" s="2" t="n">
        <v>85</v>
      </c>
      <c r="H103" s="2" t="n">
        <v>0.019</v>
      </c>
      <c r="I103" s="2" t="inlineStr">
        <is>
          <t>低</t>
        </is>
      </c>
      <c r="J103" s="2" t="n">
        <v>102</v>
      </c>
      <c r="K103" s="2" t="n">
        <v>0.019</v>
      </c>
      <c r="L103" s="2" t="inlineStr">
        <is>
          <t>低</t>
        </is>
      </c>
      <c r="M103" s="2" t="inlineStr">
        <is>
          <t>O05</t>
        </is>
      </c>
      <c r="N103" s="2" t="inlineStr">
        <is>
          <t>分段不變</t>
        </is>
      </c>
    </row>
    <row r="104">
      <c r="A104" s="2" t="inlineStr">
        <is>
          <t>Arch</t>
        </is>
      </c>
      <c r="B104" s="2" t="n">
        <v>19</v>
      </c>
      <c r="C104" s="2" t="inlineStr">
        <is>
          <t>其他層滑動窗</t>
        </is>
      </c>
      <c r="D104" s="2" t="n">
        <v>88</v>
      </c>
      <c r="E104" s="2" t="n">
        <v>0.01</v>
      </c>
      <c r="F104" s="2" t="inlineStr">
        <is>
          <t>低</t>
        </is>
      </c>
      <c r="G104" s="2" t="n">
        <v>86</v>
      </c>
      <c r="H104" s="2" t="n">
        <v>0.018</v>
      </c>
      <c r="I104" s="2" t="inlineStr">
        <is>
          <t>低</t>
        </is>
      </c>
      <c r="J104" s="2" t="n">
        <v>103</v>
      </c>
      <c r="K104" s="2" t="n">
        <v>0.018</v>
      </c>
      <c r="L104" s="2" t="inlineStr">
        <is>
          <t>低</t>
        </is>
      </c>
      <c r="M104" s="2" t="inlineStr">
        <is>
          <t>O05</t>
        </is>
      </c>
      <c r="N104" s="2" t="inlineStr">
        <is>
          <t>分段不變</t>
        </is>
      </c>
    </row>
    <row r="105">
      <c r="A105" s="2" t="inlineStr">
        <is>
          <t>Inputs</t>
        </is>
      </c>
      <c r="B105" s="2" t="n">
        <v>25</v>
      </c>
      <c r="C105" s="2" t="inlineStr">
        <is>
          <t>電力設施年限</t>
        </is>
      </c>
      <c r="D105" s="2" t="n">
        <v>84</v>
      </c>
      <c r="E105" s="2" t="n">
        <v>0.017</v>
      </c>
      <c r="F105" s="2" t="inlineStr">
        <is>
          <t>低</t>
        </is>
      </c>
      <c r="G105" s="2" t="n">
        <v>87</v>
      </c>
      <c r="H105" s="2" t="n">
        <v>0.017</v>
      </c>
      <c r="I105" s="2" t="inlineStr">
        <is>
          <t>低</t>
        </is>
      </c>
      <c r="J105" s="2" t="n">
        <v>104</v>
      </c>
      <c r="K105" s="2" t="n">
        <v>0.017</v>
      </c>
      <c r="L105" s="2" t="inlineStr">
        <is>
          <t>低</t>
        </is>
      </c>
      <c r="M105" s="2" t="inlineStr">
        <is>
          <t>O02</t>
        </is>
      </c>
      <c r="N105" s="2" t="inlineStr">
        <is>
          <t>分段不變</t>
        </is>
      </c>
    </row>
    <row r="106">
      <c r="A106" s="2" t="inlineStr">
        <is>
          <t>Inputs</t>
        </is>
      </c>
      <c r="B106" s="2" t="n">
        <v>33</v>
      </c>
      <c r="C106" s="2" t="inlineStr">
        <is>
          <t>軟體授權與連線</t>
        </is>
      </c>
      <c r="D106" s="2" t="n">
        <v>85</v>
      </c>
      <c r="E106" s="2" t="n">
        <v>0.017</v>
      </c>
      <c r="F106" s="2" t="inlineStr">
        <is>
          <t>低</t>
        </is>
      </c>
      <c r="G106" s="2" t="n">
        <v>88</v>
      </c>
      <c r="H106" s="2" t="n">
        <v>0.017</v>
      </c>
      <c r="I106" s="2" t="inlineStr">
        <is>
          <t>低</t>
        </is>
      </c>
      <c r="J106" s="2" t="n">
        <v>105</v>
      </c>
      <c r="K106" s="2" t="n">
        <v>0.017</v>
      </c>
      <c r="L106" s="2" t="inlineStr">
        <is>
          <t>低</t>
        </is>
      </c>
      <c r="M106" s="2" t="inlineStr">
        <is>
          <t>O08</t>
        </is>
      </c>
      <c r="N106" s="2" t="inlineStr">
        <is>
          <t>分段不變</t>
        </is>
      </c>
    </row>
    <row r="107">
      <c r="A107" s="2" t="inlineStr">
        <is>
          <t>Cap_In</t>
        </is>
      </c>
      <c r="B107" s="2" t="n">
        <v>46</v>
      </c>
      <c r="C107" s="2" t="inlineStr">
        <is>
          <t>GPT-6 Luna</t>
        </is>
      </c>
      <c r="D107" s="2" t="inlineStr">
        <is>
          <t>—</t>
        </is>
      </c>
      <c r="E107" s="2" t="inlineStr">
        <is>
          <t>—</t>
        </is>
      </c>
      <c r="F107" s="2" t="inlineStr">
        <is>
          <t>—（v5.10 無對應列）</t>
        </is>
      </c>
      <c r="G107" s="2" t="n">
        <v>89</v>
      </c>
      <c r="H107" s="2" t="n">
        <v>0.016</v>
      </c>
      <c r="I107" s="2" t="inlineStr">
        <is>
          <t>低</t>
        </is>
      </c>
      <c r="J107" s="2" t="n">
        <v>106</v>
      </c>
      <c r="K107" s="2" t="n">
        <v>0.016</v>
      </c>
      <c r="L107" s="2" t="inlineStr">
        <is>
          <t>低</t>
        </is>
      </c>
      <c r="M107" s="2" t="inlineStr">
        <is>
          <t>O12</t>
        </is>
      </c>
      <c r="N107" s="2" t="inlineStr">
        <is>
          <t>v5.10 無對應列（新列或結構改變）</t>
        </is>
      </c>
    </row>
    <row r="108">
      <c r="A108" s="2" t="inlineStr">
        <is>
          <t>Har_In</t>
        </is>
      </c>
      <c r="B108" s="2" t="n">
        <v>13</v>
      </c>
      <c r="C108" s="2" t="inlineStr">
        <is>
          <t>思考保留 ρ</t>
        </is>
      </c>
      <c r="D108" s="2" t="n">
        <v>119</v>
      </c>
      <c r="E108" s="2" t="n">
        <v>0</v>
      </c>
      <c r="F108" s="2" t="inlineStr">
        <is>
          <t>無</t>
        </is>
      </c>
      <c r="G108" s="2" t="n">
        <v>163</v>
      </c>
      <c r="H108" s="2" t="n">
        <v>0</v>
      </c>
      <c r="I108" s="2" t="inlineStr">
        <is>
          <t>無</t>
        </is>
      </c>
      <c r="J108" s="2" t="n">
        <v>107</v>
      </c>
      <c r="K108" s="2" t="n">
        <v>0.016</v>
      </c>
      <c r="L108" s="2" t="inlineStr">
        <is>
          <t>低</t>
        </is>
      </c>
      <c r="M108" s="2" t="inlineStr">
        <is>
          <t>O22</t>
        </is>
      </c>
      <c r="N108" s="2" t="inlineStr">
        <is>
          <t>加入 L1 輸出後分段改變（O22）</t>
        </is>
      </c>
    </row>
    <row r="109">
      <c r="A109" s="2" t="inlineStr">
        <is>
          <t>Serving</t>
        </is>
      </c>
      <c r="B109" s="2" t="n">
        <v>11</v>
      </c>
      <c r="C109" s="2" t="inlineStr">
        <is>
          <t>專家權重占可用 HBM 上限</t>
        </is>
      </c>
      <c r="D109" s="2" t="n">
        <v>110</v>
      </c>
      <c r="E109" s="2" t="n">
        <v>0</v>
      </c>
      <c r="F109" s="2" t="inlineStr">
        <is>
          <t>無</t>
        </is>
      </c>
      <c r="G109" s="2" t="n">
        <v>186</v>
      </c>
      <c r="H109" s="2" t="n">
        <v>0</v>
      </c>
      <c r="I109" s="2" t="inlineStr">
        <is>
          <t>無</t>
        </is>
      </c>
      <c r="J109" s="2" t="n">
        <v>108</v>
      </c>
      <c r="K109" s="2" t="n">
        <v>0.016</v>
      </c>
      <c r="L109" s="2" t="inlineStr">
        <is>
          <t>低</t>
        </is>
      </c>
      <c r="M109" s="2" t="inlineStr">
        <is>
          <t>O15</t>
        </is>
      </c>
      <c r="N109" s="2" t="inlineStr">
        <is>
          <t>加入 L1 輸出後分段改變（O15）</t>
        </is>
      </c>
    </row>
    <row r="110">
      <c r="A110" s="2" t="inlineStr">
        <is>
          <t>Inputs</t>
        </is>
      </c>
      <c r="B110" s="2" t="n">
        <v>26</v>
      </c>
      <c r="C110" s="2" t="inlineStr">
        <is>
          <t>機械與散熱年限</t>
        </is>
      </c>
      <c r="D110" s="2" t="n">
        <v>86</v>
      </c>
      <c r="E110" s="2" t="n">
        <v>0.014</v>
      </c>
      <c r="F110" s="2" t="inlineStr">
        <is>
          <t>低</t>
        </is>
      </c>
      <c r="G110" s="2" t="n">
        <v>90</v>
      </c>
      <c r="H110" s="2" t="n">
        <v>0.014</v>
      </c>
      <c r="I110" s="2" t="inlineStr">
        <is>
          <t>低</t>
        </is>
      </c>
      <c r="J110" s="2" t="n">
        <v>109</v>
      </c>
      <c r="K110" s="2" t="n">
        <v>0.014</v>
      </c>
      <c r="L110" s="2" t="inlineStr">
        <is>
          <t>低</t>
        </is>
      </c>
      <c r="M110" s="2" t="inlineStr">
        <is>
          <t>O04</t>
        </is>
      </c>
      <c r="N110" s="2" t="inlineStr">
        <is>
          <t>分段不變</t>
        </is>
      </c>
    </row>
    <row r="111">
      <c r="A111" s="2" t="inlineStr">
        <is>
          <t>Train_In</t>
        </is>
      </c>
      <c r="B111" s="2" t="n">
        <v>28</v>
      </c>
      <c r="C111" s="2" t="inlineStr">
        <is>
          <t>長上下文延伸序列長（稀疏注意力路徑）</t>
        </is>
      </c>
      <c r="D111" s="2" t="n">
        <v>87</v>
      </c>
      <c r="E111" s="2" t="n">
        <v>0.013</v>
      </c>
      <c r="F111" s="2" t="inlineStr">
        <is>
          <t>低</t>
        </is>
      </c>
      <c r="G111" s="2" t="n">
        <v>91</v>
      </c>
      <c r="H111" s="2" t="n">
        <v>0.013</v>
      </c>
      <c r="I111" s="2" t="inlineStr">
        <is>
          <t>低</t>
        </is>
      </c>
      <c r="J111" s="2" t="n">
        <v>110</v>
      </c>
      <c r="K111" s="2" t="n">
        <v>0.013</v>
      </c>
      <c r="L111" s="2" t="inlineStr">
        <is>
          <t>低</t>
        </is>
      </c>
      <c r="M111" s="2" t="inlineStr">
        <is>
          <t>O08</t>
        </is>
      </c>
      <c r="N111" s="2" t="inlineStr">
        <is>
          <t>分段不變</t>
        </is>
      </c>
    </row>
    <row r="112">
      <c r="A112" s="2" t="inlineStr">
        <is>
          <t>Arch</t>
        </is>
      </c>
      <c r="B112" s="2" t="n">
        <v>34</v>
      </c>
      <c r="C112" s="2" t="inlineStr">
        <is>
          <t>每層 KV bytes/token（壓縮後平均，FP8）</t>
        </is>
      </c>
      <c r="D112" s="2" t="inlineStr">
        <is>
          <t>—</t>
        </is>
      </c>
      <c r="E112" s="2" t="inlineStr">
        <is>
          <t>—</t>
        </is>
      </c>
      <c r="F112" s="2" t="inlineStr">
        <is>
          <t>—（v5.10 無對應列）</t>
        </is>
      </c>
      <c r="G112" s="2" t="n">
        <v>95</v>
      </c>
      <c r="H112" s="2" t="n">
        <v>0.006</v>
      </c>
      <c r="I112" s="2" t="inlineStr">
        <is>
          <t>低</t>
        </is>
      </c>
      <c r="J112" s="2" t="n">
        <v>111</v>
      </c>
      <c r="K112" s="2" t="n">
        <v>0.011</v>
      </c>
      <c r="L112" s="2" t="inlineStr">
        <is>
          <t>低</t>
        </is>
      </c>
      <c r="M112" s="2" t="inlineStr">
        <is>
          <t>O23</t>
        </is>
      </c>
      <c r="N112" s="2" t="inlineStr">
        <is>
          <t>v5.10 無對應列（新列或結構改變）</t>
        </is>
      </c>
    </row>
    <row r="113">
      <c r="A113" s="2" t="inlineStr">
        <is>
          <t>Inputs</t>
        </is>
      </c>
      <c r="B113" s="2" t="n">
        <v>20</v>
      </c>
      <c r="C113" s="2" t="inlineStr">
        <is>
          <t>光纖、佈線、保全、BMS</t>
        </is>
      </c>
      <c r="D113" s="2" t="n">
        <v>89</v>
      </c>
      <c r="E113" s="2" t="n">
        <v>0.01</v>
      </c>
      <c r="F113" s="2" t="inlineStr">
        <is>
          <t>低</t>
        </is>
      </c>
      <c r="G113" s="2" t="n">
        <v>92</v>
      </c>
      <c r="H113" s="2" t="n">
        <v>0.01</v>
      </c>
      <c r="I113" s="2" t="inlineStr">
        <is>
          <t>低</t>
        </is>
      </c>
      <c r="J113" s="2" t="n">
        <v>112</v>
      </c>
      <c r="K113" s="2" t="n">
        <v>0.01</v>
      </c>
      <c r="L113" s="2" t="inlineStr">
        <is>
          <t>低</t>
        </is>
      </c>
      <c r="M113" s="2" t="inlineStr">
        <is>
          <t>O01</t>
        </is>
      </c>
      <c r="N113" s="2" t="inlineStr">
        <is>
          <t>分段不變</t>
        </is>
      </c>
    </row>
    <row r="114">
      <c r="A114" s="2" t="inlineStr">
        <is>
          <t>Train_In</t>
        </is>
      </c>
      <c r="B114" s="2" t="n">
        <v>29</v>
      </c>
      <c r="C114" s="2" t="inlineStr">
        <is>
          <t>SFT token</t>
        </is>
      </c>
      <c r="D114" s="2" t="n">
        <v>98</v>
      </c>
      <c r="E114" s="2" t="n">
        <v>0.004</v>
      </c>
      <c r="F114" s="2" t="inlineStr">
        <is>
          <t>低</t>
        </is>
      </c>
      <c r="G114" s="2" t="n">
        <v>101</v>
      </c>
      <c r="H114" s="2" t="n">
        <v>0.004</v>
      </c>
      <c r="I114" s="2" t="inlineStr">
        <is>
          <t>低</t>
        </is>
      </c>
      <c r="J114" s="2" t="n">
        <v>113</v>
      </c>
      <c r="K114" s="2" t="n">
        <v>0.008999999999999999</v>
      </c>
      <c r="L114" s="2" t="inlineStr">
        <is>
          <t>低</t>
        </is>
      </c>
      <c r="M114" s="2" t="inlineStr">
        <is>
          <t>O20</t>
        </is>
      </c>
      <c r="N114" s="2" t="inlineStr">
        <is>
          <t>分段不變</t>
        </is>
      </c>
    </row>
    <row r="115">
      <c r="A115" s="2" t="inlineStr">
        <is>
          <t>Cap_In</t>
        </is>
      </c>
      <c r="B115" s="2" t="n">
        <v>38</v>
      </c>
      <c r="C115" s="2" t="inlineStr">
        <is>
          <t>每次寫入在保留期內的平均命中次數</t>
        </is>
      </c>
      <c r="D115" s="2" t="n">
        <v>101</v>
      </c>
      <c r="E115" s="2" t="n">
        <v>0.001</v>
      </c>
      <c r="F115" s="2" t="inlineStr">
        <is>
          <t>低</t>
        </is>
      </c>
      <c r="G115" s="2" t="n">
        <v>104</v>
      </c>
      <c r="H115" s="2" t="n">
        <v>0.001</v>
      </c>
      <c r="I115" s="2" t="inlineStr">
        <is>
          <t>低</t>
        </is>
      </c>
      <c r="J115" s="2" t="n">
        <v>114</v>
      </c>
      <c r="K115" s="2" t="n">
        <v>0.007</v>
      </c>
      <c r="L115" s="2" t="inlineStr">
        <is>
          <t>低</t>
        </is>
      </c>
      <c r="M115" s="2" t="inlineStr">
        <is>
          <t>O23</t>
        </is>
      </c>
      <c r="N115" s="2" t="inlineStr">
        <is>
          <t>分段不變</t>
        </is>
      </c>
    </row>
    <row r="116">
      <c r="A116" s="2" t="inlineStr">
        <is>
          <t>Cap_In</t>
        </is>
      </c>
      <c r="B116" s="2" t="n">
        <v>40</v>
      </c>
      <c r="C116" s="2" t="inlineStr">
        <is>
          <t>DRAM 折舊年限</t>
        </is>
      </c>
      <c r="D116" s="2" t="n">
        <v>102</v>
      </c>
      <c r="E116" s="2" t="n">
        <v>0.001</v>
      </c>
      <c r="F116" s="2" t="inlineStr">
        <is>
          <t>低</t>
        </is>
      </c>
      <c r="G116" s="2" t="n">
        <v>105</v>
      </c>
      <c r="H116" s="2" t="n">
        <v>0.001</v>
      </c>
      <c r="I116" s="2" t="inlineStr">
        <is>
          <t>低</t>
        </is>
      </c>
      <c r="J116" s="2" t="n">
        <v>115</v>
      </c>
      <c r="K116" s="2" t="n">
        <v>0.007</v>
      </c>
      <c r="L116" s="2" t="inlineStr">
        <is>
          <t>低</t>
        </is>
      </c>
      <c r="M116" s="2" t="inlineStr">
        <is>
          <t>O23</t>
        </is>
      </c>
      <c r="N116" s="2" t="inlineStr">
        <is>
          <t>分段不變</t>
        </is>
      </c>
    </row>
    <row r="117">
      <c r="A117" s="2" t="inlineStr">
        <is>
          <t>Har_In</t>
        </is>
      </c>
      <c r="B117" s="2" t="n">
        <v>18</v>
      </c>
      <c r="C117" s="2" t="inlineStr">
        <is>
          <t>狀態保留時間</t>
        </is>
      </c>
      <c r="D117" s="2" t="n">
        <v>118</v>
      </c>
      <c r="E117" s="2" t="n">
        <v>0</v>
      </c>
      <c r="F117" s="2" t="inlineStr">
        <is>
          <t>無</t>
        </is>
      </c>
      <c r="G117" s="2" t="n">
        <v>166</v>
      </c>
      <c r="H117" s="2" t="n">
        <v>0</v>
      </c>
      <c r="I117" s="2" t="inlineStr">
        <is>
          <t>無</t>
        </is>
      </c>
      <c r="J117" s="2" t="n">
        <v>116</v>
      </c>
      <c r="K117" s="2" t="n">
        <v>0.007</v>
      </c>
      <c r="L117" s="2" t="inlineStr">
        <is>
          <t>低</t>
        </is>
      </c>
      <c r="M117" s="2" t="inlineStr">
        <is>
          <t>O22</t>
        </is>
      </c>
      <c r="N117" s="2" t="inlineStr">
        <is>
          <t>加入 L1 輸出後分段改變（O22）</t>
        </is>
      </c>
    </row>
    <row r="118">
      <c r="A118" s="2" t="inlineStr">
        <is>
          <t>Cap_In</t>
        </is>
      </c>
      <c r="B118" s="2" t="n">
        <v>39</v>
      </c>
      <c r="C118" s="2" t="inlineStr">
        <is>
          <t>DRAM 取得成本</t>
        </is>
      </c>
      <c r="D118" s="2" t="n">
        <v>104</v>
      </c>
      <c r="E118" s="2" t="n">
        <v>0.001</v>
      </c>
      <c r="F118" s="2" t="inlineStr">
        <is>
          <t>低</t>
        </is>
      </c>
      <c r="G118" s="2" t="n">
        <v>107</v>
      </c>
      <c r="H118" s="2" t="n">
        <v>0.001</v>
      </c>
      <c r="I118" s="2" t="inlineStr">
        <is>
          <t>低</t>
        </is>
      </c>
      <c r="J118" s="2" t="n">
        <v>117</v>
      </c>
      <c r="K118" s="2" t="n">
        <v>0.007</v>
      </c>
      <c r="L118" s="2" t="inlineStr">
        <is>
          <t>低</t>
        </is>
      </c>
      <c r="M118" s="2" t="inlineStr">
        <is>
          <t>O23</t>
        </is>
      </c>
      <c r="N118" s="2" t="inlineStr">
        <is>
          <t>分段不變</t>
        </is>
      </c>
    </row>
    <row r="119">
      <c r="A119" s="2" t="inlineStr">
        <is>
          <t>Inputs</t>
        </is>
      </c>
      <c r="B119" s="2" t="n">
        <v>24</v>
      </c>
      <c r="C119" s="2" t="inlineStr">
        <is>
          <t>建物年限</t>
        </is>
      </c>
      <c r="D119" s="2" t="n">
        <v>90</v>
      </c>
      <c r="E119" s="2" t="n">
        <v>0.006</v>
      </c>
      <c r="F119" s="2" t="inlineStr">
        <is>
          <t>低</t>
        </is>
      </c>
      <c r="G119" s="2" t="n">
        <v>93</v>
      </c>
      <c r="H119" s="2" t="n">
        <v>0.006</v>
      </c>
      <c r="I119" s="2" t="inlineStr">
        <is>
          <t>低</t>
        </is>
      </c>
      <c r="J119" s="2" t="n">
        <v>118</v>
      </c>
      <c r="K119" s="2" t="n">
        <v>0.006</v>
      </c>
      <c r="L119" s="2" t="inlineStr">
        <is>
          <t>低</t>
        </is>
      </c>
      <c r="M119" s="2" t="inlineStr">
        <is>
          <t>O17</t>
        </is>
      </c>
      <c r="N119" s="2" t="inlineStr">
        <is>
          <t>分段不變</t>
        </is>
      </c>
    </row>
    <row r="120">
      <c r="A120" s="2" t="inlineStr">
        <is>
          <t>Inputs</t>
        </is>
      </c>
      <c r="B120" s="2" t="n">
        <v>32</v>
      </c>
      <c r="C120" s="2" t="inlineStr">
        <is>
          <t>人員</t>
        </is>
      </c>
      <c r="D120" s="2" t="n">
        <v>91</v>
      </c>
      <c r="E120" s="2" t="n">
        <v>0.006</v>
      </c>
      <c r="F120" s="2" t="inlineStr">
        <is>
          <t>低</t>
        </is>
      </c>
      <c r="G120" s="2" t="n">
        <v>94</v>
      </c>
      <c r="H120" s="2" t="n">
        <v>0.006</v>
      </c>
      <c r="I120" s="2" t="inlineStr">
        <is>
          <t>低</t>
        </is>
      </c>
      <c r="J120" s="2" t="n">
        <v>119</v>
      </c>
      <c r="K120" s="2" t="n">
        <v>0.006</v>
      </c>
      <c r="L120" s="2" t="inlineStr">
        <is>
          <t>低</t>
        </is>
      </c>
      <c r="M120" s="2" t="inlineStr">
        <is>
          <t>O08</t>
        </is>
      </c>
      <c r="N120" s="2" t="inlineStr">
        <is>
          <t>分段不變</t>
        </is>
      </c>
    </row>
    <row r="121">
      <c r="A121" s="2" t="inlineStr">
        <is>
          <t>Serving</t>
        </is>
      </c>
      <c r="B121" s="2" t="n">
        <v>15</v>
      </c>
      <c r="C121" s="2" t="inlineStr">
        <is>
          <t>快取命中 KV 載入頻寬</t>
        </is>
      </c>
      <c r="D121" s="2" t="n">
        <v>93</v>
      </c>
      <c r="E121" s="2" t="n">
        <v>0.005</v>
      </c>
      <c r="F121" s="2" t="inlineStr">
        <is>
          <t>低</t>
        </is>
      </c>
      <c r="G121" s="2" t="n">
        <v>96</v>
      </c>
      <c r="H121" s="2" t="n">
        <v>0.005</v>
      </c>
      <c r="I121" s="2" t="inlineStr">
        <is>
          <t>低</t>
        </is>
      </c>
      <c r="J121" s="2" t="n">
        <v>120</v>
      </c>
      <c r="K121" s="2" t="n">
        <v>0.005</v>
      </c>
      <c r="L121" s="2" t="inlineStr">
        <is>
          <t>低</t>
        </is>
      </c>
      <c r="M121" s="2" t="inlineStr">
        <is>
          <t>O13</t>
        </is>
      </c>
      <c r="N121" s="2" t="inlineStr">
        <is>
          <t>分段不變</t>
        </is>
      </c>
    </row>
    <row r="122">
      <c r="A122" s="2" t="inlineStr">
        <is>
          <t>Inputs</t>
        </is>
      </c>
      <c r="B122" s="2" t="n">
        <v>14</v>
      </c>
      <c r="C122" s="2" t="inlineStr">
        <is>
          <t>儲存與管理設備</t>
        </is>
      </c>
      <c r="D122" s="2" t="n">
        <v>94</v>
      </c>
      <c r="E122" s="2" t="n">
        <v>0.005</v>
      </c>
      <c r="F122" s="2" t="inlineStr">
        <is>
          <t>低</t>
        </is>
      </c>
      <c r="G122" s="2" t="n">
        <v>97</v>
      </c>
      <c r="H122" s="2" t="n">
        <v>0.005</v>
      </c>
      <c r="I122" s="2" t="inlineStr">
        <is>
          <t>低</t>
        </is>
      </c>
      <c r="J122" s="2" t="n">
        <v>121</v>
      </c>
      <c r="K122" s="2" t="n">
        <v>0.005</v>
      </c>
      <c r="L122" s="2" t="inlineStr">
        <is>
          <t>低</t>
        </is>
      </c>
      <c r="M122" s="2" t="inlineStr">
        <is>
          <t>O06</t>
        </is>
      </c>
      <c r="N122" s="2" t="inlineStr">
        <is>
          <t>分段不變</t>
        </is>
      </c>
    </row>
    <row r="123">
      <c r="A123" s="2" t="inlineStr">
        <is>
          <t>Arch</t>
        </is>
      </c>
      <c r="B123" s="2" t="n">
        <v>18</v>
      </c>
      <c r="C123" s="2" t="inlineStr">
        <is>
          <t>其他層壓縮比</t>
        </is>
      </c>
      <c r="D123" s="2" t="n">
        <v>95</v>
      </c>
      <c r="E123" s="2" t="n">
        <v>0.005</v>
      </c>
      <c r="F123" s="2" t="inlineStr">
        <is>
          <t>低</t>
        </is>
      </c>
      <c r="G123" s="2" t="n">
        <v>98</v>
      </c>
      <c r="H123" s="2" t="n">
        <v>0.005</v>
      </c>
      <c r="I123" s="2" t="inlineStr">
        <is>
          <t>低</t>
        </is>
      </c>
      <c r="J123" s="2" t="n">
        <v>122</v>
      </c>
      <c r="K123" s="2" t="n">
        <v>0.005</v>
      </c>
      <c r="L123" s="2" t="inlineStr">
        <is>
          <t>低</t>
        </is>
      </c>
      <c r="M123" s="2" t="inlineStr">
        <is>
          <t>O05</t>
        </is>
      </c>
      <c r="N123" s="2" t="inlineStr">
        <is>
          <t>分段不變</t>
        </is>
      </c>
    </row>
    <row r="124">
      <c r="A124" s="2" t="inlineStr">
        <is>
          <t>Train_In</t>
        </is>
      </c>
      <c r="B124" s="2" t="n">
        <v>12</v>
      </c>
      <c r="C124" s="2" t="inlineStr">
        <is>
          <t>GRPO 每題取樣數（共用 prompt，prefill 只算一次）</t>
        </is>
      </c>
      <c r="D124" s="2" t="n">
        <v>105</v>
      </c>
      <c r="E124" s="2" t="n">
        <v>0.001</v>
      </c>
      <c r="F124" s="2" t="inlineStr">
        <is>
          <t>低</t>
        </is>
      </c>
      <c r="G124" s="2" t="n">
        <v>108</v>
      </c>
      <c r="H124" s="2" t="n">
        <v>0.001</v>
      </c>
      <c r="I124" s="2" t="inlineStr">
        <is>
          <t>低</t>
        </is>
      </c>
      <c r="J124" s="2" t="n">
        <v>123</v>
      </c>
      <c r="K124" s="2" t="n">
        <v>0.004</v>
      </c>
      <c r="L124" s="2" t="inlineStr">
        <is>
          <t>低</t>
        </is>
      </c>
      <c r="M124" s="2" t="inlineStr">
        <is>
          <t>O20</t>
        </is>
      </c>
      <c r="N124" s="2" t="inlineStr">
        <is>
          <t>分段不變</t>
        </is>
      </c>
    </row>
    <row r="125">
      <c r="A125" s="2" t="inlineStr">
        <is>
          <t>Inputs</t>
        </is>
      </c>
      <c r="B125" s="2" t="n">
        <v>34</v>
      </c>
      <c r="C125" s="2" t="inlineStr">
        <is>
          <t>水與耗材</t>
        </is>
      </c>
      <c r="D125" s="2" t="n">
        <v>96</v>
      </c>
      <c r="E125" s="2" t="n">
        <v>0.004</v>
      </c>
      <c r="F125" s="2" t="inlineStr">
        <is>
          <t>低</t>
        </is>
      </c>
      <c r="G125" s="2" t="n">
        <v>99</v>
      </c>
      <c r="H125" s="2" t="n">
        <v>0.004</v>
      </c>
      <c r="I125" s="2" t="inlineStr">
        <is>
          <t>低</t>
        </is>
      </c>
      <c r="J125" s="2" t="n">
        <v>124</v>
      </c>
      <c r="K125" s="2" t="n">
        <v>0.004</v>
      </c>
      <c r="L125" s="2" t="inlineStr">
        <is>
          <t>低</t>
        </is>
      </c>
      <c r="M125" s="2" t="inlineStr">
        <is>
          <t>O02</t>
        </is>
      </c>
      <c r="N125" s="2" t="inlineStr">
        <is>
          <t>分段不變</t>
        </is>
      </c>
    </row>
    <row r="126">
      <c r="A126" s="2" t="inlineStr">
        <is>
          <t>Train_In</t>
        </is>
      </c>
      <c r="B126" s="2" t="n">
        <v>8</v>
      </c>
      <c r="C126" s="2" t="inlineStr">
        <is>
          <t>SFT MFU 係數（× 預訓練 MFU）</t>
        </is>
      </c>
      <c r="D126" s="2" t="n">
        <v>97</v>
      </c>
      <c r="E126" s="2" t="n">
        <v>0.004</v>
      </c>
      <c r="F126" s="2" t="inlineStr">
        <is>
          <t>低</t>
        </is>
      </c>
      <c r="G126" s="2" t="n">
        <v>100</v>
      </c>
      <c r="H126" s="2" t="n">
        <v>0.004</v>
      </c>
      <c r="I126" s="2" t="inlineStr">
        <is>
          <t>低</t>
        </is>
      </c>
      <c r="J126" s="2" t="n">
        <v>125</v>
      </c>
      <c r="K126" s="2" t="n">
        <v>0.004</v>
      </c>
      <c r="L126" s="2" t="inlineStr">
        <is>
          <t>低</t>
        </is>
      </c>
      <c r="M126" s="2" t="inlineStr">
        <is>
          <t>O09</t>
        </is>
      </c>
      <c r="N126" s="2" t="inlineStr">
        <is>
          <t>分段不變</t>
        </is>
      </c>
    </row>
    <row r="127">
      <c r="A127" s="2" t="inlineStr">
        <is>
          <t>Inputs</t>
        </is>
      </c>
      <c r="B127" s="2" t="n">
        <v>27</v>
      </c>
      <c r="C127" s="2" t="inlineStr">
        <is>
          <t>光纖與保全年限</t>
        </is>
      </c>
      <c r="D127" s="2" t="n">
        <v>99</v>
      </c>
      <c r="E127" s="2" t="n">
        <v>0.004</v>
      </c>
      <c r="F127" s="2" t="inlineStr">
        <is>
          <t>低</t>
        </is>
      </c>
      <c r="G127" s="2" t="n">
        <v>102</v>
      </c>
      <c r="H127" s="2" t="n">
        <v>0.004</v>
      </c>
      <c r="I127" s="2" t="inlineStr">
        <is>
          <t>低</t>
        </is>
      </c>
      <c r="J127" s="2" t="n">
        <v>126</v>
      </c>
      <c r="K127" s="2" t="n">
        <v>0.004</v>
      </c>
      <c r="L127" s="2" t="inlineStr">
        <is>
          <t>低</t>
        </is>
      </c>
      <c r="M127" s="2" t="inlineStr">
        <is>
          <t>O05</t>
        </is>
      </c>
      <c r="N127" s="2" t="inlineStr">
        <is>
          <t>分段不變</t>
        </is>
      </c>
    </row>
    <row r="128">
      <c r="A128" s="2" t="inlineStr">
        <is>
          <t>Serving</t>
        </is>
      </c>
      <c r="B128" s="2" t="n">
        <v>9</v>
      </c>
      <c r="C128" s="2" t="inlineStr">
        <is>
          <t>HBM 保留比例（啟用值、工作區）</t>
        </is>
      </c>
      <c r="D128" s="2" t="n">
        <v>109</v>
      </c>
      <c r="E128" s="2" t="n">
        <v>0</v>
      </c>
      <c r="F128" s="2" t="inlineStr">
        <is>
          <t>無</t>
        </is>
      </c>
      <c r="G128" s="2" t="n">
        <v>185</v>
      </c>
      <c r="H128" s="2" t="n">
        <v>0</v>
      </c>
      <c r="I128" s="2" t="inlineStr">
        <is>
          <t>無</t>
        </is>
      </c>
      <c r="J128" s="2" t="n">
        <v>127</v>
      </c>
      <c r="K128" s="2" t="n">
        <v>0.003</v>
      </c>
      <c r="L128" s="2" t="inlineStr">
        <is>
          <t>低</t>
        </is>
      </c>
      <c r="M128" s="2" t="inlineStr">
        <is>
          <t>O15</t>
        </is>
      </c>
      <c r="N128" s="2" t="inlineStr">
        <is>
          <t>加入 L1 輸出後分段改變（O15）</t>
        </is>
      </c>
    </row>
    <row r="129">
      <c r="A129" s="2" t="inlineStr">
        <is>
          <t>Train_In</t>
        </is>
      </c>
      <c r="B129" s="2" t="n">
        <v>38</v>
      </c>
      <c r="C129" s="2" t="inlineStr">
        <is>
          <t>評測 token</t>
        </is>
      </c>
      <c r="D129" s="2" t="n">
        <v>100</v>
      </c>
      <c r="E129" s="2" t="n">
        <v>0.002</v>
      </c>
      <c r="F129" s="2" t="inlineStr">
        <is>
          <t>低</t>
        </is>
      </c>
      <c r="G129" s="2" t="n">
        <v>103</v>
      </c>
      <c r="H129" s="2" t="n">
        <v>0.002</v>
      </c>
      <c r="I129" s="2" t="inlineStr">
        <is>
          <t>低</t>
        </is>
      </c>
      <c r="J129" s="2" t="n">
        <v>128</v>
      </c>
      <c r="K129" s="2" t="n">
        <v>0.002</v>
      </c>
      <c r="L129" s="2" t="inlineStr">
        <is>
          <t>低</t>
        </is>
      </c>
      <c r="M129" s="2" t="inlineStr">
        <is>
          <t>O07</t>
        </is>
      </c>
      <c r="N129" s="2" t="inlineStr">
        <is>
          <t>分段不變</t>
        </is>
      </c>
    </row>
    <row r="130">
      <c r="A130" s="2" t="inlineStr">
        <is>
          <t>Cap_In</t>
        </is>
      </c>
      <c r="B130" s="2" t="n">
        <v>37</v>
      </c>
      <c r="C130" s="2" t="inlineStr">
        <is>
          <t>保留時間</t>
        </is>
      </c>
      <c r="D130" s="2" t="n">
        <v>103</v>
      </c>
      <c r="E130" s="2" t="n">
        <v>0.001</v>
      </c>
      <c r="F130" s="2" t="inlineStr">
        <is>
          <t>低</t>
        </is>
      </c>
      <c r="G130" s="2" t="n">
        <v>106</v>
      </c>
      <c r="H130" s="2" t="n">
        <v>0.001</v>
      </c>
      <c r="I130" s="2" t="inlineStr">
        <is>
          <t>低</t>
        </is>
      </c>
      <c r="J130" s="2" t="n">
        <v>129</v>
      </c>
      <c r="K130" s="2" t="n">
        <v>0.001</v>
      </c>
      <c r="L130" s="2" t="inlineStr">
        <is>
          <t>低</t>
        </is>
      </c>
      <c r="M130" s="2" t="inlineStr">
        <is>
          <t>O22</t>
        </is>
      </c>
      <c r="N130" s="2" t="inlineStr">
        <is>
          <t>分段不變</t>
        </is>
      </c>
    </row>
    <row r="131">
      <c r="A131" s="2" t="inlineStr">
        <is>
          <t>Inputs</t>
        </is>
      </c>
      <c r="B131" s="2" t="n">
        <v>5</v>
      </c>
      <c r="C131" s="2" t="inlineStr">
        <is>
          <t>IT 電力規模</t>
        </is>
      </c>
      <c r="D131" s="2" t="n">
        <v>10</v>
      </c>
      <c r="E131" s="2" t="n">
        <v>1.001</v>
      </c>
      <c r="F131" s="2" t="inlineStr">
        <is>
          <t>高</t>
        </is>
      </c>
      <c r="G131" s="2" t="n">
        <v>109</v>
      </c>
      <c r="H131" s="2" t="n">
        <v>0.001</v>
      </c>
      <c r="I131" s="2" t="inlineStr">
        <is>
          <t>低</t>
        </is>
      </c>
      <c r="J131" s="2" t="n">
        <v>130</v>
      </c>
      <c r="K131" s="2" t="n">
        <v>0.001</v>
      </c>
      <c r="L131" s="2" t="inlineStr">
        <is>
          <t>低</t>
        </is>
      </c>
      <c r="M131" s="2" t="inlineStr">
        <is>
          <t>O12</t>
        </is>
      </c>
      <c r="N131" s="2" t="inlineStr">
        <is>
          <t>同輸出集合分段已變</t>
        </is>
      </c>
    </row>
    <row r="132">
      <c r="A132" s="2" t="inlineStr">
        <is>
          <t>Inputs</t>
        </is>
      </c>
      <c r="B132" s="2" t="n">
        <v>16</v>
      </c>
      <c r="C132" s="2" t="inlineStr">
        <is>
          <t>土地</t>
        </is>
      </c>
      <c r="D132" s="2" t="n">
        <v>106</v>
      </c>
      <c r="E132" s="2" t="n">
        <v>0</v>
      </c>
      <c r="F132" s="2" t="inlineStr">
        <is>
          <t>低</t>
        </is>
      </c>
      <c r="G132" s="2" t="n">
        <v>110</v>
      </c>
      <c r="H132" s="2" t="n">
        <v>0</v>
      </c>
      <c r="I132" s="2" t="inlineStr">
        <is>
          <t>低</t>
        </is>
      </c>
      <c r="J132" s="2" t="n">
        <v>131</v>
      </c>
      <c r="K132" s="2" t="n">
        <v>0</v>
      </c>
      <c r="L132" s="2" t="inlineStr">
        <is>
          <t>低</t>
        </is>
      </c>
      <c r="M132" s="2" t="inlineStr">
        <is>
          <t>O01</t>
        </is>
      </c>
      <c r="N132" s="2" t="inlineStr">
        <is>
          <t>分段不變</t>
        </is>
      </c>
    </row>
    <row r="133">
      <c r="A133" s="2" t="inlineStr">
        <is>
          <t>Arch</t>
        </is>
      </c>
      <c r="B133" s="2" t="n">
        <v>35</v>
      </c>
      <c r="C133" s="2" t="inlineStr">
        <is>
          <t>MLA 每層 KV 元素數（Astra 情境 1、2）</t>
        </is>
      </c>
      <c r="D133" s="2" t="inlineStr">
        <is>
          <t>—</t>
        </is>
      </c>
      <c r="E133" s="2" t="inlineStr">
        <is>
          <t>—</t>
        </is>
      </c>
      <c r="F133" s="2" t="inlineStr">
        <is>
          <t>—（v5.10 無對應列）</t>
        </is>
      </c>
      <c r="G133" s="2" t="n">
        <v>111</v>
      </c>
      <c r="H133" s="2" t="n">
        <v>0</v>
      </c>
      <c r="I133" s="2" t="inlineStr">
        <is>
          <t>低</t>
        </is>
      </c>
      <c r="J133" s="2" t="n">
        <v>132</v>
      </c>
      <c r="K133" s="2" t="n">
        <v>0</v>
      </c>
      <c r="L133" s="2" t="inlineStr">
        <is>
          <t>低</t>
        </is>
      </c>
      <c r="M133" s="2" t="inlineStr">
        <is>
          <t>O10</t>
        </is>
      </c>
      <c r="N133" s="2" t="inlineStr">
        <is>
          <t>v5.10 無對應列（新列或結構改變）</t>
        </is>
      </c>
    </row>
    <row r="134">
      <c r="A134" s="2" t="inlineStr">
        <is>
          <t>Arch</t>
        </is>
      </c>
      <c r="B134" s="2" t="n">
        <v>38</v>
      </c>
      <c r="C134" s="2" t="inlineStr">
        <is>
          <t>KV 每元素 bytes（FP8；三層級共用）</t>
        </is>
      </c>
      <c r="D134" s="2" t="inlineStr">
        <is>
          <t>—</t>
        </is>
      </c>
      <c r="E134" s="2" t="inlineStr">
        <is>
          <t>—</t>
        </is>
      </c>
      <c r="F134" s="2" t="inlineStr">
        <is>
          <t>—（v5.10 無對應列）</t>
        </is>
      </c>
      <c r="G134" s="2" t="n">
        <v>112</v>
      </c>
      <c r="H134" s="2" t="n">
        <v>0</v>
      </c>
      <c r="I134" s="2" t="inlineStr">
        <is>
          <t>低</t>
        </is>
      </c>
      <c r="J134" s="2" t="n">
        <v>133</v>
      </c>
      <c r="K134" s="2" t="n">
        <v>0</v>
      </c>
      <c r="L134" s="2" t="inlineStr">
        <is>
          <t>低</t>
        </is>
      </c>
      <c r="M134" s="2" t="inlineStr">
        <is>
          <t>O10</t>
        </is>
      </c>
      <c r="N134" s="2" t="inlineStr">
        <is>
          <t>v5.10 無對應列（新列或結構改變）；連結列（以 SRC 格擾動）</t>
        </is>
      </c>
    </row>
    <row r="135">
      <c r="A135" s="2" t="inlineStr">
        <is>
          <t>Train_In</t>
        </is>
      </c>
      <c r="B135" s="2" t="n">
        <v>30</v>
      </c>
      <c r="C135" s="2" t="inlineStr">
        <is>
          <t>SFT 序列長</t>
        </is>
      </c>
      <c r="D135" s="2" t="n">
        <v>108</v>
      </c>
      <c r="E135" s="2" t="n">
        <v>0</v>
      </c>
      <c r="F135" s="2" t="inlineStr">
        <is>
          <t>低</t>
        </is>
      </c>
      <c r="G135" s="2" t="n">
        <v>113</v>
      </c>
      <c r="H135" s="2" t="n">
        <v>0</v>
      </c>
      <c r="I135" s="2" t="inlineStr">
        <is>
          <t>低</t>
        </is>
      </c>
      <c r="J135" s="2" t="n">
        <v>134</v>
      </c>
      <c r="K135" s="2" t="n">
        <v>0</v>
      </c>
      <c r="L135" s="2" t="inlineStr">
        <is>
          <t>低</t>
        </is>
      </c>
      <c r="M135" s="2" t="inlineStr">
        <is>
          <t>O17</t>
        </is>
      </c>
      <c r="N135" s="2" t="inlineStr">
        <is>
          <t>分段不變</t>
        </is>
      </c>
    </row>
    <row r="136">
      <c r="A136" s="2" t="inlineStr">
        <is>
          <t>Alloc</t>
        </is>
      </c>
      <c r="B136" s="2" t="n">
        <v>63</v>
      </c>
      <c r="C136" s="2" t="inlineStr">
        <is>
          <t>免費推論支出占比（支出口徑）＝SRC_DEM_005 ÷ SRC_DEM_004</t>
        </is>
      </c>
      <c r="D136" s="2" t="inlineStr">
        <is>
          <t>—</t>
        </is>
      </c>
      <c r="E136" s="2" t="inlineStr">
        <is>
          <t>—</t>
        </is>
      </c>
      <c r="F136" s="2" t="inlineStr">
        <is>
          <t>—（v5.10 無對應列）</t>
        </is>
      </c>
      <c r="G136" s="2" t="n">
        <v>114</v>
      </c>
      <c r="H136" s="2" t="n">
        <v>0</v>
      </c>
      <c r="I136" s="2" t="inlineStr">
        <is>
          <t>無</t>
        </is>
      </c>
      <c r="J136" s="2" t="n">
        <v>135</v>
      </c>
      <c r="K136" s="2" t="n">
        <v>0</v>
      </c>
      <c r="L136" s="2" t="inlineStr">
        <is>
          <t>無</t>
        </is>
      </c>
      <c r="M136" s="2" t="inlineStr"/>
      <c r="N136" s="2" t="inlineStr">
        <is>
          <t>v5.10 無對應列（新列或結構改變）；連結列（以 SRC 格擾動）</t>
        </is>
      </c>
    </row>
    <row r="137">
      <c r="A137" s="2" t="inlineStr">
        <is>
          <t>Alloc</t>
        </is>
      </c>
      <c r="B137" s="2" t="n">
        <v>64</v>
      </c>
      <c r="C137" s="2" t="inlineStr">
        <is>
          <t>Epoch 每日 token 低（SRC_DEM_013_Lo）</t>
        </is>
      </c>
      <c r="D137" s="2" t="inlineStr">
        <is>
          <t>—</t>
        </is>
      </c>
      <c r="E137" s="2" t="inlineStr">
        <is>
          <t>—</t>
        </is>
      </c>
      <c r="F137" s="2" t="inlineStr">
        <is>
          <t>—（v5.10 無對應列）</t>
        </is>
      </c>
      <c r="G137" s="2" t="n">
        <v>115</v>
      </c>
      <c r="H137" s="2" t="n">
        <v>0</v>
      </c>
      <c r="I137" s="2" t="inlineStr">
        <is>
          <t>無</t>
        </is>
      </c>
      <c r="J137" s="2" t="n">
        <v>136</v>
      </c>
      <c r="K137" s="2" t="n">
        <v>0</v>
      </c>
      <c r="L137" s="2" t="inlineStr">
        <is>
          <t>無</t>
        </is>
      </c>
      <c r="M137" s="2" t="inlineStr"/>
      <c r="N137" s="2" t="inlineStr">
        <is>
          <t>v5.10 無對應列（新列或結構改變）；連結列（以 SRC 格擾動）</t>
        </is>
      </c>
    </row>
    <row r="138">
      <c r="A138" s="2" t="inlineStr">
        <is>
          <t>Alloc</t>
        </is>
      </c>
      <c r="B138" s="2" t="n">
        <v>65</v>
      </c>
      <c r="C138" s="2" t="inlineStr">
        <is>
          <t>Epoch 每日 token 高（SRC_DEM_013_Hi）</t>
        </is>
      </c>
      <c r="D138" s="2" t="inlineStr">
        <is>
          <t>—</t>
        </is>
      </c>
      <c r="E138" s="2" t="inlineStr">
        <is>
          <t>—</t>
        </is>
      </c>
      <c r="F138" s="2" t="inlineStr">
        <is>
          <t>—（v5.10 無對應列）</t>
        </is>
      </c>
      <c r="G138" s="2" t="n">
        <v>116</v>
      </c>
      <c r="H138" s="2" t="n">
        <v>0</v>
      </c>
      <c r="I138" s="2" t="inlineStr">
        <is>
          <t>無</t>
        </is>
      </c>
      <c r="J138" s="2" t="n">
        <v>137</v>
      </c>
      <c r="K138" s="2" t="n">
        <v>0</v>
      </c>
      <c r="L138" s="2" t="inlineStr">
        <is>
          <t>無</t>
        </is>
      </c>
      <c r="M138" s="2" t="inlineStr"/>
      <c r="N138" s="2" t="inlineStr">
        <is>
          <t>v5.10 無對應列（新列或結構改變）；連結列（以 SRC 格擾動）</t>
        </is>
      </c>
    </row>
    <row r="139">
      <c r="A139" s="2" t="inlineStr">
        <is>
          <t>Alloc_In</t>
        </is>
      </c>
      <c r="B139" s="2" t="n">
        <v>9</v>
      </c>
      <c r="C139" s="2" t="inlineStr">
        <is>
          <t>服務世代組合：Hopper</t>
        </is>
      </c>
      <c r="D139" s="2" t="inlineStr">
        <is>
          <t>—</t>
        </is>
      </c>
      <c r="E139" s="2" t="inlineStr">
        <is>
          <t>—</t>
        </is>
      </c>
      <c r="F139" s="2" t="inlineStr">
        <is>
          <t>—（v5.10 無對應列）</t>
        </is>
      </c>
      <c r="G139" s="2" t="n">
        <v>120</v>
      </c>
      <c r="H139" s="2" t="n">
        <v>0</v>
      </c>
      <c r="I139" s="2" t="inlineStr">
        <is>
          <t>無</t>
        </is>
      </c>
      <c r="J139" s="2" t="n">
        <v>138</v>
      </c>
      <c r="K139" s="2" t="n">
        <v>0</v>
      </c>
      <c r="L139" s="2" t="inlineStr">
        <is>
          <t>無</t>
        </is>
      </c>
      <c r="M139" s="2" t="inlineStr"/>
      <c r="N139" s="2" t="inlineStr">
        <is>
          <t>v5.10 無對應列（新列或結構改變）</t>
        </is>
      </c>
    </row>
    <row r="140">
      <c r="A140" s="2" t="inlineStr">
        <is>
          <t>Arch</t>
        </is>
      </c>
      <c r="B140" s="2" t="n">
        <v>9</v>
      </c>
      <c r="C140" s="2" t="inlineStr">
        <is>
          <t>d_model</t>
        </is>
      </c>
      <c r="D140" s="2" t="n">
        <v>127</v>
      </c>
      <c r="E140" s="2" t="n">
        <v>0</v>
      </c>
      <c r="F140" s="2" t="inlineStr">
        <is>
          <t>無</t>
        </is>
      </c>
      <c r="G140" s="2" t="n">
        <v>127</v>
      </c>
      <c r="H140" s="2" t="n">
        <v>0</v>
      </c>
      <c r="I140" s="2" t="inlineStr">
        <is>
          <t>無</t>
        </is>
      </c>
      <c r="J140" s="2" t="n">
        <v>139</v>
      </c>
      <c r="K140" s="2" t="n">
        <v>0</v>
      </c>
      <c r="L140" s="2" t="inlineStr">
        <is>
          <t>無</t>
        </is>
      </c>
      <c r="M140" s="2" t="inlineStr"/>
      <c r="N140" s="2" t="inlineStr">
        <is>
          <t>分段不變</t>
        </is>
      </c>
    </row>
    <row r="141">
      <c r="A141" s="2" t="inlineStr">
        <is>
          <t>Arch</t>
        </is>
      </c>
      <c r="B141" s="2" t="n">
        <v>36</v>
      </c>
      <c r="C141" s="2" t="inlineStr">
        <is>
          <t>MLA 層比例（Astra 情境 1 混合）</t>
        </is>
      </c>
      <c r="D141" s="2" t="inlineStr">
        <is>
          <t>—</t>
        </is>
      </c>
      <c r="E141" s="2" t="inlineStr">
        <is>
          <t>—</t>
        </is>
      </c>
      <c r="F141" s="2" t="inlineStr">
        <is>
          <t>—（v5.10 無對應列）</t>
        </is>
      </c>
      <c r="G141" s="2" t="n">
        <v>128</v>
      </c>
      <c r="H141" s="2" t="n">
        <v>0</v>
      </c>
      <c r="I141" s="2" t="inlineStr">
        <is>
          <t>無</t>
        </is>
      </c>
      <c r="J141" s="2" t="n">
        <v>140</v>
      </c>
      <c r="K141" s="2" t="n">
        <v>0</v>
      </c>
      <c r="L141" s="2" t="inlineStr">
        <is>
          <t>無</t>
        </is>
      </c>
      <c r="M141" s="2" t="inlineStr"/>
      <c r="N141" s="2" t="inlineStr">
        <is>
          <t>v5.10 無對應列（新列或結構改變）</t>
        </is>
      </c>
    </row>
    <row r="142">
      <c r="A142" s="2" t="inlineStr">
        <is>
          <t>Arch</t>
        </is>
      </c>
      <c r="B142" s="2" t="n">
        <v>37</v>
      </c>
      <c r="C142" s="2" t="inlineStr">
        <is>
          <t>GQA KV heads（Astra 情境 3）</t>
        </is>
      </c>
      <c r="D142" s="2" t="inlineStr">
        <is>
          <t>—</t>
        </is>
      </c>
      <c r="E142" s="2" t="inlineStr">
        <is>
          <t>—</t>
        </is>
      </c>
      <c r="F142" s="2" t="inlineStr">
        <is>
          <t>—（v5.10 無對應列）</t>
        </is>
      </c>
      <c r="G142" s="2" t="n">
        <v>129</v>
      </c>
      <c r="H142" s="2" t="n">
        <v>0</v>
      </c>
      <c r="I142" s="2" t="inlineStr">
        <is>
          <t>無</t>
        </is>
      </c>
      <c r="J142" s="2" t="n">
        <v>141</v>
      </c>
      <c r="K142" s="2" t="n">
        <v>0</v>
      </c>
      <c r="L142" s="2" t="inlineStr">
        <is>
          <t>無</t>
        </is>
      </c>
      <c r="M142" s="2" t="inlineStr"/>
      <c r="N142" s="2" t="inlineStr">
        <is>
          <t>v5.10 無對應列（新列或結構改變）</t>
        </is>
      </c>
    </row>
    <row r="143">
      <c r="A143" s="2" t="inlineStr">
        <is>
          <t>Calib</t>
        </is>
      </c>
      <c r="B143" s="2" t="n">
        <v>100</v>
      </c>
      <c r="C143" s="2" t="inlineStr">
        <is>
          <t>總參數</t>
        </is>
      </c>
      <c r="D143" s="2" t="inlineStr">
        <is>
          <t>—</t>
        </is>
      </c>
      <c r="E143" s="2" t="inlineStr">
        <is>
          <t>—</t>
        </is>
      </c>
      <c r="F143" s="2" t="inlineStr">
        <is>
          <t>—（v5.10 無對應列）</t>
        </is>
      </c>
      <c r="G143" s="2" t="n">
        <v>130</v>
      </c>
      <c r="H143" s="2" t="n">
        <v>0</v>
      </c>
      <c r="I143" s="2" t="inlineStr">
        <is>
          <t>無</t>
        </is>
      </c>
      <c r="J143" s="2" t="n">
        <v>142</v>
      </c>
      <c r="K143" s="2" t="n">
        <v>0</v>
      </c>
      <c r="L143" s="2" t="inlineStr">
        <is>
          <t>無</t>
        </is>
      </c>
      <c r="M143" s="2" t="inlineStr"/>
      <c r="N143" s="2" t="inlineStr">
        <is>
          <t>v5.10 無對應列（新列或結構改變）；連結列（以 SRC 格擾動）</t>
        </is>
      </c>
    </row>
    <row r="144">
      <c r="A144" s="2" t="inlineStr">
        <is>
          <t>Calib</t>
        </is>
      </c>
      <c r="B144" s="2" t="n">
        <v>101</v>
      </c>
      <c r="C144" s="2" t="inlineStr">
        <is>
          <t>啟用參數</t>
        </is>
      </c>
      <c r="D144" s="2" t="inlineStr">
        <is>
          <t>—</t>
        </is>
      </c>
      <c r="E144" s="2" t="inlineStr">
        <is>
          <t>—</t>
        </is>
      </c>
      <c r="F144" s="2" t="inlineStr">
        <is>
          <t>—（v5.10 無對應列）</t>
        </is>
      </c>
      <c r="G144" s="2" t="n">
        <v>131</v>
      </c>
      <c r="H144" s="2" t="n">
        <v>0</v>
      </c>
      <c r="I144" s="2" t="inlineStr">
        <is>
          <t>無</t>
        </is>
      </c>
      <c r="J144" s="2" t="n">
        <v>143</v>
      </c>
      <c r="K144" s="2" t="n">
        <v>0</v>
      </c>
      <c r="L144" s="2" t="inlineStr">
        <is>
          <t>無</t>
        </is>
      </c>
      <c r="M144" s="2" t="inlineStr"/>
      <c r="N144" s="2" t="inlineStr">
        <is>
          <t>v5.10 無對應列（新列或結構改變）；連結列（以 SRC 格擾動）</t>
        </is>
      </c>
    </row>
    <row r="145">
      <c r="A145" s="2" t="inlineStr">
        <is>
          <t>Calib</t>
        </is>
      </c>
      <c r="B145" s="2" t="n">
        <v>102</v>
      </c>
      <c r="C145" s="2" t="inlineStr">
        <is>
          <t>層數</t>
        </is>
      </c>
      <c r="D145" s="2" t="inlineStr">
        <is>
          <t>—</t>
        </is>
      </c>
      <c r="E145" s="2" t="inlineStr">
        <is>
          <t>—</t>
        </is>
      </c>
      <c r="F145" s="2" t="inlineStr">
        <is>
          <t>—（v5.10 無對應列）</t>
        </is>
      </c>
      <c r="G145" s="2" t="n">
        <v>132</v>
      </c>
      <c r="H145" s="2" t="n">
        <v>0</v>
      </c>
      <c r="I145" s="2" t="inlineStr">
        <is>
          <t>無</t>
        </is>
      </c>
      <c r="J145" s="2" t="n">
        <v>144</v>
      </c>
      <c r="K145" s="2" t="n">
        <v>0</v>
      </c>
      <c r="L145" s="2" t="inlineStr">
        <is>
          <t>無</t>
        </is>
      </c>
      <c r="M145" s="2" t="inlineStr"/>
      <c r="N145" s="2" t="inlineStr">
        <is>
          <t>v5.10 無對應列（新列或結構改變）；連結列（以 SRC 格擾動）</t>
        </is>
      </c>
    </row>
    <row r="146">
      <c r="A146" s="2" t="inlineStr">
        <is>
          <t>Calib</t>
        </is>
      </c>
      <c r="B146" s="2" t="n">
        <v>103</v>
      </c>
      <c r="C146" s="2" t="inlineStr">
        <is>
          <t>d_model</t>
        </is>
      </c>
      <c r="D146" s="2" t="inlineStr">
        <is>
          <t>—</t>
        </is>
      </c>
      <c r="E146" s="2" t="inlineStr">
        <is>
          <t>—</t>
        </is>
      </c>
      <c r="F146" s="2" t="inlineStr">
        <is>
          <t>—（v5.10 無對應列）</t>
        </is>
      </c>
      <c r="G146" s="2" t="n">
        <v>133</v>
      </c>
      <c r="H146" s="2" t="n">
        <v>0</v>
      </c>
      <c r="I146" s="2" t="inlineStr">
        <is>
          <t>無</t>
        </is>
      </c>
      <c r="J146" s="2" t="n">
        <v>145</v>
      </c>
      <c r="K146" s="2" t="n">
        <v>0</v>
      </c>
      <c r="L146" s="2" t="inlineStr">
        <is>
          <t>無</t>
        </is>
      </c>
      <c r="M146" s="2" t="inlineStr"/>
      <c r="N146" s="2" t="inlineStr">
        <is>
          <t>v5.10 無對應列（新列或結構改變）；連結列（以 SRC 格擾動）</t>
        </is>
      </c>
    </row>
    <row r="147">
      <c r="A147" s="2" t="inlineStr">
        <is>
          <t>Calib</t>
        </is>
      </c>
      <c r="B147" s="2" t="n">
        <v>104</v>
      </c>
      <c r="C147" s="2" t="inlineStr">
        <is>
          <t>routed experts</t>
        </is>
      </c>
      <c r="D147" s="2" t="inlineStr">
        <is>
          <t>—</t>
        </is>
      </c>
      <c r="E147" s="2" t="inlineStr">
        <is>
          <t>—</t>
        </is>
      </c>
      <c r="F147" s="2" t="inlineStr">
        <is>
          <t>—（v5.10 無對應列）</t>
        </is>
      </c>
      <c r="G147" s="2" t="n">
        <v>134</v>
      </c>
      <c r="H147" s="2" t="n">
        <v>0</v>
      </c>
      <c r="I147" s="2" t="inlineStr">
        <is>
          <t>無</t>
        </is>
      </c>
      <c r="J147" s="2" t="n">
        <v>146</v>
      </c>
      <c r="K147" s="2" t="n">
        <v>0</v>
      </c>
      <c r="L147" s="2" t="inlineStr">
        <is>
          <t>無</t>
        </is>
      </c>
      <c r="M147" s="2" t="inlineStr"/>
      <c r="N147" s="2" t="inlineStr">
        <is>
          <t>v5.10 無對應列（新列或結構改變）；連結列（以 SRC 格擾動）</t>
        </is>
      </c>
    </row>
    <row r="148">
      <c r="A148" s="2" t="inlineStr">
        <is>
          <t>Calib</t>
        </is>
      </c>
      <c r="B148" s="2" t="n">
        <v>105</v>
      </c>
      <c r="C148" s="2" t="inlineStr">
        <is>
          <t>啟用 experts</t>
        </is>
      </c>
      <c r="D148" s="2" t="inlineStr">
        <is>
          <t>—</t>
        </is>
      </c>
      <c r="E148" s="2" t="inlineStr">
        <is>
          <t>—</t>
        </is>
      </c>
      <c r="F148" s="2" t="inlineStr">
        <is>
          <t>—（v5.10 無對應列）</t>
        </is>
      </c>
      <c r="G148" s="2" t="n">
        <v>135</v>
      </c>
      <c r="H148" s="2" t="n">
        <v>0</v>
      </c>
      <c r="I148" s="2" t="inlineStr">
        <is>
          <t>無</t>
        </is>
      </c>
      <c r="J148" s="2" t="n">
        <v>147</v>
      </c>
      <c r="K148" s="2" t="n">
        <v>0</v>
      </c>
      <c r="L148" s="2" t="inlineStr">
        <is>
          <t>無</t>
        </is>
      </c>
      <c r="M148" s="2" t="inlineStr"/>
      <c r="N148" s="2" t="inlineStr">
        <is>
          <t>v5.10 無對應列（新列或結構改變）；連結列（以 SRC 格擾動）</t>
        </is>
      </c>
    </row>
    <row r="149">
      <c r="A149" s="2" t="inlineStr">
        <is>
          <t>Calib</t>
        </is>
      </c>
      <c r="B149" s="2" t="n">
        <v>106</v>
      </c>
      <c r="C149" s="2" t="inlineStr">
        <is>
          <t>shared experts</t>
        </is>
      </c>
      <c r="D149" s="2" t="inlineStr">
        <is>
          <t>—</t>
        </is>
      </c>
      <c r="E149" s="2" t="inlineStr">
        <is>
          <t>—</t>
        </is>
      </c>
      <c r="F149" s="2" t="inlineStr">
        <is>
          <t>—（v5.10 無對應列）</t>
        </is>
      </c>
      <c r="G149" s="2" t="n">
        <v>136</v>
      </c>
      <c r="H149" s="2" t="n">
        <v>0</v>
      </c>
      <c r="I149" s="2" t="inlineStr">
        <is>
          <t>無</t>
        </is>
      </c>
      <c r="J149" s="2" t="n">
        <v>148</v>
      </c>
      <c r="K149" s="2" t="n">
        <v>0</v>
      </c>
      <c r="L149" s="2" t="inlineStr">
        <is>
          <t>無</t>
        </is>
      </c>
      <c r="M149" s="2" t="inlineStr"/>
      <c r="N149" s="2" t="inlineStr">
        <is>
          <t>v5.10 無對應列（新列或結構改變）；連結列（以 SRC 格擾動）</t>
        </is>
      </c>
    </row>
    <row r="150">
      <c r="A150" s="2" t="inlineStr">
        <is>
          <t>Calib</t>
        </is>
      </c>
      <c r="B150" s="2" t="n">
        <v>107</v>
      </c>
      <c r="C150" s="2" t="inlineStr">
        <is>
          <t>vocab</t>
        </is>
      </c>
      <c r="D150" s="2" t="inlineStr">
        <is>
          <t>—</t>
        </is>
      </c>
      <c r="E150" s="2" t="inlineStr">
        <is>
          <t>—</t>
        </is>
      </c>
      <c r="F150" s="2" t="inlineStr">
        <is>
          <t>—（v5.10 無對應列）</t>
        </is>
      </c>
      <c r="G150" s="2" t="n">
        <v>137</v>
      </c>
      <c r="H150" s="2" t="n">
        <v>0</v>
      </c>
      <c r="I150" s="2" t="inlineStr">
        <is>
          <t>無</t>
        </is>
      </c>
      <c r="J150" s="2" t="n">
        <v>149</v>
      </c>
      <c r="K150" s="2" t="n">
        <v>0</v>
      </c>
      <c r="L150" s="2" t="inlineStr">
        <is>
          <t>無</t>
        </is>
      </c>
      <c r="M150" s="2" t="inlineStr"/>
      <c r="N150" s="2" t="inlineStr">
        <is>
          <t>v5.10 無對應列（新列或結構改變）；連結列（以 SRC 格擾動）</t>
        </is>
      </c>
    </row>
    <row r="151">
      <c r="A151" s="2" t="inlineStr">
        <is>
          <t>Calib</t>
        </is>
      </c>
      <c r="B151" s="2" t="n">
        <v>108</v>
      </c>
      <c r="C151" s="2" t="inlineStr">
        <is>
          <t>KV bytes/token（MLA 576 × 61 層，FP8）</t>
        </is>
      </c>
      <c r="D151" s="2" t="inlineStr">
        <is>
          <t>—</t>
        </is>
      </c>
      <c r="E151" s="2" t="inlineStr">
        <is>
          <t>—</t>
        </is>
      </c>
      <c r="F151" s="2" t="inlineStr">
        <is>
          <t>—（v5.10 無對應列）</t>
        </is>
      </c>
      <c r="G151" s="2" t="n">
        <v>138</v>
      </c>
      <c r="H151" s="2" t="n">
        <v>0</v>
      </c>
      <c r="I151" s="2" t="inlineStr">
        <is>
          <t>無</t>
        </is>
      </c>
      <c r="J151" s="2" t="n">
        <v>150</v>
      </c>
      <c r="K151" s="2" t="n">
        <v>0</v>
      </c>
      <c r="L151" s="2" t="inlineStr">
        <is>
          <t>無</t>
        </is>
      </c>
      <c r="M151" s="2" t="inlineStr"/>
      <c r="N151" s="2" t="inlineStr">
        <is>
          <t>v5.10 無對應列（新列或結構改變）；連結列（以 SRC 格擾動）</t>
        </is>
      </c>
    </row>
    <row r="152">
      <c r="A152" s="2" t="inlineStr">
        <is>
          <t>Calib</t>
        </is>
      </c>
      <c r="B152" s="2" t="n">
        <v>110</v>
      </c>
      <c r="C152" s="2" t="inlineStr">
        <is>
          <t>平均 ISL（MLCommons 資料集）</t>
        </is>
      </c>
      <c r="D152" s="2" t="inlineStr">
        <is>
          <t>—</t>
        </is>
      </c>
      <c r="E152" s="2" t="inlineStr">
        <is>
          <t>—</t>
        </is>
      </c>
      <c r="F152" s="2" t="inlineStr">
        <is>
          <t>—（v5.10 無對應列）</t>
        </is>
      </c>
      <c r="G152" s="2" t="n">
        <v>139</v>
      </c>
      <c r="H152" s="2" t="n">
        <v>0</v>
      </c>
      <c r="I152" s="2" t="inlineStr">
        <is>
          <t>無</t>
        </is>
      </c>
      <c r="J152" s="2" t="n">
        <v>151</v>
      </c>
      <c r="K152" s="2" t="n">
        <v>0</v>
      </c>
      <c r="L152" s="2" t="inlineStr">
        <is>
          <t>無</t>
        </is>
      </c>
      <c r="M152" s="2" t="inlineStr"/>
      <c r="N152" s="2" t="inlineStr">
        <is>
          <t>v5.10 無對應列（新列或結構改變）；連結列（以 SRC 格擾動）</t>
        </is>
      </c>
    </row>
    <row r="153">
      <c r="A153" s="2" t="inlineStr">
        <is>
          <t>Calib</t>
        </is>
      </c>
      <c r="B153" s="2" t="n">
        <v>111</v>
      </c>
      <c r="C153" s="2" t="inlineStr">
        <is>
          <t>平均 OSL</t>
        </is>
      </c>
      <c r="D153" s="2" t="inlineStr">
        <is>
          <t>—</t>
        </is>
      </c>
      <c r="E153" s="2" t="inlineStr">
        <is>
          <t>—</t>
        </is>
      </c>
      <c r="F153" s="2" t="inlineStr">
        <is>
          <t>—（v5.10 無對應列）</t>
        </is>
      </c>
      <c r="G153" s="2" t="n">
        <v>140</v>
      </c>
      <c r="H153" s="2" t="n">
        <v>0</v>
      </c>
      <c r="I153" s="2" t="inlineStr">
        <is>
          <t>無</t>
        </is>
      </c>
      <c r="J153" s="2" t="n">
        <v>152</v>
      </c>
      <c r="K153" s="2" t="n">
        <v>0</v>
      </c>
      <c r="L153" s="2" t="inlineStr">
        <is>
          <t>無</t>
        </is>
      </c>
      <c r="M153" s="2" t="inlineStr"/>
      <c r="N153" s="2" t="inlineStr">
        <is>
          <t>v5.10 無對應列（新列或結構改變）；連結列（以 SRC 格擾動）</t>
        </is>
      </c>
    </row>
    <row r="154">
      <c r="A154" s="2" t="inlineStr">
        <is>
          <t>Calib</t>
        </is>
      </c>
      <c r="B154" s="2" t="n">
        <v>120</v>
      </c>
      <c r="C154" s="2" t="inlineStr">
        <is>
          <t>MLPerf 實測輸出 tok/s/GPU（總量 ÷ 72）</t>
        </is>
      </c>
      <c r="D154" s="2" t="inlineStr">
        <is>
          <t>—</t>
        </is>
      </c>
      <c r="E154" s="2" t="inlineStr">
        <is>
          <t>—</t>
        </is>
      </c>
      <c r="F154" s="2" t="inlineStr">
        <is>
          <t>—（v5.10 無對應列）</t>
        </is>
      </c>
      <c r="G154" s="2" t="n">
        <v>141</v>
      </c>
      <c r="H154" s="2" t="n">
        <v>0</v>
      </c>
      <c r="I154" s="2" t="inlineStr">
        <is>
          <t>無</t>
        </is>
      </c>
      <c r="J154" s="2" t="n">
        <v>153</v>
      </c>
      <c r="K154" s="2" t="n">
        <v>0</v>
      </c>
      <c r="L154" s="2" t="inlineStr">
        <is>
          <t>無</t>
        </is>
      </c>
      <c r="M154" s="2" t="inlineStr"/>
      <c r="N154" s="2" t="inlineStr">
        <is>
          <t>v5.10 無對應列（新列或結構改變）；連結列（以 SRC 格擾動）</t>
        </is>
      </c>
    </row>
    <row r="155">
      <c r="A155" s="2" t="inlineStr">
        <is>
          <t>Cap_In</t>
        </is>
      </c>
      <c r="B155" s="2" t="n">
        <v>14</v>
      </c>
      <c r="C155" s="2" t="inlineStr">
        <is>
          <t>能力 → 單價彈性 ε（單價 ∝ 有效算力倍數^ε）</t>
        </is>
      </c>
      <c r="D155" s="2" t="n">
        <v>144</v>
      </c>
      <c r="E155" s="2" t="n">
        <v>0</v>
      </c>
      <c r="F155" s="2" t="inlineStr">
        <is>
          <t>無</t>
        </is>
      </c>
      <c r="G155" s="2" t="n">
        <v>142</v>
      </c>
      <c r="H155" s="2" t="n">
        <v>0</v>
      </c>
      <c r="I155" s="2" t="inlineStr">
        <is>
          <t>無</t>
        </is>
      </c>
      <c r="J155" s="2" t="n">
        <v>154</v>
      </c>
      <c r="K155" s="2" t="n">
        <v>0</v>
      </c>
      <c r="L155" s="2" t="inlineStr">
        <is>
          <t>無</t>
        </is>
      </c>
      <c r="M155" s="2" t="inlineStr"/>
      <c r="N155" s="2" t="inlineStr">
        <is>
          <t>分段不變</t>
        </is>
      </c>
    </row>
    <row r="156">
      <c r="A156" s="2" t="inlineStr">
        <is>
          <t>Cap_In</t>
        </is>
      </c>
      <c r="B156" s="2" t="n">
        <v>15</v>
      </c>
      <c r="C156" s="2" t="inlineStr">
        <is>
          <t>有效訓練算力倍數（相對 Block 3 基準；情境用）</t>
        </is>
      </c>
      <c r="D156" s="2" t="n">
        <v>145</v>
      </c>
      <c r="E156" s="2" t="n">
        <v>0</v>
      </c>
      <c r="F156" s="2" t="inlineStr">
        <is>
          <t>無</t>
        </is>
      </c>
      <c r="G156" s="2" t="n">
        <v>143</v>
      </c>
      <c r="H156" s="2" t="n">
        <v>0</v>
      </c>
      <c r="I156" s="2" t="inlineStr">
        <is>
          <t>無</t>
        </is>
      </c>
      <c r="J156" s="2" t="n">
        <v>155</v>
      </c>
      <c r="K156" s="2" t="n">
        <v>0</v>
      </c>
      <c r="L156" s="2" t="inlineStr">
        <is>
          <t>無</t>
        </is>
      </c>
      <c r="M156" s="2" t="inlineStr"/>
      <c r="N156" s="2" t="inlineStr">
        <is>
          <t>分段不變</t>
        </is>
      </c>
    </row>
    <row r="157">
      <c r="A157" s="2" t="inlineStr">
        <is>
          <t>Cap_In</t>
        </is>
      </c>
      <c r="B157" s="2" t="n">
        <v>17</v>
      </c>
      <c r="C157" s="2" t="inlineStr">
        <is>
          <t>尖峰時數（每週）</t>
        </is>
      </c>
      <c r="D157" s="2" t="inlineStr">
        <is>
          <t>—</t>
        </is>
      </c>
      <c r="E157" s="2" t="inlineStr">
        <is>
          <t>—</t>
        </is>
      </c>
      <c r="F157" s="2" t="inlineStr">
        <is>
          <t>—（v5.10 無對應列）</t>
        </is>
      </c>
      <c r="G157" s="2" t="n">
        <v>144</v>
      </c>
      <c r="H157" s="2" t="n">
        <v>0</v>
      </c>
      <c r="I157" s="2" t="inlineStr">
        <is>
          <t>無</t>
        </is>
      </c>
      <c r="J157" s="2" t="n">
        <v>156</v>
      </c>
      <c r="K157" s="2" t="n">
        <v>0</v>
      </c>
      <c r="L157" s="2" t="inlineStr">
        <is>
          <t>無</t>
        </is>
      </c>
      <c r="M157" s="2" t="inlineStr"/>
      <c r="N157" s="2" t="inlineStr">
        <is>
          <t>v5.10 無對應列（新列或結構改變）；連結列（以 SRC 格擾動）</t>
        </is>
      </c>
    </row>
    <row r="158">
      <c r="A158" s="2" t="inlineStr">
        <is>
          <t>Cap_In</t>
        </is>
      </c>
      <c r="B158" s="2" t="n">
        <v>18</v>
      </c>
      <c r="C158" s="2" t="inlineStr">
        <is>
          <t>離峰價 ÷ 尖峰價</t>
        </is>
      </c>
      <c r="D158" s="2" t="inlineStr">
        <is>
          <t>—</t>
        </is>
      </c>
      <c r="E158" s="2" t="inlineStr">
        <is>
          <t>—</t>
        </is>
      </c>
      <c r="F158" s="2" t="inlineStr">
        <is>
          <t>—（v5.10 無對應列）</t>
        </is>
      </c>
      <c r="G158" s="2" t="n">
        <v>145</v>
      </c>
      <c r="H158" s="2" t="n">
        <v>0</v>
      </c>
      <c r="I158" s="2" t="inlineStr">
        <is>
          <t>無</t>
        </is>
      </c>
      <c r="J158" s="2" t="n">
        <v>157</v>
      </c>
      <c r="K158" s="2" t="n">
        <v>0</v>
      </c>
      <c r="L158" s="2" t="inlineStr">
        <is>
          <t>無</t>
        </is>
      </c>
      <c r="M158" s="2" t="inlineStr"/>
      <c r="N158" s="2" t="inlineStr">
        <is>
          <t>v5.10 無對應列（新列或結構改變）；連結列（以 SRC 格擾動）</t>
        </is>
      </c>
    </row>
    <row r="159">
      <c r="A159" s="2" t="inlineStr">
        <is>
          <t>Cap_In</t>
        </is>
      </c>
      <c r="B159" s="2" t="n">
        <v>22</v>
      </c>
      <c r="C159" s="2" t="inlineStr">
        <is>
          <t>商業壽命 基準</t>
        </is>
      </c>
      <c r="D159" s="2" t="n">
        <v>113</v>
      </c>
      <c r="E159" s="2" t="n">
        <v>0</v>
      </c>
      <c r="F159" s="2" t="inlineStr">
        <is>
          <t>無</t>
        </is>
      </c>
      <c r="G159" s="2" t="n">
        <v>146</v>
      </c>
      <c r="H159" s="2" t="n">
        <v>0</v>
      </c>
      <c r="I159" s="2" t="inlineStr">
        <is>
          <t>無</t>
        </is>
      </c>
      <c r="J159" s="2" t="n">
        <v>158</v>
      </c>
      <c r="K159" s="2" t="n">
        <v>0</v>
      </c>
      <c r="L159" s="2" t="inlineStr">
        <is>
          <t>無</t>
        </is>
      </c>
      <c r="M159" s="2" t="inlineStr"/>
      <c r="N159" s="2" t="inlineStr">
        <is>
          <t>分段不變</t>
        </is>
      </c>
    </row>
    <row r="160">
      <c r="A160" s="2" t="inlineStr">
        <is>
          <t>Cap_In</t>
        </is>
      </c>
      <c r="B160" s="2" t="n">
        <v>41</v>
      </c>
      <c r="C160" s="2" t="inlineStr">
        <is>
          <t>SSD 取得成本</t>
        </is>
      </c>
      <c r="D160" s="2" t="n">
        <v>148</v>
      </c>
      <c r="E160" s="2" t="n">
        <v>0</v>
      </c>
      <c r="F160" s="2" t="inlineStr">
        <is>
          <t>無</t>
        </is>
      </c>
      <c r="G160" s="2" t="n">
        <v>149</v>
      </c>
      <c r="H160" s="2" t="n">
        <v>0</v>
      </c>
      <c r="I160" s="2" t="inlineStr">
        <is>
          <t>無</t>
        </is>
      </c>
      <c r="J160" s="2" t="n">
        <v>159</v>
      </c>
      <c r="K160" s="2" t="n">
        <v>0</v>
      </c>
      <c r="L160" s="2" t="inlineStr">
        <is>
          <t>無</t>
        </is>
      </c>
      <c r="M160" s="2" t="inlineStr"/>
      <c r="N160" s="2" t="inlineStr">
        <is>
          <t>分段不變</t>
        </is>
      </c>
    </row>
    <row r="161">
      <c r="A161" s="2" t="inlineStr">
        <is>
          <t>Cap_In</t>
        </is>
      </c>
      <c r="B161" s="2" t="n">
        <v>42</v>
      </c>
      <c r="C161" s="2" t="inlineStr">
        <is>
          <t>SSD 折舊年限</t>
        </is>
      </c>
      <c r="D161" s="2" t="n">
        <v>149</v>
      </c>
      <c r="E161" s="2" t="n">
        <v>0</v>
      </c>
      <c r="F161" s="2" t="inlineStr">
        <is>
          <t>無</t>
        </is>
      </c>
      <c r="G161" s="2" t="n">
        <v>150</v>
      </c>
      <c r="H161" s="2" t="n">
        <v>0</v>
      </c>
      <c r="I161" s="2" t="inlineStr">
        <is>
          <t>無</t>
        </is>
      </c>
      <c r="J161" s="2" t="n">
        <v>160</v>
      </c>
      <c r="K161" s="2" t="n">
        <v>0</v>
      </c>
      <c r="L161" s="2" t="inlineStr">
        <is>
          <t>無</t>
        </is>
      </c>
      <c r="M161" s="2" t="inlineStr"/>
      <c r="N161" s="2" t="inlineStr">
        <is>
          <t>分段不變</t>
        </is>
      </c>
    </row>
    <row r="162">
      <c r="A162" s="2" t="inlineStr">
        <is>
          <t>Cap_In</t>
        </is>
      </c>
      <c r="B162" s="2" t="n">
        <v>49</v>
      </c>
      <c r="C162" s="2" t="inlineStr">
        <is>
          <t>Claude Fable 5.1</t>
        </is>
      </c>
      <c r="D162" s="2" t="inlineStr">
        <is>
          <t>—</t>
        </is>
      </c>
      <c r="E162" s="2" t="inlineStr">
        <is>
          <t>—</t>
        </is>
      </c>
      <c r="F162" s="2" t="inlineStr">
        <is>
          <t>—（v5.10 無對應列）</t>
        </is>
      </c>
      <c r="G162" s="2" t="n">
        <v>151</v>
      </c>
      <c r="H162" s="2" t="n">
        <v>0</v>
      </c>
      <c r="I162" s="2" t="inlineStr">
        <is>
          <t>無</t>
        </is>
      </c>
      <c r="J162" s="2" t="n">
        <v>161</v>
      </c>
      <c r="K162" s="2" t="n">
        <v>0</v>
      </c>
      <c r="L162" s="2" t="inlineStr">
        <is>
          <t>無</t>
        </is>
      </c>
      <c r="M162" s="2" t="inlineStr"/>
      <c r="N162" s="2" t="inlineStr">
        <is>
          <t>v5.10 無對應列（新列或結構改變）</t>
        </is>
      </c>
    </row>
    <row r="163">
      <c r="A163" s="2" t="inlineStr">
        <is>
          <t>Cap_In</t>
        </is>
      </c>
      <c r="B163" s="2" t="n">
        <v>50</v>
      </c>
      <c r="C163" s="2" t="inlineStr">
        <is>
          <t>Claude Opus 5</t>
        </is>
      </c>
      <c r="D163" s="2" t="inlineStr">
        <is>
          <t>—</t>
        </is>
      </c>
      <c r="E163" s="2" t="inlineStr">
        <is>
          <t>—</t>
        </is>
      </c>
      <c r="F163" s="2" t="inlineStr">
        <is>
          <t>—（v5.10 無對應列）</t>
        </is>
      </c>
      <c r="G163" s="2" t="n">
        <v>152</v>
      </c>
      <c r="H163" s="2" t="n">
        <v>0</v>
      </c>
      <c r="I163" s="2" t="inlineStr">
        <is>
          <t>無</t>
        </is>
      </c>
      <c r="J163" s="2" t="n">
        <v>162</v>
      </c>
      <c r="K163" s="2" t="n">
        <v>0</v>
      </c>
      <c r="L163" s="2" t="inlineStr">
        <is>
          <t>無</t>
        </is>
      </c>
      <c r="M163" s="2" t="inlineStr"/>
      <c r="N163" s="2" t="inlineStr">
        <is>
          <t>v5.10 無對應列（新列或結構改變）</t>
        </is>
      </c>
    </row>
    <row r="164">
      <c r="A164" s="2" t="inlineStr">
        <is>
          <t>Cap_In</t>
        </is>
      </c>
      <c r="B164" s="2" t="n">
        <v>51</v>
      </c>
      <c r="C164" s="2" t="inlineStr">
        <is>
          <t>Claude Opus 5.5</t>
        </is>
      </c>
      <c r="D164" s="2" t="inlineStr">
        <is>
          <t>—</t>
        </is>
      </c>
      <c r="E164" s="2" t="inlineStr">
        <is>
          <t>—</t>
        </is>
      </c>
      <c r="F164" s="2" t="inlineStr">
        <is>
          <t>—（v5.10 無對應列）</t>
        </is>
      </c>
      <c r="G164" s="2" t="n">
        <v>153</v>
      </c>
      <c r="H164" s="2" t="n">
        <v>0</v>
      </c>
      <c r="I164" s="2" t="inlineStr">
        <is>
          <t>無</t>
        </is>
      </c>
      <c r="J164" s="2" t="n">
        <v>163</v>
      </c>
      <c r="K164" s="2" t="n">
        <v>0</v>
      </c>
      <c r="L164" s="2" t="inlineStr">
        <is>
          <t>無</t>
        </is>
      </c>
      <c r="M164" s="2" t="inlineStr"/>
      <c r="N164" s="2" t="inlineStr">
        <is>
          <t>v5.10 無對應列（新列或結構改變）</t>
        </is>
      </c>
    </row>
    <row r="165">
      <c r="A165" s="2" t="inlineStr">
        <is>
          <t>Cap_In</t>
        </is>
      </c>
      <c r="B165" s="2" t="n">
        <v>52</v>
      </c>
      <c r="C165" s="2" t="inlineStr">
        <is>
          <t>DeepSeek V4.1-Flash</t>
        </is>
      </c>
      <c r="D165" s="2" t="inlineStr">
        <is>
          <t>—</t>
        </is>
      </c>
      <c r="E165" s="2" t="inlineStr">
        <is>
          <t>—</t>
        </is>
      </c>
      <c r="F165" s="2" t="inlineStr">
        <is>
          <t>—（v5.10 無對應列）</t>
        </is>
      </c>
      <c r="G165" s="2" t="n">
        <v>154</v>
      </c>
      <c r="H165" s="2" t="n">
        <v>0</v>
      </c>
      <c r="I165" s="2" t="inlineStr">
        <is>
          <t>無</t>
        </is>
      </c>
      <c r="J165" s="2" t="n">
        <v>164</v>
      </c>
      <c r="K165" s="2" t="n">
        <v>0</v>
      </c>
      <c r="L165" s="2" t="inlineStr">
        <is>
          <t>無</t>
        </is>
      </c>
      <c r="M165" s="2" t="inlineStr"/>
      <c r="N165" s="2" t="inlineStr">
        <is>
          <t>v5.10 無對應列（新列或結構改變）</t>
        </is>
      </c>
    </row>
    <row r="166">
      <c r="A166" s="2" t="inlineStr">
        <is>
          <t>Cap_In</t>
        </is>
      </c>
      <c r="B166" s="2" t="n">
        <v>53</v>
      </c>
      <c r="C166" s="2" t="inlineStr">
        <is>
          <t>DeepSeek V4-Pro-0813</t>
        </is>
      </c>
      <c r="D166" s="2" t="inlineStr">
        <is>
          <t>—</t>
        </is>
      </c>
      <c r="E166" s="2" t="inlineStr">
        <is>
          <t>—</t>
        </is>
      </c>
      <c r="F166" s="2" t="inlineStr">
        <is>
          <t>—（v5.10 無對應列）</t>
        </is>
      </c>
      <c r="G166" s="2" t="n">
        <v>155</v>
      </c>
      <c r="H166" s="2" t="n">
        <v>0</v>
      </c>
      <c r="I166" s="2" t="inlineStr">
        <is>
          <t>無</t>
        </is>
      </c>
      <c r="J166" s="2" t="n">
        <v>165</v>
      </c>
      <c r="K166" s="2" t="n">
        <v>0</v>
      </c>
      <c r="L166" s="2" t="inlineStr">
        <is>
          <t>無</t>
        </is>
      </c>
      <c r="M166" s="2" t="inlineStr"/>
      <c r="N166" s="2" t="inlineStr">
        <is>
          <t>v5.10 無對應列（新列或結構改變）</t>
        </is>
      </c>
    </row>
    <row r="167">
      <c r="A167" s="2" t="inlineStr">
        <is>
          <t>Cap_In</t>
        </is>
      </c>
      <c r="B167" s="2" t="n">
        <v>55</v>
      </c>
      <c r="C167" s="2" t="inlineStr">
        <is>
          <t>GLM-5.3-Flash</t>
        </is>
      </c>
      <c r="D167" s="2" t="inlineStr">
        <is>
          <t>—</t>
        </is>
      </c>
      <c r="E167" s="2" t="inlineStr">
        <is>
          <t>—</t>
        </is>
      </c>
      <c r="F167" s="2" t="inlineStr">
        <is>
          <t>—（v5.10 無對應列）</t>
        </is>
      </c>
      <c r="G167" s="2" t="n">
        <v>157</v>
      </c>
      <c r="H167" s="2" t="n">
        <v>0</v>
      </c>
      <c r="I167" s="2" t="inlineStr">
        <is>
          <t>無</t>
        </is>
      </c>
      <c r="J167" s="2" t="n">
        <v>166</v>
      </c>
      <c r="K167" s="2" t="n">
        <v>0</v>
      </c>
      <c r="L167" s="2" t="inlineStr">
        <is>
          <t>無</t>
        </is>
      </c>
      <c r="M167" s="2" t="inlineStr"/>
      <c r="N167" s="2" t="inlineStr">
        <is>
          <t>v5.10 無對應列（新列或結構改變）</t>
        </is>
      </c>
    </row>
    <row r="168">
      <c r="A168" s="2" t="inlineStr">
        <is>
          <t>Cap_In</t>
        </is>
      </c>
      <c r="B168" s="2" t="n">
        <v>56</v>
      </c>
      <c r="C168" s="2" t="inlineStr">
        <is>
          <t>Qwen3.8-Max</t>
        </is>
      </c>
      <c r="D168" s="2" t="inlineStr">
        <is>
          <t>—</t>
        </is>
      </c>
      <c r="E168" s="2" t="inlineStr">
        <is>
          <t>—</t>
        </is>
      </c>
      <c r="F168" s="2" t="inlineStr">
        <is>
          <t>—（v5.10 無對應列）</t>
        </is>
      </c>
      <c r="G168" s="2" t="n">
        <v>158</v>
      </c>
      <c r="H168" s="2" t="n">
        <v>0</v>
      </c>
      <c r="I168" s="2" t="inlineStr">
        <is>
          <t>無</t>
        </is>
      </c>
      <c r="J168" s="2" t="n">
        <v>167</v>
      </c>
      <c r="K168" s="2" t="n">
        <v>0</v>
      </c>
      <c r="L168" s="2" t="inlineStr">
        <is>
          <t>無</t>
        </is>
      </c>
      <c r="M168" s="2" t="inlineStr"/>
      <c r="N168" s="2" t="inlineStr">
        <is>
          <t>v5.10 無對應列（新列或結構改變）</t>
        </is>
      </c>
    </row>
    <row r="169">
      <c r="A169" s="2" t="inlineStr">
        <is>
          <t>Cap_In</t>
        </is>
      </c>
      <c r="B169" s="2" t="n">
        <v>57</v>
      </c>
      <c r="C169" s="2" t="inlineStr">
        <is>
          <t>Kimi K3</t>
        </is>
      </c>
      <c r="D169" s="2" t="inlineStr">
        <is>
          <t>—</t>
        </is>
      </c>
      <c r="E169" s="2" t="inlineStr">
        <is>
          <t>—</t>
        </is>
      </c>
      <c r="F169" s="2" t="inlineStr">
        <is>
          <t>—（v5.10 無對應列）</t>
        </is>
      </c>
      <c r="G169" s="2" t="n">
        <v>159</v>
      </c>
      <c r="H169" s="2" t="n">
        <v>0</v>
      </c>
      <c r="I169" s="2" t="inlineStr">
        <is>
          <t>無</t>
        </is>
      </c>
      <c r="J169" s="2" t="n">
        <v>168</v>
      </c>
      <c r="K169" s="2" t="n">
        <v>0</v>
      </c>
      <c r="L169" s="2" t="inlineStr">
        <is>
          <t>無</t>
        </is>
      </c>
      <c r="M169" s="2" t="inlineStr"/>
      <c r="N169" s="2" t="inlineStr">
        <is>
          <t>v5.10 無對應列（新列或結構改變）</t>
        </is>
      </c>
    </row>
    <row r="170">
      <c r="A170" s="2" t="inlineStr">
        <is>
          <t>Cap_In</t>
        </is>
      </c>
      <c r="B170" s="2" t="n">
        <v>58</v>
      </c>
      <c r="C170" s="2" t="inlineStr">
        <is>
          <t>MiniMax M3</t>
        </is>
      </c>
      <c r="D170" s="2" t="inlineStr">
        <is>
          <t>—</t>
        </is>
      </c>
      <c r="E170" s="2" t="inlineStr">
        <is>
          <t>—</t>
        </is>
      </c>
      <c r="F170" s="2" t="inlineStr">
        <is>
          <t>—（v5.10 無對應列）</t>
        </is>
      </c>
      <c r="G170" s="2" t="n">
        <v>160</v>
      </c>
      <c r="H170" s="2" t="n">
        <v>0</v>
      </c>
      <c r="I170" s="2" t="inlineStr">
        <is>
          <t>無</t>
        </is>
      </c>
      <c r="J170" s="2" t="n">
        <v>169</v>
      </c>
      <c r="K170" s="2" t="n">
        <v>0</v>
      </c>
      <c r="L170" s="2" t="inlineStr">
        <is>
          <t>無</t>
        </is>
      </c>
      <c r="M170" s="2" t="inlineStr"/>
      <c r="N170" s="2" t="inlineStr">
        <is>
          <t>v5.10 無對應列（新列或結構改變）</t>
        </is>
      </c>
    </row>
    <row r="171">
      <c r="A171" s="2" t="inlineStr">
        <is>
          <t>Har_In</t>
        </is>
      </c>
      <c r="B171" s="2" t="n">
        <v>8</v>
      </c>
      <c r="C171" s="2" t="inlineStr">
        <is>
          <t>可靠度下限 p_min（成功任務成本前緣只比較 p ≥ 此值者）</t>
        </is>
      </c>
      <c r="D171" s="2" t="n">
        <v>122</v>
      </c>
      <c r="E171" s="2" t="n">
        <v>0</v>
      </c>
      <c r="F171" s="2" t="inlineStr">
        <is>
          <t>無</t>
        </is>
      </c>
      <c r="G171" s="2" t="n">
        <v>161</v>
      </c>
      <c r="H171" s="2" t="n">
        <v>0</v>
      </c>
      <c r="I171" s="2" t="inlineStr">
        <is>
          <t>無</t>
        </is>
      </c>
      <c r="J171" s="2" t="n">
        <v>170</v>
      </c>
      <c r="K171" s="2" t="n">
        <v>0</v>
      </c>
      <c r="L171" s="2" t="inlineStr">
        <is>
          <t>無</t>
        </is>
      </c>
      <c r="M171" s="2" t="inlineStr"/>
      <c r="N171" s="2" t="inlineStr">
        <is>
          <t>分段不變</t>
        </is>
      </c>
    </row>
    <row r="172">
      <c r="A172" s="2" t="inlineStr">
        <is>
          <t>Har_In</t>
        </is>
      </c>
      <c r="B172" s="2" t="n">
        <v>24</v>
      </c>
      <c r="C172" s="2" t="inlineStr">
        <is>
          <t>輪數倍數</t>
        </is>
      </c>
      <c r="D172" s="2" t="n">
        <v>150</v>
      </c>
      <c r="E172" s="2" t="n">
        <v>0</v>
      </c>
      <c r="F172" s="2" t="inlineStr">
        <is>
          <t>無</t>
        </is>
      </c>
      <c r="G172" s="2" t="n">
        <v>168</v>
      </c>
      <c r="H172" s="2" t="n">
        <v>0</v>
      </c>
      <c r="I172" s="2" t="inlineStr">
        <is>
          <t>無</t>
        </is>
      </c>
      <c r="J172" s="2" t="n">
        <v>171</v>
      </c>
      <c r="K172" s="2" t="n">
        <v>0</v>
      </c>
      <c r="L172" s="2" t="inlineStr">
        <is>
          <t>無</t>
        </is>
      </c>
      <c r="M172" s="2" t="inlineStr"/>
      <c r="N172" s="2" t="inlineStr">
        <is>
          <t>分段不變</t>
        </is>
      </c>
    </row>
    <row r="173">
      <c r="A173" s="2" t="inlineStr">
        <is>
          <t>Har_In</t>
        </is>
      </c>
      <c r="B173" s="2" t="n">
        <v>26</v>
      </c>
      <c r="C173" s="2" t="inlineStr">
        <is>
          <t>每輪思考倍數</t>
        </is>
      </c>
      <c r="D173" s="2" t="n">
        <v>151</v>
      </c>
      <c r="E173" s="2" t="n">
        <v>0</v>
      </c>
      <c r="F173" s="2" t="inlineStr">
        <is>
          <t>無</t>
        </is>
      </c>
      <c r="G173" s="2" t="n">
        <v>169</v>
      </c>
      <c r="H173" s="2" t="n">
        <v>0</v>
      </c>
      <c r="I173" s="2" t="inlineStr">
        <is>
          <t>無</t>
        </is>
      </c>
      <c r="J173" s="2" t="n">
        <v>172</v>
      </c>
      <c r="K173" s="2" t="n">
        <v>0</v>
      </c>
      <c r="L173" s="2" t="inlineStr">
        <is>
          <t>無</t>
        </is>
      </c>
      <c r="M173" s="2" t="inlineStr"/>
      <c r="N173" s="2" t="inlineStr">
        <is>
          <t>分段不變</t>
        </is>
      </c>
    </row>
    <row r="174">
      <c r="A174" s="2" t="inlineStr">
        <is>
          <t>Har_In</t>
        </is>
      </c>
      <c r="B174" s="2" t="n">
        <v>27</v>
      </c>
      <c r="C174" s="2" t="inlineStr">
        <is>
          <t>歷史保留比 c（壓縮後）</t>
        </is>
      </c>
      <c r="D174" s="2" t="n">
        <v>152</v>
      </c>
      <c r="E174" s="2" t="n">
        <v>0</v>
      </c>
      <c r="F174" s="2" t="inlineStr">
        <is>
          <t>無</t>
        </is>
      </c>
      <c r="G174" s="2" t="n">
        <v>170</v>
      </c>
      <c r="H174" s="2" t="n">
        <v>0</v>
      </c>
      <c r="I174" s="2" t="inlineStr">
        <is>
          <t>無</t>
        </is>
      </c>
      <c r="J174" s="2" t="n">
        <v>173</v>
      </c>
      <c r="K174" s="2" t="n">
        <v>0</v>
      </c>
      <c r="L174" s="2" t="inlineStr">
        <is>
          <t>無</t>
        </is>
      </c>
      <c r="M174" s="2" t="inlineStr"/>
      <c r="N174" s="2" t="inlineStr">
        <is>
          <t>分段不變</t>
        </is>
      </c>
    </row>
    <row r="175">
      <c r="A175" s="2" t="inlineStr">
        <is>
          <t>Har_In</t>
        </is>
      </c>
      <c r="B175" s="2" t="n">
        <v>29</v>
      </c>
      <c r="C175" s="2" t="inlineStr">
        <is>
          <t>子代理數增量</t>
        </is>
      </c>
      <c r="D175" s="2" t="n">
        <v>153</v>
      </c>
      <c r="E175" s="2" t="n">
        <v>0</v>
      </c>
      <c r="F175" s="2" t="inlineStr">
        <is>
          <t>無</t>
        </is>
      </c>
      <c r="G175" s="2" t="n">
        <v>171</v>
      </c>
      <c r="H175" s="2" t="n">
        <v>0</v>
      </c>
      <c r="I175" s="2" t="inlineStr">
        <is>
          <t>無</t>
        </is>
      </c>
      <c r="J175" s="2" t="n">
        <v>174</v>
      </c>
      <c r="K175" s="2" t="n">
        <v>0</v>
      </c>
      <c r="L175" s="2" t="inlineStr">
        <is>
          <t>無</t>
        </is>
      </c>
      <c r="M175" s="2" t="inlineStr"/>
      <c r="N175" s="2" t="inlineStr">
        <is>
          <t>分段不變</t>
        </is>
      </c>
    </row>
    <row r="176">
      <c r="A176" s="2" t="inlineStr">
        <is>
          <t>Har_In</t>
        </is>
      </c>
      <c r="B176" s="2" t="n">
        <v>30</v>
      </c>
      <c r="C176" s="2" t="inlineStr">
        <is>
          <t>狀態保留時間</t>
        </is>
      </c>
      <c r="D176" s="2" t="n">
        <v>154</v>
      </c>
      <c r="E176" s="2" t="n">
        <v>0</v>
      </c>
      <c r="F176" s="2" t="inlineStr">
        <is>
          <t>無</t>
        </is>
      </c>
      <c r="G176" s="2" t="n">
        <v>172</v>
      </c>
      <c r="H176" s="2" t="n">
        <v>0</v>
      </c>
      <c r="I176" s="2" t="inlineStr">
        <is>
          <t>無</t>
        </is>
      </c>
      <c r="J176" s="2" t="n">
        <v>175</v>
      </c>
      <c r="K176" s="2" t="n">
        <v>0</v>
      </c>
      <c r="L176" s="2" t="inlineStr">
        <is>
          <t>無</t>
        </is>
      </c>
      <c r="M176" s="2" t="inlineStr"/>
      <c r="N176" s="2" t="inlineStr">
        <is>
          <t>分段不變</t>
        </is>
      </c>
    </row>
    <row r="177">
      <c r="A177" s="2" t="inlineStr">
        <is>
          <t>Har_In</t>
        </is>
      </c>
      <c r="B177" s="2" t="n">
        <v>31</v>
      </c>
      <c r="C177" s="2" t="inlineStr">
        <is>
          <t>時間範圍倍數（本任務）</t>
        </is>
      </c>
      <c r="D177" s="2" t="n">
        <v>155</v>
      </c>
      <c r="E177" s="2" t="n">
        <v>0</v>
      </c>
      <c r="F177" s="2" t="inlineStr">
        <is>
          <t>無</t>
        </is>
      </c>
      <c r="G177" s="2" t="n">
        <v>173</v>
      </c>
      <c r="H177" s="2" t="n">
        <v>0</v>
      </c>
      <c r="I177" s="2" t="inlineStr">
        <is>
          <t>無</t>
        </is>
      </c>
      <c r="J177" s="2" t="n">
        <v>176</v>
      </c>
      <c r="K177" s="2" t="n">
        <v>0</v>
      </c>
      <c r="L177" s="2" t="inlineStr">
        <is>
          <t>無</t>
        </is>
      </c>
      <c r="M177" s="2" t="inlineStr"/>
      <c r="N177" s="2" t="inlineStr">
        <is>
          <t>分段不變</t>
        </is>
      </c>
    </row>
    <row r="178">
      <c r="A178" s="2" t="inlineStr">
        <is>
          <t>Har_In</t>
        </is>
      </c>
      <c r="B178" s="2" t="n">
        <v>70</v>
      </c>
      <c r="C178" s="2" t="inlineStr">
        <is>
          <t>ARC-AGI-3：GPT-6 Astra 標準 harness（最高推理）</t>
        </is>
      </c>
      <c r="D178" s="2" t="inlineStr">
        <is>
          <t>—</t>
        </is>
      </c>
      <c r="E178" s="2" t="inlineStr">
        <is>
          <t>—</t>
        </is>
      </c>
      <c r="F178" s="2" t="inlineStr">
        <is>
          <t>—（v5.10 無對應列）</t>
        </is>
      </c>
      <c r="G178" s="2" t="n">
        <v>175</v>
      </c>
      <c r="H178" s="2" t="n">
        <v>0</v>
      </c>
      <c r="I178" s="2" t="inlineStr">
        <is>
          <t>無</t>
        </is>
      </c>
      <c r="J178" s="2" t="n">
        <v>177</v>
      </c>
      <c r="K178" s="2" t="n">
        <v>0</v>
      </c>
      <c r="L178" s="2" t="inlineStr">
        <is>
          <t>無</t>
        </is>
      </c>
      <c r="M178" s="2" t="inlineStr"/>
      <c r="N178" s="2" t="inlineStr">
        <is>
          <t>v5.10 無對應列（新列或結構改變）；連結列（以 SRC 格擾動）</t>
        </is>
      </c>
    </row>
    <row r="179">
      <c r="A179" s="2" t="inlineStr">
        <is>
          <t>Har_In</t>
        </is>
      </c>
      <c r="B179" s="2" t="n">
        <v>71</v>
      </c>
      <c r="C179" s="2" t="inlineStr">
        <is>
          <t>ARC-AGI-3：GPT-6 Astra Provider Adapter（最高推理，同檔）</t>
        </is>
      </c>
      <c r="D179" s="2" t="inlineStr">
        <is>
          <t>—</t>
        </is>
      </c>
      <c r="E179" s="2" t="inlineStr">
        <is>
          <t>—</t>
        </is>
      </c>
      <c r="F179" s="2" t="inlineStr">
        <is>
          <t>—（v5.10 無對應列）</t>
        </is>
      </c>
      <c r="G179" s="2" t="n">
        <v>176</v>
      </c>
      <c r="H179" s="2" t="n">
        <v>0</v>
      </c>
      <c r="I179" s="2" t="inlineStr">
        <is>
          <t>無</t>
        </is>
      </c>
      <c r="J179" s="2" t="n">
        <v>178</v>
      </c>
      <c r="K179" s="2" t="n">
        <v>0</v>
      </c>
      <c r="L179" s="2" t="inlineStr">
        <is>
          <t>無</t>
        </is>
      </c>
      <c r="M179" s="2" t="inlineStr"/>
      <c r="N179" s="2" t="inlineStr">
        <is>
          <t>v5.10 無對應列（新列或結構改變）；連結列（以 SRC 格擾動）</t>
        </is>
      </c>
    </row>
    <row r="180">
      <c r="A180" s="2" t="inlineStr">
        <is>
          <t>Har_In</t>
        </is>
      </c>
      <c r="B180" s="2" t="n">
        <v>72</v>
      </c>
      <c r="C180" s="2" t="inlineStr">
        <is>
          <t>ARC-AGI-3：GPT-6 Astra Provider Adapter（高推理）</t>
        </is>
      </c>
      <c r="D180" s="2" t="inlineStr">
        <is>
          <t>—</t>
        </is>
      </c>
      <c r="E180" s="2" t="inlineStr">
        <is>
          <t>—</t>
        </is>
      </c>
      <c r="F180" s="2" t="inlineStr">
        <is>
          <t>—（v5.10 無對應列）</t>
        </is>
      </c>
      <c r="G180" s="2" t="n">
        <v>177</v>
      </c>
      <c r="H180" s="2" t="n">
        <v>0</v>
      </c>
      <c r="I180" s="2" t="inlineStr">
        <is>
          <t>無</t>
        </is>
      </c>
      <c r="J180" s="2" t="n">
        <v>179</v>
      </c>
      <c r="K180" s="2" t="n">
        <v>0</v>
      </c>
      <c r="L180" s="2" t="inlineStr">
        <is>
          <t>無</t>
        </is>
      </c>
      <c r="M180" s="2" t="inlineStr"/>
      <c r="N180" s="2" t="inlineStr">
        <is>
          <t>v5.10 無對應列（新列或結構改變）；連結列（以 SRC 格擾動）</t>
        </is>
      </c>
    </row>
    <row r="181">
      <c r="A181" s="2" t="inlineStr">
        <is>
          <t>Har_In</t>
        </is>
      </c>
      <c r="B181" s="2" t="n">
        <v>73</v>
      </c>
      <c r="C181" s="2" t="inlineStr">
        <is>
          <t>ARC-AGI-3：Claude Opus 5 標準 harness</t>
        </is>
      </c>
      <c r="D181" s="2" t="inlineStr">
        <is>
          <t>—</t>
        </is>
      </c>
      <c r="E181" s="2" t="inlineStr">
        <is>
          <t>—</t>
        </is>
      </c>
      <c r="F181" s="2" t="inlineStr">
        <is>
          <t>—（v5.10 無對應列）</t>
        </is>
      </c>
      <c r="G181" s="2" t="n">
        <v>178</v>
      </c>
      <c r="H181" s="2" t="n">
        <v>0</v>
      </c>
      <c r="I181" s="2" t="inlineStr">
        <is>
          <t>無</t>
        </is>
      </c>
      <c r="J181" s="2" t="n">
        <v>180</v>
      </c>
      <c r="K181" s="2" t="n">
        <v>0</v>
      </c>
      <c r="L181" s="2" t="inlineStr">
        <is>
          <t>無</t>
        </is>
      </c>
      <c r="M181" s="2" t="inlineStr"/>
      <c r="N181" s="2" t="inlineStr">
        <is>
          <t>v5.10 無對應列（新列或結構改變）；連結列（以 SRC 格擾動）</t>
        </is>
      </c>
    </row>
    <row r="182">
      <c r="A182" s="2" t="inlineStr">
        <is>
          <t>Har_In</t>
        </is>
      </c>
      <c r="B182" s="2" t="n">
        <v>74</v>
      </c>
      <c r="C182" s="2" t="inlineStr">
        <is>
          <t>ARC-AGI-3：Claude Opus 5 + Nvidia 所建 harness</t>
        </is>
      </c>
      <c r="D182" s="2" t="inlineStr">
        <is>
          <t>—</t>
        </is>
      </c>
      <c r="E182" s="2" t="inlineStr">
        <is>
          <t>—</t>
        </is>
      </c>
      <c r="F182" s="2" t="inlineStr">
        <is>
          <t>—（v5.10 無對應列）</t>
        </is>
      </c>
      <c r="G182" s="2" t="n">
        <v>179</v>
      </c>
      <c r="H182" s="2" t="n">
        <v>0</v>
      </c>
      <c r="I182" s="2" t="inlineStr">
        <is>
          <t>無</t>
        </is>
      </c>
      <c r="J182" s="2" t="n">
        <v>181</v>
      </c>
      <c r="K182" s="2" t="n">
        <v>0</v>
      </c>
      <c r="L182" s="2" t="inlineStr">
        <is>
          <t>無</t>
        </is>
      </c>
      <c r="M182" s="2" t="inlineStr"/>
      <c r="N182" s="2" t="inlineStr">
        <is>
          <t>v5.10 無對應列（新列或結構改變）；連結列（以 SRC 格擾動）</t>
        </is>
      </c>
    </row>
    <row r="183">
      <c r="A183" s="2" t="inlineStr">
        <is>
          <t>Har_In</t>
        </is>
      </c>
      <c r="B183" s="2" t="n">
        <v>75</v>
      </c>
      <c r="C183" s="2" t="inlineStr">
        <is>
          <t>Anthropic 多代理研究系統（相對單代理）</t>
        </is>
      </c>
      <c r="D183" s="2" t="inlineStr">
        <is>
          <t>—</t>
        </is>
      </c>
      <c r="E183" s="2" t="inlineStr">
        <is>
          <t>—</t>
        </is>
      </c>
      <c r="F183" s="2" t="inlineStr">
        <is>
          <t>—（v5.10 無對應列）</t>
        </is>
      </c>
      <c r="G183" s="2" t="n">
        <v>180</v>
      </c>
      <c r="H183" s="2" t="n">
        <v>0</v>
      </c>
      <c r="I183" s="2" t="inlineStr">
        <is>
          <t>無</t>
        </is>
      </c>
      <c r="J183" s="2" t="n">
        <v>182</v>
      </c>
      <c r="K183" s="2" t="n">
        <v>0</v>
      </c>
      <c r="L183" s="2" t="inlineStr">
        <is>
          <t>無</t>
        </is>
      </c>
      <c r="M183" s="2" t="inlineStr"/>
      <c r="N183" s="2" t="inlineStr">
        <is>
          <t>v5.10 無對應列（新列或結構改變）；連結列（以 SRC 格擾動）</t>
        </is>
      </c>
    </row>
    <row r="184">
      <c r="A184" s="2" t="inlineStr">
        <is>
          <t>Har_In</t>
        </is>
      </c>
      <c r="B184" s="2" t="n">
        <v>77</v>
      </c>
      <c r="C184" s="2" t="inlineStr">
        <is>
          <t>GPT-5</t>
        </is>
      </c>
      <c r="D184" s="2" t="inlineStr">
        <is>
          <t>—</t>
        </is>
      </c>
      <c r="E184" s="2" t="inlineStr">
        <is>
          <t>—</t>
        </is>
      </c>
      <c r="F184" s="2" t="inlineStr">
        <is>
          <t>—（v5.10 無對應列）</t>
        </is>
      </c>
      <c r="G184" s="2" t="n">
        <v>181</v>
      </c>
      <c r="H184" s="2" t="n">
        <v>0</v>
      </c>
      <c r="I184" s="2" t="inlineStr">
        <is>
          <t>無</t>
        </is>
      </c>
      <c r="J184" s="2" t="n">
        <v>183</v>
      </c>
      <c r="K184" s="2" t="n">
        <v>0</v>
      </c>
      <c r="L184" s="2" t="inlineStr">
        <is>
          <t>無</t>
        </is>
      </c>
      <c r="M184" s="2" t="inlineStr"/>
      <c r="N184" s="2" t="inlineStr">
        <is>
          <t>v5.10 無對應列（新列或結構改變）；連結列（以 SRC 格擾動）</t>
        </is>
      </c>
    </row>
    <row r="185">
      <c r="A185" s="2" t="inlineStr">
        <is>
          <t>Har_In</t>
        </is>
      </c>
      <c r="B185" s="2" t="n">
        <v>78</v>
      </c>
      <c r="C185" s="2" t="inlineStr">
        <is>
          <t>GPT-5.2（high）</t>
        </is>
      </c>
      <c r="D185" s="2" t="inlineStr">
        <is>
          <t>—</t>
        </is>
      </c>
      <c r="E185" s="2" t="inlineStr">
        <is>
          <t>—</t>
        </is>
      </c>
      <c r="F185" s="2" t="inlineStr">
        <is>
          <t>—（v5.10 無對應列）</t>
        </is>
      </c>
      <c r="G185" s="2" t="n">
        <v>182</v>
      </c>
      <c r="H185" s="2" t="n">
        <v>0</v>
      </c>
      <c r="I185" s="2" t="inlineStr">
        <is>
          <t>無</t>
        </is>
      </c>
      <c r="J185" s="2" t="n">
        <v>184</v>
      </c>
      <c r="K185" s="2" t="n">
        <v>0</v>
      </c>
      <c r="L185" s="2" t="inlineStr">
        <is>
          <t>無</t>
        </is>
      </c>
      <c r="M185" s="2" t="inlineStr"/>
      <c r="N185" s="2" t="inlineStr">
        <is>
          <t>v5.10 無對應列（新列或結構改變）；連結列（以 SRC 格擾動）</t>
        </is>
      </c>
    </row>
    <row r="186">
      <c r="A186" s="2" t="inlineStr">
        <is>
          <t>Har_In</t>
        </is>
      </c>
      <c r="B186" s="2" t="n">
        <v>79</v>
      </c>
      <c r="C186" s="2" t="inlineStr">
        <is>
          <t>GPT-5.4（xhigh）</t>
        </is>
      </c>
      <c r="D186" s="2" t="inlineStr">
        <is>
          <t>—</t>
        </is>
      </c>
      <c r="E186" s="2" t="inlineStr">
        <is>
          <t>—</t>
        </is>
      </c>
      <c r="F186" s="2" t="inlineStr">
        <is>
          <t>—（v5.10 無對應列）</t>
        </is>
      </c>
      <c r="G186" s="2" t="n">
        <v>183</v>
      </c>
      <c r="H186" s="2" t="n">
        <v>0</v>
      </c>
      <c r="I186" s="2" t="inlineStr">
        <is>
          <t>無</t>
        </is>
      </c>
      <c r="J186" s="2" t="n">
        <v>185</v>
      </c>
      <c r="K186" s="2" t="n">
        <v>0</v>
      </c>
      <c r="L186" s="2" t="inlineStr">
        <is>
          <t>無</t>
        </is>
      </c>
      <c r="M186" s="2" t="inlineStr"/>
      <c r="N186" s="2" t="inlineStr">
        <is>
          <t>v5.10 無對應列（新列或結構改變）；連結列（以 SRC 格擾動）</t>
        </is>
      </c>
    </row>
    <row r="187">
      <c r="A187" s="2" t="inlineStr">
        <is>
          <t>Har_In</t>
        </is>
      </c>
      <c r="B187" s="2" t="n">
        <v>80</v>
      </c>
      <c r="C187" s="2" t="inlineStr">
        <is>
          <t>Gemini 3.1 Pro</t>
        </is>
      </c>
      <c r="D187" s="2" t="inlineStr">
        <is>
          <t>—</t>
        </is>
      </c>
      <c r="E187" s="2" t="inlineStr">
        <is>
          <t>—</t>
        </is>
      </c>
      <c r="F187" s="2" t="inlineStr">
        <is>
          <t>—（v5.10 無對應列）</t>
        </is>
      </c>
      <c r="G187" s="2" t="n">
        <v>184</v>
      </c>
      <c r="H187" s="2" t="n">
        <v>0</v>
      </c>
      <c r="I187" s="2" t="inlineStr">
        <is>
          <t>無</t>
        </is>
      </c>
      <c r="J187" s="2" t="n">
        <v>186</v>
      </c>
      <c r="K187" s="2" t="n">
        <v>0</v>
      </c>
      <c r="L187" s="2" t="inlineStr">
        <is>
          <t>無</t>
        </is>
      </c>
      <c r="M187" s="2" t="inlineStr"/>
      <c r="N187" s="2" t="inlineStr">
        <is>
          <t>v5.10 無對應列（新列或結構改變）；連結列（以 SRC 格擾動）</t>
        </is>
      </c>
    </row>
    <row r="188">
      <c r="A188" s="2" t="inlineStr">
        <is>
          <t>Serving</t>
        </is>
      </c>
      <c r="B188" s="2" t="n">
        <v>12</v>
      </c>
      <c r="C188" s="2" t="inlineStr">
        <is>
          <t>EP 啟用值 bytes/元素（dispatch＋combine）</t>
        </is>
      </c>
      <c r="D188" s="2" t="n">
        <v>129</v>
      </c>
      <c r="E188" s="2" t="n">
        <v>0</v>
      </c>
      <c r="F188" s="2" t="inlineStr">
        <is>
          <t>無</t>
        </is>
      </c>
      <c r="G188" s="2" t="n">
        <v>187</v>
      </c>
      <c r="H188" s="2" t="n">
        <v>0</v>
      </c>
      <c r="I188" s="2" t="inlineStr">
        <is>
          <t>無</t>
        </is>
      </c>
      <c r="J188" s="2" t="n">
        <v>187</v>
      </c>
      <c r="K188" s="2" t="n">
        <v>0</v>
      </c>
      <c r="L188" s="2" t="inlineStr">
        <is>
          <t>無</t>
        </is>
      </c>
      <c r="M188" s="2" t="inlineStr"/>
      <c r="N188" s="2" t="inlineStr">
        <is>
          <t>分段不變</t>
        </is>
      </c>
    </row>
    <row r="189">
      <c r="A189" s="2" t="inlineStr">
        <is>
          <t>Serving</t>
        </is>
      </c>
      <c r="B189" s="2" t="n">
        <v>13</v>
      </c>
      <c r="C189" s="2" t="inlineStr">
        <is>
          <t>KV 讀取頻寬效率 η_mem</t>
        </is>
      </c>
      <c r="D189" s="2" t="n">
        <v>130</v>
      </c>
      <c r="E189" s="2" t="n">
        <v>0</v>
      </c>
      <c r="F189" s="2" t="inlineStr">
        <is>
          <t>無</t>
        </is>
      </c>
      <c r="G189" s="2" t="n">
        <v>188</v>
      </c>
      <c r="H189" s="2" t="n">
        <v>0</v>
      </c>
      <c r="I189" s="2" t="inlineStr">
        <is>
          <t>無</t>
        </is>
      </c>
      <c r="J189" s="2" t="n">
        <v>188</v>
      </c>
      <c r="K189" s="2" t="n">
        <v>0</v>
      </c>
      <c r="L189" s="2" t="inlineStr">
        <is>
          <t>無</t>
        </is>
      </c>
      <c r="M189" s="2" t="inlineStr"/>
      <c r="N189" s="2" t="inlineStr">
        <is>
          <t>分段不變</t>
        </is>
      </c>
    </row>
    <row r="190">
      <c r="A190" s="2" t="inlineStr">
        <is>
          <t>Serving</t>
        </is>
      </c>
      <c r="B190" s="2" t="n">
        <v>14</v>
      </c>
      <c r="C190" s="2" t="inlineStr">
        <is>
          <t>EP 通訊效率 η_link</t>
        </is>
      </c>
      <c r="D190" s="2" t="n">
        <v>131</v>
      </c>
      <c r="E190" s="2" t="n">
        <v>0</v>
      </c>
      <c r="F190" s="2" t="inlineStr">
        <is>
          <t>無</t>
        </is>
      </c>
      <c r="G190" s="2" t="n">
        <v>189</v>
      </c>
      <c r="H190" s="2" t="n">
        <v>0</v>
      </c>
      <c r="I190" s="2" t="inlineStr">
        <is>
          <t>無</t>
        </is>
      </c>
      <c r="J190" s="2" t="n">
        <v>189</v>
      </c>
      <c r="K190" s="2" t="n">
        <v>0</v>
      </c>
      <c r="L190" s="2" t="inlineStr">
        <is>
          <t>無</t>
        </is>
      </c>
      <c r="M190" s="2" t="inlineStr"/>
      <c r="N190" s="2" t="inlineStr">
        <is>
          <t>分段不變</t>
        </is>
      </c>
    </row>
    <row r="191">
      <c r="A191" s="2" t="inlineStr">
        <is>
          <t>Spec_Rack</t>
        </is>
      </c>
      <c r="B191" s="2" t="n">
        <v>8</v>
      </c>
      <c r="C191" s="2" t="inlineStr">
        <is>
          <t>配電設計功率 低（kW）</t>
        </is>
      </c>
      <c r="D191" s="2" t="n">
        <v>123</v>
      </c>
      <c r="E191" s="2" t="n">
        <v>0</v>
      </c>
      <c r="F191" s="2" t="inlineStr">
        <is>
          <t>無</t>
        </is>
      </c>
      <c r="G191" s="2" t="n">
        <v>190</v>
      </c>
      <c r="H191" s="2" t="n">
        <v>0</v>
      </c>
      <c r="I191" s="2" t="inlineStr">
        <is>
          <t>無</t>
        </is>
      </c>
      <c r="J191" s="2" t="n">
        <v>190</v>
      </c>
      <c r="K191" s="2" t="n">
        <v>0</v>
      </c>
      <c r="L191" s="2" t="inlineStr">
        <is>
          <t>無</t>
        </is>
      </c>
      <c r="M191" s="2" t="inlineStr"/>
      <c r="N191" s="2" t="inlineStr">
        <is>
          <t>分段不變</t>
        </is>
      </c>
    </row>
    <row r="192">
      <c r="A192" s="2" t="inlineStr">
        <is>
          <t>Spec_Rack</t>
        </is>
      </c>
      <c r="B192" s="2" t="n">
        <v>10</v>
      </c>
      <c r="C192" s="2" t="inlineStr">
        <is>
          <t>配電設計功率 高（kW）</t>
        </is>
      </c>
      <c r="D192" s="2" t="n">
        <v>124</v>
      </c>
      <c r="E192" s="2" t="n">
        <v>0</v>
      </c>
      <c r="F192" s="2" t="inlineStr">
        <is>
          <t>無</t>
        </is>
      </c>
      <c r="G192" s="2" t="n">
        <v>191</v>
      </c>
      <c r="H192" s="2" t="n">
        <v>0</v>
      </c>
      <c r="I192" s="2" t="inlineStr">
        <is>
          <t>無</t>
        </is>
      </c>
      <c r="J192" s="2" t="n">
        <v>191</v>
      </c>
      <c r="K192" s="2" t="n">
        <v>0</v>
      </c>
      <c r="L192" s="2" t="inlineStr">
        <is>
          <t>無</t>
        </is>
      </c>
      <c r="M192" s="2" t="inlineStr"/>
      <c r="N192" s="2" t="inlineStr">
        <is>
          <t>分段不變</t>
        </is>
      </c>
    </row>
    <row r="193">
      <c r="A193" s="2" t="inlineStr">
        <is>
          <t>Spec_Rack</t>
        </is>
      </c>
      <c r="B193" s="2" t="n">
        <v>11</v>
      </c>
      <c r="C193" s="2" t="inlineStr">
        <is>
          <t>機架價格 低（$M）</t>
        </is>
      </c>
      <c r="D193" s="2" t="n">
        <v>111</v>
      </c>
      <c r="E193" s="2" t="n">
        <v>0</v>
      </c>
      <c r="F193" s="2" t="inlineStr">
        <is>
          <t>無</t>
        </is>
      </c>
      <c r="G193" s="2" t="n">
        <v>192</v>
      </c>
      <c r="H193" s="2" t="n">
        <v>0</v>
      </c>
      <c r="I193" s="2" t="inlineStr">
        <is>
          <t>無</t>
        </is>
      </c>
      <c r="J193" s="2" t="n">
        <v>192</v>
      </c>
      <c r="K193" s="2" t="n">
        <v>0</v>
      </c>
      <c r="L193" s="2" t="inlineStr">
        <is>
          <t>無</t>
        </is>
      </c>
      <c r="M193" s="2" t="inlineStr"/>
      <c r="N193" s="2" t="inlineStr">
        <is>
          <t>分段不變</t>
        </is>
      </c>
    </row>
    <row r="194">
      <c r="A194" s="2" t="inlineStr">
        <is>
          <t>Spec_Rack</t>
        </is>
      </c>
      <c r="B194" s="2" t="n">
        <v>13</v>
      </c>
      <c r="C194" s="2" t="inlineStr">
        <is>
          <t>機架價格 高（$M）</t>
        </is>
      </c>
      <c r="D194" s="2" t="n">
        <v>112</v>
      </c>
      <c r="E194" s="2" t="n">
        <v>0</v>
      </c>
      <c r="F194" s="2" t="inlineStr">
        <is>
          <t>無</t>
        </is>
      </c>
      <c r="G194" s="2" t="n">
        <v>193</v>
      </c>
      <c r="H194" s="2" t="n">
        <v>0</v>
      </c>
      <c r="I194" s="2" t="inlineStr">
        <is>
          <t>無</t>
        </is>
      </c>
      <c r="J194" s="2" t="n">
        <v>193</v>
      </c>
      <c r="K194" s="2" t="n">
        <v>0</v>
      </c>
      <c r="L194" s="2" t="inlineStr">
        <is>
          <t>無</t>
        </is>
      </c>
      <c r="M194" s="2" t="inlineStr"/>
      <c r="N194" s="2" t="inlineStr">
        <is>
          <t>分段不變</t>
        </is>
      </c>
    </row>
    <row r="195">
      <c r="A195" s="2" t="inlineStr">
        <is>
          <t>Spec_Rack</t>
        </is>
      </c>
      <c r="B195" s="2" t="n">
        <v>27</v>
      </c>
      <c r="C195" s="2" t="inlineStr">
        <is>
          <t>EP 通訊頻寬 TB/s/GPU（單向）</t>
        </is>
      </c>
      <c r="D195" s="2" t="n">
        <v>126</v>
      </c>
      <c r="E195" s="2" t="n">
        <v>0</v>
      </c>
      <c r="F195" s="2" t="inlineStr">
        <is>
          <t>無</t>
        </is>
      </c>
      <c r="G195" s="2" t="n">
        <v>194</v>
      </c>
      <c r="H195" s="2" t="n">
        <v>0</v>
      </c>
      <c r="I195" s="2" t="inlineStr">
        <is>
          <t>無</t>
        </is>
      </c>
      <c r="J195" s="2" t="n">
        <v>194</v>
      </c>
      <c r="K195" s="2" t="n">
        <v>0</v>
      </c>
      <c r="L195" s="2" t="inlineStr">
        <is>
          <t>無</t>
        </is>
      </c>
      <c r="M195" s="2" t="inlineStr"/>
      <c r="N195" s="2" t="inlineStr">
        <is>
          <t>分段不變</t>
        </is>
      </c>
    </row>
    <row r="196">
      <c r="A196" s="2" t="inlineStr">
        <is>
          <t>Tech_Registry</t>
        </is>
      </c>
      <c r="B196" s="2" t="n">
        <v>5</v>
      </c>
      <c r="C196" s="2" t="inlineStr">
        <is>
          <t>T01</t>
        </is>
      </c>
      <c r="D196" s="2" t="n">
        <v>132</v>
      </c>
      <c r="E196" s="2" t="n">
        <v>0</v>
      </c>
      <c r="F196" s="2" t="inlineStr">
        <is>
          <t>無</t>
        </is>
      </c>
      <c r="G196" s="2" t="n">
        <v>195</v>
      </c>
      <c r="H196" s="2" t="n">
        <v>0</v>
      </c>
      <c r="I196" s="2" t="inlineStr">
        <is>
          <t>無</t>
        </is>
      </c>
      <c r="J196" s="2" t="n">
        <v>195</v>
      </c>
      <c r="K196" s="2" t="n">
        <v>0</v>
      </c>
      <c r="L196" s="2" t="inlineStr">
        <is>
          <t>無</t>
        </is>
      </c>
      <c r="M196" s="2" t="inlineStr"/>
      <c r="N196" s="2" t="inlineStr">
        <is>
          <t>分段不變</t>
        </is>
      </c>
    </row>
    <row r="197">
      <c r="A197" s="2" t="inlineStr">
        <is>
          <t>Tech_Registry</t>
        </is>
      </c>
      <c r="B197" s="2" t="n">
        <v>6</v>
      </c>
      <c r="C197" s="2" t="inlineStr">
        <is>
          <t>T02</t>
        </is>
      </c>
      <c r="D197" s="2" t="n">
        <v>133</v>
      </c>
      <c r="E197" s="2" t="n">
        <v>0</v>
      </c>
      <c r="F197" s="2" t="inlineStr">
        <is>
          <t>無</t>
        </is>
      </c>
      <c r="G197" s="2" t="n">
        <v>196</v>
      </c>
      <c r="H197" s="2" t="n">
        <v>0</v>
      </c>
      <c r="I197" s="2" t="inlineStr">
        <is>
          <t>無</t>
        </is>
      </c>
      <c r="J197" s="2" t="n">
        <v>196</v>
      </c>
      <c r="K197" s="2" t="n">
        <v>0</v>
      </c>
      <c r="L197" s="2" t="inlineStr">
        <is>
          <t>無</t>
        </is>
      </c>
      <c r="M197" s="2" t="inlineStr"/>
      <c r="N197" s="2" t="inlineStr">
        <is>
          <t>分段不變</t>
        </is>
      </c>
    </row>
    <row r="198">
      <c r="A198" s="2" t="inlineStr">
        <is>
          <t>Tech_Registry</t>
        </is>
      </c>
      <c r="B198" s="2" t="n">
        <v>7</v>
      </c>
      <c r="C198" s="2" t="inlineStr">
        <is>
          <t>T03</t>
        </is>
      </c>
      <c r="D198" s="2" t="n">
        <v>134</v>
      </c>
      <c r="E198" s="2" t="n">
        <v>0</v>
      </c>
      <c r="F198" s="2" t="inlineStr">
        <is>
          <t>無</t>
        </is>
      </c>
      <c r="G198" s="2" t="n">
        <v>197</v>
      </c>
      <c r="H198" s="2" t="n">
        <v>0</v>
      </c>
      <c r="I198" s="2" t="inlineStr">
        <is>
          <t>無</t>
        </is>
      </c>
      <c r="J198" s="2" t="n">
        <v>197</v>
      </c>
      <c r="K198" s="2" t="n">
        <v>0</v>
      </c>
      <c r="L198" s="2" t="inlineStr">
        <is>
          <t>無</t>
        </is>
      </c>
      <c r="M198" s="2" t="inlineStr"/>
      <c r="N198" s="2" t="inlineStr">
        <is>
          <t>分段不變</t>
        </is>
      </c>
    </row>
    <row r="199">
      <c r="A199" s="2" t="inlineStr">
        <is>
          <t>Tech_Registry</t>
        </is>
      </c>
      <c r="B199" s="2" t="n">
        <v>8</v>
      </c>
      <c r="C199" s="2" t="inlineStr">
        <is>
          <t>T04</t>
        </is>
      </c>
      <c r="D199" s="2" t="n">
        <v>135</v>
      </c>
      <c r="E199" s="2" t="n">
        <v>0</v>
      </c>
      <c r="F199" s="2" t="inlineStr">
        <is>
          <t>無</t>
        </is>
      </c>
      <c r="G199" s="2" t="n">
        <v>198</v>
      </c>
      <c r="H199" s="2" t="n">
        <v>0</v>
      </c>
      <c r="I199" s="2" t="inlineStr">
        <is>
          <t>無</t>
        </is>
      </c>
      <c r="J199" s="2" t="n">
        <v>198</v>
      </c>
      <c r="K199" s="2" t="n">
        <v>0</v>
      </c>
      <c r="L199" s="2" t="inlineStr">
        <is>
          <t>無</t>
        </is>
      </c>
      <c r="M199" s="2" t="inlineStr"/>
      <c r="N199" s="2" t="inlineStr">
        <is>
          <t>分段不變</t>
        </is>
      </c>
    </row>
    <row r="200">
      <c r="A200" s="2" t="inlineStr">
        <is>
          <t>Tech_Registry</t>
        </is>
      </c>
      <c r="B200" s="2" t="n">
        <v>9</v>
      </c>
      <c r="C200" s="2" t="inlineStr">
        <is>
          <t>T05</t>
        </is>
      </c>
      <c r="D200" s="2" t="n">
        <v>136</v>
      </c>
      <c r="E200" s="2" t="n">
        <v>0</v>
      </c>
      <c r="F200" s="2" t="inlineStr">
        <is>
          <t>無</t>
        </is>
      </c>
      <c r="G200" s="2" t="n">
        <v>199</v>
      </c>
      <c r="H200" s="2" t="n">
        <v>0</v>
      </c>
      <c r="I200" s="2" t="inlineStr">
        <is>
          <t>無</t>
        </is>
      </c>
      <c r="J200" s="2" t="n">
        <v>199</v>
      </c>
      <c r="K200" s="2" t="n">
        <v>0</v>
      </c>
      <c r="L200" s="2" t="inlineStr">
        <is>
          <t>無</t>
        </is>
      </c>
      <c r="M200" s="2" t="inlineStr"/>
      <c r="N200" s="2" t="inlineStr">
        <is>
          <t>分段不變</t>
        </is>
      </c>
    </row>
    <row r="201">
      <c r="A201" s="2" t="inlineStr">
        <is>
          <t>Tech_Registry</t>
        </is>
      </c>
      <c r="B201" s="2" t="n">
        <v>10</v>
      </c>
      <c r="C201" s="2" t="inlineStr">
        <is>
          <t>T06</t>
        </is>
      </c>
      <c r="D201" s="2" t="n">
        <v>137</v>
      </c>
      <c r="E201" s="2" t="n">
        <v>0</v>
      </c>
      <c r="F201" s="2" t="inlineStr">
        <is>
          <t>無</t>
        </is>
      </c>
      <c r="G201" s="2" t="n">
        <v>200</v>
      </c>
      <c r="H201" s="2" t="n">
        <v>0</v>
      </c>
      <c r="I201" s="2" t="inlineStr">
        <is>
          <t>無</t>
        </is>
      </c>
      <c r="J201" s="2" t="n">
        <v>200</v>
      </c>
      <c r="K201" s="2" t="n">
        <v>0</v>
      </c>
      <c r="L201" s="2" t="inlineStr">
        <is>
          <t>無</t>
        </is>
      </c>
      <c r="M201" s="2" t="inlineStr"/>
      <c r="N201" s="2" t="inlineStr">
        <is>
          <t>分段不變</t>
        </is>
      </c>
    </row>
    <row r="202">
      <c r="A202" s="2" t="inlineStr">
        <is>
          <t>Tech_Registry</t>
        </is>
      </c>
      <c r="B202" s="2" t="n">
        <v>11</v>
      </c>
      <c r="C202" s="2" t="inlineStr">
        <is>
          <t>T07</t>
        </is>
      </c>
      <c r="D202" s="2" t="n">
        <v>138</v>
      </c>
      <c r="E202" s="2" t="n">
        <v>0</v>
      </c>
      <c r="F202" s="2" t="inlineStr">
        <is>
          <t>無</t>
        </is>
      </c>
      <c r="G202" s="2" t="n">
        <v>201</v>
      </c>
      <c r="H202" s="2" t="n">
        <v>0</v>
      </c>
      <c r="I202" s="2" t="inlineStr">
        <is>
          <t>無</t>
        </is>
      </c>
      <c r="J202" s="2" t="n">
        <v>201</v>
      </c>
      <c r="K202" s="2" t="n">
        <v>0</v>
      </c>
      <c r="L202" s="2" t="inlineStr">
        <is>
          <t>無</t>
        </is>
      </c>
      <c r="M202" s="2" t="inlineStr"/>
      <c r="N202" s="2" t="inlineStr">
        <is>
          <t>分段不變</t>
        </is>
      </c>
    </row>
    <row r="203">
      <c r="A203" s="2" t="inlineStr">
        <is>
          <t>Tech_Registry</t>
        </is>
      </c>
      <c r="B203" s="2" t="n">
        <v>12</v>
      </c>
      <c r="C203" s="2" t="inlineStr">
        <is>
          <t>T08</t>
        </is>
      </c>
      <c r="D203" s="2" t="n">
        <v>139</v>
      </c>
      <c r="E203" s="2" t="n">
        <v>0</v>
      </c>
      <c r="F203" s="2" t="inlineStr">
        <is>
          <t>無</t>
        </is>
      </c>
      <c r="G203" s="2" t="n">
        <v>202</v>
      </c>
      <c r="H203" s="2" t="n">
        <v>0</v>
      </c>
      <c r="I203" s="2" t="inlineStr">
        <is>
          <t>無</t>
        </is>
      </c>
      <c r="J203" s="2" t="n">
        <v>202</v>
      </c>
      <c r="K203" s="2" t="n">
        <v>0</v>
      </c>
      <c r="L203" s="2" t="inlineStr">
        <is>
          <t>無</t>
        </is>
      </c>
      <c r="M203" s="2" t="inlineStr"/>
      <c r="N203" s="2" t="inlineStr">
        <is>
          <t>分段不變</t>
        </is>
      </c>
    </row>
    <row r="204">
      <c r="A204" s="2" t="inlineStr">
        <is>
          <t>Tech_Registry</t>
        </is>
      </c>
      <c r="B204" s="2" t="n">
        <v>13</v>
      </c>
      <c r="C204" s="2" t="inlineStr">
        <is>
          <t>T09</t>
        </is>
      </c>
      <c r="D204" s="2" t="n">
        <v>140</v>
      </c>
      <c r="E204" s="2" t="n">
        <v>0</v>
      </c>
      <c r="F204" s="2" t="inlineStr">
        <is>
          <t>無</t>
        </is>
      </c>
      <c r="G204" s="2" t="n">
        <v>203</v>
      </c>
      <c r="H204" s="2" t="n">
        <v>0</v>
      </c>
      <c r="I204" s="2" t="inlineStr">
        <is>
          <t>無</t>
        </is>
      </c>
      <c r="J204" s="2" t="n">
        <v>203</v>
      </c>
      <c r="K204" s="2" t="n">
        <v>0</v>
      </c>
      <c r="L204" s="2" t="inlineStr">
        <is>
          <t>無</t>
        </is>
      </c>
      <c r="M204" s="2" t="inlineStr"/>
      <c r="N204" s="2" t="inlineStr">
        <is>
          <t>分段不變</t>
        </is>
      </c>
    </row>
    <row r="205">
      <c r="A205" s="2" t="inlineStr">
        <is>
          <t>Tech_Registry</t>
        </is>
      </c>
      <c r="B205" s="2" t="n">
        <v>14</v>
      </c>
      <c r="C205" s="2" t="inlineStr">
        <is>
          <t>T10</t>
        </is>
      </c>
      <c r="D205" s="2" t="n">
        <v>141</v>
      </c>
      <c r="E205" s="2" t="n">
        <v>0</v>
      </c>
      <c r="F205" s="2" t="inlineStr">
        <is>
          <t>無</t>
        </is>
      </c>
      <c r="G205" s="2" t="n">
        <v>204</v>
      </c>
      <c r="H205" s="2" t="n">
        <v>0</v>
      </c>
      <c r="I205" s="2" t="inlineStr">
        <is>
          <t>無</t>
        </is>
      </c>
      <c r="J205" s="2" t="n">
        <v>204</v>
      </c>
      <c r="K205" s="2" t="n">
        <v>0</v>
      </c>
      <c r="L205" s="2" t="inlineStr">
        <is>
          <t>無</t>
        </is>
      </c>
      <c r="M205" s="2" t="inlineStr"/>
      <c r="N205" s="2" t="inlineStr">
        <is>
          <t>分段不變</t>
        </is>
      </c>
    </row>
    <row r="206">
      <c r="A206" s="2" t="inlineStr">
        <is>
          <t>Tech_Registry</t>
        </is>
      </c>
      <c r="B206" s="2" t="n">
        <v>15</v>
      </c>
      <c r="C206" s="2" t="inlineStr">
        <is>
          <t>T11</t>
        </is>
      </c>
      <c r="D206" s="2" t="n">
        <v>142</v>
      </c>
      <c r="E206" s="2" t="n">
        <v>0</v>
      </c>
      <c r="F206" s="2" t="inlineStr">
        <is>
          <t>無</t>
        </is>
      </c>
      <c r="G206" s="2" t="n">
        <v>205</v>
      </c>
      <c r="H206" s="2" t="n">
        <v>0</v>
      </c>
      <c r="I206" s="2" t="inlineStr">
        <is>
          <t>無</t>
        </is>
      </c>
      <c r="J206" s="2" t="n">
        <v>205</v>
      </c>
      <c r="K206" s="2" t="n">
        <v>0</v>
      </c>
      <c r="L206" s="2" t="inlineStr">
        <is>
          <t>無</t>
        </is>
      </c>
      <c r="M206" s="2" t="inlineStr"/>
      <c r="N206" s="2" t="inlineStr">
        <is>
          <t>分段不變</t>
        </is>
      </c>
    </row>
    <row r="207">
      <c r="A207" s="2" t="inlineStr">
        <is>
          <t>Tech_Registry</t>
        </is>
      </c>
      <c r="B207" s="2" t="n">
        <v>16</v>
      </c>
      <c r="C207" s="2" t="inlineStr">
        <is>
          <t>T12</t>
        </is>
      </c>
      <c r="D207" s="2" t="n">
        <v>143</v>
      </c>
      <c r="E207" s="2" t="n">
        <v>0</v>
      </c>
      <c r="F207" s="2" t="inlineStr">
        <is>
          <t>無</t>
        </is>
      </c>
      <c r="G207" s="2" t="n">
        <v>206</v>
      </c>
      <c r="H207" s="2" t="n">
        <v>0</v>
      </c>
      <c r="I207" s="2" t="inlineStr">
        <is>
          <t>無</t>
        </is>
      </c>
      <c r="J207" s="2" t="n">
        <v>206</v>
      </c>
      <c r="K207" s="2" t="n">
        <v>0</v>
      </c>
      <c r="L207" s="2" t="inlineStr">
        <is>
          <t>無</t>
        </is>
      </c>
      <c r="M207" s="2" t="inlineStr"/>
      <c r="N207" s="2" t="inlineStr">
        <is>
          <t>分段不變</t>
        </is>
      </c>
    </row>
    <row r="208">
      <c r="A208" s="2" t="inlineStr">
        <is>
          <t>Train_In</t>
        </is>
      </c>
      <c r="B208" s="2" t="n">
        <v>41</v>
      </c>
      <c r="C208" s="2" t="inlineStr">
        <is>
          <t>DeepSeek V3 預訓練 token</t>
        </is>
      </c>
      <c r="D208" s="2" t="inlineStr">
        <is>
          <t>—</t>
        </is>
      </c>
      <c r="E208" s="2" t="inlineStr">
        <is>
          <t>—</t>
        </is>
      </c>
      <c r="F208" s="2" t="inlineStr">
        <is>
          <t>—（v5.10 無對應列）</t>
        </is>
      </c>
      <c r="G208" s="2" t="n">
        <v>207</v>
      </c>
      <c r="H208" s="2" t="n">
        <v>0</v>
      </c>
      <c r="I208" s="2" t="inlineStr">
        <is>
          <t>無</t>
        </is>
      </c>
      <c r="J208" s="2" t="n">
        <v>207</v>
      </c>
      <c r="K208" s="2" t="n">
        <v>0</v>
      </c>
      <c r="L208" s="2" t="inlineStr">
        <is>
          <t>無</t>
        </is>
      </c>
      <c r="M208" s="2" t="inlineStr"/>
      <c r="N208" s="2" t="inlineStr">
        <is>
          <t>v5.10 無對應列（新列或結構改變）；連結列（以 SRC 格擾動）</t>
        </is>
      </c>
    </row>
    <row r="209">
      <c r="A209" s="2" t="inlineStr">
        <is>
          <t>Train_In</t>
        </is>
      </c>
      <c r="B209" s="2" t="n">
        <v>42</v>
      </c>
      <c r="C209" s="2" t="inlineStr">
        <is>
          <t>DeepSeek V3 預訓練 H800 GPU 小時</t>
        </is>
      </c>
      <c r="D209" s="2" t="inlineStr">
        <is>
          <t>—</t>
        </is>
      </c>
      <c r="E209" s="2" t="inlineStr">
        <is>
          <t>—</t>
        </is>
      </c>
      <c r="F209" s="2" t="inlineStr">
        <is>
          <t>—（v5.10 無對應列）</t>
        </is>
      </c>
      <c r="G209" s="2" t="n">
        <v>208</v>
      </c>
      <c r="H209" s="2" t="n">
        <v>0</v>
      </c>
      <c r="I209" s="2" t="inlineStr">
        <is>
          <t>無</t>
        </is>
      </c>
      <c r="J209" s="2" t="n">
        <v>208</v>
      </c>
      <c r="K209" s="2" t="n">
        <v>0</v>
      </c>
      <c r="L209" s="2" t="inlineStr">
        <is>
          <t>無</t>
        </is>
      </c>
      <c r="M209" s="2" t="inlineStr"/>
      <c r="N209" s="2" t="inlineStr">
        <is>
          <t>v5.10 無對應列（新列或結構改變）；連結列（以 SRC 格擾動）</t>
        </is>
      </c>
    </row>
    <row r="210">
      <c r="A210" s="2" t="inlineStr">
        <is>
          <t>Train_In</t>
        </is>
      </c>
      <c r="B210" s="2" t="n">
        <v>43</v>
      </c>
      <c r="C210" s="2" t="inlineStr">
        <is>
          <t>DeepSeek V3 預訓練序列長</t>
        </is>
      </c>
      <c r="D210" s="2" t="inlineStr">
        <is>
          <t>—</t>
        </is>
      </c>
      <c r="E210" s="2" t="inlineStr">
        <is>
          <t>—</t>
        </is>
      </c>
      <c r="F210" s="2" t="inlineStr">
        <is>
          <t>—（v5.10 無對應列）</t>
        </is>
      </c>
      <c r="G210" s="2" t="n">
        <v>209</v>
      </c>
      <c r="H210" s="2" t="n">
        <v>0</v>
      </c>
      <c r="I210" s="2" t="inlineStr">
        <is>
          <t>無</t>
        </is>
      </c>
      <c r="J210" s="2" t="n">
        <v>209</v>
      </c>
      <c r="K210" s="2" t="n">
        <v>0</v>
      </c>
      <c r="L210" s="2" t="inlineStr">
        <is>
          <t>無</t>
        </is>
      </c>
      <c r="M210" s="2" t="inlineStr"/>
      <c r="N210" s="2" t="inlineStr">
        <is>
          <t>v5.10 無對應列（新列或結構改變）；連結列（以 SRC 格擾動）</t>
        </is>
      </c>
    </row>
    <row r="211">
      <c r="A211" s="2" t="inlineStr">
        <is>
          <t>Train_In</t>
        </is>
      </c>
      <c r="B211" s="2" t="n">
        <v>45</v>
      </c>
      <c r="C211" s="2" t="inlineStr">
        <is>
          <t>Grok 4 RL ÷ 預訓練（宣稱）</t>
        </is>
      </c>
      <c r="D211" s="2" t="inlineStr">
        <is>
          <t>—</t>
        </is>
      </c>
      <c r="E211" s="2" t="inlineStr">
        <is>
          <t>—</t>
        </is>
      </c>
      <c r="F211" s="2" t="inlineStr">
        <is>
          <t>—（v5.10 無對應列）</t>
        </is>
      </c>
      <c r="G211" s="2" t="n">
        <v>210</v>
      </c>
      <c r="H211" s="2" t="n">
        <v>0</v>
      </c>
      <c r="I211" s="2" t="inlineStr">
        <is>
          <t>無</t>
        </is>
      </c>
      <c r="J211" s="2" t="n">
        <v>210</v>
      </c>
      <c r="K211" s="2" t="n">
        <v>0</v>
      </c>
      <c r="L211" s="2" t="inlineStr">
        <is>
          <t>無</t>
        </is>
      </c>
      <c r="M211" s="2" t="inlineStr"/>
      <c r="N211" s="2" t="inlineStr">
        <is>
          <t>v5.10 無對應列（新列或結構改變）；連結列（以 SRC 格擾動）</t>
        </is>
      </c>
    </row>
    <row r="212">
      <c r="A212" s="2" t="inlineStr">
        <is>
          <t>Workload</t>
        </is>
      </c>
      <c r="B212" s="2" t="n">
        <v>12</v>
      </c>
      <c r="C212" s="2" t="inlineStr">
        <is>
          <t>並行子代理數 m</t>
        </is>
      </c>
      <c r="D212" s="2" t="n">
        <v>121</v>
      </c>
      <c r="E212" s="2" t="n">
        <v>0</v>
      </c>
      <c r="F212" s="2" t="inlineStr">
        <is>
          <t>無</t>
        </is>
      </c>
      <c r="G212" s="2" t="n">
        <v>211</v>
      </c>
      <c r="H212" s="2" t="n">
        <v>0</v>
      </c>
      <c r="I212" s="2" t="inlineStr">
        <is>
          <t>無</t>
        </is>
      </c>
      <c r="J212" s="2" t="n">
        <v>211</v>
      </c>
      <c r="K212" s="2" t="n">
        <v>0</v>
      </c>
      <c r="L212" s="2" t="inlineStr">
        <is>
          <t>無</t>
        </is>
      </c>
      <c r="M212" s="2" t="inlineStr"/>
      <c r="N212" s="2" t="inlineStr">
        <is>
          <t>分段不變</t>
        </is>
      </c>
    </row>
    <row r="214">
      <c r="A214" t="inlineStr">
        <is>
          <t>W2 現行（Gov_Map P 欄）</t>
        </is>
      </c>
      <c r="B214" t="n">
        <v>33</v>
      </c>
      <c r="C214" t="inlineStr">
        <is>
          <t>W2 新分段（B 法）</t>
        </is>
      </c>
      <c r="D214" t="n">
        <v>42</v>
      </c>
      <c r="E214" t="inlineStr">
        <is>
          <t>分段計數 O01–O13</t>
        </is>
      </c>
      <c r="F214" t="inlineStr">
        <is>
          <t>{'無': 98, '中': 33, '高': 33, '低': 47}</t>
        </is>
      </c>
      <c r="G214" t="inlineStr">
        <is>
          <t>分段計數 ＋L1</t>
        </is>
      </c>
      <c r="H214" t="inlineStr">
        <is>
          <t>{'無': 77, '高': 37, '中': 43, '低': 54}</t>
        </is>
      </c>
    </row>
  </sheetData>
  <autoFilter ref="A1:N2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80" customWidth="1" min="2" max="2"/>
    <col width="60" customWidth="1" min="3" max="3"/>
  </cols>
  <sheetData>
    <row r="1">
      <c r="A1" s="3" t="inlineStr">
        <is>
          <t>項目</t>
        </is>
      </c>
      <c r="B1" s="3" t="inlineStr">
        <is>
          <t>為什麼不能自行決定</t>
        </is>
      </c>
      <c r="C1" s="3" t="inlineStr">
        <is>
          <t>可選做法</t>
        </is>
      </c>
    </row>
    <row r="2">
      <c r="A2" s="2" t="inlineStr">
        <is>
          <t>讀取全面受限：第一手網站被網路政策封鎖</t>
        </is>
      </c>
      <c r="B2" s="2" t="inlineStr">
        <is>
          <t>本工作階段的網路政策封鎖 huggingface.co、arxiv.org、openai.com、epoch.ai、nvidia.com、docs.nvidia.com、ir.supermicro.com、inferencex.semianalysis.com、theregister.com、techradar.com、pulse2.com、tokensperday.com、github.com（403）等；只有 WebSearch 的文字摘要可用。因此查核紀錄無一筆達「已讀原文」，建議等級全為 3（G0-7：只見搜尋摘錄）。這不是「原文不存在」，是讀取失敗，依規則 2 填 R5。</t>
        </is>
      </c>
      <c r="C2" s="2" t="inlineStr">
        <is>
          <t>(a) Andy 在環境「網路存取」設定允許上述網域（Custom＋Allowed domains）後，由 CC 重跑 B1–B3（最有價值：huggingface.co、arxiv.org、openai.com、epoch.ai、inferencex.semianalysis.com、ir.supermicro.com、docs.nvidia.com）；(b) Andy 直接提供原文檔；(c) 接受以搜尋摘要作為 3 級證據，不升級</t>
        </is>
      </c>
    </row>
    <row r="3">
      <c r="A3" s="2" t="inlineStr">
        <is>
          <t>S1 (a) 升級候選為 0 筆</t>
        </is>
      </c>
      <c r="B3" s="2" t="inlineStr">
        <is>
          <t>S1 (a) 要求「CC 讀到原文、附網址與原文摘錄、值相同」才列為升級候選。本批未讀到任何原文，故沒有升級候選。表中「是否一致」只代表「搜尋摘要與現值相符」，不得據此升級。</t>
        </is>
      </c>
      <c r="C3" s="2" t="inlineStr">
        <is>
          <t>等讀到原文後再依 S1 (a) 處理</t>
        </is>
      </c>
    </row>
    <row r="4">
      <c r="A4" s="2" t="inlineStr">
        <is>
          <t>SRC_DEM_011、SRC_DEM_013 現為 2 級，但本次只見摘要</t>
        </is>
      </c>
      <c r="B4" s="2" t="inlineStr">
        <is>
          <t>兩筆現等級 2（二手已讀）。本批未能讀到原文，無法確認或推翻；依 G0-7 若原文也讀不到，是否降為 3 屬判斷類。</t>
        </is>
      </c>
      <c r="C4" s="2" t="inlineStr">
        <is>
          <t>(a) 維持 2（沿用前次已讀紀錄）；(b) 待原文讀到後再決定；(c) 降為 3</t>
        </is>
      </c>
    </row>
    <row r="5">
      <c r="A5" s="2" t="inlineStr">
        <is>
          <t>SRC_HW_054：die 與封裝口徑</t>
        </is>
      </c>
      <c r="B5" s="2" t="inlineStr">
        <is>
          <t>NVIDIA 以「NVL576＝576 GPU die」命名，模型以 144 封裝×4 die 計 576。摘要未見原文逐字寫 144；另有轉述寫「每 pod 18 blade×每 blade 8 GPU」。</t>
        </is>
      </c>
      <c r="C5" s="2" t="inlineStr">
        <is>
          <t>讀原文後確認；或在 SRC 口徑欄註明換算式</t>
        </is>
      </c>
    </row>
    <row r="6">
      <c r="A6" s="2" t="inlineStr">
        <is>
          <t>SRC_HW_045：Rubin Ultra FP8 5 EF 是否 dense</t>
        </is>
      </c>
      <c r="B6" s="2" t="inlineStr">
        <is>
          <t>摘要寫「5 EF FP8 訓練」；NVIDIA 通常以含稀疏列示。若為稀疏，G40 的 34.7 PF/封裝（dense）應減半，影響訓練 FP8 峰值（Spec_Rack 第 40 列，v5.10 敏感度排名 20、高段）。</t>
        </is>
      </c>
      <c r="C6" s="2" t="inlineStr">
        <is>
          <t>讀原文確認 dense 或稀疏；確認前不改</t>
        </is>
      </c>
    </row>
    <row r="7">
      <c r="A7" s="2" t="inlineStr">
        <is>
          <t>SRC_HW_015 的立場欄為「中立」，但現行標記為 IP</t>
        </is>
      </c>
      <c r="B7" s="2" t="inlineStr">
        <is>
          <t>SRC 立場欄＝中立（賣方研究），Spec_Rack 標記＝Interested-party，兩者不一致；MS 為成本、Bernstein 為售價，口徑也不同。</t>
        </is>
      </c>
      <c r="C7" s="2" t="inlineStr">
        <is>
          <t>Project 決定立場與口徑後再統一</t>
        </is>
      </c>
    </row>
    <row r="8">
      <c r="A8" s="2" t="inlineStr">
        <is>
          <t>Arch C34：KV 結構重算的定義</t>
        </is>
      </c>
      <c r="B8" s="2" t="inlineStr">
        <is>
          <t>候選 66（只計壓縮 KV）、82（加 CSA indexer key）、另有滑動窗固定量；CSA／HCA 層是否恰各半、V4-Pro 是否同結構，需 config.json。屬機制定義。</t>
        </is>
      </c>
      <c r="C8" s="2" t="inlineStr">
        <is>
          <t>Project 決定納入哪些項目；等 config.json 讀到後再算</t>
        </is>
      </c>
    </row>
    <row r="9">
      <c r="A9" s="2" t="inlineStr">
        <is>
          <t>B7 方法：literal 重跑與「參數列」重跑結果不同</t>
        </is>
      </c>
      <c r="B9" s="2" t="inlineStr">
        <is>
          <t>v5.14 起模型頁多數藍字改為連結 SRC 頁，Stage 0 的做法（只擾動列內藍字格）在 v5.16 會低估連結列。本報告同時給：A（literal，270 列，含 SRC 頁各列）與 B（參數列，連結的 SRC 格一併擾動，211 列）。B 中 Spec_Rack 第 24、28 列因與第 23、6 列共用 SRC 格而得到高分（共享來源假象），W2 在 B 法為 42，其中 9 格（D24:G24、C28:G28）來自這兩列；扣除後為 33，與現行相同。</t>
        </is>
      </c>
      <c r="C9" s="2" t="inlineStr">
        <is>
          <t>Project 決定採 A、B 或「以 SRC 格為單位」；在決定前 Gov_Map P 欄不動</t>
        </is>
      </c>
    </row>
    <row r="10">
      <c r="A10" s="2" t="inlineStr">
        <is>
          <t>B7 輸出集合：L1 Answers「主列」的範圍</t>
        </is>
      </c>
      <c r="B10" s="2" t="inlineStr">
        <is>
          <t>本批取 L1_Ans1–Ans9（D 欄）＋Ans5_GM、Ans5_FullMargin、Ans6_GPUh，共 12 個（O15–O26）。不含 _Lo／_Hi 欄。</t>
        </is>
      </c>
      <c r="C10" s="2" t="inlineStr">
        <is>
          <t>確認範圍或調整</t>
        </is>
      </c>
    </row>
    <row r="11">
      <c r="A11" s="2" t="inlineStr">
        <is>
          <t>Inputs!E5 IT 電力規模的彈性由 1.001 變為 0.001</t>
        </is>
      </c>
      <c r="B11" s="2" t="inlineStr">
        <is>
          <t>v5.10 Stage 0 記為「定義性（每 GW 值隨規模等比，ε≡1）」；v5.16 因每 GW 輸出已除以本格（發現 F14），彈性≈0。Gov_Map P 欄仍為「高」。</t>
        </is>
      </c>
      <c r="C11" s="2" t="inlineStr">
        <is>
          <t>是否把 Gov_Map P 改為「無」屬判斷類（v5.18）</t>
        </is>
      </c>
    </row>
    <row r="12">
      <c r="A12" s="2" t="inlineStr">
        <is>
          <t>Checks 21 的 4.43M tok/s/MW 與口徑</t>
        </is>
      </c>
      <c r="B12" s="2" t="inlineStr">
        <is>
          <t>見結構與公式頁：反推 2.12 kW/GPU（×72＝152.5 kW）貼近 GB300 尖峰電氣設計 ~155 kW，非 IT 平均用電 1.52 kW/GPU。</t>
        </is>
      </c>
      <c r="C12" s="2" t="inlineStr">
        <is>
          <t>Project 決定該列的對照口徑</t>
        </is>
      </c>
    </row>
    <row r="13">
      <c r="A13" s="2" t="inlineStr">
        <is>
          <t>B6：哪些估計算「同口徑的獨立估計」</t>
        </is>
      </c>
      <c r="B13" s="2" t="inlineStr">
        <is>
          <t>例如 VR200 機架：MS（成本）、Bernstein（可能為售價）、台灣供應鏈（口徑未明）；GB300：採購單、分析師估計、媒體報導；Hopper：經銷掛牌價。G13 要求同口徑獨立，口徑判斷屬判斷類。</t>
        </is>
      </c>
      <c r="C13" s="2" t="inlineStr">
        <is>
          <t>Project 決定納入集合；中位數／最小／最大已依各集合分別列出</t>
        </is>
      </c>
    </row>
    <row r="14">
      <c r="A14" s="2" t="inlineStr">
        <is>
          <t>B4 缺口：OSL／ISL／每層延遲倍數／RL rollout token 無直接證據</t>
        </is>
      </c>
      <c r="B14" s="2" t="inlineStr">
        <is>
          <t>搜尋未找到含推理 token 的長度分布、每層延遲量測與前沿實驗室總 rollout token；只列候選或標「找不到原始出處」。</t>
        </is>
      </c>
      <c r="C14" s="2" t="inlineStr">
        <is>
          <t>需 Andy 提供資料，或允許更多網域後重搜；本批不提議數值</t>
        </is>
      </c>
    </row>
    <row r="15">
      <c r="A15" s="2" t="inlineStr">
        <is>
          <t>DEM_011 時點、DEM_013 token 口徑</t>
        </is>
      </c>
      <c r="B15" s="2" t="inlineStr">
        <is>
          <t>DEM_011：不同轉述把 150 億 token/分寫成「2025 年底」「2026-04」，並有 2025-10 為 60 億/分的說法，時點需原文。DEM_013：Epoch 的 10–100 T/日為生成 token（輸出）口徑，模型對照時是否同口徑未明；Epoch 另有 19–20 T/日的直接用量法。</t>
        </is>
      </c>
      <c r="C15" s="2" t="inlineStr">
        <is>
          <t>讀原文後定；L1 外部對照的口徑由 Project 判斷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2026-10-05T08:49:47Z</dcterms:created>
  <dcterms:modified xsi:type="dcterms:W3CDTF">2026-10-05T08:49:47Z</dcterms:modified>
</cp:coreProperties>
</file>