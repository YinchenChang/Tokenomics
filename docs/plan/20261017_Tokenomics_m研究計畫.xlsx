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1_m敏感度" sheetId="2" state="visible" r:id="rId4"/>
    <sheet name="2_研究清單" sheetId="3" state="visible" r:id="rId5"/>
    <sheet name="3_下一階段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<sst xmlns="http://schemas.openxmlformats.org/spreadsheetml/2006/main" count="295" uniqueCount="261">
  <si>
    <r>
      <rPr>
        <b val="true"/>
        <sz val="12"/>
        <rFont val="Arial"/>
        <family val="0"/>
        <charset val="1"/>
      </rPr>
      <t xml:space="preserve">Tokenomics m </t>
    </r>
    <r>
      <rPr>
        <b val="true"/>
        <sz val="12"/>
        <rFont val="Noto Sans CJK SC"/>
        <family val="2"/>
      </rPr>
      <t xml:space="preserve">研究計畫（</t>
    </r>
    <r>
      <rPr>
        <b val="true"/>
        <sz val="12"/>
        <rFont val="Arial"/>
        <family val="0"/>
        <charset val="1"/>
      </rPr>
      <t xml:space="preserve">2026-10-17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Arial"/>
        <family val="0"/>
        <charset val="1"/>
      </rPr>
      <t xml:space="preserve">chat </t>
    </r>
    <r>
      <rPr>
        <b val="true"/>
        <sz val="12"/>
        <rFont val="Noto Sans CJK SC"/>
        <family val="2"/>
      </rPr>
      <t xml:space="preserve">端）</t>
    </r>
  </si>
  <si>
    <r>
      <rPr>
        <sz val="10"/>
        <rFont val="Noto Sans CJK SC"/>
        <family val="2"/>
      </rPr>
      <t xml:space="preserve">目的：找出影響 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L1_MFleet</t>
    </r>
    <r>
      <rPr>
        <sz val="10"/>
        <rFont val="Noto Sans CJK SC"/>
        <family val="2"/>
      </rPr>
      <t xml:space="preserve">，機隊變現率＝營收 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（機隊付費 </t>
    </r>
    <r>
      <rPr>
        <sz val="10"/>
        <rFont val="Arial"/>
        <family val="0"/>
        <charset val="1"/>
      </rPr>
      <t xml:space="preserve">token × 2025 </t>
    </r>
    <r>
      <rPr>
        <sz val="10"/>
        <rFont val="Noto Sans CJK SC"/>
        <family val="2"/>
      </rPr>
      <t xml:space="preserve">機隊口徑單價））最承重且最不確定的變數，作為下一階段外部證據蒐集的重點。</t>
    </r>
  </si>
  <si>
    <r>
      <rPr>
        <sz val="10"/>
        <rFont val="Noto Sans CJK SC"/>
        <family val="2"/>
      </rPr>
      <t xml:space="preserve">基準：</t>
    </r>
    <r>
      <rPr>
        <sz val="10"/>
        <rFont val="Arial"/>
        <family val="0"/>
        <charset val="1"/>
      </rPr>
      <t xml:space="preserve">Tokenomics v15.1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model/20261017_Tokenomics_v15.1.xlsx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master ba61f2b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基準 </t>
    </r>
    <r>
      <rPr>
        <sz val="10"/>
        <rFont val="Arial"/>
        <family val="0"/>
        <charset val="1"/>
      </rPr>
      <t xml:space="preserve">0.4073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</si>
  <si>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分頁：</t>
    </r>
    <r>
      <rPr>
        <sz val="10"/>
        <rFont val="Arial"/>
        <family val="0"/>
        <charset val="1"/>
      </rPr>
      <t xml:space="preserve">1_m</t>
    </r>
    <r>
      <rPr>
        <sz val="10"/>
        <rFont val="Noto Sans CJK SC"/>
        <family val="2"/>
      </rPr>
      <t xml:space="preserve">敏感度＝</t>
    </r>
    <r>
      <rPr>
        <sz val="10"/>
        <rFont val="Arial"/>
        <family val="0"/>
        <charset val="1"/>
      </rPr>
      <t xml:space="preserve">25 </t>
    </r>
    <r>
      <rPr>
        <sz val="10"/>
        <rFont val="Noto Sans CJK SC"/>
        <family val="2"/>
      </rPr>
      <t xml:space="preserve">個輸入的單變數測試（每個輸入改到 </t>
    </r>
    <r>
      <rPr>
        <sz val="10"/>
        <rFont val="Arial"/>
        <family val="0"/>
        <charset val="1"/>
      </rPr>
      <t xml:space="preserve">Gov_Map </t>
    </r>
    <r>
      <rPr>
        <sz val="10"/>
        <rFont val="Noto Sans CJK SC"/>
        <family val="2"/>
      </rPr>
      <t xml:space="preserve">低端與高端，各以 </t>
    </r>
    <r>
      <rPr>
        <sz val="10"/>
        <rFont val="Arial"/>
        <family val="0"/>
        <charset val="1"/>
      </rPr>
      <t xml:space="preserve">LibreOffice </t>
    </r>
    <r>
      <rPr>
        <sz val="10"/>
        <rFont val="Noto Sans CJK SC"/>
        <family val="2"/>
      </rPr>
      <t xml:space="preserve">重算整本活頁簿一次，共 </t>
    </r>
    <r>
      <rPr>
        <sz val="10"/>
        <rFont val="Arial"/>
        <family val="0"/>
        <charset val="1"/>
      </rPr>
      <t xml:space="preserve">52 </t>
    </r>
    <r>
      <rPr>
        <sz val="10"/>
        <rFont val="Noto Sans CJK SC"/>
        <family val="2"/>
      </rPr>
      <t xml:space="preserve">次）；</t>
    </r>
    <r>
      <rPr>
        <sz val="10"/>
        <rFont val="Arial"/>
        <family val="0"/>
        <charset val="1"/>
      </rPr>
      <t xml:space="preserve">2_</t>
    </r>
    <r>
      <rPr>
        <sz val="10"/>
        <rFont val="Noto Sans CJK SC"/>
        <family val="2"/>
      </rPr>
      <t xml:space="preserve">研究清單＝要蒐集的證據與分工；</t>
    </r>
    <r>
      <rPr>
        <sz val="10"/>
        <rFont val="Arial"/>
        <family val="0"/>
        <charset val="1"/>
      </rPr>
      <t xml:space="preserve">3_</t>
    </r>
    <r>
      <rPr>
        <sz val="10"/>
        <rFont val="Noto Sans CJK SC"/>
        <family val="2"/>
      </rPr>
      <t xml:space="preserve">下一階段＝與結案報告第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節／交接檔第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節的整合。</t>
    </r>
  </si>
  <si>
    <r>
      <rPr>
        <sz val="10"/>
        <rFont val="Noto Sans CJK SC"/>
        <family val="2"/>
      </rPr>
      <t xml:space="preserve">讀法：承重度＝弧彈性＝</t>
    </r>
    <r>
      <rPr>
        <sz val="10"/>
        <rFont val="Arial"/>
        <family val="0"/>
        <charset val="1"/>
      </rPr>
      <t xml:space="preserve">ln(m</t>
    </r>
    <r>
      <rPr>
        <sz val="10"/>
        <rFont val="Noto Sans CJK SC"/>
        <family val="2"/>
      </rPr>
      <t xml:space="preserve">高</t>
    </r>
    <r>
      <rPr>
        <sz val="10"/>
        <rFont val="Arial"/>
        <family val="0"/>
        <charset val="1"/>
      </rPr>
      <t xml:space="preserve">/m</t>
    </r>
    <r>
      <rPr>
        <sz val="10"/>
        <rFont val="Noto Sans CJK SC"/>
        <family val="2"/>
      </rPr>
      <t xml:space="preserve">低</t>
    </r>
    <r>
      <rPr>
        <sz val="10"/>
        <rFont val="Arial"/>
        <family val="0"/>
        <charset val="1"/>
      </rPr>
      <t xml:space="preserve">) ÷ ln(</t>
    </r>
    <r>
      <rPr>
        <sz val="10"/>
        <rFont val="Noto Sans CJK SC"/>
        <family val="2"/>
      </rPr>
      <t xml:space="preserve">輸入高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輸入低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，即輸入動 </t>
    </r>
    <r>
      <rPr>
        <sz val="10"/>
        <rFont val="Arial"/>
        <family val="0"/>
        <charset val="1"/>
      </rPr>
      <t xml:space="preserve">1%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動幾 </t>
    </r>
    <r>
      <rPr>
        <sz val="10"/>
        <rFont val="Arial"/>
        <family val="0"/>
        <charset val="1"/>
      </rPr>
      <t xml:space="preserve">%</t>
    </r>
    <r>
      <rPr>
        <sz val="10"/>
        <rFont val="Noto Sans CJK SC"/>
        <family val="2"/>
      </rPr>
      <t xml:space="preserve">；擺動＝</t>
    </r>
    <r>
      <rPr>
        <sz val="10"/>
        <rFont val="Arial"/>
        <family val="0"/>
        <charset val="1"/>
      </rPr>
      <t xml:space="preserve">|m</t>
    </r>
    <r>
      <rPr>
        <sz val="10"/>
        <rFont val="Noto Sans CJK SC"/>
        <family val="2"/>
      </rPr>
      <t xml:space="preserve">高 − 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低</t>
    </r>
    <r>
      <rPr>
        <sz val="10"/>
        <rFont val="Arial"/>
        <family val="0"/>
        <charset val="1"/>
      </rPr>
      <t xml:space="preserve">| ÷ m </t>
    </r>
    <r>
      <rPr>
        <sz val="10"/>
        <rFont val="Noto Sans CJK SC"/>
        <family val="2"/>
      </rPr>
      <t xml:space="preserve">基準。兩欄皆為本頁公式。</t>
    </r>
  </si>
  <si>
    <r>
      <rPr>
        <sz val="10"/>
        <rFont val="Noto Sans CJK SC"/>
        <family val="2"/>
      </rPr>
      <t xml:space="preserve">藍字＝</t>
    </r>
    <r>
      <rPr>
        <sz val="10"/>
        <rFont val="Arial"/>
        <family val="0"/>
        <charset val="1"/>
      </rPr>
      <t xml:space="preserve">LibreOffice </t>
    </r>
    <r>
      <rPr>
        <sz val="10"/>
        <rFont val="Noto Sans CJK SC"/>
        <family val="2"/>
      </rPr>
      <t xml:space="preserve">重算的結果或輸入值（硬編碼，來源見各列）；黑字＝本頁公式。</t>
    </r>
  </si>
  <si>
    <r>
      <rPr>
        <sz val="10"/>
        <rFont val="Noto Sans CJK SC"/>
        <family val="2"/>
      </rPr>
      <t xml:space="preserve">分工代號：</t>
    </r>
    <r>
      <rPr>
        <sz val="10"/>
        <rFont val="Arial"/>
        <family val="0"/>
        <charset val="1"/>
      </rPr>
      <t xml:space="preserve">C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chat </t>
    </r>
    <r>
      <rPr>
        <sz val="10"/>
        <rFont val="Noto Sans CJK SC"/>
        <family val="2"/>
      </rPr>
      <t xml:space="preserve">端可在公開網路找到（已試搜確認）；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線上＝</t>
    </r>
    <r>
      <rPr>
        <sz val="10"/>
        <rFont val="Arial"/>
        <family val="0"/>
        <charset val="1"/>
      </rPr>
      <t xml:space="preserve">Andy </t>
    </r>
    <r>
      <rPr>
        <sz val="10"/>
        <rFont val="Noto Sans CJK SC"/>
        <family val="2"/>
      </rPr>
      <t xml:space="preserve">在網路上找（付費牆、訂閱、需登入）；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線下＝</t>
    </r>
    <r>
      <rPr>
        <sz val="10"/>
        <rFont val="Arial"/>
        <family val="0"/>
        <charset val="1"/>
      </rPr>
      <t xml:space="preserve">Andy </t>
    </r>
    <r>
      <rPr>
        <sz val="10"/>
        <rFont val="Noto Sans CJK SC"/>
        <family val="2"/>
      </rPr>
      <t xml:space="preserve">線下調研（業者訪談、供應鏈查核）；</t>
    </r>
    <r>
      <rPr>
        <sz val="10"/>
        <rFont val="Arial"/>
        <family val="0"/>
        <charset val="1"/>
      </rPr>
      <t xml:space="preserve">J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Andy </t>
    </r>
    <r>
      <rPr>
        <sz val="10"/>
        <rFont val="Noto Sans CJK SC"/>
        <family val="2"/>
      </rPr>
      <t xml:space="preserve">判斷，不需蒐集。</t>
    </r>
  </si>
  <si>
    <r>
      <rPr>
        <sz val="10"/>
        <rFont val="Noto Sans CJK SC"/>
        <family val="2"/>
      </rPr>
      <t xml:space="preserve">限制：單變數測試，未測交互作用；多數區間本身是 </t>
    </r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；兩種組合（世代、層級）無區間，表中為 </t>
    </r>
    <r>
      <rPr>
        <sz val="10"/>
        <rFont val="Arial"/>
        <family val="0"/>
        <charset val="1"/>
      </rPr>
      <t xml:space="preserve">chat </t>
    </r>
    <r>
      <rPr>
        <sz val="10"/>
        <rFont val="Noto Sans CJK SC"/>
        <family val="2"/>
      </rPr>
      <t xml:space="preserve">端暫設；實際利用率高端被 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的同欄下限截斷，彈性 −</t>
    </r>
    <r>
      <rPr>
        <sz val="10"/>
        <rFont val="Arial"/>
        <family val="0"/>
        <charset val="1"/>
      </rPr>
      <t xml:space="preserve">0.80 </t>
    </r>
    <r>
      <rPr>
        <sz val="10"/>
        <rFont val="Noto Sans CJK SC"/>
        <family val="2"/>
      </rPr>
      <t xml:space="preserve">而非 −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。</t>
    </r>
  </si>
  <si>
    <t xml:space="preserve">#</t>
  </si>
  <si>
    <t xml:space="preserve">輸入</t>
  </si>
  <si>
    <t xml:space="preserve">活頁簿位置</t>
  </si>
  <si>
    <t xml:space="preserve">低值</t>
  </si>
  <si>
    <t xml:space="preserve">高值</t>
  </si>
  <si>
    <t xml:space="preserve">區間來源</t>
  </si>
  <si>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（低值）</t>
    </r>
  </si>
  <si>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（高值）</t>
    </r>
  </si>
  <si>
    <t xml:space="preserve">承重度（弧彈性）</t>
  </si>
  <si>
    <t xml:space="preserve">擺動</t>
  </si>
  <si>
    <r>
      <rPr>
        <b val="true"/>
        <sz val="10"/>
        <rFont val="Noto Sans CJK SC"/>
        <family val="2"/>
      </rPr>
      <t xml:space="preserve">需求路線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（低）</t>
    </r>
  </si>
  <si>
    <r>
      <rPr>
        <b val="true"/>
        <sz val="10"/>
        <rFont val="Noto Sans CJK SC"/>
        <family val="2"/>
      </rPr>
      <t xml:space="preserve">需求路線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（高）</t>
    </r>
  </si>
  <si>
    <t xml:space="preserve">說明</t>
  </si>
  <si>
    <t xml:space="preserve">基準</t>
  </si>
  <si>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基準（</t>
    </r>
    <r>
      <rPr>
        <sz val="10"/>
        <rFont val="Arial"/>
        <family val="0"/>
        <charset val="1"/>
      </rPr>
      <t xml:space="preserve">v15.1 </t>
    </r>
    <r>
      <rPr>
        <sz val="10"/>
        <rFont val="Noto Sans CJK SC"/>
        <family val="2"/>
      </rPr>
      <t xml:space="preserve">重算重現）</t>
    </r>
  </si>
  <si>
    <r>
      <rPr>
        <sz val="10"/>
        <rFont val="Arial"/>
        <family val="0"/>
        <charset val="1"/>
      </rPr>
      <t xml:space="preserve">Astra 2025 </t>
    </r>
    <r>
      <rPr>
        <sz val="10"/>
        <rFont val="Noto Sans CJK SC"/>
        <family val="2"/>
      </rPr>
      <t xml:space="preserve">單價 </t>
    </r>
    <r>
      <rPr>
        <sz val="10"/>
        <rFont val="Arial"/>
        <family val="0"/>
        <charset val="1"/>
      </rPr>
      <t xml:space="preserve">Cap_In C280</t>
    </r>
  </si>
  <si>
    <t xml:space="preserve">Cap_In!C280</t>
  </si>
  <si>
    <t xml:space="preserve">GM669 Derived</t>
  </si>
  <si>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頂層序列 </t>
    </r>
    <r>
      <rPr>
        <sz val="10"/>
        <rFont val="Arial"/>
        <family val="0"/>
        <charset val="1"/>
      </rPr>
      <t xml:space="preserve">o1→o3→GPT-5 thinking </t>
    </r>
    <r>
      <rPr>
        <sz val="10"/>
        <rFont val="Noto Sans CJK SC"/>
        <family val="2"/>
      </rPr>
      <t xml:space="preserve">按在售天數加權；高端＝</t>
    </r>
    <r>
      <rPr>
        <sz val="10"/>
        <rFont val="Arial"/>
        <family val="0"/>
        <charset val="1"/>
      </rPr>
      <t xml:space="preserve">o1 </t>
    </r>
    <r>
      <rPr>
        <sz val="10"/>
        <rFont val="Noto Sans CJK SC"/>
        <family val="2"/>
      </rPr>
      <t xml:space="preserve">全年（極端值，非合理上限）；用量加權會低於 </t>
    </r>
    <r>
      <rPr>
        <sz val="10"/>
        <rFont val="Arial"/>
        <family val="0"/>
        <charset val="1"/>
      </rPr>
      <t xml:space="preserve">7.17</t>
    </r>
  </si>
  <si>
    <r>
      <rPr>
        <sz val="10"/>
        <rFont val="Arial"/>
        <family val="0"/>
        <charset val="1"/>
      </rPr>
      <t xml:space="preserve">GB200 η_d </t>
    </r>
    <r>
      <rPr>
        <sz val="10"/>
        <rFont val="Noto Sans CJK SC"/>
        <family val="2"/>
      </rPr>
      <t xml:space="preserve">倍數 </t>
    </r>
    <r>
      <rPr>
        <sz val="10"/>
        <rFont val="Arial"/>
        <family val="0"/>
        <charset val="1"/>
      </rPr>
      <t xml:space="preserve">Calib D67</t>
    </r>
  </si>
  <si>
    <t xml:space="preserve">Calib!D67</t>
  </si>
  <si>
    <t xml:space="preserve">GM342 Analogy</t>
  </si>
  <si>
    <r>
      <rPr>
        <sz val="10"/>
        <rFont val="Noto Sans CJK SC"/>
        <family val="2"/>
      </rPr>
      <t xml:space="preserve">請求形狀 </t>
    </r>
    <r>
      <rPr>
        <sz val="10"/>
        <rFont val="Arial"/>
        <family val="0"/>
        <charset val="1"/>
      </rPr>
      <t xml:space="preserve">κ Alloc_In C26</t>
    </r>
  </si>
  <si>
    <t xml:space="preserve">Alloc_In!C26</t>
  </si>
  <si>
    <t xml:space="preserve">GM644 Derived</t>
  </si>
  <si>
    <r>
      <rPr>
        <sz val="10"/>
        <rFont val="Noto Sans CJK SC"/>
        <family val="2"/>
      </rPr>
      <t xml:space="preserve">待 </t>
    </r>
    <r>
      <rPr>
        <sz val="10"/>
        <rFont val="Arial"/>
        <family val="0"/>
        <charset val="1"/>
      </rPr>
      <t xml:space="preserve">Andy </t>
    </r>
    <r>
      <rPr>
        <sz val="10"/>
        <rFont val="Noto Sans CJK SC"/>
        <family val="2"/>
      </rPr>
      <t xml:space="preserve">判斷：重算值 </t>
    </r>
    <r>
      <rPr>
        <sz val="10"/>
        <rFont val="Arial"/>
        <family val="0"/>
        <charset val="1"/>
      </rPr>
      <t xml:space="preserve">0.852 </t>
    </r>
    <r>
      <rPr>
        <sz val="10"/>
        <rFont val="Noto Sans CJK SC"/>
        <family val="2"/>
      </rPr>
      <t xml:space="preserve">對現用 </t>
    </r>
    <r>
      <rPr>
        <sz val="10"/>
        <rFont val="Arial"/>
        <family val="0"/>
        <charset val="1"/>
      </rPr>
      <t xml:space="preserve">1.0</t>
    </r>
    <r>
      <rPr>
        <sz val="10"/>
        <rFont val="Noto Sans CJK SC"/>
        <family val="2"/>
      </rPr>
      <t xml:space="preserve">；採 </t>
    </r>
    <r>
      <rPr>
        <sz val="10"/>
        <rFont val="Arial"/>
        <family val="0"/>
        <charset val="1"/>
      </rPr>
      <t xml:space="preserve">0.852 → m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0.48</t>
    </r>
  </si>
  <si>
    <r>
      <rPr>
        <sz val="10"/>
        <rFont val="Noto Sans CJK SC"/>
        <family val="2"/>
      </rPr>
      <t xml:space="preserve">實際利用率 </t>
    </r>
    <r>
      <rPr>
        <sz val="10"/>
        <rFont val="Arial"/>
        <family val="0"/>
        <charset val="1"/>
      </rPr>
      <t xml:space="preserve">Alloc_In C24</t>
    </r>
  </si>
  <si>
    <t xml:space="preserve">Alloc_In!C24</t>
  </si>
  <si>
    <t xml:space="preserve">GM598 Assumed</t>
  </si>
  <si>
    <r>
      <rPr>
        <sz val="10"/>
        <rFont val="Noto Sans CJK SC"/>
        <family val="2"/>
      </rPr>
      <t xml:space="preserve">高端被同欄下限截斷，未截斷時彈性 −</t>
    </r>
    <r>
      <rPr>
        <sz val="10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</si>
  <si>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計價倍數 </t>
    </r>
    <r>
      <rPr>
        <sz val="10"/>
        <rFont val="Arial"/>
        <family val="0"/>
        <charset val="1"/>
      </rPr>
      <t xml:space="preserve">Alloc_In C23</t>
    </r>
  </si>
  <si>
    <t xml:space="preserve">Alloc_In!C23</t>
  </si>
  <si>
    <t xml:space="preserve">Gov_Map GM596 Derived</t>
  </si>
  <si>
    <r>
      <rPr>
        <sz val="10"/>
        <rFont val="Arial"/>
        <family val="0"/>
        <charset val="1"/>
      </rPr>
      <t xml:space="preserve">Astra </t>
    </r>
    <r>
      <rPr>
        <sz val="10"/>
        <rFont val="Noto Sans CJK SC"/>
        <family val="2"/>
      </rPr>
      <t xml:space="preserve">啟用參數 </t>
    </r>
    <r>
      <rPr>
        <sz val="10"/>
        <rFont val="Arial"/>
        <family val="0"/>
        <charset val="1"/>
      </rPr>
      <t xml:space="preserve">Arch E7</t>
    </r>
  </si>
  <si>
    <t xml:space="preserve">Arch!E7</t>
  </si>
  <si>
    <t xml:space="preserve">GM204 Assumed</t>
  </si>
  <si>
    <r>
      <rPr>
        <sz val="10"/>
        <rFont val="Noto Sans CJK SC"/>
        <family val="2"/>
      </rPr>
      <t xml:space="preserve">有效折扣 </t>
    </r>
    <r>
      <rPr>
        <sz val="10"/>
        <rFont val="Arial"/>
        <family val="0"/>
        <charset val="1"/>
      </rPr>
      <t xml:space="preserve">Cap_In C12</t>
    </r>
  </si>
  <si>
    <t xml:space="preserve">Cap_In!C12</t>
  </si>
  <si>
    <t xml:space="preserve">GM441 Assumed</t>
  </si>
  <si>
    <r>
      <rPr>
        <sz val="10"/>
        <rFont val="Arial"/>
        <family val="0"/>
        <charset val="1"/>
      </rPr>
      <t xml:space="preserve">Sol </t>
    </r>
    <r>
      <rPr>
        <sz val="10"/>
        <rFont val="Noto Sans CJK SC"/>
        <family val="2"/>
      </rPr>
      <t xml:space="preserve">參考 </t>
    </r>
    <r>
      <rPr>
        <sz val="10"/>
        <rFont val="Arial"/>
        <family val="0"/>
        <charset val="1"/>
      </rPr>
      <t xml:space="preserve">ISL Serving D23</t>
    </r>
  </si>
  <si>
    <t xml:space="preserve">Serving!D23</t>
  </si>
  <si>
    <t xml:space="preserve">GM246 Assumed</t>
  </si>
  <si>
    <r>
      <rPr>
        <sz val="10"/>
        <rFont val="Noto Sans CJK SC"/>
        <family val="2"/>
      </rPr>
      <t xml:space="preserve">生產折減 </t>
    </r>
    <r>
      <rPr>
        <sz val="10"/>
        <rFont val="Arial"/>
        <family val="0"/>
        <charset val="1"/>
      </rPr>
      <t xml:space="preserve">Serving C28</t>
    </r>
  </si>
  <si>
    <t xml:space="preserve">Serving!C28</t>
  </si>
  <si>
    <t xml:space="preserve">GM592 Assumed</t>
  </si>
  <si>
    <r>
      <rPr>
        <sz val="10"/>
        <rFont val="Arial"/>
        <family val="0"/>
        <charset val="1"/>
      </rPr>
      <t xml:space="preserve">Sol </t>
    </r>
    <r>
      <rPr>
        <sz val="10"/>
        <rFont val="Noto Sans CJK SC"/>
        <family val="2"/>
      </rPr>
      <t xml:space="preserve">參考 </t>
    </r>
    <r>
      <rPr>
        <sz val="10"/>
        <rFont val="Arial"/>
        <family val="0"/>
        <charset val="1"/>
      </rPr>
      <t xml:space="preserve">OSL Serving D24</t>
    </r>
  </si>
  <si>
    <t xml:space="preserve">Serving!D24</t>
  </si>
  <si>
    <t xml:space="preserve">GM249 Assumed</t>
  </si>
  <si>
    <r>
      <rPr>
        <sz val="10"/>
        <rFont val="Noto Sans CJK SC"/>
        <family val="2"/>
      </rPr>
      <t xml:space="preserve">服務世代組合 </t>
    </r>
    <r>
      <rPr>
        <sz val="10"/>
        <rFont val="Arial"/>
        <family val="0"/>
        <charset val="1"/>
      </rPr>
      <t xml:space="preserve">Hopper/GB200</t>
    </r>
  </si>
  <si>
    <r>
      <rPr>
        <sz val="10"/>
        <rFont val="Arial"/>
        <family val="0"/>
        <charset val="1"/>
      </rPr>
      <t xml:space="preserve">Alloc_In!C9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Alloc_In!C10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</si>
  <si>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0.5</t>
    </r>
  </si>
  <si>
    <r>
      <rPr>
        <sz val="10"/>
        <color rgb="FF0000FF"/>
        <rFont val="Arial"/>
        <family val="0"/>
        <charset val="1"/>
      </rPr>
      <t xml:space="preserve">0.7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0.3</t>
    </r>
  </si>
  <si>
    <r>
      <rPr>
        <sz val="10"/>
        <rFont val="Noto Sans CJK SC"/>
        <family val="2"/>
      </rPr>
      <t xml:space="preserve">無區間；</t>
    </r>
    <r>
      <rPr>
        <sz val="10"/>
        <rFont val="Arial"/>
        <family val="0"/>
        <charset val="1"/>
      </rPr>
      <t xml:space="preserve">chat </t>
    </r>
    <r>
      <rPr>
        <sz val="10"/>
        <rFont val="Noto Sans CJK SC"/>
        <family val="2"/>
      </rPr>
      <t xml:space="preserve">端暫設 </t>
    </r>
    <r>
      <rPr>
        <sz val="10"/>
        <rFont val="Arial"/>
        <family val="0"/>
        <charset val="1"/>
      </rPr>
      <t xml:space="preserve">±0.1</t>
    </r>
  </si>
  <si>
    <t xml:space="preserve">—</t>
  </si>
  <si>
    <r>
      <rPr>
        <sz val="10"/>
        <rFont val="Noto Sans CJK SC"/>
        <family val="2"/>
      </rPr>
      <t xml:space="preserve">無區間；</t>
    </r>
    <r>
      <rPr>
        <sz val="10"/>
        <rFont val="Arial"/>
        <family val="0"/>
        <charset val="1"/>
      </rPr>
      <t xml:space="preserve">chat </t>
    </r>
    <r>
      <rPr>
        <sz val="10"/>
        <rFont val="Noto Sans CJK SC"/>
        <family val="2"/>
      </rPr>
      <t xml:space="preserve">端暫設 </t>
    </r>
    <r>
      <rPr>
        <sz val="10"/>
        <rFont val="Arial"/>
        <family val="0"/>
        <charset val="1"/>
      </rPr>
      <t xml:space="preserve">Hopper 0.5–0.7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GB200 </t>
    </r>
    <r>
      <rPr>
        <sz val="10"/>
        <rFont val="Noto Sans CJK SC"/>
        <family val="2"/>
      </rPr>
      <t xml:space="preserve">同步 </t>
    </r>
    <r>
      <rPr>
        <sz val="10"/>
        <rFont val="Arial"/>
        <family val="0"/>
        <charset val="1"/>
      </rPr>
      <t xml:space="preserve">0.5–0.3</t>
    </r>
    <r>
      <rPr>
        <sz val="10"/>
        <rFont val="Noto Sans CJK SC"/>
        <family val="2"/>
      </rPr>
      <t xml:space="preserve">），不算彈性</t>
    </r>
  </si>
  <si>
    <r>
      <rPr>
        <sz val="10"/>
        <rFont val="Noto Sans CJK SC"/>
        <family val="2"/>
      </rPr>
      <t xml:space="preserve">推論支出 </t>
    </r>
    <r>
      <rPr>
        <sz val="10"/>
        <rFont val="Arial"/>
        <family val="0"/>
        <charset val="1"/>
      </rPr>
      <t xml:space="preserve">SRC_DEM_004</t>
    </r>
  </si>
  <si>
    <t xml:space="preserve">SRC_Demand!C8</t>
  </si>
  <si>
    <r>
      <rPr>
        <sz val="10"/>
        <rFont val="Arial"/>
        <family val="0"/>
        <charset val="1"/>
      </rPr>
      <t xml:space="preserve">SRC Lo/Hi </t>
    </r>
    <r>
      <rPr>
        <sz val="10"/>
        <rFont val="Noto Sans CJK SC"/>
        <family val="2"/>
      </rPr>
      <t xml:space="preserve">利害關係方</t>
    </r>
  </si>
  <si>
    <r>
      <rPr>
        <sz val="10"/>
        <rFont val="Noto Sans CJK SC"/>
        <family val="2"/>
      </rPr>
      <t xml:space="preserve">對照來源 </t>
    </r>
    <r>
      <rPr>
        <sz val="10"/>
        <rFont val="Arial"/>
        <family val="0"/>
        <charset val="1"/>
      </rPr>
      <t xml:space="preserve">SRC_DEM_018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帳單外推）</t>
    </r>
    <r>
      <rPr>
        <sz val="10"/>
        <rFont val="Arial"/>
        <family val="0"/>
        <charset val="1"/>
      </rPr>
      <t xml:space="preserve">12.6</t>
    </r>
    <r>
      <rPr>
        <sz val="10"/>
        <rFont val="Noto Sans CJK SC"/>
        <family val="2"/>
      </rPr>
      <t xml:space="preserve">；若改用 </t>
    </r>
    <r>
      <rPr>
        <sz val="10"/>
        <rFont val="Arial"/>
        <family val="0"/>
        <charset val="1"/>
      </rPr>
      <t xml:space="preserve">12.6 → m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0.27</t>
    </r>
  </si>
  <si>
    <r>
      <rPr>
        <sz val="10"/>
        <rFont val="Noto Sans CJK SC"/>
        <family val="2"/>
      </rPr>
      <t xml:space="preserve">快取命中 </t>
    </r>
    <r>
      <rPr>
        <sz val="10"/>
        <rFont val="Arial"/>
        <family val="0"/>
        <charset val="1"/>
      </rPr>
      <t xml:space="preserve">χ Cap_In C13</t>
    </r>
  </si>
  <si>
    <t xml:space="preserve">Cap_In!C13</t>
  </si>
  <si>
    <t xml:space="preserve">GM443 Assumed</t>
  </si>
  <si>
    <r>
      <rPr>
        <sz val="10"/>
        <rFont val="Arial"/>
        <family val="0"/>
        <charset val="1"/>
      </rPr>
      <t xml:space="preserve">Sol 2025 </t>
    </r>
    <r>
      <rPr>
        <sz val="10"/>
        <rFont val="Noto Sans CJK SC"/>
        <family val="2"/>
      </rPr>
      <t xml:space="preserve">單價 </t>
    </r>
    <r>
      <rPr>
        <sz val="10"/>
        <rFont val="Arial"/>
        <family val="0"/>
        <charset val="1"/>
      </rPr>
      <t xml:space="preserve">Cap_In C279</t>
    </r>
  </si>
  <si>
    <t xml:space="preserve">Cap_In!C279</t>
  </si>
  <si>
    <t xml:space="preserve">GM667 Derived</t>
  </si>
  <si>
    <r>
      <rPr>
        <sz val="10"/>
        <rFont val="Noto Sans CJK SC"/>
        <family val="2"/>
      </rPr>
      <t xml:space="preserve">免費占 </t>
    </r>
    <r>
      <rPr>
        <sz val="10"/>
        <rFont val="Arial"/>
        <family val="0"/>
        <charset val="1"/>
      </rPr>
      <t xml:space="preserve">ChatGPT token Alloc_In C16</t>
    </r>
  </si>
  <si>
    <t xml:space="preserve">Alloc_In!C16</t>
  </si>
  <si>
    <t xml:space="preserve">GM588 Assumed</t>
  </si>
  <si>
    <t xml:space="preserve">WACC Inputs E28</t>
  </si>
  <si>
    <t xml:space="preserve">Inputs!E28</t>
  </si>
  <si>
    <r>
      <rPr>
        <sz val="10"/>
        <rFont val="Noto Sans CJK SC"/>
        <family val="2"/>
      </rPr>
      <t xml:space="preserve">成本角落欄 </t>
    </r>
    <r>
      <rPr>
        <sz val="10"/>
        <rFont val="Arial"/>
        <family val="0"/>
        <charset val="1"/>
      </rPr>
      <t xml:space="preserve">D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F</t>
    </r>
  </si>
  <si>
    <t xml:space="preserve">η_p Calib C5</t>
  </si>
  <si>
    <t xml:space="preserve">Calib!C5</t>
  </si>
  <si>
    <t xml:space="preserve">GM304 Analogy</t>
  </si>
  <si>
    <r>
      <rPr>
        <sz val="10"/>
        <rFont val="Noto Sans CJK SC"/>
        <family val="2"/>
      </rPr>
      <t xml:space="preserve">每則提示 </t>
    </r>
    <r>
      <rPr>
        <sz val="10"/>
        <rFont val="Arial"/>
        <family val="0"/>
        <charset val="1"/>
      </rPr>
      <t xml:space="preserve">token τ Alloc_In C15</t>
    </r>
  </si>
  <si>
    <t xml:space="preserve">Alloc_In!C15</t>
  </si>
  <si>
    <t xml:space="preserve">GM586 Assumed</t>
  </si>
  <si>
    <r>
      <rPr>
        <sz val="10"/>
        <rFont val="Noto Sans CJK SC"/>
        <family val="2"/>
      </rPr>
      <t xml:space="preserve">只影響免費／付費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比；主要影響需求路線 </t>
    </r>
    <r>
      <rPr>
        <sz val="10"/>
        <rFont val="Arial"/>
        <family val="0"/>
        <charset val="1"/>
      </rPr>
      <t xml:space="preserve">m</t>
    </r>
  </si>
  <si>
    <r>
      <rPr>
        <sz val="10"/>
        <rFont val="Arial"/>
        <family val="0"/>
        <charset val="1"/>
      </rPr>
      <t xml:space="preserve">Hopper η_d </t>
    </r>
    <r>
      <rPr>
        <sz val="10"/>
        <rFont val="Noto Sans CJK SC"/>
        <family val="2"/>
      </rPr>
      <t xml:space="preserve">倍數 </t>
    </r>
    <r>
      <rPr>
        <sz val="10"/>
        <rFont val="Arial"/>
        <family val="0"/>
        <charset val="1"/>
      </rPr>
      <t xml:space="preserve">Calib C67</t>
    </r>
  </si>
  <si>
    <t xml:space="preserve">Calib!C67</t>
  </si>
  <si>
    <t xml:space="preserve">GM341 Derived</t>
  </si>
  <si>
    <r>
      <rPr>
        <sz val="10"/>
        <rFont val="Noto Sans CJK SC"/>
        <family val="2"/>
      </rPr>
      <t xml:space="preserve">基準利用率 </t>
    </r>
    <r>
      <rPr>
        <sz val="10"/>
        <rFont val="Arial"/>
        <family val="0"/>
        <charset val="1"/>
      </rPr>
      <t xml:space="preserve">Serving C17</t>
    </r>
  </si>
  <si>
    <t xml:space="preserve">Serving!C17</t>
  </si>
  <si>
    <t xml:space="preserve">GM236 Assumed</t>
  </si>
  <si>
    <r>
      <rPr>
        <sz val="10"/>
        <rFont val="Noto Sans CJK SC"/>
        <family val="2"/>
      </rPr>
      <t xml:space="preserve">付費層級組合 </t>
    </r>
    <r>
      <rPr>
        <sz val="10"/>
        <rFont val="Arial"/>
        <family val="0"/>
        <charset val="1"/>
      </rPr>
      <t xml:space="preserve">Luna/Sol/Astra</t>
    </r>
  </si>
  <si>
    <r>
      <rPr>
        <sz val="10"/>
        <rFont val="Arial"/>
        <family val="0"/>
        <charset val="1"/>
      </rPr>
      <t xml:space="preserve">Cap_In!C31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Cap_In!D31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Cap_In!E31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</si>
  <si>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0.4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0.1</t>
    </r>
  </si>
  <si>
    <r>
      <rPr>
        <sz val="10"/>
        <color rgb="FF0000FF"/>
        <rFont val="Arial"/>
        <family val="0"/>
        <charset val="1"/>
      </rPr>
      <t xml:space="preserve">0.3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0.2</t>
    </r>
  </si>
  <si>
    <r>
      <rPr>
        <sz val="10"/>
        <rFont val="Noto Sans CJK SC"/>
        <family val="2"/>
      </rPr>
      <t xml:space="preserve">無區間；</t>
    </r>
    <r>
      <rPr>
        <sz val="10"/>
        <rFont val="Arial"/>
        <family val="0"/>
        <charset val="1"/>
      </rPr>
      <t xml:space="preserve">chat </t>
    </r>
    <r>
      <rPr>
        <sz val="10"/>
        <rFont val="Noto Sans CJK SC"/>
        <family val="2"/>
      </rPr>
      <t xml:space="preserve">端暫設</t>
    </r>
  </si>
  <si>
    <r>
      <rPr>
        <sz val="10"/>
        <rFont val="Noto Sans CJK SC"/>
        <family val="2"/>
      </rPr>
      <t xml:space="preserve">無區間；</t>
    </r>
    <r>
      <rPr>
        <sz val="10"/>
        <rFont val="Arial"/>
        <family val="0"/>
        <charset val="1"/>
      </rPr>
      <t xml:space="preserve">chat </t>
    </r>
    <r>
      <rPr>
        <sz val="10"/>
        <rFont val="Noto Sans CJK SC"/>
        <family val="2"/>
      </rPr>
      <t xml:space="preserve">端暫設 </t>
    </r>
    <r>
      <rPr>
        <sz val="10"/>
        <rFont val="Arial"/>
        <family val="0"/>
        <charset val="1"/>
      </rPr>
      <t xml:space="preserve">(0.5,0.4,0.1)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(0.3,0.5,0.2)</t>
    </r>
    <r>
      <rPr>
        <sz val="10"/>
        <rFont val="Noto Sans CJK SC"/>
        <family val="2"/>
      </rPr>
      <t xml:space="preserve">，不算彈性</t>
    </r>
  </si>
  <si>
    <r>
      <rPr>
        <sz val="10"/>
        <rFont val="Arial"/>
        <family val="0"/>
        <charset val="1"/>
      </rPr>
      <t xml:space="preserve">Hopper </t>
    </r>
    <r>
      <rPr>
        <sz val="10"/>
        <rFont val="Noto Sans CJK SC"/>
        <family val="2"/>
      </rPr>
      <t xml:space="preserve">每層延遲 </t>
    </r>
    <r>
      <rPr>
        <sz val="10"/>
        <rFont val="Arial"/>
        <family val="0"/>
        <charset val="1"/>
      </rPr>
      <t xml:space="preserve">Calib C68</t>
    </r>
  </si>
  <si>
    <t xml:space="preserve">Calib!C68</t>
  </si>
  <si>
    <t xml:space="preserve">GM346 Assumed</t>
  </si>
  <si>
    <r>
      <rPr>
        <sz val="10"/>
        <rFont val="Arial"/>
        <family val="0"/>
        <charset val="1"/>
      </rPr>
      <t xml:space="preserve">Luna 2025 </t>
    </r>
    <r>
      <rPr>
        <sz val="10"/>
        <rFont val="Noto Sans CJK SC"/>
        <family val="2"/>
      </rPr>
      <t xml:space="preserve">單價 </t>
    </r>
    <r>
      <rPr>
        <sz val="10"/>
        <rFont val="Arial"/>
        <family val="0"/>
        <charset val="1"/>
      </rPr>
      <t xml:space="preserve">Cap_In C278</t>
    </r>
  </si>
  <si>
    <t xml:space="preserve">Cap_In!C278</t>
  </si>
  <si>
    <t xml:space="preserve">GM665 Derived</t>
  </si>
  <si>
    <r>
      <rPr>
        <sz val="10"/>
        <rFont val="Arial"/>
        <family val="0"/>
        <charset val="1"/>
      </rPr>
      <t xml:space="preserve">Hopper </t>
    </r>
    <r>
      <rPr>
        <sz val="10"/>
        <rFont val="Noto Sans CJK SC"/>
        <family val="2"/>
      </rPr>
      <t xml:space="preserve">批次 </t>
    </r>
    <r>
      <rPr>
        <sz val="10"/>
        <rFont val="Arial"/>
        <family val="0"/>
        <charset val="1"/>
      </rPr>
      <t xml:space="preserve">η_d Calib C156</t>
    </r>
  </si>
  <si>
    <t xml:space="preserve">Calib!C156</t>
  </si>
  <si>
    <t xml:space="preserve">GM687 Assumed</t>
  </si>
  <si>
    <r>
      <rPr>
        <sz val="10"/>
        <rFont val="Noto Sans CJK SC"/>
        <family val="2"/>
      </rPr>
      <t xml:space="preserve">不進機隊產能，對 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無影響</t>
    </r>
  </si>
  <si>
    <r>
      <rPr>
        <sz val="10"/>
        <rFont val="Arial"/>
        <family val="0"/>
        <charset val="1"/>
      </rPr>
      <t xml:space="preserve">GB200 </t>
    </r>
    <r>
      <rPr>
        <sz val="10"/>
        <rFont val="Noto Sans CJK SC"/>
        <family val="2"/>
      </rPr>
      <t xml:space="preserve">批次 </t>
    </r>
    <r>
      <rPr>
        <sz val="10"/>
        <rFont val="Arial"/>
        <family val="0"/>
        <charset val="1"/>
      </rPr>
      <t xml:space="preserve">η_d Calib D156</t>
    </r>
  </si>
  <si>
    <t xml:space="preserve">Calib!D156</t>
  </si>
  <si>
    <t xml:space="preserve">GM685 Derived</t>
  </si>
  <si>
    <t xml:space="preserve">優先</t>
  </si>
  <si>
    <r>
      <rPr>
        <b val="true"/>
        <sz val="10"/>
        <rFont val="Noto Sans CJK SC"/>
        <family val="2"/>
      </rPr>
      <t xml:space="preserve">變數（對應 </t>
    </r>
    <r>
      <rPr>
        <b val="true"/>
        <sz val="10"/>
        <rFont val="Arial"/>
        <family val="0"/>
        <charset val="1"/>
      </rPr>
      <t xml:space="preserve">1_m</t>
    </r>
    <r>
      <rPr>
        <b val="true"/>
        <sz val="10"/>
        <rFont val="Noto Sans CJK SC"/>
        <family val="2"/>
      </rPr>
      <t xml:space="preserve">敏感度）</t>
    </r>
  </si>
  <si>
    <t xml:space="preserve">承重度</t>
  </si>
  <si>
    <t xml:space="preserve">要蒐集的證據</t>
  </si>
  <si>
    <t xml:space="preserve">可能來源／管道</t>
  </si>
  <si>
    <t xml:space="preserve">分工</t>
  </si>
  <si>
    <r>
      <rPr>
        <b val="true"/>
        <sz val="10"/>
        <rFont val="Noto Sans CJK SC"/>
        <family val="2"/>
      </rPr>
      <t xml:space="preserve">試搜結果（</t>
    </r>
    <r>
      <rPr>
        <b val="true"/>
        <sz val="10"/>
        <rFont val="Arial"/>
        <family val="0"/>
        <charset val="1"/>
      </rPr>
      <t xml:space="preserve">2026-10-17</t>
    </r>
    <r>
      <rPr>
        <b val="true"/>
        <sz val="10"/>
        <rFont val="Noto Sans CJK SC"/>
        <family val="2"/>
      </rPr>
      <t xml:space="preserve">）</t>
    </r>
  </si>
  <si>
    <t xml:space="preserve">預期效果</t>
  </si>
  <si>
    <t xml:space="preserve">0</t>
  </si>
  <si>
    <r>
      <rPr>
        <sz val="10"/>
        <rFont val="Noto Sans CJK SC"/>
        <family val="2"/>
      </rPr>
      <t xml:space="preserve">請求形狀 </t>
    </r>
    <r>
      <rPr>
        <sz val="10"/>
        <rFont val="Arial"/>
        <family val="0"/>
        <charset val="1"/>
      </rPr>
      <t xml:space="preserve">κ</t>
    </r>
  </si>
  <si>
    <t xml:space="preserve">−1.00</t>
  </si>
  <si>
    <t xml:space="preserve">71%</t>
  </si>
  <si>
    <r>
      <rPr>
        <sz val="10"/>
        <rFont val="Noto Sans CJK SC"/>
        <family val="2"/>
      </rPr>
      <t xml:space="preserve">不需蒐集：決定 </t>
    </r>
    <r>
      <rPr>
        <sz val="10"/>
        <rFont val="Arial"/>
        <family val="0"/>
        <charset val="1"/>
      </rPr>
      <t xml:space="preserve">0.852</t>
    </r>
    <r>
      <rPr>
        <sz val="10"/>
        <rFont val="Noto Sans CJK SC"/>
        <family val="2"/>
      </rPr>
      <t xml:space="preserve">（重算值）或 </t>
    </r>
    <r>
      <rPr>
        <sz val="10"/>
        <rFont val="Arial"/>
        <family val="0"/>
        <charset val="1"/>
      </rPr>
      <t xml:space="preserve">1.0</t>
    </r>
  </si>
  <si>
    <t xml:space="preserve">J</t>
  </si>
  <si>
    <r>
      <rPr>
        <sz val="10"/>
        <rFont val="Noto Sans CJK SC"/>
        <family val="2"/>
      </rPr>
      <t xml:space="preserve">採 </t>
    </r>
    <r>
      <rPr>
        <sz val="10"/>
        <rFont val="Arial"/>
        <family val="0"/>
        <charset val="1"/>
      </rPr>
      <t xml:space="preserve">0.852 → m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0.41→0.48</t>
    </r>
  </si>
  <si>
    <r>
      <rPr>
        <sz val="10"/>
        <rFont val="Noto Sans CJK SC"/>
        <family val="2"/>
      </rPr>
      <t xml:space="preserve">推論支出口徑（</t>
    </r>
    <r>
      <rPr>
        <sz val="10"/>
        <rFont val="Arial"/>
        <family val="0"/>
        <charset val="1"/>
      </rPr>
      <t xml:space="preserve">SRC_DEM_004 8.4 </t>
    </r>
    <r>
      <rPr>
        <sz val="10"/>
        <rFont val="Noto Sans CJK SC"/>
        <family val="2"/>
      </rPr>
      <t xml:space="preserve">對 </t>
    </r>
    <r>
      <rPr>
        <sz val="10"/>
        <rFont val="Arial"/>
        <family val="0"/>
        <charset val="1"/>
      </rPr>
      <t xml:space="preserve">SRC_DEM_018 12.6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</si>
  <si>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17%</t>
    </r>
    <r>
      <rPr>
        <sz val="10"/>
        <rFont val="Noto Sans CJK SC"/>
        <family val="2"/>
      </rPr>
      <t xml:space="preserve">（現區間）；改用 </t>
    </r>
    <r>
      <rPr>
        <sz val="10"/>
        <rFont val="Arial"/>
        <family val="0"/>
        <charset val="1"/>
      </rPr>
      <t xml:space="preserve">12.6 </t>
    </r>
    <r>
      <rPr>
        <sz val="10"/>
        <rFont val="Noto Sans CJK SC"/>
        <family val="2"/>
      </rPr>
      <t xml:space="preserve">時 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0.27</t>
    </r>
  </si>
  <si>
    <r>
      <rPr>
        <sz val="10"/>
        <rFont val="Noto Sans CJK SC"/>
        <family val="2"/>
      </rPr>
      <t xml:space="preserve">調和三個數：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投資人資料 </t>
    </r>
    <r>
      <rPr>
        <sz val="10"/>
        <rFont val="Arial"/>
        <family val="0"/>
        <charset val="1"/>
      </rPr>
      <t xml:space="preserve">8.4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Microsoft </t>
    </r>
    <r>
      <rPr>
        <sz val="10"/>
        <rFont val="Noto Sans CJK SC"/>
        <family val="2"/>
      </rPr>
      <t xml:space="preserve">內部文件 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帳單 </t>
    </r>
    <r>
      <rPr>
        <sz val="10"/>
        <rFont val="Arial"/>
        <family val="0"/>
        <charset val="1"/>
      </rPr>
      <t xml:space="preserve">Q1–Q3 8.67</t>
    </r>
    <r>
      <rPr>
        <sz val="10"/>
        <rFont val="Noto Sans CJK SC"/>
        <family val="2"/>
      </rPr>
      <t xml:space="preserve">（全年外推 </t>
    </r>
    <r>
      <rPr>
        <sz val="10"/>
        <rFont val="Arial"/>
        <family val="0"/>
        <charset val="1"/>
      </rPr>
      <t xml:space="preserve">12.6</t>
    </r>
    <r>
      <rPr>
        <sz val="10"/>
        <rFont val="Noto Sans CJK SC"/>
        <family val="2"/>
      </rPr>
      <t xml:space="preserve">）、查核財報 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營業成本 </t>
    </r>
    <r>
      <rPr>
        <sz val="10"/>
        <rFont val="Arial"/>
        <family val="0"/>
        <charset val="1"/>
      </rPr>
      <t xml:space="preserve">7.5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SRC_DEM_073</t>
    </r>
    <r>
      <rPr>
        <sz val="10"/>
        <rFont val="Noto Sans CJK SC"/>
        <family val="2"/>
      </rPr>
      <t xml:space="preserve">）。關鍵是 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帳單是否含研發或實驗算力、抵用金</t>
    </r>
  </si>
  <si>
    <r>
      <rPr>
        <sz val="10"/>
        <rFont val="Noto Sans CJK SC"/>
        <family val="2"/>
      </rPr>
      <t xml:space="preserve">已在活頁簿（</t>
    </r>
    <r>
      <rPr>
        <sz val="10"/>
        <rFont val="Arial"/>
        <family val="0"/>
        <charset val="1"/>
      </rPr>
      <t xml:space="preserve">SRC_DEM_004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018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073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DB_Evidence E259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E350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E361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</si>
  <si>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C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J</t>
    </r>
  </si>
  <si>
    <r>
      <rPr>
        <sz val="10"/>
        <rFont val="Arial"/>
        <family val="0"/>
        <charset val="1"/>
      </rPr>
      <t xml:space="preserve">C</t>
    </r>
    <r>
      <rPr>
        <sz val="10"/>
        <rFont val="Noto Sans CJK SC"/>
        <family val="2"/>
      </rPr>
      <t xml:space="preserve">：來源已在模型；需做的是調和分析，再由 </t>
    </r>
    <r>
      <rPr>
        <sz val="10"/>
        <rFont val="Arial"/>
        <family val="0"/>
        <charset val="1"/>
      </rPr>
      <t xml:space="preserve">Andy </t>
    </r>
    <r>
      <rPr>
        <sz val="10"/>
        <rFont val="Noto Sans CJK SC"/>
        <family val="2"/>
      </rPr>
      <t xml:space="preserve">決定主口徑</t>
    </r>
  </si>
  <si>
    <r>
      <rPr>
        <sz val="10"/>
        <rFont val="Noto Sans CJK SC"/>
        <family val="2"/>
      </rPr>
      <t xml:space="preserve">決定 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的水準：</t>
    </r>
    <r>
      <rPr>
        <sz val="10"/>
        <rFont val="Arial"/>
        <family val="0"/>
        <charset val="1"/>
      </rPr>
      <t xml:space="preserve">0.27–0.41</t>
    </r>
  </si>
  <si>
    <t xml:space="preserve">1</t>
  </si>
  <si>
    <r>
      <rPr>
        <sz val="10"/>
        <rFont val="Arial"/>
        <family val="0"/>
        <charset val="1"/>
      </rPr>
      <t xml:space="preserve">Astra 2025 </t>
    </r>
    <r>
      <rPr>
        <sz val="10"/>
        <rFont val="Noto Sans CJK SC"/>
        <family val="2"/>
      </rPr>
      <t xml:space="preserve">單價（加權方式）</t>
    </r>
  </si>
  <si>
    <t xml:space="preserve">−0.46</t>
  </si>
  <si>
    <t xml:space="preserve">97%</t>
  </si>
  <si>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各模型的用量占比（</t>
    </r>
    <r>
      <rPr>
        <sz val="10"/>
        <rFont val="Arial"/>
        <family val="0"/>
        <charset val="1"/>
      </rPr>
      <t xml:space="preserve">o1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o3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GPT-5 thinking </t>
    </r>
    <r>
      <rPr>
        <sz val="10"/>
        <rFont val="Noto Sans CJK SC"/>
        <family val="2"/>
      </rPr>
      <t xml:space="preserve">對 </t>
    </r>
    <r>
      <rPr>
        <sz val="10"/>
        <rFont val="Arial"/>
        <family val="0"/>
        <charset val="1"/>
      </rPr>
      <t xml:space="preserve">4o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GPT-5</t>
    </r>
    <r>
      <rPr>
        <sz val="10"/>
        <rFont val="Noto Sans CJK SC"/>
        <family val="2"/>
      </rPr>
      <t xml:space="preserve">），用來把「在售天數加權」改為「用量加權」；一手牌價與調價日期</t>
    </r>
  </si>
  <si>
    <r>
      <rPr>
        <sz val="10"/>
        <rFont val="Arial"/>
        <family val="0"/>
        <charset val="1"/>
      </rPr>
      <t xml:space="preserve">Altman 2025-08 </t>
    </r>
    <r>
      <rPr>
        <sz val="10"/>
        <rFont val="Noto Sans CJK SC"/>
        <family val="2"/>
      </rPr>
      <t xml:space="preserve">推文（</t>
    </r>
    <r>
      <rPr>
        <sz val="10"/>
        <rFont val="Arial"/>
        <family val="0"/>
        <charset val="1"/>
      </rPr>
      <t xml:space="preserve">ChatGPT </t>
    </r>
    <r>
      <rPr>
        <sz val="10"/>
        <rFont val="Noto Sans CJK SC"/>
        <family val="2"/>
      </rPr>
      <t xml:space="preserve">推理模型日用比例：免費 </t>
    </r>
    <r>
      <rPr>
        <sz val="10"/>
        <rFont val="Arial"/>
        <family val="0"/>
        <charset val="1"/>
      </rPr>
      <t xml:space="preserve">&lt;1%→7%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Plus 7%→24%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OpenRouter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a16z</t>
    </r>
    <r>
      <rPr>
        <sz val="10"/>
        <rFont val="Noto Sans CJK SC"/>
        <family val="2"/>
      </rPr>
      <t xml:space="preserve">《</t>
    </r>
    <r>
      <rPr>
        <sz val="10"/>
        <rFont val="Arial"/>
        <family val="0"/>
        <charset val="1"/>
      </rPr>
      <t xml:space="preserve">State of AI: 100 Trillion Token Study</t>
    </r>
    <r>
      <rPr>
        <sz val="10"/>
        <rFont val="Noto Sans CJK SC"/>
        <family val="2"/>
      </rPr>
      <t xml:space="preserve">》；</t>
    </r>
    <r>
      <rPr>
        <sz val="10"/>
        <rFont val="Arial"/>
        <family val="0"/>
        <charset val="1"/>
      </rPr>
      <t xml:space="preserve">Simon Willison </t>
    </r>
    <r>
      <rPr>
        <sz val="10"/>
        <rFont val="Noto Sans CJK SC"/>
        <family val="2"/>
      </rPr>
      <t xml:space="preserve">牌價紀錄；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定價頁存檔</t>
    </r>
  </si>
  <si>
    <t xml:space="preserve">C</t>
  </si>
  <si>
    <r>
      <rPr>
        <sz val="10"/>
        <rFont val="Noto Sans CJK SC"/>
        <family val="2"/>
      </rPr>
      <t xml:space="preserve">找得到：</t>
    </r>
    <r>
      <rPr>
        <sz val="10"/>
        <rFont val="Arial"/>
        <family val="0"/>
        <charset val="1"/>
      </rPr>
      <t xml:space="preserve">Altman </t>
    </r>
    <r>
      <rPr>
        <sz val="10"/>
        <rFont val="Noto Sans CJK SC"/>
        <family val="2"/>
      </rPr>
      <t xml:space="preserve">數字（經 </t>
    </r>
    <r>
      <rPr>
        <sz val="10"/>
        <rFont val="Arial"/>
        <family val="0"/>
        <charset val="1"/>
      </rPr>
      <t xml:space="preserve">Simon Willison </t>
    </r>
    <r>
      <rPr>
        <sz val="10"/>
        <rFont val="Noto Sans CJK SC"/>
        <family val="2"/>
      </rPr>
      <t xml:space="preserve">轉引）、</t>
    </r>
    <r>
      <rPr>
        <sz val="10"/>
        <rFont val="Arial"/>
        <family val="0"/>
        <charset val="1"/>
      </rPr>
      <t xml:space="preserve">o3 </t>
    </r>
    <r>
      <rPr>
        <sz val="10"/>
        <rFont val="Noto Sans CJK SC"/>
        <family val="2"/>
      </rPr>
      <t xml:space="preserve">降價 </t>
    </r>
    <r>
      <rPr>
        <sz val="10"/>
        <rFont val="Arial"/>
        <family val="0"/>
        <charset val="1"/>
      </rPr>
      <t xml:space="preserve">80%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2025-06-10</t>
    </r>
    <r>
      <rPr>
        <sz val="10"/>
        <rFont val="Noto Sans CJK SC"/>
        <family val="2"/>
      </rPr>
      <t xml:space="preserve">）、</t>
    </r>
    <r>
      <rPr>
        <sz val="10"/>
        <rFont val="Arial"/>
        <family val="0"/>
        <charset val="1"/>
      </rPr>
      <t xml:space="preserve">OpenRouter </t>
    </r>
    <r>
      <rPr>
        <sz val="10"/>
        <rFont val="Noto Sans CJK SC"/>
        <family val="2"/>
      </rPr>
      <t xml:space="preserve">研究摘要。</t>
    </r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端各模型用量占比只有 </t>
    </r>
    <r>
      <rPr>
        <sz val="10"/>
        <rFont val="Arial"/>
        <family val="0"/>
        <charset val="1"/>
      </rPr>
      <t xml:space="preserve">OpenRouter </t>
    </r>
    <r>
      <rPr>
        <sz val="10"/>
        <rFont val="Noto Sans CJK SC"/>
        <family val="2"/>
      </rPr>
      <t xml:space="preserve">代理值</t>
    </r>
  </si>
  <si>
    <r>
      <rPr>
        <sz val="10"/>
        <rFont val="Noto Sans CJK SC"/>
        <family val="2"/>
      </rPr>
      <t xml:space="preserve">基準可能由 </t>
    </r>
    <r>
      <rPr>
        <sz val="10"/>
        <rFont val="Arial"/>
        <family val="0"/>
        <charset val="1"/>
      </rPr>
      <t xml:space="preserve">7.17 </t>
    </r>
    <r>
      <rPr>
        <sz val="10"/>
        <rFont val="Noto Sans CJK SC"/>
        <family val="2"/>
      </rPr>
      <t xml:space="preserve">降到約 </t>
    </r>
    <r>
      <rPr>
        <sz val="10"/>
        <rFont val="Arial"/>
        <family val="0"/>
        <charset val="1"/>
      </rPr>
      <t xml:space="preserve">3.5–5.7 → m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0.45–0.55</t>
    </r>
  </si>
  <si>
    <r>
      <rPr>
        <sz val="10"/>
        <rFont val="Noto Sans CJK SC"/>
        <family val="2"/>
      </rPr>
      <t xml:space="preserve">付費層級組合（</t>
    </r>
    <r>
      <rPr>
        <sz val="10"/>
        <rFont val="Arial"/>
        <family val="0"/>
        <charset val="1"/>
      </rPr>
      <t xml:space="preserve">Luna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Sol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Astra</t>
    </r>
    <r>
      <rPr>
        <sz val="10"/>
        <rFont val="Noto Sans CJK SC"/>
        <family val="2"/>
      </rPr>
      <t xml:space="preserve">）</t>
    </r>
  </si>
  <si>
    <t xml:space="preserve">—（與單價部分抵銷）</t>
  </si>
  <si>
    <r>
      <rPr>
        <sz val="10"/>
        <rFont val="Arial"/>
        <family val="0"/>
        <charset val="1"/>
      </rPr>
      <t xml:space="preserve">9%</t>
    </r>
    <r>
      <rPr>
        <sz val="10"/>
        <rFont val="Noto Sans CJK SC"/>
        <family val="2"/>
      </rPr>
      <t xml:space="preserve">（暫設區間）</t>
    </r>
  </si>
  <si>
    <r>
      <rPr>
        <sz val="10"/>
        <rFont val="Noto Sans CJK SC"/>
        <family val="2"/>
      </rPr>
      <t xml:space="preserve">同上：推理模型占付費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的比例；補一個有依據的區間</t>
    </r>
  </si>
  <si>
    <t xml:space="preserve">同上</t>
  </si>
  <si>
    <r>
      <rPr>
        <sz val="10"/>
        <rFont val="Noto Sans CJK SC"/>
        <family val="2"/>
      </rPr>
      <t xml:space="preserve">同上；</t>
    </r>
    <r>
      <rPr>
        <sz val="10"/>
        <rFont val="Arial"/>
        <family val="0"/>
        <charset val="1"/>
      </rPr>
      <t xml:space="preserve">ChatGPT </t>
    </r>
    <r>
      <rPr>
        <sz val="10"/>
        <rFont val="Noto Sans CJK SC"/>
        <family val="2"/>
      </rPr>
      <t xml:space="preserve">端有比例，</t>
    </r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端只有代理值</t>
    </r>
  </si>
  <si>
    <r>
      <rPr>
        <sz val="10"/>
        <rFont val="Noto Sans CJK SC"/>
        <family val="2"/>
      </rPr>
      <t xml:space="preserve">建立區間；與 </t>
    </r>
    <r>
      <rPr>
        <sz val="10"/>
        <rFont val="Arial"/>
        <family val="0"/>
        <charset val="1"/>
      </rPr>
      <t xml:space="preserve">Astra </t>
    </r>
    <r>
      <rPr>
        <sz val="10"/>
        <rFont val="Noto Sans CJK SC"/>
        <family val="2"/>
      </rPr>
      <t xml:space="preserve">單價一起處理</t>
    </r>
  </si>
  <si>
    <t xml:space="preserve">2</t>
  </si>
  <si>
    <r>
      <rPr>
        <sz val="10"/>
        <rFont val="Arial"/>
        <family val="0"/>
        <charset val="1"/>
      </rPr>
      <t xml:space="preserve">Sol </t>
    </r>
    <r>
      <rPr>
        <sz val="10"/>
        <rFont val="Noto Sans CJK SC"/>
        <family val="2"/>
      </rPr>
      <t xml:space="preserve">參考輸入／輸出長度、快取命中 </t>
    </r>
    <r>
      <rPr>
        <sz val="10"/>
        <rFont val="Arial"/>
        <family val="0"/>
        <charset val="1"/>
      </rPr>
      <t xml:space="preserve">χ</t>
    </r>
  </si>
  <si>
    <r>
      <rPr>
        <sz val="10"/>
        <rFont val="Arial"/>
        <family val="0"/>
        <charset val="1"/>
      </rPr>
      <t xml:space="preserve">−0.19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+0.23</t>
    </r>
    <r>
      <rPr>
        <sz val="10"/>
        <rFont val="Noto Sans CJK SC"/>
        <family val="2"/>
      </rPr>
      <t xml:space="preserve">／−</t>
    </r>
    <r>
      <rPr>
        <sz val="10"/>
        <rFont val="Arial"/>
        <family val="0"/>
        <charset val="1"/>
      </rPr>
      <t xml:space="preserve">0.17</t>
    </r>
  </si>
  <si>
    <r>
      <rPr>
        <sz val="10"/>
        <rFont val="Arial"/>
        <family val="0"/>
        <charset val="1"/>
      </rPr>
      <t xml:space="preserve">40%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34%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16%</t>
    </r>
  </si>
  <si>
    <r>
      <rPr>
        <sz val="10"/>
        <rFont val="Noto Sans CJK SC"/>
        <family val="2"/>
      </rPr>
      <t xml:space="preserve">實際流量的平均輸入、輸出（含推理）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長度與快取比例，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年趨勢</t>
    </r>
  </si>
  <si>
    <r>
      <rPr>
        <sz val="10"/>
        <rFont val="Arial"/>
        <family val="0"/>
        <charset val="1"/>
      </rPr>
      <t xml:space="preserve">OpenRouter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a16z 100T token </t>
    </r>
    <r>
      <rPr>
        <sz val="10"/>
        <rFont val="Noto Sans CJK SC"/>
        <family val="2"/>
      </rPr>
      <t xml:space="preserve">研究（提示與完成長度趨勢、推理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占比）；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快取說明</t>
    </r>
  </si>
  <si>
    <r>
      <rPr>
        <sz val="10"/>
        <rFont val="Noto Sans CJK SC"/>
        <family val="2"/>
      </rPr>
      <t xml:space="preserve">找得到：研究已公開（</t>
    </r>
    <r>
      <rPr>
        <sz val="10"/>
        <rFont val="Arial"/>
        <family val="0"/>
        <charset val="1"/>
      </rPr>
      <t xml:space="preserve">2025-12</t>
    </r>
    <r>
      <rPr>
        <sz val="10"/>
        <rFont val="Noto Sans CJK SC"/>
        <family val="2"/>
      </rPr>
      <t xml:space="preserve">），含長度趨勢；</t>
    </r>
    <r>
      <rPr>
        <sz val="10"/>
        <rFont val="Arial"/>
        <family val="0"/>
        <charset val="1"/>
      </rPr>
      <t xml:space="preserve">OpenRouter </t>
    </r>
    <r>
      <rPr>
        <sz val="10"/>
        <rFont val="Noto Sans CJK SC"/>
        <family val="2"/>
      </rPr>
      <t xml:space="preserve">流量偏開發者與開源模型，是代理值</t>
    </r>
  </si>
  <si>
    <r>
      <rPr>
        <sz val="10"/>
        <rFont val="Noto Sans CJK SC"/>
        <family val="2"/>
      </rPr>
      <t xml:space="preserve">縮小 </t>
    </r>
    <r>
      <rPr>
        <sz val="10"/>
        <rFont val="Arial"/>
        <family val="0"/>
        <charset val="1"/>
      </rPr>
      <t xml:space="preserve">ISL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OSL </t>
    </r>
    <r>
      <rPr>
        <sz val="10"/>
        <rFont val="Noto Sans CJK SC"/>
        <family val="2"/>
      </rPr>
      <t xml:space="preserve">區間（目前 </t>
    </r>
    <r>
      <rPr>
        <sz val="10"/>
        <rFont val="Arial"/>
        <family val="0"/>
        <charset val="1"/>
      </rPr>
      <t xml:space="preserve">8K–68K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1K–4K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</si>
  <si>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GB200 η_d </t>
    </r>
    <r>
      <rPr>
        <sz val="10"/>
        <rFont val="Noto Sans CJK SC"/>
        <family val="2"/>
      </rPr>
      <t xml:space="preserve">倍數（</t>
    </r>
    <r>
      <rPr>
        <sz val="10"/>
        <rFont val="Arial"/>
        <family val="0"/>
        <charset val="1"/>
      </rPr>
      <t xml:space="preserve">Calib D67</t>
    </r>
    <r>
      <rPr>
        <sz val="10"/>
        <rFont val="Noto Sans CJK SC"/>
        <family val="2"/>
      </rPr>
      <t xml:space="preserve">）</t>
    </r>
  </si>
  <si>
    <t xml:space="preserve">−0.62</t>
  </si>
  <si>
    <t xml:space="preserve">76%</t>
  </si>
  <si>
    <r>
      <rPr>
        <sz val="10"/>
        <rFont val="Arial"/>
        <family val="0"/>
        <charset val="1"/>
      </rPr>
      <t xml:space="preserve">GB200 NVL72 </t>
    </r>
    <r>
      <rPr>
        <sz val="10"/>
        <rFont val="Noto Sans CJK SC"/>
        <family val="2"/>
      </rPr>
      <t xml:space="preserve">對 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H200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decode </t>
    </r>
    <r>
      <rPr>
        <sz val="10"/>
        <rFont val="Noto Sans CJK SC"/>
        <family val="2"/>
      </rPr>
      <t xml:space="preserve">實測產出（同模型、同互動性）</t>
    </r>
  </si>
  <si>
    <r>
      <rPr>
        <sz val="10"/>
        <rFont val="Arial"/>
        <family val="0"/>
        <charset val="1"/>
      </rPr>
      <t xml:space="preserve">SemiAnalysis InferenceX </t>
    </r>
    <r>
      <rPr>
        <sz val="10"/>
        <rFont val="Noto Sans CJK SC"/>
        <family val="2"/>
      </rPr>
      <t xml:space="preserve">公開比較頁（</t>
    </r>
    <r>
      <rPr>
        <sz val="10"/>
        <rFont val="Arial"/>
        <family val="0"/>
        <charset val="1"/>
      </rPr>
      <t xml:space="preserve">DeepSeek R1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V4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GLM </t>
    </r>
    <r>
      <rPr>
        <sz val="10"/>
        <rFont val="Noto Sans CJK SC"/>
        <family val="2"/>
      </rPr>
      <t xml:space="preserve">等 </t>
    </r>
    <r>
      <rPr>
        <sz val="10"/>
        <rFont val="Arial"/>
        <family val="0"/>
        <charset val="1"/>
      </rPr>
      <t xml:space="preserve">GB200 </t>
    </r>
    <r>
      <rPr>
        <sz val="10"/>
        <rFont val="Noto Sans CJK SC"/>
        <family val="2"/>
      </rPr>
      <t xml:space="preserve">對 </t>
    </r>
    <r>
      <rPr>
        <sz val="10"/>
        <rFont val="Arial"/>
        <family val="0"/>
        <charset val="1"/>
      </rPr>
      <t xml:space="preserve">H200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MLPerf Inference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NVIDIA </t>
    </r>
    <r>
      <rPr>
        <sz val="10"/>
        <rFont val="Noto Sans CJK SC"/>
        <family val="2"/>
      </rPr>
      <t xml:space="preserve">技術部落格（利害關係方）</t>
    </r>
  </si>
  <si>
    <r>
      <rPr>
        <sz val="10"/>
        <rFont val="Noto Sans CJK SC"/>
        <family val="2"/>
      </rPr>
      <t xml:space="preserve">找得到：</t>
    </r>
    <r>
      <rPr>
        <sz val="10"/>
        <rFont val="Arial"/>
        <family val="0"/>
        <charset val="1"/>
      </rPr>
      <t xml:space="preserve">InferenceX </t>
    </r>
    <r>
      <rPr>
        <sz val="10"/>
        <rFont val="Noto Sans CJK SC"/>
        <family val="2"/>
      </rPr>
      <t xml:space="preserve">有 </t>
    </r>
    <r>
      <rPr>
        <sz val="10"/>
        <rFont val="Arial"/>
        <family val="0"/>
        <charset val="1"/>
      </rPr>
      <t xml:space="preserve">GB200 </t>
    </r>
    <r>
      <rPr>
        <sz val="10"/>
        <rFont val="Noto Sans CJK SC"/>
        <family val="2"/>
      </rPr>
      <t xml:space="preserve">對 </t>
    </r>
    <r>
      <rPr>
        <sz val="10"/>
        <rFont val="Arial"/>
        <family val="0"/>
        <charset val="1"/>
      </rPr>
      <t xml:space="preserve">H200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H100 </t>
    </r>
    <r>
      <rPr>
        <sz val="10"/>
        <rFont val="Noto Sans CJK SC"/>
        <family val="2"/>
      </rPr>
      <t xml:space="preserve">公開頁</t>
    </r>
  </si>
  <si>
    <r>
      <rPr>
        <sz val="10"/>
        <rFont val="Noto Sans CJK SC"/>
        <family val="2"/>
      </rPr>
      <t xml:space="preserve">由 </t>
    </r>
    <r>
      <rPr>
        <sz val="10"/>
        <rFont val="Arial"/>
        <family val="0"/>
        <charset val="1"/>
      </rPr>
      <t xml:space="preserve">Analogy 0.5–1.5 </t>
    </r>
    <r>
      <rPr>
        <sz val="10"/>
        <rFont val="Noto Sans CJK SC"/>
        <family val="2"/>
      </rPr>
      <t xml:space="preserve">改為實測依據</t>
    </r>
  </si>
  <si>
    <t xml:space="preserve">3</t>
  </si>
  <si>
    <r>
      <rPr>
        <sz val="10"/>
        <rFont val="Noto Sans CJK SC"/>
        <family val="2"/>
      </rPr>
      <t xml:space="preserve">計價倍數（推論支出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持有成本）</t>
    </r>
  </si>
  <si>
    <t xml:space="preserve">+1.00</t>
  </si>
  <si>
    <t xml:space="preserve">52%</t>
  </si>
  <si>
    <r>
      <rPr>
        <sz val="10"/>
        <rFont val="Arial"/>
        <family val="0"/>
        <charset val="1"/>
      </rPr>
      <t xml:space="preserve">Microsoft </t>
    </r>
    <r>
      <rPr>
        <sz val="10"/>
        <rFont val="Noto Sans CJK SC"/>
        <family val="2"/>
      </rPr>
      <t xml:space="preserve">對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時價或折扣、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毛利；</t>
    </r>
    <r>
      <rPr>
        <sz val="10"/>
        <rFont val="Arial"/>
        <family val="0"/>
        <charset val="1"/>
      </rPr>
      <t xml:space="preserve">OpenAI–Oracle </t>
    </r>
    <r>
      <rPr>
        <sz val="10"/>
        <rFont val="Noto Sans CJK SC"/>
        <family val="2"/>
      </rPr>
      <t xml:space="preserve">合約每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年單價對照</t>
    </r>
  </si>
  <si>
    <r>
      <rPr>
        <sz val="10"/>
        <rFont val="Arial"/>
        <family val="0"/>
        <charset val="1"/>
      </rPr>
      <t xml:space="preserve">The Information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FT</t>
    </r>
    <r>
      <rPr>
        <sz val="10"/>
        <rFont val="Noto Sans CJK SC"/>
        <family val="2"/>
      </rPr>
      <t xml:space="preserve">（付費）；</t>
    </r>
    <r>
      <rPr>
        <sz val="10"/>
        <rFont val="Arial"/>
        <family val="0"/>
        <charset val="1"/>
      </rPr>
      <t xml:space="preserve">Microsoft </t>
    </r>
    <r>
      <rPr>
        <sz val="10"/>
        <rFont val="Noto Sans CJK SC"/>
        <family val="2"/>
      </rPr>
      <t xml:space="preserve">財報 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毛利；</t>
    </r>
    <r>
      <rPr>
        <sz val="10"/>
        <rFont val="Arial"/>
        <family val="0"/>
        <charset val="1"/>
      </rPr>
      <t xml:space="preserve">E348 Oracle </t>
    </r>
    <r>
      <rPr>
        <sz val="10"/>
        <rFont val="Noto Sans CJK SC"/>
        <family val="2"/>
      </rPr>
      <t xml:space="preserve">合約（已在模型）</t>
    </r>
  </si>
  <si>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線上</t>
    </r>
  </si>
  <si>
    <r>
      <rPr>
        <sz val="10"/>
        <rFont val="Noto Sans CJK SC"/>
        <family val="2"/>
      </rPr>
      <t xml:space="preserve">部分：只找到 </t>
    </r>
    <r>
      <rPr>
        <sz val="10"/>
        <rFont val="Arial"/>
        <family val="0"/>
        <charset val="1"/>
      </rPr>
      <t xml:space="preserve">Zitron </t>
    </r>
    <r>
      <rPr>
        <sz val="10"/>
        <rFont val="Noto Sans CJK SC"/>
        <family val="2"/>
      </rPr>
      <t xml:space="preserve">文件與 </t>
    </r>
    <r>
      <rPr>
        <sz val="10"/>
        <rFont val="Arial"/>
        <family val="0"/>
        <charset val="1"/>
      </rPr>
      <t xml:space="preserve">Register </t>
    </r>
    <r>
      <rPr>
        <sz val="10"/>
        <rFont val="Noto Sans CJK SC"/>
        <family val="2"/>
      </rPr>
      <t xml:space="preserve">轉述，計價條款在付費報導</t>
    </r>
  </si>
  <si>
    <r>
      <rPr>
        <sz val="10"/>
        <rFont val="Noto Sans CJK SC"/>
        <family val="2"/>
      </rPr>
      <t xml:space="preserve">縮小 </t>
    </r>
    <r>
      <rPr>
        <sz val="10"/>
        <rFont val="Arial"/>
        <family val="0"/>
        <charset val="1"/>
      </rPr>
      <t xml:space="preserve">0.73–1.17</t>
    </r>
  </si>
  <si>
    <r>
      <rPr>
        <sz val="10"/>
        <rFont val="Noto Sans CJK SC"/>
        <family val="2"/>
      </rPr>
      <t xml:space="preserve">服務世代組合（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</si>
  <si>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31%</t>
    </r>
    <r>
      <rPr>
        <sz val="10"/>
        <rFont val="Noto Sans CJK SC"/>
        <family val="2"/>
      </rPr>
      <t xml:space="preserve">（暫設區間）</t>
    </r>
  </si>
  <si>
    <r>
      <rPr>
        <sz val="10"/>
        <rFont val="Arial"/>
        <family val="0"/>
        <charset val="1"/>
      </rPr>
      <t xml:space="preserve">OpenAI 2025 </t>
    </r>
    <r>
      <rPr>
        <sz val="10"/>
        <rFont val="Noto Sans CJK SC"/>
        <family val="2"/>
      </rPr>
      <t xml:space="preserve">推論機隊中 </t>
    </r>
    <r>
      <rPr>
        <sz val="10"/>
        <rFont val="Arial"/>
        <family val="0"/>
        <charset val="1"/>
      </rPr>
      <t xml:space="preserve">Hopper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GB200 </t>
    </r>
    <r>
      <rPr>
        <sz val="10"/>
        <rFont val="Noto Sans CJK SC"/>
        <family val="2"/>
      </rPr>
      <t xml:space="preserve">的比例與上線時程</t>
    </r>
  </si>
  <si>
    <r>
      <rPr>
        <sz val="10"/>
        <rFont val="Arial"/>
        <family val="0"/>
        <charset val="1"/>
      </rPr>
      <t xml:space="preserve">SemiAnalysis </t>
    </r>
    <r>
      <rPr>
        <sz val="10"/>
        <rFont val="Noto Sans CJK SC"/>
        <family val="2"/>
      </rPr>
      <t xml:space="preserve">付費報告；台灣 </t>
    </r>
    <r>
      <rPr>
        <sz val="10"/>
        <rFont val="Arial"/>
        <family val="0"/>
        <charset val="1"/>
      </rPr>
      <t xml:space="preserve">ODM</t>
    </r>
    <r>
      <rPr>
        <sz val="10"/>
        <rFont val="Noto Sans CJK SC"/>
        <family val="2"/>
      </rPr>
      <t xml:space="preserve">／機櫃供應鏈出貨（廣達、緯穎、鴻海）對 </t>
    </r>
    <r>
      <rPr>
        <sz val="10"/>
        <rFont val="Arial"/>
        <family val="0"/>
        <charset val="1"/>
      </rPr>
      <t xml:space="preserve">Microsoft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Oracle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CoreWeave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GB200 </t>
    </r>
    <r>
      <rPr>
        <sz val="10"/>
        <rFont val="Noto Sans CJK SC"/>
        <family val="2"/>
      </rPr>
      <t xml:space="preserve">出貨時點</t>
    </r>
  </si>
  <si>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線上＋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線下</t>
    </r>
  </si>
  <si>
    <t xml:space="preserve">未試搜到可用公開數字</t>
  </si>
  <si>
    <t xml:space="preserve">建立區間（目前無）</t>
  </si>
  <si>
    <t xml:space="preserve">4</t>
  </si>
  <si>
    <t xml:space="preserve">實際利用率（純）</t>
  </si>
  <si>
    <t xml:space="preserve">−0.80</t>
  </si>
  <si>
    <t xml:space="preserve">63%</t>
  </si>
  <si>
    <r>
      <rPr>
        <sz val="10"/>
        <rFont val="Noto Sans CJK SC"/>
        <family val="2"/>
      </rPr>
      <t xml:space="preserve">推論叢集的實際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利用率（非峰值）</t>
    </r>
  </si>
  <si>
    <r>
      <rPr>
        <sz val="10"/>
        <rFont val="Noto Sans CJK SC"/>
        <family val="2"/>
      </rPr>
      <t xml:space="preserve">業者訪談（雲端或新雲營運）；</t>
    </r>
    <r>
      <rPr>
        <sz val="10"/>
        <rFont val="Arial"/>
        <family val="0"/>
        <charset val="1"/>
      </rPr>
      <t xml:space="preserve">SemiAnalysis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CoreWeave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Nebius </t>
    </r>
    <r>
      <rPr>
        <sz val="10"/>
        <rFont val="Noto Sans CJK SC"/>
        <family val="2"/>
      </rPr>
      <t xml:space="preserve">法說會的利用率說法（利害關係方）</t>
    </r>
  </si>
  <si>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線下</t>
    </r>
  </si>
  <si>
    <t xml:space="preserve">不公開</t>
  </si>
  <si>
    <r>
      <rPr>
        <sz val="10"/>
        <rFont val="Noto Sans CJK SC"/>
        <family val="2"/>
      </rPr>
      <t xml:space="preserve">縮小 </t>
    </r>
    <r>
      <rPr>
        <sz val="10"/>
        <rFont val="Arial"/>
        <family val="0"/>
        <charset val="1"/>
      </rPr>
      <t xml:space="preserve">0.3–0.65</t>
    </r>
  </si>
  <si>
    <t xml:space="preserve">生產折減</t>
  </si>
  <si>
    <t xml:space="preserve">36%</t>
  </si>
  <si>
    <r>
      <rPr>
        <sz val="10"/>
        <rFont val="Arial"/>
        <family val="0"/>
        <charset val="1"/>
      </rPr>
      <t xml:space="preserve">SLO </t>
    </r>
    <r>
      <rPr>
        <sz val="10"/>
        <rFont val="Noto Sans CJK SC"/>
        <family val="2"/>
      </rPr>
      <t xml:space="preserve">預留、故障、重啟造成的實測對生產效率差距</t>
    </r>
  </si>
  <si>
    <r>
      <rPr>
        <sz val="10"/>
        <rFont val="Noto Sans CJK SC"/>
        <family val="2"/>
      </rPr>
      <t xml:space="preserve">業者訪談；</t>
    </r>
    <r>
      <rPr>
        <sz val="10"/>
        <rFont val="Arial"/>
        <family val="0"/>
        <charset val="1"/>
      </rPr>
      <t xml:space="preserve">Meta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Google </t>
    </r>
    <r>
      <rPr>
        <sz val="10"/>
        <rFont val="Noto Sans CJK SC"/>
        <family val="2"/>
      </rPr>
      <t xml:space="preserve">等公開的叢集可靠度論文（訓練為主，推論類比）</t>
    </r>
  </si>
  <si>
    <t xml:space="preserve">僅有訓練端的公開論文可作類比</t>
  </si>
  <si>
    <r>
      <rPr>
        <sz val="10"/>
        <rFont val="Noto Sans CJK SC"/>
        <family val="2"/>
      </rPr>
      <t xml:space="preserve">縮小 </t>
    </r>
    <r>
      <rPr>
        <sz val="10"/>
        <rFont val="Arial"/>
        <family val="0"/>
        <charset val="1"/>
      </rPr>
      <t xml:space="preserve">0.7–1.0</t>
    </r>
  </si>
  <si>
    <r>
      <rPr>
        <sz val="10"/>
        <rFont val="Noto Sans CJK SC"/>
        <family val="2"/>
      </rPr>
      <t xml:space="preserve">有效折扣（</t>
    </r>
    <r>
      <rPr>
        <sz val="10"/>
        <rFont val="Arial"/>
        <family val="0"/>
        <charset val="1"/>
      </rPr>
      <t xml:space="preserve">Batch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Flex</t>
    </r>
    <r>
      <rPr>
        <sz val="10"/>
        <rFont val="Noto Sans CJK SC"/>
        <family val="2"/>
      </rPr>
      <t xml:space="preserve">／企業議價）</t>
    </r>
  </si>
  <si>
    <t xml:space="preserve">+0.29</t>
  </si>
  <si>
    <t xml:space="preserve">44%</t>
  </si>
  <si>
    <r>
      <rPr>
        <sz val="10"/>
        <rFont val="Arial"/>
        <family val="0"/>
        <charset val="1"/>
      </rPr>
      <t xml:space="preserve">API token </t>
    </r>
    <r>
      <rPr>
        <sz val="10"/>
        <rFont val="Noto Sans CJK SC"/>
        <family val="2"/>
      </rPr>
      <t xml:space="preserve">中 </t>
    </r>
    <r>
      <rPr>
        <sz val="10"/>
        <rFont val="Arial"/>
        <family val="0"/>
        <charset val="1"/>
      </rPr>
      <t xml:space="preserve">Batch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Flex </t>
    </r>
    <r>
      <rPr>
        <sz val="10"/>
        <rFont val="Noto Sans CJK SC"/>
        <family val="2"/>
      </rPr>
      <t xml:space="preserve">的占比、企業合約平均折扣</t>
    </r>
  </si>
  <si>
    <r>
      <rPr>
        <sz val="10"/>
        <rFont val="Arial"/>
        <family val="0"/>
        <charset val="1"/>
      </rPr>
      <t xml:space="preserve">Batch </t>
    </r>
    <r>
      <rPr>
        <sz val="10"/>
        <rFont val="Noto Sans CJK SC"/>
        <family val="2"/>
      </rPr>
      <t xml:space="preserve">半價是公開牌價；占比與企業折扣需業者或客戶訪談</t>
    </r>
  </si>
  <si>
    <t xml:space="preserve">牌價找得到；占比找不到</t>
  </si>
  <si>
    <r>
      <rPr>
        <sz val="10"/>
        <rFont val="Noto Sans CJK SC"/>
        <family val="2"/>
      </rPr>
      <t xml:space="preserve">縮小 </t>
    </r>
    <r>
      <rPr>
        <sz val="10"/>
        <rFont val="Arial"/>
        <family val="0"/>
        <charset val="1"/>
      </rPr>
      <t xml:space="preserve">0.1–0.4</t>
    </r>
  </si>
  <si>
    <t xml:space="preserve">5</t>
  </si>
  <si>
    <r>
      <rPr>
        <sz val="10"/>
        <rFont val="Arial"/>
        <family val="0"/>
        <charset val="1"/>
      </rPr>
      <t xml:space="preserve">Astra </t>
    </r>
    <r>
      <rPr>
        <sz val="10"/>
        <rFont val="Noto Sans CJK SC"/>
        <family val="2"/>
      </rPr>
      <t xml:space="preserve">啟用參數</t>
    </r>
  </si>
  <si>
    <t xml:space="preserve">+0.35</t>
  </si>
  <si>
    <t xml:space="preserve">45%</t>
  </si>
  <si>
    <t xml:space="preserve">頂層模型的啟用參數規模</t>
  </si>
  <si>
    <r>
      <rPr>
        <sz val="10"/>
        <rFont val="Noto Sans CJK SC"/>
        <family val="2"/>
      </rPr>
      <t xml:space="preserve">未揭露；</t>
    </r>
    <r>
      <rPr>
        <sz val="10"/>
        <rFont val="Arial"/>
        <family val="0"/>
        <charset val="1"/>
      </rPr>
      <t xml:space="preserve">Epoch </t>
    </r>
    <r>
      <rPr>
        <sz val="10"/>
        <rFont val="Noto Sans CJK SC"/>
        <family val="2"/>
      </rPr>
      <t xml:space="preserve">等第三方估計（已在模型 </t>
    </r>
    <r>
      <rPr>
        <sz val="10"/>
        <rFont val="Arial"/>
        <family val="0"/>
        <charset val="1"/>
      </rPr>
      <t xml:space="preserve">SRC_MOD_055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</si>
  <si>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線下（專家意見）</t>
    </r>
  </si>
  <si>
    <t xml:space="preserve">只有第三方估計</t>
  </si>
  <si>
    <t xml:space="preserve">區間可能無法實質縮小</t>
  </si>
  <si>
    <r>
      <rPr>
        <sz val="10"/>
        <rFont val="Noto Sans CJK SC"/>
        <family val="2"/>
      </rPr>
      <t xml:space="preserve">不需再查（對 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無影響或很小）</t>
    </r>
  </si>
  <si>
    <r>
      <rPr>
        <sz val="10"/>
        <rFont val="Noto Sans CJK SC"/>
        <family val="2"/>
      </rPr>
      <t xml:space="preserve">批次 </t>
    </r>
    <r>
      <rPr>
        <sz val="10"/>
        <rFont val="Arial"/>
        <family val="0"/>
        <charset val="1"/>
      </rPr>
      <t xml:space="preserve">η_d </t>
    </r>
    <r>
      <rPr>
        <sz val="10"/>
        <rFont val="Noto Sans CJK SC"/>
        <family val="2"/>
      </rPr>
      <t xml:space="preserve">倍數（</t>
    </r>
    <r>
      <rPr>
        <sz val="10"/>
        <rFont val="Arial"/>
        <family val="0"/>
        <charset val="1"/>
      </rPr>
      <t xml:space="preserve">0%</t>
    </r>
    <r>
      <rPr>
        <sz val="10"/>
        <rFont val="Noto Sans CJK SC"/>
        <family val="2"/>
      </rPr>
      <t xml:space="preserve">）、</t>
    </r>
    <r>
      <rPr>
        <sz val="10"/>
        <rFont val="Arial"/>
        <family val="0"/>
        <charset val="1"/>
      </rPr>
      <t xml:space="preserve">Luna </t>
    </r>
    <r>
      <rPr>
        <sz val="10"/>
        <rFont val="Noto Sans CJK SC"/>
        <family val="2"/>
      </rPr>
      <t xml:space="preserve">單價（</t>
    </r>
    <r>
      <rPr>
        <sz val="10"/>
        <rFont val="Arial"/>
        <family val="0"/>
        <charset val="1"/>
      </rPr>
      <t xml:space="preserve">4%</t>
    </r>
    <r>
      <rPr>
        <sz val="10"/>
        <rFont val="Noto Sans CJK SC"/>
        <family val="2"/>
      </rPr>
      <t xml:space="preserve">）、</t>
    </r>
    <r>
      <rPr>
        <sz val="10"/>
        <rFont val="Arial"/>
        <family val="0"/>
        <charset val="1"/>
      </rPr>
      <t xml:space="preserve">Hopper </t>
    </r>
    <r>
      <rPr>
        <sz val="10"/>
        <rFont val="Noto Sans CJK SC"/>
        <family val="2"/>
      </rPr>
      <t xml:space="preserve">每層延遲（</t>
    </r>
    <r>
      <rPr>
        <sz val="10"/>
        <rFont val="Arial"/>
        <family val="0"/>
        <charset val="1"/>
      </rPr>
      <t xml:space="preserve">5%</t>
    </r>
    <r>
      <rPr>
        <sz val="10"/>
        <rFont val="Noto Sans CJK SC"/>
        <family val="2"/>
      </rPr>
      <t xml:space="preserve">）、每則提示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數（</t>
    </r>
    <r>
      <rPr>
        <sz val="10"/>
        <rFont val="Arial"/>
        <family val="0"/>
        <charset val="1"/>
      </rPr>
      <t xml:space="preserve">14%</t>
    </r>
    <r>
      <rPr>
        <sz val="10"/>
        <rFont val="Noto Sans CJK SC"/>
        <family val="2"/>
      </rPr>
      <t xml:space="preserve">，主要影響需求路線 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分母閉合）</t>
    </r>
  </si>
  <si>
    <r>
      <rPr>
        <sz val="10"/>
        <rFont val="Noto Sans CJK SC"/>
        <family val="2"/>
      </rPr>
      <t xml:space="preserve">原外部搜尋清單中「商用席次占比」也不進機隊路線 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，降為需求路線項</t>
    </r>
  </si>
  <si>
    <t xml:space="preserve">順序</t>
  </si>
  <si>
    <t xml:space="preserve">工作</t>
  </si>
  <si>
    <t xml:space="preserve">來源（原清單）</t>
  </si>
  <si>
    <t xml:space="preserve">今天的調整</t>
  </si>
  <si>
    <t xml:space="preserve">狀態</t>
  </si>
  <si>
    <r>
      <rPr>
        <sz val="10"/>
        <rFont val="Noto Sans CJK SC"/>
        <family val="2"/>
      </rPr>
      <t xml:space="preserve">判斷兩題：</t>
    </r>
    <r>
      <rPr>
        <sz val="10"/>
        <rFont val="Arial"/>
        <family val="0"/>
        <charset val="1"/>
      </rPr>
      <t xml:space="preserve">κ 0.852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1.0</t>
    </r>
    <r>
      <rPr>
        <sz val="10"/>
        <rFont val="Noto Sans CJK SC"/>
        <family val="2"/>
      </rPr>
      <t xml:space="preserve">；推論支出主口徑（先由 </t>
    </r>
    <r>
      <rPr>
        <sz val="10"/>
        <rFont val="Arial"/>
        <family val="0"/>
        <charset val="1"/>
      </rPr>
      <t xml:space="preserve">chat </t>
    </r>
    <r>
      <rPr>
        <sz val="10"/>
        <rFont val="Noto Sans CJK SC"/>
        <family val="2"/>
      </rPr>
      <t xml:space="preserve">端寫調和分析）</t>
    </r>
  </si>
  <si>
    <r>
      <rPr>
        <sz val="10"/>
        <rFont val="Noto Sans CJK SC"/>
        <family val="2"/>
      </rPr>
      <t xml:space="preserve">結案報告 </t>
    </r>
    <r>
      <rPr>
        <sz val="10"/>
        <rFont val="Arial"/>
        <family val="0"/>
        <charset val="1"/>
      </rPr>
      <t xml:space="preserve">4.2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κ</t>
    </r>
    <r>
      <rPr>
        <sz val="10"/>
        <rFont val="Noto Sans CJK SC"/>
        <family val="2"/>
      </rPr>
      <t xml:space="preserve">）；新增（推論支出）</t>
    </r>
  </si>
  <si>
    <r>
      <rPr>
        <sz val="10"/>
        <rFont val="Noto Sans CJK SC"/>
        <family val="2"/>
      </rPr>
      <t xml:space="preserve">承重度皆 −</t>
    </r>
    <r>
      <rPr>
        <sz val="10"/>
        <rFont val="Arial"/>
        <family val="0"/>
        <charset val="1"/>
      </rPr>
      <t xml:space="preserve">1.00</t>
    </r>
    <r>
      <rPr>
        <sz val="10"/>
        <rFont val="Noto Sans CJK SC"/>
        <family val="2"/>
      </rPr>
      <t xml:space="preserve">，排最前</t>
    </r>
  </si>
  <si>
    <r>
      <rPr>
        <sz val="10"/>
        <rFont val="Arial"/>
        <family val="0"/>
        <charset val="1"/>
      </rPr>
      <t xml:space="preserve">J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κ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C </t>
    </r>
    <r>
      <rPr>
        <sz val="10"/>
        <rFont val="Noto Sans CJK SC"/>
        <family val="2"/>
      </rPr>
      <t xml:space="preserve">先做調和、</t>
    </r>
    <r>
      <rPr>
        <sz val="10"/>
        <rFont val="Arial"/>
        <family val="0"/>
        <charset val="1"/>
      </rPr>
      <t xml:space="preserve">J </t>
    </r>
    <r>
      <rPr>
        <sz val="10"/>
        <rFont val="Noto Sans CJK SC"/>
        <family val="2"/>
      </rPr>
      <t xml:space="preserve">決定</t>
    </r>
  </si>
  <si>
    <t xml:space="preserve">待辦</t>
  </si>
  <si>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證據蒐集 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段（</t>
    </r>
    <r>
      <rPr>
        <sz val="10"/>
        <rFont val="Arial"/>
        <family val="0"/>
        <charset val="1"/>
      </rPr>
      <t xml:space="preserve">C </t>
    </r>
    <r>
      <rPr>
        <sz val="10"/>
        <rFont val="Noto Sans CJK SC"/>
        <family val="2"/>
      </rPr>
      <t xml:space="preserve">可找）：用量占比與 </t>
    </r>
    <r>
      <rPr>
        <sz val="10"/>
        <rFont val="Arial"/>
        <family val="0"/>
        <charset val="1"/>
      </rPr>
      <t xml:space="preserve">Astra </t>
    </r>
    <r>
      <rPr>
        <sz val="10"/>
        <rFont val="Noto Sans CJK SC"/>
        <family val="2"/>
      </rPr>
      <t xml:space="preserve">單價重加權、</t>
    </r>
    <r>
      <rPr>
        <sz val="10"/>
        <rFont val="Arial"/>
        <family val="0"/>
        <charset val="1"/>
      </rPr>
      <t xml:space="preserve">ISL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OSL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χ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GB200 η_d</t>
    </r>
  </si>
  <si>
    <r>
      <rPr>
        <sz val="10"/>
        <rFont val="Noto Sans CJK SC"/>
        <family val="2"/>
      </rPr>
      <t xml:space="preserve">原 </t>
    </r>
    <r>
      <rPr>
        <sz val="10"/>
        <rFont val="Arial"/>
        <family val="0"/>
        <charset val="1"/>
      </rPr>
      <t xml:space="preserve">4.1 </t>
    </r>
    <r>
      <rPr>
        <sz val="10"/>
        <rFont val="Noto Sans CJK SC"/>
        <family val="2"/>
      </rPr>
      <t xml:space="preserve">外部搜尋；交接 </t>
    </r>
    <r>
      <rPr>
        <sz val="10"/>
        <rFont val="Arial"/>
        <family val="0"/>
        <charset val="1"/>
      </rPr>
      <t xml:space="preserve">3.4 m </t>
    </r>
    <r>
      <rPr>
        <sz val="10"/>
        <rFont val="Noto Sans CJK SC"/>
        <family val="2"/>
      </rPr>
      <t xml:space="preserve">討論</t>
    </r>
  </si>
  <si>
    <r>
      <rPr>
        <sz val="10"/>
        <rFont val="Noto Sans CJK SC"/>
        <family val="2"/>
      </rPr>
      <t xml:space="preserve">取代原外部搜尋的前三優先：</t>
    </r>
    <r>
      <rPr>
        <sz val="10"/>
        <rFont val="Arial"/>
        <family val="0"/>
        <charset val="1"/>
      </rPr>
      <t xml:space="preserve">τ</t>
    </r>
    <r>
      <rPr>
        <sz val="10"/>
        <rFont val="Noto Sans CJK SC"/>
        <family val="2"/>
      </rPr>
      <t xml:space="preserve">（只影響需求路線）、商用席次占比（不進機隊 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）降級；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RU η_d </t>
    </r>
    <r>
      <rPr>
        <sz val="10"/>
        <rFont val="Noto Sans CJK SC"/>
        <family val="2"/>
      </rPr>
      <t xml:space="preserve">改為只查 </t>
    </r>
    <r>
      <rPr>
        <sz val="10"/>
        <rFont val="Arial"/>
        <family val="0"/>
        <charset val="1"/>
      </rPr>
      <t xml:space="preserve">Calib D67</t>
    </r>
    <r>
      <rPr>
        <sz val="10"/>
        <rFont val="Noto Sans CJK SC"/>
        <family val="2"/>
      </rPr>
      <t xml:space="preserve">，批次倍數不查</t>
    </r>
  </si>
  <si>
    <r>
      <rPr>
        <sz val="10"/>
        <rFont val="Arial"/>
        <family val="0"/>
        <charset val="1"/>
      </rPr>
      <t xml:space="preserve">C</t>
    </r>
    <r>
      <rPr>
        <sz val="10"/>
        <rFont val="Noto Sans CJK SC"/>
        <family val="2"/>
      </rPr>
      <t xml:space="preserve">（外部搜尋工作單，唯讀，不改 </t>
    </r>
    <r>
      <rPr>
        <sz val="10"/>
        <rFont val="Arial"/>
        <family val="0"/>
        <charset val="1"/>
      </rPr>
      <t xml:space="preserve">Excel</t>
    </r>
    <r>
      <rPr>
        <sz val="10"/>
        <rFont val="Noto Sans CJK SC"/>
        <family val="2"/>
      </rPr>
      <t xml:space="preserve">）</t>
    </r>
  </si>
  <si>
    <t xml:space="preserve">待發工作單</t>
  </si>
  <si>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證據 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段：依 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段結果改 </t>
    </r>
    <r>
      <rPr>
        <sz val="10"/>
        <rFont val="Arial"/>
        <family val="0"/>
        <charset val="1"/>
      </rPr>
      <t xml:space="preserve">Excel</t>
    </r>
    <r>
      <rPr>
        <sz val="10"/>
        <rFont val="Noto Sans CJK SC"/>
        <family val="2"/>
      </rPr>
      <t xml:space="preserve">（新增 </t>
    </r>
    <r>
      <rPr>
        <sz val="10"/>
        <rFont val="Arial"/>
        <family val="0"/>
        <charset val="1"/>
      </rPr>
      <t xml:space="preserve">SRC</t>
    </r>
    <r>
      <rPr>
        <sz val="10"/>
        <rFont val="Noto Sans CJK SC"/>
        <family val="2"/>
      </rPr>
      <t xml:space="preserve">、改區間或基準）</t>
    </r>
  </si>
  <si>
    <r>
      <rPr>
        <sz val="10"/>
        <rFont val="Noto Sans CJK SC"/>
        <family val="2"/>
      </rPr>
      <t xml:space="preserve">依第 </t>
    </r>
    <r>
      <rPr>
        <sz val="10"/>
        <rFont val="Arial"/>
        <family val="0"/>
        <charset val="1"/>
      </rPr>
      <t xml:space="preserve">4b </t>
    </r>
    <r>
      <rPr>
        <sz val="10"/>
        <rFont val="Noto Sans CJK SC"/>
        <family val="2"/>
      </rPr>
      <t xml:space="preserve">節拆 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段；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段在 </t>
    </r>
    <r>
      <rPr>
        <sz val="10"/>
        <rFont val="Arial"/>
        <family val="0"/>
        <charset val="1"/>
      </rPr>
      <t xml:space="preserve">chat </t>
    </r>
    <r>
      <rPr>
        <sz val="10"/>
        <rFont val="Noto Sans CJK SC"/>
        <family val="2"/>
      </rPr>
      <t xml:space="preserve">端判定 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段後另發</t>
    </r>
  </si>
  <si>
    <r>
      <rPr>
        <sz val="10"/>
        <rFont val="Arial"/>
        <family val="0"/>
        <charset val="1"/>
      </rPr>
      <t xml:space="preserve">CC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Sonnet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</si>
  <si>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段後</t>
    </r>
  </si>
  <si>
    <r>
      <rPr>
        <sz val="10"/>
        <rFont val="Arial"/>
        <family val="0"/>
        <charset val="1"/>
      </rPr>
      <t xml:space="preserve">Andy </t>
    </r>
    <r>
      <rPr>
        <sz val="10"/>
        <rFont val="Noto Sans CJK SC"/>
        <family val="2"/>
      </rPr>
      <t xml:space="preserve">線上／線下調研：計價倍數、世代組合、實際利用率、生產折減、折扣、</t>
    </r>
    <r>
      <rPr>
        <sz val="10"/>
        <rFont val="Arial"/>
        <family val="0"/>
        <charset val="1"/>
      </rPr>
      <t xml:space="preserve">Astra </t>
    </r>
    <r>
      <rPr>
        <sz val="10"/>
        <rFont val="Noto Sans CJK SC"/>
        <family val="2"/>
      </rPr>
      <t xml:space="preserve">參數</t>
    </r>
  </si>
  <si>
    <r>
      <rPr>
        <sz val="10"/>
        <rFont val="Noto Sans CJK SC"/>
        <family val="2"/>
      </rPr>
      <t xml:space="preserve">原「</t>
    </r>
    <r>
      <rPr>
        <sz val="10"/>
        <rFont val="Arial"/>
        <family val="0"/>
        <charset val="1"/>
      </rPr>
      <t xml:space="preserve">Andy </t>
    </r>
    <r>
      <rPr>
        <sz val="10"/>
        <rFont val="Noto Sans CJK SC"/>
        <family val="2"/>
      </rPr>
      <t xml:space="preserve">調研方向」機制（</t>
    </r>
    <r>
      <rPr>
        <sz val="10"/>
        <rFont val="Arial"/>
        <family val="0"/>
        <charset val="1"/>
      </rPr>
      <t xml:space="preserve">2026-10-13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</si>
  <si>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以本檔 </t>
    </r>
    <r>
      <rPr>
        <sz val="10"/>
        <rFont val="Arial"/>
        <family val="0"/>
        <charset val="1"/>
      </rPr>
      <t xml:space="preserve">2_</t>
    </r>
    <r>
      <rPr>
        <sz val="10"/>
        <rFont val="Noto Sans CJK SC"/>
        <family val="2"/>
      </rPr>
      <t xml:space="preserve">研究清單的 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線上／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線下 列為清單</t>
    </r>
  </si>
  <si>
    <t xml:space="preserve">A</t>
  </si>
  <si>
    <r>
      <rPr>
        <sz val="10"/>
        <rFont val="Noto Sans CJK SC"/>
        <family val="2"/>
      </rPr>
      <t xml:space="preserve">隨時；找到的資料放 </t>
    </r>
    <r>
      <rPr>
        <sz val="10"/>
        <rFont val="Arial"/>
        <family val="0"/>
        <charset val="1"/>
      </rPr>
      <t xml:space="preserve">02-</t>
    </r>
    <r>
      <rPr>
        <sz val="10"/>
        <rFont val="Noto Sans CJK SC"/>
        <family val="2"/>
      </rPr>
      <t xml:space="preserve">算力收支</t>
    </r>
    <r>
      <rPr>
        <sz val="10"/>
        <rFont val="Arial"/>
        <family val="0"/>
        <charset val="1"/>
      </rPr>
      <t xml:space="preserve">/Tokenomics/inbox/</t>
    </r>
  </si>
  <si>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的證據：中階牌價年變化率 </t>
    </r>
    <r>
      <rPr>
        <sz val="10"/>
        <rFont val="Arial"/>
        <family val="0"/>
        <charset val="1"/>
      </rPr>
      <t xml:space="preserve">g </t>
    </r>
    <r>
      <rPr>
        <sz val="10"/>
        <rFont val="Noto Sans CJK SC"/>
        <family val="2"/>
      </rPr>
      <t xml:space="preserve">的歷史序列</t>
    </r>
  </si>
  <si>
    <t xml:space="preserve">新增（承重分析）</t>
  </si>
  <si>
    <r>
      <rPr>
        <sz val="10"/>
        <rFont val="Noto Sans CJK SC"/>
        <family val="2"/>
      </rPr>
      <t xml:space="preserve">壽命期覆蓋率 </t>
    </r>
    <r>
      <rPr>
        <sz val="10"/>
        <rFont val="Arial"/>
        <family val="0"/>
        <charset val="1"/>
      </rPr>
      <t xml:space="preserve">0.85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g </t>
    </r>
    <r>
      <rPr>
        <sz val="10"/>
        <rFont val="Noto Sans CJK SC"/>
        <family val="2"/>
      </rPr>
      <t xml:space="preserve">的擺動 </t>
    </r>
    <r>
      <rPr>
        <sz val="10"/>
        <rFont val="Arial"/>
        <family val="0"/>
        <charset val="1"/>
      </rPr>
      <t xml:space="preserve">0.58–1.26 </t>
    </r>
    <r>
      <rPr>
        <sz val="10"/>
        <rFont val="Noto Sans CJK SC"/>
        <family val="2"/>
      </rPr>
      <t xml:space="preserve">跨過回本線，三個輸入全為 </t>
    </r>
    <r>
      <rPr>
        <sz val="10"/>
        <rFont val="Arial"/>
        <family val="0"/>
        <charset val="1"/>
      </rPr>
      <t xml:space="preserve">Assumed</t>
    </r>
  </si>
  <si>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之後</t>
    </r>
  </si>
  <si>
    <t xml:space="preserve">6</t>
  </si>
  <si>
    <t xml:space="preserve">訓練支出（全公司口徑）</t>
  </si>
  <si>
    <r>
      <rPr>
        <sz val="10"/>
        <rFont val="Noto Sans CJK SC"/>
        <family val="2"/>
      </rPr>
      <t xml:space="preserve">只在全公司口徑承重（−</t>
    </r>
    <r>
      <rPr>
        <sz val="10"/>
        <rFont val="Arial"/>
        <family val="0"/>
        <charset val="1"/>
      </rPr>
      <t xml:space="preserve">0.59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由下而上只解釋 </t>
    </r>
    <r>
      <rPr>
        <sz val="10"/>
        <rFont val="Arial"/>
        <family val="0"/>
        <charset val="1"/>
      </rPr>
      <t xml:space="preserve">1/6.3</t>
    </r>
    <r>
      <rPr>
        <sz val="10"/>
        <rFont val="Noto Sans CJK SC"/>
        <family val="2"/>
      </rPr>
      <t xml:space="preserve">；查核財報研發 </t>
    </r>
    <r>
      <rPr>
        <sz val="10"/>
        <rFont val="Arial"/>
        <family val="0"/>
        <charset val="1"/>
      </rPr>
      <t xml:space="preserve">191.8 </t>
    </r>
    <r>
      <rPr>
        <sz val="10"/>
        <rFont val="Noto Sans CJK SC"/>
        <family val="2"/>
      </rPr>
      <t xml:space="preserve">億（</t>
    </r>
    <r>
      <rPr>
        <sz val="10"/>
        <rFont val="Arial"/>
        <family val="0"/>
        <charset val="1"/>
      </rPr>
      <t xml:space="preserve">SRC_DEM_073</t>
    </r>
    <r>
      <rPr>
        <sz val="10"/>
        <rFont val="Noto Sans CJK SC"/>
        <family val="2"/>
      </rPr>
      <t xml:space="preserve">）可作起點</t>
    </r>
  </si>
  <si>
    <t xml:space="preserve">記錄，暫不做</t>
  </si>
  <si>
    <t xml:space="preserve">7</t>
  </si>
  <si>
    <r>
      <rPr>
        <sz val="10"/>
        <rFont val="Noto Sans CJK SC"/>
        <family val="2"/>
      </rPr>
      <t xml:space="preserve">其餘待判斷題（</t>
    </r>
    <r>
      <rPr>
        <sz val="10"/>
        <rFont val="Arial"/>
        <family val="0"/>
        <charset val="1"/>
      </rPr>
      <t xml:space="preserve">V1 </t>
    </r>
    <r>
      <rPr>
        <sz val="10"/>
        <rFont val="Noto Sans CJK SC"/>
        <family val="2"/>
      </rPr>
      <t xml:space="preserve">對照、</t>
    </r>
    <r>
      <rPr>
        <sz val="10"/>
        <rFont val="Arial"/>
        <family val="0"/>
        <charset val="1"/>
      </rPr>
      <t xml:space="preserve">Calib GM342–345 </t>
    </r>
    <r>
      <rPr>
        <sz val="10"/>
        <rFont val="Noto Sans CJK SC"/>
        <family val="2"/>
      </rPr>
      <t xml:space="preserve">類別、</t>
    </r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</rPr>
      <t xml:space="preserve">點值、兩條區間軸合併等）</t>
    </r>
  </si>
  <si>
    <r>
      <rPr>
        <sz val="10"/>
        <rFont val="Noto Sans CJK SC"/>
        <family val="2"/>
      </rPr>
      <t xml:space="preserve">結案報告 </t>
    </r>
    <r>
      <rPr>
        <sz val="10"/>
        <rFont val="Arial"/>
        <family val="0"/>
        <charset val="1"/>
      </rPr>
      <t xml:space="preserve">4.2</t>
    </r>
  </si>
  <si>
    <r>
      <rPr>
        <sz val="10"/>
        <rFont val="Noto Sans CJK SC"/>
        <family val="2"/>
      </rPr>
      <t xml:space="preserve">不變；另加：</t>
    </r>
    <r>
      <rPr>
        <sz val="10"/>
        <rFont val="Arial"/>
        <family val="0"/>
        <charset val="1"/>
      </rPr>
      <t xml:space="preserve">L1 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78 </t>
    </r>
    <r>
      <rPr>
        <sz val="10"/>
        <rFont val="Noto Sans CJK SC"/>
        <family val="2"/>
      </rPr>
      <t xml:space="preserve">列 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區間說明文字寫「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倍數 </t>
    </r>
    <r>
      <rPr>
        <sz val="10"/>
        <rFont val="Arial"/>
        <family val="0"/>
        <charset val="1"/>
      </rPr>
      <t xml:space="preserve">1.5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」，與現行計價倍數區間 </t>
    </r>
    <r>
      <rPr>
        <sz val="10"/>
        <rFont val="Arial"/>
        <family val="0"/>
        <charset val="1"/>
      </rPr>
      <t xml:space="preserve">0.73–1.17 </t>
    </r>
    <r>
      <rPr>
        <sz val="10"/>
        <rFont val="Noto Sans CJK SC"/>
        <family val="2"/>
      </rPr>
      <t xml:space="preserve">不一致，疑為過期說明（未逐格查證）</t>
    </r>
  </si>
  <si>
    <t xml:space="preserve">8</t>
  </si>
  <si>
    <t xml:space="preserve">下游同步</t>
  </si>
  <si>
    <r>
      <rPr>
        <sz val="10"/>
        <rFont val="Noto Sans CJK SC"/>
        <family val="2"/>
      </rPr>
      <t xml:space="preserve">交接 </t>
    </r>
    <r>
      <rPr>
        <sz val="10"/>
        <rFont val="Arial"/>
        <family val="0"/>
        <charset val="1"/>
      </rPr>
      <t xml:space="preserve">3.3</t>
    </r>
  </si>
  <si>
    <t xml:space="preserve">不變</t>
  </si>
  <si>
    <t xml:space="preserve">CC</t>
  </si>
  <si>
    <r>
      <rPr>
        <sz val="10"/>
        <rFont val="Noto Sans CJK SC"/>
        <family val="2"/>
      </rPr>
      <t xml:space="preserve">等 </t>
    </r>
    <r>
      <rPr>
        <sz val="10"/>
        <rFont val="Arial"/>
        <family val="0"/>
        <charset val="1"/>
      </rPr>
      <t xml:space="preserve">Andy </t>
    </r>
    <r>
      <rPr>
        <sz val="10"/>
        <rFont val="Noto Sans CJK SC"/>
        <family val="2"/>
      </rPr>
      <t xml:space="preserve">跑完 </t>
    </r>
    <r>
      <rPr>
        <sz val="10"/>
        <rFont val="Arial"/>
        <family val="0"/>
        <charset val="1"/>
      </rPr>
      <t xml:space="preserve">CoreWeave</t>
    </r>
  </si>
  <si>
    <t xml:space="preserve">9</t>
  </si>
  <si>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是否適合當唯一真實來源；價值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成本監控；家用電腦測試</t>
    </r>
  </si>
  <si>
    <r>
      <rPr>
        <sz val="10"/>
        <rFont val="Noto Sans CJK SC"/>
        <family val="2"/>
      </rPr>
      <t xml:space="preserve">交接 </t>
    </r>
    <r>
      <rPr>
        <sz val="10"/>
        <rFont val="Arial"/>
        <family val="0"/>
        <charset val="1"/>
      </rPr>
      <t xml:space="preserve">3.5–3.7</t>
    </r>
  </si>
  <si>
    <t xml:space="preserve">不變，優先權低</t>
  </si>
  <si>
    <t xml:space="preserve">記錄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</si>
</sst>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\+0.00;\-0.00;0.00"/>
    <numFmt numFmtId="167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2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name val="Noto Sans CJK SC"/>
      <family val="2"/>
    </font>
    <font>
      <sz val="10"/>
      <color rgb="FF0000FF"/>
      <name val="Arial"/>
      <family val="0"/>
      <charset val="1"/>
    </font>
    <font>
      <sz val="10"/>
      <color rgb="FF0000FF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DDE4EE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E4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9.4" hidden="false" customHeight="false" outlineLevel="0" collapsed="false">
      <c r="A1" s="1" t="s">
        <v>0</v>
      </c>
    </row>
    <row r="2" customFormat="false" ht="29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29.8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  <row r="6" customFormat="false" ht="15" hidden="false" customHeight="false" outlineLevel="0" collapsed="false">
      <c r="A6" s="2" t="s">
        <v>5</v>
      </c>
    </row>
    <row r="7" customFormat="false" ht="29.85" hidden="false" customHeight="false" outlineLevel="0" collapsed="false">
      <c r="A7" s="2" t="s">
        <v>6</v>
      </c>
    </row>
    <row r="8" customFormat="false" ht="29.85" hidden="false" customHeight="false" outlineLevel="0" collapsed="false">
      <c r="A8" s="2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5" min="4" style="0" width="10"/>
    <col collapsed="false" customWidth="true" hidden="false" outlineLevel="0" max="6" min="6" style="0" width="22"/>
    <col collapsed="false" customWidth="true" hidden="false" outlineLevel="0" max="8" min="7" style="0" width="9"/>
    <col collapsed="false" customWidth="true" hidden="false" outlineLevel="0" max="9" min="9" style="0" width="11"/>
    <col collapsed="false" customWidth="true" hidden="false" outlineLevel="0" max="10" min="10" style="0" width="8"/>
    <col collapsed="false" customWidth="true" hidden="false" outlineLevel="0" max="12" min="11" style="0" width="10"/>
    <col collapsed="false" customWidth="true" hidden="false" outlineLevel="0" max="13" min="13" style="0" width="50"/>
  </cols>
  <sheetData>
    <row r="1" customFormat="false" ht="29.85" hidden="false" customHeight="false" outlineLevel="0" collapsed="false">
      <c r="A1" s="3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3" t="s">
        <v>14</v>
      </c>
      <c r="H1" s="3" t="s">
        <v>15</v>
      </c>
      <c r="I1" s="4" t="s">
        <v>16</v>
      </c>
      <c r="J1" s="4" t="s">
        <v>17</v>
      </c>
      <c r="K1" s="4" t="s">
        <v>18</v>
      </c>
      <c r="L1" s="4" t="s">
        <v>19</v>
      </c>
      <c r="M1" s="4" t="s">
        <v>20</v>
      </c>
    </row>
    <row r="2" customFormat="false" ht="15" hidden="false" customHeight="false" outlineLevel="0" collapsed="false">
      <c r="A2" s="5" t="s">
        <v>21</v>
      </c>
      <c r="B2" s="6" t="s">
        <v>22</v>
      </c>
      <c r="G2" s="7" t="n">
        <v>0.407295434678084</v>
      </c>
    </row>
    <row r="3" customFormat="false" ht="29.85" hidden="false" customHeight="false" outlineLevel="0" collapsed="false">
      <c r="A3" s="2" t="n">
        <v>1</v>
      </c>
      <c r="B3" s="8" t="s">
        <v>23</v>
      </c>
      <c r="C3" s="8" t="s">
        <v>24</v>
      </c>
      <c r="D3" s="9" t="n">
        <v>2.089</v>
      </c>
      <c r="E3" s="9" t="n">
        <v>16.33</v>
      </c>
      <c r="F3" s="8" t="s">
        <v>25</v>
      </c>
      <c r="G3" s="10" t="n">
        <v>0.639559344663287</v>
      </c>
      <c r="H3" s="10" t="n">
        <v>0.246262659830837</v>
      </c>
      <c r="I3" s="11" t="n">
        <f aca="false">IFERROR((LN(H3)-LN(G3))/(LN(E3)-LN(D3)),"—")</f>
        <v>-0.464121079064944</v>
      </c>
      <c r="J3" s="12" t="n">
        <f aca="false">ABS(H3-G3)/$G$2</f>
        <v>0.96562998586837</v>
      </c>
      <c r="K3" s="10" t="n">
        <v>3.19316549574681</v>
      </c>
      <c r="L3" s="10" t="n">
        <v>1.2295300425587</v>
      </c>
      <c r="M3" s="8" t="s">
        <v>26</v>
      </c>
    </row>
    <row r="4" customFormat="false" ht="15" hidden="false" customHeight="false" outlineLevel="0" collapsed="false">
      <c r="A4" s="2" t="n">
        <v>2</v>
      </c>
      <c r="B4" s="8" t="s">
        <v>27</v>
      </c>
      <c r="C4" s="8" t="s">
        <v>28</v>
      </c>
      <c r="D4" s="9" t="n">
        <v>0.5</v>
      </c>
      <c r="E4" s="9" t="n">
        <v>1.5</v>
      </c>
      <c r="F4" s="8" t="s">
        <v>29</v>
      </c>
      <c r="G4" s="10" t="n">
        <v>0.621669209183852</v>
      </c>
      <c r="H4" s="10" t="n">
        <v>0.313154087238906</v>
      </c>
      <c r="I4" s="11" t="n">
        <f aca="false">IFERROR((LN(H4)-LN(G4))/(LN(E4)-LN(D4)),"—")</f>
        <v>-0.624162663581877</v>
      </c>
      <c r="J4" s="12" t="n">
        <f aca="false">ABS(H4-G4)/$G$2</f>
        <v>0.757472575622628</v>
      </c>
      <c r="K4" s="10" t="n">
        <v>2.03352783356479</v>
      </c>
      <c r="L4" s="10" t="n">
        <v>2.03352783356479</v>
      </c>
      <c r="M4" s="2"/>
    </row>
    <row r="5" customFormat="false" ht="26.85" hidden="false" customHeight="false" outlineLevel="0" collapsed="false">
      <c r="A5" s="2" t="n">
        <v>3</v>
      </c>
      <c r="B5" s="2" t="s">
        <v>30</v>
      </c>
      <c r="C5" s="8" t="s">
        <v>31</v>
      </c>
      <c r="D5" s="9" t="n">
        <v>0.65</v>
      </c>
      <c r="E5" s="9" t="n">
        <v>1.2</v>
      </c>
      <c r="F5" s="8" t="s">
        <v>32</v>
      </c>
      <c r="G5" s="10" t="n">
        <v>0.626608361043206</v>
      </c>
      <c r="H5" s="10" t="n">
        <v>0.339412862231737</v>
      </c>
      <c r="I5" s="11" t="n">
        <f aca="false">IFERROR((LN(H5)-LN(G5))/(LN(E5)-LN(D5)),"—")</f>
        <v>-0.999999999999998</v>
      </c>
      <c r="J5" s="12" t="n">
        <f aca="false">ABS(H5-G5)/$G$2</f>
        <v>0.705128205128204</v>
      </c>
      <c r="K5" s="10" t="n">
        <v>3.12850435933045</v>
      </c>
      <c r="L5" s="10" t="n">
        <v>1.69460652797066</v>
      </c>
      <c r="M5" s="2" t="s">
        <v>33</v>
      </c>
    </row>
    <row r="6" customFormat="false" ht="15" hidden="false" customHeight="false" outlineLevel="0" collapsed="false">
      <c r="A6" s="2" t="n">
        <v>4</v>
      </c>
      <c r="B6" s="2" t="s">
        <v>34</v>
      </c>
      <c r="C6" s="8" t="s">
        <v>35</v>
      </c>
      <c r="D6" s="9" t="n">
        <v>0.3</v>
      </c>
      <c r="E6" s="9" t="n">
        <v>0.65</v>
      </c>
      <c r="F6" s="8" t="s">
        <v>36</v>
      </c>
      <c r="G6" s="10" t="n">
        <v>0.556637094060048</v>
      </c>
      <c r="H6" s="10" t="n">
        <v>0.300967115929835</v>
      </c>
      <c r="I6" s="11" t="n">
        <f aca="false">IFERROR((LN(H6)-LN(G6))/(LN(E6)-LN(D6)),"—")</f>
        <v>-0.795292968607267</v>
      </c>
      <c r="J6" s="12" t="n">
        <f aca="false">ABS(H6-G6)/$G$2</f>
        <v>0.627726108278842</v>
      </c>
      <c r="K6" s="10" t="n">
        <v>2.03352783356479</v>
      </c>
      <c r="L6" s="10" t="n">
        <v>2.03352783356479</v>
      </c>
      <c r="M6" s="2" t="s">
        <v>37</v>
      </c>
    </row>
    <row r="7" customFormat="false" ht="15" hidden="false" customHeight="false" outlineLevel="0" collapsed="false">
      <c r="A7" s="2" t="n">
        <v>5</v>
      </c>
      <c r="B7" s="2" t="s">
        <v>38</v>
      </c>
      <c r="C7" s="8" t="s">
        <v>39</v>
      </c>
      <c r="D7" s="9" t="n">
        <v>0.73</v>
      </c>
      <c r="E7" s="9" t="n">
        <v>1.17</v>
      </c>
      <c r="F7" s="8" t="s">
        <v>40</v>
      </c>
      <c r="G7" s="10" t="n">
        <v>0.349794902723531</v>
      </c>
      <c r="H7" s="10" t="n">
        <v>0.560630186556892</v>
      </c>
      <c r="I7" s="11" t="n">
        <f aca="false">IFERROR((LN(H7)-LN(G7))/(LN(E7)-LN(D7)),"—")</f>
        <v>1</v>
      </c>
      <c r="J7" s="12" t="n">
        <f aca="false">ABS(H7-G7)/$G$2</f>
        <v>0.517647058823529</v>
      </c>
      <c r="K7" s="10" t="n">
        <v>2.03352783356479</v>
      </c>
      <c r="L7" s="10" t="n">
        <v>2.03352783356479</v>
      </c>
      <c r="M7" s="2"/>
    </row>
    <row r="8" customFormat="false" ht="15" hidden="false" customHeight="false" outlineLevel="0" collapsed="false">
      <c r="A8" s="2" t="n">
        <v>6</v>
      </c>
      <c r="B8" s="8" t="s">
        <v>41</v>
      </c>
      <c r="C8" s="8" t="s">
        <v>42</v>
      </c>
      <c r="D8" s="9" t="n">
        <v>60</v>
      </c>
      <c r="E8" s="9" t="n">
        <v>250</v>
      </c>
      <c r="F8" s="8" t="s">
        <v>43</v>
      </c>
      <c r="G8" s="10" t="n">
        <v>0.284175729576746</v>
      </c>
      <c r="H8" s="10" t="n">
        <v>0.465830019856385</v>
      </c>
      <c r="I8" s="11" t="n">
        <f aca="false">IFERROR((LN(H8)-LN(G8))/(LN(E8)-LN(D8)),"—")</f>
        <v>0.346312330072707</v>
      </c>
      <c r="J8" s="12" t="n">
        <f aca="false">ABS(H8-G8)/$G$2</f>
        <v>0.446001292460383</v>
      </c>
      <c r="K8" s="10" t="n">
        <v>2.03352783356479</v>
      </c>
      <c r="L8" s="10" t="n">
        <v>2.03352783356479</v>
      </c>
      <c r="M8" s="2"/>
    </row>
    <row r="9" customFormat="false" ht="15" hidden="false" customHeight="false" outlineLevel="0" collapsed="false">
      <c r="A9" s="2" t="n">
        <v>7</v>
      </c>
      <c r="B9" s="2" t="s">
        <v>44</v>
      </c>
      <c r="C9" s="8" t="s">
        <v>45</v>
      </c>
      <c r="D9" s="9" t="n">
        <v>0.1</v>
      </c>
      <c r="E9" s="9" t="n">
        <v>0.4</v>
      </c>
      <c r="F9" s="8" t="s">
        <v>46</v>
      </c>
      <c r="G9" s="10" t="n">
        <v>0.362040386380519</v>
      </c>
      <c r="H9" s="10" t="n">
        <v>0.543060579570779</v>
      </c>
      <c r="I9" s="11" t="n">
        <f aca="false">IFERROR((LN(H9)-LN(G9))/(LN(E9)-LN(D9)),"—")</f>
        <v>0.292481250360579</v>
      </c>
      <c r="J9" s="12" t="n">
        <f aca="false">ABS(H9-G9)/$G$2</f>
        <v>0.444444444444446</v>
      </c>
      <c r="K9" s="10" t="n">
        <v>1.80758029650204</v>
      </c>
      <c r="L9" s="10" t="n">
        <v>2.71137044475306</v>
      </c>
      <c r="M9" s="2"/>
    </row>
    <row r="10" customFormat="false" ht="15" hidden="false" customHeight="false" outlineLevel="0" collapsed="false">
      <c r="A10" s="2" t="n">
        <v>8</v>
      </c>
      <c r="B10" s="8" t="s">
        <v>47</v>
      </c>
      <c r="C10" s="8" t="s">
        <v>48</v>
      </c>
      <c r="D10" s="9" t="n">
        <v>8192</v>
      </c>
      <c r="E10" s="9" t="n">
        <v>68000</v>
      </c>
      <c r="F10" s="8" t="s">
        <v>49</v>
      </c>
      <c r="G10" s="10" t="n">
        <v>0.492156256599051</v>
      </c>
      <c r="H10" s="10" t="n">
        <v>0.329126278037904</v>
      </c>
      <c r="I10" s="11" t="n">
        <f aca="false">IFERROR((LN(H10)-LN(G10))/(LN(E10)-LN(D10)),"—")</f>
        <v>-0.190117338281305</v>
      </c>
      <c r="J10" s="12" t="n">
        <f aca="false">ABS(H10-G10)/$G$2</f>
        <v>0.400274505139007</v>
      </c>
      <c r="K10" s="10" t="n">
        <v>2.03352783356479</v>
      </c>
      <c r="L10" s="10" t="n">
        <v>2.03352783356479</v>
      </c>
      <c r="M10" s="2"/>
    </row>
    <row r="11" customFormat="false" ht="15" hidden="false" customHeight="false" outlineLevel="0" collapsed="false">
      <c r="A11" s="2" t="n">
        <v>9</v>
      </c>
      <c r="B11" s="2" t="s">
        <v>50</v>
      </c>
      <c r="C11" s="8" t="s">
        <v>51</v>
      </c>
      <c r="D11" s="9" t="n">
        <v>0.7</v>
      </c>
      <c r="E11" s="9" t="n">
        <v>1</v>
      </c>
      <c r="F11" s="8" t="s">
        <v>52</v>
      </c>
      <c r="G11" s="10" t="n">
        <v>0.494573027823387</v>
      </c>
      <c r="H11" s="10" t="n">
        <v>0.346201119476371</v>
      </c>
      <c r="I11" s="11" t="n">
        <f aca="false">IFERROR((LN(H11)-LN(G11))/(LN(E11)-LN(D11)),"—")</f>
        <v>-0.999999999999999</v>
      </c>
      <c r="J11" s="12" t="n">
        <f aca="false">ABS(H11-G11)/$G$2</f>
        <v>0.364285714285714</v>
      </c>
      <c r="K11" s="10" t="n">
        <v>2.03352783356479</v>
      </c>
      <c r="L11" s="10" t="n">
        <v>2.03352783356479</v>
      </c>
      <c r="M11" s="2"/>
    </row>
    <row r="12" customFormat="false" ht="15" hidden="false" customHeight="false" outlineLevel="0" collapsed="false">
      <c r="A12" s="2" t="n">
        <v>10</v>
      </c>
      <c r="B12" s="8" t="s">
        <v>53</v>
      </c>
      <c r="C12" s="8" t="s">
        <v>54</v>
      </c>
      <c r="D12" s="9" t="n">
        <v>1024</v>
      </c>
      <c r="E12" s="9" t="n">
        <v>4096</v>
      </c>
      <c r="F12" s="8" t="s">
        <v>55</v>
      </c>
      <c r="G12" s="10" t="n">
        <v>0.356703495758011</v>
      </c>
      <c r="H12" s="10" t="n">
        <v>0.493251578089251</v>
      </c>
      <c r="I12" s="11" t="n">
        <f aca="false">IFERROR((LN(H12)-LN(G12))/(LN(E12)-LN(D12)),"—")</f>
        <v>0.233799156056712</v>
      </c>
      <c r="J12" s="12" t="n">
        <f aca="false">ABS(H12-G12)/$G$2</f>
        <v>0.335255617188943</v>
      </c>
      <c r="K12" s="10" t="n">
        <v>2.03352783356479</v>
      </c>
      <c r="L12" s="10" t="n">
        <v>2.03352783356479</v>
      </c>
      <c r="M12" s="2"/>
    </row>
    <row r="13" customFormat="false" ht="29.85" hidden="false" customHeight="false" outlineLevel="0" collapsed="false">
      <c r="A13" s="2" t="n">
        <v>11</v>
      </c>
      <c r="B13" s="2" t="s">
        <v>56</v>
      </c>
      <c r="C13" s="8" t="s">
        <v>57</v>
      </c>
      <c r="D13" s="9" t="s">
        <v>58</v>
      </c>
      <c r="E13" s="9" t="s">
        <v>59</v>
      </c>
      <c r="F13" s="2" t="s">
        <v>60</v>
      </c>
      <c r="G13" s="10" t="n">
        <v>0.352846114378712</v>
      </c>
      <c r="H13" s="10" t="n">
        <v>0.479992440451555</v>
      </c>
      <c r="I13" s="8" t="s">
        <v>61</v>
      </c>
      <c r="J13" s="12" t="n">
        <f aca="false">ABS(H13-G13)/$G$2</f>
        <v>0.312172234813622</v>
      </c>
      <c r="K13" s="10" t="n">
        <v>2.03352783356479</v>
      </c>
      <c r="L13" s="10" t="n">
        <v>2.03352783356479</v>
      </c>
      <c r="M13" s="2" t="s">
        <v>62</v>
      </c>
    </row>
    <row r="14" customFormat="false" ht="29.85" hidden="false" customHeight="false" outlineLevel="0" collapsed="false">
      <c r="A14" s="2" t="n">
        <v>12</v>
      </c>
      <c r="B14" s="2" t="s">
        <v>63</v>
      </c>
      <c r="C14" s="8" t="s">
        <v>64</v>
      </c>
      <c r="D14" s="9" t="n">
        <v>7.5</v>
      </c>
      <c r="E14" s="9" t="n">
        <v>8.8</v>
      </c>
      <c r="F14" s="8" t="s">
        <v>65</v>
      </c>
      <c r="G14" s="10" t="n">
        <v>0.456170886839454</v>
      </c>
      <c r="H14" s="10" t="n">
        <v>0.38878200582908</v>
      </c>
      <c r="I14" s="11" t="n">
        <f aca="false">IFERROR((LN(H14)-LN(G14))/(LN(E14)-LN(D14)),"—")</f>
        <v>-1</v>
      </c>
      <c r="J14" s="12" t="n">
        <f aca="false">ABS(H14-G14)/$G$2</f>
        <v>0.165454545454546</v>
      </c>
      <c r="K14" s="10" t="n">
        <v>2.03352783356479</v>
      </c>
      <c r="L14" s="10" t="n">
        <v>2.03352783356479</v>
      </c>
      <c r="M14" s="2" t="s">
        <v>66</v>
      </c>
    </row>
    <row r="15" customFormat="false" ht="15" hidden="false" customHeight="false" outlineLevel="0" collapsed="false">
      <c r="A15" s="2" t="n">
        <v>13</v>
      </c>
      <c r="B15" s="2" t="s">
        <v>67</v>
      </c>
      <c r="C15" s="8" t="s">
        <v>68</v>
      </c>
      <c r="D15" s="9" t="n">
        <v>0.3</v>
      </c>
      <c r="E15" s="9" t="n">
        <v>0.75</v>
      </c>
      <c r="F15" s="8" t="s">
        <v>69</v>
      </c>
      <c r="G15" s="10" t="n">
        <v>0.443032563594534</v>
      </c>
      <c r="H15" s="10" t="n">
        <v>0.378461913740812</v>
      </c>
      <c r="I15" s="11" t="n">
        <f aca="false">IFERROR((LN(H15)-LN(G15))/(LN(E15)-LN(D15)),"—")</f>
        <v>-0.171919048434473</v>
      </c>
      <c r="J15" s="12" t="n">
        <f aca="false">ABS(H15-G15)/$G$2</f>
        <v>0.158535167242316</v>
      </c>
      <c r="K15" s="10" t="n">
        <v>2.03352783356479</v>
      </c>
      <c r="L15" s="10" t="n">
        <v>2.03352783356479</v>
      </c>
      <c r="M15" s="2"/>
    </row>
    <row r="16" customFormat="false" ht="15" hidden="false" customHeight="false" outlineLevel="0" collapsed="false">
      <c r="A16" s="2" t="n">
        <v>14</v>
      </c>
      <c r="B16" s="8" t="s">
        <v>70</v>
      </c>
      <c r="C16" s="8" t="s">
        <v>71</v>
      </c>
      <c r="D16" s="9" t="n">
        <v>1.672</v>
      </c>
      <c r="E16" s="9" t="n">
        <v>2.338</v>
      </c>
      <c r="F16" s="8" t="s">
        <v>72</v>
      </c>
      <c r="G16" s="10" t="n">
        <v>0.457480400799176</v>
      </c>
      <c r="H16" s="10" t="n">
        <v>0.394285859814887</v>
      </c>
      <c r="I16" s="11" t="n">
        <f aca="false">IFERROR((LN(H16)-LN(G16))/(LN(E16)-LN(D16)),"—")</f>
        <v>-0.443390383391407</v>
      </c>
      <c r="J16" s="12" t="n">
        <f aca="false">ABS(H16-G16)/$G$2</f>
        <v>0.155156516876346</v>
      </c>
      <c r="K16" s="10" t="n">
        <v>2.28408926083541</v>
      </c>
      <c r="L16" s="10" t="n">
        <v>1.9685741652084</v>
      </c>
      <c r="M16" s="2"/>
    </row>
    <row r="17" customFormat="false" ht="15" hidden="false" customHeight="false" outlineLevel="0" collapsed="false">
      <c r="A17" s="2" t="n">
        <v>15</v>
      </c>
      <c r="B17" s="2" t="s">
        <v>73</v>
      </c>
      <c r="C17" s="8" t="s">
        <v>74</v>
      </c>
      <c r="D17" s="9" t="n">
        <v>0.4</v>
      </c>
      <c r="E17" s="9" t="n">
        <v>0.8</v>
      </c>
      <c r="F17" s="8" t="s">
        <v>75</v>
      </c>
      <c r="G17" s="10" t="n">
        <v>0.382504628522763</v>
      </c>
      <c r="H17" s="10" t="n">
        <v>0.443780017321763</v>
      </c>
      <c r="I17" s="11" t="n">
        <f aca="false">IFERROR((LN(H17)-LN(G17))/(LN(E17)-LN(D17)),"—")</f>
        <v>0.214367501493799</v>
      </c>
      <c r="J17" s="12" t="n">
        <f aca="false">ABS(H17-G17)/$G$2</f>
        <v>0.150444575563265</v>
      </c>
      <c r="K17" s="10" t="n">
        <v>1.70764196280121</v>
      </c>
      <c r="L17" s="10" t="n">
        <v>2.51313345468857</v>
      </c>
      <c r="M17" s="2"/>
    </row>
    <row r="18" customFormat="false" ht="15" hidden="false" customHeight="false" outlineLevel="0" collapsed="false">
      <c r="A18" s="2" t="n">
        <v>16</v>
      </c>
      <c r="B18" s="8" t="s">
        <v>76</v>
      </c>
      <c r="C18" s="8" t="s">
        <v>77</v>
      </c>
      <c r="D18" s="9" t="n">
        <v>0.08</v>
      </c>
      <c r="E18" s="9" t="n">
        <v>0.13</v>
      </c>
      <c r="F18" s="2" t="s">
        <v>78</v>
      </c>
      <c r="G18" s="10" t="n">
        <v>0.383812966786187</v>
      </c>
      <c r="H18" s="10" t="n">
        <v>0.444007498975262</v>
      </c>
      <c r="I18" s="11" t="n">
        <f aca="false">IFERROR((LN(H18)-LN(G18))/(LN(E18)-LN(D18)),"—")</f>
        <v>0.30006949191376</v>
      </c>
      <c r="J18" s="12" t="n">
        <f aca="false">ABS(H18-G18)/$G$2</f>
        <v>0.147790834524456</v>
      </c>
      <c r="K18" s="10" t="n">
        <v>2.03352783356479</v>
      </c>
      <c r="L18" s="10" t="n">
        <v>2.03352783356479</v>
      </c>
      <c r="M18" s="2"/>
    </row>
    <row r="19" customFormat="false" ht="15" hidden="false" customHeight="false" outlineLevel="0" collapsed="false">
      <c r="A19" s="2" t="n">
        <v>17</v>
      </c>
      <c r="B19" s="8" t="s">
        <v>79</v>
      </c>
      <c r="C19" s="8" t="s">
        <v>80</v>
      </c>
      <c r="D19" s="9" t="n">
        <v>0.15</v>
      </c>
      <c r="E19" s="9" t="n">
        <v>0.45</v>
      </c>
      <c r="F19" s="8" t="s">
        <v>81</v>
      </c>
      <c r="G19" s="10" t="n">
        <v>0.363788701586585</v>
      </c>
      <c r="H19" s="10" t="n">
        <v>0.422920428767233</v>
      </c>
      <c r="I19" s="11" t="n">
        <f aca="false">IFERROR((LN(H19)-LN(G19))/(LN(E19)-LN(D19)),"—")</f>
        <v>0.137091895205272</v>
      </c>
      <c r="J19" s="12" t="n">
        <f aca="false">ABS(H19-G19)/$G$2</f>
        <v>0.145181414143235</v>
      </c>
      <c r="K19" s="10" t="n">
        <v>2.03352783356479</v>
      </c>
      <c r="L19" s="10" t="n">
        <v>2.03352783356479</v>
      </c>
      <c r="M19" s="2"/>
    </row>
    <row r="20" customFormat="false" ht="15" hidden="false" customHeight="false" outlineLevel="0" collapsed="false">
      <c r="A20" s="2" t="n">
        <v>18</v>
      </c>
      <c r="B20" s="2" t="s">
        <v>82</v>
      </c>
      <c r="C20" s="8" t="s">
        <v>83</v>
      </c>
      <c r="D20" s="9" t="n">
        <v>2000</v>
      </c>
      <c r="E20" s="9" t="n">
        <v>11000</v>
      </c>
      <c r="F20" s="8" t="s">
        <v>84</v>
      </c>
      <c r="G20" s="10" t="n">
        <v>0.385776615303292</v>
      </c>
      <c r="H20" s="10" t="n">
        <v>0.44383310968059</v>
      </c>
      <c r="I20" s="11" t="n">
        <f aca="false">IFERROR((LN(H20)-LN(G20))/(LN(E20)-LN(D20)),"—")</f>
        <v>0.0822350986633814</v>
      </c>
      <c r="J20" s="12" t="n">
        <f aca="false">ABS(H20-G20)/$G$2</f>
        <v>0.142541480788225</v>
      </c>
      <c r="K20" s="10" t="n">
        <v>2.51313345468857</v>
      </c>
      <c r="L20" s="10" t="n">
        <v>1.21918602378484</v>
      </c>
      <c r="M20" s="2" t="s">
        <v>85</v>
      </c>
    </row>
    <row r="21" customFormat="false" ht="15" hidden="false" customHeight="false" outlineLevel="0" collapsed="false">
      <c r="A21" s="2" t="n">
        <v>19</v>
      </c>
      <c r="B21" s="8" t="s">
        <v>86</v>
      </c>
      <c r="C21" s="8" t="s">
        <v>87</v>
      </c>
      <c r="D21" s="9" t="n">
        <v>0.8</v>
      </c>
      <c r="E21" s="9" t="n">
        <v>1.6</v>
      </c>
      <c r="F21" s="8" t="s">
        <v>88</v>
      </c>
      <c r="G21" s="10" t="n">
        <v>0.438707201451813</v>
      </c>
      <c r="H21" s="10" t="n">
        <v>0.383603216392506</v>
      </c>
      <c r="I21" s="11" t="n">
        <f aca="false">IFERROR((LN(H21)-LN(G21))/(LN(E21)-LN(D21)),"—")</f>
        <v>-0.193643571679386</v>
      </c>
      <c r="J21" s="12" t="n">
        <f aca="false">ABS(H21-G21)/$G$2</f>
        <v>0.135292420114799</v>
      </c>
      <c r="K21" s="10" t="n">
        <v>2.03352783356479</v>
      </c>
      <c r="L21" s="10" t="n">
        <v>2.03352783356479</v>
      </c>
      <c r="M21" s="2"/>
    </row>
    <row r="22" customFormat="false" ht="15" hidden="false" customHeight="false" outlineLevel="0" collapsed="false">
      <c r="A22" s="2" t="n">
        <v>20</v>
      </c>
      <c r="B22" s="2" t="s">
        <v>89</v>
      </c>
      <c r="C22" s="8" t="s">
        <v>90</v>
      </c>
      <c r="D22" s="9" t="n">
        <v>0.4</v>
      </c>
      <c r="E22" s="9" t="n">
        <v>0.8</v>
      </c>
      <c r="F22" s="8" t="s">
        <v>91</v>
      </c>
      <c r="G22" s="10" t="n">
        <v>0.451450673894752</v>
      </c>
      <c r="H22" s="10" t="n">
        <v>0.407295434678084</v>
      </c>
      <c r="I22" s="11" t="n">
        <f aca="false">IFERROR((LN(H22)-LN(G22))/(LN(E22)-LN(D22)),"—")</f>
        <v>-0.148492722075045</v>
      </c>
      <c r="J22" s="12" t="n">
        <f aca="false">ABS(H22-G22)/$G$2</f>
        <v>0.108410837581735</v>
      </c>
      <c r="K22" s="10" t="n">
        <v>2.03352783356479</v>
      </c>
      <c r="L22" s="10" t="n">
        <v>2.03352783356479</v>
      </c>
      <c r="M22" s="2"/>
    </row>
    <row r="23" customFormat="false" ht="29.85" hidden="false" customHeight="false" outlineLevel="0" collapsed="false">
      <c r="A23" s="2" t="n">
        <v>21</v>
      </c>
      <c r="B23" s="2" t="s">
        <v>92</v>
      </c>
      <c r="C23" s="8" t="s">
        <v>93</v>
      </c>
      <c r="D23" s="9" t="s">
        <v>94</v>
      </c>
      <c r="E23" s="9" t="s">
        <v>95</v>
      </c>
      <c r="F23" s="2" t="s">
        <v>96</v>
      </c>
      <c r="G23" s="10" t="n">
        <v>0.429249732334223</v>
      </c>
      <c r="H23" s="10" t="n">
        <v>0.393195530337029</v>
      </c>
      <c r="I23" s="8" t="s">
        <v>61</v>
      </c>
      <c r="J23" s="12" t="n">
        <f aca="false">ABS(H23-G23)/$G$2</f>
        <v>0.0885210069336778</v>
      </c>
      <c r="K23" s="10" t="n">
        <v>2.59991995668004</v>
      </c>
      <c r="L23" s="10" t="n">
        <v>1.66976895003074</v>
      </c>
      <c r="M23" s="2" t="s">
        <v>97</v>
      </c>
    </row>
    <row r="24" customFormat="false" ht="15" hidden="false" customHeight="false" outlineLevel="0" collapsed="false">
      <c r="A24" s="2" t="n">
        <v>22</v>
      </c>
      <c r="B24" s="8" t="s">
        <v>98</v>
      </c>
      <c r="C24" s="8" t="s">
        <v>99</v>
      </c>
      <c r="D24" s="9" t="n">
        <v>1</v>
      </c>
      <c r="E24" s="9" t="n">
        <v>1.5</v>
      </c>
      <c r="F24" s="8" t="s">
        <v>100</v>
      </c>
      <c r="G24" s="10" t="n">
        <v>0.388570368776145</v>
      </c>
      <c r="H24" s="10" t="n">
        <v>0.407295434678084</v>
      </c>
      <c r="I24" s="11" t="n">
        <f aca="false">IFERROR((LN(H24)-LN(G24))/(LN(E24)-LN(D24)),"—")</f>
        <v>0.116075396103197</v>
      </c>
      <c r="J24" s="12" t="n">
        <f aca="false">ABS(H24-G24)/$G$2</f>
        <v>0.0459741610331057</v>
      </c>
      <c r="K24" s="10" t="n">
        <v>2.03352783356479</v>
      </c>
      <c r="L24" s="10" t="n">
        <v>2.03352783356479</v>
      </c>
      <c r="M24" s="2"/>
    </row>
    <row r="25" customFormat="false" ht="15" hidden="false" customHeight="false" outlineLevel="0" collapsed="false">
      <c r="A25" s="2" t="n">
        <v>23</v>
      </c>
      <c r="B25" s="8" t="s">
        <v>101</v>
      </c>
      <c r="C25" s="8" t="s">
        <v>102</v>
      </c>
      <c r="D25" s="9" t="n">
        <v>0.0669</v>
      </c>
      <c r="E25" s="9" t="n">
        <v>0.3026</v>
      </c>
      <c r="F25" s="8" t="s">
        <v>103</v>
      </c>
      <c r="G25" s="10" t="n">
        <v>0.410154388277274</v>
      </c>
      <c r="H25" s="10" t="n">
        <v>0.392415663483573</v>
      </c>
      <c r="I25" s="11" t="n">
        <f aca="false">IFERROR((LN(H25)-LN(G25))/(LN(E25)-LN(D25)),"—")</f>
        <v>-0.0292947426373452</v>
      </c>
      <c r="J25" s="12" t="n">
        <f aca="false">ABS(H25-G25)/$G$2</f>
        <v>0.0435524763682197</v>
      </c>
      <c r="K25" s="10" t="n">
        <v>2.04780189908045</v>
      </c>
      <c r="L25" s="10" t="n">
        <v>1.959236726165</v>
      </c>
      <c r="M25" s="2"/>
    </row>
    <row r="26" customFormat="false" ht="15" hidden="false" customHeight="false" outlineLevel="0" collapsed="false">
      <c r="A26" s="2" t="n">
        <v>24</v>
      </c>
      <c r="B26" s="8" t="s">
        <v>104</v>
      </c>
      <c r="C26" s="8" t="s">
        <v>105</v>
      </c>
      <c r="D26" s="9" t="n">
        <v>1</v>
      </c>
      <c r="E26" s="9" t="n">
        <v>3.74</v>
      </c>
      <c r="F26" s="8" t="s">
        <v>106</v>
      </c>
      <c r="G26" s="10" t="n">
        <v>0.407295434678084</v>
      </c>
      <c r="H26" s="10" t="n">
        <v>0.407295434678084</v>
      </c>
      <c r="I26" s="11" t="n">
        <f aca="false">IFERROR((LN(H26)-LN(G26))/(LN(E26)-LN(D26)),"—")</f>
        <v>0</v>
      </c>
      <c r="J26" s="12" t="n">
        <f aca="false">ABS(H26-G26)/$G$2</f>
        <v>0</v>
      </c>
      <c r="K26" s="10" t="n">
        <v>2.03352783356479</v>
      </c>
      <c r="L26" s="10" t="n">
        <v>2.03352783356479</v>
      </c>
      <c r="M26" s="2" t="s">
        <v>107</v>
      </c>
    </row>
    <row r="27" customFormat="false" ht="15" hidden="false" customHeight="false" outlineLevel="0" collapsed="false">
      <c r="A27" s="2" t="n">
        <v>25</v>
      </c>
      <c r="B27" s="8" t="s">
        <v>108</v>
      </c>
      <c r="C27" s="8" t="s">
        <v>109</v>
      </c>
      <c r="D27" s="9" t="n">
        <v>1.83</v>
      </c>
      <c r="E27" s="9" t="n">
        <v>3.04</v>
      </c>
      <c r="F27" s="8" t="s">
        <v>110</v>
      </c>
      <c r="G27" s="10" t="n">
        <v>0.407295434678084</v>
      </c>
      <c r="H27" s="10" t="n">
        <v>0.407295434678084</v>
      </c>
      <c r="I27" s="11" t="n">
        <f aca="false">IFERROR((LN(H27)-LN(G27))/(LN(E27)-LN(D27)),"—")</f>
        <v>0</v>
      </c>
      <c r="J27" s="12" t="n">
        <f aca="false">ABS(H27-G27)/$G$2</f>
        <v>0</v>
      </c>
      <c r="K27" s="10" t="n">
        <v>2.03352783356479</v>
      </c>
      <c r="L27" s="10" t="n">
        <v>2.03352783356479</v>
      </c>
      <c r="M27" s="2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6" min="5" style="0" width="46"/>
    <col collapsed="false" customWidth="true" hidden="false" outlineLevel="0" max="7" min="7" style="0" width="10"/>
    <col collapsed="false" customWidth="true" hidden="false" outlineLevel="0" max="8" min="8" style="0" width="40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4" t="s">
        <v>111</v>
      </c>
      <c r="B1" s="4" t="s">
        <v>112</v>
      </c>
      <c r="C1" s="4" t="s">
        <v>113</v>
      </c>
      <c r="D1" s="4" t="s">
        <v>17</v>
      </c>
      <c r="E1" s="4" t="s">
        <v>114</v>
      </c>
      <c r="F1" s="4" t="s">
        <v>115</v>
      </c>
      <c r="G1" s="4" t="s">
        <v>116</v>
      </c>
      <c r="H1" s="4" t="s">
        <v>117</v>
      </c>
      <c r="I1" s="4" t="s">
        <v>118</v>
      </c>
    </row>
    <row r="2" customFormat="false" ht="15" hidden="false" customHeight="false" outlineLevel="0" collapsed="false">
      <c r="A2" s="8" t="s">
        <v>119</v>
      </c>
      <c r="B2" s="2" t="s">
        <v>120</v>
      </c>
      <c r="C2" s="8" t="s">
        <v>121</v>
      </c>
      <c r="D2" s="8" t="s">
        <v>122</v>
      </c>
      <c r="E2" s="2" t="s">
        <v>123</v>
      </c>
      <c r="F2" s="8" t="s">
        <v>61</v>
      </c>
      <c r="G2" s="8" t="s">
        <v>124</v>
      </c>
      <c r="H2" s="8" t="s">
        <v>61</v>
      </c>
      <c r="I2" s="2" t="s">
        <v>125</v>
      </c>
    </row>
    <row r="3" customFormat="false" ht="58.2" hidden="false" customHeight="false" outlineLevel="0" collapsed="false">
      <c r="A3" s="8" t="s">
        <v>119</v>
      </c>
      <c r="B3" s="2" t="s">
        <v>126</v>
      </c>
      <c r="C3" s="8" t="s">
        <v>121</v>
      </c>
      <c r="D3" s="8" t="s">
        <v>127</v>
      </c>
      <c r="E3" s="2" t="s">
        <v>128</v>
      </c>
      <c r="F3" s="2" t="s">
        <v>129</v>
      </c>
      <c r="G3" s="8" t="s">
        <v>130</v>
      </c>
      <c r="H3" s="8" t="s">
        <v>131</v>
      </c>
      <c r="I3" s="2" t="s">
        <v>132</v>
      </c>
    </row>
    <row r="4" customFormat="false" ht="58.2" hidden="false" customHeight="false" outlineLevel="0" collapsed="false">
      <c r="A4" s="8" t="s">
        <v>133</v>
      </c>
      <c r="B4" s="8" t="s">
        <v>134</v>
      </c>
      <c r="C4" s="8" t="s">
        <v>135</v>
      </c>
      <c r="D4" s="8" t="s">
        <v>136</v>
      </c>
      <c r="E4" s="8" t="s">
        <v>137</v>
      </c>
      <c r="F4" s="8" t="s">
        <v>138</v>
      </c>
      <c r="G4" s="8" t="s">
        <v>139</v>
      </c>
      <c r="H4" s="2" t="s">
        <v>140</v>
      </c>
      <c r="I4" s="2" t="s">
        <v>141</v>
      </c>
    </row>
    <row r="5" customFormat="false" ht="29.85" hidden="false" customHeight="false" outlineLevel="0" collapsed="false">
      <c r="A5" s="8" t="s">
        <v>133</v>
      </c>
      <c r="B5" s="2" t="s">
        <v>142</v>
      </c>
      <c r="C5" s="2" t="s">
        <v>143</v>
      </c>
      <c r="D5" s="8" t="s">
        <v>144</v>
      </c>
      <c r="E5" s="2" t="s">
        <v>145</v>
      </c>
      <c r="F5" s="2" t="s">
        <v>146</v>
      </c>
      <c r="G5" s="8" t="s">
        <v>139</v>
      </c>
      <c r="H5" s="2" t="s">
        <v>147</v>
      </c>
      <c r="I5" s="2" t="s">
        <v>148</v>
      </c>
    </row>
    <row r="6" customFormat="false" ht="29.85" hidden="false" customHeight="false" outlineLevel="0" collapsed="false">
      <c r="A6" s="8" t="s">
        <v>149</v>
      </c>
      <c r="B6" s="8" t="s">
        <v>150</v>
      </c>
      <c r="C6" s="8" t="s">
        <v>151</v>
      </c>
      <c r="D6" s="8" t="s">
        <v>152</v>
      </c>
      <c r="E6" s="2" t="s">
        <v>153</v>
      </c>
      <c r="F6" s="8" t="s">
        <v>154</v>
      </c>
      <c r="G6" s="8" t="s">
        <v>139</v>
      </c>
      <c r="H6" s="2" t="s">
        <v>155</v>
      </c>
      <c r="I6" s="2" t="s">
        <v>156</v>
      </c>
    </row>
    <row r="7" customFormat="false" ht="44" hidden="false" customHeight="false" outlineLevel="0" collapsed="false">
      <c r="A7" s="8" t="s">
        <v>149</v>
      </c>
      <c r="B7" s="8" t="s">
        <v>157</v>
      </c>
      <c r="C7" s="8" t="s">
        <v>158</v>
      </c>
      <c r="D7" s="8" t="s">
        <v>159</v>
      </c>
      <c r="E7" s="8" t="s">
        <v>160</v>
      </c>
      <c r="F7" s="8" t="s">
        <v>161</v>
      </c>
      <c r="G7" s="8" t="s">
        <v>139</v>
      </c>
      <c r="H7" s="2" t="s">
        <v>162</v>
      </c>
      <c r="I7" s="2" t="s">
        <v>163</v>
      </c>
    </row>
    <row r="8" customFormat="false" ht="29.85" hidden="false" customHeight="false" outlineLevel="0" collapsed="false">
      <c r="A8" s="8" t="s">
        <v>164</v>
      </c>
      <c r="B8" s="2" t="s">
        <v>165</v>
      </c>
      <c r="C8" s="8" t="s">
        <v>166</v>
      </c>
      <c r="D8" s="8" t="s">
        <v>167</v>
      </c>
      <c r="E8" s="8" t="s">
        <v>168</v>
      </c>
      <c r="F8" s="8" t="s">
        <v>169</v>
      </c>
      <c r="G8" s="8" t="s">
        <v>170</v>
      </c>
      <c r="H8" s="2" t="s">
        <v>171</v>
      </c>
      <c r="I8" s="2" t="s">
        <v>172</v>
      </c>
    </row>
    <row r="9" customFormat="false" ht="44" hidden="false" customHeight="false" outlineLevel="0" collapsed="false">
      <c r="A9" s="8" t="s">
        <v>164</v>
      </c>
      <c r="B9" s="2" t="s">
        <v>173</v>
      </c>
      <c r="C9" s="8" t="s">
        <v>61</v>
      </c>
      <c r="D9" s="8" t="s">
        <v>174</v>
      </c>
      <c r="E9" s="8" t="s">
        <v>175</v>
      </c>
      <c r="F9" s="8" t="s">
        <v>176</v>
      </c>
      <c r="G9" s="8" t="s">
        <v>177</v>
      </c>
      <c r="H9" s="2" t="s">
        <v>178</v>
      </c>
      <c r="I9" s="2" t="s">
        <v>179</v>
      </c>
    </row>
    <row r="10" customFormat="false" ht="44" hidden="false" customHeight="false" outlineLevel="0" collapsed="false">
      <c r="A10" s="8" t="s">
        <v>180</v>
      </c>
      <c r="B10" s="2" t="s">
        <v>181</v>
      </c>
      <c r="C10" s="8" t="s">
        <v>182</v>
      </c>
      <c r="D10" s="8" t="s">
        <v>183</v>
      </c>
      <c r="E10" s="2" t="s">
        <v>184</v>
      </c>
      <c r="F10" s="2" t="s">
        <v>185</v>
      </c>
      <c r="G10" s="8" t="s">
        <v>186</v>
      </c>
      <c r="H10" s="2" t="s">
        <v>187</v>
      </c>
      <c r="I10" s="2" t="s">
        <v>188</v>
      </c>
    </row>
    <row r="11" customFormat="false" ht="29.85" hidden="false" customHeight="false" outlineLevel="0" collapsed="false">
      <c r="A11" s="8" t="s">
        <v>180</v>
      </c>
      <c r="B11" s="2" t="s">
        <v>189</v>
      </c>
      <c r="C11" s="8" t="s">
        <v>121</v>
      </c>
      <c r="D11" s="8" t="s">
        <v>190</v>
      </c>
      <c r="E11" s="8" t="s">
        <v>191</v>
      </c>
      <c r="F11" s="2" t="s">
        <v>192</v>
      </c>
      <c r="G11" s="8" t="s">
        <v>186</v>
      </c>
      <c r="H11" s="2" t="s">
        <v>193</v>
      </c>
      <c r="I11" s="2" t="s">
        <v>194</v>
      </c>
    </row>
    <row r="12" customFormat="false" ht="29.85" hidden="false" customHeight="false" outlineLevel="0" collapsed="false">
      <c r="A12" s="8" t="s">
        <v>180</v>
      </c>
      <c r="B12" s="2" t="s">
        <v>195</v>
      </c>
      <c r="C12" s="8" t="s">
        <v>196</v>
      </c>
      <c r="D12" s="8" t="s">
        <v>197</v>
      </c>
      <c r="E12" s="8" t="s">
        <v>198</v>
      </c>
      <c r="F12" s="8" t="s">
        <v>199</v>
      </c>
      <c r="G12" s="8" t="s">
        <v>186</v>
      </c>
      <c r="H12" s="2" t="s">
        <v>200</v>
      </c>
      <c r="I12" s="2" t="s">
        <v>201</v>
      </c>
    </row>
    <row r="13" customFormat="false" ht="29.85" hidden="false" customHeight="false" outlineLevel="0" collapsed="false">
      <c r="A13" s="8" t="s">
        <v>202</v>
      </c>
      <c r="B13" s="8" t="s">
        <v>203</v>
      </c>
      <c r="C13" s="8" t="s">
        <v>204</v>
      </c>
      <c r="D13" s="8" t="s">
        <v>205</v>
      </c>
      <c r="E13" s="2" t="s">
        <v>206</v>
      </c>
      <c r="F13" s="2" t="s">
        <v>207</v>
      </c>
      <c r="G13" s="8" t="s">
        <v>208</v>
      </c>
      <c r="H13" s="2" t="s">
        <v>209</v>
      </c>
      <c r="I13" s="2" t="s">
        <v>210</v>
      </c>
    </row>
    <row r="14" customFormat="false" ht="44" hidden="false" customHeight="false" outlineLevel="0" collapsed="false">
      <c r="A14" s="8" t="s">
        <v>61</v>
      </c>
      <c r="B14" s="2" t="s">
        <v>211</v>
      </c>
      <c r="C14" s="2"/>
      <c r="D14" s="2"/>
      <c r="E14" s="2" t="s">
        <v>212</v>
      </c>
      <c r="F14" s="2"/>
      <c r="G14" s="8" t="s">
        <v>61</v>
      </c>
      <c r="H14" s="2"/>
      <c r="I14" s="2" t="s">
        <v>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3" min="3" style="0" width="30"/>
    <col collapsed="false" customWidth="true" hidden="false" outlineLevel="0" max="4" min="4" style="0" width="52"/>
    <col collapsed="false" customWidth="true" hidden="false" outlineLevel="0" max="5" min="5" style="0" width="22"/>
    <col collapsed="false" customWidth="true" hidden="false" outlineLevel="0" max="6" min="6" style="0" width="20"/>
  </cols>
  <sheetData>
    <row r="1" customFormat="false" ht="15" hidden="false" customHeight="false" outlineLevel="0" collapsed="false">
      <c r="A1" s="4" t="s">
        <v>214</v>
      </c>
      <c r="B1" s="4" t="s">
        <v>215</v>
      </c>
      <c r="C1" s="4" t="s">
        <v>216</v>
      </c>
      <c r="D1" s="4" t="s">
        <v>217</v>
      </c>
      <c r="E1" s="4" t="s">
        <v>116</v>
      </c>
      <c r="F1" s="4" t="s">
        <v>218</v>
      </c>
    </row>
    <row r="2" customFormat="false" ht="29.85" hidden="false" customHeight="false" outlineLevel="0" collapsed="false">
      <c r="A2" s="8" t="s">
        <v>133</v>
      </c>
      <c r="B2" s="2" t="s">
        <v>219</v>
      </c>
      <c r="C2" s="2" t="s">
        <v>220</v>
      </c>
      <c r="D2" s="2" t="s">
        <v>221</v>
      </c>
      <c r="E2" s="8" t="s">
        <v>222</v>
      </c>
      <c r="F2" s="2" t="s">
        <v>223</v>
      </c>
    </row>
    <row r="3" customFormat="false" ht="44" hidden="false" customHeight="false" outlineLevel="0" collapsed="false">
      <c r="A3" s="8" t="s">
        <v>149</v>
      </c>
      <c r="B3" s="8" t="s">
        <v>224</v>
      </c>
      <c r="C3" s="2" t="s">
        <v>225</v>
      </c>
      <c r="D3" s="2" t="s">
        <v>226</v>
      </c>
      <c r="E3" s="8" t="s">
        <v>227</v>
      </c>
      <c r="F3" s="2" t="s">
        <v>228</v>
      </c>
    </row>
    <row r="4" customFormat="false" ht="29.85" hidden="false" customHeight="false" outlineLevel="0" collapsed="false">
      <c r="A4" s="8" t="s">
        <v>164</v>
      </c>
      <c r="B4" s="8" t="s">
        <v>229</v>
      </c>
      <c r="C4" s="8" t="s">
        <v>61</v>
      </c>
      <c r="D4" s="2" t="s">
        <v>230</v>
      </c>
      <c r="E4" s="8" t="s">
        <v>231</v>
      </c>
      <c r="F4" s="8" t="s">
        <v>232</v>
      </c>
    </row>
    <row r="5" customFormat="false" ht="41" hidden="false" customHeight="false" outlineLevel="0" collapsed="false">
      <c r="A5" s="8" t="s">
        <v>180</v>
      </c>
      <c r="B5" s="8" t="s">
        <v>233</v>
      </c>
      <c r="C5" s="2" t="s">
        <v>234</v>
      </c>
      <c r="D5" s="2" t="s">
        <v>235</v>
      </c>
      <c r="E5" s="8" t="s">
        <v>236</v>
      </c>
      <c r="F5" s="2" t="s">
        <v>237</v>
      </c>
    </row>
    <row r="6" customFormat="false" ht="29.85" hidden="false" customHeight="false" outlineLevel="0" collapsed="false">
      <c r="A6" s="8" t="s">
        <v>202</v>
      </c>
      <c r="B6" s="8" t="s">
        <v>238</v>
      </c>
      <c r="C6" s="2" t="s">
        <v>239</v>
      </c>
      <c r="D6" s="2" t="s">
        <v>240</v>
      </c>
      <c r="E6" s="8" t="s">
        <v>139</v>
      </c>
      <c r="F6" s="8" t="s">
        <v>241</v>
      </c>
    </row>
    <row r="7" customFormat="false" ht="29.85" hidden="false" customHeight="false" outlineLevel="0" collapsed="false">
      <c r="A7" s="8" t="s">
        <v>242</v>
      </c>
      <c r="B7" s="2" t="s">
        <v>243</v>
      </c>
      <c r="C7" s="2" t="s">
        <v>239</v>
      </c>
      <c r="D7" s="2" t="s">
        <v>244</v>
      </c>
      <c r="E7" s="8" t="s">
        <v>130</v>
      </c>
      <c r="F7" s="2" t="s">
        <v>245</v>
      </c>
    </row>
    <row r="8" customFormat="false" ht="44" hidden="false" customHeight="false" outlineLevel="0" collapsed="false">
      <c r="A8" s="8" t="s">
        <v>246</v>
      </c>
      <c r="B8" s="2" t="s">
        <v>247</v>
      </c>
      <c r="C8" s="2" t="s">
        <v>248</v>
      </c>
      <c r="D8" s="2" t="s">
        <v>249</v>
      </c>
      <c r="E8" s="8" t="s">
        <v>124</v>
      </c>
      <c r="F8" s="2" t="s">
        <v>223</v>
      </c>
    </row>
    <row r="9" customFormat="false" ht="26.85" hidden="false" customHeight="false" outlineLevel="0" collapsed="false">
      <c r="A9" s="8" t="s">
        <v>250</v>
      </c>
      <c r="B9" s="2" t="s">
        <v>251</v>
      </c>
      <c r="C9" s="2" t="s">
        <v>252</v>
      </c>
      <c r="D9" s="2" t="s">
        <v>253</v>
      </c>
      <c r="E9" s="8" t="s">
        <v>254</v>
      </c>
      <c r="F9" s="2" t="s">
        <v>255</v>
      </c>
    </row>
    <row r="10" customFormat="false" ht="29.85" hidden="false" customHeight="false" outlineLevel="0" collapsed="false">
      <c r="A10" s="8" t="s">
        <v>256</v>
      </c>
      <c r="B10" s="8" t="s">
        <v>257</v>
      </c>
      <c r="C10" s="2" t="s">
        <v>258</v>
      </c>
      <c r="D10" s="2" t="s">
        <v>259</v>
      </c>
      <c r="E10" s="8" t="s">
        <v>61</v>
      </c>
      <c r="F10" s="2" t="s">
        <v>260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2026-10-17T12:21:46Z</dcterms:created>
  <dc:creator>openpyxl</dc:creator>
  <dc:description/>
  <dc:language>en-US</dc:language>
  <cp:lastModifiedBy/>
  <dcterms:modified xsi:type="dcterms:W3CDTF">2026-10-17T12:21:46Z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