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Perf" sheetId="8" state="visible" r:id="rId10"/>
    <sheet name="Sens_Perf" sheetId="9" state="visible" r:id="rId11"/>
    <sheet name="Unit_Cost" sheetId="10" state="visible" r:id="rId12"/>
    <sheet name="DC_Cost" sheetId="11" state="visible" r:id="rId13"/>
    <sheet name="Interface" sheetId="12" state="visible" r:id="rId14"/>
    <sheet name="Energy" sheetId="13" state="visible" r:id="rId15"/>
    <sheet name="NonNV" sheetId="14" state="visible" r:id="rId16"/>
    <sheet name="Sensitivity" sheetId="15" state="visible" r:id="rId17"/>
    <sheet name="Checks" sheetId="16" state="visible" r:id="rId18"/>
    <sheet name="Sources" sheetId="17" state="visible" r:id="rId19"/>
  </sheets>
  <definedNames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FacilityGW" vbProcedure="false">Interface!$C$8:$Q$8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PowerCost" vbProcedure="false">Interface!$C$15:$Q$15</definedName>
    <definedName function="false" hidden="false" name="IF_RacksPerGW" vbProcedure="false">Interface!$C$6:$Q$6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<sst xmlns="http://schemas.openxmlformats.org/spreadsheetml/2006/main" count="2051" uniqueCount="1046">
  <si>
    <r>
      <rPr>
        <b val="true"/>
        <sz val="13"/>
        <rFont val="Arial"/>
        <family val="0"/>
        <charset val="1"/>
      </rPr>
      <t xml:space="preserve">Tokenomics v5.2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</si>
  <si>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層規格來源。理論營收於 </t>
    </r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加入。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</si>
  <si>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</si>
  <si>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），以及在各層級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下的產出、依『世代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）。不含營收（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</si>
  <si>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</si>
  <si>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20260930_Tokenomics_v5.2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加第二來源驗證與生產折減輸入）。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</si>
  <si>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</si>
  <si>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</si>
  <si>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</si>
  <si>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Perf → Sens_Perf → Unit_Cost → DC_Cost → Interface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</si>
  <si>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</si>
  <si>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</si>
  <si>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</si>
  <si>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</si>
  <si>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</si>
  <si>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</si>
  <si>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</si>
  <si>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</si>
  <si>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</si>
  <si>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</si>
  <si>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</si>
  <si>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</si>
  <si>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</si>
  <si>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</si>
  <si>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</si>
  <si>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快取命中只計載入時間，未計儲存成本。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</si>
  <si>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</si>
  <si>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</si>
  <si>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</si>
  <si>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</si>
  <si>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</si>
  <si>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</si>
  <si>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</si>
  <si>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</si>
  <si>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</si>
  <si>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</si>
  <si>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</si>
  <si>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</si>
  <si>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</si>
  <si>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</si>
  <si>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</si>
  <si>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</si>
  <si>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</si>
  <si>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</si>
  <si>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</si>
  <si>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</si>
  <si>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</si>
  <si>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</si>
  <si>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</si>
  <si>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</si>
  <si>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</si>
  <si>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</si>
  <si>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</si>
  <si>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</si>
  <si>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</si>
  <si>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</si>
  <si>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</si>
  <si>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</si>
  <si>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</si>
  <si>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</si>
  <si>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</si>
  <si>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</si>
  <si>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</si>
  <si>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</si>
  <si>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</si>
  <si>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</si>
  <si>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</si>
  <si>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</si>
  <si>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</si>
  <si>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</si>
  <si>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</si>
  <si>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</si>
  <si>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</si>
  <si>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</si>
  <si>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</si>
  <si>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</si>
  <si>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</si>
  <si>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</si>
  <si>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</si>
  <si>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</si>
  <si>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</si>
  <si>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</si>
  <si>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</si>
  <si>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</si>
  <si>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</si>
  <si>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</si>
  <si>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</si>
  <si>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</si>
  <si>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</si>
  <si>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</si>
  <si>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</si>
  <si>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</si>
  <si>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</si>
  <si>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</si>
  <si>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</si>
  <si>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</si>
  <si>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</si>
  <si>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</si>
  <si>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</si>
  <si>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</si>
  <si>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</si>
  <si>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</si>
  <si>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</si>
  <si>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</si>
  <si>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</si>
  <si>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</si>
  <si>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</si>
  <si>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</si>
  <si>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</si>
  <si>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</si>
  <si>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</si>
  <si>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</si>
  <si>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</si>
  <si>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</si>
  <si>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</si>
  <si>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</si>
  <si>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</si>
  <si>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</si>
  <si>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</si>
  <si>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</si>
  <si>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</si>
  <si>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</si>
  <si>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</si>
  <si>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</si>
  <si>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</si>
  <si>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</si>
  <si>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</si>
  <si>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</si>
  <si>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</si>
  <si>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</si>
  <si>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</si>
  <si>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</si>
  <si>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</si>
  <si>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</si>
  <si>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</si>
  <si>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</si>
  <si>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</si>
  <si>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</si>
  <si>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</si>
  <si>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</si>
  <si>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</si>
  <si>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</si>
  <si>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</si>
  <si>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</si>
  <si>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</si>
  <si>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</si>
  <si>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</si>
  <si>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</si>
  <si>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</si>
  <si>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</si>
  <si>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</si>
  <si>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</si>
  <si>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</si>
  <si>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</si>
  <si>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</si>
  <si>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</si>
  <si>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</si>
  <si>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</si>
  <si>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</si>
  <si>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</si>
  <si>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</si>
  <si>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</si>
  <si>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</si>
  <si>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</si>
  <si>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</si>
  <si>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</si>
  <si>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</si>
  <si>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</si>
  <si>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</si>
  <si>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</si>
  <si>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</si>
  <si>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</si>
  <si>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</si>
  <si>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</si>
  <si>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</si>
  <si>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</si>
  <si>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</si>
  <si>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</si>
  <si>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</si>
  <si>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</si>
  <si>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</si>
  <si>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</si>
  <si>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</si>
  <si>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</si>
  <si>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</si>
  <si>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</si>
  <si>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</si>
  <si>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</si>
  <si>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</si>
  <si>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</si>
  <si>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</si>
  <si>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</si>
  <si>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</si>
  <si>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</si>
  <si>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</si>
  <si>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</si>
  <si>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</si>
  <si>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</si>
  <si>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</si>
  <si>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</si>
  <si>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</si>
  <si>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</si>
  <si>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</si>
  <si>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</si>
  <si>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</si>
  <si>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</si>
  <si>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</si>
  <si>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</si>
  <si>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</si>
  <si>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</si>
  <si>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</si>
  <si>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</si>
  <si>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</si>
  <si>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</si>
  <si>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</si>
  <si>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</si>
  <si>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</si>
  <si>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</si>
  <si>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</si>
  <si>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</si>
  <si>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</si>
  <si>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</si>
  <si>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</si>
  <si>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</si>
  <si>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</si>
  <si>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</si>
  <si>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</si>
  <si>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</si>
  <si>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</si>
  <si>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</si>
  <si>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</si>
  <si>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</si>
  <si>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</si>
  <si>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</si>
  <si>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</si>
  <si>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</si>
  <si>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</si>
  <si>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</si>
  <si>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</si>
  <si>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</si>
  <si>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</si>
  <si>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</si>
  <si>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</si>
  <si>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</si>
  <si>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</si>
  <si>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</si>
  <si>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</si>
  <si>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</si>
  <si>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</si>
  <si>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</si>
  <si>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</si>
  <si>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</si>
  <si>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</si>
  <si>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</si>
  <si>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</si>
  <si>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</si>
  <si>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</si>
  <si>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</si>
  <si>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</si>
  <si>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</si>
  <si>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</si>
  <si>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</si>
  <si>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</si>
  <si>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</si>
  <si>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</si>
  <si>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</si>
  <si>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</si>
  <si>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</si>
  <si>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</si>
  <si>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</si>
  <si>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</si>
  <si>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</si>
  <si>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</si>
  <si>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</si>
  <si>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</si>
  <si>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</si>
  <si>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</si>
  <si>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</si>
  <si>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</si>
  <si>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</si>
  <si>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</si>
  <si>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</si>
  <si>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</si>
  <si>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</si>
  <si>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</si>
  <si>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</si>
  <si>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</si>
  <si>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</si>
  <si>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</si>
  <si>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</si>
  <si>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</si>
  <si>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</t>
    </r>
    <r>
      <rPr>
        <sz val="9"/>
        <color rgb="FF595959"/>
        <rFont val="Arial"/>
        <family val="0"/>
        <charset val="1"/>
      </rPr>
      <t xml:space="preserve">harness token </t>
    </r>
    <r>
      <rPr>
        <sz val="9"/>
        <color rgb="FF595959"/>
        <rFont val="Noto Sans CJK SC"/>
        <family val="2"/>
      </rPr>
      <t xml:space="preserve">倍數預設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接手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</si>
  <si>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</si>
  <si>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</si>
  <si>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</si>
  <si>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</si>
  <si>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</si>
  <si>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</si>
  <si>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</si>
  <si>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</si>
  <si>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</si>
  <si>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</si>
  <si>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</si>
  <si>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</si>
  <si>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</si>
  <si>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</si>
  <si>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</si>
  <si>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</si>
  <si>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</si>
  <si>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</si>
  <si>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</si>
  <si>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</si>
  <si>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）</t>
    </r>
  </si>
  <si>
    <t xml:space="preserve">導出（每任務）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</si>
  <si>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</si>
  <si>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</si>
  <si>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</si>
  <si>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</si>
  <si>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</si>
  <si>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</si>
  <si>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</si>
  <si>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</si>
  <si>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</si>
  <si>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</si>
  <si>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</si>
  <si>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</si>
  <si>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</si>
  <si>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</si>
  <si>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</si>
  <si>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</si>
  <si>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</si>
  <si>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</si>
  <si>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</si>
  <si>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</si>
  <si>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</si>
  <si>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</si>
  <si>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</si>
  <si>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</si>
  <si>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</si>
  <si>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</si>
  <si>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</si>
  <si>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</si>
  <si>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</si>
  <si>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</si>
  <si>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</si>
  <si>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</si>
  <si>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</si>
  <si>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</si>
  <si>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</si>
  <si>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</si>
  <si>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</si>
  <si>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</si>
  <si>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</si>
  <si>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</si>
  <si>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</si>
  <si>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</si>
  <si>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</si>
  <si>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</si>
  <si>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</si>
  <si>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</si>
  <si>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</si>
  <si>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</si>
  <si>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</si>
  <si>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</si>
  <si>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</si>
  <si>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</si>
  <si>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</si>
  <si>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</si>
  <si>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</si>
  <si>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</si>
  <si>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</si>
  <si>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</si>
  <si>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</si>
  <si>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</si>
  <si>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</si>
  <si>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</si>
  <si>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</si>
  <si>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</si>
  <si>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</si>
  <si>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</si>
  <si>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</si>
  <si>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</si>
  <si>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</si>
  <si>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</si>
  <si>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</si>
  <si>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</si>
  <si>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</si>
  <si>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</si>
  <si>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</si>
  <si>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</si>
  <si>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</si>
  <si>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</si>
  <si>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</si>
  <si>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</si>
  <si>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</si>
  <si>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</si>
  <si>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</si>
  <si>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</si>
  <si>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</si>
  <si>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</si>
  <si>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</si>
  <si>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</si>
  <si>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</si>
  <si>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</si>
  <si>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</si>
  <si>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</si>
  <si>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</si>
  <si>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</si>
  <si>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</si>
  <si>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</si>
  <si>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</si>
  <si>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</si>
  <si>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</si>
  <si>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）＝本擬合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3 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</si>
  <si>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</si>
  <si>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</si>
  <si>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</si>
  <si>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</si>
  <si>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</si>
  <si>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</si>
  <si>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</si>
  <si>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</si>
  <si>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</si>
  <si>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</si>
  <si>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</si>
  <si>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</si>
  <si>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</si>
  <si>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</si>
  <si>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</si>
  <si>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</si>
  <si>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</si>
  <si>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</si>
  <si>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</si>
  <si>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</si>
  <si>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</si>
  <si>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</si>
  <si>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</si>
  <si>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</si>
  <si>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</si>
  <si>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</si>
  <si>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</si>
  <si>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</si>
  <si>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</si>
  <si>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</si>
  <si>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</si>
  <si>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</si>
  <si>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</si>
  <si>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</si>
  <si>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</si>
  <si>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</si>
  <si>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</si>
  <si>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</si>
  <si>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</si>
  <si>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</si>
  <si>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</si>
  <si>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</si>
  <si>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</si>
  <si>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</si>
  <si>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</si>
  <si>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</si>
  <si>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</si>
  <si>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</si>
  <si>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</si>
  <si>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</si>
  <si>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</si>
  <si>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</si>
  <si>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</si>
  <si>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</si>
  <si>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</si>
  <si>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</si>
  <si>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</si>
  <si>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</si>
  <si>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</si>
  <si>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</si>
  <si>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</si>
  <si>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</si>
  <si>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</si>
  <si>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</si>
  <si>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</si>
  <si>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</si>
  <si>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</si>
  <si>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</si>
  <si>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</si>
  <si>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</si>
  <si>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</si>
  <si>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</si>
  <si>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</si>
  <si>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</si>
  <si>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</si>
  <si>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</si>
  <si>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</si>
  <si>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</si>
  <si>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</si>
  <si>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</si>
  <si>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</si>
  <si>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</si>
  <si>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</si>
  <si>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</si>
  <si>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</si>
  <si>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</si>
  <si>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</si>
  <si>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</si>
  <si>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</si>
  <si>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</si>
  <si>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</si>
  <si>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</si>
  <si>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</si>
  <si>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</si>
  <si>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</si>
  <si>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</si>
  <si>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情境倍數（基準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使用）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</si>
  <si>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</si>
  <si>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每層延遲情境倍數（基準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</si>
  <si>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</si>
  <si>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</si>
  <si>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</si>
  <si>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</si>
  <si>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</si>
  <si>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</si>
  <si>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</si>
  <si>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</si>
  <si>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</si>
  <si>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</si>
  <si>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</si>
  <si>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</si>
  <si>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</si>
  <si>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</si>
  <si>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</si>
  <si>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</si>
  <si>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</si>
  <si>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</si>
  <si>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</si>
  <si>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</si>
  <si>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</si>
  <si>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</si>
  <si>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</si>
  <si>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</si>
  <si>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</si>
  <si>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</si>
  <si>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</si>
  <si>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</si>
  <si>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</si>
  <si>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</si>
  <si>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</si>
  <si>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</si>
  <si>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</si>
  <si>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</si>
  <si>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</si>
  <si>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</si>
  <si>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</si>
  <si>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</si>
  <si>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</si>
  <si>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</si>
  <si>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</si>
  <si>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</si>
  <si>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</si>
  <si>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</si>
  <si>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</si>
  <si>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</si>
  <si>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</si>
  <si>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</si>
  <si>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</si>
  <si>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</si>
  <si>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</si>
  <si>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</si>
  <si>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</si>
  <si>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</si>
  <si>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</si>
  <si>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</si>
  <si>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</si>
  <si>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</si>
  <si>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</si>
  <si>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</si>
  <si>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</si>
  <si>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</si>
  <si>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</si>
  <si>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</si>
  <si>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</si>
  <si>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</si>
  <si>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</si>
  <si>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</si>
  <si>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</si>
  <si>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</si>
  <si>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</si>
  <si>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</si>
  <si>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</si>
  <si>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</si>
  <si>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</si>
  <si>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</si>
  <si>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</si>
  <si>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</si>
  <si>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</si>
  <si>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</si>
  <si>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</si>
  <si>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</si>
  <si>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</si>
  <si>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</si>
  <si>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</si>
  <si>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</si>
  <si>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</si>
  <si>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</si>
  <si>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</si>
  <si>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</si>
  <si>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</si>
  <si>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</si>
  <si>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</si>
  <si>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</si>
  <si>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</si>
  <si>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</si>
  <si>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</si>
  <si>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</si>
  <si>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</si>
  <si>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</si>
  <si>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</si>
  <si>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</si>
  <si>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</si>
  <si>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</si>
  <si>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</si>
  <si>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</si>
  <si>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 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</si>
  <si>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</si>
  <si>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）資本支出與年持有成本：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</si>
  <si>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</si>
  <si>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</si>
  <si>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</si>
  <si>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</si>
  <si>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</si>
  <si>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每 GW 機架數</t>
  </si>
  <si>
    <t xml:space="preserve">每 GW GPU 數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</si>
  <si>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</si>
  <si>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</si>
  <si>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</si>
  <si>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</si>
  <si>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</si>
  <si>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</si>
  <si>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</si>
  <si>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</si>
  <si>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</si>
  <si>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</si>
  <si>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</si>
  <si>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</si>
  <si>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</si>
  <si>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</si>
  <si>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</si>
  <si>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每 GW 總資本支出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</si>
  <si>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</si>
  <si>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</si>
  <si>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</si>
  <si>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</si>
  <si>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</si>
  <si>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</si>
  <si>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</si>
  <si>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</si>
  <si>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</si>
  <si>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</si>
  <si>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</si>
  <si>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</si>
  <si>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</si>
  <si>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</si>
  <si>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</si>
  <si>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</si>
  <si>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</si>
  <si>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</si>
  <si>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</si>
  <si>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</si>
  <si>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</si>
  <si>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</si>
  <si>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</si>
  <si>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</si>
  <si>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</si>
  <si>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</si>
  <si>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</si>
  <si>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</si>
  <si>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</si>
  <si>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</si>
  <si>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</si>
  <si>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</si>
  <si>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</si>
  <si>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</si>
  <si>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</si>
  <si>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</si>
  <si>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</si>
  <si>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</si>
  <si>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</si>
  <si>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</si>
  <si>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</si>
  <si>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</si>
  <si>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</si>
  <si>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</si>
  <si>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</si>
  <si>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</si>
  <si>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</si>
  <si>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</si>
  <si>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</si>
  <si>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</si>
  <si>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</si>
  <si>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</si>
  <si>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</si>
  <si>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</si>
  <si>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</si>
  <si>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</si>
  <si>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</si>
  <si>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</si>
  <si>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</si>
  <si>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</si>
  <si>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</si>
  <si>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</si>
  <si>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</si>
  <si>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</si>
  <si>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</si>
  <si>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</si>
  <si>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</si>
  <si>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</si>
  <si>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Capability</t>
    </r>
    <r>
      <rPr>
        <sz val="9"/>
        <color rgb="FF595959"/>
        <rFont val="Noto Sans CJK SC"/>
        <family val="2"/>
      </rPr>
      <t xml:space="preserve">、單價前緣）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</si>
  <si>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</si>
  <si>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</si>
  <si>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</si>
  <si>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</si>
  <si>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</si>
  <si>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</si>
  <si>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</si>
  <si>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</si>
  <si>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</si>
  <si>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</si>
  <si>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</si>
  <si>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</si>
  <si>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</si>
  <si>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</si>
  <si>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</si>
  <si>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</si>
  <si>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</si>
  <si>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</si>
  <si>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</si>
  <si>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</si>
  <si>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</si>
  <si>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</si>
  <si>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</si>
  <si>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</si>
  <si>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</si>
  <si>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</si>
  <si>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</si>
  <si>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</si>
  <si>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</si>
  <si>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</si>
  <si>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</si>
  <si>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</si>
  <si>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</si>
  <si>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</si>
  <si>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</si>
  <si>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</si>
  <si>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</si>
  <si>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</si>
  <si>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</si>
  <si>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</si>
  <si>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</si>
  <si>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</si>
  <si>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</si>
  <si>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</si>
  <si>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</si>
  <si>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</si>
  <si>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</si>
  <si>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</si>
  <si>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</si>
  <si>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</si>
  <si>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</si>
  <si>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</si>
  <si>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</si>
  <si>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</si>
  <si>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</si>
  <si>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</si>
  <si>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</si>
  <si>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</si>
  <si>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</si>
  <si>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</si>
  <si>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</si>
  <si>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</si>
  <si>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</si>
  <si>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</si>
  <si>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</si>
  <si>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</si>
  <si>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</si>
  <si>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</si>
  <si>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</si>
  <si>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</si>
  <si>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</si>
  <si>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</si>
  <si>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</si>
  <si>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</si>
  <si>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</si>
  <si>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</si>
  <si>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</si>
  <si>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</si>
  <si>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50–60</t>
  </si>
  <si>
    <t xml:space="preserve">$B/GW</t>
  </si>
  <si>
    <t xml:space="preserve">黃仁勳 2025-08：每 GW $50–60B（S16，Interested-party；口徑未明）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</si>
  <si>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</si>
  <si>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約 35</t>
  </si>
  <si>
    <t xml:space="preserve">同上：其中約 $35B 為 NVIDIA 晶片與系統</t>
  </si>
  <si>
    <t xml:space="preserve">11.3 × 1.07–1.10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</si>
  <si>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</si>
  <si>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</si>
  <si>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2.21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</si>
  <si>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</si>
  <si>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</si>
  <si>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2.65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</si>
  <si>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</si>
  <si>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t xml:space="preserve">10.50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</si>
  <si>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</si>
  <si>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</si>
  <si>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3.57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</si>
  <si>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</si>
  <si>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</si>
  <si>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</si>
  <si>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</si>
  <si>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</si>
  <si>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</si>
  <si>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</si>
  <si>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</si>
  <si>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</si>
  <si>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</si>
  <si>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</si>
  <si>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</si>
  <si>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</si>
  <si>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</si>
  <si>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</si>
  <si>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</si>
  <si>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</si>
  <si>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</si>
  <si>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</si>
  <si>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</si>
  <si>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</si>
  <si>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t xml:space="preserve">0.078</t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</si>
  <si>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</si>
  <si>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</si>
  <si>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</si>
  <si>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</si>
  <si>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</si>
  <si>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</si>
  <si>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</si>
  <si>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</si>
  <si>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</si>
  <si>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</si>
  <si>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</si>
  <si>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</si>
  <si>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</si>
  <si>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</si>
  <si>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</si>
  <si>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</si>
  <si>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</si>
  <si>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</si>
  <si>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</si>
  <si>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</si>
  <si>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</si>
  <si>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</si>
  <si>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</si>
  <si>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</si>
  <si>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</si>
  <si>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—</t>
  </si>
  <si>
    <t xml:space="preserve">欄</t>
  </si>
  <si>
    <r>
      <rPr>
        <sz val="9"/>
        <color rgb="FF595959"/>
        <rFont val="Arial"/>
        <family val="0"/>
        <charset val="1"/>
      </rPr>
      <t xml:space="preserve">Hopper × </t>
    </r>
    <r>
      <rPr>
        <sz val="9"/>
        <color rgb="FF595959"/>
        <rFont val="Noto Sans CJK SC"/>
        <family val="2"/>
      </rPr>
      <t xml:space="preserve">大模型預期不可達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</si>
  <si>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</si>
  <si>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</si>
  <si>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Config</t>
    </r>
    <r>
      <rPr>
        <sz val="9"/>
        <color rgb="FF595959"/>
        <rFont val="Noto Sans CJK SC"/>
        <family val="2"/>
      </rPr>
      <t xml:space="preserve">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</si>
  <si>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v4 Config</t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</si>
  <si>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</si>
  <si>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ID</t>
  </si>
  <si>
    <t xml:space="preserve">內容摘要</t>
  </si>
  <si>
    <t xml:space="preserve">日期</t>
  </si>
  <si>
    <t xml:space="preserve">查核狀態</t>
  </si>
  <si>
    <t xml:space="preserve">S1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</si>
  <si>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</si>
  <si>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</si>
  <si>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</si>
  <si>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</si>
  <si>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待查核</t>
  </si>
  <si>
    <t xml:space="preserve">S2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</si>
  <si>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</si>
  <si>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</si>
  <si>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</si>
  <si>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</si>
  <si>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t xml:space="preserve">S3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</si>
  <si>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</si>
  <si>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</si>
  <si>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</si>
  <si>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</si>
  <si>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t xml:space="preserve">S4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</si>
  <si>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</si>
  <si>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</si>
  <si>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</si>
  <si>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</si>
  <si>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S5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</si>
  <si>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</si>
  <si>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</si>
  <si>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t xml:space="preserve">2026-08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</si>
  <si>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</si>
  <si>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t xml:space="preserve">S6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</si>
  <si>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</si>
  <si>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</si>
  <si>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</si>
  <si>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</si>
  <si>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</si>
  <si>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</si>
  <si>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</si>
  <si>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</si>
  <si>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</si>
  <si>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</si>
  <si>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</si>
  <si>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</si>
  <si>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t xml:space="preserve">S9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</si>
  <si>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</si>
  <si>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</si>
  <si>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</si>
  <si>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</si>
  <si>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S10</t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</si>
  <si>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</si>
  <si>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</si>
  <si>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</si>
  <si>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t xml:space="preserve">S11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</si>
  <si>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</si>
  <si>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</si>
  <si>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originalpricing.com</t>
  </si>
  <si>
    <t xml:space="preserve">未解：可能重複計算</t>
  </si>
  <si>
    <t xml:space="preserve">S12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</si>
  <si>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</si>
  <si>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</si>
  <si>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</si>
  <si>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t xml:space="preserve">S13</t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</si>
  <si>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</si>
  <si>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</si>
  <si>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2026-05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</si>
  <si>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</si>
  <si>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</si>
  <si>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</si>
  <si>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</si>
  <si>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</si>
  <si>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t xml:space="preserve">S15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</si>
  <si>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</si>
  <si>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</si>
  <si>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2025–26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</si>
  <si>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</si>
  <si>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待以 10-K 原文核對</t>
  </si>
  <si>
    <t xml:space="preserve">S16</t>
  </si>
  <si>
    <t xml:space="preserve">每 GW 建置成本</t>
  </si>
  <si>
    <t xml:space="preserve">黃仁勳：每 GW $50–60B，其中約 $35B 為 NVIDIA 晶片與系統</t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</si>
  <si>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</si>
  <si>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</si>
  <si>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t xml:space="preserve">待查核；口徑（IT／設施）未明</t>
  </si>
  <si>
    <t xml:space="preserve">S17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</si>
  <si>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</si>
  <si>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</si>
  <si>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</si>
  <si>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t xml:space="preserve">假設未公開</t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</si>
  <si>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</si>
  <si>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</si>
  <si>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</si>
  <si>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</si>
  <si>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</si>
  <si>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</si>
  <si>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</si>
  <si>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</si>
  <si>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</si>
  <si>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</si>
  <si>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</si>
  <si>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</si>
  <si>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inferencex.semianalysis.com/blog/gb300-nvl72-vs-gb200-nvl72-dsv4-pro-vllm-fp4</t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</si>
  <si>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</si>
  <si>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</si>
  <si>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</si>
  <si>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</si>
  <si>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2026-06-23</t>
  </si>
  <si>
    <t xml:space="preserve">pytorch.org/blog/serving-deepseek-v4-on-gb300-with-sglang-…</t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</si>
  <si>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</si>
  <si>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</si>
  <si>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</si>
  <si>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</si>
  <si>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</si>
  <si>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inferencex.semianalysis.com/compare-per-dollar/deepseek-v4-b300-vs-gb300</t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</si>
  <si>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</si>
  <si>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</si>
  <si>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</si>
  <si>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</si>
  <si>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</si>
  <si>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</si>
  <si>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</si>
  <si>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t xml:space="preserve">S24</t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</si>
  <si>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</si>
  <si>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</si>
  <si>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inferencex.semianalysis.com/run/deepseek-v4-on-h200</t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</si>
  <si>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</si>
  <si>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</si>
  <si>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</si>
  <si>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</si>
  <si>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</si>
  <si>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2025-06</t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</si>
  <si>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</si>
  <si>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</si>
  <si>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t xml:space="preserve">S26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</si>
  <si>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</si>
  <si>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</si>
  <si>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</si>
  <si>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artificialanalysis.ai</t>
  </si>
  <si>
    <t xml:space="preserve">已核對</t>
  </si>
  <si>
    <t xml:space="preserve">S27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</si>
  <si>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</si>
  <si>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</si>
  <si>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Arial"/>
        <family val="0"/>
        <charset val="1"/>
      </rPr>
      <t xml:space="preserve">v4 Config J26:Q55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</si>
  <si>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</si>
  <si>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t xml:space="preserve">S28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</si>
  <si>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</si>
  <si>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</si>
  <si>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</si>
  <si>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模型內建知識</t>
  </si>
  <si>
    <t xml:space="preserve">待以規格表核對</t>
  </si>
  <si>
    <t xml:space="preserve">S29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</si>
  <si>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</si>
  <si>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</si>
  <si>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t xml:space="preserve">文獻常見值（模型內建知識）</t>
  </si>
  <si>
    <t xml:space="preserve">S31</t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</si>
  <si>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</si>
  <si>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</si>
  <si>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</si>
  <si>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</si>
  <si>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</si>
  <si>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</si>
  <si>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</si>
  <si>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</si>
  <si>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</si>
  <si>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</si>
  <si>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</si>
  <si>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t xml:space="preserve">S33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</si>
  <si>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</si>
  <si>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</si>
  <si>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</si>
  <si>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</si>
  <si>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</si>
  <si>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</si>
  <si>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</si>
  <si>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</si>
  <si>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</si>
  <si>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</si>
  <si>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t xml:space="preserve">S30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</si>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</sst>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0" customFormat="false" ht="15" hidden="false" customHeight="true" outlineLevel="0" collapsed="false">
      <c r="A10" s="4" t="s">
        <v>14</v>
      </c>
      <c r="B10" s="6" t="s">
        <v>15</v>
      </c>
    </row>
    <row r="11" customFormat="false" ht="15" hidden="false" customHeight="true" outlineLevel="0" collapsed="false">
      <c r="A11" s="4" t="s">
        <v>16</v>
      </c>
      <c r="B11" s="5" t="s">
        <v>17</v>
      </c>
    </row>
    <row r="12" customFormat="false" ht="15" hidden="false" customHeight="true" outlineLevel="0" collapsed="false">
      <c r="A12" s="4" t="s">
        <v>18</v>
      </c>
      <c r="B12" s="6" t="s">
        <v>19</v>
      </c>
    </row>
    <row r="13" customFormat="false" ht="29.25" hidden="false" customHeight="true" outlineLevel="0" collapsed="false">
      <c r="A13" s="4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6" t="s">
        <v>23</v>
      </c>
    </row>
    <row r="15" customFormat="false" ht="44" hidden="false" customHeight="false" outlineLevel="0" collapsed="false">
      <c r="A15" s="9" t="s">
        <v>24</v>
      </c>
      <c r="B15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26</v>
      </c>
    </row>
    <row r="2" customFormat="false" ht="15" hidden="false" customHeight="true" outlineLevel="0" collapsed="false">
      <c r="A2" s="10" t="s">
        <v>27</v>
      </c>
    </row>
    <row r="3" customFormat="false" ht="15" hidden="false" customHeight="true" outlineLevel="0" collapsed="false">
      <c r="A3" s="11" t="s">
        <v>28</v>
      </c>
      <c r="B3" s="11" t="s">
        <v>29</v>
      </c>
      <c r="C3" s="11"/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</row>
    <row r="4" customFormat="false" ht="15" hidden="false" customHeight="true" outlineLevel="0" collapsed="false">
      <c r="A4" s="12" t="s">
        <v>35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36</v>
      </c>
      <c r="B5" s="15" t="s">
        <v>37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38</v>
      </c>
      <c r="H5" s="18" t="s">
        <v>39</v>
      </c>
    </row>
    <row r="6" customFormat="false" ht="15" hidden="false" customHeight="true" outlineLevel="0" collapsed="false">
      <c r="A6" s="19" t="s">
        <v>40</v>
      </c>
      <c r="B6" s="20" t="s">
        <v>41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38</v>
      </c>
      <c r="H6" s="18" t="s">
        <v>42</v>
      </c>
    </row>
    <row r="7" customFormat="false" ht="15" hidden="false" customHeight="true" outlineLevel="0" collapsed="false">
      <c r="A7" s="12" t="s">
        <v>43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44</v>
      </c>
      <c r="B8" s="15" t="s">
        <v>45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46</v>
      </c>
      <c r="H8" s="18" t="s">
        <v>47</v>
      </c>
    </row>
    <row r="9" customFormat="false" ht="15" hidden="false" customHeight="true" outlineLevel="0" collapsed="false">
      <c r="A9" s="14" t="s">
        <v>48</v>
      </c>
      <c r="B9" s="15" t="s">
        <v>49</v>
      </c>
      <c r="D9" s="23" t="n">
        <v>1.1</v>
      </c>
      <c r="E9" s="23" t="n">
        <v>1.2</v>
      </c>
      <c r="F9" s="23" t="n">
        <v>1.3</v>
      </c>
      <c r="G9" s="15" t="s">
        <v>50</v>
      </c>
      <c r="H9" s="18" t="s">
        <v>51</v>
      </c>
    </row>
    <row r="10" customFormat="false" ht="15" hidden="false" customHeight="true" outlineLevel="0" collapsed="false">
      <c r="A10" s="19" t="s">
        <v>52</v>
      </c>
      <c r="B10" s="15" t="s">
        <v>45</v>
      </c>
      <c r="D10" s="22" t="n">
        <v>0.7</v>
      </c>
      <c r="E10" s="22" t="n">
        <v>0.8</v>
      </c>
      <c r="F10" s="22" t="n">
        <v>0.9</v>
      </c>
      <c r="G10" s="15" t="s">
        <v>46</v>
      </c>
      <c r="H10" s="6" t="s">
        <v>53</v>
      </c>
    </row>
    <row r="11" customFormat="false" ht="15" hidden="false" customHeight="true" outlineLevel="0" collapsed="false">
      <c r="A11" s="19" t="s">
        <v>54</v>
      </c>
      <c r="B11" s="15" t="s">
        <v>55</v>
      </c>
      <c r="D11" s="23" t="n">
        <v>0.06</v>
      </c>
      <c r="E11" s="23" t="n">
        <v>0.08</v>
      </c>
      <c r="F11" s="23" t="n">
        <v>0.1</v>
      </c>
      <c r="G11" s="15" t="s">
        <v>56</v>
      </c>
      <c r="H11" s="6" t="s">
        <v>57</v>
      </c>
    </row>
    <row r="12" customFormat="false" ht="15" hidden="false" customHeight="true" outlineLevel="0" collapsed="false">
      <c r="A12" s="24" t="s">
        <v>58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59</v>
      </c>
      <c r="B13" s="15" t="s">
        <v>45</v>
      </c>
      <c r="D13" s="22" t="n">
        <v>0.05</v>
      </c>
      <c r="E13" s="22" t="n">
        <v>0.1</v>
      </c>
      <c r="F13" s="22" t="n">
        <v>0.15</v>
      </c>
      <c r="G13" s="15" t="s">
        <v>50</v>
      </c>
      <c r="H13" s="6" t="s">
        <v>60</v>
      </c>
    </row>
    <row r="14" customFormat="false" ht="15" hidden="false" customHeight="true" outlineLevel="0" collapsed="false">
      <c r="A14" s="19" t="s">
        <v>61</v>
      </c>
      <c r="B14" s="15" t="s">
        <v>62</v>
      </c>
      <c r="D14" s="17" t="n">
        <v>300</v>
      </c>
      <c r="E14" s="17" t="n">
        <v>500</v>
      </c>
      <c r="F14" s="17" t="n">
        <v>800</v>
      </c>
      <c r="G14" s="15" t="s">
        <v>46</v>
      </c>
      <c r="H14" s="6" t="s">
        <v>63</v>
      </c>
    </row>
    <row r="15" customFormat="false" ht="15" hidden="false" customHeight="true" outlineLevel="0" collapsed="false">
      <c r="A15" s="12" t="s">
        <v>64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65</v>
      </c>
      <c r="B16" s="15" t="s">
        <v>66</v>
      </c>
      <c r="D16" s="23" t="n">
        <v>0.02</v>
      </c>
      <c r="E16" s="23" t="n">
        <v>0.02</v>
      </c>
      <c r="F16" s="23" t="n">
        <v>0.02</v>
      </c>
      <c r="G16" s="15" t="s">
        <v>46</v>
      </c>
      <c r="H16" s="6" t="s">
        <v>67</v>
      </c>
    </row>
    <row r="17" customFormat="false" ht="15" hidden="false" customHeight="true" outlineLevel="0" collapsed="false">
      <c r="A17" s="19" t="s">
        <v>68</v>
      </c>
      <c r="B17" s="15" t="s">
        <v>66</v>
      </c>
      <c r="D17" s="23" t="n">
        <v>3</v>
      </c>
      <c r="E17" s="23" t="n">
        <v>3.6</v>
      </c>
      <c r="F17" s="23" t="n">
        <v>4.5</v>
      </c>
      <c r="G17" s="15" t="s">
        <v>46</v>
      </c>
      <c r="H17" s="18" t="s">
        <v>69</v>
      </c>
    </row>
    <row r="18" customFormat="false" ht="15" hidden="false" customHeight="true" outlineLevel="0" collapsed="false">
      <c r="A18" s="19" t="s">
        <v>70</v>
      </c>
      <c r="B18" s="15" t="s">
        <v>66</v>
      </c>
      <c r="D18" s="23" t="n">
        <v>3.8</v>
      </c>
      <c r="E18" s="23" t="n">
        <v>4.5</v>
      </c>
      <c r="F18" s="23" t="n">
        <v>5.5</v>
      </c>
      <c r="G18" s="15" t="s">
        <v>46</v>
      </c>
      <c r="H18" s="18" t="s">
        <v>71</v>
      </c>
    </row>
    <row r="19" customFormat="false" ht="15" hidden="false" customHeight="true" outlineLevel="0" collapsed="false">
      <c r="A19" s="19" t="s">
        <v>72</v>
      </c>
      <c r="B19" s="15" t="s">
        <v>66</v>
      </c>
      <c r="D19" s="23" t="n">
        <v>2</v>
      </c>
      <c r="E19" s="23" t="n">
        <v>2.5</v>
      </c>
      <c r="F19" s="23" t="n">
        <v>3.2</v>
      </c>
      <c r="G19" s="15" t="s">
        <v>46</v>
      </c>
      <c r="H19" s="18" t="s">
        <v>73</v>
      </c>
    </row>
    <row r="20" customFormat="false" ht="15" hidden="false" customHeight="true" outlineLevel="0" collapsed="false">
      <c r="A20" s="19" t="s">
        <v>74</v>
      </c>
      <c r="B20" s="15" t="s">
        <v>66</v>
      </c>
      <c r="D20" s="23" t="n">
        <v>0.3</v>
      </c>
      <c r="E20" s="23" t="n">
        <v>0.4</v>
      </c>
      <c r="F20" s="23" t="n">
        <v>0.5</v>
      </c>
      <c r="G20" s="15" t="s">
        <v>46</v>
      </c>
      <c r="H20" s="18" t="s">
        <v>71</v>
      </c>
    </row>
    <row r="21" customFormat="false" ht="15" hidden="false" customHeight="true" outlineLevel="0" collapsed="false">
      <c r="A21" s="19" t="s">
        <v>75</v>
      </c>
      <c r="B21" s="15" t="s">
        <v>76</v>
      </c>
      <c r="D21" s="22" t="n">
        <v>0.12</v>
      </c>
      <c r="E21" s="22" t="n">
        <v>0.15</v>
      </c>
      <c r="F21" s="22" t="n">
        <v>0.18</v>
      </c>
      <c r="G21" s="15" t="s">
        <v>46</v>
      </c>
      <c r="H21" s="6" t="s">
        <v>77</v>
      </c>
    </row>
    <row r="22" customFormat="false" ht="15" hidden="false" customHeight="true" outlineLevel="0" collapsed="false">
      <c r="A22" s="12" t="s">
        <v>78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79</v>
      </c>
      <c r="B23" s="20" t="s">
        <v>80</v>
      </c>
      <c r="D23" s="17" t="n">
        <v>6</v>
      </c>
      <c r="E23" s="17" t="n">
        <v>6</v>
      </c>
      <c r="F23" s="17" t="n">
        <v>4</v>
      </c>
      <c r="G23" s="15" t="s">
        <v>81</v>
      </c>
      <c r="H23" s="6" t="s">
        <v>82</v>
      </c>
    </row>
    <row r="24" customFormat="false" ht="15" hidden="false" customHeight="true" outlineLevel="0" collapsed="false">
      <c r="A24" s="19" t="s">
        <v>83</v>
      </c>
      <c r="B24" s="20" t="s">
        <v>80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50</v>
      </c>
      <c r="H24" s="6" t="s">
        <v>84</v>
      </c>
    </row>
    <row r="25" customFormat="false" ht="15" hidden="false" customHeight="true" outlineLevel="0" collapsed="false">
      <c r="A25" s="19" t="s">
        <v>85</v>
      </c>
      <c r="B25" s="20" t="s">
        <v>80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50</v>
      </c>
      <c r="H25" s="6" t="s">
        <v>84</v>
      </c>
    </row>
    <row r="26" customFormat="false" ht="15" hidden="false" customHeight="true" outlineLevel="0" collapsed="false">
      <c r="A26" s="19" t="s">
        <v>86</v>
      </c>
      <c r="B26" s="20" t="s">
        <v>80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50</v>
      </c>
      <c r="H26" s="6" t="s">
        <v>84</v>
      </c>
    </row>
    <row r="27" customFormat="false" ht="15" hidden="false" customHeight="true" outlineLevel="0" collapsed="false">
      <c r="A27" s="19" t="s">
        <v>87</v>
      </c>
      <c r="B27" s="20" t="s">
        <v>80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50</v>
      </c>
      <c r="H27" s="6" t="s">
        <v>84</v>
      </c>
    </row>
    <row r="28" customFormat="false" ht="15" hidden="false" customHeight="true" outlineLevel="0" collapsed="false">
      <c r="A28" s="14" t="s">
        <v>88</v>
      </c>
      <c r="B28" s="15" t="s">
        <v>45</v>
      </c>
      <c r="D28" s="22" t="n">
        <v>0.08</v>
      </c>
      <c r="E28" s="22" t="n">
        <v>0.1</v>
      </c>
      <c r="F28" s="22" t="n">
        <v>0.13</v>
      </c>
      <c r="G28" s="15" t="s">
        <v>46</v>
      </c>
      <c r="H28" s="18" t="s">
        <v>89</v>
      </c>
    </row>
    <row r="29" customFormat="false" ht="15" hidden="false" customHeight="true" outlineLevel="0" collapsed="false">
      <c r="A29" s="12" t="s">
        <v>90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91</v>
      </c>
      <c r="B30" s="15" t="s">
        <v>92</v>
      </c>
      <c r="D30" s="22" t="n">
        <v>0.02</v>
      </c>
      <c r="E30" s="22" t="n">
        <v>0.03</v>
      </c>
      <c r="F30" s="22" t="n">
        <v>0.04</v>
      </c>
      <c r="G30" s="15" t="s">
        <v>50</v>
      </c>
      <c r="H30" s="6" t="s">
        <v>93</v>
      </c>
    </row>
    <row r="31" customFormat="false" ht="15" hidden="false" customHeight="true" outlineLevel="0" collapsed="false">
      <c r="A31" s="19" t="s">
        <v>94</v>
      </c>
      <c r="B31" s="15" t="s">
        <v>95</v>
      </c>
      <c r="D31" s="22" t="n">
        <v>0.015</v>
      </c>
      <c r="E31" s="22" t="n">
        <v>0.02</v>
      </c>
      <c r="F31" s="22" t="n">
        <v>0.025</v>
      </c>
      <c r="G31" s="15" t="s">
        <v>50</v>
      </c>
      <c r="H31" s="6" t="s">
        <v>96</v>
      </c>
    </row>
    <row r="32" customFormat="false" ht="15" hidden="false" customHeight="true" outlineLevel="0" collapsed="false">
      <c r="A32" s="19" t="s">
        <v>97</v>
      </c>
      <c r="B32" s="15" t="s">
        <v>98</v>
      </c>
      <c r="D32" s="17" t="n">
        <v>50</v>
      </c>
      <c r="E32" s="17" t="n">
        <v>75</v>
      </c>
      <c r="F32" s="17" t="n">
        <v>100</v>
      </c>
      <c r="G32" s="15" t="s">
        <v>46</v>
      </c>
      <c r="H32" s="6" t="s">
        <v>99</v>
      </c>
    </row>
    <row r="33" customFormat="false" ht="15" hidden="false" customHeight="true" outlineLevel="0" collapsed="false">
      <c r="A33" s="19" t="s">
        <v>100</v>
      </c>
      <c r="B33" s="15" t="s">
        <v>98</v>
      </c>
      <c r="D33" s="17" t="n">
        <v>150</v>
      </c>
      <c r="E33" s="17" t="n">
        <v>200</v>
      </c>
      <c r="F33" s="17" t="n">
        <v>250</v>
      </c>
      <c r="G33" s="15" t="s">
        <v>46</v>
      </c>
      <c r="H33" s="6" t="s">
        <v>101</v>
      </c>
    </row>
    <row r="34" customFormat="false" ht="15" hidden="false" customHeight="true" outlineLevel="0" collapsed="false">
      <c r="A34" s="19" t="s">
        <v>102</v>
      </c>
      <c r="B34" s="15" t="s">
        <v>103</v>
      </c>
      <c r="D34" s="23" t="n">
        <v>0.04</v>
      </c>
      <c r="E34" s="23" t="n">
        <v>0.05</v>
      </c>
      <c r="F34" s="23" t="n">
        <v>0.06</v>
      </c>
      <c r="G34" s="15" t="s">
        <v>46</v>
      </c>
      <c r="H34" s="6" t="s">
        <v>104</v>
      </c>
    </row>
    <row r="35" customFormat="false" ht="15" hidden="false" customHeight="true" outlineLevel="0" collapsed="false">
      <c r="A35" s="19" t="s">
        <v>105</v>
      </c>
      <c r="B35" s="15" t="s">
        <v>106</v>
      </c>
      <c r="D35" s="22" t="n">
        <v>0.003</v>
      </c>
      <c r="E35" s="22" t="n">
        <v>0.005</v>
      </c>
      <c r="F35" s="22" t="n">
        <v>0.008</v>
      </c>
      <c r="G35" s="15" t="s">
        <v>50</v>
      </c>
      <c r="H35" s="6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108</v>
      </c>
    </row>
    <row r="2" customFormat="false" ht="15" hidden="false" customHeight="true" outlineLevel="0" collapsed="false">
      <c r="A2" s="10" t="s">
        <v>109</v>
      </c>
    </row>
    <row r="4" customFormat="false" ht="15" hidden="false" customHeight="true" outlineLevel="0" collapsed="false">
      <c r="A4" s="25" t="s">
        <v>110</v>
      </c>
      <c r="C4" s="24" t="s">
        <v>111</v>
      </c>
      <c r="D4" s="24" t="s">
        <v>112</v>
      </c>
      <c r="E4" s="24" t="s">
        <v>113</v>
      </c>
      <c r="F4" s="24" t="s">
        <v>114</v>
      </c>
      <c r="G4" s="24" t="s">
        <v>115</v>
      </c>
      <c r="H4" s="8" t="s">
        <v>116</v>
      </c>
    </row>
    <row r="5" customFormat="false" ht="15" hidden="false" customHeight="true" outlineLevel="0" collapsed="false">
      <c r="A5" s="19" t="s">
        <v>117</v>
      </c>
      <c r="C5" s="6" t="s">
        <v>118</v>
      </c>
      <c r="D5" s="6" t="s">
        <v>119</v>
      </c>
      <c r="E5" s="6" t="s">
        <v>120</v>
      </c>
      <c r="F5" s="6" t="s">
        <v>121</v>
      </c>
      <c r="G5" s="6" t="s">
        <v>122</v>
      </c>
    </row>
    <row r="6" customFormat="false" ht="15" hidden="false" customHeight="true" outlineLevel="0" collapsed="false">
      <c r="A6" s="14" t="s">
        <v>123</v>
      </c>
      <c r="C6" s="17" t="n">
        <v>32</v>
      </c>
      <c r="D6" s="17" t="n">
        <v>72</v>
      </c>
      <c r="E6" s="17" t="n">
        <v>72</v>
      </c>
      <c r="F6" s="17" t="n">
        <v>72</v>
      </c>
      <c r="G6" s="17" t="n">
        <v>144</v>
      </c>
    </row>
    <row r="7" customFormat="false" ht="15" hidden="false" customHeight="true" outlineLevel="0" collapsed="false">
      <c r="A7" s="19" t="s">
        <v>124</v>
      </c>
      <c r="C7" s="18" t="s">
        <v>125</v>
      </c>
      <c r="D7" s="18" t="s">
        <v>126</v>
      </c>
      <c r="E7" s="18" t="s">
        <v>126</v>
      </c>
      <c r="F7" s="18" t="s">
        <v>127</v>
      </c>
      <c r="G7" s="18" t="s">
        <v>126</v>
      </c>
    </row>
    <row r="8" customFormat="false" ht="15" hidden="false" customHeight="true" outlineLevel="0" collapsed="false">
      <c r="A8" s="19" t="s">
        <v>128</v>
      </c>
      <c r="C8" s="17" t="n">
        <v>38</v>
      </c>
      <c r="D8" s="17" t="n">
        <v>120</v>
      </c>
      <c r="E8" s="17" t="n">
        <v>132</v>
      </c>
      <c r="F8" s="17" t="n">
        <v>190</v>
      </c>
      <c r="G8" s="17" t="n">
        <v>550</v>
      </c>
    </row>
    <row r="9" customFormat="false" ht="15" hidden="false" customHeight="true" outlineLevel="0" collapsed="false">
      <c r="A9" s="19" t="s">
        <v>129</v>
      </c>
      <c r="C9" s="17" t="n">
        <v>41</v>
      </c>
      <c r="D9" s="17" t="n">
        <v>130</v>
      </c>
      <c r="E9" s="17" t="n">
        <v>137</v>
      </c>
      <c r="F9" s="17" t="n">
        <v>227</v>
      </c>
      <c r="G9" s="17" t="n">
        <v>600</v>
      </c>
    </row>
    <row r="10" customFormat="false" ht="15" hidden="false" customHeight="true" outlineLevel="0" collapsed="false">
      <c r="A10" s="19" t="s">
        <v>130</v>
      </c>
      <c r="C10" s="17" t="n">
        <v>44</v>
      </c>
      <c r="D10" s="17" t="n">
        <v>140</v>
      </c>
      <c r="E10" s="17" t="n">
        <v>142</v>
      </c>
      <c r="F10" s="17" t="n">
        <v>230</v>
      </c>
      <c r="G10" s="17" t="n">
        <v>650</v>
      </c>
    </row>
    <row r="11" customFormat="false" ht="15" hidden="false" customHeight="true" outlineLevel="0" collapsed="false">
      <c r="A11" s="19" t="s">
        <v>131</v>
      </c>
      <c r="C11" s="26" t="n">
        <v>0.9</v>
      </c>
      <c r="D11" s="26" t="n">
        <v>2.8</v>
      </c>
      <c r="E11" s="26" t="n">
        <v>4</v>
      </c>
      <c r="F11" s="26" t="n">
        <v>6.7</v>
      </c>
      <c r="G11" s="26" t="n">
        <v>23.4</v>
      </c>
    </row>
    <row r="12" customFormat="false" ht="15" hidden="false" customHeight="true" outlineLevel="0" collapsed="false">
      <c r="A12" s="19" t="s">
        <v>132</v>
      </c>
      <c r="C12" s="26" t="n">
        <v>1.1</v>
      </c>
      <c r="D12" s="26" t="n">
        <v>3.1</v>
      </c>
      <c r="E12" s="26" t="n">
        <v>5</v>
      </c>
      <c r="F12" s="26" t="n">
        <v>7.8</v>
      </c>
      <c r="G12" s="26" t="n">
        <v>31.2</v>
      </c>
    </row>
    <row r="13" customFormat="false" ht="15" hidden="false" customHeight="true" outlineLevel="0" collapsed="false">
      <c r="A13" s="19" t="s">
        <v>133</v>
      </c>
      <c r="C13" s="26" t="n">
        <v>1.3</v>
      </c>
      <c r="D13" s="26" t="n">
        <v>3.4</v>
      </c>
      <c r="E13" s="26" t="n">
        <v>6.5</v>
      </c>
      <c r="F13" s="26" t="n">
        <v>9.1</v>
      </c>
      <c r="G13" s="26" t="n">
        <v>39</v>
      </c>
    </row>
    <row r="14" customFormat="false" ht="54" hidden="false" customHeight="true" outlineLevel="0" collapsed="false">
      <c r="A14" s="19" t="s">
        <v>134</v>
      </c>
      <c r="C14" s="27" t="s">
        <v>135</v>
      </c>
      <c r="D14" s="28" t="s">
        <v>136</v>
      </c>
      <c r="E14" s="28" t="s">
        <v>71</v>
      </c>
      <c r="F14" s="28" t="s">
        <v>137</v>
      </c>
      <c r="G14" s="27" t="s">
        <v>138</v>
      </c>
    </row>
    <row r="15" customFormat="false" ht="54" hidden="false" customHeight="true" outlineLevel="0" collapsed="false">
      <c r="A15" s="19" t="s">
        <v>139</v>
      </c>
      <c r="C15" s="27" t="s">
        <v>140</v>
      </c>
      <c r="D15" s="28" t="s">
        <v>141</v>
      </c>
      <c r="E15" s="27" t="s">
        <v>142</v>
      </c>
      <c r="F15" s="27" t="s">
        <v>143</v>
      </c>
      <c r="G15" s="28" t="s">
        <v>144</v>
      </c>
    </row>
    <row r="16" customFormat="false" ht="54" hidden="false" customHeight="true" outlineLevel="0" collapsed="false">
      <c r="A16" s="19" t="s">
        <v>145</v>
      </c>
      <c r="C16" s="27" t="s">
        <v>146</v>
      </c>
      <c r="D16" s="27" t="s">
        <v>147</v>
      </c>
      <c r="E16" s="27" t="s">
        <v>148</v>
      </c>
      <c r="F16" s="27" t="s">
        <v>149</v>
      </c>
      <c r="G16" s="28" t="s">
        <v>150</v>
      </c>
    </row>
    <row r="17" customFormat="false" ht="54" hidden="false" customHeight="true" outlineLevel="0" collapsed="false">
      <c r="A17" s="19" t="s">
        <v>33</v>
      </c>
      <c r="C17" s="27" t="s">
        <v>50</v>
      </c>
      <c r="D17" s="27" t="s">
        <v>151</v>
      </c>
      <c r="E17" s="27" t="s">
        <v>151</v>
      </c>
      <c r="F17" s="27" t="s">
        <v>151</v>
      </c>
      <c r="G17" s="27" t="s">
        <v>46</v>
      </c>
    </row>
    <row r="19" customFormat="false" ht="15" hidden="false" customHeight="true" outlineLevel="0" collapsed="false">
      <c r="A19" s="10" t="s">
        <v>152</v>
      </c>
    </row>
    <row r="21" customFormat="false" ht="15" hidden="false" customHeight="true" outlineLevel="0" collapsed="false">
      <c r="A21" s="29" t="s">
        <v>153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0" t="s">
        <v>154</v>
      </c>
      <c r="C22" s="31" t="s">
        <v>155</v>
      </c>
      <c r="D22" s="31" t="s">
        <v>156</v>
      </c>
      <c r="E22" s="31" t="s">
        <v>156</v>
      </c>
      <c r="F22" s="31" t="s">
        <v>156</v>
      </c>
      <c r="G22" s="31" t="s">
        <v>156</v>
      </c>
      <c r="H22" s="32" t="s">
        <v>157</v>
      </c>
    </row>
    <row r="23" customFormat="false" ht="15" hidden="false" customHeight="true" outlineLevel="0" collapsed="false">
      <c r="A23" s="30" t="s">
        <v>158</v>
      </c>
      <c r="C23" s="33" t="n">
        <v>0.989</v>
      </c>
      <c r="D23" s="33" t="n">
        <v>10</v>
      </c>
      <c r="E23" s="33" t="n">
        <v>15</v>
      </c>
      <c r="F23" s="33" t="n">
        <v>35</v>
      </c>
      <c r="G23" s="33" t="n">
        <v>73</v>
      </c>
      <c r="H23" s="32" t="s">
        <v>159</v>
      </c>
    </row>
    <row r="24" customFormat="false" ht="15" hidden="false" customHeight="true" outlineLevel="0" collapsed="false">
      <c r="A24" s="30" t="s">
        <v>160</v>
      </c>
      <c r="C24" s="33" t="n">
        <v>0.989</v>
      </c>
      <c r="D24" s="33" t="n">
        <v>10</v>
      </c>
      <c r="E24" s="33" t="n">
        <v>15</v>
      </c>
      <c r="F24" s="33" t="n">
        <v>50</v>
      </c>
      <c r="G24" s="33" t="n">
        <v>104</v>
      </c>
      <c r="H24" s="32" t="s">
        <v>161</v>
      </c>
    </row>
    <row r="25" customFormat="false" ht="15" hidden="false" customHeight="true" outlineLevel="0" collapsed="false">
      <c r="A25" s="31" t="s">
        <v>162</v>
      </c>
      <c r="C25" s="34" t="n">
        <v>80</v>
      </c>
      <c r="D25" s="34" t="n">
        <v>186</v>
      </c>
      <c r="E25" s="34" t="n">
        <v>288</v>
      </c>
      <c r="F25" s="34" t="n">
        <v>288</v>
      </c>
      <c r="G25" s="34" t="n">
        <v>1024</v>
      </c>
      <c r="H25" s="32" t="s">
        <v>163</v>
      </c>
    </row>
    <row r="26" customFormat="false" ht="15" hidden="false" customHeight="true" outlineLevel="0" collapsed="false">
      <c r="A26" s="31" t="s">
        <v>164</v>
      </c>
      <c r="C26" s="35" t="n">
        <v>3.35</v>
      </c>
      <c r="D26" s="35" t="n">
        <v>8</v>
      </c>
      <c r="E26" s="35" t="n">
        <v>8</v>
      </c>
      <c r="F26" s="35" t="n">
        <v>22</v>
      </c>
      <c r="G26" s="35" t="n">
        <v>32</v>
      </c>
      <c r="H26" s="32" t="s">
        <v>165</v>
      </c>
    </row>
    <row r="27" customFormat="false" ht="15" hidden="false" customHeight="true" outlineLevel="0" collapsed="false">
      <c r="A27" s="31" t="s">
        <v>166</v>
      </c>
      <c r="C27" s="35" t="n">
        <v>0.05</v>
      </c>
      <c r="D27" s="35" t="n">
        <v>0.9</v>
      </c>
      <c r="E27" s="35" t="n">
        <v>0.9</v>
      </c>
      <c r="F27" s="35" t="n">
        <v>1.8</v>
      </c>
      <c r="G27" s="35" t="n">
        <v>1.8</v>
      </c>
      <c r="H27" s="32" t="s">
        <v>167</v>
      </c>
    </row>
    <row r="28" customFormat="false" ht="15" hidden="false" customHeight="true" outlineLevel="0" collapsed="false">
      <c r="A28" s="31" t="s">
        <v>168</v>
      </c>
      <c r="C28" s="34" t="n">
        <v>8</v>
      </c>
      <c r="D28" s="34" t="n">
        <v>72</v>
      </c>
      <c r="E28" s="34" t="n">
        <v>72</v>
      </c>
      <c r="F28" s="34" t="n">
        <v>72</v>
      </c>
      <c r="G28" s="34" t="n">
        <v>144</v>
      </c>
      <c r="H28" s="32"/>
    </row>
    <row r="29" customFormat="false" ht="15" hidden="false" customHeight="true" outlineLevel="0" collapsed="false">
      <c r="A29" s="31" t="s">
        <v>169</v>
      </c>
      <c r="C29" s="34" t="n">
        <v>64</v>
      </c>
      <c r="D29" s="34" t="n">
        <v>32</v>
      </c>
      <c r="E29" s="34" t="n">
        <v>32</v>
      </c>
      <c r="F29" s="34" t="n">
        <v>32</v>
      </c>
      <c r="G29" s="34" t="n">
        <v>64</v>
      </c>
      <c r="H29" s="32" t="s">
        <v>170</v>
      </c>
    </row>
    <row r="30" customFormat="false" ht="15" hidden="false" customHeight="true" outlineLevel="0" collapsed="false">
      <c r="A30" s="30" t="s">
        <v>171</v>
      </c>
      <c r="C30" s="36" t="n">
        <v>1</v>
      </c>
      <c r="D30" s="36" t="n">
        <v>0.5625</v>
      </c>
      <c r="E30" s="36" t="n">
        <v>0.5625</v>
      </c>
      <c r="F30" s="36" t="n">
        <v>0.5625</v>
      </c>
      <c r="G30" s="36" t="n">
        <v>0.5625</v>
      </c>
      <c r="H30" s="32" t="s">
        <v>172</v>
      </c>
    </row>
    <row r="31" customFormat="false" ht="15" hidden="false" customHeight="true" outlineLevel="0" collapsed="false">
      <c r="A31" s="30" t="s">
        <v>173</v>
      </c>
      <c r="C31" s="37" t="n">
        <v>1</v>
      </c>
      <c r="D31" s="37" t="n">
        <v>1</v>
      </c>
      <c r="E31" s="37" t="n">
        <v>1</v>
      </c>
      <c r="F31" s="37" t="n">
        <v>1</v>
      </c>
      <c r="G31" s="37" t="n">
        <v>1</v>
      </c>
      <c r="H31" s="38" t="s">
        <v>174</v>
      </c>
    </row>
    <row r="32" customFormat="false" ht="15" hidden="false" customHeight="true" outlineLevel="0" collapsed="false">
      <c r="A32" s="30" t="s">
        <v>175</v>
      </c>
      <c r="C32" s="34" t="n">
        <v>8</v>
      </c>
      <c r="D32" s="34" t="n">
        <v>4</v>
      </c>
      <c r="E32" s="34" t="n">
        <v>4</v>
      </c>
      <c r="F32" s="34" t="n">
        <v>4</v>
      </c>
      <c r="G32" s="34" t="n">
        <v>8</v>
      </c>
      <c r="H32" s="32" t="s">
        <v>176</v>
      </c>
    </row>
    <row r="33" customFormat="false" ht="15" hidden="false" customHeight="true" outlineLevel="0" collapsed="false">
      <c r="A33" s="31" t="s">
        <v>177</v>
      </c>
      <c r="C33" s="34" t="n">
        <v>700</v>
      </c>
      <c r="D33" s="34" t="n">
        <v>1200</v>
      </c>
      <c r="E33" s="34" t="n">
        <v>1400</v>
      </c>
      <c r="F33" s="34" t="n">
        <v>1800</v>
      </c>
      <c r="G33" s="34" t="n">
        <v>3600</v>
      </c>
      <c r="H33" s="32" t="s">
        <v>178</v>
      </c>
    </row>
    <row r="34" customFormat="false" ht="15" hidden="false" customHeight="true" outlineLevel="0" collapsed="false">
      <c r="A34" s="31" t="s">
        <v>179</v>
      </c>
      <c r="C34" s="34" t="n">
        <v>31</v>
      </c>
      <c r="D34" s="34" t="n">
        <v>25</v>
      </c>
      <c r="E34" s="34" t="n">
        <v>25</v>
      </c>
      <c r="F34" s="34" t="n">
        <v>20</v>
      </c>
      <c r="G34" s="34" t="n">
        <v>18</v>
      </c>
      <c r="H34" s="32" t="s">
        <v>180</v>
      </c>
    </row>
    <row r="35" customFormat="false" ht="15" hidden="false" customHeight="true" outlineLevel="0" collapsed="false">
      <c r="A35" s="8" t="s">
        <v>181</v>
      </c>
      <c r="C35" s="39" t="n">
        <f aca="false">IF(Serving!$C$16=2,C24,C23)</f>
        <v>0.989</v>
      </c>
      <c r="D35" s="39" t="n">
        <f aca="false">IF(Serving!$C$16=2,D24,D23)</f>
        <v>10</v>
      </c>
      <c r="E35" s="39" t="n">
        <f aca="false">IF(Serving!$C$16=2,E24,E23)</f>
        <v>15</v>
      </c>
      <c r="F35" s="39" t="n">
        <f aca="false">IF(Serving!$C$16=2,F24,F23)</f>
        <v>35</v>
      </c>
      <c r="G35" s="39" t="n">
        <f aca="false">IF(Serving!$C$16=2,G24,G23)</f>
        <v>73</v>
      </c>
    </row>
    <row r="36" customFormat="false" ht="15" hidden="false" customHeight="true" outlineLevel="0" collapsed="false">
      <c r="A36" s="31" t="s">
        <v>182</v>
      </c>
      <c r="C36" s="40" t="n">
        <f aca="false">C35*1000/C26</f>
        <v>295.223880597015</v>
      </c>
      <c r="D36" s="40" t="n">
        <f aca="false">D35*1000/D26</f>
        <v>1250</v>
      </c>
      <c r="E36" s="40" t="n">
        <f aca="false">E35*1000/E26</f>
        <v>1875</v>
      </c>
      <c r="F36" s="40" t="n">
        <f aca="false">F35*1000/F26</f>
        <v>1590.90909090909</v>
      </c>
      <c r="G36" s="40" t="n">
        <f aca="false">G35*1000/G26</f>
        <v>2281.25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1" t="s">
        <v>183</v>
      </c>
    </row>
    <row r="2" customFormat="false" ht="15" hidden="false" customHeight="false" outlineLevel="0" collapsed="false">
      <c r="A2" s="42" t="s">
        <v>184</v>
      </c>
    </row>
    <row r="4" customFormat="false" ht="15" hidden="false" customHeight="false" outlineLevel="0" collapsed="false">
      <c r="A4" s="9" t="s">
        <v>28</v>
      </c>
      <c r="B4" s="9" t="s">
        <v>29</v>
      </c>
      <c r="C4" s="43" t="s">
        <v>185</v>
      </c>
      <c r="D4" s="43" t="s">
        <v>186</v>
      </c>
      <c r="E4" s="43" t="s">
        <v>187</v>
      </c>
      <c r="F4" s="9" t="s">
        <v>33</v>
      </c>
      <c r="G4" s="9" t="s">
        <v>34</v>
      </c>
    </row>
    <row r="5" customFormat="false" ht="15" hidden="false" customHeight="false" outlineLevel="0" collapsed="false">
      <c r="A5" s="44" t="s">
        <v>188</v>
      </c>
      <c r="B5" s="44"/>
      <c r="C5" s="45" t="s">
        <v>189</v>
      </c>
      <c r="D5" s="45" t="s">
        <v>190</v>
      </c>
      <c r="E5" s="44" t="s">
        <v>191</v>
      </c>
      <c r="F5" s="42" t="s">
        <v>38</v>
      </c>
      <c r="G5" s="42" t="s">
        <v>192</v>
      </c>
    </row>
    <row r="6" customFormat="false" ht="15" hidden="false" customHeight="false" outlineLevel="0" collapsed="false">
      <c r="A6" s="44" t="s">
        <v>193</v>
      </c>
      <c r="B6" s="45" t="s">
        <v>194</v>
      </c>
      <c r="C6" s="46" t="n">
        <v>284</v>
      </c>
      <c r="D6" s="46" t="n">
        <v>1600</v>
      </c>
      <c r="E6" s="46" t="n">
        <v>4000</v>
      </c>
      <c r="F6" s="42" t="s">
        <v>195</v>
      </c>
      <c r="G6" s="42" t="s">
        <v>196</v>
      </c>
    </row>
    <row r="7" customFormat="false" ht="15" hidden="false" customHeight="false" outlineLevel="0" collapsed="false">
      <c r="A7" s="44" t="s">
        <v>197</v>
      </c>
      <c r="B7" s="45" t="s">
        <v>194</v>
      </c>
      <c r="C7" s="46" t="n">
        <v>13</v>
      </c>
      <c r="D7" s="46" t="n">
        <v>49</v>
      </c>
      <c r="E7" s="46" t="n">
        <v>180</v>
      </c>
      <c r="F7" s="42" t="s">
        <v>195</v>
      </c>
      <c r="G7" s="42" t="s">
        <v>198</v>
      </c>
    </row>
    <row r="8" customFormat="false" ht="15" hidden="false" customHeight="false" outlineLevel="0" collapsed="false">
      <c r="A8" s="44" t="s">
        <v>199</v>
      </c>
      <c r="B8" s="44" t="s">
        <v>200</v>
      </c>
      <c r="C8" s="46" t="n">
        <v>43</v>
      </c>
      <c r="D8" s="46" t="n">
        <v>61</v>
      </c>
      <c r="E8" s="46" t="n">
        <v>100</v>
      </c>
      <c r="F8" s="42" t="s">
        <v>195</v>
      </c>
      <c r="G8" s="42" t="s">
        <v>201</v>
      </c>
    </row>
    <row r="9" customFormat="false" ht="15" hidden="false" customHeight="false" outlineLevel="0" collapsed="false">
      <c r="A9" s="45" t="s">
        <v>202</v>
      </c>
      <c r="B9" s="44"/>
      <c r="C9" s="46" t="n">
        <v>4096</v>
      </c>
      <c r="D9" s="46" t="n">
        <v>7168</v>
      </c>
      <c r="E9" s="46" t="n">
        <v>12288</v>
      </c>
      <c r="F9" s="42" t="s">
        <v>203</v>
      </c>
      <c r="G9" s="42" t="s">
        <v>204</v>
      </c>
    </row>
    <row r="10" customFormat="false" ht="15" hidden="false" customHeight="false" outlineLevel="0" collapsed="false">
      <c r="A10" s="45" t="s">
        <v>205</v>
      </c>
      <c r="B10" s="44"/>
      <c r="C10" s="46" t="n">
        <v>64</v>
      </c>
      <c r="D10" s="46" t="n">
        <v>128</v>
      </c>
      <c r="E10" s="46" t="n">
        <v>96</v>
      </c>
      <c r="F10" s="42" t="s">
        <v>206</v>
      </c>
      <c r="G10" s="42" t="s">
        <v>207</v>
      </c>
    </row>
    <row r="11" customFormat="false" ht="15" hidden="false" customHeight="false" outlineLevel="0" collapsed="false">
      <c r="A11" s="45" t="s">
        <v>208</v>
      </c>
      <c r="B11" s="44"/>
      <c r="C11" s="46" t="n">
        <v>512</v>
      </c>
      <c r="D11" s="46" t="n">
        <v>512</v>
      </c>
      <c r="E11" s="46" t="n">
        <v>128</v>
      </c>
      <c r="F11" s="42" t="s">
        <v>195</v>
      </c>
      <c r="G11" s="42" t="s">
        <v>209</v>
      </c>
    </row>
    <row r="12" customFormat="false" ht="15" hidden="false" customHeight="false" outlineLevel="0" collapsed="false">
      <c r="A12" s="45" t="s">
        <v>210</v>
      </c>
      <c r="B12" s="44"/>
      <c r="C12" s="46" t="n">
        <v>256</v>
      </c>
      <c r="D12" s="46" t="n">
        <v>384</v>
      </c>
      <c r="E12" s="46" t="n">
        <v>512</v>
      </c>
      <c r="F12" s="42" t="s">
        <v>195</v>
      </c>
      <c r="G12" s="42"/>
    </row>
    <row r="13" customFormat="false" ht="15" hidden="false" customHeight="false" outlineLevel="0" collapsed="false">
      <c r="A13" s="44" t="s">
        <v>211</v>
      </c>
      <c r="B13" s="44"/>
      <c r="C13" s="46" t="n">
        <v>6</v>
      </c>
      <c r="D13" s="46" t="n">
        <v>6</v>
      </c>
      <c r="E13" s="46" t="n">
        <v>16</v>
      </c>
      <c r="F13" s="42" t="s">
        <v>195</v>
      </c>
      <c r="G13" s="42"/>
    </row>
    <row r="14" customFormat="false" ht="15" hidden="false" customHeight="false" outlineLevel="0" collapsed="false">
      <c r="A14" s="45" t="s">
        <v>212</v>
      </c>
      <c r="B14" s="44"/>
      <c r="C14" s="46" t="n">
        <v>1</v>
      </c>
      <c r="D14" s="46" t="n">
        <v>1</v>
      </c>
      <c r="E14" s="46" t="n">
        <v>1</v>
      </c>
      <c r="F14" s="42" t="s">
        <v>81</v>
      </c>
      <c r="G14" s="42"/>
    </row>
    <row r="15" customFormat="false" ht="15" hidden="false" customHeight="false" outlineLevel="0" collapsed="false">
      <c r="A15" s="45" t="s">
        <v>213</v>
      </c>
      <c r="B15" s="44"/>
      <c r="C15" s="46" t="n">
        <v>129280</v>
      </c>
      <c r="D15" s="46" t="n">
        <v>129280</v>
      </c>
      <c r="E15" s="46" t="n">
        <v>200000</v>
      </c>
      <c r="F15" s="42" t="s">
        <v>195</v>
      </c>
      <c r="G15" s="42"/>
    </row>
    <row r="16" customFormat="false" ht="15" hidden="false" customHeight="false" outlineLevel="0" collapsed="false">
      <c r="A16" s="44" t="s">
        <v>214</v>
      </c>
      <c r="B16" s="45" t="s">
        <v>45</v>
      </c>
      <c r="C16" s="47" t="n">
        <v>0.5</v>
      </c>
      <c r="D16" s="47" t="n">
        <v>0.5</v>
      </c>
      <c r="E16" s="47" t="n">
        <v>1</v>
      </c>
      <c r="F16" s="42" t="s">
        <v>195</v>
      </c>
      <c r="G16" s="42" t="s">
        <v>215</v>
      </c>
    </row>
    <row r="17" customFormat="false" ht="15" hidden="false" customHeight="false" outlineLevel="0" collapsed="false">
      <c r="A17" s="44" t="s">
        <v>216</v>
      </c>
      <c r="B17" s="45" t="s">
        <v>217</v>
      </c>
      <c r="C17" s="46" t="n">
        <v>4224</v>
      </c>
      <c r="D17" s="46" t="n">
        <v>4224</v>
      </c>
      <c r="E17" s="46" t="n">
        <v>0</v>
      </c>
      <c r="F17" s="42" t="s">
        <v>218</v>
      </c>
      <c r="G17" s="42" t="s">
        <v>219</v>
      </c>
    </row>
    <row r="18" customFormat="false" ht="15" hidden="false" customHeight="false" outlineLevel="0" collapsed="false">
      <c r="A18" s="44" t="s">
        <v>220</v>
      </c>
      <c r="B18" s="45" t="s">
        <v>49</v>
      </c>
      <c r="C18" s="46" t="n">
        <v>128</v>
      </c>
      <c r="D18" s="46" t="n">
        <v>128</v>
      </c>
      <c r="E18" s="46" t="n">
        <v>1</v>
      </c>
      <c r="F18" s="42" t="s">
        <v>81</v>
      </c>
      <c r="G18" s="42" t="s">
        <v>221</v>
      </c>
    </row>
    <row r="19" customFormat="false" ht="15" hidden="false" customHeight="false" outlineLevel="0" collapsed="false">
      <c r="A19" s="44" t="s">
        <v>222</v>
      </c>
      <c r="B19" s="45" t="s">
        <v>217</v>
      </c>
      <c r="C19" s="46" t="n">
        <v>128</v>
      </c>
      <c r="D19" s="46" t="n">
        <v>128</v>
      </c>
      <c r="E19" s="46" t="n">
        <v>0</v>
      </c>
      <c r="F19" s="42" t="s">
        <v>81</v>
      </c>
      <c r="G19" s="42"/>
    </row>
    <row r="20" customFormat="false" ht="15" hidden="false" customHeight="false" outlineLevel="0" collapsed="false">
      <c r="A20" s="45" t="s">
        <v>223</v>
      </c>
      <c r="B20" s="44" t="s">
        <v>41</v>
      </c>
      <c r="E20" s="48" t="n">
        <v>2</v>
      </c>
      <c r="F20" s="42" t="s">
        <v>38</v>
      </c>
      <c r="G20" s="42" t="s">
        <v>224</v>
      </c>
    </row>
    <row r="21" customFormat="false" ht="15" hidden="false" customHeight="false" outlineLevel="0" collapsed="false">
      <c r="A21" s="45" t="s">
        <v>225</v>
      </c>
      <c r="B21" s="45" t="s">
        <v>194</v>
      </c>
      <c r="C21" s="46" t="n">
        <v>2795</v>
      </c>
      <c r="D21" s="46" t="n">
        <v>3965</v>
      </c>
      <c r="E21" s="46" t="n">
        <v>14976</v>
      </c>
      <c r="F21" s="42" t="s">
        <v>226</v>
      </c>
      <c r="G21" s="42" t="s">
        <v>227</v>
      </c>
    </row>
    <row r="22" customFormat="false" ht="15" hidden="false" customHeight="false" outlineLevel="0" collapsed="false">
      <c r="A22" s="45" t="s">
        <v>228</v>
      </c>
      <c r="B22" s="45" t="s">
        <v>194</v>
      </c>
      <c r="C22" s="46" t="n">
        <v>2795</v>
      </c>
      <c r="D22" s="46" t="n">
        <v>3965</v>
      </c>
      <c r="E22" s="46" t="n">
        <v>57600</v>
      </c>
      <c r="F22" s="42" t="s">
        <v>226</v>
      </c>
      <c r="G22" s="42" t="s">
        <v>229</v>
      </c>
    </row>
    <row r="23" customFormat="false" ht="15" hidden="false" customHeight="false" outlineLevel="0" collapsed="false">
      <c r="A23" s="45" t="s">
        <v>230</v>
      </c>
      <c r="B23" s="45" t="s">
        <v>194</v>
      </c>
      <c r="C23" s="46" t="n">
        <v>2795</v>
      </c>
      <c r="D23" s="46" t="n">
        <v>3965</v>
      </c>
      <c r="E23" s="46" t="n">
        <v>204800</v>
      </c>
      <c r="F23" s="42" t="s">
        <v>226</v>
      </c>
      <c r="G23" s="42" t="s">
        <v>231</v>
      </c>
    </row>
    <row r="24" customFormat="false" ht="15" hidden="false" customHeight="false" outlineLevel="0" collapsed="false">
      <c r="A24" s="49" t="s">
        <v>232</v>
      </c>
      <c r="B24" s="50"/>
      <c r="C24" s="50"/>
      <c r="D24" s="50"/>
      <c r="E24" s="50"/>
      <c r="F24" s="50"/>
      <c r="G24" s="50"/>
    </row>
    <row r="25" customFormat="false" ht="15" hidden="false" customHeight="false" outlineLevel="0" collapsed="false">
      <c r="A25" s="45" t="s">
        <v>233</v>
      </c>
      <c r="B25" s="45" t="s">
        <v>194</v>
      </c>
      <c r="C25" s="51" t="n">
        <f aca="false">CHOOSE(IF(C20="",1,C20),C21,C22,C23)</f>
        <v>2795</v>
      </c>
      <c r="D25" s="51" t="n">
        <f aca="false">CHOOSE(IF(D20="",1,D20),D21,D22,D23)</f>
        <v>3965</v>
      </c>
      <c r="E25" s="51" t="n">
        <f aca="false">CHOOSE(IF(E20="",1,E20),E21,E22,E23)</f>
        <v>57600</v>
      </c>
    </row>
    <row r="26" customFormat="false" ht="15" hidden="false" customHeight="false" outlineLevel="0" collapsed="false">
      <c r="A26" s="45" t="s">
        <v>234</v>
      </c>
      <c r="B26" s="45" t="s">
        <v>194</v>
      </c>
      <c r="C26" s="52" t="n">
        <f aca="false">C15*C9*2/1000000000</f>
        <v>1.05906176</v>
      </c>
      <c r="D26" s="52" t="n">
        <f aca="false">D15*D9*2/1000000000</f>
        <v>1.85335808</v>
      </c>
      <c r="E26" s="52" t="n">
        <f aca="false">E15*E9*2/1000000000</f>
        <v>4.9152</v>
      </c>
    </row>
    <row r="27" customFormat="false" ht="15" hidden="false" customHeight="false" outlineLevel="0" collapsed="false">
      <c r="A27" s="44" t="s">
        <v>235</v>
      </c>
      <c r="B27" s="45" t="s">
        <v>194</v>
      </c>
      <c r="C27" s="53" t="n">
        <f aca="false">(C6-C7)/(C8*(C12-C13))</f>
        <v>0.0252093023255814</v>
      </c>
      <c r="D27" s="53" t="n">
        <f aca="false">(D6-D7)/(D8*(D12-D13))</f>
        <v>0.0672651574290919</v>
      </c>
      <c r="E27" s="53" t="n">
        <f aca="false">(E6-E7)/(E8*(E12-E13))</f>
        <v>0.0770161290322581</v>
      </c>
      <c r="G27" s="54" t="s">
        <v>236</v>
      </c>
    </row>
    <row r="28" customFormat="false" ht="15" hidden="false" customHeight="false" outlineLevel="0" collapsed="false">
      <c r="A28" s="44" t="s">
        <v>237</v>
      </c>
      <c r="B28" s="45" t="s">
        <v>194</v>
      </c>
      <c r="C28" s="55" t="n">
        <f aca="false">C7-C8*(C13+C14)*C27</f>
        <v>5.412</v>
      </c>
      <c r="D28" s="55" t="n">
        <f aca="false">D7-D8*(D13+D14)*D27</f>
        <v>20.2777777777778</v>
      </c>
      <c r="E28" s="55" t="n">
        <f aca="false">E7-E8*(E13+E14)*E27</f>
        <v>49.0725806451613</v>
      </c>
    </row>
    <row r="29" customFormat="false" ht="15" hidden="false" customHeight="false" outlineLevel="0" collapsed="false">
      <c r="A29" s="44" t="s">
        <v>238</v>
      </c>
      <c r="B29" s="45" t="s">
        <v>194</v>
      </c>
      <c r="C29" s="55" t="n">
        <f aca="false">C6-C28</f>
        <v>278.588</v>
      </c>
      <c r="D29" s="55" t="n">
        <f aca="false">D6-D28</f>
        <v>1579.72222222222</v>
      </c>
      <c r="E29" s="55" t="n">
        <f aca="false">E6-E28</f>
        <v>3950.92741935484</v>
      </c>
    </row>
    <row r="30" customFormat="false" ht="15" hidden="false" customHeight="false" outlineLevel="0" collapsed="false">
      <c r="A30" s="44" t="s">
        <v>239</v>
      </c>
      <c r="B30" s="45" t="s">
        <v>240</v>
      </c>
      <c r="C30" s="56" t="n">
        <f aca="false">4*C10*C11*C8</f>
        <v>5636096</v>
      </c>
      <c r="D30" s="56" t="n">
        <f aca="false">4*D10*D11*D8</f>
        <v>15990784</v>
      </c>
      <c r="E30" s="56" t="n">
        <f aca="false">4*E10*E11*E8</f>
        <v>4915200</v>
      </c>
    </row>
    <row r="31" customFormat="false" ht="15" hidden="false" customHeight="false" outlineLevel="0" collapsed="false">
      <c r="A31" s="45" t="s">
        <v>241</v>
      </c>
      <c r="B31" s="45" t="s">
        <v>242</v>
      </c>
      <c r="C31" s="52" t="n">
        <f aca="false">C25*128000/1000000000</f>
        <v>0.35776</v>
      </c>
      <c r="D31" s="52" t="n">
        <f aca="false">D25*128000/1000000000</f>
        <v>0.50752</v>
      </c>
      <c r="E31" s="52" t="n">
        <f aca="false">E25*128000/1000000000</f>
        <v>7.3728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1" t="s">
        <v>243</v>
      </c>
    </row>
    <row r="2" customFormat="false" ht="15" hidden="false" customHeight="false" outlineLevel="0" collapsed="false">
      <c r="A2" s="54" t="s">
        <v>244</v>
      </c>
    </row>
    <row r="4" customFormat="false" ht="15" hidden="false" customHeight="false" outlineLevel="0" collapsed="false">
      <c r="A4" s="9" t="s">
        <v>245</v>
      </c>
      <c r="B4" s="9" t="s">
        <v>29</v>
      </c>
      <c r="C4" s="9" t="s">
        <v>246</v>
      </c>
      <c r="D4" s="9" t="s">
        <v>33</v>
      </c>
      <c r="E4" s="9"/>
      <c r="F4" s="9" t="s">
        <v>247</v>
      </c>
    </row>
    <row r="5" customFormat="false" ht="15" hidden="false" customHeight="false" outlineLevel="0" collapsed="false">
      <c r="A5" s="44" t="s">
        <v>248</v>
      </c>
      <c r="B5" s="44"/>
      <c r="C5" s="44" t="s">
        <v>249</v>
      </c>
      <c r="D5" s="42" t="s">
        <v>38</v>
      </c>
      <c r="F5" s="42" t="s">
        <v>250</v>
      </c>
    </row>
    <row r="6" customFormat="false" ht="15" hidden="false" customHeight="false" outlineLevel="0" collapsed="false">
      <c r="A6" s="45" t="s">
        <v>251</v>
      </c>
      <c r="B6" s="45" t="s">
        <v>217</v>
      </c>
      <c r="C6" s="48" t="n">
        <v>3</v>
      </c>
      <c r="D6" s="42" t="s">
        <v>50</v>
      </c>
      <c r="F6" s="42" t="s">
        <v>252</v>
      </c>
    </row>
    <row r="7" customFormat="false" ht="15" hidden="false" customHeight="false" outlineLevel="0" collapsed="false">
      <c r="A7" s="44" t="s">
        <v>253</v>
      </c>
      <c r="B7" s="45" t="s">
        <v>45</v>
      </c>
      <c r="C7" s="47" t="n">
        <v>0.7</v>
      </c>
      <c r="D7" s="42" t="s">
        <v>254</v>
      </c>
      <c r="F7" s="42" t="s">
        <v>255</v>
      </c>
    </row>
    <row r="8" customFormat="false" ht="15" hidden="false" customHeight="false" outlineLevel="0" collapsed="false">
      <c r="A8" s="44" t="s">
        <v>256</v>
      </c>
      <c r="B8" s="45" t="s">
        <v>217</v>
      </c>
      <c r="C8" s="57" t="n">
        <f aca="false">(1-C7^(C6+1))/(1-C7)</f>
        <v>2.533</v>
      </c>
      <c r="D8" s="42" t="s">
        <v>218</v>
      </c>
      <c r="F8" s="42" t="s">
        <v>257</v>
      </c>
    </row>
    <row r="9" customFormat="false" ht="15" hidden="false" customHeight="false" outlineLevel="0" collapsed="false">
      <c r="A9" s="45" t="s">
        <v>258</v>
      </c>
      <c r="B9" s="45" t="s">
        <v>45</v>
      </c>
      <c r="C9" s="47" t="n">
        <v>0.1</v>
      </c>
      <c r="D9" s="42" t="s">
        <v>46</v>
      </c>
      <c r="F9" s="54" t="s">
        <v>259</v>
      </c>
    </row>
    <row r="10" customFormat="false" ht="15" hidden="false" customHeight="false" outlineLevel="0" collapsed="false">
      <c r="A10" s="44" t="s">
        <v>260</v>
      </c>
      <c r="B10" s="45" t="s">
        <v>45</v>
      </c>
      <c r="C10" s="47" t="n">
        <v>0.2</v>
      </c>
      <c r="D10" s="42" t="s">
        <v>46</v>
      </c>
      <c r="F10" s="54" t="s">
        <v>261</v>
      </c>
    </row>
    <row r="11" customFormat="false" ht="15" hidden="false" customHeight="false" outlineLevel="0" collapsed="false">
      <c r="A11" s="44" t="s">
        <v>262</v>
      </c>
      <c r="B11" s="45" t="s">
        <v>45</v>
      </c>
      <c r="C11" s="47" t="n">
        <v>0.4</v>
      </c>
      <c r="D11" s="42" t="s">
        <v>46</v>
      </c>
      <c r="F11" s="54" t="s">
        <v>263</v>
      </c>
    </row>
    <row r="12" customFormat="false" ht="15" hidden="false" customHeight="false" outlineLevel="0" collapsed="false">
      <c r="A12" s="45" t="s">
        <v>264</v>
      </c>
      <c r="B12" s="45" t="s">
        <v>194</v>
      </c>
      <c r="C12" s="58" t="n">
        <v>3</v>
      </c>
      <c r="D12" s="42" t="s">
        <v>50</v>
      </c>
      <c r="F12" s="42" t="s">
        <v>265</v>
      </c>
    </row>
    <row r="13" customFormat="false" ht="15" hidden="false" customHeight="false" outlineLevel="0" collapsed="false">
      <c r="A13" s="45" t="s">
        <v>266</v>
      </c>
      <c r="B13" s="45" t="s">
        <v>45</v>
      </c>
      <c r="C13" s="47" t="n">
        <v>0.7</v>
      </c>
      <c r="D13" s="42" t="s">
        <v>50</v>
      </c>
      <c r="F13" s="54" t="s">
        <v>267</v>
      </c>
    </row>
    <row r="14" customFormat="false" ht="15" hidden="false" customHeight="false" outlineLevel="0" collapsed="false">
      <c r="A14" s="45" t="s">
        <v>268</v>
      </c>
      <c r="B14" s="45" t="s">
        <v>45</v>
      </c>
      <c r="C14" s="47" t="n">
        <v>0.7</v>
      </c>
      <c r="D14" s="42" t="s">
        <v>50</v>
      </c>
      <c r="F14" s="54" t="s">
        <v>267</v>
      </c>
    </row>
    <row r="15" customFormat="false" ht="15" hidden="false" customHeight="false" outlineLevel="0" collapsed="false">
      <c r="A15" s="44" t="s">
        <v>269</v>
      </c>
      <c r="B15" s="45" t="s">
        <v>270</v>
      </c>
      <c r="C15" s="59" t="n">
        <v>0.1</v>
      </c>
      <c r="D15" s="42" t="s">
        <v>46</v>
      </c>
      <c r="F15" s="54" t="s">
        <v>271</v>
      </c>
    </row>
    <row r="16" customFormat="false" ht="15" hidden="false" customHeight="false" outlineLevel="0" collapsed="false">
      <c r="A16" s="44" t="s">
        <v>272</v>
      </c>
      <c r="B16" s="44" t="s">
        <v>41</v>
      </c>
      <c r="C16" s="48" t="n">
        <v>1</v>
      </c>
      <c r="D16" s="42" t="s">
        <v>38</v>
      </c>
      <c r="F16" s="42" t="s">
        <v>273</v>
      </c>
    </row>
    <row r="17" customFormat="false" ht="15" hidden="false" customHeight="false" outlineLevel="0" collapsed="false">
      <c r="A17" s="44" t="s">
        <v>274</v>
      </c>
      <c r="B17" s="45" t="s">
        <v>45</v>
      </c>
      <c r="C17" s="60" t="n">
        <v>0.6</v>
      </c>
      <c r="D17" s="42" t="s">
        <v>46</v>
      </c>
      <c r="F17" s="42" t="s">
        <v>275</v>
      </c>
    </row>
    <row r="18" customFormat="false" ht="15" hidden="false" customHeight="false" outlineLevel="0" collapsed="false">
      <c r="A18" s="44" t="s">
        <v>276</v>
      </c>
      <c r="B18" s="45" t="s">
        <v>49</v>
      </c>
      <c r="C18" s="61" t="n">
        <v>1</v>
      </c>
      <c r="D18" s="42" t="s">
        <v>46</v>
      </c>
      <c r="F18" s="54" t="s">
        <v>277</v>
      </c>
    </row>
    <row r="19" customFormat="false" ht="15" hidden="false" customHeight="false" outlineLevel="0" collapsed="false">
      <c r="A19" s="49" t="s">
        <v>278</v>
      </c>
      <c r="B19" s="50"/>
      <c r="C19" s="50"/>
      <c r="D19" s="50"/>
      <c r="E19" s="50"/>
      <c r="F19" s="50"/>
    </row>
    <row r="20" customFormat="false" ht="15" hidden="false" customHeight="false" outlineLevel="0" collapsed="false">
      <c r="A20" s="9" t="s">
        <v>279</v>
      </c>
      <c r="B20" s="9" t="s">
        <v>29</v>
      </c>
      <c r="C20" s="62" t="str">
        <f aca="false">Arch!C4</f>
        <v>Luna（低層）</v>
      </c>
      <c r="D20" s="62" t="str">
        <f aca="false">Arch!D4</f>
        <v>Sol（中層）</v>
      </c>
      <c r="E20" s="62" t="str">
        <f aca="false">Arch!E4</f>
        <v>Astra（頂層）</v>
      </c>
      <c r="F20" s="9" t="s">
        <v>247</v>
      </c>
    </row>
    <row r="21" customFormat="false" ht="15" hidden="false" customHeight="false" outlineLevel="0" collapsed="false">
      <c r="A21" s="45" t="s">
        <v>280</v>
      </c>
      <c r="B21" s="45" t="s">
        <v>281</v>
      </c>
      <c r="C21" s="63" t="n">
        <v>120</v>
      </c>
      <c r="D21" s="63" t="n">
        <v>65</v>
      </c>
      <c r="E21" s="63" t="n">
        <v>55</v>
      </c>
      <c r="F21" s="42" t="s">
        <v>282</v>
      </c>
    </row>
    <row r="22" customFormat="false" ht="15" hidden="false" customHeight="false" outlineLevel="0" collapsed="false">
      <c r="A22" s="45" t="s">
        <v>283</v>
      </c>
      <c r="B22" s="45" t="s">
        <v>284</v>
      </c>
      <c r="C22" s="58" t="n">
        <v>2</v>
      </c>
      <c r="D22" s="58" t="n">
        <v>3</v>
      </c>
      <c r="E22" s="58" t="n">
        <v>5</v>
      </c>
      <c r="F22" s="42" t="s">
        <v>46</v>
      </c>
    </row>
    <row r="23" customFormat="false" ht="15" hidden="false" customHeight="false" outlineLevel="0" collapsed="false">
      <c r="A23" s="44" t="s">
        <v>285</v>
      </c>
      <c r="B23" s="45" t="s">
        <v>217</v>
      </c>
      <c r="C23" s="46" t="n">
        <v>8192</v>
      </c>
      <c r="D23" s="46" t="n">
        <v>16384</v>
      </c>
      <c r="E23" s="46" t="n">
        <v>32768</v>
      </c>
      <c r="F23" s="42" t="s">
        <v>286</v>
      </c>
    </row>
    <row r="24" customFormat="false" ht="15" hidden="false" customHeight="false" outlineLevel="0" collapsed="false">
      <c r="A24" s="44" t="s">
        <v>287</v>
      </c>
      <c r="B24" s="45" t="s">
        <v>217</v>
      </c>
      <c r="C24" s="46" t="n">
        <v>1024</v>
      </c>
      <c r="D24" s="46" t="n">
        <v>2048</v>
      </c>
      <c r="E24" s="46" t="n">
        <v>4096</v>
      </c>
      <c r="F24" s="42" t="s">
        <v>46</v>
      </c>
    </row>
    <row r="25" customFormat="false" ht="15" hidden="false" customHeight="false" outlineLevel="0" collapsed="false">
      <c r="A25" s="45" t="s">
        <v>288</v>
      </c>
      <c r="B25" s="45" t="s">
        <v>217</v>
      </c>
      <c r="C25" s="56" t="n">
        <f aca="false">C23+C24/2</f>
        <v>8704</v>
      </c>
      <c r="D25" s="56" t="n">
        <f aca="false">D23+D24/2</f>
        <v>17408</v>
      </c>
      <c r="E25" s="56" t="n">
        <f aca="false">E23+E24/2</f>
        <v>34816</v>
      </c>
      <c r="F25" s="42" t="s">
        <v>218</v>
      </c>
    </row>
    <row r="26" customFormat="false" ht="15" hidden="false" customHeight="false" outlineLevel="0" collapsed="false">
      <c r="A26" s="45" t="s">
        <v>289</v>
      </c>
      <c r="B26" s="45" t="s">
        <v>217</v>
      </c>
      <c r="C26" s="56" t="n">
        <f aca="false">C23/2</f>
        <v>4096</v>
      </c>
      <c r="D26" s="56" t="n">
        <f aca="false">D23/2</f>
        <v>8192</v>
      </c>
      <c r="E26" s="56" t="n">
        <f aca="false">E23/2</f>
        <v>16384</v>
      </c>
      <c r="F26" s="42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1" t="s">
        <v>290</v>
      </c>
    </row>
    <row r="2" customFormat="false" ht="15" hidden="false" customHeight="false" outlineLevel="0" collapsed="false">
      <c r="A2" s="54" t="s">
        <v>291</v>
      </c>
    </row>
    <row r="4" customFormat="false" ht="30" hidden="false" customHeight="true" outlineLevel="0" collapsed="false">
      <c r="A4" s="9" t="s">
        <v>28</v>
      </c>
      <c r="B4" s="9" t="s">
        <v>29</v>
      </c>
      <c r="C4" s="64" t="s">
        <v>292</v>
      </c>
      <c r="D4" s="64" t="s">
        <v>293</v>
      </c>
      <c r="E4" s="64" t="s">
        <v>294</v>
      </c>
      <c r="F4" s="64" t="s">
        <v>295</v>
      </c>
      <c r="G4" s="65" t="s">
        <v>296</v>
      </c>
      <c r="H4" s="9" t="s">
        <v>247</v>
      </c>
    </row>
    <row r="5" customFormat="false" ht="15" hidden="false" customHeight="false" outlineLevel="0" collapsed="false">
      <c r="A5" s="44" t="s">
        <v>297</v>
      </c>
      <c r="B5" s="44" t="s">
        <v>298</v>
      </c>
      <c r="C5" s="46" t="n">
        <v>1</v>
      </c>
      <c r="D5" s="46" t="n">
        <v>1</v>
      </c>
      <c r="E5" s="46" t="n">
        <v>4</v>
      </c>
      <c r="F5" s="46" t="n">
        <v>4</v>
      </c>
      <c r="G5" s="46" t="n">
        <v>30</v>
      </c>
      <c r="H5" s="42" t="s">
        <v>46</v>
      </c>
    </row>
    <row r="6" customFormat="false" ht="15" hidden="false" customHeight="false" outlineLevel="0" collapsed="false">
      <c r="A6" s="44" t="s">
        <v>299</v>
      </c>
      <c r="B6" s="45" t="s">
        <v>217</v>
      </c>
      <c r="C6" s="46" t="n">
        <v>2000</v>
      </c>
      <c r="D6" s="46" t="n">
        <v>2000</v>
      </c>
      <c r="E6" s="46" t="n">
        <v>3000</v>
      </c>
      <c r="F6" s="46" t="n">
        <v>3000</v>
      </c>
      <c r="G6" s="46" t="n">
        <v>12000</v>
      </c>
      <c r="H6" s="42" t="s">
        <v>46</v>
      </c>
    </row>
    <row r="7" customFormat="false" ht="15" hidden="false" customHeight="false" outlineLevel="0" collapsed="false">
      <c r="A7" s="44" t="s">
        <v>300</v>
      </c>
      <c r="B7" s="45" t="s">
        <v>217</v>
      </c>
      <c r="C7" s="46" t="n">
        <v>500</v>
      </c>
      <c r="D7" s="46" t="n">
        <v>500</v>
      </c>
      <c r="E7" s="46" t="n">
        <v>1200</v>
      </c>
      <c r="F7" s="46" t="n">
        <v>1200</v>
      </c>
      <c r="G7" s="46" t="n">
        <v>2000</v>
      </c>
      <c r="H7" s="42" t="s">
        <v>46</v>
      </c>
    </row>
    <row r="8" customFormat="false" ht="15" hidden="false" customHeight="false" outlineLevel="0" collapsed="false">
      <c r="A8" s="44" t="s">
        <v>301</v>
      </c>
      <c r="B8" s="45" t="s">
        <v>217</v>
      </c>
      <c r="C8" s="46" t="n">
        <v>0</v>
      </c>
      <c r="D8" s="46" t="n">
        <v>3000</v>
      </c>
      <c r="E8" s="46" t="n">
        <v>400</v>
      </c>
      <c r="F8" s="46" t="n">
        <v>400</v>
      </c>
      <c r="G8" s="46" t="n">
        <v>600</v>
      </c>
      <c r="H8" s="42" t="s">
        <v>302</v>
      </c>
    </row>
    <row r="9" customFormat="false" ht="15" hidden="false" customHeight="false" outlineLevel="0" collapsed="false">
      <c r="A9" s="44" t="s">
        <v>303</v>
      </c>
      <c r="B9" s="45" t="s">
        <v>217</v>
      </c>
      <c r="C9" s="46" t="n">
        <v>500</v>
      </c>
      <c r="D9" s="46" t="n">
        <v>700</v>
      </c>
      <c r="E9" s="46" t="n">
        <v>200</v>
      </c>
      <c r="F9" s="46" t="n">
        <v>200</v>
      </c>
      <c r="G9" s="46" t="n">
        <v>400</v>
      </c>
      <c r="H9" s="42" t="s">
        <v>46</v>
      </c>
    </row>
    <row r="10" customFormat="false" ht="15" hidden="false" customHeight="false" outlineLevel="0" collapsed="false">
      <c r="A10" s="44" t="s">
        <v>304</v>
      </c>
      <c r="B10" s="45" t="s">
        <v>45</v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0</v>
      </c>
      <c r="H10" s="42" t="s">
        <v>305</v>
      </c>
    </row>
    <row r="11" customFormat="false" ht="15" hidden="false" customHeight="false" outlineLevel="0" collapsed="false">
      <c r="A11" s="44" t="s">
        <v>306</v>
      </c>
      <c r="B11" s="45" t="s">
        <v>45</v>
      </c>
      <c r="C11" s="47" t="n">
        <v>0.5</v>
      </c>
      <c r="D11" s="47" t="n">
        <v>0.5</v>
      </c>
      <c r="E11" s="47" t="n">
        <v>0.9</v>
      </c>
      <c r="F11" s="47" t="n">
        <v>0.9</v>
      </c>
      <c r="G11" s="47" t="n">
        <v>0.9</v>
      </c>
      <c r="H11" s="42" t="s">
        <v>307</v>
      </c>
    </row>
    <row r="12" customFormat="false" ht="15" hidden="false" customHeight="false" outlineLevel="0" collapsed="false">
      <c r="A12" s="44" t="s">
        <v>308</v>
      </c>
      <c r="B12" s="44" t="s">
        <v>309</v>
      </c>
      <c r="C12" s="48" t="n">
        <v>0</v>
      </c>
      <c r="D12" s="48" t="n">
        <v>0</v>
      </c>
      <c r="E12" s="48" t="n">
        <v>0</v>
      </c>
      <c r="F12" s="48" t="n">
        <v>3</v>
      </c>
      <c r="G12" s="48" t="n">
        <v>0</v>
      </c>
      <c r="H12" s="42" t="s">
        <v>310</v>
      </c>
    </row>
    <row r="13" customFormat="false" ht="15" hidden="false" customHeight="false" outlineLevel="0" collapsed="false">
      <c r="A13" s="45" t="s">
        <v>311</v>
      </c>
      <c r="B13" s="45" t="s">
        <v>49</v>
      </c>
      <c r="C13" s="59" t="n">
        <v>1</v>
      </c>
      <c r="D13" s="59" t="n">
        <v>1</v>
      </c>
      <c r="E13" s="59" t="n">
        <v>1</v>
      </c>
      <c r="F13" s="59" t="n">
        <v>1</v>
      </c>
      <c r="G13" s="59" t="n">
        <v>1</v>
      </c>
      <c r="H13" s="54" t="s">
        <v>312</v>
      </c>
    </row>
    <row r="15" customFormat="false" ht="15" hidden="false" customHeight="false" outlineLevel="0" collapsed="false">
      <c r="A15" s="49" t="s">
        <v>313</v>
      </c>
      <c r="B15" s="50"/>
      <c r="C15" s="50"/>
      <c r="D15" s="50"/>
      <c r="E15" s="50"/>
      <c r="F15" s="50"/>
      <c r="G15" s="50"/>
      <c r="H15" s="50"/>
    </row>
    <row r="16" customFormat="false" ht="15" hidden="false" customHeight="false" outlineLevel="0" collapsed="false">
      <c r="A16" s="44" t="s">
        <v>314</v>
      </c>
      <c r="B16" s="45" t="s">
        <v>217</v>
      </c>
      <c r="C16" s="56" t="n">
        <f aca="false">C7+C9+C10*C8</f>
        <v>1000</v>
      </c>
      <c r="D16" s="56" t="n">
        <f aca="false">D7+D9+D10*D8</f>
        <v>1200</v>
      </c>
      <c r="E16" s="56" t="n">
        <f aca="false">E7+E9+E10*E8</f>
        <v>1400</v>
      </c>
      <c r="F16" s="56" t="n">
        <f aca="false">F7+F9+F10*F8</f>
        <v>1400</v>
      </c>
      <c r="G16" s="56" t="n">
        <f aca="false">G7+G9+G10*G8</f>
        <v>2400</v>
      </c>
    </row>
    <row r="17" customFormat="false" ht="15" hidden="false" customHeight="false" outlineLevel="0" collapsed="false">
      <c r="A17" s="44" t="s">
        <v>315</v>
      </c>
      <c r="B17" s="45" t="s">
        <v>217</v>
      </c>
      <c r="C17" s="56" t="n">
        <f aca="false">C5*(C6+C7)+C16*C5*(C5-1)/2</f>
        <v>2500</v>
      </c>
      <c r="D17" s="56" t="n">
        <f aca="false">D5*(D6+D7)+D16*D5*(D5-1)/2</f>
        <v>2500</v>
      </c>
      <c r="E17" s="56" t="n">
        <f aca="false">E5*(E6+E7)+E16*E5*(E5-1)/2</f>
        <v>25200</v>
      </c>
      <c r="F17" s="56" t="n">
        <f aca="false">F5*(F6+F7)+F16*F5*(F5-1)/2</f>
        <v>25200</v>
      </c>
      <c r="G17" s="56" t="n">
        <f aca="false">G5*(G6+G7)+G16*G5*(G5-1)/2</f>
        <v>1464000</v>
      </c>
    </row>
    <row r="18" customFormat="false" ht="15" hidden="false" customHeight="false" outlineLevel="0" collapsed="false">
      <c r="A18" s="44" t="s">
        <v>316</v>
      </c>
      <c r="B18" s="45" t="s">
        <v>217</v>
      </c>
      <c r="C18" s="56" t="n">
        <f aca="false">C11*(C5*C6+C16*C5*(C5-1)/2)</f>
        <v>1000</v>
      </c>
      <c r="D18" s="56" t="n">
        <f aca="false">D11*(D5*D6+D16*D5*(D5-1)/2)</f>
        <v>1000</v>
      </c>
      <c r="E18" s="56" t="n">
        <f aca="false">E11*(E5*E6+E16*E5*(E5-1)/2)</f>
        <v>18360</v>
      </c>
      <c r="F18" s="56" t="n">
        <f aca="false">F11*(F5*F6+F16*F5*(F5-1)/2)</f>
        <v>18360</v>
      </c>
      <c r="G18" s="56" t="n">
        <f aca="false">G11*(G5*G6+G16*G5*(G5-1)/2)</f>
        <v>1263600</v>
      </c>
    </row>
    <row r="19" customFormat="false" ht="15" hidden="false" customHeight="false" outlineLevel="0" collapsed="false">
      <c r="A19" s="44" t="s">
        <v>317</v>
      </c>
      <c r="B19" s="45" t="s">
        <v>217</v>
      </c>
      <c r="C19" s="56" t="n">
        <f aca="false">C17-C18</f>
        <v>1500</v>
      </c>
      <c r="D19" s="56" t="n">
        <f aca="false">D17-D18</f>
        <v>1500</v>
      </c>
      <c r="E19" s="56" t="n">
        <f aca="false">E17-E18</f>
        <v>6840</v>
      </c>
      <c r="F19" s="56" t="n">
        <f aca="false">F17-F18</f>
        <v>6840</v>
      </c>
      <c r="G19" s="56" t="n">
        <f aca="false">G17-G18</f>
        <v>200400</v>
      </c>
    </row>
    <row r="20" customFormat="false" ht="15" hidden="false" customHeight="false" outlineLevel="0" collapsed="false">
      <c r="A20" s="44" t="s">
        <v>318</v>
      </c>
      <c r="B20" s="45" t="s">
        <v>217</v>
      </c>
      <c r="C20" s="56" t="n">
        <f aca="false">C5*(C8+C9)</f>
        <v>500</v>
      </c>
      <c r="D20" s="56" t="n">
        <f aca="false">D5*(D8+D9)</f>
        <v>3700</v>
      </c>
      <c r="E20" s="56" t="n">
        <f aca="false">E5*(E8+E9)</f>
        <v>2400</v>
      </c>
      <c r="F20" s="56" t="n">
        <f aca="false">F5*(F8+F9)</f>
        <v>2400</v>
      </c>
      <c r="G20" s="56" t="n">
        <f aca="false">G5*(G8+G9)</f>
        <v>30000</v>
      </c>
    </row>
    <row r="21" customFormat="false" ht="15" hidden="false" customHeight="false" outlineLevel="0" collapsed="false">
      <c r="A21" s="44" t="s">
        <v>319</v>
      </c>
      <c r="B21" s="45" t="s">
        <v>49</v>
      </c>
      <c r="C21" s="57" t="n">
        <f aca="false">(1+C12)*C13</f>
        <v>1</v>
      </c>
      <c r="D21" s="57" t="n">
        <f aca="false">(1+D12)*D13</f>
        <v>1</v>
      </c>
      <c r="E21" s="57" t="n">
        <f aca="false">(1+E12)*E13</f>
        <v>1</v>
      </c>
      <c r="F21" s="57" t="n">
        <f aca="false">(1+F12)*F13</f>
        <v>4</v>
      </c>
      <c r="G21" s="57" t="n">
        <f aca="false">(1+G12)*G13</f>
        <v>1</v>
      </c>
    </row>
    <row r="22" customFormat="false" ht="15" hidden="false" customHeight="false" outlineLevel="0" collapsed="false">
      <c r="A22" s="44" t="s">
        <v>320</v>
      </c>
      <c r="B22" s="45" t="s">
        <v>217</v>
      </c>
      <c r="C22" s="56" t="n">
        <f aca="false">C19*C21</f>
        <v>1500</v>
      </c>
      <c r="D22" s="56" t="n">
        <f aca="false">D19*D21</f>
        <v>1500</v>
      </c>
      <c r="E22" s="56" t="n">
        <f aca="false">E19*E21</f>
        <v>6840</v>
      </c>
      <c r="F22" s="56" t="n">
        <f aca="false">F19*F21</f>
        <v>27360</v>
      </c>
      <c r="G22" s="56" t="n">
        <f aca="false">G19*G21</f>
        <v>200400</v>
      </c>
    </row>
    <row r="23" customFormat="false" ht="15" hidden="false" customHeight="false" outlineLevel="0" collapsed="false">
      <c r="A23" s="44" t="s">
        <v>321</v>
      </c>
      <c r="B23" s="45" t="s">
        <v>217</v>
      </c>
      <c r="C23" s="56" t="n">
        <f aca="false">C18*C21</f>
        <v>1000</v>
      </c>
      <c r="D23" s="56" t="n">
        <f aca="false">D18*D21</f>
        <v>1000</v>
      </c>
      <c r="E23" s="56" t="n">
        <f aca="false">E18*E21</f>
        <v>18360</v>
      </c>
      <c r="F23" s="56" t="n">
        <f aca="false">F18*F21</f>
        <v>73440</v>
      </c>
      <c r="G23" s="56" t="n">
        <f aca="false">G18*G21</f>
        <v>1263600</v>
      </c>
    </row>
    <row r="24" customFormat="false" ht="15" hidden="false" customHeight="false" outlineLevel="0" collapsed="false">
      <c r="A24" s="44" t="s">
        <v>322</v>
      </c>
      <c r="B24" s="45" t="s">
        <v>217</v>
      </c>
      <c r="C24" s="56" t="n">
        <f aca="false">C20*C21</f>
        <v>500</v>
      </c>
      <c r="D24" s="56" t="n">
        <f aca="false">D20*D21</f>
        <v>3700</v>
      </c>
      <c r="E24" s="56" t="n">
        <f aca="false">E20*E21</f>
        <v>2400</v>
      </c>
      <c r="F24" s="56" t="n">
        <f aca="false">F20*F21</f>
        <v>9600</v>
      </c>
      <c r="G24" s="56" t="n">
        <f aca="false">G20*G21</f>
        <v>30000</v>
      </c>
    </row>
    <row r="25" customFormat="false" ht="15" hidden="false" customHeight="false" outlineLevel="0" collapsed="false">
      <c r="A25" s="44" t="s">
        <v>323</v>
      </c>
      <c r="B25" s="45" t="s">
        <v>217</v>
      </c>
      <c r="C25" s="51" t="n">
        <f aca="false">C22+C23+C24</f>
        <v>3000</v>
      </c>
      <c r="D25" s="51" t="n">
        <f aca="false">D22+D23+D24</f>
        <v>6200</v>
      </c>
      <c r="E25" s="51" t="n">
        <f aca="false">E22+E23+E24</f>
        <v>27600</v>
      </c>
      <c r="F25" s="51" t="n">
        <f aca="false">F22+F23+F24</f>
        <v>110400</v>
      </c>
      <c r="G25" s="51" t="n">
        <f aca="false">G22+G23+G24</f>
        <v>1494000</v>
      </c>
    </row>
    <row r="26" customFormat="false" ht="26.85" hidden="false" customHeight="false" outlineLevel="0" collapsed="false">
      <c r="A26" s="45" t="s">
        <v>288</v>
      </c>
      <c r="B26" s="45" t="s">
        <v>217</v>
      </c>
      <c r="C26" s="56" t="n">
        <f aca="false">C6+C7+(C5-1)/2*C16+(C8+C9)/2</f>
        <v>2750</v>
      </c>
      <c r="D26" s="56" t="n">
        <f aca="false">D6+D7+(D5-1)/2*D16+(D8+D9)/2</f>
        <v>4350</v>
      </c>
      <c r="E26" s="56" t="n">
        <f aca="false">E6+E7+(E5-1)/2*E16+(E8+E9)/2</f>
        <v>6600</v>
      </c>
      <c r="F26" s="56" t="n">
        <f aca="false">F6+F7+(F5-1)/2*F16+(F8+F9)/2</f>
        <v>6600</v>
      </c>
      <c r="G26" s="56" t="n">
        <f aca="false">G6+G7+(G5-1)/2*G16+(G8+G9)/2</f>
        <v>49300</v>
      </c>
      <c r="H26" s="66" t="s">
        <v>324</v>
      </c>
    </row>
    <row r="27" customFormat="false" ht="15" hidden="false" customHeight="false" outlineLevel="0" collapsed="false">
      <c r="A27" s="44" t="s">
        <v>325</v>
      </c>
      <c r="B27" s="45" t="s">
        <v>45</v>
      </c>
      <c r="C27" s="67" t="n">
        <f aca="false">IF(C8+C9&gt;0,C8/(C8+C9),0)</f>
        <v>0</v>
      </c>
      <c r="D27" s="67" t="n">
        <f aca="false">IF(D8+D9&gt;0,D8/(D8+D9),0)</f>
        <v>0.810810810810811</v>
      </c>
      <c r="E27" s="67" t="n">
        <f aca="false">IF(E8+E9&gt;0,E8/(E8+E9),0)</f>
        <v>0.666666666666667</v>
      </c>
      <c r="F27" s="67" t="n">
        <f aca="false">IF(F8+F9&gt;0,F8/(F8+F9),0)</f>
        <v>0.666666666666667</v>
      </c>
      <c r="G27" s="67" t="n">
        <f aca="false">IF(G8+G9&gt;0,G8/(G8+G9),0)</f>
        <v>0.6</v>
      </c>
    </row>
    <row r="28" customFormat="false" ht="15" hidden="false" customHeight="false" outlineLevel="0" collapsed="false">
      <c r="A28" s="44" t="s">
        <v>326</v>
      </c>
      <c r="B28" s="45" t="s">
        <v>49</v>
      </c>
      <c r="C28" s="68" t="n">
        <f aca="false">C25/$C$25</f>
        <v>1</v>
      </c>
      <c r="D28" s="68" t="n">
        <f aca="false">D25/$C$25</f>
        <v>2.06666666666667</v>
      </c>
      <c r="E28" s="68" t="n">
        <f aca="false">E25/$C$25</f>
        <v>9.2</v>
      </c>
      <c r="F28" s="68" t="n">
        <f aca="false">F25/$C$25</f>
        <v>36.8</v>
      </c>
      <c r="G28" s="68" t="n">
        <f aca="false">G25/$C$25</f>
        <v>498</v>
      </c>
    </row>
    <row r="29" customFormat="false" ht="15" hidden="false" customHeight="false" outlineLevel="0" collapsed="false">
      <c r="A29" s="44" t="s">
        <v>327</v>
      </c>
      <c r="B29" s="45" t="s">
        <v>49</v>
      </c>
      <c r="C29" s="69" t="n">
        <f aca="false">C25/$D$25</f>
        <v>0.483870967741936</v>
      </c>
      <c r="D29" s="69" t="n">
        <f aca="false">D25/$D$25</f>
        <v>1</v>
      </c>
      <c r="E29" s="69" t="n">
        <f aca="false">E25/$D$25</f>
        <v>4.45161290322581</v>
      </c>
      <c r="F29" s="69" t="n">
        <f aca="false">F25/$D$25</f>
        <v>17.8064516129032</v>
      </c>
      <c r="G29" s="69" t="n">
        <f aca="false">G25/$D$25</f>
        <v>240.967741935484</v>
      </c>
    </row>
    <row r="30" customFormat="false" ht="26.85" hidden="false" customHeight="false" outlineLevel="0" collapsed="false">
      <c r="A30" s="44" t="s">
        <v>328</v>
      </c>
      <c r="B30" s="45" t="s">
        <v>49</v>
      </c>
      <c r="C30" s="48" t="n">
        <v>1</v>
      </c>
      <c r="E30" s="48" t="n">
        <v>4</v>
      </c>
      <c r="F30" s="48" t="n">
        <v>15</v>
      </c>
      <c r="H30" s="66" t="s">
        <v>329</v>
      </c>
    </row>
    <row r="32" customFormat="false" ht="15" hidden="false" customHeight="false" outlineLevel="0" collapsed="false">
      <c r="A32" s="49" t="s">
        <v>330</v>
      </c>
      <c r="B32" s="50"/>
      <c r="C32" s="50"/>
      <c r="D32" s="50"/>
      <c r="E32" s="50"/>
      <c r="F32" s="50"/>
      <c r="G32" s="50"/>
      <c r="H32" s="50"/>
    </row>
    <row r="33" customFormat="false" ht="15" hidden="false" customHeight="false" outlineLevel="0" collapsed="false">
      <c r="A33" s="45" t="s">
        <v>331</v>
      </c>
      <c r="B33" s="45" t="s">
        <v>332</v>
      </c>
      <c r="C33" s="70" t="n">
        <f aca="false">IF(ISNUMBER(Unit_Cost!M21),(C22*Unit_Cost!M19+C23*Unit_Cost!M20+C24*Unit_Cost!M21)/1000000,"SLO 不可達")</f>
        <v>9.55395562419049E-005</v>
      </c>
      <c r="D33" s="70" t="n">
        <f aca="false">IF(ISNUMBER(Unit_Cost!M21),(D22*Unit_Cost!M19+D23*Unit_Cost!M20+D24*Unit_Cost!M21)/1000000,"SLO 不可達")</f>
        <v>0.000630748313732041</v>
      </c>
      <c r="E33" s="70" t="n">
        <f aca="false">IF(ISNUMBER(Unit_Cost!M21),(E22*Unit_Cost!M19+E23*Unit_Cost!M20+E24*Unit_Cost!M21)/1000000,"SLO 不可達")</f>
        <v>0.000456572963869645</v>
      </c>
      <c r="F33" s="70" t="n">
        <f aca="false">IF(ISNUMBER(Unit_Cost!M21),(F22*Unit_Cost!M19+F23*Unit_Cost!M20+F24*Unit_Cost!M21)/1000000,"SLO 不可達")</f>
        <v>0.00182629185547858</v>
      </c>
      <c r="G33" s="70" t="n">
        <f aca="false">IF(ISNUMBER(Unit_Cost!M21),(G22*Unit_Cost!M19+G23*Unit_Cost!M20+G24*Unit_Cost!M21)/1000000,"SLO 不可達")</f>
        <v>0.00667815158762013</v>
      </c>
    </row>
    <row r="34" customFormat="false" ht="15" hidden="false" customHeight="false" outlineLevel="0" collapsed="false">
      <c r="A34" s="45" t="s">
        <v>333</v>
      </c>
      <c r="B34" s="45" t="s">
        <v>332</v>
      </c>
      <c r="C34" s="71" t="n">
        <f aca="false">IF(ISNUMBER(Unit_Cost!M34),(C22*Unit_Cost!M32+C23*Unit_Cost!M33+C24*Unit_Cost!M34)/1000000,"SLO 不可達")</f>
        <v>0.000310485150780053</v>
      </c>
      <c r="D34" s="71" t="n">
        <f aca="false">IF(ISNUMBER(Unit_Cost!M34),(D22*Unit_Cost!M32+D23*Unit_Cost!M33+D24*Unit_Cost!M34)/1000000,"SLO 不可達")</f>
        <v>0.00203088886985243</v>
      </c>
      <c r="E34" s="71" t="n">
        <f aca="false">IF(ISNUMBER(Unit_Cost!M34),(E22*Unit_Cost!M32+E23*Unit_Cost!M33+E24*Unit_Cost!M34)/1000000,"SLO 不可達")</f>
        <v>0.0014815222595581</v>
      </c>
      <c r="F34" s="71" t="n">
        <f aca="false">IF(ISNUMBER(Unit_Cost!M34),(F22*Unit_Cost!M32+F23*Unit_Cost!M33+F24*Unit_Cost!M34)/1000000,"SLO 不可達")</f>
        <v>0.0059260890382324</v>
      </c>
      <c r="G34" s="71" t="n">
        <f aca="false">IF(ISNUMBER(Unit_Cost!M34),(G22*Unit_Cost!M32+G23*Unit_Cost!M33+G24*Unit_Cost!M34)/1000000,"SLO 不可達")</f>
        <v>0.0217940111115137</v>
      </c>
    </row>
    <row r="35" customFormat="false" ht="15" hidden="false" customHeight="false" outlineLevel="0" collapsed="false">
      <c r="A35" s="45" t="s">
        <v>334</v>
      </c>
      <c r="B35" s="45" t="s">
        <v>332</v>
      </c>
      <c r="C35" s="70" t="n">
        <f aca="false">IF(ISNUMBER(Unit_Cost!M47),(C22*Unit_Cost!M45+C23*Unit_Cost!M46+C24*Unit_Cost!M47)/1000000,"SLO 不可達")</f>
        <v>0.00152256700312965</v>
      </c>
      <c r="D35" s="70" t="n">
        <f aca="false">IF(ISNUMBER(Unit_Cost!M47),(D22*Unit_Cost!M45+D23*Unit_Cost!M46+D24*Unit_Cost!M47)/1000000,"SLO 不可達")</f>
        <v>0.0103794318701725</v>
      </c>
      <c r="E35" s="70" t="n">
        <f aca="false">IF(ISNUMBER(Unit_Cost!M47),(E22*Unit_Cost!M45+E23*Unit_Cost!M46+E24*Unit_Cost!M47)/1000000,"SLO 不可達")</f>
        <v>0.00729239543313206</v>
      </c>
      <c r="F35" s="70" t="n">
        <f aca="false">IF(ISNUMBER(Unit_Cost!M47),(F22*Unit_Cost!M45+F23*Unit_Cost!M46+F24*Unit_Cost!M47)/1000000,"SLO 不可達")</f>
        <v>0.0291695817325282</v>
      </c>
      <c r="G35" s="70" t="n">
        <f aca="false">IF(ISNUMBER(Unit_Cost!M47),(G22*Unit_Cost!M45+G23*Unit_Cost!M46+G24*Unit_Cost!M47)/1000000,"SLO 不可達")</f>
        <v>0.102982305427695</v>
      </c>
    </row>
    <row r="36" customFormat="false" ht="15" hidden="false" customHeight="false" outlineLevel="0" collapsed="false">
      <c r="A36" s="45" t="s">
        <v>335</v>
      </c>
      <c r="B36" s="45" t="s">
        <v>332</v>
      </c>
      <c r="C36" s="70" t="n">
        <f aca="false">IF(ISNUMBER(Unit_Cost!J21),(C22*Unit_Cost!J19+C23*Unit_Cost!J20+C24*Unit_Cost!J21)/1000000,"SLO 不可達")</f>
        <v>0.000149289975484186</v>
      </c>
      <c r="D36" s="70" t="n">
        <f aca="false">IF(ISNUMBER(Unit_Cost!J21),(D22*Unit_Cost!J19+D23*Unit_Cost!J20+D24*Unit_Cost!J21)/1000000,"SLO 不可達")</f>
        <v>0.0009923933157636</v>
      </c>
      <c r="E36" s="70" t="n">
        <f aca="false">IF(ISNUMBER(Unit_Cost!J21),(E22*Unit_Cost!J19+E23*Unit_Cost!J20+E24*Unit_Cost!J21)/1000000,"SLO 不可達")</f>
        <v>0.000712912141984002</v>
      </c>
      <c r="F36" s="70" t="n">
        <f aca="false">IF(ISNUMBER(Unit_Cost!J21),(F22*Unit_Cost!J19+F23*Unit_Cost!J20+F24*Unit_Cost!J21)/1000000,"SLO 不可達")</f>
        <v>0.00285164856793601</v>
      </c>
      <c r="G36" s="70" t="n">
        <f aca="false">IF(ISNUMBER(Unit_Cost!J21),(G22*Unit_Cost!J19+G23*Unit_Cost!J20+G24*Unit_Cost!J21)/1000000,"SLO 不可達")</f>
        <v>0.0102931356971745</v>
      </c>
    </row>
    <row r="37" customFormat="false" ht="15" hidden="false" customHeight="false" outlineLevel="0" collapsed="false">
      <c r="A37" s="45" t="s">
        <v>336</v>
      </c>
      <c r="B37" s="45" t="s">
        <v>332</v>
      </c>
      <c r="C37" s="71" t="n">
        <f aca="false">IF(ISNUMBER(Unit_Cost!J34),(C22*Unit_Cost!J32+C23*Unit_Cost!J33+C24*Unit_Cost!J34)/1000000,"SLO 不可達")</f>
        <v>0.000525667533609701</v>
      </c>
      <c r="D37" s="71" t="n">
        <f aca="false">IF(ISNUMBER(Unit_Cost!J34),(D22*Unit_Cost!J32+D23*Unit_Cost!J33+D24*Unit_Cost!J34)/1000000,"SLO 不可達")</f>
        <v>0.00349624721584974</v>
      </c>
      <c r="E37" s="71" t="n">
        <f aca="false">IF(ISNUMBER(Unit_Cost!J34),(E22*Unit_Cost!J32+E23*Unit_Cost!J33+E24*Unit_Cost!J34)/1000000,"SLO 不可達")</f>
        <v>0.00250919748644781</v>
      </c>
      <c r="F37" s="71" t="n">
        <f aca="false">IF(ISNUMBER(Unit_Cost!J34),(F22*Unit_Cost!J32+F23*Unit_Cost!J33+F24*Unit_Cost!J34)/1000000,"SLO 不可達")</f>
        <v>0.0100367899457913</v>
      </c>
      <c r="G37" s="71" t="n">
        <f aca="false">IF(ISNUMBER(Unit_Cost!J34),(G22*Unit_Cost!J32+G23*Unit_Cost!J33+G24*Unit_Cost!J34)/1000000,"SLO 不可達")</f>
        <v>0.0361294855986289</v>
      </c>
    </row>
    <row r="38" customFormat="false" ht="15" hidden="false" customHeight="false" outlineLevel="0" collapsed="false">
      <c r="A38" s="45" t="s">
        <v>337</v>
      </c>
      <c r="B38" s="45" t="s">
        <v>332</v>
      </c>
      <c r="C38" s="70" t="n">
        <f aca="false">IF(ISNUMBER(Unit_Cost!J47),(C22*Unit_Cost!J45+C23*Unit_Cost!J46+C24*Unit_Cost!J47)/1000000,"SLO 不可達")</f>
        <v>0.00355817248424819</v>
      </c>
      <c r="D38" s="70" t="n">
        <f aca="false">IF(ISNUMBER(Unit_Cost!J47),(D22*Unit_Cost!J45+D23*Unit_Cost!J46+D24*Unit_Cost!J47)/1000000,"SLO 不可達")</f>
        <v>0.0250255347788165</v>
      </c>
      <c r="E38" s="70" t="n">
        <f aca="false">IF(ISNUMBER(Unit_Cost!J47),(E22*Unit_Cost!J45+E23*Unit_Cost!J46+E24*Unit_Cost!J47)/1000000,"SLO 不可達")</f>
        <v>0.0170412866616244</v>
      </c>
      <c r="F38" s="70" t="n">
        <f aca="false">IF(ISNUMBER(Unit_Cost!J47),(F22*Unit_Cost!J45+F23*Unit_Cost!J46+F24*Unit_Cost!J47)/1000000,"SLO 不可達")</f>
        <v>0.0681651466464974</v>
      </c>
      <c r="G38" s="70" t="n">
        <f aca="false">IF(ISNUMBER(Unit_Cost!J47),(G22*Unit_Cost!J45+G23*Unit_Cost!J46+G24*Unit_Cost!J47)/1000000,"SLO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1" t="s">
        <v>338</v>
      </c>
    </row>
    <row r="2" customFormat="false" ht="15" hidden="false" customHeight="false" outlineLevel="0" collapsed="false">
      <c r="A2" s="54" t="s">
        <v>339</v>
      </c>
    </row>
    <row r="4" customFormat="false" ht="15" hidden="false" customHeight="false" outlineLevel="0" collapsed="false">
      <c r="A4" s="72" t="s">
        <v>340</v>
      </c>
      <c r="B4" s="50"/>
      <c r="C4" s="50"/>
      <c r="D4" s="50"/>
      <c r="E4" s="50"/>
      <c r="F4" s="50"/>
      <c r="G4" s="50"/>
      <c r="H4" s="50"/>
      <c r="I4" s="50"/>
      <c r="J4" s="50"/>
    </row>
    <row r="5" customFormat="false" ht="15" hidden="false" customHeight="false" outlineLevel="0" collapsed="false">
      <c r="A5" s="45" t="s">
        <v>341</v>
      </c>
      <c r="B5" s="45" t="s">
        <v>45</v>
      </c>
      <c r="C5" s="47" t="n">
        <v>0.3</v>
      </c>
      <c r="J5" s="42" t="s">
        <v>342</v>
      </c>
    </row>
    <row r="7" customFormat="false" ht="15" hidden="false" customHeight="false" outlineLevel="0" collapsed="false">
      <c r="A7" s="72" t="s">
        <v>343</v>
      </c>
      <c r="B7" s="50"/>
      <c r="C7" s="50"/>
      <c r="D7" s="50"/>
      <c r="E7" s="50"/>
      <c r="F7" s="50"/>
      <c r="G7" s="50"/>
      <c r="H7" s="50"/>
      <c r="I7" s="50"/>
      <c r="J7" s="50"/>
    </row>
    <row r="8" customFormat="false" ht="15" hidden="false" customHeight="false" outlineLevel="0" collapsed="false">
      <c r="A8" s="9" t="s">
        <v>279</v>
      </c>
      <c r="B8" s="9" t="s">
        <v>29</v>
      </c>
    </row>
    <row r="9" customFormat="false" ht="15" hidden="false" customHeight="false" outlineLevel="0" collapsed="false">
      <c r="A9" s="44" t="s">
        <v>2</v>
      </c>
      <c r="B9" s="44"/>
      <c r="C9" s="9" t="s">
        <v>344</v>
      </c>
      <c r="D9" s="9" t="s">
        <v>345</v>
      </c>
      <c r="E9" s="9" t="s">
        <v>346</v>
      </c>
      <c r="F9" s="9" t="s">
        <v>347</v>
      </c>
      <c r="G9" s="9" t="s">
        <v>347</v>
      </c>
      <c r="H9" s="9" t="s">
        <v>348</v>
      </c>
      <c r="I9" s="9" t="s">
        <v>348</v>
      </c>
    </row>
    <row r="10" customFormat="false" ht="15" hidden="false" customHeight="false" outlineLevel="0" collapsed="false">
      <c r="A10" s="44" t="s">
        <v>349</v>
      </c>
      <c r="B10" s="44"/>
      <c r="C10" s="48" t="n">
        <v>3</v>
      </c>
      <c r="D10" s="48" t="n">
        <v>3</v>
      </c>
      <c r="E10" s="48" t="n">
        <v>3</v>
      </c>
      <c r="F10" s="48" t="n">
        <v>3</v>
      </c>
      <c r="G10" s="48" t="n">
        <v>2</v>
      </c>
      <c r="H10" s="48" t="n">
        <v>2</v>
      </c>
      <c r="I10" s="48" t="n">
        <v>3</v>
      </c>
    </row>
    <row r="11" customFormat="false" ht="15" hidden="false" customHeight="false" outlineLevel="0" collapsed="false">
      <c r="A11" s="44" t="s">
        <v>110</v>
      </c>
      <c r="B11" s="44"/>
      <c r="C11" s="73" t="str">
        <f aca="false">INDEX(Spec_Rack!$C$4:$G$4,C10)</f>
        <v>GB300 NVL72</v>
      </c>
      <c r="D11" s="73" t="str">
        <f aca="false">INDEX(Spec_Rack!$C$4:$G$4,D10)</f>
        <v>GB300 NVL72</v>
      </c>
      <c r="E11" s="73" t="str">
        <f aca="false">INDEX(Spec_Rack!$C$4:$G$4,E10)</f>
        <v>GB300 NVL72</v>
      </c>
      <c r="F11" s="73" t="str">
        <f aca="false">INDEX(Spec_Rack!$C$4:$G$4,F10)</f>
        <v>GB300 NVL72</v>
      </c>
      <c r="G11" s="73" t="str">
        <f aca="false">INDEX(Spec_Rack!$C$4:$G$4,G10)</f>
        <v>GB200 NVL72</v>
      </c>
      <c r="H11" s="73" t="str">
        <f aca="false">INDEX(Spec_Rack!$C$4:$G$4,H10)</f>
        <v>GB200 NVL72</v>
      </c>
      <c r="I11" s="73" t="str">
        <f aca="false">INDEX(Spec_Rack!$C$4:$G$4,I10)</f>
        <v>GB300 NVL72</v>
      </c>
    </row>
    <row r="12" customFormat="false" ht="30" hidden="false" customHeight="true" outlineLevel="0" collapsed="false">
      <c r="A12" s="44" t="s">
        <v>350</v>
      </c>
      <c r="B12" s="44"/>
      <c r="C12" s="66" t="s">
        <v>351</v>
      </c>
      <c r="D12" s="66" t="s">
        <v>351</v>
      </c>
      <c r="E12" s="66" t="s">
        <v>352</v>
      </c>
      <c r="F12" s="66" t="s">
        <v>353</v>
      </c>
      <c r="G12" s="66" t="s">
        <v>353</v>
      </c>
      <c r="H12" s="66" t="s">
        <v>354</v>
      </c>
      <c r="I12" s="66" t="s">
        <v>354</v>
      </c>
    </row>
    <row r="13" customFormat="false" ht="15" hidden="false" customHeight="false" outlineLevel="0" collapsed="false">
      <c r="A13" s="45" t="s">
        <v>355</v>
      </c>
      <c r="B13" s="44"/>
      <c r="C13" s="48" t="n">
        <v>1</v>
      </c>
      <c r="D13" s="48" t="n">
        <v>1</v>
      </c>
      <c r="E13" s="48" t="n">
        <v>1</v>
      </c>
      <c r="F13" s="48" t="n">
        <v>0</v>
      </c>
      <c r="G13" s="48" t="n">
        <v>0</v>
      </c>
      <c r="H13" s="48" t="n">
        <v>1</v>
      </c>
      <c r="I13" s="48" t="n">
        <v>1</v>
      </c>
    </row>
    <row r="14" customFormat="false" ht="15" hidden="false" customHeight="false" outlineLevel="0" collapsed="false">
      <c r="A14" s="44" t="s">
        <v>356</v>
      </c>
      <c r="B14" s="45" t="s">
        <v>281</v>
      </c>
      <c r="C14" s="46" t="n">
        <v>72</v>
      </c>
      <c r="D14" s="46" t="n">
        <v>130</v>
      </c>
      <c r="E14" s="46" t="n">
        <v>50</v>
      </c>
      <c r="F14" s="46" t="n">
        <v>27</v>
      </c>
      <c r="G14" s="46" t="n">
        <v>27</v>
      </c>
      <c r="H14" s="46" t="n">
        <v>110</v>
      </c>
      <c r="I14" s="46" t="n">
        <v>110</v>
      </c>
    </row>
    <row r="15" customFormat="false" ht="15" hidden="false" customHeight="false" outlineLevel="0" collapsed="false">
      <c r="A15" s="45" t="s">
        <v>357</v>
      </c>
      <c r="B15" s="45" t="s">
        <v>217</v>
      </c>
      <c r="C15" s="46" t="n">
        <v>8192</v>
      </c>
      <c r="D15" s="46" t="n">
        <v>8192</v>
      </c>
      <c r="E15" s="46" t="n">
        <v>8192</v>
      </c>
      <c r="F15" s="46" t="n">
        <v>8192</v>
      </c>
      <c r="G15" s="46" t="n">
        <v>8192</v>
      </c>
      <c r="H15" s="46" t="n">
        <v>8192</v>
      </c>
      <c r="I15" s="46" t="n">
        <v>8192</v>
      </c>
    </row>
    <row r="16" customFormat="false" ht="15" hidden="false" customHeight="false" outlineLevel="0" collapsed="false">
      <c r="A16" s="45" t="s">
        <v>358</v>
      </c>
      <c r="B16" s="45" t="s">
        <v>217</v>
      </c>
      <c r="C16" s="46" t="n">
        <v>1024</v>
      </c>
      <c r="D16" s="46" t="n">
        <v>1024</v>
      </c>
      <c r="E16" s="46" t="n">
        <v>1024</v>
      </c>
      <c r="F16" s="46" t="n">
        <v>1024</v>
      </c>
      <c r="G16" s="46" t="n">
        <v>1024</v>
      </c>
      <c r="H16" s="46" t="n">
        <v>1024</v>
      </c>
      <c r="I16" s="46" t="n">
        <v>1024</v>
      </c>
    </row>
    <row r="17" customFormat="false" ht="15" hidden="false" customHeight="false" outlineLevel="0" collapsed="false">
      <c r="A17" s="44" t="s">
        <v>359</v>
      </c>
      <c r="B17" s="45" t="s">
        <v>281</v>
      </c>
      <c r="C17" s="63" t="n">
        <v>9384.4</v>
      </c>
      <c r="D17" s="63" t="n">
        <v>3473.9</v>
      </c>
      <c r="E17" s="63" t="n">
        <v>11200</v>
      </c>
      <c r="F17" s="63" t="n">
        <v>6182</v>
      </c>
      <c r="G17" s="63" t="n">
        <v>2189</v>
      </c>
      <c r="H17" s="63" t="n">
        <v>3795.5</v>
      </c>
      <c r="I17" s="63" t="n">
        <v>6522.4</v>
      </c>
    </row>
    <row r="18" customFormat="false" ht="15" hidden="false" customHeight="false" outlineLevel="0" collapsed="false">
      <c r="A18" s="44" t="s">
        <v>360</v>
      </c>
      <c r="B18" s="44"/>
      <c r="C18" s="42" t="s">
        <v>361</v>
      </c>
      <c r="D18" s="42" t="s">
        <v>361</v>
      </c>
      <c r="E18" s="42" t="s">
        <v>362</v>
      </c>
      <c r="F18" s="42" t="s">
        <v>363</v>
      </c>
      <c r="G18" s="42" t="s">
        <v>363</v>
      </c>
      <c r="H18" s="42" t="s">
        <v>364</v>
      </c>
      <c r="I18" s="42" t="s">
        <v>364</v>
      </c>
    </row>
    <row r="19" customFormat="false" ht="26.85" hidden="false" customHeight="false" outlineLevel="0" collapsed="false">
      <c r="A19" s="44" t="s">
        <v>365</v>
      </c>
      <c r="B19" s="44"/>
      <c r="C19" s="66" t="s">
        <v>366</v>
      </c>
      <c r="D19" s="66" t="s">
        <v>366</v>
      </c>
      <c r="E19" s="66" t="s">
        <v>366</v>
      </c>
      <c r="F19" s="66" t="s">
        <v>366</v>
      </c>
      <c r="G19" s="66" t="s">
        <v>366</v>
      </c>
      <c r="H19" s="66" t="s">
        <v>366</v>
      </c>
      <c r="I19" s="66" t="s">
        <v>366</v>
      </c>
      <c r="J19" s="74" t="s">
        <v>367</v>
      </c>
    </row>
    <row r="20" customFormat="false" ht="15" hidden="false" customHeight="false" outlineLevel="0" collapsed="false">
      <c r="A20" s="72" t="s">
        <v>368</v>
      </c>
      <c r="B20" s="50"/>
      <c r="C20" s="50"/>
      <c r="D20" s="50"/>
      <c r="E20" s="50"/>
      <c r="F20" s="50"/>
      <c r="G20" s="50"/>
      <c r="H20" s="50"/>
      <c r="I20" s="50"/>
      <c r="J20" s="50"/>
    </row>
    <row r="21" customFormat="false" ht="15" hidden="false" customHeight="false" outlineLevel="0" collapsed="false">
      <c r="A21" s="44" t="s">
        <v>369</v>
      </c>
      <c r="B21" s="45" t="s">
        <v>370</v>
      </c>
      <c r="C21" s="75" t="n">
        <f aca="false">INDEX(Spec_Rack!$C$35:$G$35,C10)</f>
        <v>15</v>
      </c>
      <c r="D21" s="75" t="n">
        <f aca="false">INDEX(Spec_Rack!$C$35:$G$35,D10)</f>
        <v>15</v>
      </c>
      <c r="E21" s="75" t="n">
        <f aca="false">INDEX(Spec_Rack!$C$35:$G$35,E10)</f>
        <v>15</v>
      </c>
      <c r="F21" s="75" t="n">
        <f aca="false">INDEX(Spec_Rack!$C$35:$G$35,F10)</f>
        <v>15</v>
      </c>
      <c r="G21" s="75" t="n">
        <f aca="false">INDEX(Spec_Rack!$C$35:$G$35,G10)</f>
        <v>10</v>
      </c>
      <c r="H21" s="75" t="n">
        <f aca="false">INDEX(Spec_Rack!$C$35:$G$35,H10)</f>
        <v>10</v>
      </c>
      <c r="I21" s="75" t="n">
        <f aca="false">INDEX(Spec_Rack!$C$35:$G$35,I10)</f>
        <v>15</v>
      </c>
    </row>
    <row r="22" customFormat="false" ht="15" hidden="false" customHeight="false" outlineLevel="0" collapsed="false">
      <c r="A22" s="45" t="s">
        <v>371</v>
      </c>
      <c r="B22" s="45" t="s">
        <v>242</v>
      </c>
      <c r="C22" s="76" t="n">
        <f aca="false">INDEX(Spec_Rack!$C$25:$G$25,C10)</f>
        <v>288</v>
      </c>
      <c r="D22" s="76" t="n">
        <f aca="false">INDEX(Spec_Rack!$C$25:$G$25,D10)</f>
        <v>288</v>
      </c>
      <c r="E22" s="76" t="n">
        <f aca="false">INDEX(Spec_Rack!$C$25:$G$25,E10)</f>
        <v>288</v>
      </c>
      <c r="F22" s="76" t="n">
        <f aca="false">INDEX(Spec_Rack!$C$25:$G$25,F10)</f>
        <v>288</v>
      </c>
      <c r="G22" s="76" t="n">
        <f aca="false">INDEX(Spec_Rack!$C$25:$G$25,G10)</f>
        <v>186</v>
      </c>
      <c r="H22" s="76" t="n">
        <f aca="false">INDEX(Spec_Rack!$C$25:$G$25,H10)</f>
        <v>186</v>
      </c>
      <c r="I22" s="76" t="n">
        <f aca="false">INDEX(Spec_Rack!$C$25:$G$25,I10)</f>
        <v>288</v>
      </c>
    </row>
    <row r="23" customFormat="false" ht="15" hidden="false" customHeight="false" outlineLevel="0" collapsed="false">
      <c r="A23" s="45" t="s">
        <v>372</v>
      </c>
      <c r="B23" s="45" t="s">
        <v>373</v>
      </c>
      <c r="C23" s="77" t="n">
        <f aca="false">INDEX(Spec_Rack!$C$26:$G$26,C10)</f>
        <v>8</v>
      </c>
      <c r="D23" s="77" t="n">
        <f aca="false">INDEX(Spec_Rack!$C$26:$G$26,D10)</f>
        <v>8</v>
      </c>
      <c r="E23" s="77" t="n">
        <f aca="false">INDEX(Spec_Rack!$C$26:$G$26,E10)</f>
        <v>8</v>
      </c>
      <c r="F23" s="77" t="n">
        <f aca="false">INDEX(Spec_Rack!$C$26:$G$26,F10)</f>
        <v>8</v>
      </c>
      <c r="G23" s="77" t="n">
        <f aca="false">INDEX(Spec_Rack!$C$26:$G$26,G10)</f>
        <v>8</v>
      </c>
      <c r="H23" s="77" t="n">
        <f aca="false">INDEX(Spec_Rack!$C$26:$G$26,H10)</f>
        <v>8</v>
      </c>
      <c r="I23" s="77" t="n">
        <f aca="false">INDEX(Spec_Rack!$C$26:$G$26,I10)</f>
        <v>8</v>
      </c>
    </row>
    <row r="24" customFormat="false" ht="15" hidden="false" customHeight="false" outlineLevel="0" collapsed="false">
      <c r="A24" s="45" t="s">
        <v>374</v>
      </c>
      <c r="B24" s="45" t="s">
        <v>373</v>
      </c>
      <c r="C24" s="77" t="n">
        <f aca="false">INDEX(Spec_Rack!$C$27:$G$27,C10)</f>
        <v>0.9</v>
      </c>
      <c r="D24" s="77" t="n">
        <f aca="false">INDEX(Spec_Rack!$C$27:$G$27,D10)</f>
        <v>0.9</v>
      </c>
      <c r="E24" s="77" t="n">
        <f aca="false">INDEX(Spec_Rack!$C$27:$G$27,E10)</f>
        <v>0.9</v>
      </c>
      <c r="F24" s="77" t="n">
        <f aca="false">INDEX(Spec_Rack!$C$27:$G$27,F10)</f>
        <v>0.9</v>
      </c>
      <c r="G24" s="77" t="n">
        <f aca="false">INDEX(Spec_Rack!$C$27:$G$27,G10)</f>
        <v>0.9</v>
      </c>
      <c r="H24" s="77" t="n">
        <f aca="false">INDEX(Spec_Rack!$C$27:$G$27,H10)</f>
        <v>0.9</v>
      </c>
      <c r="I24" s="77" t="n">
        <f aca="false">INDEX(Spec_Rack!$C$27:$G$27,I10)</f>
        <v>0.9</v>
      </c>
    </row>
    <row r="25" customFormat="false" ht="15" hidden="false" customHeight="false" outlineLevel="0" collapsed="false">
      <c r="A25" s="45" t="s">
        <v>375</v>
      </c>
      <c r="B25" s="44"/>
      <c r="C25" s="76" t="n">
        <f aca="false">INDEX(Spec_Rack!$C$29:$G$29,C10)</f>
        <v>32</v>
      </c>
      <c r="D25" s="76" t="n">
        <f aca="false">INDEX(Spec_Rack!$C$29:$G$29,D10)</f>
        <v>32</v>
      </c>
      <c r="E25" s="76" t="n">
        <f aca="false">INDEX(Spec_Rack!$C$29:$G$29,E10)</f>
        <v>32</v>
      </c>
      <c r="F25" s="76" t="n">
        <f aca="false">INDEX(Spec_Rack!$C$29:$G$29,F10)</f>
        <v>32</v>
      </c>
      <c r="G25" s="76" t="n">
        <f aca="false">INDEX(Spec_Rack!$C$29:$G$29,G10)</f>
        <v>32</v>
      </c>
      <c r="H25" s="76" t="n">
        <f aca="false">INDEX(Spec_Rack!$C$29:$G$29,H10)</f>
        <v>32</v>
      </c>
      <c r="I25" s="76" t="n">
        <f aca="false">INDEX(Spec_Rack!$C$29:$G$29,I10)</f>
        <v>32</v>
      </c>
    </row>
    <row r="26" customFormat="false" ht="15" hidden="false" customHeight="false" outlineLevel="0" collapsed="false">
      <c r="A26" s="44" t="s">
        <v>376</v>
      </c>
      <c r="B26" s="45" t="s">
        <v>194</v>
      </c>
      <c r="C26" s="78" t="n">
        <f aca="false">INDEX(Spec_Rack!$C$30:$G$30,C10)</f>
        <v>0.5625</v>
      </c>
      <c r="D26" s="78" t="n">
        <f aca="false">INDEX(Spec_Rack!$C$30:$G$30,D10)</f>
        <v>0.5625</v>
      </c>
      <c r="E26" s="78" t="n">
        <f aca="false">INDEX(Spec_Rack!$C$30:$G$30,E10)</f>
        <v>0.5625</v>
      </c>
      <c r="F26" s="78" t="n">
        <f aca="false">INDEX(Spec_Rack!$C$30:$G$30,F10)</f>
        <v>0.5625</v>
      </c>
      <c r="G26" s="78" t="n">
        <f aca="false">INDEX(Spec_Rack!$C$30:$G$30,G10)</f>
        <v>0.5625</v>
      </c>
      <c r="H26" s="78" t="n">
        <f aca="false">INDEX(Spec_Rack!$C$30:$G$30,H10)</f>
        <v>0.5625</v>
      </c>
      <c r="I26" s="78" t="n">
        <f aca="false">INDEX(Spec_Rack!$C$30:$G$30,I10)</f>
        <v>0.5625</v>
      </c>
    </row>
    <row r="27" customFormat="false" ht="15" hidden="false" customHeight="false" outlineLevel="0" collapsed="false">
      <c r="A27" s="44" t="s">
        <v>377</v>
      </c>
      <c r="B27" s="45" t="s">
        <v>194</v>
      </c>
      <c r="C27" s="79" t="n">
        <f aca="false">INDEX(Spec_Rack!$C$31:$G$31,C10)</f>
        <v>1</v>
      </c>
      <c r="D27" s="79" t="n">
        <f aca="false">INDEX(Spec_Rack!$C$31:$G$31,D10)</f>
        <v>1</v>
      </c>
      <c r="E27" s="79" t="n">
        <f aca="false">INDEX(Spec_Rack!$C$31:$G$31,E10)</f>
        <v>1</v>
      </c>
      <c r="F27" s="79" t="n">
        <f aca="false">INDEX(Spec_Rack!$C$31:$G$31,F10)</f>
        <v>1</v>
      </c>
      <c r="G27" s="79" t="n">
        <f aca="false">INDEX(Spec_Rack!$C$31:$G$31,G10)</f>
        <v>1</v>
      </c>
      <c r="H27" s="79" t="n">
        <f aca="false">INDEX(Spec_Rack!$C$31:$G$31,H10)</f>
        <v>1</v>
      </c>
      <c r="I27" s="79" t="n">
        <f aca="false">INDEX(Spec_Rack!$C$31:$G$31,I10)</f>
        <v>1</v>
      </c>
    </row>
    <row r="28" customFormat="false" ht="15" hidden="false" customHeight="false" outlineLevel="0" collapsed="false">
      <c r="A28" s="44" t="s">
        <v>197</v>
      </c>
      <c r="B28" s="45" t="s">
        <v>194</v>
      </c>
      <c r="C28" s="76" t="n">
        <f aca="false">Arch!$D$7</f>
        <v>49</v>
      </c>
      <c r="D28" s="76" t="n">
        <f aca="false">Arch!$D$7</f>
        <v>49</v>
      </c>
      <c r="E28" s="76" t="n">
        <f aca="false">Arch!$D$7</f>
        <v>49</v>
      </c>
      <c r="F28" s="76" t="n">
        <f aca="false">Arch!$D$7</f>
        <v>49</v>
      </c>
      <c r="G28" s="76" t="n">
        <f aca="false">Arch!$D$7</f>
        <v>49</v>
      </c>
      <c r="H28" s="76" t="n">
        <f aca="false">Arch!$D$7</f>
        <v>49</v>
      </c>
      <c r="I28" s="76" t="n">
        <f aca="false">Arch!$D$7</f>
        <v>49</v>
      </c>
    </row>
    <row r="29" customFormat="false" ht="15" hidden="false" customHeight="false" outlineLevel="0" collapsed="false">
      <c r="A29" s="44" t="s">
        <v>199</v>
      </c>
      <c r="B29" s="44"/>
      <c r="C29" s="76" t="n">
        <f aca="false">Arch!$D$8</f>
        <v>61</v>
      </c>
      <c r="D29" s="76" t="n">
        <f aca="false">Arch!$D$8</f>
        <v>61</v>
      </c>
      <c r="E29" s="76" t="n">
        <f aca="false">Arch!$D$8</f>
        <v>61</v>
      </c>
      <c r="F29" s="76" t="n">
        <f aca="false">Arch!$D$8</f>
        <v>61</v>
      </c>
      <c r="G29" s="76" t="n">
        <f aca="false">Arch!$D$8</f>
        <v>61</v>
      </c>
      <c r="H29" s="76" t="n">
        <f aca="false">Arch!$D$8</f>
        <v>61</v>
      </c>
      <c r="I29" s="76" t="n">
        <f aca="false">Arch!$D$8</f>
        <v>61</v>
      </c>
    </row>
    <row r="30" customFormat="false" ht="15" hidden="false" customHeight="false" outlineLevel="0" collapsed="false">
      <c r="A30" s="45" t="s">
        <v>202</v>
      </c>
      <c r="B30" s="44"/>
      <c r="C30" s="76" t="n">
        <f aca="false">Arch!$D$9</f>
        <v>7168</v>
      </c>
      <c r="D30" s="76" t="n">
        <f aca="false">Arch!$D$9</f>
        <v>7168</v>
      </c>
      <c r="E30" s="76" t="n">
        <f aca="false">Arch!$D$9</f>
        <v>7168</v>
      </c>
      <c r="F30" s="76" t="n">
        <f aca="false">Arch!$D$9</f>
        <v>7168</v>
      </c>
      <c r="G30" s="76" t="n">
        <f aca="false">Arch!$D$9</f>
        <v>7168</v>
      </c>
      <c r="H30" s="76" t="n">
        <f aca="false">Arch!$D$9</f>
        <v>7168</v>
      </c>
      <c r="I30" s="76" t="n">
        <f aca="false">Arch!$D$9</f>
        <v>7168</v>
      </c>
    </row>
    <row r="31" customFormat="false" ht="15" hidden="false" customHeight="false" outlineLevel="0" collapsed="false">
      <c r="A31" s="44" t="s">
        <v>378</v>
      </c>
      <c r="B31" s="44"/>
      <c r="C31" s="76" t="n">
        <f aca="false">Arch!$D$13</f>
        <v>6</v>
      </c>
      <c r="D31" s="76" t="n">
        <f aca="false">Arch!$D$13</f>
        <v>6</v>
      </c>
      <c r="E31" s="76" t="n">
        <f aca="false">Arch!$D$13</f>
        <v>6</v>
      </c>
      <c r="F31" s="76" t="n">
        <f aca="false">Arch!$D$13</f>
        <v>6</v>
      </c>
      <c r="G31" s="76" t="n">
        <f aca="false">Arch!$D$13</f>
        <v>6</v>
      </c>
      <c r="H31" s="76" t="n">
        <f aca="false">Arch!$D$13</f>
        <v>6</v>
      </c>
      <c r="I31" s="76" t="n">
        <f aca="false">Arch!$D$13</f>
        <v>6</v>
      </c>
    </row>
    <row r="32" customFormat="false" ht="15" hidden="false" customHeight="false" outlineLevel="0" collapsed="false">
      <c r="A32" s="44" t="s">
        <v>379</v>
      </c>
      <c r="B32" s="45" t="s">
        <v>194</v>
      </c>
      <c r="C32" s="80" t="n">
        <f aca="false">Arch!$D$28</f>
        <v>20.2777777777778</v>
      </c>
      <c r="D32" s="80" t="n">
        <f aca="false">Arch!$D$28</f>
        <v>20.2777777777778</v>
      </c>
      <c r="E32" s="80" t="n">
        <f aca="false">Arch!$D$28</f>
        <v>20.2777777777778</v>
      </c>
      <c r="F32" s="80" t="n">
        <f aca="false">Arch!$D$28</f>
        <v>20.2777777777778</v>
      </c>
      <c r="G32" s="80" t="n">
        <f aca="false">Arch!$D$28</f>
        <v>20.2777777777778</v>
      </c>
      <c r="H32" s="80" t="n">
        <f aca="false">Arch!$D$28</f>
        <v>20.2777777777778</v>
      </c>
      <c r="I32" s="80" t="n">
        <f aca="false">Arch!$D$28</f>
        <v>20.2777777777778</v>
      </c>
    </row>
    <row r="33" customFormat="false" ht="15" hidden="false" customHeight="false" outlineLevel="0" collapsed="false">
      <c r="A33" s="44" t="s">
        <v>238</v>
      </c>
      <c r="B33" s="45" t="s">
        <v>194</v>
      </c>
      <c r="C33" s="76" t="n">
        <f aca="false">Arch!$D$29</f>
        <v>1579.72222222222</v>
      </c>
      <c r="D33" s="76" t="n">
        <f aca="false">Arch!$D$29</f>
        <v>1579.72222222222</v>
      </c>
      <c r="E33" s="76" t="n">
        <f aca="false">Arch!$D$29</f>
        <v>1579.72222222222</v>
      </c>
      <c r="F33" s="76" t="n">
        <f aca="false">Arch!$D$29</f>
        <v>1579.72222222222</v>
      </c>
      <c r="G33" s="76" t="n">
        <f aca="false">Arch!$D$29</f>
        <v>1579.72222222222</v>
      </c>
      <c r="H33" s="76" t="n">
        <f aca="false">Arch!$D$29</f>
        <v>1579.72222222222</v>
      </c>
      <c r="I33" s="76" t="n">
        <f aca="false">Arch!$D$29</f>
        <v>1579.72222222222</v>
      </c>
    </row>
    <row r="34" customFormat="false" ht="15" hidden="false" customHeight="false" outlineLevel="0" collapsed="false">
      <c r="A34" s="45" t="s">
        <v>380</v>
      </c>
      <c r="B34" s="45" t="s">
        <v>194</v>
      </c>
      <c r="C34" s="76" t="n">
        <f aca="false">Arch!$D$25</f>
        <v>3965</v>
      </c>
      <c r="D34" s="76" t="n">
        <f aca="false">Arch!$D$25</f>
        <v>3965</v>
      </c>
      <c r="E34" s="76" t="n">
        <f aca="false">Arch!$D$25</f>
        <v>3965</v>
      </c>
      <c r="F34" s="76" t="n">
        <f aca="false">Arch!$D$25</f>
        <v>3965</v>
      </c>
      <c r="G34" s="76" t="n">
        <f aca="false">Arch!$D$25</f>
        <v>3965</v>
      </c>
      <c r="H34" s="76" t="n">
        <f aca="false">Arch!$D$25</f>
        <v>3965</v>
      </c>
      <c r="I34" s="76" t="n">
        <f aca="false">Arch!$D$25</f>
        <v>3965</v>
      </c>
    </row>
    <row r="35" customFormat="false" ht="15" hidden="false" customHeight="false" outlineLevel="0" collapsed="false">
      <c r="A35" s="44" t="s">
        <v>381</v>
      </c>
      <c r="B35" s="44"/>
      <c r="C35" s="76" t="n">
        <f aca="false">Arch!$D$30</f>
        <v>15990784</v>
      </c>
      <c r="D35" s="76" t="n">
        <f aca="false">Arch!$D$30</f>
        <v>15990784</v>
      </c>
      <c r="E35" s="76" t="n">
        <f aca="false">Arch!$D$30</f>
        <v>15990784</v>
      </c>
      <c r="F35" s="76" t="n">
        <f aca="false">Arch!$D$30</f>
        <v>15990784</v>
      </c>
      <c r="G35" s="76" t="n">
        <f aca="false">Arch!$D$30</f>
        <v>15990784</v>
      </c>
      <c r="H35" s="76" t="n">
        <f aca="false">Arch!$D$30</f>
        <v>15990784</v>
      </c>
      <c r="I35" s="76" t="n">
        <f aca="false">Arch!$D$30</f>
        <v>15990784</v>
      </c>
    </row>
    <row r="36" customFormat="false" ht="15" hidden="false" customHeight="false" outlineLevel="0" collapsed="false">
      <c r="A36" s="44" t="s">
        <v>214</v>
      </c>
      <c r="B36" s="45" t="s">
        <v>45</v>
      </c>
      <c r="C36" s="81" t="n">
        <f aca="false">Arch!$D$16</f>
        <v>0.5</v>
      </c>
      <c r="D36" s="81" t="n">
        <f aca="false">Arch!$D$16</f>
        <v>0.5</v>
      </c>
      <c r="E36" s="81" t="n">
        <f aca="false">Arch!$D$16</f>
        <v>0.5</v>
      </c>
      <c r="F36" s="81" t="n">
        <f aca="false">Arch!$D$16</f>
        <v>0.5</v>
      </c>
      <c r="G36" s="81" t="n">
        <f aca="false">Arch!$D$16</f>
        <v>0.5</v>
      </c>
      <c r="H36" s="81" t="n">
        <f aca="false">Arch!$D$16</f>
        <v>0.5</v>
      </c>
      <c r="I36" s="81" t="n">
        <f aca="false">Arch!$D$16</f>
        <v>0.5</v>
      </c>
    </row>
    <row r="37" customFormat="false" ht="15" hidden="false" customHeight="false" outlineLevel="0" collapsed="false">
      <c r="A37" s="44" t="s">
        <v>382</v>
      </c>
      <c r="B37" s="44"/>
      <c r="C37" s="76" t="n">
        <f aca="false">Arch!$D$17</f>
        <v>4224</v>
      </c>
      <c r="D37" s="76" t="n">
        <f aca="false">Arch!$D$17</f>
        <v>4224</v>
      </c>
      <c r="E37" s="76" t="n">
        <f aca="false">Arch!$D$17</f>
        <v>4224</v>
      </c>
      <c r="F37" s="76" t="n">
        <f aca="false">Arch!$D$17</f>
        <v>4224</v>
      </c>
      <c r="G37" s="76" t="n">
        <f aca="false">Arch!$D$17</f>
        <v>4224</v>
      </c>
      <c r="H37" s="76" t="n">
        <f aca="false">Arch!$D$17</f>
        <v>4224</v>
      </c>
      <c r="I37" s="76" t="n">
        <f aca="false">Arch!$D$17</f>
        <v>4224</v>
      </c>
    </row>
    <row r="38" customFormat="false" ht="15" hidden="false" customHeight="false" outlineLevel="0" collapsed="false">
      <c r="A38" s="44" t="s">
        <v>383</v>
      </c>
      <c r="B38" s="44"/>
      <c r="C38" s="76" t="n">
        <f aca="false">Arch!$D$18</f>
        <v>128</v>
      </c>
      <c r="D38" s="76" t="n">
        <f aca="false">Arch!$D$18</f>
        <v>128</v>
      </c>
      <c r="E38" s="76" t="n">
        <f aca="false">Arch!$D$18</f>
        <v>128</v>
      </c>
      <c r="F38" s="76" t="n">
        <f aca="false">Arch!$D$18</f>
        <v>128</v>
      </c>
      <c r="G38" s="76" t="n">
        <f aca="false">Arch!$D$18</f>
        <v>128</v>
      </c>
      <c r="H38" s="76" t="n">
        <f aca="false">Arch!$D$18</f>
        <v>128</v>
      </c>
      <c r="I38" s="76" t="n">
        <f aca="false">Arch!$D$18</f>
        <v>128</v>
      </c>
    </row>
    <row r="39" customFormat="false" ht="15" hidden="false" customHeight="false" outlineLevel="0" collapsed="false">
      <c r="A39" s="44" t="s">
        <v>384</v>
      </c>
      <c r="B39" s="44"/>
      <c r="C39" s="76" t="n">
        <f aca="false">Arch!$D$19</f>
        <v>128</v>
      </c>
      <c r="D39" s="76" t="n">
        <f aca="false">Arch!$D$19</f>
        <v>128</v>
      </c>
      <c r="E39" s="76" t="n">
        <f aca="false">Arch!$D$19</f>
        <v>128</v>
      </c>
      <c r="F39" s="76" t="n">
        <f aca="false">Arch!$D$19</f>
        <v>128</v>
      </c>
      <c r="G39" s="76" t="n">
        <f aca="false">Arch!$D$19</f>
        <v>128</v>
      </c>
      <c r="H39" s="76" t="n">
        <f aca="false">Arch!$D$19</f>
        <v>128</v>
      </c>
      <c r="I39" s="76" t="n">
        <f aca="false">Arch!$D$19</f>
        <v>128</v>
      </c>
    </row>
    <row r="40" customFormat="false" ht="15" hidden="false" customHeight="false" outlineLevel="0" collapsed="false">
      <c r="A40" s="45" t="s">
        <v>288</v>
      </c>
      <c r="B40" s="45" t="s">
        <v>217</v>
      </c>
      <c r="C40" s="56" t="n">
        <f aca="false">C15+C16/2</f>
        <v>8704</v>
      </c>
      <c r="D40" s="56" t="n">
        <f aca="false">D15+D16/2</f>
        <v>8704</v>
      </c>
      <c r="E40" s="56" t="n">
        <f aca="false">E15+E16/2</f>
        <v>8704</v>
      </c>
      <c r="F40" s="56" t="n">
        <f aca="false">F15+F16/2</f>
        <v>8704</v>
      </c>
      <c r="G40" s="56" t="n">
        <f aca="false">G15+G16/2</f>
        <v>8704</v>
      </c>
      <c r="H40" s="56" t="n">
        <f aca="false">H15+H16/2</f>
        <v>8704</v>
      </c>
      <c r="I40" s="56" t="n">
        <f aca="false">I15+I16/2</f>
        <v>8704</v>
      </c>
    </row>
    <row r="41" customFormat="false" ht="15" hidden="false" customHeight="false" outlineLevel="0" collapsed="false">
      <c r="A41" s="45" t="s">
        <v>385</v>
      </c>
      <c r="B41" s="45" t="s">
        <v>217</v>
      </c>
      <c r="C41" s="56" t="n">
        <f aca="false">C36*IF(C37=0,C40,MIN(C40,C37))+(1-C36)*(C40/C38+C39)</f>
        <v>2210</v>
      </c>
      <c r="D41" s="56" t="n">
        <f aca="false">D36*IF(D37=0,D40,MIN(D40,D37))+(1-D36)*(D40/D38+D39)</f>
        <v>2210</v>
      </c>
      <c r="E41" s="56" t="n">
        <f aca="false">E36*IF(E37=0,E40,MIN(E40,E37))+(1-E36)*(E40/E38+E39)</f>
        <v>2210</v>
      </c>
      <c r="F41" s="56" t="n">
        <f aca="false">F36*IF(F37=0,F40,MIN(F40,F37))+(1-F36)*(F40/F38+F39)</f>
        <v>2210</v>
      </c>
      <c r="G41" s="56" t="n">
        <f aca="false">G36*IF(G37=0,G40,MIN(G40,G37))+(1-G36)*(G40/G38+G39)</f>
        <v>2210</v>
      </c>
      <c r="H41" s="56" t="n">
        <f aca="false">H36*IF(H37=0,H40,MIN(H40,H37))+(1-H36)*(H40/H38+H39)</f>
        <v>2210</v>
      </c>
      <c r="I41" s="56" t="n">
        <f aca="false">I36*IF(I37=0,I40,MIN(I40,I37))+(1-I36)*(I40/I38+I39)</f>
        <v>2210</v>
      </c>
    </row>
    <row r="42" customFormat="false" ht="15" hidden="false" customHeight="false" outlineLevel="0" collapsed="false">
      <c r="A42" s="45" t="s">
        <v>386</v>
      </c>
      <c r="B42" s="45" t="s">
        <v>387</v>
      </c>
      <c r="C42" s="55" t="n">
        <f aca="false">(2*C28*1000000000+C35*C41)/1000000000</f>
        <v>133.33963264</v>
      </c>
      <c r="D42" s="55" t="n">
        <f aca="false">(2*D28*1000000000+D35*D41)/1000000000</f>
        <v>133.33963264</v>
      </c>
      <c r="E42" s="55" t="n">
        <f aca="false">(2*E28*1000000000+E35*E41)/1000000000</f>
        <v>133.33963264</v>
      </c>
      <c r="F42" s="55" t="n">
        <f aca="false">(2*F28*1000000000+F35*F41)/1000000000</f>
        <v>133.33963264</v>
      </c>
      <c r="G42" s="55" t="n">
        <f aca="false">(2*G28*1000000000+G35*G41)/1000000000</f>
        <v>133.33963264</v>
      </c>
      <c r="H42" s="55" t="n">
        <f aca="false">(2*H28*1000000000+H35*H41)/1000000000</f>
        <v>133.33963264</v>
      </c>
      <c r="I42" s="55" t="n">
        <f aca="false">(2*I28*1000000000+I35*I41)/1000000000</f>
        <v>133.33963264</v>
      </c>
    </row>
    <row r="43" customFormat="false" ht="15" hidden="false" customHeight="false" outlineLevel="0" collapsed="false">
      <c r="A43" s="45" t="s">
        <v>289</v>
      </c>
      <c r="B43" s="45" t="s">
        <v>217</v>
      </c>
      <c r="C43" s="56" t="n">
        <f aca="false">C15/2</f>
        <v>4096</v>
      </c>
      <c r="D43" s="56" t="n">
        <f aca="false">D15/2</f>
        <v>4096</v>
      </c>
      <c r="E43" s="56" t="n">
        <f aca="false">E15/2</f>
        <v>4096</v>
      </c>
      <c r="F43" s="56" t="n">
        <f aca="false">F15/2</f>
        <v>4096</v>
      </c>
      <c r="G43" s="56" t="n">
        <f aca="false">G15/2</f>
        <v>4096</v>
      </c>
      <c r="H43" s="56" t="n">
        <f aca="false">H15/2</f>
        <v>4096</v>
      </c>
      <c r="I43" s="56" t="n">
        <f aca="false">I15/2</f>
        <v>4096</v>
      </c>
    </row>
    <row r="44" customFormat="false" ht="15" hidden="false" customHeight="false" outlineLevel="0" collapsed="false">
      <c r="A44" s="45" t="s">
        <v>388</v>
      </c>
      <c r="B44" s="45" t="s">
        <v>217</v>
      </c>
      <c r="C44" s="56" t="n">
        <f aca="false">C36*IF(C37=0,C43,MIN(C43,C37))+(1-C36)*(C43/C38+C39)</f>
        <v>2128</v>
      </c>
      <c r="D44" s="56" t="n">
        <f aca="false">D36*IF(D37=0,D43,MIN(D43,D37))+(1-D36)*(D43/D38+D39)</f>
        <v>2128</v>
      </c>
      <c r="E44" s="56" t="n">
        <f aca="false">E36*IF(E37=0,E43,MIN(E43,E37))+(1-E36)*(E43/E38+E39)</f>
        <v>2128</v>
      </c>
      <c r="F44" s="56" t="n">
        <f aca="false">F36*IF(F37=0,F43,MIN(F43,F37))+(1-F36)*(F43/F38+F39)</f>
        <v>2128</v>
      </c>
      <c r="G44" s="56" t="n">
        <f aca="false">G36*IF(G37=0,G43,MIN(G43,G37))+(1-G36)*(G43/G38+G39)</f>
        <v>2128</v>
      </c>
      <c r="H44" s="56" t="n">
        <f aca="false">H36*IF(H37=0,H43,MIN(H43,H37))+(1-H36)*(H43/H38+H39)</f>
        <v>2128</v>
      </c>
      <c r="I44" s="56" t="n">
        <f aca="false">I36*IF(I37=0,I43,MIN(I43,I37))+(1-I36)*(I43/I38+I39)</f>
        <v>2128</v>
      </c>
    </row>
    <row r="45" customFormat="false" ht="15" hidden="false" customHeight="false" outlineLevel="0" collapsed="false">
      <c r="A45" s="45" t="s">
        <v>389</v>
      </c>
      <c r="B45" s="45" t="s">
        <v>387</v>
      </c>
      <c r="C45" s="55" t="n">
        <f aca="false">(2*C28*1000000000+C35*C44)/1000000000</f>
        <v>132.028388352</v>
      </c>
      <c r="D45" s="55" t="n">
        <f aca="false">(2*D28*1000000000+D35*D44)/1000000000</f>
        <v>132.028388352</v>
      </c>
      <c r="E45" s="55" t="n">
        <f aca="false">(2*E28*1000000000+E35*E44)/1000000000</f>
        <v>132.028388352</v>
      </c>
      <c r="F45" s="55" t="n">
        <f aca="false">(2*F28*1000000000+F35*F44)/1000000000</f>
        <v>132.028388352</v>
      </c>
      <c r="G45" s="55" t="n">
        <f aca="false">(2*G28*1000000000+G35*G44)/1000000000</f>
        <v>132.028388352</v>
      </c>
      <c r="H45" s="55" t="n">
        <f aca="false">(2*H28*1000000000+H35*H44)/1000000000</f>
        <v>132.028388352</v>
      </c>
      <c r="I45" s="55" t="n">
        <f aca="false">(2*I28*1000000000+I35*I44)/1000000000</f>
        <v>132.028388352</v>
      </c>
    </row>
    <row r="46" customFormat="false" ht="15" hidden="false" customHeight="false" outlineLevel="0" collapsed="false">
      <c r="A46" s="44" t="s">
        <v>390</v>
      </c>
      <c r="B46" s="45" t="s">
        <v>242</v>
      </c>
      <c r="C46" s="76" t="n">
        <f aca="false">C22*(1-Serving!$C$9)</f>
        <v>259.2</v>
      </c>
      <c r="D46" s="76" t="n">
        <f aca="false">D22*(1-Serving!$C$9)</f>
        <v>259.2</v>
      </c>
      <c r="E46" s="76" t="n">
        <f aca="false">E22*(1-Serving!$C$9)</f>
        <v>259.2</v>
      </c>
      <c r="F46" s="76" t="n">
        <f aca="false">F22*(1-Serving!$C$9)</f>
        <v>259.2</v>
      </c>
      <c r="G46" s="76" t="n">
        <f aca="false">G22*(1-Serving!$C$9)</f>
        <v>167.4</v>
      </c>
      <c r="H46" s="76" t="n">
        <f aca="false">H22*(1-Serving!$C$9)</f>
        <v>167.4</v>
      </c>
      <c r="I46" s="76" t="n">
        <f aca="false">I22*(1-Serving!$C$9)</f>
        <v>259.2</v>
      </c>
    </row>
    <row r="47" customFormat="false" ht="15" hidden="false" customHeight="false" outlineLevel="0" collapsed="false">
      <c r="A47" s="44" t="s">
        <v>391</v>
      </c>
      <c r="B47" s="44"/>
      <c r="C47" s="82" t="n">
        <f aca="false">MAX(1,CEILING(C32*C27/(Serving!$C$10*C46),1))</f>
        <v>1</v>
      </c>
      <c r="D47" s="82" t="n">
        <f aca="false">MAX(1,CEILING(D32*D27/(Serving!$C$10*D46),1))</f>
        <v>1</v>
      </c>
      <c r="E47" s="82" t="n">
        <f aca="false">MAX(1,CEILING(E32*E27/(Serving!$C$10*E46),1))</f>
        <v>1</v>
      </c>
      <c r="F47" s="82" t="n">
        <f aca="false">MAX(1,CEILING(F32*F27/(Serving!$C$10*F46),1))</f>
        <v>1</v>
      </c>
      <c r="G47" s="82" t="n">
        <f aca="false">MAX(1,CEILING(G32*G27/(Serving!$C$10*G46),1))</f>
        <v>1</v>
      </c>
      <c r="H47" s="82" t="n">
        <f aca="false">MAX(1,CEILING(H32*H27/(Serving!$C$10*H46),1))</f>
        <v>1</v>
      </c>
      <c r="I47" s="82" t="n">
        <f aca="false">MAX(1,CEILING(I32*I27/(Serving!$C$10*I46),1))</f>
        <v>1</v>
      </c>
    </row>
    <row r="48" customFormat="false" ht="15" hidden="false" customHeight="false" outlineLevel="0" collapsed="false">
      <c r="A48" s="45" t="s">
        <v>392</v>
      </c>
      <c r="B48" s="44"/>
      <c r="C48" s="76" t="n">
        <f aca="false">MAX(C25,CEILING(C33*C26/(Serving!$C$11*C46),1))</f>
        <v>32</v>
      </c>
      <c r="D48" s="76" t="n">
        <f aca="false">MAX(D25,CEILING(D33*D26/(Serving!$C$11*D46),1))</f>
        <v>32</v>
      </c>
      <c r="E48" s="76" t="n">
        <f aca="false">MAX(E25,CEILING(E33*E26/(Serving!$C$11*E46),1))</f>
        <v>32</v>
      </c>
      <c r="F48" s="76" t="n">
        <f aca="false">MAX(F25,CEILING(F33*F26/(Serving!$C$11*F46),1))</f>
        <v>32</v>
      </c>
      <c r="G48" s="76" t="n">
        <f aca="false">MAX(G25,CEILING(G33*G26/(Serving!$C$11*G46),1))</f>
        <v>32</v>
      </c>
      <c r="H48" s="76" t="n">
        <f aca="false">MAX(H25,CEILING(H33*H26/(Serving!$C$11*H46),1))</f>
        <v>32</v>
      </c>
      <c r="I48" s="76" t="n">
        <f aca="false">MAX(I25,CEILING(I33*I26/(Serving!$C$11*I46),1))</f>
        <v>32</v>
      </c>
    </row>
    <row r="49" customFormat="false" ht="15" hidden="false" customHeight="false" outlineLevel="0" collapsed="false">
      <c r="A49" s="44" t="s">
        <v>393</v>
      </c>
      <c r="B49" s="45" t="s">
        <v>242</v>
      </c>
      <c r="C49" s="55" t="n">
        <f aca="false">C32*C27/C47+C33*C26/C48</f>
        <v>48.0463324652778</v>
      </c>
      <c r="D49" s="55" t="n">
        <f aca="false">D32*D27/D47+D33*D26/D48</f>
        <v>48.0463324652778</v>
      </c>
      <c r="E49" s="55" t="n">
        <f aca="false">E32*E27/E47+E33*E26/E48</f>
        <v>48.0463324652778</v>
      </c>
      <c r="F49" s="55" t="n">
        <f aca="false">F32*F27/F47+F33*F26/F48</f>
        <v>48.0463324652778</v>
      </c>
      <c r="G49" s="55" t="n">
        <f aca="false">G32*G27/G47+G33*G26/G48</f>
        <v>48.0463324652778</v>
      </c>
      <c r="H49" s="55" t="n">
        <f aca="false">H32*H27/H47+H33*H26/H48</f>
        <v>48.0463324652778</v>
      </c>
      <c r="I49" s="55" t="n">
        <f aca="false">I32*I27/I47+I33*I26/I48</f>
        <v>48.0463324652778</v>
      </c>
    </row>
    <row r="50" customFormat="false" ht="15" hidden="false" customHeight="false" outlineLevel="0" collapsed="false">
      <c r="A50" s="44" t="s">
        <v>394</v>
      </c>
      <c r="B50" s="44"/>
      <c r="C50" s="82" t="n">
        <f aca="false">Serving!$C$6*C13</f>
        <v>3</v>
      </c>
      <c r="D50" s="82" t="n">
        <f aca="false">Serving!$C$6*D13</f>
        <v>3</v>
      </c>
      <c r="E50" s="82" t="n">
        <f aca="false">Serving!$C$6*E13</f>
        <v>3</v>
      </c>
      <c r="F50" s="82" t="n">
        <f aca="false">Serving!$C$6*F13</f>
        <v>0</v>
      </c>
      <c r="G50" s="82" t="n">
        <f aca="false">Serving!$C$6*G13</f>
        <v>0</v>
      </c>
      <c r="H50" s="82" t="n">
        <f aca="false">Serving!$C$6*H13</f>
        <v>3</v>
      </c>
      <c r="I50" s="82" t="n">
        <f aca="false">Serving!$C$6*I13</f>
        <v>3</v>
      </c>
    </row>
    <row r="51" customFormat="false" ht="15" hidden="false" customHeight="false" outlineLevel="0" collapsed="false">
      <c r="A51" s="44" t="s">
        <v>395</v>
      </c>
      <c r="B51" s="44"/>
      <c r="C51" s="79" t="n">
        <f aca="false">IF(C13=1,Serving!$C$8,1)</f>
        <v>2.533</v>
      </c>
      <c r="D51" s="79" t="n">
        <f aca="false">IF(D13=1,Serving!$C$8,1)</f>
        <v>2.533</v>
      </c>
      <c r="E51" s="79" t="n">
        <f aca="false">IF(E13=1,Serving!$C$8,1)</f>
        <v>2.533</v>
      </c>
      <c r="F51" s="79" t="n">
        <f aca="false">IF(F13=1,Serving!$C$8,1)</f>
        <v>1</v>
      </c>
      <c r="G51" s="79" t="n">
        <f aca="false">IF(G13=1,Serving!$C$8,1)</f>
        <v>1</v>
      </c>
      <c r="H51" s="79" t="n">
        <f aca="false">IF(H13=1,Serving!$C$8,1)</f>
        <v>2.533</v>
      </c>
      <c r="I51" s="79" t="n">
        <f aca="false">IF(I13=1,Serving!$C$8,1)</f>
        <v>2.533</v>
      </c>
    </row>
    <row r="52" customFormat="false" ht="15" hidden="false" customHeight="false" outlineLevel="0" collapsed="false">
      <c r="A52" s="45" t="s">
        <v>396</v>
      </c>
      <c r="B52" s="45" t="s">
        <v>281</v>
      </c>
      <c r="C52" s="56" t="n">
        <f aca="false">$C$5*C21*1000000000000000/(C45*1000000000)</f>
        <v>34083.5789648707</v>
      </c>
      <c r="D52" s="56" t="n">
        <f aca="false">$C$5*D21*1000000000000000/(D45*1000000000)</f>
        <v>34083.5789648707</v>
      </c>
      <c r="E52" s="56" t="n">
        <f aca="false">$C$5*E21*1000000000000000/(E45*1000000000)</f>
        <v>34083.5789648707</v>
      </c>
      <c r="F52" s="56" t="n">
        <f aca="false">$C$5*F21*1000000000000000/(F45*1000000000)</f>
        <v>34083.5789648707</v>
      </c>
      <c r="G52" s="56" t="n">
        <f aca="false">$C$5*G21*1000000000000000/(G45*1000000000)</f>
        <v>22722.3859765804</v>
      </c>
      <c r="H52" s="56" t="n">
        <f aca="false">$C$5*H21*1000000000000000/(H45*1000000000)</f>
        <v>22722.3859765804</v>
      </c>
      <c r="I52" s="56" t="n">
        <f aca="false">$C$5*I21*1000000000000000/(I45*1000000000)</f>
        <v>34083.5789648707</v>
      </c>
    </row>
    <row r="53" customFormat="false" ht="15" hidden="false" customHeight="false" outlineLevel="0" collapsed="false">
      <c r="A53" s="44" t="s">
        <v>397</v>
      </c>
      <c r="B53" s="45" t="s">
        <v>398</v>
      </c>
      <c r="C53" s="83" t="n">
        <f aca="false">(C50+1)*C42/C21/1000</f>
        <v>0.0355572353706667</v>
      </c>
      <c r="D53" s="83" t="n">
        <f aca="false">(D50+1)*D42/D21/1000</f>
        <v>0.0355572353706667</v>
      </c>
      <c r="E53" s="83" t="n">
        <f aca="false">(E50+1)*E42/E21/1000</f>
        <v>0.0355572353706667</v>
      </c>
      <c r="F53" s="83" t="n">
        <f aca="false">(F50+1)*F42/F21/1000</f>
        <v>0.00888930884266667</v>
      </c>
      <c r="G53" s="83" t="n">
        <f aca="false">(G50+1)*G42/G21/1000</f>
        <v>0.013333963264</v>
      </c>
      <c r="H53" s="83" t="n">
        <f aca="false">(H50+1)*H42/H21/1000</f>
        <v>0.053335853056</v>
      </c>
      <c r="I53" s="83" t="n">
        <f aca="false">(I50+1)*I42/I21/1000</f>
        <v>0.0355572353706667</v>
      </c>
    </row>
    <row r="54" customFormat="false" ht="15" hidden="false" customHeight="false" outlineLevel="0" collapsed="false">
      <c r="A54" s="44" t="s">
        <v>399</v>
      </c>
      <c r="B54" s="45" t="s">
        <v>281</v>
      </c>
      <c r="C54" s="56" t="n">
        <f aca="false">C16/((C15+C16)/C17-C15/C52)</f>
        <v>1380.60283795024</v>
      </c>
      <c r="D54" s="56" t="n">
        <f aca="false">D16/((D15+D16)/D17-D15/D52)</f>
        <v>424.442629727413</v>
      </c>
      <c r="E54" s="56" t="n">
        <f aca="false">E16/((E15+E16)/E17-E15/E52)</f>
        <v>1757.91940226822</v>
      </c>
      <c r="F54" s="56" t="n">
        <f aca="false">F16/((F15+F16)/F17-F15/F52)</f>
        <v>818.918726400301</v>
      </c>
      <c r="G54" s="56" t="n">
        <f aca="false">G16/((G15+G16)/G17-G15/G52)</f>
        <v>266.000550163594</v>
      </c>
      <c r="H54" s="56" t="n">
        <f aca="false">H16/((H15+H16)/H17-H15/H52)</f>
        <v>495.257075329457</v>
      </c>
      <c r="I54" s="56" t="n">
        <f aca="false">I16/((I15+I16)/I17-I15/I52)</f>
        <v>873.253354090091</v>
      </c>
      <c r="J54" s="54" t="s">
        <v>400</v>
      </c>
    </row>
    <row r="55" customFormat="false" ht="15" hidden="false" customHeight="false" outlineLevel="0" collapsed="false">
      <c r="A55" s="44" t="s">
        <v>401</v>
      </c>
      <c r="B55" s="44" t="s">
        <v>402</v>
      </c>
      <c r="C55" s="55" t="n">
        <f aca="false">C54/C14</f>
        <v>19.1750394159756</v>
      </c>
      <c r="D55" s="55" t="n">
        <f aca="false">D54/D14</f>
        <v>3.26494330559548</v>
      </c>
      <c r="E55" s="55" t="n">
        <f aca="false">E54/E14</f>
        <v>35.1583880453644</v>
      </c>
      <c r="F55" s="55" t="n">
        <f aca="false">F54/F14</f>
        <v>30.3303232000111</v>
      </c>
      <c r="G55" s="55" t="n">
        <f aca="false">G54/G14</f>
        <v>9.85187222828127</v>
      </c>
      <c r="H55" s="55" t="n">
        <f aca="false">H54/H14</f>
        <v>4.50233704844961</v>
      </c>
      <c r="I55" s="55" t="n">
        <f aca="false">I54/I14</f>
        <v>7.93866685536447</v>
      </c>
    </row>
    <row r="57" customFormat="false" ht="15" hidden="false" customHeight="false" outlineLevel="0" collapsed="false">
      <c r="A57" s="72" t="s">
        <v>403</v>
      </c>
      <c r="B57" s="50"/>
      <c r="C57" s="50"/>
      <c r="D57" s="50"/>
      <c r="E57" s="50"/>
      <c r="F57" s="50"/>
      <c r="G57" s="50"/>
      <c r="H57" s="50"/>
      <c r="I57" s="50"/>
      <c r="J57" s="50"/>
    </row>
    <row r="58" customFormat="false" ht="15" hidden="false" customHeight="false" outlineLevel="0" collapsed="false">
      <c r="A58" s="45" t="s">
        <v>404</v>
      </c>
      <c r="B58" s="45" t="s">
        <v>45</v>
      </c>
      <c r="C58" s="84" t="n">
        <f aca="false">(C55-D55)*C53/(1000*(C51/C14-D51/D14))</f>
        <v>0.0360423794946733</v>
      </c>
      <c r="J58" s="42" t="s">
        <v>405</v>
      </c>
    </row>
    <row r="59" customFormat="false" ht="15" hidden="false" customHeight="false" outlineLevel="0" collapsed="false">
      <c r="A59" s="44" t="s">
        <v>406</v>
      </c>
      <c r="B59" s="45" t="s">
        <v>398</v>
      </c>
      <c r="C59" s="52" t="n">
        <f aca="false">1000*C51/C14-C55*C53/C58</f>
        <v>16.263619456583</v>
      </c>
    </row>
    <row r="60" customFormat="false" ht="15" hidden="false" customHeight="false" outlineLevel="0" collapsed="false">
      <c r="A60" s="44" t="s">
        <v>407</v>
      </c>
      <c r="B60" s="45" t="s">
        <v>408</v>
      </c>
      <c r="C60" s="51" t="n">
        <f aca="false">(C59-C49/C23)*1000/(C29+C50)</f>
        <v>160.278560912864</v>
      </c>
      <c r="J60" s="54" t="s">
        <v>409</v>
      </c>
    </row>
    <row r="61" customFormat="false" ht="15" hidden="false" customHeight="false" outlineLevel="0" collapsed="false">
      <c r="A61" s="44" t="s">
        <v>410</v>
      </c>
      <c r="C61" s="73" t="str">
        <f aca="false">IF(C53/C58&gt;=MAX(C34*C40/(C23*Serving!$C$13)/1000000000,(C50+1)*C29*C31*C30*Serving!$C$12/(C24*Serving!$C$14)/1000000000),"成立","不成立")</f>
        <v>成立</v>
      </c>
    </row>
    <row r="63" customFormat="false" ht="15" hidden="false" customHeight="false" outlineLevel="0" collapsed="false">
      <c r="A63" s="72" t="s">
        <v>411</v>
      </c>
      <c r="B63" s="50"/>
      <c r="C63" s="50"/>
      <c r="D63" s="50"/>
      <c r="E63" s="50"/>
      <c r="F63" s="50"/>
      <c r="G63" s="50"/>
      <c r="H63" s="50"/>
      <c r="I63" s="50"/>
      <c r="J63" s="50"/>
    </row>
    <row r="64" customFormat="false" ht="15" hidden="false" customHeight="false" outlineLevel="0" collapsed="false">
      <c r="A64" s="9" t="s">
        <v>110</v>
      </c>
      <c r="C64" s="62" t="str">
        <f aca="false">Spec_Rack!C4</f>
        <v>Hopper H100</v>
      </c>
      <c r="D64" s="62" t="str">
        <f aca="false">Spec_Rack!D4</f>
        <v>GB200 NVL72</v>
      </c>
      <c r="E64" s="62" t="str">
        <f aca="false">Spec_Rack!E4</f>
        <v>GB300 NVL72</v>
      </c>
      <c r="F64" s="62" t="str">
        <f aca="false">Spec_Rack!F4</f>
        <v>VR200 NVL72</v>
      </c>
      <c r="G64" s="62" t="str">
        <f aca="false">Spec_Rack!G4</f>
        <v>Rubin Ultra NVL576</v>
      </c>
    </row>
    <row r="65" customFormat="false" ht="37.3" hidden="false" customHeight="false" outlineLevel="0" collapsed="false">
      <c r="A65" s="45" t="s">
        <v>412</v>
      </c>
      <c r="B65" s="45" t="s">
        <v>49</v>
      </c>
      <c r="C65" s="59" t="n">
        <v>3</v>
      </c>
      <c r="D65" s="59" t="n">
        <v>1</v>
      </c>
      <c r="E65" s="59" t="n">
        <v>1</v>
      </c>
      <c r="F65" s="59" t="n">
        <v>1</v>
      </c>
      <c r="G65" s="59" t="n">
        <v>1</v>
      </c>
      <c r="J65" s="66" t="s">
        <v>413</v>
      </c>
    </row>
    <row r="66" customFormat="false" ht="15" hidden="false" customHeight="false" outlineLevel="0" collapsed="false">
      <c r="A66" s="44" t="s">
        <v>414</v>
      </c>
      <c r="B66" s="45" t="s">
        <v>49</v>
      </c>
      <c r="C66" s="59" t="n">
        <v>1.5</v>
      </c>
      <c r="D66" s="59" t="n">
        <v>1</v>
      </c>
      <c r="E66" s="59" t="n">
        <v>1</v>
      </c>
      <c r="F66" s="59" t="n">
        <v>1</v>
      </c>
      <c r="G66" s="59" t="n">
        <v>1</v>
      </c>
      <c r="J66" s="66" t="s">
        <v>415</v>
      </c>
    </row>
    <row r="67" customFormat="false" ht="15" hidden="false" customHeight="false" outlineLevel="0" collapsed="false">
      <c r="A67" s="45" t="s">
        <v>416</v>
      </c>
      <c r="B67" s="45" t="s">
        <v>49</v>
      </c>
      <c r="C67" s="59" t="n">
        <v>1</v>
      </c>
      <c r="D67" s="59" t="n">
        <v>1</v>
      </c>
      <c r="E67" s="59" t="n">
        <v>1</v>
      </c>
      <c r="F67" s="59" t="n">
        <v>1</v>
      </c>
      <c r="G67" s="59" t="n">
        <v>1</v>
      </c>
      <c r="J67" s="74"/>
    </row>
    <row r="68" customFormat="false" ht="15" hidden="false" customHeight="false" outlineLevel="0" collapsed="false">
      <c r="A68" s="45" t="s">
        <v>417</v>
      </c>
      <c r="B68" s="45" t="s">
        <v>45</v>
      </c>
      <c r="C68" s="84" t="n">
        <f aca="false">$C$58*C65</f>
        <v>0.10812713848402</v>
      </c>
      <c r="D68" s="84" t="n">
        <f aca="false">$C$58*D65</f>
        <v>0.0360423794946733</v>
      </c>
      <c r="E68" s="84" t="n">
        <f aca="false">$C$58*E65</f>
        <v>0.0360423794946733</v>
      </c>
      <c r="F68" s="84" t="n">
        <f aca="false">$C$58*F65</f>
        <v>0.0360423794946733</v>
      </c>
      <c r="G68" s="84" t="n">
        <f aca="false">$C$58*G65</f>
        <v>0.0360423794946733</v>
      </c>
    </row>
    <row r="69" customFormat="false" ht="15" hidden="false" customHeight="false" outlineLevel="0" collapsed="false">
      <c r="A69" s="44" t="s">
        <v>418</v>
      </c>
      <c r="B69" s="45" t="s">
        <v>408</v>
      </c>
      <c r="C69" s="51" t="n">
        <f aca="false">$C$60*C66</f>
        <v>240.417841369295</v>
      </c>
      <c r="D69" s="51" t="n">
        <f aca="false">$C$60*D66</f>
        <v>160.278560912864</v>
      </c>
      <c r="E69" s="51" t="n">
        <f aca="false">$C$60*E66</f>
        <v>160.278560912864</v>
      </c>
      <c r="F69" s="51" t="n">
        <f aca="false">$C$60*F66</f>
        <v>160.278560912864</v>
      </c>
      <c r="G69" s="51" t="n">
        <f aca="false">$C$60*G66</f>
        <v>160.278560912864</v>
      </c>
    </row>
    <row r="70" customFormat="false" ht="15" hidden="false" customHeight="false" outlineLevel="0" collapsed="false">
      <c r="A70" s="45" t="s">
        <v>419</v>
      </c>
      <c r="B70" s="45" t="s">
        <v>45</v>
      </c>
      <c r="C70" s="85" t="n">
        <f aca="false">$C$5*C67</f>
        <v>0.3</v>
      </c>
      <c r="D70" s="85" t="n">
        <f aca="false">$C$5*D67</f>
        <v>0.3</v>
      </c>
      <c r="E70" s="85" t="n">
        <f aca="false">$C$5*E67</f>
        <v>0.3</v>
      </c>
      <c r="F70" s="85" t="n">
        <f aca="false">$C$5*F67</f>
        <v>0.3</v>
      </c>
      <c r="G70" s="85" t="n">
        <f aca="false">$C$5*G67</f>
        <v>0.3</v>
      </c>
    </row>
    <row r="72" customFormat="false" ht="15" hidden="false" customHeight="false" outlineLevel="0" collapsed="false">
      <c r="A72" s="72" t="s">
        <v>420</v>
      </c>
      <c r="B72" s="50"/>
      <c r="C72" s="50"/>
      <c r="D72" s="50"/>
      <c r="E72" s="50"/>
      <c r="F72" s="50"/>
      <c r="G72" s="50"/>
      <c r="H72" s="50"/>
      <c r="I72" s="50"/>
      <c r="J72" s="50"/>
    </row>
    <row r="73" customFormat="false" ht="15" hidden="false" customHeight="false" outlineLevel="0" collapsed="false">
      <c r="A73" s="45" t="s">
        <v>421</v>
      </c>
      <c r="B73" s="45" t="s">
        <v>45</v>
      </c>
      <c r="C73" s="86" t="n">
        <f aca="false">INDEX($C$68:$G$68,C10)</f>
        <v>0.0360423794946733</v>
      </c>
      <c r="D73" s="86" t="n">
        <f aca="false">INDEX($C$68:$G$68,D10)</f>
        <v>0.0360423794946733</v>
      </c>
      <c r="E73" s="86" t="n">
        <f aca="false">INDEX($C$68:$G$68,E10)</f>
        <v>0.0360423794946733</v>
      </c>
      <c r="F73" s="86" t="n">
        <f aca="false">INDEX($C$68:$G$68,F10)</f>
        <v>0.0360423794946733</v>
      </c>
      <c r="G73" s="86" t="n">
        <f aca="false">INDEX($C$68:$G$68,G10)</f>
        <v>0.0360423794946733</v>
      </c>
      <c r="H73" s="86" t="n">
        <f aca="false">INDEX($C$68:$G$68,H10)</f>
        <v>0.0360423794946733</v>
      </c>
      <c r="I73" s="86" t="n">
        <f aca="false">INDEX($C$68:$G$68,I10)</f>
        <v>0.0360423794946733</v>
      </c>
    </row>
    <row r="74" customFormat="false" ht="15" hidden="false" customHeight="false" outlineLevel="0" collapsed="false">
      <c r="A74" s="44" t="s">
        <v>422</v>
      </c>
      <c r="B74" s="45" t="s">
        <v>408</v>
      </c>
      <c r="C74" s="56" t="n">
        <f aca="false">INDEX($C$69:$G$69,C10)</f>
        <v>160.278560912864</v>
      </c>
      <c r="D74" s="56" t="n">
        <f aca="false">INDEX($C$69:$G$69,D10)</f>
        <v>160.278560912864</v>
      </c>
      <c r="E74" s="56" t="n">
        <f aca="false">INDEX($C$69:$G$69,E10)</f>
        <v>160.278560912864</v>
      </c>
      <c r="F74" s="56" t="n">
        <f aca="false">INDEX($C$69:$G$69,F10)</f>
        <v>160.278560912864</v>
      </c>
      <c r="G74" s="56" t="n">
        <f aca="false">INDEX($C$69:$G$69,G10)</f>
        <v>160.278560912864</v>
      </c>
      <c r="H74" s="56" t="n">
        <f aca="false">INDEX($C$69:$G$69,H10)</f>
        <v>160.278560912864</v>
      </c>
      <c r="I74" s="56" t="n">
        <f aca="false">INDEX($C$69:$G$69,I10)</f>
        <v>160.278560912864</v>
      </c>
    </row>
    <row r="75" customFormat="false" ht="15" hidden="false" customHeight="false" outlineLevel="0" collapsed="false">
      <c r="A75" s="45" t="s">
        <v>423</v>
      </c>
      <c r="B75" s="45" t="s">
        <v>45</v>
      </c>
      <c r="C75" s="87" t="n">
        <f aca="false">INDEX($C$70:$G$70,C10)</f>
        <v>0.3</v>
      </c>
      <c r="D75" s="87" t="n">
        <f aca="false">INDEX($C$70:$G$70,D10)</f>
        <v>0.3</v>
      </c>
      <c r="E75" s="87" t="n">
        <f aca="false">INDEX($C$70:$G$70,E10)</f>
        <v>0.3</v>
      </c>
      <c r="F75" s="87" t="n">
        <f aca="false">INDEX($C$70:$G$70,F10)</f>
        <v>0.3</v>
      </c>
      <c r="G75" s="87" t="n">
        <f aca="false">INDEX($C$70:$G$70,G10)</f>
        <v>0.3</v>
      </c>
      <c r="H75" s="87" t="n">
        <f aca="false">INDEX($C$70:$G$70,H10)</f>
        <v>0.3</v>
      </c>
      <c r="I75" s="87" t="n">
        <f aca="false">INDEX($C$70:$G$70,I10)</f>
        <v>0.3</v>
      </c>
    </row>
    <row r="76" customFormat="false" ht="15" hidden="false" customHeight="false" outlineLevel="0" collapsed="false">
      <c r="A76" s="45" t="s">
        <v>424</v>
      </c>
      <c r="B76" s="45" t="s">
        <v>281</v>
      </c>
      <c r="C76" s="56" t="n">
        <f aca="false">C75*C21*1000000000000000/(C45*1000000000)</f>
        <v>34083.5789648707</v>
      </c>
      <c r="D76" s="56" t="n">
        <f aca="false">D75*D21*1000000000000000/(D45*1000000000)</f>
        <v>34083.5789648707</v>
      </c>
      <c r="E76" s="56" t="n">
        <f aca="false">E75*E21*1000000000000000/(E45*1000000000)</f>
        <v>34083.5789648707</v>
      </c>
      <c r="F76" s="56" t="n">
        <f aca="false">F75*F21*1000000000000000/(F45*1000000000)</f>
        <v>34083.5789648707</v>
      </c>
      <c r="G76" s="56" t="n">
        <f aca="false">G75*G21*1000000000000000/(G45*1000000000)</f>
        <v>22722.3859765804</v>
      </c>
      <c r="H76" s="56" t="n">
        <f aca="false">H75*H21*1000000000000000/(H45*1000000000)</f>
        <v>22722.3859765804</v>
      </c>
      <c r="I76" s="56" t="n">
        <f aca="false">I75*I21*1000000000000000/(I45*1000000000)</f>
        <v>34083.5789648707</v>
      </c>
    </row>
    <row r="77" customFormat="false" ht="15" hidden="false" customHeight="false" outlineLevel="0" collapsed="false">
      <c r="A77" s="44" t="s">
        <v>425</v>
      </c>
      <c r="B77" s="45" t="s">
        <v>398</v>
      </c>
      <c r="C77" s="52" t="n">
        <f aca="false">C49/C23+(C29+C50)*C74/1000</f>
        <v>16.263619456583</v>
      </c>
      <c r="D77" s="52" t="n">
        <f aca="false">D49/D23+(D29+D50)*D74/1000</f>
        <v>16.263619456583</v>
      </c>
      <c r="E77" s="52" t="n">
        <f aca="false">E49/E23+(E29+E50)*E74/1000</f>
        <v>16.263619456583</v>
      </c>
      <c r="F77" s="52" t="n">
        <f aca="false">F49/F23+(F29+F50)*F74/1000</f>
        <v>15.7827837738444</v>
      </c>
      <c r="G77" s="52" t="n">
        <f aca="false">G49/G23+(G29+G50)*G74/1000</f>
        <v>15.7827837738444</v>
      </c>
      <c r="H77" s="52" t="n">
        <f aca="false">H49/H23+(H29+H50)*H74/1000</f>
        <v>16.263619456583</v>
      </c>
      <c r="I77" s="52" t="n">
        <f aca="false">I49/I23+(I29+I50)*I74/1000</f>
        <v>16.263619456583</v>
      </c>
    </row>
    <row r="78" customFormat="false" ht="15" hidden="false" customHeight="false" outlineLevel="0" collapsed="false">
      <c r="A78" s="44" t="s">
        <v>426</v>
      </c>
      <c r="B78" s="45" t="s">
        <v>398</v>
      </c>
      <c r="C78" s="78" t="n">
        <f aca="false">MAX(C53/C73,C34*C40/(C23*Serving!$C$13)/1000000000,(C50+1)*C29*C31*C30*Serving!$C$12*(C48-1)/C48/(C24*Serving!$C$14)/1000000000)</f>
        <v>0.98653962000266</v>
      </c>
      <c r="D78" s="78" t="n">
        <f aca="false">MAX(D53/D73,D34*D40/(D23*Serving!$C$13)/1000000000,(D50+1)*D29*D31*D30*Serving!$C$12*(D48-1)/D48/(D24*Serving!$C$14)/1000000000)</f>
        <v>0.98653962000266</v>
      </c>
      <c r="E78" s="78" t="n">
        <f aca="false">MAX(E53/E73,E34*E40/(E23*Serving!$C$13)/1000000000,(E50+1)*E29*E31*E30*Serving!$C$12*(E48-1)/E48/(E24*Serving!$C$14)/1000000000)</f>
        <v>0.98653962000266</v>
      </c>
      <c r="F78" s="78" t="n">
        <f aca="false">MAX(F53/F73,F34*F40/(F23*Serving!$C$13)/1000000000,(F50+1)*F29*F31*F30*Serving!$C$12*(F48-1)/F48/(F24*Serving!$C$14)/1000000000)</f>
        <v>0.246634905000665</v>
      </c>
      <c r="G78" s="78" t="n">
        <f aca="false">MAX(G53/G73,G34*G40/(G23*Serving!$C$13)/1000000000,(G50+1)*G29*G31*G30*Serving!$C$12*(G48-1)/G48/(G24*Serving!$C$14)/1000000000)</f>
        <v>0.369952357500997</v>
      </c>
      <c r="H78" s="78" t="n">
        <f aca="false">MAX(H53/H73,H34*H40/(H23*Serving!$C$13)/1000000000,(H50+1)*H29*H31*H30*Serving!$C$12*(H48-1)/H48/(H24*Serving!$C$14)/1000000000)</f>
        <v>1.47980943000399</v>
      </c>
      <c r="I78" s="78" t="n">
        <f aca="false">MAX(I53/I73,I34*I40/(I23*Serving!$C$13)/1000000000,(I50+1)*I29*I31*I30*Serving!$C$12*(I48-1)/I48/(I24*Serving!$C$14)/1000000000)</f>
        <v>0.98653962000266</v>
      </c>
    </row>
    <row r="79" customFormat="false" ht="15" hidden="false" customHeight="false" outlineLevel="0" collapsed="false">
      <c r="A79" s="45" t="s">
        <v>427</v>
      </c>
      <c r="B79" s="44" t="s">
        <v>428</v>
      </c>
      <c r="C79" s="55" t="n">
        <f aca="false">(1000*C51/C14-C77)/C78</f>
        <v>19.1750394159756</v>
      </c>
      <c r="D79" s="55" t="n">
        <f aca="false">(1000*D51/D14-D77)/D78</f>
        <v>3.26494330559548</v>
      </c>
      <c r="E79" s="55" t="n">
        <f aca="false">(1000*E51/E14-E77)/E78</f>
        <v>34.8656859248332</v>
      </c>
      <c r="F79" s="55" t="n">
        <f aca="false">(1000*F51/F14-F77)/F78</f>
        <v>86.1769880590719</v>
      </c>
      <c r="G79" s="55" t="n">
        <f aca="false">(1000*G51/G14-G77)/G78</f>
        <v>57.4513253727146</v>
      </c>
      <c r="H79" s="55" t="n">
        <f aca="false">(1000*H51/H14-H77)/H78</f>
        <v>4.57062452336954</v>
      </c>
      <c r="I79" s="55" t="n">
        <f aca="false">(1000*I51/I14-I77)/I78</f>
        <v>6.85593678505431</v>
      </c>
    </row>
    <row r="80" customFormat="false" ht="15" hidden="false" customHeight="false" outlineLevel="0" collapsed="false">
      <c r="A80" s="44" t="s">
        <v>429</v>
      </c>
      <c r="B80" s="44" t="s">
        <v>428</v>
      </c>
      <c r="C80" s="56" t="n">
        <f aca="false">(C46-C49)*1000000000/(C34*C40)</f>
        <v>6118.38152813225</v>
      </c>
      <c r="D80" s="56" t="n">
        <f aca="false">(D46-D49)*1000000000/(D34*D40)</f>
        <v>6118.38152813225</v>
      </c>
      <c r="E80" s="56" t="n">
        <f aca="false">(E46-E49)*1000000000/(E34*E40)</f>
        <v>6118.38152813225</v>
      </c>
      <c r="F80" s="56" t="n">
        <f aca="false">(F46-F49)*1000000000/(F34*F40)</f>
        <v>6118.38152813225</v>
      </c>
      <c r="G80" s="56" t="n">
        <f aca="false">(G46-G49)*1000000000/(G34*G40)</f>
        <v>3458.38783330249</v>
      </c>
      <c r="H80" s="56" t="n">
        <f aca="false">(H46-H49)*1000000000/(H34*H40)</f>
        <v>3458.38783330249</v>
      </c>
      <c r="I80" s="56" t="n">
        <f aca="false">(I46-I49)*1000000000/(I34*I40)</f>
        <v>6118.38152813225</v>
      </c>
    </row>
    <row r="81" customFormat="false" ht="15" hidden="false" customHeight="false" outlineLevel="0" collapsed="false">
      <c r="A81" s="45" t="s">
        <v>430</v>
      </c>
      <c r="B81" s="44" t="s">
        <v>428</v>
      </c>
      <c r="C81" s="55" t="n">
        <f aca="false">MAX(0,MIN(C79,C80))</f>
        <v>19.1750394159756</v>
      </c>
      <c r="D81" s="55" t="n">
        <f aca="false">MAX(0,MIN(D79,D80))</f>
        <v>3.26494330559548</v>
      </c>
      <c r="E81" s="55" t="n">
        <f aca="false">MAX(0,MIN(E79,E80))</f>
        <v>34.8656859248332</v>
      </c>
      <c r="F81" s="55" t="n">
        <f aca="false">MAX(0,MIN(F79,F80))</f>
        <v>86.1769880590719</v>
      </c>
      <c r="G81" s="55" t="n">
        <f aca="false">MAX(0,MIN(G79,G80))</f>
        <v>57.4513253727146</v>
      </c>
      <c r="H81" s="55" t="n">
        <f aca="false">MAX(0,MIN(H79,H80))</f>
        <v>4.57062452336954</v>
      </c>
      <c r="I81" s="55" t="n">
        <f aca="false">MAX(0,MIN(I79,I80))</f>
        <v>6.85593678505431</v>
      </c>
    </row>
    <row r="82" customFormat="false" ht="15" hidden="false" customHeight="false" outlineLevel="0" collapsed="false">
      <c r="A82" s="45" t="s">
        <v>431</v>
      </c>
      <c r="B82" s="45" t="s">
        <v>281</v>
      </c>
      <c r="C82" s="56" t="n">
        <f aca="false">IF(C81&gt;0,C81*C51/((C77+C81*C78)/1000),0)</f>
        <v>1380.60283795024</v>
      </c>
      <c r="D82" s="56" t="n">
        <f aca="false">IF(D81&gt;0,D81*D51/((D77+D81*D78)/1000),0)</f>
        <v>424.442629727412</v>
      </c>
      <c r="E82" s="56" t="n">
        <f aca="false">IF(E81&gt;0,E81*E51/((E77+E81*E78)/1000),0)</f>
        <v>1743.28429624166</v>
      </c>
      <c r="F82" s="56" t="n">
        <f aca="false">IF(F81&gt;0,F81*F51/((F77+F81*F78)/1000),0)</f>
        <v>2326.77867759494</v>
      </c>
      <c r="G82" s="56" t="n">
        <f aca="false">IF(G81&gt;0,G81*G51/((G77+G81*G78)/1000),0)</f>
        <v>1551.18578506329</v>
      </c>
      <c r="H82" s="56" t="n">
        <f aca="false">IF(H81&gt;0,H81*H51/((H77+H81*H78)/1000),0)</f>
        <v>502.768697570649</v>
      </c>
      <c r="I82" s="56" t="n">
        <f aca="false">IF(I81&gt;0,I81*I51/((I77+I81*I78)/1000),0)</f>
        <v>754.153046355974</v>
      </c>
    </row>
    <row r="83" customFormat="false" ht="15" hidden="false" customHeight="false" outlineLevel="0" collapsed="false">
      <c r="A83" s="44" t="s">
        <v>432</v>
      </c>
      <c r="B83" s="45" t="s">
        <v>281</v>
      </c>
      <c r="C83" s="56" t="n">
        <f aca="false">IF(C82&gt;0,(C15+C16)/(C15/C76+C16/C82),0)</f>
        <v>9384.4</v>
      </c>
      <c r="D83" s="56" t="n">
        <f aca="false">IF(D82&gt;0,(D15+D16)/(D15/D76+D16/D82),0)</f>
        <v>3473.9</v>
      </c>
      <c r="E83" s="56" t="n">
        <f aca="false">IF(E82&gt;0,(E15+E16)/(E15/E76+E16/E82),0)</f>
        <v>11133.8318690023</v>
      </c>
      <c r="F83" s="56" t="n">
        <f aca="false">IF(F82&gt;0,(F15+F16)/(F15/F76+F16/F82),0)</f>
        <v>13544.102212017</v>
      </c>
      <c r="G83" s="56" t="n">
        <f aca="false">IF(G82&gt;0,(G15+G16)/(G15/G76+G16/G82),0)</f>
        <v>9029.40147467799</v>
      </c>
      <c r="H83" s="56" t="n">
        <f aca="false">IF(H82&gt;0,(H15+H16)/(H15/H76+H16/H82),0)</f>
        <v>3844.40924048186</v>
      </c>
      <c r="I83" s="56" t="n">
        <f aca="false">IF(I82&gt;0,(I15+I16)/(I15/I76+I16/I82),0)</f>
        <v>5766.61386072279</v>
      </c>
    </row>
    <row r="84" customFormat="false" ht="15" hidden="false" customHeight="false" outlineLevel="0" collapsed="false">
      <c r="A84" s="44" t="s">
        <v>433</v>
      </c>
      <c r="B84" s="45" t="s">
        <v>49</v>
      </c>
      <c r="C84" s="88" t="n">
        <f aca="false">C83/C17</f>
        <v>1</v>
      </c>
      <c r="D84" s="88" t="n">
        <f aca="false">D83/D17</f>
        <v>0.999999999999999</v>
      </c>
      <c r="E84" s="88" t="n">
        <f aca="false">E83/E17</f>
        <v>0.994092131160915</v>
      </c>
      <c r="F84" s="88" t="n">
        <f aca="false">F83/F17</f>
        <v>2.19089327273002</v>
      </c>
      <c r="G84" s="88" t="n">
        <f aca="false">G83/G17</f>
        <v>4.12489788701598</v>
      </c>
      <c r="H84" s="88" t="n">
        <f aca="false">H83/H17</f>
        <v>1.0128861126286</v>
      </c>
      <c r="I84" s="88" t="n">
        <f aca="false">I83/I17</f>
        <v>0.884124534024714</v>
      </c>
    </row>
    <row r="85" customFormat="false" ht="42" hidden="false" customHeight="true" outlineLevel="0" collapsed="false">
      <c r="A85" s="44" t="s">
        <v>434</v>
      </c>
      <c r="C85" s="74" t="s">
        <v>435</v>
      </c>
      <c r="D85" s="74" t="s">
        <v>435</v>
      </c>
      <c r="E85" s="74" t="s">
        <v>436</v>
      </c>
      <c r="F85" s="74" t="s">
        <v>437</v>
      </c>
      <c r="G85" s="74" t="s">
        <v>438</v>
      </c>
      <c r="H85" s="74" t="s">
        <v>439</v>
      </c>
      <c r="I85" s="74" t="s">
        <v>71</v>
      </c>
    </row>
    <row r="87" customFormat="false" ht="15" hidden="false" customHeight="false" outlineLevel="0" collapsed="false">
      <c r="A87" s="72" t="s">
        <v>440</v>
      </c>
      <c r="B87" s="50"/>
      <c r="C87" s="50"/>
      <c r="D87" s="50"/>
      <c r="E87" s="50"/>
      <c r="F87" s="50"/>
      <c r="G87" s="50"/>
      <c r="H87" s="50"/>
      <c r="I87" s="50"/>
      <c r="J87" s="50"/>
    </row>
    <row r="88" customFormat="false" ht="15" hidden="false" customHeight="false" outlineLevel="0" collapsed="false">
      <c r="A88" s="43" t="s">
        <v>441</v>
      </c>
      <c r="C88" s="47" t="n">
        <v>0.15</v>
      </c>
      <c r="D88" s="47" t="n">
        <v>0.3</v>
      </c>
      <c r="E88" s="47" t="n">
        <v>0.45</v>
      </c>
    </row>
    <row r="89" customFormat="false" ht="15" hidden="false" customHeight="false" outlineLevel="0" collapsed="false">
      <c r="A89" s="44" t="s">
        <v>442</v>
      </c>
      <c r="C89" s="56" t="n">
        <f aca="false">C88*$C$21*1000000000000000/($C$45*1000000000)</f>
        <v>17041.7894824353</v>
      </c>
      <c r="D89" s="56" t="n">
        <f aca="false">D88*$C$21*1000000000000000/($C$45*1000000000)</f>
        <v>34083.5789648707</v>
      </c>
      <c r="E89" s="56" t="n">
        <f aca="false">E88*$C$21*1000000000000000/($C$45*1000000000)</f>
        <v>51125.368447306</v>
      </c>
    </row>
    <row r="90" customFormat="false" ht="15" hidden="false" customHeight="false" outlineLevel="0" collapsed="false">
      <c r="A90" s="44" t="s">
        <v>443</v>
      </c>
      <c r="C90" s="56" t="n">
        <f aca="false">C88*$D$21*1000000000000000/($D$45*1000000000)</f>
        <v>17041.7894824353</v>
      </c>
      <c r="D90" s="56" t="n">
        <f aca="false">D88*$D$21*1000000000000000/($D$45*1000000000)</f>
        <v>34083.5789648707</v>
      </c>
      <c r="E90" s="56" t="n">
        <f aca="false">E88*$D$21*1000000000000000/($D$45*1000000000)</f>
        <v>51125.368447306</v>
      </c>
    </row>
    <row r="91" customFormat="false" ht="15" hidden="false" customHeight="false" outlineLevel="0" collapsed="false">
      <c r="A91" s="44" t="s">
        <v>444</v>
      </c>
      <c r="C91" s="55" t="n">
        <f aca="false">$C$16/(($C$15+$C$16)/$C$17-$C$15/C89)/$C$14</f>
        <v>28.3675890606831</v>
      </c>
      <c r="D91" s="55" t="n">
        <f aca="false">$C$16/(($C$15+$C$16)/$C$17-$C$15/D89)/$C$14</f>
        <v>19.1750394159756</v>
      </c>
      <c r="E91" s="55" t="n">
        <f aca="false">$C$16/(($C$15+$C$16)/$C$17-$C$15/E89)/$C$14</f>
        <v>17.3057259897911</v>
      </c>
    </row>
    <row r="92" customFormat="false" ht="15" hidden="false" customHeight="false" outlineLevel="0" collapsed="false">
      <c r="A92" s="44" t="s">
        <v>445</v>
      </c>
      <c r="C92" s="55" t="n">
        <f aca="false">$D$16/(($D$15+$D$16)/$D$17-$D$15/C90)/$D$14</f>
        <v>3.62619966895948</v>
      </c>
      <c r="D92" s="55" t="n">
        <f aca="false">$D$16/(($D$15+$D$16)/$D$17-$D$15/D90)/$D$14</f>
        <v>3.26494330559548</v>
      </c>
      <c r="E92" s="55" t="n">
        <f aca="false">$D$16/(($D$15+$D$16)/$D$17-$D$15/E90)/$D$14</f>
        <v>3.16000587479084</v>
      </c>
    </row>
    <row r="93" customFormat="false" ht="15" hidden="false" customHeight="false" outlineLevel="0" collapsed="false">
      <c r="A93" s="45" t="s">
        <v>446</v>
      </c>
      <c r="C93" s="86" t="n">
        <f aca="false">(C91-C92)*$C$53/(1000*($C$51/$C$14-$D$51/$D$14))</f>
        <v>0.056048595778136</v>
      </c>
      <c r="D93" s="86" t="n">
        <f aca="false">(D91-D92)*$C$53/(1000*($C$51/$C$14-$D$51/$D$14))</f>
        <v>0.0360423794946733</v>
      </c>
      <c r="E93" s="86" t="n">
        <f aca="false">(E91-E92)*$C$53/(1000*($C$51/$C$14-$D$51/$D$14))</f>
        <v>0.0320454011762781</v>
      </c>
    </row>
    <row r="94" customFormat="false" ht="15" hidden="false" customHeight="false" outlineLevel="0" collapsed="false">
      <c r="A94" s="44" t="s">
        <v>447</v>
      </c>
      <c r="C94" s="56" t="n">
        <f aca="false">((1000*$C$51/$C$14-C91*$C$53/C93)-$C$49/$C$23)*1000/($C$29+$C$50)</f>
        <v>174.661911793131</v>
      </c>
      <c r="D94" s="56" t="n">
        <f aca="false">((1000*$C$51/$C$14-D91*$C$53/D93)-$C$49/$C$23)*1000/($C$29+$C$50)</f>
        <v>160.278560912864</v>
      </c>
      <c r="E94" s="56" t="n">
        <f aca="false">((1000*$C$51/$C$14-E91*$C$53/E93)-$C$49/$C$23)*1000/($C$29+$C$50)</f>
        <v>155.820547035451</v>
      </c>
    </row>
    <row r="96" customFormat="false" ht="15" hidden="false" customHeight="false" outlineLevel="0" collapsed="false">
      <c r="A96" s="72" t="s">
        <v>448</v>
      </c>
      <c r="B96" s="50"/>
      <c r="C96" s="50"/>
      <c r="D96" s="50"/>
      <c r="E96" s="50"/>
      <c r="F96" s="50"/>
      <c r="G96" s="50"/>
      <c r="H96" s="50"/>
      <c r="I96" s="50"/>
      <c r="J96" s="50"/>
    </row>
    <row r="97" customFormat="false" ht="15" hidden="false" customHeight="false" outlineLevel="0" collapsed="false">
      <c r="A97" s="43" t="s">
        <v>449</v>
      </c>
    </row>
    <row r="98" customFormat="false" ht="26.85" hidden="false" customHeight="false" outlineLevel="0" collapsed="false">
      <c r="A98" s="44" t="s">
        <v>193</v>
      </c>
      <c r="B98" s="45" t="s">
        <v>194</v>
      </c>
      <c r="C98" s="46" t="n">
        <v>671</v>
      </c>
      <c r="J98" s="66" t="s">
        <v>450</v>
      </c>
    </row>
    <row r="99" customFormat="false" ht="15" hidden="false" customHeight="false" outlineLevel="0" collapsed="false">
      <c r="A99" s="44" t="s">
        <v>197</v>
      </c>
      <c r="B99" s="45" t="s">
        <v>194</v>
      </c>
      <c r="C99" s="46" t="n">
        <v>37</v>
      </c>
    </row>
    <row r="100" customFormat="false" ht="15" hidden="false" customHeight="false" outlineLevel="0" collapsed="false">
      <c r="A100" s="44" t="s">
        <v>199</v>
      </c>
      <c r="B100" s="44"/>
      <c r="C100" s="46" t="n">
        <v>61</v>
      </c>
    </row>
    <row r="101" customFormat="false" ht="15" hidden="false" customHeight="false" outlineLevel="0" collapsed="false">
      <c r="A101" s="45" t="s">
        <v>202</v>
      </c>
      <c r="B101" s="44"/>
      <c r="C101" s="46" t="n">
        <v>7168</v>
      </c>
    </row>
    <row r="102" customFormat="false" ht="15" hidden="false" customHeight="false" outlineLevel="0" collapsed="false">
      <c r="A102" s="45" t="s">
        <v>210</v>
      </c>
      <c r="B102" s="44"/>
      <c r="C102" s="46" t="n">
        <v>256</v>
      </c>
    </row>
    <row r="103" customFormat="false" ht="15" hidden="false" customHeight="false" outlineLevel="0" collapsed="false">
      <c r="A103" s="44" t="s">
        <v>451</v>
      </c>
      <c r="B103" s="44"/>
      <c r="C103" s="46" t="n">
        <v>8</v>
      </c>
    </row>
    <row r="104" customFormat="false" ht="15" hidden="false" customHeight="false" outlineLevel="0" collapsed="false">
      <c r="A104" s="45" t="s">
        <v>212</v>
      </c>
      <c r="B104" s="44"/>
      <c r="C104" s="46" t="n">
        <v>1</v>
      </c>
    </row>
    <row r="105" customFormat="false" ht="15" hidden="false" customHeight="false" outlineLevel="0" collapsed="false">
      <c r="A105" s="45" t="s">
        <v>213</v>
      </c>
      <c r="B105" s="44"/>
      <c r="C105" s="46" t="n">
        <v>129280</v>
      </c>
    </row>
    <row r="106" customFormat="false" ht="15" hidden="false" customHeight="false" outlineLevel="0" collapsed="false">
      <c r="A106" s="45" t="s">
        <v>452</v>
      </c>
      <c r="B106" s="45" t="s">
        <v>194</v>
      </c>
      <c r="C106" s="46" t="n">
        <v>35136</v>
      </c>
    </row>
    <row r="107" customFormat="false" ht="15" hidden="false" customHeight="false" outlineLevel="0" collapsed="false">
      <c r="A107" s="44" t="s">
        <v>453</v>
      </c>
      <c r="B107" s="45" t="s">
        <v>240</v>
      </c>
      <c r="C107" s="46" t="n">
        <v>4997120</v>
      </c>
    </row>
    <row r="108" customFormat="false" ht="15" hidden="false" customHeight="false" outlineLevel="0" collapsed="false">
      <c r="A108" s="44" t="s">
        <v>454</v>
      </c>
      <c r="B108" s="45" t="s">
        <v>217</v>
      </c>
      <c r="C108" s="46" t="n">
        <v>800</v>
      </c>
    </row>
    <row r="109" customFormat="false" ht="15" hidden="false" customHeight="false" outlineLevel="0" collapsed="false">
      <c r="A109" s="44" t="s">
        <v>455</v>
      </c>
      <c r="B109" s="45" t="s">
        <v>217</v>
      </c>
      <c r="C109" s="46" t="n">
        <v>3880</v>
      </c>
    </row>
    <row r="110" customFormat="false" ht="15" hidden="false" customHeight="false" outlineLevel="0" collapsed="false">
      <c r="A110" s="44" t="s">
        <v>235</v>
      </c>
      <c r="B110" s="45" t="s">
        <v>194</v>
      </c>
      <c r="C110" s="53" t="n">
        <f aca="false">(C98-C99)/(C100*(C102-C103))</f>
        <v>0.0419090428344791</v>
      </c>
    </row>
    <row r="111" customFormat="false" ht="15" hidden="false" customHeight="false" outlineLevel="0" collapsed="false">
      <c r="A111" s="44" t="s">
        <v>379</v>
      </c>
      <c r="B111" s="45" t="s">
        <v>194</v>
      </c>
      <c r="C111" s="55" t="n">
        <f aca="false">C99-C100*(C103+C104)*C110</f>
        <v>13.991935483871</v>
      </c>
    </row>
    <row r="112" customFormat="false" ht="15" hidden="false" customHeight="false" outlineLevel="0" collapsed="false">
      <c r="A112" s="44" t="s">
        <v>238</v>
      </c>
      <c r="B112" s="45" t="s">
        <v>194</v>
      </c>
      <c r="C112" s="56" t="n">
        <f aca="false">C98-C111</f>
        <v>657.008064516129</v>
      </c>
    </row>
    <row r="114" customFormat="false" ht="30" hidden="false" customHeight="true" outlineLevel="0" collapsed="false">
      <c r="A114" s="9" t="s">
        <v>456</v>
      </c>
      <c r="C114" s="65" t="s">
        <v>457</v>
      </c>
      <c r="D114" s="65" t="s">
        <v>458</v>
      </c>
      <c r="E114" s="65" t="s">
        <v>459</v>
      </c>
      <c r="F114" s="65" t="s">
        <v>460</v>
      </c>
    </row>
    <row r="115" customFormat="false" ht="15" hidden="false" customHeight="false" outlineLevel="0" collapsed="false">
      <c r="A115" s="44" t="s">
        <v>349</v>
      </c>
      <c r="C115" s="48" t="n">
        <v>3</v>
      </c>
      <c r="D115" s="48" t="n">
        <v>2</v>
      </c>
      <c r="E115" s="48" t="n">
        <v>4</v>
      </c>
      <c r="F115" s="48" t="n">
        <v>3</v>
      </c>
    </row>
    <row r="116" customFormat="false" ht="15" hidden="false" customHeight="false" outlineLevel="0" collapsed="false">
      <c r="A116" s="44" t="s">
        <v>461</v>
      </c>
      <c r="C116" s="89" t="n">
        <f aca="false">1000/15</f>
        <v>66.6666666666667</v>
      </c>
      <c r="D116" s="89" t="n">
        <f aca="false">1000/15</f>
        <v>66.6666666666667</v>
      </c>
      <c r="E116" s="89" t="n">
        <f aca="false">1000/15</f>
        <v>66.6666666666667</v>
      </c>
      <c r="F116" s="89" t="n">
        <f aca="false">1000/80</f>
        <v>12.5</v>
      </c>
    </row>
    <row r="117" customFormat="false" ht="15" hidden="false" customHeight="false" outlineLevel="0" collapsed="false">
      <c r="A117" s="44" t="s">
        <v>462</v>
      </c>
      <c r="C117" s="48" t="n">
        <v>1</v>
      </c>
      <c r="D117" s="48" t="n">
        <v>1</v>
      </c>
      <c r="E117" s="48" t="n">
        <v>1</v>
      </c>
      <c r="F117" s="48" t="n">
        <v>0</v>
      </c>
      <c r="J117" s="66" t="s">
        <v>463</v>
      </c>
    </row>
    <row r="118" customFormat="false" ht="26.85" hidden="false" customHeight="false" outlineLevel="0" collapsed="false">
      <c r="A118" s="45" t="s">
        <v>464</v>
      </c>
      <c r="C118" s="63" t="n">
        <f aca="false">253506/72</f>
        <v>3520.91666666667</v>
      </c>
      <c r="D118" s="63" t="n">
        <f aca="false">240318/72</f>
        <v>3337.75</v>
      </c>
      <c r="E118" s="63" t="n">
        <f aca="false">652750/72</f>
        <v>9065.97222222222</v>
      </c>
      <c r="F118" s="63" t="n">
        <v>8064</v>
      </c>
      <c r="J118" s="66" t="s">
        <v>465</v>
      </c>
    </row>
    <row r="119" customFormat="false" ht="15" hidden="false" customHeight="false" outlineLevel="0" collapsed="false">
      <c r="A119" s="44" t="s">
        <v>369</v>
      </c>
      <c r="B119" s="45" t="s">
        <v>466</v>
      </c>
      <c r="C119" s="75" t="n">
        <f aca="false">INDEX(Spec_Rack!$C$35:$G$35,C115)</f>
        <v>15</v>
      </c>
      <c r="D119" s="75" t="n">
        <f aca="false">INDEX(Spec_Rack!$C$35:$G$35,D115)</f>
        <v>10</v>
      </c>
      <c r="E119" s="75" t="n">
        <f aca="false">INDEX(Spec_Rack!$C$35:$G$35,E115)</f>
        <v>35</v>
      </c>
      <c r="F119" s="75" t="n">
        <f aca="false">INDEX(Spec_Rack!$C$35:$G$35,F115)</f>
        <v>15</v>
      </c>
    </row>
    <row r="120" customFormat="false" ht="15" hidden="false" customHeight="false" outlineLevel="0" collapsed="false">
      <c r="A120" s="45" t="s">
        <v>467</v>
      </c>
      <c r="B120" s="45" t="s">
        <v>242</v>
      </c>
      <c r="C120" s="76" t="n">
        <f aca="false">INDEX(Spec_Rack!$C$25:$G$25,C115)</f>
        <v>288</v>
      </c>
      <c r="D120" s="76" t="n">
        <f aca="false">INDEX(Spec_Rack!$C$25:$G$25,D115)</f>
        <v>186</v>
      </c>
      <c r="E120" s="76" t="n">
        <f aca="false">INDEX(Spec_Rack!$C$25:$G$25,E115)</f>
        <v>288</v>
      </c>
      <c r="F120" s="76" t="n">
        <f aca="false">INDEX(Spec_Rack!$C$25:$G$25,F115)</f>
        <v>288</v>
      </c>
    </row>
    <row r="121" customFormat="false" ht="15" hidden="false" customHeight="false" outlineLevel="0" collapsed="false">
      <c r="A121" s="45" t="s">
        <v>372</v>
      </c>
      <c r="B121" s="45" t="s">
        <v>373</v>
      </c>
      <c r="C121" s="77" t="n">
        <f aca="false">INDEX(Spec_Rack!$C$26:$G$26,C115)</f>
        <v>8</v>
      </c>
      <c r="D121" s="77" t="n">
        <f aca="false">INDEX(Spec_Rack!$C$26:$G$26,D115)</f>
        <v>8</v>
      </c>
      <c r="E121" s="77" t="n">
        <f aca="false">INDEX(Spec_Rack!$C$26:$G$26,E115)</f>
        <v>22</v>
      </c>
      <c r="F121" s="77" t="n">
        <f aca="false">INDEX(Spec_Rack!$C$26:$G$26,F115)</f>
        <v>8</v>
      </c>
    </row>
    <row r="122" customFormat="false" ht="15" hidden="false" customHeight="false" outlineLevel="0" collapsed="false">
      <c r="A122" s="45" t="s">
        <v>468</v>
      </c>
      <c r="B122" s="45" t="s">
        <v>373</v>
      </c>
      <c r="C122" s="77" t="n">
        <f aca="false">INDEX(Spec_Rack!$C$27:$G$27,C115)</f>
        <v>0.9</v>
      </c>
      <c r="D122" s="77" t="n">
        <f aca="false">INDEX(Spec_Rack!$C$27:$G$27,D115)</f>
        <v>0.9</v>
      </c>
      <c r="E122" s="77" t="n">
        <f aca="false">INDEX(Spec_Rack!$C$27:$G$27,E115)</f>
        <v>1.8</v>
      </c>
      <c r="F122" s="77" t="n">
        <f aca="false">INDEX(Spec_Rack!$C$27:$G$27,F115)</f>
        <v>0.9</v>
      </c>
    </row>
    <row r="123" customFormat="false" ht="15" hidden="false" customHeight="false" outlineLevel="0" collapsed="false">
      <c r="A123" s="45" t="s">
        <v>469</v>
      </c>
      <c r="B123" s="44"/>
      <c r="C123" s="76" t="n">
        <f aca="false">INDEX(Spec_Rack!$C$29:$G$29,C115)</f>
        <v>32</v>
      </c>
      <c r="D123" s="76" t="n">
        <f aca="false">INDEX(Spec_Rack!$C$29:$G$29,D115)</f>
        <v>32</v>
      </c>
      <c r="E123" s="76" t="n">
        <f aca="false">INDEX(Spec_Rack!$C$29:$G$29,E115)</f>
        <v>32</v>
      </c>
      <c r="F123" s="76" t="n">
        <f aca="false">INDEX(Spec_Rack!$C$29:$G$29,F115)</f>
        <v>32</v>
      </c>
    </row>
    <row r="124" customFormat="false" ht="15" hidden="false" customHeight="false" outlineLevel="0" collapsed="false">
      <c r="A124" s="44" t="s">
        <v>470</v>
      </c>
      <c r="B124" s="44"/>
      <c r="C124" s="78" t="n">
        <f aca="false">INDEX(Spec_Rack!$C$30:$G$30,C115)</f>
        <v>0.5625</v>
      </c>
      <c r="D124" s="78" t="n">
        <f aca="false">INDEX(Spec_Rack!$C$30:$G$30,D115)</f>
        <v>0.5625</v>
      </c>
      <c r="E124" s="78" t="n">
        <f aca="false">INDEX(Spec_Rack!$C$30:$G$30,E115)</f>
        <v>0.5625</v>
      </c>
      <c r="F124" s="78" t="n">
        <f aca="false">INDEX(Spec_Rack!$C$30:$G$30,F115)</f>
        <v>0.5625</v>
      </c>
    </row>
    <row r="125" customFormat="false" ht="15" hidden="false" customHeight="false" outlineLevel="0" collapsed="false">
      <c r="A125" s="44" t="s">
        <v>471</v>
      </c>
      <c r="B125" s="44"/>
      <c r="C125" s="79" t="n">
        <f aca="false">INDEX(Spec_Rack!$C$31:$G$31,C115)</f>
        <v>1</v>
      </c>
      <c r="D125" s="79" t="n">
        <f aca="false">INDEX(Spec_Rack!$C$31:$G$31,D115)</f>
        <v>1</v>
      </c>
      <c r="E125" s="79" t="n">
        <f aca="false">INDEX(Spec_Rack!$C$31:$G$31,E115)</f>
        <v>1</v>
      </c>
      <c r="F125" s="79" t="n">
        <f aca="false">INDEX(Spec_Rack!$C$31:$G$31,F115)</f>
        <v>1</v>
      </c>
    </row>
    <row r="126" customFormat="false" ht="15" hidden="false" customHeight="false" outlineLevel="0" collapsed="false">
      <c r="A126" s="44" t="s">
        <v>390</v>
      </c>
      <c r="B126" s="45" t="s">
        <v>242</v>
      </c>
      <c r="C126" s="76" t="n">
        <f aca="false">C120*(1-Serving!$C$9)</f>
        <v>259.2</v>
      </c>
      <c r="D126" s="76" t="n">
        <f aca="false">D120*(1-Serving!$C$9)</f>
        <v>167.4</v>
      </c>
      <c r="E126" s="76" t="n">
        <f aca="false">E120*(1-Serving!$C$9)</f>
        <v>259.2</v>
      </c>
      <c r="F126" s="76" t="n">
        <f aca="false">F120*(1-Serving!$C$9)</f>
        <v>259.2</v>
      </c>
    </row>
    <row r="127" customFormat="false" ht="15" hidden="false" customHeight="false" outlineLevel="0" collapsed="false">
      <c r="A127" s="44" t="s">
        <v>472</v>
      </c>
      <c r="B127" s="44"/>
      <c r="C127" s="82" t="n">
        <f aca="false">MAX(1,CEILING($C$111*C125/(Serving!$C$10*C126),1))</f>
        <v>1</v>
      </c>
      <c r="D127" s="82" t="n">
        <f aca="false">MAX(1,CEILING($C$111*D125/(Serving!$C$10*D126),1))</f>
        <v>1</v>
      </c>
      <c r="E127" s="82" t="n">
        <f aca="false">MAX(1,CEILING($C$111*E125/(Serving!$C$10*E126),1))</f>
        <v>1</v>
      </c>
      <c r="F127" s="82" t="n">
        <f aca="false">MAX(1,CEILING($C$111*F125/(Serving!$C$10*F126),1))</f>
        <v>1</v>
      </c>
    </row>
    <row r="128" customFormat="false" ht="15" hidden="false" customHeight="false" outlineLevel="0" collapsed="false">
      <c r="A128" s="45" t="s">
        <v>392</v>
      </c>
      <c r="B128" s="44"/>
      <c r="C128" s="76" t="n">
        <f aca="false">MAX(C123,CEILING($C$112*C124/(Serving!$C$11*C126),1))</f>
        <v>32</v>
      </c>
      <c r="D128" s="76" t="n">
        <f aca="false">MAX(D123,CEILING($C$112*D124/(Serving!$C$11*D126),1))</f>
        <v>32</v>
      </c>
      <c r="E128" s="76" t="n">
        <f aca="false">MAX(E123,CEILING($C$112*E124/(Serving!$C$11*E126),1))</f>
        <v>32</v>
      </c>
      <c r="F128" s="76" t="n">
        <f aca="false">MAX(F123,CEILING($C$112*F124/(Serving!$C$11*F126),1))</f>
        <v>32</v>
      </c>
    </row>
    <row r="129" customFormat="false" ht="15" hidden="false" customHeight="false" outlineLevel="0" collapsed="false">
      <c r="A129" s="44" t="s">
        <v>393</v>
      </c>
      <c r="B129" s="45" t="s">
        <v>242</v>
      </c>
      <c r="C129" s="55" t="n">
        <f aca="false">$C$111*C125/C127+$C$112*C124/C128</f>
        <v>25.5409053679435</v>
      </c>
      <c r="D129" s="55" t="n">
        <f aca="false">$C$111*D125/D127+$C$112*D124/D128</f>
        <v>25.5409053679435</v>
      </c>
      <c r="E129" s="55" t="n">
        <f aca="false">$C$111*E125/E127+$C$112*E124/E128</f>
        <v>25.5409053679435</v>
      </c>
      <c r="F129" s="55" t="n">
        <f aca="false">$C$111*F125/F127+$C$112*F124/F128</f>
        <v>25.5409053679435</v>
      </c>
    </row>
    <row r="130" customFormat="false" ht="15" hidden="false" customHeight="false" outlineLevel="0" collapsed="false">
      <c r="A130" s="45" t="s">
        <v>288</v>
      </c>
      <c r="B130" s="45" t="s">
        <v>217</v>
      </c>
      <c r="C130" s="56" t="n">
        <f aca="false">$C$108+$C$109/2</f>
        <v>2740</v>
      </c>
      <c r="D130" s="56" t="n">
        <f aca="false">$C$108+$C$109/2</f>
        <v>2740</v>
      </c>
      <c r="E130" s="56" t="n">
        <f aca="false">$C$108+$C$109/2</f>
        <v>2740</v>
      </c>
      <c r="F130" s="56" t="n">
        <f aca="false">$C$108+$C$109/2</f>
        <v>2740</v>
      </c>
    </row>
    <row r="131" customFormat="false" ht="15" hidden="false" customHeight="false" outlineLevel="0" collapsed="false">
      <c r="A131" s="45" t="s">
        <v>386</v>
      </c>
      <c r="B131" s="45" t="s">
        <v>387</v>
      </c>
      <c r="C131" s="55" t="n">
        <f aca="false">(2*$C$99*1000000000+$C$107*C130)/1000000000</f>
        <v>87.6921088</v>
      </c>
      <c r="D131" s="55" t="n">
        <f aca="false">(2*$C$99*1000000000+$C$107*D130)/1000000000</f>
        <v>87.6921088</v>
      </c>
      <c r="E131" s="55" t="n">
        <f aca="false">(2*$C$99*1000000000+$C$107*E130)/1000000000</f>
        <v>87.6921088</v>
      </c>
      <c r="F131" s="55" t="n">
        <f aca="false">(2*$C$99*1000000000+$C$107*F130)/1000000000</f>
        <v>87.6921088</v>
      </c>
    </row>
    <row r="132" customFormat="false" ht="15" hidden="false" customHeight="false" outlineLevel="0" collapsed="false">
      <c r="A132" s="45" t="s">
        <v>389</v>
      </c>
      <c r="B132" s="45" t="s">
        <v>387</v>
      </c>
      <c r="C132" s="55" t="n">
        <f aca="false">(2*$C$99*1000000000+$C$107*$C$108/2)/1000000000</f>
        <v>75.998848</v>
      </c>
      <c r="D132" s="55" t="n">
        <f aca="false">(2*$C$99*1000000000+$C$107*$C$108/2)/1000000000</f>
        <v>75.998848</v>
      </c>
      <c r="E132" s="55" t="n">
        <f aca="false">(2*$C$99*1000000000+$C$107*$C$108/2)/1000000000</f>
        <v>75.998848</v>
      </c>
      <c r="F132" s="55" t="n">
        <f aca="false">(2*$C$99*1000000000+$C$107*$C$108/2)/1000000000</f>
        <v>75.998848</v>
      </c>
    </row>
    <row r="133" customFormat="false" ht="15" hidden="false" customHeight="false" outlineLevel="0" collapsed="false">
      <c r="A133" s="44" t="s">
        <v>473</v>
      </c>
      <c r="B133" s="44"/>
      <c r="C133" s="82" t="n">
        <f aca="false">Serving!$C$6*C117</f>
        <v>3</v>
      </c>
      <c r="D133" s="82" t="n">
        <f aca="false">Serving!$C$6*D117</f>
        <v>3</v>
      </c>
      <c r="E133" s="82" t="n">
        <f aca="false">Serving!$C$6*E117</f>
        <v>3</v>
      </c>
      <c r="F133" s="82" t="n">
        <f aca="false">Serving!$C$6*F117</f>
        <v>0</v>
      </c>
    </row>
    <row r="134" customFormat="false" ht="15" hidden="false" customHeight="false" outlineLevel="0" collapsed="false">
      <c r="A134" s="44" t="s">
        <v>474</v>
      </c>
      <c r="B134" s="44"/>
      <c r="C134" s="79" t="n">
        <f aca="false">IF(C117=1,Serving!$C$8,1)</f>
        <v>2.533</v>
      </c>
      <c r="D134" s="79" t="n">
        <f aca="false">IF(D117=1,Serving!$C$8,1)</f>
        <v>2.533</v>
      </c>
      <c r="E134" s="79" t="n">
        <f aca="false">IF(E117=1,Serving!$C$8,1)</f>
        <v>2.533</v>
      </c>
      <c r="F134" s="79" t="n">
        <f aca="false">IF(F117=1,Serving!$C$8,1)</f>
        <v>1</v>
      </c>
    </row>
    <row r="135" customFormat="false" ht="15" hidden="false" customHeight="false" outlineLevel="0" collapsed="false">
      <c r="A135" s="45" t="s">
        <v>421</v>
      </c>
      <c r="B135" s="45" t="s">
        <v>45</v>
      </c>
      <c r="C135" s="86" t="n">
        <f aca="false">INDEX($C$68:$G$68,C115)</f>
        <v>0.0360423794946733</v>
      </c>
      <c r="D135" s="86" t="n">
        <f aca="false">INDEX($C$68:$G$68,D115)</f>
        <v>0.0360423794946733</v>
      </c>
      <c r="E135" s="86" t="n">
        <f aca="false">INDEX($C$68:$G$68,E115)</f>
        <v>0.0360423794946733</v>
      </c>
      <c r="F135" s="86" t="n">
        <f aca="false">INDEX($C$68:$G$68,F115)</f>
        <v>0.0360423794946733</v>
      </c>
    </row>
    <row r="136" customFormat="false" ht="15" hidden="false" customHeight="false" outlineLevel="0" collapsed="false">
      <c r="A136" s="44" t="s">
        <v>422</v>
      </c>
      <c r="B136" s="45" t="s">
        <v>408</v>
      </c>
      <c r="C136" s="56" t="n">
        <f aca="false">INDEX($C$69:$G$69,C115)</f>
        <v>160.278560912864</v>
      </c>
      <c r="D136" s="56" t="n">
        <f aca="false">INDEX($C$69:$G$69,D115)</f>
        <v>160.278560912864</v>
      </c>
      <c r="E136" s="56" t="n">
        <f aca="false">INDEX($C$69:$G$69,E115)</f>
        <v>160.278560912864</v>
      </c>
      <c r="F136" s="56" t="n">
        <f aca="false">INDEX($C$69:$G$69,F115)</f>
        <v>160.278560912864</v>
      </c>
    </row>
    <row r="137" customFormat="false" ht="15" hidden="false" customHeight="false" outlineLevel="0" collapsed="false">
      <c r="A137" s="45" t="s">
        <v>423</v>
      </c>
      <c r="B137" s="45" t="s">
        <v>45</v>
      </c>
      <c r="C137" s="87" t="n">
        <f aca="false">INDEX($C$70:$G$70,C115)</f>
        <v>0.3</v>
      </c>
      <c r="D137" s="87" t="n">
        <f aca="false">INDEX($C$70:$G$70,D115)</f>
        <v>0.3</v>
      </c>
      <c r="E137" s="87" t="n">
        <f aca="false">INDEX($C$70:$G$70,E115)</f>
        <v>0.3</v>
      </c>
      <c r="F137" s="87" t="n">
        <f aca="false">INDEX($C$70:$G$70,F115)</f>
        <v>0.3</v>
      </c>
    </row>
    <row r="138" customFormat="false" ht="15" hidden="false" customHeight="false" outlineLevel="0" collapsed="false">
      <c r="A138" s="45" t="s">
        <v>424</v>
      </c>
      <c r="B138" s="45" t="s">
        <v>281</v>
      </c>
      <c r="C138" s="56" t="n">
        <f aca="false">C137*C119*1000000000000000/(C132*1000000000)</f>
        <v>59211.4238363192</v>
      </c>
      <c r="D138" s="56" t="n">
        <f aca="false">D137*D119*1000000000000000/(D132*1000000000)</f>
        <v>39474.2825575461</v>
      </c>
      <c r="E138" s="56" t="n">
        <f aca="false">E137*E119*1000000000000000/(E132*1000000000)</f>
        <v>138159.988951411</v>
      </c>
      <c r="F138" s="56" t="n">
        <f aca="false">F137*F119*1000000000000000/(F132*1000000000)</f>
        <v>59211.4238363192</v>
      </c>
    </row>
    <row r="139" customFormat="false" ht="15" hidden="false" customHeight="false" outlineLevel="0" collapsed="false">
      <c r="A139" s="44" t="s">
        <v>425</v>
      </c>
      <c r="B139" s="45" t="s">
        <v>398</v>
      </c>
      <c r="C139" s="52" t="n">
        <f aca="false">C129/C121+($C$100+C133)*C136/1000</f>
        <v>13.4504410694162</v>
      </c>
      <c r="D139" s="52" t="n">
        <f aca="false">D129/D121+($C$100+D133)*D136/1000</f>
        <v>13.4504410694162</v>
      </c>
      <c r="E139" s="52" t="n">
        <f aca="false">E129/E121+($C$100+E133)*E136/1000</f>
        <v>11.4187781424207</v>
      </c>
      <c r="F139" s="52" t="n">
        <f aca="false">F129/F121+($C$100+F133)*F136/1000</f>
        <v>12.9696053866776</v>
      </c>
    </row>
    <row r="140" customFormat="false" ht="15" hidden="false" customHeight="false" outlineLevel="0" collapsed="false">
      <c r="A140" s="44" t="s">
        <v>426</v>
      </c>
      <c r="B140" s="45" t="s">
        <v>398</v>
      </c>
      <c r="C140" s="78" t="n">
        <f aca="false">MAX((C133+1)*C131/(C119*C135)/1000,$C$106*C130/(C121*Serving!$C$13)/1000000000,(C133+1)*$C$100*$C$103*$C$101*Serving!$C$12*(C128-1)/C128/(C122*Serving!$C$14)/1000000000)</f>
        <v>0.648807394920268</v>
      </c>
      <c r="D140" s="78" t="n">
        <f aca="false">MAX((D133+1)*D131/(D119*D135)/1000,$C$106*D130/(D121*Serving!$C$13)/1000000000,(D133+1)*$C$100*$C$103*$C$101*Serving!$C$12*(D128-1)/D128/(D122*Serving!$C$14)/1000000000)</f>
        <v>0.973211092380401</v>
      </c>
      <c r="E140" s="78" t="n">
        <f aca="false">MAX((E133+1)*E131/(E119*E135)/1000,$C$106*E130/(E121*Serving!$C$13)/1000000000,(E133+1)*$C$100*$C$103*$C$101*Serving!$C$12*(E128-1)/E128/(E122*Serving!$C$14)/1000000000)</f>
        <v>0.278060312108686</v>
      </c>
      <c r="F140" s="78" t="n">
        <f aca="false">MAX((F133+1)*F131/(F119*F135)/1000,$C$106*F130/(F121*Serving!$C$13)/1000000000,(F133+1)*$C$100*$C$103*$C$101*Serving!$C$12*(F128-1)/F128/(F122*Serving!$C$14)/1000000000)</f>
        <v>0.162201848730067</v>
      </c>
    </row>
    <row r="141" customFormat="false" ht="15" hidden="false" customHeight="false" outlineLevel="0" collapsed="false">
      <c r="A141" s="45" t="s">
        <v>430</v>
      </c>
      <c r="B141" s="44" t="s">
        <v>428</v>
      </c>
      <c r="C141" s="55" t="n">
        <f aca="false">MAX(0,MIN((1000*C134/C116-C139)/C140,(C126-C129)*1000000000/($C$106*C130)))</f>
        <v>37.8302700042438</v>
      </c>
      <c r="D141" s="55" t="n">
        <f aca="false">MAX(0,MIN((1000*D134/D116-D139)/D140,(D126-D129)*1000000000/($C$106*D130)))</f>
        <v>25.2201800028292</v>
      </c>
      <c r="E141" s="55" t="n">
        <f aca="false">MAX(0,MIN((1000*E134/E116-E139)/E140,(E126-E129)*1000000000/($C$106*E130)))</f>
        <v>95.5771848777591</v>
      </c>
      <c r="F141" s="55" t="n">
        <f aca="false">MAX(0,MIN((1000*F134/F116-F139)/F140,(F126-F129)*1000000000/($C$106*F130)))</f>
        <v>413.252963132825</v>
      </c>
    </row>
    <row r="142" customFormat="false" ht="15" hidden="false" customHeight="false" outlineLevel="0" collapsed="false">
      <c r="A142" s="45" t="s">
        <v>431</v>
      </c>
      <c r="B142" s="45" t="s">
        <v>281</v>
      </c>
      <c r="C142" s="56" t="n">
        <f aca="false">IF(C141&gt;0,C141*C134/((C139+C141*C140)/1000),0)</f>
        <v>2522.01800028292</v>
      </c>
      <c r="D142" s="56" t="n">
        <f aca="false">IF(D141&gt;0,D141*D134/((D139+D141*D140)/1000),0)</f>
        <v>1681.34533352195</v>
      </c>
      <c r="E142" s="56" t="n">
        <f aca="false">IF(E141&gt;0,E141*E134/((E139+E141*E140)/1000),0)</f>
        <v>6371.81232518394</v>
      </c>
      <c r="F142" s="56" t="n">
        <f aca="false">IF(F141&gt;0,F141*F134/((F139+F141*F140)/1000),0)</f>
        <v>5165.66203916031</v>
      </c>
    </row>
    <row r="143" customFormat="false" ht="15" hidden="false" customHeight="false" outlineLevel="0" collapsed="false">
      <c r="A143" s="44" t="s">
        <v>475</v>
      </c>
      <c r="B143" s="45" t="s">
        <v>281</v>
      </c>
      <c r="C143" s="56" t="n">
        <f aca="false">IF(C142&gt;0,$C$109/($C$108/C138+$C$109/C142),0)</f>
        <v>2500.06207566831</v>
      </c>
      <c r="D143" s="56" t="n">
        <f aca="false">IF(D142&gt;0,$C$109/($C$108/D138+$C$109/D142),0)</f>
        <v>1666.70805044554</v>
      </c>
      <c r="E143" s="56" t="n">
        <f aca="false">IF(E142&gt;0,$C$109/($C$108/E138+$C$109/E142),0)</f>
        <v>6311.7929197194</v>
      </c>
      <c r="F143" s="56" t="n">
        <f aca="false">IF(F142&gt;0,$C$109/($C$108/F138+$C$109/F142),0)</f>
        <v>5074.38487267203</v>
      </c>
    </row>
    <row r="144" customFormat="false" ht="15" hidden="false" customHeight="false" outlineLevel="0" collapsed="false">
      <c r="A144" s="44" t="s">
        <v>476</v>
      </c>
      <c r="B144" s="45" t="s">
        <v>49</v>
      </c>
      <c r="C144" s="88" t="n">
        <f aca="false">C143/C118</f>
        <v>0.710059996402918</v>
      </c>
      <c r="D144" s="88" t="n">
        <f aca="false">D143/D118</f>
        <v>0.499350775356314</v>
      </c>
      <c r="E144" s="88" t="n">
        <f aca="false">E143/E118</f>
        <v>0.696206955526307</v>
      </c>
      <c r="F144" s="88" t="n">
        <f aca="false">F143/F118</f>
        <v>0.629263997107147</v>
      </c>
    </row>
    <row r="145" customFormat="false" ht="26.85" hidden="false" customHeight="false" outlineLevel="0" collapsed="false">
      <c r="A145" s="45" t="s">
        <v>477</v>
      </c>
      <c r="C145" s="88" t="n">
        <f aca="false">E143/C143</f>
        <v>2.52465448004212</v>
      </c>
      <c r="J145" s="66" t="s">
        <v>478</v>
      </c>
    </row>
    <row r="146" customFormat="false" ht="15" hidden="false" customHeight="false" outlineLevel="0" collapsed="false">
      <c r="A146" s="45" t="s">
        <v>479</v>
      </c>
      <c r="C146" s="88" t="n">
        <f aca="false">E118/C118</f>
        <v>2.5748897461993</v>
      </c>
    </row>
    <row r="147" customFormat="false" ht="26.85" hidden="false" customHeight="false" outlineLevel="0" collapsed="false">
      <c r="A147" s="45" t="s">
        <v>480</v>
      </c>
      <c r="C147" s="57" t="n">
        <f aca="false">C143/D143</f>
        <v>1.5</v>
      </c>
      <c r="D147" s="57" t="n">
        <f aca="false">C118/D118</f>
        <v>1.05487728759394</v>
      </c>
      <c r="J147" s="74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1" t="s">
        <v>482</v>
      </c>
    </row>
    <row r="2" customFormat="false" ht="15" hidden="false" customHeight="false" outlineLevel="0" collapsed="false">
      <c r="A2" s="42" t="s">
        <v>483</v>
      </c>
    </row>
    <row r="4" customFormat="false" ht="15" hidden="false" customHeight="false" outlineLevel="0" collapsed="false">
      <c r="A4" s="9" t="s">
        <v>110</v>
      </c>
      <c r="C4" s="62" t="str">
        <f aca="false">INDEX(Spec_Rack!$C$4:$G$4,C6)</f>
        <v>Hopper H100</v>
      </c>
      <c r="D4" s="62" t="str">
        <f aca="false">INDEX(Spec_Rack!$C$4:$G$4,D6)</f>
        <v>Hopper H100</v>
      </c>
      <c r="E4" s="62" t="str">
        <f aca="false">INDEX(Spec_Rack!$C$4:$G$4,E6)</f>
        <v>Hopper H100</v>
      </c>
      <c r="F4" s="62" t="str">
        <f aca="false">INDEX(Spec_Rack!$C$4:$G$4,F6)</f>
        <v>GB200 NVL72</v>
      </c>
      <c r="G4" s="62" t="str">
        <f aca="false">INDEX(Spec_Rack!$C$4:$G$4,G6)</f>
        <v>GB200 NVL72</v>
      </c>
      <c r="H4" s="62" t="str">
        <f aca="false">INDEX(Spec_Rack!$C$4:$G$4,H6)</f>
        <v>GB200 NVL72</v>
      </c>
      <c r="I4" s="62" t="str">
        <f aca="false">INDEX(Spec_Rack!$C$4:$G$4,I6)</f>
        <v>GB300 NVL72</v>
      </c>
      <c r="J4" s="62" t="str">
        <f aca="false">INDEX(Spec_Rack!$C$4:$G$4,J6)</f>
        <v>GB300 NVL72</v>
      </c>
      <c r="K4" s="62" t="str">
        <f aca="false">INDEX(Spec_Rack!$C$4:$G$4,K6)</f>
        <v>GB300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Rubin Ultra NVL576</v>
      </c>
      <c r="P4" s="62" t="str">
        <f aca="false">INDEX(Spec_Rack!$C$4:$G$4,P6)</f>
        <v>Rubin Ultra NVL576</v>
      </c>
      <c r="Q4" s="62" t="str">
        <f aca="false">INDEX(Spec_Rack!$C$4:$G$4,Q6)</f>
        <v>Rubin Ultra NVL576</v>
      </c>
    </row>
    <row r="5" customFormat="false" ht="15" hidden="false" customHeight="false" outlineLevel="0" collapsed="false">
      <c r="A5" s="9" t="s">
        <v>484</v>
      </c>
      <c r="C5" s="62" t="str">
        <f aca="false">INDEX(Arch!$C$4:$E$4,C7)</f>
        <v>Luna（低層）</v>
      </c>
      <c r="D5" s="62" t="str">
        <f aca="false">INDEX(Arch!$C$4:$E$4,D7)</f>
        <v>Sol（中層）</v>
      </c>
      <c r="E5" s="62" t="str">
        <f aca="false">INDEX(Arch!$C$4:$E$4,E7)</f>
        <v>Astra（頂層）</v>
      </c>
      <c r="F5" s="62" t="str">
        <f aca="false">INDEX(Arch!$C$4:$E$4,F7)</f>
        <v>Luna（低層）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Luna（低層）</v>
      </c>
      <c r="J5" s="62" t="str">
        <f aca="false">INDEX(Arch!$C$4:$E$4,J7)</f>
        <v>Sol（中層）</v>
      </c>
      <c r="K5" s="62" t="str">
        <f aca="false">INDEX(Arch!$C$4:$E$4,K7)</f>
        <v>Astra（頂層）</v>
      </c>
      <c r="L5" s="62" t="str">
        <f aca="false">INDEX(Arch!$C$4:$E$4,L7)</f>
        <v>Luna（低層）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Luna（低層）</v>
      </c>
      <c r="P5" s="62" t="str">
        <f aca="false">INDEX(Arch!$C$4:$E$4,P7)</f>
        <v>Sol（中層）</v>
      </c>
      <c r="Q5" s="62" t="str">
        <f aca="false">INDEX(Arch!$C$4:$E$4,Q7)</f>
        <v>Astra（頂層）</v>
      </c>
    </row>
    <row r="6" customFormat="false" ht="15" hidden="false" customHeight="false" outlineLevel="0" collapsed="false">
      <c r="A6" s="9" t="s">
        <v>349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9" t="s">
        <v>485</v>
      </c>
      <c r="C7" s="48" t="n">
        <v>1</v>
      </c>
      <c r="D7" s="48" t="n">
        <v>2</v>
      </c>
      <c r="E7" s="48" t="n">
        <v>3</v>
      </c>
      <c r="F7" s="48" t="n">
        <v>1</v>
      </c>
      <c r="G7" s="48" t="n">
        <v>2</v>
      </c>
      <c r="H7" s="48" t="n">
        <v>3</v>
      </c>
      <c r="I7" s="48" t="n">
        <v>1</v>
      </c>
      <c r="J7" s="48" t="n">
        <v>2</v>
      </c>
      <c r="K7" s="48" t="n">
        <v>3</v>
      </c>
      <c r="L7" s="48" t="n">
        <v>1</v>
      </c>
      <c r="M7" s="48" t="n">
        <v>2</v>
      </c>
      <c r="N7" s="48" t="n">
        <v>3</v>
      </c>
      <c r="O7" s="48" t="n">
        <v>1</v>
      </c>
      <c r="P7" s="48" t="n">
        <v>2</v>
      </c>
      <c r="Q7" s="48" t="n">
        <v>3</v>
      </c>
    </row>
    <row r="9" customFormat="false" ht="15" hidden="false" customHeight="false" outlineLevel="0" collapsed="false">
      <c r="A9" s="72" t="s">
        <v>486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customFormat="false" ht="15" hidden="false" customHeight="false" outlineLevel="0" collapsed="false">
      <c r="A10" s="44" t="s">
        <v>369</v>
      </c>
      <c r="B10" s="45" t="s">
        <v>370</v>
      </c>
      <c r="C10" s="75" t="n">
        <f aca="false">INDEX(Spec_Rack!$C$35:$G$35,C$6)</f>
        <v>0.989</v>
      </c>
      <c r="D10" s="75" t="n">
        <f aca="false">INDEX(Spec_Rack!$C$35:$G$35,D$6)</f>
        <v>0.989</v>
      </c>
      <c r="E10" s="75" t="n">
        <f aca="false">INDEX(Spec_Rack!$C$35:$G$35,E$6)</f>
        <v>0.989</v>
      </c>
      <c r="F10" s="75" t="n">
        <f aca="false">INDEX(Spec_Rack!$C$35:$G$35,F$6)</f>
        <v>10</v>
      </c>
      <c r="G10" s="75" t="n">
        <f aca="false">INDEX(Spec_Rack!$C$35:$G$35,G$6)</f>
        <v>10</v>
      </c>
      <c r="H10" s="75" t="n">
        <f aca="false">INDEX(Spec_Rack!$C$35:$G$35,H$6)</f>
        <v>10</v>
      </c>
      <c r="I10" s="75" t="n">
        <f aca="false">INDEX(Spec_Rack!$C$35:$G$35,I$6)</f>
        <v>15</v>
      </c>
      <c r="J10" s="75" t="n">
        <f aca="false">INDEX(Spec_Rack!$C$35:$G$35,J$6)</f>
        <v>15</v>
      </c>
      <c r="K10" s="75" t="n">
        <f aca="false">INDEX(Spec_Rack!$C$35:$G$35,K$6)</f>
        <v>15</v>
      </c>
      <c r="L10" s="75" t="n">
        <f aca="false">INDEX(Spec_Rack!$C$35:$G$35,L$6)</f>
        <v>35</v>
      </c>
      <c r="M10" s="75" t="n">
        <f aca="false">INDEX(Spec_Rack!$C$35:$G$35,M$6)</f>
        <v>35</v>
      </c>
      <c r="N10" s="75" t="n">
        <f aca="false">INDEX(Spec_Rack!$C$35:$G$35,N$6)</f>
        <v>35</v>
      </c>
      <c r="O10" s="75" t="n">
        <f aca="false">INDEX(Spec_Rack!$C$35:$G$35,O$6)</f>
        <v>73</v>
      </c>
      <c r="P10" s="75" t="n">
        <f aca="false">INDEX(Spec_Rack!$C$35:$G$35,P$6)</f>
        <v>73</v>
      </c>
      <c r="Q10" s="75" t="n">
        <f aca="false">INDEX(Spec_Rack!$C$35:$G$35,Q$6)</f>
        <v>73</v>
      </c>
    </row>
    <row r="11" customFormat="false" ht="15" hidden="false" customHeight="false" outlineLevel="0" collapsed="false">
      <c r="A11" s="45" t="s">
        <v>371</v>
      </c>
      <c r="B11" s="45" t="s">
        <v>487</v>
      </c>
      <c r="C11" s="76" t="n">
        <f aca="false">INDEX(Spec_Rack!$C$25:$G$25,C$6)</f>
        <v>80</v>
      </c>
      <c r="D11" s="76" t="n">
        <f aca="false">INDEX(Spec_Rack!$C$25:$G$25,D$6)</f>
        <v>80</v>
      </c>
      <c r="E11" s="76" t="n">
        <f aca="false">INDEX(Spec_Rack!$C$25:$G$25,E$6)</f>
        <v>80</v>
      </c>
      <c r="F11" s="76" t="n">
        <f aca="false">INDEX(Spec_Rack!$C$25:$G$25,F$6)</f>
        <v>186</v>
      </c>
      <c r="G11" s="76" t="n">
        <f aca="false">INDEX(Spec_Rack!$C$25:$G$25,G$6)</f>
        <v>186</v>
      </c>
      <c r="H11" s="76" t="n">
        <f aca="false">INDEX(Spec_Rack!$C$25:$G$25,H$6)</f>
        <v>186</v>
      </c>
      <c r="I11" s="76" t="n">
        <f aca="false">INDEX(Spec_Rack!$C$25:$G$25,I$6)</f>
        <v>288</v>
      </c>
      <c r="J11" s="76" t="n">
        <f aca="false">INDEX(Spec_Rack!$C$25:$G$25,J$6)</f>
        <v>288</v>
      </c>
      <c r="K11" s="76" t="n">
        <f aca="false">INDEX(Spec_Rack!$C$25:$G$25,K$6)</f>
        <v>288</v>
      </c>
      <c r="L11" s="76" t="n">
        <f aca="false">INDEX(Spec_Rack!$C$25:$G$25,L$6)</f>
        <v>288</v>
      </c>
      <c r="M11" s="76" t="n">
        <f aca="false">INDEX(Spec_Rack!$C$25:$G$25,M$6)</f>
        <v>288</v>
      </c>
      <c r="N11" s="76" t="n">
        <f aca="false">INDEX(Spec_Rack!$C$25:$G$25,N$6)</f>
        <v>288</v>
      </c>
      <c r="O11" s="76" t="n">
        <f aca="false">INDEX(Spec_Rack!$C$25:$G$25,O$6)</f>
        <v>1024</v>
      </c>
      <c r="P11" s="76" t="n">
        <f aca="false">INDEX(Spec_Rack!$C$25:$G$25,P$6)</f>
        <v>1024</v>
      </c>
      <c r="Q11" s="76" t="n">
        <f aca="false">INDEX(Spec_Rack!$C$25:$G$25,Q$6)</f>
        <v>1024</v>
      </c>
    </row>
    <row r="12" customFormat="false" ht="15" hidden="false" customHeight="false" outlineLevel="0" collapsed="false">
      <c r="A12" s="45" t="s">
        <v>372</v>
      </c>
      <c r="B12" s="45" t="s">
        <v>270</v>
      </c>
      <c r="C12" s="77" t="n">
        <f aca="false">INDEX(Spec_Rack!$C$26:$G$26,C$6)</f>
        <v>3.35</v>
      </c>
      <c r="D12" s="77" t="n">
        <f aca="false">INDEX(Spec_Rack!$C$26:$G$26,D$6)</f>
        <v>3.35</v>
      </c>
      <c r="E12" s="77" t="n">
        <f aca="false">INDEX(Spec_Rack!$C$26:$G$26,E$6)</f>
        <v>3.35</v>
      </c>
      <c r="F12" s="77" t="n">
        <f aca="false">INDEX(Spec_Rack!$C$26:$G$26,F$6)</f>
        <v>8</v>
      </c>
      <c r="G12" s="77" t="n">
        <f aca="false">INDEX(Spec_Rack!$C$26:$G$26,G$6)</f>
        <v>8</v>
      </c>
      <c r="H12" s="77" t="n">
        <f aca="false">INDEX(Spec_Rack!$C$26:$G$26,H$6)</f>
        <v>8</v>
      </c>
      <c r="I12" s="77" t="n">
        <f aca="false">INDEX(Spec_Rack!$C$26:$G$26,I$6)</f>
        <v>8</v>
      </c>
      <c r="J12" s="77" t="n">
        <f aca="false">INDEX(Spec_Rack!$C$26:$G$26,J$6)</f>
        <v>8</v>
      </c>
      <c r="K12" s="77" t="n">
        <f aca="false">INDEX(Spec_Rack!$C$26:$G$26,K$6)</f>
        <v>8</v>
      </c>
      <c r="L12" s="77" t="n">
        <f aca="false">INDEX(Spec_Rack!$C$26:$G$26,L$6)</f>
        <v>22</v>
      </c>
      <c r="M12" s="77" t="n">
        <f aca="false">INDEX(Spec_Rack!$C$26:$G$26,M$6)</f>
        <v>22</v>
      </c>
      <c r="N12" s="77" t="n">
        <f aca="false">INDEX(Spec_Rack!$C$26:$G$26,N$6)</f>
        <v>22</v>
      </c>
      <c r="O12" s="77" t="n">
        <f aca="false">INDEX(Spec_Rack!$C$26:$G$26,O$6)</f>
        <v>32</v>
      </c>
      <c r="P12" s="77" t="n">
        <f aca="false">INDEX(Spec_Rack!$C$26:$G$26,P$6)</f>
        <v>32</v>
      </c>
      <c r="Q12" s="77" t="n">
        <f aca="false">INDEX(Spec_Rack!$C$26:$G$26,Q$6)</f>
        <v>32</v>
      </c>
    </row>
    <row r="13" customFormat="false" ht="15" hidden="false" customHeight="false" outlineLevel="0" collapsed="false">
      <c r="A13" s="45" t="s">
        <v>488</v>
      </c>
      <c r="B13" s="45" t="s">
        <v>270</v>
      </c>
      <c r="C13" s="77" t="n">
        <f aca="false">INDEX(Spec_Rack!$C$27:$G$27,C$6)</f>
        <v>0.05</v>
      </c>
      <c r="D13" s="77" t="n">
        <f aca="false">INDEX(Spec_Rack!$C$27:$G$27,D$6)</f>
        <v>0.05</v>
      </c>
      <c r="E13" s="77" t="n">
        <f aca="false">INDEX(Spec_Rack!$C$27:$G$27,E$6)</f>
        <v>0.05</v>
      </c>
      <c r="F13" s="77" t="n">
        <f aca="false">INDEX(Spec_Rack!$C$27:$G$27,F$6)</f>
        <v>0.9</v>
      </c>
      <c r="G13" s="77" t="n">
        <f aca="false">INDEX(Spec_Rack!$C$27:$G$27,G$6)</f>
        <v>0.9</v>
      </c>
      <c r="H13" s="77" t="n">
        <f aca="false">INDEX(Spec_Rack!$C$27:$G$27,H$6)</f>
        <v>0.9</v>
      </c>
      <c r="I13" s="77" t="n">
        <f aca="false">INDEX(Spec_Rack!$C$27:$G$27,I$6)</f>
        <v>0.9</v>
      </c>
      <c r="J13" s="77" t="n">
        <f aca="false">INDEX(Spec_Rack!$C$27:$G$27,J$6)</f>
        <v>0.9</v>
      </c>
      <c r="K13" s="77" t="n">
        <f aca="false">INDEX(Spec_Rack!$C$27:$G$27,K$6)</f>
        <v>0.9</v>
      </c>
      <c r="L13" s="77" t="n">
        <f aca="false">INDEX(Spec_Rack!$C$27:$G$27,L$6)</f>
        <v>1.8</v>
      </c>
      <c r="M13" s="77" t="n">
        <f aca="false">INDEX(Spec_Rack!$C$27:$G$27,M$6)</f>
        <v>1.8</v>
      </c>
      <c r="N13" s="77" t="n">
        <f aca="false">INDEX(Spec_Rack!$C$27:$G$27,N$6)</f>
        <v>1.8</v>
      </c>
      <c r="O13" s="77" t="n">
        <f aca="false">INDEX(Spec_Rack!$C$27:$G$27,O$6)</f>
        <v>1.8</v>
      </c>
      <c r="P13" s="77" t="n">
        <f aca="false">INDEX(Spec_Rack!$C$27:$G$27,P$6)</f>
        <v>1.8</v>
      </c>
      <c r="Q13" s="77" t="n">
        <f aca="false">INDEX(Spec_Rack!$C$27:$G$27,Q$6)</f>
        <v>1.8</v>
      </c>
    </row>
    <row r="14" customFormat="false" ht="15" hidden="false" customHeight="false" outlineLevel="0" collapsed="false">
      <c r="A14" s="45" t="s">
        <v>169</v>
      </c>
      <c r="B14" s="45" t="s">
        <v>489</v>
      </c>
      <c r="C14" s="76" t="n">
        <f aca="false">INDEX(Spec_Rack!$C$29:$G$29,C$6)</f>
        <v>64</v>
      </c>
      <c r="D14" s="76" t="n">
        <f aca="false">INDEX(Spec_Rack!$C$29:$G$29,D$6)</f>
        <v>64</v>
      </c>
      <c r="E14" s="76" t="n">
        <f aca="false">INDEX(Spec_Rack!$C$29:$G$29,E$6)</f>
        <v>64</v>
      </c>
      <c r="F14" s="76" t="n">
        <f aca="false">INDEX(Spec_Rack!$C$29:$G$29,F$6)</f>
        <v>32</v>
      </c>
      <c r="G14" s="76" t="n">
        <f aca="false">INDEX(Spec_Rack!$C$29:$G$29,G$6)</f>
        <v>32</v>
      </c>
      <c r="H14" s="76" t="n">
        <f aca="false">INDEX(Spec_Rack!$C$29:$G$29,H$6)</f>
        <v>32</v>
      </c>
      <c r="I14" s="76" t="n">
        <f aca="false">INDEX(Spec_Rack!$C$29:$G$29,I$6)</f>
        <v>32</v>
      </c>
      <c r="J14" s="76" t="n">
        <f aca="false">INDEX(Spec_Rack!$C$29:$G$29,J$6)</f>
        <v>32</v>
      </c>
      <c r="K14" s="76" t="n">
        <f aca="false">INDEX(Spec_Rack!$C$29:$G$29,K$6)</f>
        <v>32</v>
      </c>
      <c r="L14" s="76" t="n">
        <f aca="false">INDEX(Spec_Rack!$C$29:$G$29,L$6)</f>
        <v>32</v>
      </c>
      <c r="M14" s="76" t="n">
        <f aca="false">INDEX(Spec_Rack!$C$29:$G$29,M$6)</f>
        <v>32</v>
      </c>
      <c r="N14" s="76" t="n">
        <f aca="false">INDEX(Spec_Rack!$C$29:$G$29,N$6)</f>
        <v>32</v>
      </c>
      <c r="O14" s="76" t="n">
        <f aca="false">INDEX(Spec_Rack!$C$29:$G$29,O$6)</f>
        <v>64</v>
      </c>
      <c r="P14" s="76" t="n">
        <f aca="false">INDEX(Spec_Rack!$C$29:$G$29,P$6)</f>
        <v>64</v>
      </c>
      <c r="Q14" s="76" t="n">
        <f aca="false">INDEX(Spec_Rack!$C$29:$G$29,Q$6)</f>
        <v>64</v>
      </c>
    </row>
    <row r="15" customFormat="false" ht="15" hidden="false" customHeight="false" outlineLevel="0" collapsed="false">
      <c r="A15" s="44" t="s">
        <v>171</v>
      </c>
      <c r="B15" s="45" t="s">
        <v>194</v>
      </c>
      <c r="C15" s="78" t="n">
        <f aca="false">INDEX(Spec_Rack!$C$30:$G$30,C$6)</f>
        <v>1</v>
      </c>
      <c r="D15" s="78" t="n">
        <f aca="false">INDEX(Spec_Rack!$C$30:$G$30,D$6)</f>
        <v>1</v>
      </c>
      <c r="E15" s="78" t="n">
        <f aca="false">INDEX(Spec_Rack!$C$30:$G$30,E$6)</f>
        <v>1</v>
      </c>
      <c r="F15" s="78" t="n">
        <f aca="false">INDEX(Spec_Rack!$C$30:$G$30,F$6)</f>
        <v>0.5625</v>
      </c>
      <c r="G15" s="78" t="n">
        <f aca="false">INDEX(Spec_Rack!$C$30:$G$30,G$6)</f>
        <v>0.5625</v>
      </c>
      <c r="H15" s="78" t="n">
        <f aca="false">INDEX(Spec_Rack!$C$30:$G$30,H$6)</f>
        <v>0.5625</v>
      </c>
      <c r="I15" s="78" t="n">
        <f aca="false">INDEX(Spec_Rack!$C$30:$G$30,I$6)</f>
        <v>0.5625</v>
      </c>
      <c r="J15" s="78" t="n">
        <f aca="false">INDEX(Spec_Rack!$C$30:$G$30,J$6)</f>
        <v>0.5625</v>
      </c>
      <c r="K15" s="78" t="n">
        <f aca="false">INDEX(Spec_Rack!$C$30:$G$30,K$6)</f>
        <v>0.5625</v>
      </c>
      <c r="L15" s="78" t="n">
        <f aca="false">INDEX(Spec_Rack!$C$30:$G$30,L$6)</f>
        <v>0.5625</v>
      </c>
      <c r="M15" s="78" t="n">
        <f aca="false">INDEX(Spec_Rack!$C$30:$G$30,M$6)</f>
        <v>0.5625</v>
      </c>
      <c r="N15" s="78" t="n">
        <f aca="false">INDEX(Spec_Rack!$C$30:$G$30,N$6)</f>
        <v>0.5625</v>
      </c>
      <c r="O15" s="78" t="n">
        <f aca="false">INDEX(Spec_Rack!$C$30:$G$30,O$6)</f>
        <v>0.5625</v>
      </c>
      <c r="P15" s="78" t="n">
        <f aca="false">INDEX(Spec_Rack!$C$30:$G$30,P$6)</f>
        <v>0.5625</v>
      </c>
      <c r="Q15" s="78" t="n">
        <f aca="false">INDEX(Spec_Rack!$C$30:$G$30,Q$6)</f>
        <v>0.5625</v>
      </c>
    </row>
    <row r="16" customFormat="false" ht="15" hidden="false" customHeight="false" outlineLevel="0" collapsed="false">
      <c r="A16" s="44" t="s">
        <v>173</v>
      </c>
      <c r="B16" s="45" t="s">
        <v>194</v>
      </c>
      <c r="C16" s="79" t="n">
        <f aca="false">INDEX(Spec_Rack!$C$31:$G$31,C$6)</f>
        <v>1</v>
      </c>
      <c r="D16" s="79" t="n">
        <f aca="false">INDEX(Spec_Rack!$C$31:$G$31,D$6)</f>
        <v>1</v>
      </c>
      <c r="E16" s="79" t="n">
        <f aca="false">INDEX(Spec_Rack!$C$31:$G$31,E$6)</f>
        <v>1</v>
      </c>
      <c r="F16" s="79" t="n">
        <f aca="false">INDEX(Spec_Rack!$C$31:$G$31,F$6)</f>
        <v>1</v>
      </c>
      <c r="G16" s="79" t="n">
        <f aca="false">INDEX(Spec_Rack!$C$31:$G$31,G$6)</f>
        <v>1</v>
      </c>
      <c r="H16" s="79" t="n">
        <f aca="false">INDEX(Spec_Rack!$C$31:$G$31,H$6)</f>
        <v>1</v>
      </c>
      <c r="I16" s="79" t="n">
        <f aca="false">INDEX(Spec_Rack!$C$31:$G$31,I$6)</f>
        <v>1</v>
      </c>
      <c r="J16" s="79" t="n">
        <f aca="false">INDEX(Spec_Rack!$C$31:$G$31,J$6)</f>
        <v>1</v>
      </c>
      <c r="K16" s="79" t="n">
        <f aca="false">INDEX(Spec_Rack!$C$31:$G$31,K$6)</f>
        <v>1</v>
      </c>
      <c r="L16" s="79" t="n">
        <f aca="false">INDEX(Spec_Rack!$C$31:$G$31,L$6)</f>
        <v>1</v>
      </c>
      <c r="M16" s="79" t="n">
        <f aca="false">INDEX(Spec_Rack!$C$31:$G$31,M$6)</f>
        <v>1</v>
      </c>
      <c r="N16" s="79" t="n">
        <f aca="false">INDEX(Spec_Rack!$C$31:$G$31,N$6)</f>
        <v>1</v>
      </c>
      <c r="O16" s="79" t="n">
        <f aca="false">INDEX(Spec_Rack!$C$31:$G$31,O$6)</f>
        <v>1</v>
      </c>
      <c r="P16" s="79" t="n">
        <f aca="false">INDEX(Spec_Rack!$C$31:$G$31,P$6)</f>
        <v>1</v>
      </c>
      <c r="Q16" s="79" t="n">
        <f aca="false">INDEX(Spec_Rack!$C$31:$G$31,Q$6)</f>
        <v>1</v>
      </c>
    </row>
    <row r="17" customFormat="false" ht="15" hidden="false" customHeight="false" outlineLevel="0" collapsed="false">
      <c r="A17" s="44" t="s">
        <v>490</v>
      </c>
      <c r="B17" s="45" t="s">
        <v>489</v>
      </c>
      <c r="C17" s="76" t="n">
        <f aca="false">INDEX(Spec_Rack!$C$32:$G$32,C$6)</f>
        <v>8</v>
      </c>
      <c r="D17" s="76" t="n">
        <f aca="false">INDEX(Spec_Rack!$C$32:$G$32,D$6)</f>
        <v>8</v>
      </c>
      <c r="E17" s="76" t="n">
        <f aca="false">INDEX(Spec_Rack!$C$32:$G$32,E$6)</f>
        <v>8</v>
      </c>
      <c r="F17" s="76" t="n">
        <f aca="false">INDEX(Spec_Rack!$C$32:$G$32,F$6)</f>
        <v>4</v>
      </c>
      <c r="G17" s="76" t="n">
        <f aca="false">INDEX(Spec_Rack!$C$32:$G$32,G$6)</f>
        <v>4</v>
      </c>
      <c r="H17" s="76" t="n">
        <f aca="false">INDEX(Spec_Rack!$C$32:$G$32,H$6)</f>
        <v>4</v>
      </c>
      <c r="I17" s="76" t="n">
        <f aca="false">INDEX(Spec_Rack!$C$32:$G$32,I$6)</f>
        <v>4</v>
      </c>
      <c r="J17" s="76" t="n">
        <f aca="false">INDEX(Spec_Rack!$C$32:$G$32,J$6)</f>
        <v>4</v>
      </c>
      <c r="K17" s="76" t="n">
        <f aca="false">INDEX(Spec_Rack!$C$32:$G$32,K$6)</f>
        <v>4</v>
      </c>
      <c r="L17" s="76" t="n">
        <f aca="false">INDEX(Spec_Rack!$C$32:$G$32,L$6)</f>
        <v>4</v>
      </c>
      <c r="M17" s="76" t="n">
        <f aca="false">INDEX(Spec_Rack!$C$32:$G$32,M$6)</f>
        <v>4</v>
      </c>
      <c r="N17" s="76" t="n">
        <f aca="false">INDEX(Spec_Rack!$C$32:$G$32,N$6)</f>
        <v>4</v>
      </c>
      <c r="O17" s="76" t="n">
        <f aca="false">INDEX(Spec_Rack!$C$32:$G$32,O$6)</f>
        <v>8</v>
      </c>
      <c r="P17" s="76" t="n">
        <f aca="false">INDEX(Spec_Rack!$C$32:$G$32,P$6)</f>
        <v>8</v>
      </c>
      <c r="Q17" s="76" t="n">
        <f aca="false">INDEX(Spec_Rack!$C$32:$G$32,Q$6)</f>
        <v>8</v>
      </c>
    </row>
    <row r="18" customFormat="false" ht="15" hidden="false" customHeight="false" outlineLevel="0" collapsed="false">
      <c r="A18" s="45" t="s">
        <v>123</v>
      </c>
      <c r="B18" s="44" t="s">
        <v>491</v>
      </c>
      <c r="C18" s="76" t="n">
        <f aca="false">INDEX(Spec_Rack!$C$6:$G$6,C$6)</f>
        <v>32</v>
      </c>
      <c r="D18" s="76" t="n">
        <f aca="false">INDEX(Spec_Rack!$C$6:$G$6,D$6)</f>
        <v>32</v>
      </c>
      <c r="E18" s="76" t="n">
        <f aca="false">INDEX(Spec_Rack!$C$6:$G$6,E$6)</f>
        <v>32</v>
      </c>
      <c r="F18" s="76" t="n">
        <f aca="false">INDEX(Spec_Rack!$C$6:$G$6,F$6)</f>
        <v>72</v>
      </c>
      <c r="G18" s="76" t="n">
        <f aca="false">INDEX(Spec_Rack!$C$6:$G$6,G$6)</f>
        <v>72</v>
      </c>
      <c r="H18" s="76" t="n">
        <f aca="false">INDEX(Spec_Rack!$C$6:$G$6,H$6)</f>
        <v>72</v>
      </c>
      <c r="I18" s="76" t="n">
        <f aca="false">INDEX(Spec_Rack!$C$6:$G$6,I$6)</f>
        <v>72</v>
      </c>
      <c r="J18" s="76" t="n">
        <f aca="false">INDEX(Spec_Rack!$C$6:$G$6,J$6)</f>
        <v>72</v>
      </c>
      <c r="K18" s="76" t="n">
        <f aca="false">INDEX(Spec_Rack!$C$6:$G$6,K$6)</f>
        <v>72</v>
      </c>
      <c r="L18" s="76" t="n">
        <f aca="false">INDEX(Spec_Rack!$C$6:$G$6,L$6)</f>
        <v>72</v>
      </c>
      <c r="M18" s="76" t="n">
        <f aca="false">INDEX(Spec_Rack!$C$6:$G$6,M$6)</f>
        <v>72</v>
      </c>
      <c r="N18" s="76" t="n">
        <f aca="false">INDEX(Spec_Rack!$C$6:$G$6,N$6)</f>
        <v>72</v>
      </c>
      <c r="O18" s="76" t="n">
        <f aca="false">INDEX(Spec_Rack!$C$6:$G$6,O$6)</f>
        <v>144</v>
      </c>
      <c r="P18" s="76" t="n">
        <f aca="false">INDEX(Spec_Rack!$C$6:$G$6,P$6)</f>
        <v>144</v>
      </c>
      <c r="Q18" s="76" t="n">
        <f aca="false">INDEX(Spec_Rack!$C$6:$G$6,Q$6)</f>
        <v>144</v>
      </c>
    </row>
    <row r="19" customFormat="false" ht="15" hidden="false" customHeight="false" outlineLevel="0" collapsed="false">
      <c r="A19" s="45" t="s">
        <v>492</v>
      </c>
      <c r="B19" s="45" t="s">
        <v>493</v>
      </c>
      <c r="C19" s="76" t="n">
        <f aca="false">INDEX(Spec_Rack!$C$33:$G$33,C$6)</f>
        <v>700</v>
      </c>
      <c r="D19" s="76" t="n">
        <f aca="false">INDEX(Spec_Rack!$C$33:$G$33,D$6)</f>
        <v>700</v>
      </c>
      <c r="E19" s="76" t="n">
        <f aca="false">INDEX(Spec_Rack!$C$33:$G$33,E$6)</f>
        <v>700</v>
      </c>
      <c r="F19" s="76" t="n">
        <f aca="false">INDEX(Spec_Rack!$C$33:$G$33,F$6)</f>
        <v>1200</v>
      </c>
      <c r="G19" s="76" t="n">
        <f aca="false">INDEX(Spec_Rack!$C$33:$G$33,G$6)</f>
        <v>1200</v>
      </c>
      <c r="H19" s="76" t="n">
        <f aca="false">INDEX(Spec_Rack!$C$33:$G$33,H$6)</f>
        <v>1200</v>
      </c>
      <c r="I19" s="76" t="n">
        <f aca="false">INDEX(Spec_Rack!$C$33:$G$33,I$6)</f>
        <v>1400</v>
      </c>
      <c r="J19" s="76" t="n">
        <f aca="false">INDEX(Spec_Rack!$C$33:$G$33,J$6)</f>
        <v>1400</v>
      </c>
      <c r="K19" s="76" t="n">
        <f aca="false">INDEX(Spec_Rack!$C$33:$G$33,K$6)</f>
        <v>1400</v>
      </c>
      <c r="L19" s="76" t="n">
        <f aca="false">INDEX(Spec_Rack!$C$33:$G$33,L$6)</f>
        <v>1800</v>
      </c>
      <c r="M19" s="76" t="n">
        <f aca="false">INDEX(Spec_Rack!$C$33:$G$33,M$6)</f>
        <v>1800</v>
      </c>
      <c r="N19" s="76" t="n">
        <f aca="false">INDEX(Spec_Rack!$C$33:$G$33,N$6)</f>
        <v>1800</v>
      </c>
      <c r="O19" s="76" t="n">
        <f aca="false">INDEX(Spec_Rack!$C$33:$G$33,O$6)</f>
        <v>3600</v>
      </c>
      <c r="P19" s="76" t="n">
        <f aca="false">INDEX(Spec_Rack!$C$33:$G$33,P$6)</f>
        <v>3600</v>
      </c>
      <c r="Q19" s="76" t="n">
        <f aca="false">INDEX(Spec_Rack!$C$33:$G$33,Q$6)</f>
        <v>3600</v>
      </c>
    </row>
    <row r="20" customFormat="false" ht="15" hidden="false" customHeight="false" outlineLevel="0" collapsed="false">
      <c r="A20" s="45" t="s">
        <v>494</v>
      </c>
      <c r="B20" s="45" t="s">
        <v>495</v>
      </c>
      <c r="C20" s="76" t="n">
        <f aca="false">INDEX(Spec_Rack!$C$34:$G$34,C$6)</f>
        <v>31</v>
      </c>
      <c r="D20" s="76" t="n">
        <f aca="false">INDEX(Spec_Rack!$C$34:$G$34,D$6)</f>
        <v>31</v>
      </c>
      <c r="E20" s="76" t="n">
        <f aca="false">INDEX(Spec_Rack!$C$34:$G$34,E$6)</f>
        <v>31</v>
      </c>
      <c r="F20" s="76" t="n">
        <f aca="false">INDEX(Spec_Rack!$C$34:$G$34,F$6)</f>
        <v>25</v>
      </c>
      <c r="G20" s="76" t="n">
        <f aca="false">INDEX(Spec_Rack!$C$34:$G$34,G$6)</f>
        <v>25</v>
      </c>
      <c r="H20" s="76" t="n">
        <f aca="false">INDEX(Spec_Rack!$C$34:$G$34,H$6)</f>
        <v>25</v>
      </c>
      <c r="I20" s="76" t="n">
        <f aca="false">INDEX(Spec_Rack!$C$34:$G$34,I$6)</f>
        <v>25</v>
      </c>
      <c r="J20" s="76" t="n">
        <f aca="false">INDEX(Spec_Rack!$C$34:$G$34,J$6)</f>
        <v>25</v>
      </c>
      <c r="K20" s="76" t="n">
        <f aca="false">INDEX(Spec_Rack!$C$34:$G$34,K$6)</f>
        <v>25</v>
      </c>
      <c r="L20" s="76" t="n">
        <f aca="false">INDEX(Spec_Rack!$C$34:$G$34,L$6)</f>
        <v>20</v>
      </c>
      <c r="M20" s="76" t="n">
        <f aca="false">INDEX(Spec_Rack!$C$34:$G$34,M$6)</f>
        <v>20</v>
      </c>
      <c r="N20" s="76" t="n">
        <f aca="false">INDEX(Spec_Rack!$C$34:$G$34,N$6)</f>
        <v>20</v>
      </c>
      <c r="O20" s="76" t="n">
        <f aca="false">INDEX(Spec_Rack!$C$34:$G$34,O$6)</f>
        <v>18</v>
      </c>
      <c r="P20" s="76" t="n">
        <f aca="false">INDEX(Spec_Rack!$C$34:$G$34,P$6)</f>
        <v>18</v>
      </c>
      <c r="Q20" s="76" t="n">
        <f aca="false">INDEX(Spec_Rack!$C$34:$G$34,Q$6)</f>
        <v>18</v>
      </c>
    </row>
    <row r="21" customFormat="false" ht="15" hidden="false" customHeight="false" outlineLevel="0" collapsed="false">
      <c r="A21" s="44" t="s">
        <v>496</v>
      </c>
      <c r="B21" s="44" t="s">
        <v>497</v>
      </c>
      <c r="C21" s="76" t="n">
        <f aca="false">INDEX(DC_Cost!$C$12:$Q$12,3*(C$6-1)+2)</f>
        <v>22439</v>
      </c>
      <c r="D21" s="76" t="n">
        <f aca="false">INDEX(DC_Cost!$C$12:$Q$12,3*(D$6-1)+2)</f>
        <v>22439</v>
      </c>
      <c r="E21" s="76" t="n">
        <f aca="false">INDEX(DC_Cost!$C$12:$Q$12,3*(E$6-1)+2)</f>
        <v>22439</v>
      </c>
      <c r="F21" s="76" t="n">
        <f aca="false">INDEX(DC_Cost!$C$12:$Q$12,3*(F$6-1)+2)</f>
        <v>7076</v>
      </c>
      <c r="G21" s="76" t="n">
        <f aca="false">INDEX(DC_Cost!$C$12:$Q$12,3*(G$6-1)+2)</f>
        <v>7076</v>
      </c>
      <c r="H21" s="76" t="n">
        <f aca="false">INDEX(DC_Cost!$C$12:$Q$12,3*(H$6-1)+2)</f>
        <v>7076</v>
      </c>
      <c r="I21" s="76" t="n">
        <f aca="false">INDEX(DC_Cost!$C$12:$Q$12,3*(I$6-1)+2)</f>
        <v>6715</v>
      </c>
      <c r="J21" s="76" t="n">
        <f aca="false">INDEX(DC_Cost!$C$12:$Q$12,3*(J$6-1)+2)</f>
        <v>6715</v>
      </c>
      <c r="K21" s="76" t="n">
        <f aca="false">INDEX(DC_Cost!$C$12:$Q$12,3*(K$6-1)+2)</f>
        <v>6715</v>
      </c>
      <c r="L21" s="76" t="n">
        <f aca="false">INDEX(DC_Cost!$C$12:$Q$12,3*(L$6-1)+2)</f>
        <v>4052</v>
      </c>
      <c r="M21" s="76" t="n">
        <f aca="false">INDEX(DC_Cost!$C$12:$Q$12,3*(M$6-1)+2)</f>
        <v>4052</v>
      </c>
      <c r="N21" s="76" t="n">
        <f aca="false">INDEX(DC_Cost!$C$12:$Q$12,3*(N$6-1)+2)</f>
        <v>4052</v>
      </c>
      <c r="O21" s="76" t="n">
        <f aca="false">INDEX(DC_Cost!$C$12:$Q$12,3*(O$6-1)+2)</f>
        <v>1533</v>
      </c>
      <c r="P21" s="76" t="n">
        <f aca="false">INDEX(DC_Cost!$C$12:$Q$12,3*(P$6-1)+2)</f>
        <v>1533</v>
      </c>
      <c r="Q21" s="76" t="n">
        <f aca="false">INDEX(DC_Cost!$C$12:$Q$12,3*(Q$6-1)+2)</f>
        <v>1533</v>
      </c>
    </row>
    <row r="22" customFormat="false" ht="15" hidden="false" customHeight="false" outlineLevel="0" collapsed="false">
      <c r="A22" s="44" t="s">
        <v>498</v>
      </c>
      <c r="B22" s="45" t="s">
        <v>499</v>
      </c>
      <c r="C22" s="76" t="n">
        <f aca="false">INDEX(DC_Cost!$C$11:$Q$11,3*(C$6-1)+2)</f>
        <v>41</v>
      </c>
      <c r="D22" s="76" t="n">
        <f aca="false">INDEX(DC_Cost!$C$11:$Q$11,3*(D$6-1)+2)</f>
        <v>41</v>
      </c>
      <c r="E22" s="76" t="n">
        <f aca="false">INDEX(DC_Cost!$C$11:$Q$11,3*(E$6-1)+2)</f>
        <v>41</v>
      </c>
      <c r="F22" s="76" t="n">
        <f aca="false">INDEX(DC_Cost!$C$11:$Q$11,3*(F$6-1)+2)</f>
        <v>130</v>
      </c>
      <c r="G22" s="76" t="n">
        <f aca="false">INDEX(DC_Cost!$C$11:$Q$11,3*(G$6-1)+2)</f>
        <v>130</v>
      </c>
      <c r="H22" s="76" t="n">
        <f aca="false">INDEX(DC_Cost!$C$11:$Q$11,3*(H$6-1)+2)</f>
        <v>130</v>
      </c>
      <c r="I22" s="76" t="n">
        <f aca="false">INDEX(DC_Cost!$C$11:$Q$11,3*(I$6-1)+2)</f>
        <v>137</v>
      </c>
      <c r="J22" s="76" t="n">
        <f aca="false">INDEX(DC_Cost!$C$11:$Q$11,3*(J$6-1)+2)</f>
        <v>137</v>
      </c>
      <c r="K22" s="76" t="n">
        <f aca="false">INDEX(DC_Cost!$C$11:$Q$11,3*(K$6-1)+2)</f>
        <v>137</v>
      </c>
      <c r="L22" s="76" t="n">
        <f aca="false">INDEX(DC_Cost!$C$11:$Q$11,3*(L$6-1)+2)</f>
        <v>227</v>
      </c>
      <c r="M22" s="76" t="n">
        <f aca="false">INDEX(DC_Cost!$C$11:$Q$11,3*(M$6-1)+2)</f>
        <v>227</v>
      </c>
      <c r="N22" s="76" t="n">
        <f aca="false">INDEX(DC_Cost!$C$11:$Q$11,3*(N$6-1)+2)</f>
        <v>227</v>
      </c>
      <c r="O22" s="76" t="n">
        <f aca="false">INDEX(DC_Cost!$C$11:$Q$11,3*(O$6-1)+2)</f>
        <v>600</v>
      </c>
      <c r="P22" s="76" t="n">
        <f aca="false">INDEX(DC_Cost!$C$11:$Q$11,3*(P$6-1)+2)</f>
        <v>600</v>
      </c>
      <c r="Q22" s="76" t="n">
        <f aca="false">INDEX(DC_Cost!$C$11:$Q$11,3*(Q$6-1)+2)</f>
        <v>600</v>
      </c>
    </row>
    <row r="23" customFormat="false" ht="15" hidden="false" customHeight="false" outlineLevel="0" collapsed="false">
      <c r="A23" s="72" t="s">
        <v>500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customFormat="false" ht="15" hidden="false" customHeight="false" outlineLevel="0" collapsed="false">
      <c r="A24" s="44" t="s">
        <v>197</v>
      </c>
      <c r="B24" s="45" t="s">
        <v>194</v>
      </c>
      <c r="C24" s="76" t="n">
        <f aca="false">INDEX(Arch!$C$7:$E$7,C$7)</f>
        <v>13</v>
      </c>
      <c r="D24" s="76" t="n">
        <f aca="false">INDEX(Arch!$C$7:$E$7,D$7)</f>
        <v>49</v>
      </c>
      <c r="E24" s="76" t="n">
        <f aca="false">INDEX(Arch!$C$7:$E$7,E$7)</f>
        <v>180</v>
      </c>
      <c r="F24" s="76" t="n">
        <f aca="false">INDEX(Arch!$C$7:$E$7,F$7)</f>
        <v>13</v>
      </c>
      <c r="G24" s="76" t="n">
        <f aca="false">INDEX(Arch!$C$7:$E$7,G$7)</f>
        <v>49</v>
      </c>
      <c r="H24" s="76" t="n">
        <f aca="false">INDEX(Arch!$C$7:$E$7,H$7)</f>
        <v>180</v>
      </c>
      <c r="I24" s="76" t="n">
        <f aca="false">INDEX(Arch!$C$7:$E$7,I$7)</f>
        <v>13</v>
      </c>
      <c r="J24" s="76" t="n">
        <f aca="false">INDEX(Arch!$C$7:$E$7,J$7)</f>
        <v>49</v>
      </c>
      <c r="K24" s="76" t="n">
        <f aca="false">INDEX(Arch!$C$7:$E$7,K$7)</f>
        <v>180</v>
      </c>
      <c r="L24" s="76" t="n">
        <f aca="false">INDEX(Arch!$C$7:$E$7,L$7)</f>
        <v>13</v>
      </c>
      <c r="M24" s="76" t="n">
        <f aca="false">INDEX(Arch!$C$7:$E$7,M$7)</f>
        <v>49</v>
      </c>
      <c r="N24" s="76" t="n">
        <f aca="false">INDEX(Arch!$C$7:$E$7,N$7)</f>
        <v>180</v>
      </c>
      <c r="O24" s="76" t="n">
        <f aca="false">INDEX(Arch!$C$7:$E$7,O$7)</f>
        <v>13</v>
      </c>
      <c r="P24" s="76" t="n">
        <f aca="false">INDEX(Arch!$C$7:$E$7,P$7)</f>
        <v>49</v>
      </c>
      <c r="Q24" s="76" t="n">
        <f aca="false">INDEX(Arch!$C$7:$E$7,Q$7)</f>
        <v>180</v>
      </c>
    </row>
    <row r="25" customFormat="false" ht="15" hidden="false" customHeight="false" outlineLevel="0" collapsed="false">
      <c r="A25" s="44" t="s">
        <v>199</v>
      </c>
      <c r="B25" s="44" t="s">
        <v>200</v>
      </c>
      <c r="C25" s="76" t="n">
        <f aca="false">INDEX(Arch!$C$8:$E$8,C$7)</f>
        <v>43</v>
      </c>
      <c r="D25" s="76" t="n">
        <f aca="false">INDEX(Arch!$C$8:$E$8,D$7)</f>
        <v>61</v>
      </c>
      <c r="E25" s="76" t="n">
        <f aca="false">INDEX(Arch!$C$8:$E$8,E$7)</f>
        <v>100</v>
      </c>
      <c r="F25" s="76" t="n">
        <f aca="false">INDEX(Arch!$C$8:$E$8,F$7)</f>
        <v>43</v>
      </c>
      <c r="G25" s="76" t="n">
        <f aca="false">INDEX(Arch!$C$8:$E$8,G$7)</f>
        <v>61</v>
      </c>
      <c r="H25" s="76" t="n">
        <f aca="false">INDEX(Arch!$C$8:$E$8,H$7)</f>
        <v>100</v>
      </c>
      <c r="I25" s="76" t="n">
        <f aca="false">INDEX(Arch!$C$8:$E$8,I$7)</f>
        <v>43</v>
      </c>
      <c r="J25" s="76" t="n">
        <f aca="false">INDEX(Arch!$C$8:$E$8,J$7)</f>
        <v>61</v>
      </c>
      <c r="K25" s="76" t="n">
        <f aca="false">INDEX(Arch!$C$8:$E$8,K$7)</f>
        <v>100</v>
      </c>
      <c r="L25" s="76" t="n">
        <f aca="false">INDEX(Arch!$C$8:$E$8,L$7)</f>
        <v>43</v>
      </c>
      <c r="M25" s="76" t="n">
        <f aca="false">INDEX(Arch!$C$8:$E$8,M$7)</f>
        <v>61</v>
      </c>
      <c r="N25" s="76" t="n">
        <f aca="false">INDEX(Arch!$C$8:$E$8,N$7)</f>
        <v>100</v>
      </c>
      <c r="O25" s="76" t="n">
        <f aca="false">INDEX(Arch!$C$8:$E$8,O$7)</f>
        <v>43</v>
      </c>
      <c r="P25" s="76" t="n">
        <f aca="false">INDEX(Arch!$C$8:$E$8,P$7)</f>
        <v>61</v>
      </c>
      <c r="Q25" s="76" t="n">
        <f aca="false">INDEX(Arch!$C$8:$E$8,Q$7)</f>
        <v>100</v>
      </c>
    </row>
    <row r="26" customFormat="false" ht="15" hidden="false" customHeight="false" outlineLevel="0" collapsed="false">
      <c r="A26" s="45" t="s">
        <v>202</v>
      </c>
      <c r="B26" s="44"/>
      <c r="C26" s="76" t="n">
        <f aca="false">INDEX(Arch!$C$9:$E$9,C$7)</f>
        <v>4096</v>
      </c>
      <c r="D26" s="76" t="n">
        <f aca="false">INDEX(Arch!$C$9:$E$9,D$7)</f>
        <v>7168</v>
      </c>
      <c r="E26" s="76" t="n">
        <f aca="false">INDEX(Arch!$C$9:$E$9,E$7)</f>
        <v>12288</v>
      </c>
      <c r="F26" s="76" t="n">
        <f aca="false">INDEX(Arch!$C$9:$E$9,F$7)</f>
        <v>4096</v>
      </c>
      <c r="G26" s="76" t="n">
        <f aca="false">INDEX(Arch!$C$9:$E$9,G$7)</f>
        <v>7168</v>
      </c>
      <c r="H26" s="76" t="n">
        <f aca="false">INDEX(Arch!$C$9:$E$9,H$7)</f>
        <v>12288</v>
      </c>
      <c r="I26" s="76" t="n">
        <f aca="false">INDEX(Arch!$C$9:$E$9,I$7)</f>
        <v>4096</v>
      </c>
      <c r="J26" s="76" t="n">
        <f aca="false">INDEX(Arch!$C$9:$E$9,J$7)</f>
        <v>7168</v>
      </c>
      <c r="K26" s="76" t="n">
        <f aca="false">INDEX(Arch!$C$9:$E$9,K$7)</f>
        <v>12288</v>
      </c>
      <c r="L26" s="76" t="n">
        <f aca="false">INDEX(Arch!$C$9:$E$9,L$7)</f>
        <v>4096</v>
      </c>
      <c r="M26" s="76" t="n">
        <f aca="false">INDEX(Arch!$C$9:$E$9,M$7)</f>
        <v>7168</v>
      </c>
      <c r="N26" s="76" t="n">
        <f aca="false">INDEX(Arch!$C$9:$E$9,N$7)</f>
        <v>12288</v>
      </c>
      <c r="O26" s="76" t="n">
        <f aca="false">INDEX(Arch!$C$9:$E$9,O$7)</f>
        <v>4096</v>
      </c>
      <c r="P26" s="76" t="n">
        <f aca="false">INDEX(Arch!$C$9:$E$9,P$7)</f>
        <v>7168</v>
      </c>
      <c r="Q26" s="76" t="n">
        <f aca="false">INDEX(Arch!$C$9:$E$9,Q$7)</f>
        <v>12288</v>
      </c>
    </row>
    <row r="27" customFormat="false" ht="15" hidden="false" customHeight="false" outlineLevel="0" collapsed="false">
      <c r="A27" s="44" t="s">
        <v>501</v>
      </c>
      <c r="B27" s="44"/>
      <c r="C27" s="76" t="n">
        <f aca="false">INDEX(Arch!$C$13:$E$13,C$7)</f>
        <v>6</v>
      </c>
      <c r="D27" s="76" t="n">
        <f aca="false">INDEX(Arch!$C$13:$E$13,D$7)</f>
        <v>6</v>
      </c>
      <c r="E27" s="76" t="n">
        <f aca="false">INDEX(Arch!$C$13:$E$13,E$7)</f>
        <v>16</v>
      </c>
      <c r="F27" s="76" t="n">
        <f aca="false">INDEX(Arch!$C$13:$E$13,F$7)</f>
        <v>6</v>
      </c>
      <c r="G27" s="76" t="n">
        <f aca="false">INDEX(Arch!$C$13:$E$13,G$7)</f>
        <v>6</v>
      </c>
      <c r="H27" s="76" t="n">
        <f aca="false">INDEX(Arch!$C$13:$E$13,H$7)</f>
        <v>16</v>
      </c>
      <c r="I27" s="76" t="n">
        <f aca="false">INDEX(Arch!$C$13:$E$13,I$7)</f>
        <v>6</v>
      </c>
      <c r="J27" s="76" t="n">
        <f aca="false">INDEX(Arch!$C$13:$E$13,J$7)</f>
        <v>6</v>
      </c>
      <c r="K27" s="76" t="n">
        <f aca="false">INDEX(Arch!$C$13:$E$13,K$7)</f>
        <v>16</v>
      </c>
      <c r="L27" s="76" t="n">
        <f aca="false">INDEX(Arch!$C$13:$E$13,L$7)</f>
        <v>6</v>
      </c>
      <c r="M27" s="76" t="n">
        <f aca="false">INDEX(Arch!$C$13:$E$13,M$7)</f>
        <v>6</v>
      </c>
      <c r="N27" s="76" t="n">
        <f aca="false">INDEX(Arch!$C$13:$E$13,N$7)</f>
        <v>16</v>
      </c>
      <c r="O27" s="76" t="n">
        <f aca="false">INDEX(Arch!$C$13:$E$13,O$7)</f>
        <v>6</v>
      </c>
      <c r="P27" s="76" t="n">
        <f aca="false">INDEX(Arch!$C$13:$E$13,P$7)</f>
        <v>6</v>
      </c>
      <c r="Q27" s="76" t="n">
        <f aca="false">INDEX(Arch!$C$13:$E$13,Q$7)</f>
        <v>16</v>
      </c>
    </row>
    <row r="28" customFormat="false" ht="15" hidden="false" customHeight="false" outlineLevel="0" collapsed="false">
      <c r="A28" s="44" t="s">
        <v>379</v>
      </c>
      <c r="B28" s="45" t="s">
        <v>194</v>
      </c>
      <c r="C28" s="80" t="n">
        <f aca="false">INDEX(Arch!$C$28:$E$28,C$7)</f>
        <v>5.412</v>
      </c>
      <c r="D28" s="80" t="n">
        <f aca="false">INDEX(Arch!$C$28:$E$28,D$7)</f>
        <v>20.2777777777778</v>
      </c>
      <c r="E28" s="80" t="n">
        <f aca="false">INDEX(Arch!$C$28:$E$28,E$7)</f>
        <v>49.0725806451613</v>
      </c>
      <c r="F28" s="80" t="n">
        <f aca="false">INDEX(Arch!$C$28:$E$28,F$7)</f>
        <v>5.412</v>
      </c>
      <c r="G28" s="80" t="n">
        <f aca="false">INDEX(Arch!$C$28:$E$28,G$7)</f>
        <v>20.2777777777778</v>
      </c>
      <c r="H28" s="80" t="n">
        <f aca="false">INDEX(Arch!$C$28:$E$28,H$7)</f>
        <v>49.0725806451613</v>
      </c>
      <c r="I28" s="80" t="n">
        <f aca="false">INDEX(Arch!$C$28:$E$28,I$7)</f>
        <v>5.412</v>
      </c>
      <c r="J28" s="80" t="n">
        <f aca="false">INDEX(Arch!$C$28:$E$28,J$7)</f>
        <v>20.2777777777778</v>
      </c>
      <c r="K28" s="80" t="n">
        <f aca="false">INDEX(Arch!$C$28:$E$28,K$7)</f>
        <v>49.0725806451613</v>
      </c>
      <c r="L28" s="80" t="n">
        <f aca="false">INDEX(Arch!$C$28:$E$28,L$7)</f>
        <v>5.412</v>
      </c>
      <c r="M28" s="80" t="n">
        <f aca="false">INDEX(Arch!$C$28:$E$28,M$7)</f>
        <v>20.2777777777778</v>
      </c>
      <c r="N28" s="80" t="n">
        <f aca="false">INDEX(Arch!$C$28:$E$28,N$7)</f>
        <v>49.0725806451613</v>
      </c>
      <c r="O28" s="80" t="n">
        <f aca="false">INDEX(Arch!$C$28:$E$28,O$7)</f>
        <v>5.412</v>
      </c>
      <c r="P28" s="80" t="n">
        <f aca="false">INDEX(Arch!$C$28:$E$28,P$7)</f>
        <v>20.2777777777778</v>
      </c>
      <c r="Q28" s="80" t="n">
        <f aca="false">INDEX(Arch!$C$28:$E$28,Q$7)</f>
        <v>49.0725806451613</v>
      </c>
    </row>
    <row r="29" customFormat="false" ht="15" hidden="false" customHeight="false" outlineLevel="0" collapsed="false">
      <c r="A29" s="44" t="s">
        <v>238</v>
      </c>
      <c r="B29" s="45" t="s">
        <v>194</v>
      </c>
      <c r="C29" s="76" t="n">
        <f aca="false">INDEX(Arch!$C$29:$E$29,C$7)</f>
        <v>278.588</v>
      </c>
      <c r="D29" s="76" t="n">
        <f aca="false">INDEX(Arch!$C$29:$E$29,D$7)</f>
        <v>1579.72222222222</v>
      </c>
      <c r="E29" s="76" t="n">
        <f aca="false">INDEX(Arch!$C$29:$E$29,E$7)</f>
        <v>3950.92741935484</v>
      </c>
      <c r="F29" s="76" t="n">
        <f aca="false">INDEX(Arch!$C$29:$E$29,F$7)</f>
        <v>278.588</v>
      </c>
      <c r="G29" s="76" t="n">
        <f aca="false">INDEX(Arch!$C$29:$E$29,G$7)</f>
        <v>1579.72222222222</v>
      </c>
      <c r="H29" s="76" t="n">
        <f aca="false">INDEX(Arch!$C$29:$E$29,H$7)</f>
        <v>3950.92741935484</v>
      </c>
      <c r="I29" s="76" t="n">
        <f aca="false">INDEX(Arch!$C$29:$E$29,I$7)</f>
        <v>278.588</v>
      </c>
      <c r="J29" s="76" t="n">
        <f aca="false">INDEX(Arch!$C$29:$E$29,J$7)</f>
        <v>1579.72222222222</v>
      </c>
      <c r="K29" s="76" t="n">
        <f aca="false">INDEX(Arch!$C$29:$E$29,K$7)</f>
        <v>3950.92741935484</v>
      </c>
      <c r="L29" s="76" t="n">
        <f aca="false">INDEX(Arch!$C$29:$E$29,L$7)</f>
        <v>278.588</v>
      </c>
      <c r="M29" s="76" t="n">
        <f aca="false">INDEX(Arch!$C$29:$E$29,M$7)</f>
        <v>1579.72222222222</v>
      </c>
      <c r="N29" s="76" t="n">
        <f aca="false">INDEX(Arch!$C$29:$E$29,N$7)</f>
        <v>3950.92741935484</v>
      </c>
      <c r="O29" s="76" t="n">
        <f aca="false">INDEX(Arch!$C$29:$E$29,O$7)</f>
        <v>278.588</v>
      </c>
      <c r="P29" s="76" t="n">
        <f aca="false">INDEX(Arch!$C$29:$E$29,P$7)</f>
        <v>1579.72222222222</v>
      </c>
      <c r="Q29" s="76" t="n">
        <f aca="false">INDEX(Arch!$C$29:$E$29,Q$7)</f>
        <v>3950.92741935484</v>
      </c>
    </row>
    <row r="30" customFormat="false" ht="15" hidden="false" customHeight="false" outlineLevel="0" collapsed="false">
      <c r="A30" s="45" t="s">
        <v>380</v>
      </c>
      <c r="B30" s="45" t="s">
        <v>194</v>
      </c>
      <c r="C30" s="76" t="n">
        <f aca="false">INDEX(Arch!$C$25:$E$25,C$7)</f>
        <v>2795</v>
      </c>
      <c r="D30" s="76" t="n">
        <f aca="false">INDEX(Arch!$C$25:$E$25,D$7)</f>
        <v>3965</v>
      </c>
      <c r="E30" s="76" t="n">
        <f aca="false">INDEX(Arch!$C$25:$E$25,E$7)</f>
        <v>57600</v>
      </c>
      <c r="F30" s="76" t="n">
        <f aca="false">INDEX(Arch!$C$25:$E$25,F$7)</f>
        <v>2795</v>
      </c>
      <c r="G30" s="76" t="n">
        <f aca="false">INDEX(Arch!$C$25:$E$25,G$7)</f>
        <v>3965</v>
      </c>
      <c r="H30" s="76" t="n">
        <f aca="false">INDEX(Arch!$C$25:$E$25,H$7)</f>
        <v>57600</v>
      </c>
      <c r="I30" s="76" t="n">
        <f aca="false">INDEX(Arch!$C$25:$E$25,I$7)</f>
        <v>2795</v>
      </c>
      <c r="J30" s="76" t="n">
        <f aca="false">INDEX(Arch!$C$25:$E$25,J$7)</f>
        <v>3965</v>
      </c>
      <c r="K30" s="76" t="n">
        <f aca="false">INDEX(Arch!$C$25:$E$25,K$7)</f>
        <v>57600</v>
      </c>
      <c r="L30" s="76" t="n">
        <f aca="false">INDEX(Arch!$C$25:$E$25,L$7)</f>
        <v>2795</v>
      </c>
      <c r="M30" s="76" t="n">
        <f aca="false">INDEX(Arch!$C$25:$E$25,M$7)</f>
        <v>3965</v>
      </c>
      <c r="N30" s="76" t="n">
        <f aca="false">INDEX(Arch!$C$25:$E$25,N$7)</f>
        <v>57600</v>
      </c>
      <c r="O30" s="76" t="n">
        <f aca="false">INDEX(Arch!$C$25:$E$25,O$7)</f>
        <v>2795</v>
      </c>
      <c r="P30" s="76" t="n">
        <f aca="false">INDEX(Arch!$C$25:$E$25,P$7)</f>
        <v>3965</v>
      </c>
      <c r="Q30" s="76" t="n">
        <f aca="false">INDEX(Arch!$C$25:$E$25,Q$7)</f>
        <v>57600</v>
      </c>
    </row>
    <row r="31" customFormat="false" ht="15" hidden="false" customHeight="false" outlineLevel="0" collapsed="false">
      <c r="A31" s="44" t="s">
        <v>381</v>
      </c>
      <c r="B31" s="45" t="s">
        <v>240</v>
      </c>
      <c r="C31" s="76" t="n">
        <f aca="false">INDEX(Arch!$C$30:$E$30,C$7)</f>
        <v>5636096</v>
      </c>
      <c r="D31" s="76" t="n">
        <f aca="false">INDEX(Arch!$C$30:$E$30,D$7)</f>
        <v>15990784</v>
      </c>
      <c r="E31" s="76" t="n">
        <f aca="false">INDEX(Arch!$C$30:$E$30,E$7)</f>
        <v>4915200</v>
      </c>
      <c r="F31" s="76" t="n">
        <f aca="false">INDEX(Arch!$C$30:$E$30,F$7)</f>
        <v>5636096</v>
      </c>
      <c r="G31" s="76" t="n">
        <f aca="false">INDEX(Arch!$C$30:$E$30,G$7)</f>
        <v>15990784</v>
      </c>
      <c r="H31" s="76" t="n">
        <f aca="false">INDEX(Arch!$C$30:$E$30,H$7)</f>
        <v>4915200</v>
      </c>
      <c r="I31" s="76" t="n">
        <f aca="false">INDEX(Arch!$C$30:$E$30,I$7)</f>
        <v>5636096</v>
      </c>
      <c r="J31" s="76" t="n">
        <f aca="false">INDEX(Arch!$C$30:$E$30,J$7)</f>
        <v>15990784</v>
      </c>
      <c r="K31" s="76" t="n">
        <f aca="false">INDEX(Arch!$C$30:$E$30,K$7)</f>
        <v>4915200</v>
      </c>
      <c r="L31" s="76" t="n">
        <f aca="false">INDEX(Arch!$C$30:$E$30,L$7)</f>
        <v>5636096</v>
      </c>
      <c r="M31" s="76" t="n">
        <f aca="false">INDEX(Arch!$C$30:$E$30,M$7)</f>
        <v>15990784</v>
      </c>
      <c r="N31" s="76" t="n">
        <f aca="false">INDEX(Arch!$C$30:$E$30,N$7)</f>
        <v>4915200</v>
      </c>
      <c r="O31" s="76" t="n">
        <f aca="false">INDEX(Arch!$C$30:$E$30,O$7)</f>
        <v>5636096</v>
      </c>
      <c r="P31" s="76" t="n">
        <f aca="false">INDEX(Arch!$C$30:$E$30,P$7)</f>
        <v>15990784</v>
      </c>
      <c r="Q31" s="76" t="n">
        <f aca="false">INDEX(Arch!$C$30:$E$30,Q$7)</f>
        <v>4915200</v>
      </c>
    </row>
    <row r="32" customFormat="false" ht="15" hidden="false" customHeight="false" outlineLevel="0" collapsed="false">
      <c r="A32" s="44" t="s">
        <v>214</v>
      </c>
      <c r="B32" s="45" t="s">
        <v>45</v>
      </c>
      <c r="C32" s="81" t="n">
        <f aca="false">INDEX(Arch!$C$16:$E$16,C$7)</f>
        <v>0.5</v>
      </c>
      <c r="D32" s="81" t="n">
        <f aca="false">INDEX(Arch!$C$16:$E$16,D$7)</f>
        <v>0.5</v>
      </c>
      <c r="E32" s="81" t="n">
        <f aca="false">INDEX(Arch!$C$16:$E$16,E$7)</f>
        <v>1</v>
      </c>
      <c r="F32" s="81" t="n">
        <f aca="false">INDEX(Arch!$C$16:$E$16,F$7)</f>
        <v>0.5</v>
      </c>
      <c r="G32" s="81" t="n">
        <f aca="false">INDEX(Arch!$C$16:$E$16,G$7)</f>
        <v>0.5</v>
      </c>
      <c r="H32" s="81" t="n">
        <f aca="false">INDEX(Arch!$C$16:$E$16,H$7)</f>
        <v>1</v>
      </c>
      <c r="I32" s="81" t="n">
        <f aca="false">INDEX(Arch!$C$16:$E$16,I$7)</f>
        <v>0.5</v>
      </c>
      <c r="J32" s="81" t="n">
        <f aca="false">INDEX(Arch!$C$16:$E$16,J$7)</f>
        <v>0.5</v>
      </c>
      <c r="K32" s="81" t="n">
        <f aca="false">INDEX(Arch!$C$16:$E$16,K$7)</f>
        <v>1</v>
      </c>
      <c r="L32" s="81" t="n">
        <f aca="false">INDEX(Arch!$C$16:$E$16,L$7)</f>
        <v>0.5</v>
      </c>
      <c r="M32" s="81" t="n">
        <f aca="false">INDEX(Arch!$C$16:$E$16,M$7)</f>
        <v>0.5</v>
      </c>
      <c r="N32" s="81" t="n">
        <f aca="false">INDEX(Arch!$C$16:$E$16,N$7)</f>
        <v>1</v>
      </c>
      <c r="O32" s="81" t="n">
        <f aca="false">INDEX(Arch!$C$16:$E$16,O$7)</f>
        <v>0.5</v>
      </c>
      <c r="P32" s="81" t="n">
        <f aca="false">INDEX(Arch!$C$16:$E$16,P$7)</f>
        <v>0.5</v>
      </c>
      <c r="Q32" s="81" t="n">
        <f aca="false">INDEX(Arch!$C$16:$E$16,Q$7)</f>
        <v>1</v>
      </c>
    </row>
    <row r="33" customFormat="false" ht="15" hidden="false" customHeight="false" outlineLevel="0" collapsed="false">
      <c r="A33" s="44" t="s">
        <v>502</v>
      </c>
      <c r="B33" s="45" t="s">
        <v>217</v>
      </c>
      <c r="C33" s="76" t="n">
        <f aca="false">INDEX(Arch!$C$17:$E$17,C$7)</f>
        <v>4224</v>
      </c>
      <c r="D33" s="76" t="n">
        <f aca="false">INDEX(Arch!$C$17:$E$17,D$7)</f>
        <v>4224</v>
      </c>
      <c r="E33" s="76" t="n">
        <f aca="false">INDEX(Arch!$C$17:$E$17,E$7)</f>
        <v>0</v>
      </c>
      <c r="F33" s="76" t="n">
        <f aca="false">INDEX(Arch!$C$17:$E$17,F$7)</f>
        <v>4224</v>
      </c>
      <c r="G33" s="76" t="n">
        <f aca="false">INDEX(Arch!$C$17:$E$17,G$7)</f>
        <v>4224</v>
      </c>
      <c r="H33" s="76" t="n">
        <f aca="false">INDEX(Arch!$C$17:$E$17,H$7)</f>
        <v>0</v>
      </c>
      <c r="I33" s="76" t="n">
        <f aca="false">INDEX(Arch!$C$17:$E$17,I$7)</f>
        <v>4224</v>
      </c>
      <c r="J33" s="76" t="n">
        <f aca="false">INDEX(Arch!$C$17:$E$17,J$7)</f>
        <v>4224</v>
      </c>
      <c r="K33" s="76" t="n">
        <f aca="false">INDEX(Arch!$C$17:$E$17,K$7)</f>
        <v>0</v>
      </c>
      <c r="L33" s="76" t="n">
        <f aca="false">INDEX(Arch!$C$17:$E$17,L$7)</f>
        <v>4224</v>
      </c>
      <c r="M33" s="76" t="n">
        <f aca="false">INDEX(Arch!$C$17:$E$17,M$7)</f>
        <v>4224</v>
      </c>
      <c r="N33" s="76" t="n">
        <f aca="false">INDEX(Arch!$C$17:$E$17,N$7)</f>
        <v>0</v>
      </c>
      <c r="O33" s="76" t="n">
        <f aca="false">INDEX(Arch!$C$17:$E$17,O$7)</f>
        <v>4224</v>
      </c>
      <c r="P33" s="76" t="n">
        <f aca="false">INDEX(Arch!$C$17:$E$17,P$7)</f>
        <v>4224</v>
      </c>
      <c r="Q33" s="76" t="n">
        <f aca="false">INDEX(Arch!$C$17:$E$17,Q$7)</f>
        <v>0</v>
      </c>
    </row>
    <row r="34" customFormat="false" ht="15" hidden="false" customHeight="false" outlineLevel="0" collapsed="false">
      <c r="A34" s="44" t="s">
        <v>220</v>
      </c>
      <c r="B34" s="45" t="s">
        <v>49</v>
      </c>
      <c r="C34" s="76" t="n">
        <f aca="false">INDEX(Arch!$C$18:$E$18,C$7)</f>
        <v>128</v>
      </c>
      <c r="D34" s="76" t="n">
        <f aca="false">INDEX(Arch!$C$18:$E$18,D$7)</f>
        <v>128</v>
      </c>
      <c r="E34" s="76" t="n">
        <f aca="false">INDEX(Arch!$C$18:$E$18,E$7)</f>
        <v>1</v>
      </c>
      <c r="F34" s="76" t="n">
        <f aca="false">INDEX(Arch!$C$18:$E$18,F$7)</f>
        <v>128</v>
      </c>
      <c r="G34" s="76" t="n">
        <f aca="false">INDEX(Arch!$C$18:$E$18,G$7)</f>
        <v>128</v>
      </c>
      <c r="H34" s="76" t="n">
        <f aca="false">INDEX(Arch!$C$18:$E$18,H$7)</f>
        <v>1</v>
      </c>
      <c r="I34" s="76" t="n">
        <f aca="false">INDEX(Arch!$C$18:$E$18,I$7)</f>
        <v>128</v>
      </c>
      <c r="J34" s="76" t="n">
        <f aca="false">INDEX(Arch!$C$18:$E$18,J$7)</f>
        <v>128</v>
      </c>
      <c r="K34" s="76" t="n">
        <f aca="false">INDEX(Arch!$C$18:$E$18,K$7)</f>
        <v>1</v>
      </c>
      <c r="L34" s="76" t="n">
        <f aca="false">INDEX(Arch!$C$18:$E$18,L$7)</f>
        <v>128</v>
      </c>
      <c r="M34" s="76" t="n">
        <f aca="false">INDEX(Arch!$C$18:$E$18,M$7)</f>
        <v>128</v>
      </c>
      <c r="N34" s="76" t="n">
        <f aca="false">INDEX(Arch!$C$18:$E$18,N$7)</f>
        <v>1</v>
      </c>
      <c r="O34" s="76" t="n">
        <f aca="false">INDEX(Arch!$C$18:$E$18,O$7)</f>
        <v>128</v>
      </c>
      <c r="P34" s="76" t="n">
        <f aca="false">INDEX(Arch!$C$18:$E$18,P$7)</f>
        <v>128</v>
      </c>
      <c r="Q34" s="76" t="n">
        <f aca="false">INDEX(Arch!$C$18:$E$18,Q$7)</f>
        <v>1</v>
      </c>
    </row>
    <row r="35" customFormat="false" ht="15" hidden="false" customHeight="false" outlineLevel="0" collapsed="false">
      <c r="A35" s="44" t="s">
        <v>222</v>
      </c>
      <c r="B35" s="45" t="s">
        <v>217</v>
      </c>
      <c r="C35" s="76" t="n">
        <f aca="false">INDEX(Arch!$C$19:$E$19,C$7)</f>
        <v>128</v>
      </c>
      <c r="D35" s="76" t="n">
        <f aca="false">INDEX(Arch!$C$19:$E$19,D$7)</f>
        <v>128</v>
      </c>
      <c r="E35" s="76" t="n">
        <f aca="false">INDEX(Arch!$C$19:$E$19,E$7)</f>
        <v>0</v>
      </c>
      <c r="F35" s="76" t="n">
        <f aca="false">INDEX(Arch!$C$19:$E$19,F$7)</f>
        <v>128</v>
      </c>
      <c r="G35" s="76" t="n">
        <f aca="false">INDEX(Arch!$C$19:$E$19,G$7)</f>
        <v>128</v>
      </c>
      <c r="H35" s="76" t="n">
        <f aca="false">INDEX(Arch!$C$19:$E$19,H$7)</f>
        <v>0</v>
      </c>
      <c r="I35" s="76" t="n">
        <f aca="false">INDEX(Arch!$C$19:$E$19,I$7)</f>
        <v>128</v>
      </c>
      <c r="J35" s="76" t="n">
        <f aca="false">INDEX(Arch!$C$19:$E$19,J$7)</f>
        <v>128</v>
      </c>
      <c r="K35" s="76" t="n">
        <f aca="false">INDEX(Arch!$C$19:$E$19,K$7)</f>
        <v>0</v>
      </c>
      <c r="L35" s="76" t="n">
        <f aca="false">INDEX(Arch!$C$19:$E$19,L$7)</f>
        <v>128</v>
      </c>
      <c r="M35" s="76" t="n">
        <f aca="false">INDEX(Arch!$C$19:$E$19,M$7)</f>
        <v>128</v>
      </c>
      <c r="N35" s="76" t="n">
        <f aca="false">INDEX(Arch!$C$19:$E$19,N$7)</f>
        <v>0</v>
      </c>
      <c r="O35" s="76" t="n">
        <f aca="false">INDEX(Arch!$C$19:$E$19,O$7)</f>
        <v>128</v>
      </c>
      <c r="P35" s="76" t="n">
        <f aca="false">INDEX(Arch!$C$19:$E$19,P$7)</f>
        <v>128</v>
      </c>
      <c r="Q35" s="76" t="n">
        <f aca="false">INDEX(Arch!$C$19:$E$19,Q$7)</f>
        <v>0</v>
      </c>
    </row>
    <row r="36" customFormat="false" ht="15" hidden="false" customHeight="false" outlineLevel="0" collapsed="false">
      <c r="A36" s="72" t="s">
        <v>503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</row>
    <row r="37" customFormat="false" ht="15" hidden="false" customHeight="false" outlineLevel="0" collapsed="false">
      <c r="A37" s="45" t="s">
        <v>280</v>
      </c>
      <c r="B37" s="45" t="s">
        <v>281</v>
      </c>
      <c r="C37" s="76" t="n">
        <f aca="false">INDEX(Serving!$C$21:$E$21,C$7)</f>
        <v>120</v>
      </c>
      <c r="D37" s="76" t="n">
        <f aca="false">INDEX(Serving!$C$21:$E$21,D$7)</f>
        <v>65</v>
      </c>
      <c r="E37" s="76" t="n">
        <f aca="false">INDEX(Serving!$C$21:$E$21,E$7)</f>
        <v>55</v>
      </c>
      <c r="F37" s="76" t="n">
        <f aca="false">INDEX(Serving!$C$21:$E$21,F$7)</f>
        <v>120</v>
      </c>
      <c r="G37" s="76" t="n">
        <f aca="false">INDEX(Serving!$C$21:$E$21,G$7)</f>
        <v>65</v>
      </c>
      <c r="H37" s="76" t="n">
        <f aca="false">INDEX(Serving!$C$21:$E$21,H$7)</f>
        <v>55</v>
      </c>
      <c r="I37" s="76" t="n">
        <f aca="false">INDEX(Serving!$C$21:$E$21,I$7)</f>
        <v>120</v>
      </c>
      <c r="J37" s="76" t="n">
        <f aca="false">INDEX(Serving!$C$21:$E$21,J$7)</f>
        <v>65</v>
      </c>
      <c r="K37" s="76" t="n">
        <f aca="false">INDEX(Serving!$C$21:$E$21,K$7)</f>
        <v>55</v>
      </c>
      <c r="L37" s="76" t="n">
        <f aca="false">INDEX(Serving!$C$21:$E$21,L$7)</f>
        <v>120</v>
      </c>
      <c r="M37" s="76" t="n">
        <f aca="false">INDEX(Serving!$C$21:$E$21,M$7)</f>
        <v>65</v>
      </c>
      <c r="N37" s="76" t="n">
        <f aca="false">INDEX(Serving!$C$21:$E$21,N$7)</f>
        <v>55</v>
      </c>
      <c r="O37" s="76" t="n">
        <f aca="false">INDEX(Serving!$C$21:$E$21,O$7)</f>
        <v>120</v>
      </c>
      <c r="P37" s="76" t="n">
        <f aca="false">INDEX(Serving!$C$21:$E$21,P$7)</f>
        <v>65</v>
      </c>
      <c r="Q37" s="76" t="n">
        <f aca="false">INDEX(Serving!$C$21:$E$21,Q$7)</f>
        <v>55</v>
      </c>
    </row>
    <row r="38" customFormat="false" ht="15" hidden="false" customHeight="false" outlineLevel="0" collapsed="false">
      <c r="A38" s="45" t="s">
        <v>504</v>
      </c>
      <c r="B38" s="45" t="s">
        <v>284</v>
      </c>
      <c r="C38" s="90" t="n">
        <f aca="false">INDEX(Serving!$C$22:$E$22,C$7)</f>
        <v>2</v>
      </c>
      <c r="D38" s="90" t="n">
        <f aca="false">INDEX(Serving!$C$22:$E$22,D$7)</f>
        <v>3</v>
      </c>
      <c r="E38" s="90" t="n">
        <f aca="false">INDEX(Serving!$C$22:$E$22,E$7)</f>
        <v>5</v>
      </c>
      <c r="F38" s="90" t="n">
        <f aca="false">INDEX(Serving!$C$22:$E$22,F$7)</f>
        <v>2</v>
      </c>
      <c r="G38" s="90" t="n">
        <f aca="false">INDEX(Serving!$C$22:$E$22,G$7)</f>
        <v>3</v>
      </c>
      <c r="H38" s="90" t="n">
        <f aca="false">INDEX(Serving!$C$22:$E$22,H$7)</f>
        <v>5</v>
      </c>
      <c r="I38" s="90" t="n">
        <f aca="false">INDEX(Serving!$C$22:$E$22,I$7)</f>
        <v>2</v>
      </c>
      <c r="J38" s="90" t="n">
        <f aca="false">INDEX(Serving!$C$22:$E$22,J$7)</f>
        <v>3</v>
      </c>
      <c r="K38" s="90" t="n">
        <f aca="false">INDEX(Serving!$C$22:$E$22,K$7)</f>
        <v>5</v>
      </c>
      <c r="L38" s="90" t="n">
        <f aca="false">INDEX(Serving!$C$22:$E$22,L$7)</f>
        <v>2</v>
      </c>
      <c r="M38" s="90" t="n">
        <f aca="false">INDEX(Serving!$C$22:$E$22,M$7)</f>
        <v>3</v>
      </c>
      <c r="N38" s="90" t="n">
        <f aca="false">INDEX(Serving!$C$22:$E$22,N$7)</f>
        <v>5</v>
      </c>
      <c r="O38" s="90" t="n">
        <f aca="false">INDEX(Serving!$C$22:$E$22,O$7)</f>
        <v>2</v>
      </c>
      <c r="P38" s="90" t="n">
        <f aca="false">INDEX(Serving!$C$22:$E$22,P$7)</f>
        <v>3</v>
      </c>
      <c r="Q38" s="90" t="n">
        <f aca="false">INDEX(Serving!$C$22:$E$22,Q$7)</f>
        <v>5</v>
      </c>
    </row>
    <row r="39" customFormat="false" ht="15" hidden="false" customHeight="false" outlineLevel="0" collapsed="false">
      <c r="A39" s="44" t="s">
        <v>505</v>
      </c>
      <c r="B39" s="45" t="s">
        <v>217</v>
      </c>
      <c r="C39" s="76" t="n">
        <f aca="false">INDEX(Serving!$C$23:$E$23,C$7)</f>
        <v>8192</v>
      </c>
      <c r="D39" s="76" t="n">
        <f aca="false">INDEX(Serving!$C$23:$E$23,D$7)</f>
        <v>16384</v>
      </c>
      <c r="E39" s="76" t="n">
        <f aca="false">INDEX(Serving!$C$23:$E$23,E$7)</f>
        <v>32768</v>
      </c>
      <c r="F39" s="76" t="n">
        <f aca="false">INDEX(Serving!$C$23:$E$23,F$7)</f>
        <v>8192</v>
      </c>
      <c r="G39" s="76" t="n">
        <f aca="false">INDEX(Serving!$C$23:$E$23,G$7)</f>
        <v>16384</v>
      </c>
      <c r="H39" s="76" t="n">
        <f aca="false">INDEX(Serving!$C$23:$E$23,H$7)</f>
        <v>32768</v>
      </c>
      <c r="I39" s="76" t="n">
        <f aca="false">INDEX(Serving!$C$23:$E$23,I$7)</f>
        <v>8192</v>
      </c>
      <c r="J39" s="76" t="n">
        <f aca="false">INDEX(Serving!$C$23:$E$23,J$7)</f>
        <v>16384</v>
      </c>
      <c r="K39" s="76" t="n">
        <f aca="false">INDEX(Serving!$C$23:$E$23,K$7)</f>
        <v>32768</v>
      </c>
      <c r="L39" s="76" t="n">
        <f aca="false">INDEX(Serving!$C$23:$E$23,L$7)</f>
        <v>8192</v>
      </c>
      <c r="M39" s="76" t="n">
        <f aca="false">INDEX(Serving!$C$23:$E$23,M$7)</f>
        <v>16384</v>
      </c>
      <c r="N39" s="76" t="n">
        <f aca="false">INDEX(Serving!$C$23:$E$23,N$7)</f>
        <v>32768</v>
      </c>
      <c r="O39" s="76" t="n">
        <f aca="false">INDEX(Serving!$C$23:$E$23,O$7)</f>
        <v>8192</v>
      </c>
      <c r="P39" s="76" t="n">
        <f aca="false">INDEX(Serving!$C$23:$E$23,P$7)</f>
        <v>16384</v>
      </c>
      <c r="Q39" s="76" t="n">
        <f aca="false">INDEX(Serving!$C$23:$E$23,Q$7)</f>
        <v>32768</v>
      </c>
    </row>
    <row r="40" customFormat="false" ht="15" hidden="false" customHeight="false" outlineLevel="0" collapsed="false">
      <c r="A40" s="44" t="s">
        <v>287</v>
      </c>
      <c r="B40" s="45" t="s">
        <v>217</v>
      </c>
      <c r="C40" s="76" t="n">
        <f aca="false">INDEX(Serving!$C$24:$E$24,C$7)</f>
        <v>1024</v>
      </c>
      <c r="D40" s="76" t="n">
        <f aca="false">INDEX(Serving!$C$24:$E$24,D$7)</f>
        <v>2048</v>
      </c>
      <c r="E40" s="76" t="n">
        <f aca="false">INDEX(Serving!$C$24:$E$24,E$7)</f>
        <v>4096</v>
      </c>
      <c r="F40" s="76" t="n">
        <f aca="false">INDEX(Serving!$C$24:$E$24,F$7)</f>
        <v>1024</v>
      </c>
      <c r="G40" s="76" t="n">
        <f aca="false">INDEX(Serving!$C$24:$E$24,G$7)</f>
        <v>2048</v>
      </c>
      <c r="H40" s="76" t="n">
        <f aca="false">INDEX(Serving!$C$24:$E$24,H$7)</f>
        <v>4096</v>
      </c>
      <c r="I40" s="76" t="n">
        <f aca="false">INDEX(Serving!$C$24:$E$24,I$7)</f>
        <v>1024</v>
      </c>
      <c r="J40" s="76" t="n">
        <f aca="false">INDEX(Serving!$C$24:$E$24,J$7)</f>
        <v>2048</v>
      </c>
      <c r="K40" s="76" t="n">
        <f aca="false">INDEX(Serving!$C$24:$E$24,K$7)</f>
        <v>4096</v>
      </c>
      <c r="L40" s="76" t="n">
        <f aca="false">INDEX(Serving!$C$24:$E$24,L$7)</f>
        <v>1024</v>
      </c>
      <c r="M40" s="76" t="n">
        <f aca="false">INDEX(Serving!$C$24:$E$24,M$7)</f>
        <v>2048</v>
      </c>
      <c r="N40" s="76" t="n">
        <f aca="false">INDEX(Serving!$C$24:$E$24,N$7)</f>
        <v>4096</v>
      </c>
      <c r="O40" s="76" t="n">
        <f aca="false">INDEX(Serving!$C$24:$E$24,O$7)</f>
        <v>1024</v>
      </c>
      <c r="P40" s="76" t="n">
        <f aca="false">INDEX(Serving!$C$24:$E$24,P$7)</f>
        <v>2048</v>
      </c>
      <c r="Q40" s="76" t="n">
        <f aca="false">INDEX(Serving!$C$24:$E$24,Q$7)</f>
        <v>4096</v>
      </c>
    </row>
    <row r="41" customFormat="false" ht="15" hidden="false" customHeight="false" outlineLevel="0" collapsed="false">
      <c r="A41" s="45" t="s">
        <v>288</v>
      </c>
      <c r="B41" s="45" t="s">
        <v>217</v>
      </c>
      <c r="C41" s="56" t="n">
        <f aca="false">C39+C40/2</f>
        <v>8704</v>
      </c>
      <c r="D41" s="56" t="n">
        <f aca="false">D39+D40/2</f>
        <v>17408</v>
      </c>
      <c r="E41" s="56" t="n">
        <f aca="false">E39+E40/2</f>
        <v>34816</v>
      </c>
      <c r="F41" s="56" t="n">
        <f aca="false">F39+F40/2</f>
        <v>8704</v>
      </c>
      <c r="G41" s="56" t="n">
        <f aca="false">G39+G40/2</f>
        <v>17408</v>
      </c>
      <c r="H41" s="56" t="n">
        <f aca="false">H39+H40/2</f>
        <v>34816</v>
      </c>
      <c r="I41" s="56" t="n">
        <f aca="false">I39+I40/2</f>
        <v>8704</v>
      </c>
      <c r="J41" s="56" t="n">
        <f aca="false">J39+J40/2</f>
        <v>17408</v>
      </c>
      <c r="K41" s="56" t="n">
        <f aca="false">K39+K40/2</f>
        <v>34816</v>
      </c>
      <c r="L41" s="56" t="n">
        <f aca="false">L39+L40/2</f>
        <v>8704</v>
      </c>
      <c r="M41" s="56" t="n">
        <f aca="false">M39+M40/2</f>
        <v>17408</v>
      </c>
      <c r="N41" s="56" t="n">
        <f aca="false">N39+N40/2</f>
        <v>34816</v>
      </c>
      <c r="O41" s="56" t="n">
        <f aca="false">O39+O40/2</f>
        <v>8704</v>
      </c>
      <c r="P41" s="56" t="n">
        <f aca="false">P39+P40/2</f>
        <v>17408</v>
      </c>
      <c r="Q41" s="56" t="n">
        <f aca="false">Q39+Q40/2</f>
        <v>34816</v>
      </c>
    </row>
    <row r="42" customFormat="false" ht="15" hidden="false" customHeight="false" outlineLevel="0" collapsed="false">
      <c r="A42" s="45" t="s">
        <v>289</v>
      </c>
      <c r="B42" s="45" t="s">
        <v>217</v>
      </c>
      <c r="C42" s="56" t="n">
        <f aca="false">C39/2</f>
        <v>4096</v>
      </c>
      <c r="D42" s="56" t="n">
        <f aca="false">D39/2</f>
        <v>8192</v>
      </c>
      <c r="E42" s="56" t="n">
        <f aca="false">E39/2</f>
        <v>16384</v>
      </c>
      <c r="F42" s="56" t="n">
        <f aca="false">F39/2</f>
        <v>4096</v>
      </c>
      <c r="G42" s="56" t="n">
        <f aca="false">G39/2</f>
        <v>8192</v>
      </c>
      <c r="H42" s="56" t="n">
        <f aca="false">H39/2</f>
        <v>16384</v>
      </c>
      <c r="I42" s="56" t="n">
        <f aca="false">I39/2</f>
        <v>4096</v>
      </c>
      <c r="J42" s="56" t="n">
        <f aca="false">J39/2</f>
        <v>8192</v>
      </c>
      <c r="K42" s="56" t="n">
        <f aca="false">K39/2</f>
        <v>16384</v>
      </c>
      <c r="L42" s="56" t="n">
        <f aca="false">L39/2</f>
        <v>4096</v>
      </c>
      <c r="M42" s="56" t="n">
        <f aca="false">M39/2</f>
        <v>8192</v>
      </c>
      <c r="N42" s="56" t="n">
        <f aca="false">N39/2</f>
        <v>16384</v>
      </c>
      <c r="O42" s="56" t="n">
        <f aca="false">O39/2</f>
        <v>4096</v>
      </c>
      <c r="P42" s="56" t="n">
        <f aca="false">P39/2</f>
        <v>8192</v>
      </c>
      <c r="Q42" s="56" t="n">
        <f aca="false">Q39/2</f>
        <v>16384</v>
      </c>
    </row>
    <row r="43" customFormat="false" ht="15" hidden="false" customHeight="false" outlineLevel="0" collapsed="false">
      <c r="A43" s="45" t="s">
        <v>506</v>
      </c>
      <c r="B43" s="45" t="s">
        <v>217</v>
      </c>
      <c r="C43" s="82" t="n">
        <f aca="false">Serving!$C$6</f>
        <v>3</v>
      </c>
      <c r="D43" s="82" t="n">
        <f aca="false">Serving!$C$6</f>
        <v>3</v>
      </c>
      <c r="E43" s="82" t="n">
        <f aca="false">Serving!$C$6</f>
        <v>3</v>
      </c>
      <c r="F43" s="82" t="n">
        <f aca="false">Serving!$C$6</f>
        <v>3</v>
      </c>
      <c r="G43" s="82" t="n">
        <f aca="false">Serving!$C$6</f>
        <v>3</v>
      </c>
      <c r="H43" s="82" t="n">
        <f aca="false">Serving!$C$6</f>
        <v>3</v>
      </c>
      <c r="I43" s="82" t="n">
        <f aca="false">Serving!$C$6</f>
        <v>3</v>
      </c>
      <c r="J43" s="82" t="n">
        <f aca="false">Serving!$C$6</f>
        <v>3</v>
      </c>
      <c r="K43" s="82" t="n">
        <f aca="false">Serving!$C$6</f>
        <v>3</v>
      </c>
      <c r="L43" s="82" t="n">
        <f aca="false">Serving!$C$6</f>
        <v>3</v>
      </c>
      <c r="M43" s="82" t="n">
        <f aca="false">Serving!$C$6</f>
        <v>3</v>
      </c>
      <c r="N43" s="82" t="n">
        <f aca="false">Serving!$C$6</f>
        <v>3</v>
      </c>
      <c r="O43" s="82" t="n">
        <f aca="false">Serving!$C$6</f>
        <v>3</v>
      </c>
      <c r="P43" s="82" t="n">
        <f aca="false">Serving!$C$6</f>
        <v>3</v>
      </c>
      <c r="Q43" s="82" t="n">
        <f aca="false">Serving!$C$6</f>
        <v>3</v>
      </c>
    </row>
    <row r="44" customFormat="false" ht="15" hidden="false" customHeight="false" outlineLevel="0" collapsed="false">
      <c r="A44" s="44" t="s">
        <v>507</v>
      </c>
      <c r="B44" s="45" t="s">
        <v>45</v>
      </c>
      <c r="C44" s="81" t="n">
        <f aca="false">Serving!$C$7</f>
        <v>0.7</v>
      </c>
      <c r="D44" s="81" t="n">
        <f aca="false">Serving!$C$7</f>
        <v>0.7</v>
      </c>
      <c r="E44" s="81" t="n">
        <f aca="false">Serving!$C$7</f>
        <v>0.7</v>
      </c>
      <c r="F44" s="81" t="n">
        <f aca="false">Serving!$C$7</f>
        <v>0.7</v>
      </c>
      <c r="G44" s="81" t="n">
        <f aca="false">Serving!$C$7</f>
        <v>0.7</v>
      </c>
      <c r="H44" s="81" t="n">
        <f aca="false">Serving!$C$7</f>
        <v>0.7</v>
      </c>
      <c r="I44" s="81" t="n">
        <f aca="false">Serving!$C$7</f>
        <v>0.7</v>
      </c>
      <c r="J44" s="81" t="n">
        <f aca="false">Serving!$C$7</f>
        <v>0.7</v>
      </c>
      <c r="K44" s="81" t="n">
        <f aca="false">Serving!$C$7</f>
        <v>0.7</v>
      </c>
      <c r="L44" s="81" t="n">
        <f aca="false">Serving!$C$7</f>
        <v>0.7</v>
      </c>
      <c r="M44" s="81" t="n">
        <f aca="false">Serving!$C$7</f>
        <v>0.7</v>
      </c>
      <c r="N44" s="81" t="n">
        <f aca="false">Serving!$C$7</f>
        <v>0.7</v>
      </c>
      <c r="O44" s="81" t="n">
        <f aca="false">Serving!$C$7</f>
        <v>0.7</v>
      </c>
      <c r="P44" s="81" t="n">
        <f aca="false">Serving!$C$7</f>
        <v>0.7</v>
      </c>
      <c r="Q44" s="81" t="n">
        <f aca="false">Serving!$C$7</f>
        <v>0.7</v>
      </c>
    </row>
    <row r="45" customFormat="false" ht="15" hidden="false" customHeight="false" outlineLevel="0" collapsed="false">
      <c r="A45" s="44" t="s">
        <v>508</v>
      </c>
      <c r="B45" s="45" t="s">
        <v>217</v>
      </c>
      <c r="C45" s="57" t="n">
        <f aca="false">(1-C44^(C43+1))/(1-C44)</f>
        <v>2.533</v>
      </c>
      <c r="D45" s="57" t="n">
        <f aca="false">(1-D44^(D43+1))/(1-D44)</f>
        <v>2.533</v>
      </c>
      <c r="E45" s="57" t="n">
        <f aca="false">(1-E44^(E43+1))/(1-E44)</f>
        <v>2.533</v>
      </c>
      <c r="F45" s="57" t="n">
        <f aca="false">(1-F44^(F43+1))/(1-F44)</f>
        <v>2.533</v>
      </c>
      <c r="G45" s="57" t="n">
        <f aca="false">(1-G44^(G43+1))/(1-G44)</f>
        <v>2.533</v>
      </c>
      <c r="H45" s="57" t="n">
        <f aca="false">(1-H44^(H43+1))/(1-H44)</f>
        <v>2.533</v>
      </c>
      <c r="I45" s="57" t="n">
        <f aca="false">(1-I44^(I43+1))/(1-I44)</f>
        <v>2.533</v>
      </c>
      <c r="J45" s="57" t="n">
        <f aca="false">(1-J44^(J43+1))/(1-J44)</f>
        <v>2.533</v>
      </c>
      <c r="K45" s="57" t="n">
        <f aca="false">(1-K44^(K43+1))/(1-K44)</f>
        <v>2.533</v>
      </c>
      <c r="L45" s="57" t="n">
        <f aca="false">(1-L44^(L43+1))/(1-L44)</f>
        <v>2.533</v>
      </c>
      <c r="M45" s="57" t="n">
        <f aca="false">(1-M44^(M43+1))/(1-M44)</f>
        <v>2.533</v>
      </c>
      <c r="N45" s="57" t="n">
        <f aca="false">(1-N44^(N43+1))/(1-N44)</f>
        <v>2.533</v>
      </c>
      <c r="O45" s="57" t="n">
        <f aca="false">(1-O44^(O43+1))/(1-O44)</f>
        <v>2.533</v>
      </c>
      <c r="P45" s="57" t="n">
        <f aca="false">(1-P44^(P43+1))/(1-P44)</f>
        <v>2.533</v>
      </c>
      <c r="Q45" s="57" t="n">
        <f aca="false">(1-Q44^(Q43+1))/(1-Q44)</f>
        <v>2.533</v>
      </c>
    </row>
    <row r="46" customFormat="false" ht="15" hidden="false" customHeight="false" outlineLevel="0" collapsed="false">
      <c r="A46" s="44" t="s">
        <v>276</v>
      </c>
      <c r="B46" s="45" t="s">
        <v>49</v>
      </c>
      <c r="C46" s="79" t="n">
        <f aca="false">Serving!$C$18</f>
        <v>1</v>
      </c>
      <c r="D46" s="79" t="n">
        <f aca="false">Serving!$C$18</f>
        <v>1</v>
      </c>
      <c r="E46" s="79" t="n">
        <f aca="false">Serving!$C$18</f>
        <v>1</v>
      </c>
      <c r="F46" s="79" t="n">
        <f aca="false">Serving!$C$18</f>
        <v>1</v>
      </c>
      <c r="G46" s="79" t="n">
        <f aca="false">Serving!$C$18</f>
        <v>1</v>
      </c>
      <c r="H46" s="79" t="n">
        <f aca="false">Serving!$C$18</f>
        <v>1</v>
      </c>
      <c r="I46" s="79" t="n">
        <f aca="false">Serving!$C$18</f>
        <v>1</v>
      </c>
      <c r="J46" s="79" t="n">
        <f aca="false">Serving!$C$18</f>
        <v>1</v>
      </c>
      <c r="K46" s="79" t="n">
        <f aca="false">Serving!$C$18</f>
        <v>1</v>
      </c>
      <c r="L46" s="79" t="n">
        <f aca="false">Serving!$C$18</f>
        <v>1</v>
      </c>
      <c r="M46" s="79" t="n">
        <f aca="false">Serving!$C$18</f>
        <v>1</v>
      </c>
      <c r="N46" s="79" t="n">
        <f aca="false">Serving!$C$18</f>
        <v>1</v>
      </c>
      <c r="O46" s="79" t="n">
        <f aca="false">Serving!$C$18</f>
        <v>1</v>
      </c>
      <c r="P46" s="79" t="n">
        <f aca="false">Serving!$C$18</f>
        <v>1</v>
      </c>
      <c r="Q46" s="79" t="n">
        <f aca="false">Serving!$C$18</f>
        <v>1</v>
      </c>
    </row>
    <row r="47" customFormat="false" ht="15" hidden="false" customHeight="false" outlineLevel="0" collapsed="false">
      <c r="A47" s="45" t="s">
        <v>509</v>
      </c>
      <c r="B47" s="45" t="s">
        <v>45</v>
      </c>
      <c r="C47" s="91" t="n">
        <f aca="false">INDEX(Calib!$C$70:$G$70,C$6)*C46</f>
        <v>0.3</v>
      </c>
      <c r="D47" s="91" t="n">
        <f aca="false">INDEX(Calib!$C$70:$G$70,D$6)*D46</f>
        <v>0.3</v>
      </c>
      <c r="E47" s="91" t="n">
        <f aca="false">INDEX(Calib!$C$70:$G$70,E$6)*E46</f>
        <v>0.3</v>
      </c>
      <c r="F47" s="91" t="n">
        <f aca="false">INDEX(Calib!$C$70:$G$70,F$6)*F46</f>
        <v>0.3</v>
      </c>
      <c r="G47" s="91" t="n">
        <f aca="false">INDEX(Calib!$C$70:$G$70,G$6)*G46</f>
        <v>0.3</v>
      </c>
      <c r="H47" s="91" t="n">
        <f aca="false">INDEX(Calib!$C$70:$G$70,H$6)*H46</f>
        <v>0.3</v>
      </c>
      <c r="I47" s="91" t="n">
        <f aca="false">INDEX(Calib!$C$70:$G$70,I$6)*I46</f>
        <v>0.3</v>
      </c>
      <c r="J47" s="91" t="n">
        <f aca="false">INDEX(Calib!$C$70:$G$70,J$6)*J46</f>
        <v>0.3</v>
      </c>
      <c r="K47" s="91" t="n">
        <f aca="false">INDEX(Calib!$C$70:$G$70,K$6)*K46</f>
        <v>0.3</v>
      </c>
      <c r="L47" s="91" t="n">
        <f aca="false">INDEX(Calib!$C$70:$G$70,L$6)*L46</f>
        <v>0.3</v>
      </c>
      <c r="M47" s="91" t="n">
        <f aca="false">INDEX(Calib!$C$70:$G$70,M$6)*M46</f>
        <v>0.3</v>
      </c>
      <c r="N47" s="91" t="n">
        <f aca="false">INDEX(Calib!$C$70:$G$70,N$6)*N46</f>
        <v>0.3</v>
      </c>
      <c r="O47" s="91" t="n">
        <f aca="false">INDEX(Calib!$C$70:$G$70,O$6)*O46</f>
        <v>0.3</v>
      </c>
      <c r="P47" s="91" t="n">
        <f aca="false">INDEX(Calib!$C$70:$G$70,P$6)*P46</f>
        <v>0.3</v>
      </c>
      <c r="Q47" s="91" t="n">
        <f aca="false">INDEX(Calib!$C$70:$G$70,Q$6)*Q46</f>
        <v>0.3</v>
      </c>
    </row>
    <row r="48" customFormat="false" ht="15" hidden="false" customHeight="false" outlineLevel="0" collapsed="false">
      <c r="A48" s="45" t="s">
        <v>510</v>
      </c>
      <c r="B48" s="45" t="s">
        <v>49</v>
      </c>
      <c r="C48" s="59" t="n">
        <v>1</v>
      </c>
      <c r="D48" s="59" t="n">
        <v>1</v>
      </c>
      <c r="E48" s="59" t="n">
        <v>1</v>
      </c>
      <c r="F48" s="59" t="n">
        <v>1</v>
      </c>
      <c r="G48" s="59" t="n">
        <v>1</v>
      </c>
      <c r="H48" s="59" t="n">
        <v>1</v>
      </c>
      <c r="I48" s="59" t="n">
        <v>1</v>
      </c>
      <c r="J48" s="59" t="n">
        <v>1</v>
      </c>
      <c r="K48" s="59" t="n">
        <v>1</v>
      </c>
      <c r="L48" s="59" t="n">
        <v>1</v>
      </c>
      <c r="M48" s="59" t="n">
        <v>1</v>
      </c>
      <c r="N48" s="59" t="n">
        <v>1</v>
      </c>
      <c r="O48" s="59" t="n">
        <v>1</v>
      </c>
      <c r="P48" s="59" t="n">
        <v>1</v>
      </c>
      <c r="Q48" s="59" t="n">
        <v>1</v>
      </c>
    </row>
    <row r="49" customFormat="false" ht="15" hidden="false" customHeight="false" outlineLevel="0" collapsed="false">
      <c r="A49" s="45" t="s">
        <v>511</v>
      </c>
      <c r="B49" s="45" t="s">
        <v>45</v>
      </c>
      <c r="C49" s="92" t="n">
        <f aca="false">INDEX(Calib!$C$68:$G$68,C$6)*C48*C46</f>
        <v>0.10812713848402</v>
      </c>
      <c r="D49" s="92" t="n">
        <f aca="false">INDEX(Calib!$C$68:$G$68,D$6)*D48*D46</f>
        <v>0.10812713848402</v>
      </c>
      <c r="E49" s="92" t="n">
        <f aca="false">INDEX(Calib!$C$68:$G$68,E$6)*E48*E46</f>
        <v>0.10812713848402</v>
      </c>
      <c r="F49" s="92" t="n">
        <f aca="false">INDEX(Calib!$C$68:$G$68,F$6)*F48*F46</f>
        <v>0.0360423794946733</v>
      </c>
      <c r="G49" s="92" t="n">
        <f aca="false">INDEX(Calib!$C$68:$G$68,G$6)*G48*G46</f>
        <v>0.0360423794946733</v>
      </c>
      <c r="H49" s="92" t="n">
        <f aca="false">INDEX(Calib!$C$68:$G$68,H$6)*H48*H46</f>
        <v>0.0360423794946733</v>
      </c>
      <c r="I49" s="92" t="n">
        <f aca="false">INDEX(Calib!$C$68:$G$68,I$6)*I48*I46</f>
        <v>0.0360423794946733</v>
      </c>
      <c r="J49" s="92" t="n">
        <f aca="false">INDEX(Calib!$C$68:$G$68,J$6)*J48*J46</f>
        <v>0.0360423794946733</v>
      </c>
      <c r="K49" s="92" t="n">
        <f aca="false">INDEX(Calib!$C$68:$G$68,K$6)*K48*K46</f>
        <v>0.0360423794946733</v>
      </c>
      <c r="L49" s="92" t="n">
        <f aca="false">INDEX(Calib!$C$68:$G$68,L$6)*L48*L46</f>
        <v>0.0360423794946733</v>
      </c>
      <c r="M49" s="92" t="n">
        <f aca="false">INDEX(Calib!$C$68:$G$68,M$6)*M48*M46</f>
        <v>0.0360423794946733</v>
      </c>
      <c r="N49" s="92" t="n">
        <f aca="false">INDEX(Calib!$C$68:$G$68,N$6)*N48*N46</f>
        <v>0.0360423794946733</v>
      </c>
      <c r="O49" s="92" t="n">
        <f aca="false">INDEX(Calib!$C$68:$G$68,O$6)*O48*O46</f>
        <v>0.0360423794946733</v>
      </c>
      <c r="P49" s="92" t="n">
        <f aca="false">INDEX(Calib!$C$68:$G$68,P$6)*P48*P46</f>
        <v>0.0360423794946733</v>
      </c>
      <c r="Q49" s="92" t="n">
        <f aca="false">INDEX(Calib!$C$68:$G$68,Q$6)*Q48*Q46</f>
        <v>0.0360423794946733</v>
      </c>
    </row>
    <row r="50" customFormat="false" ht="15" hidden="false" customHeight="false" outlineLevel="0" collapsed="false">
      <c r="A50" s="44" t="s">
        <v>512</v>
      </c>
      <c r="B50" s="45" t="s">
        <v>49</v>
      </c>
      <c r="C50" s="59" t="n">
        <v>1</v>
      </c>
      <c r="D50" s="59" t="n">
        <v>1</v>
      </c>
      <c r="E50" s="59" t="n">
        <v>1</v>
      </c>
      <c r="F50" s="59" t="n">
        <v>1</v>
      </c>
      <c r="G50" s="59" t="n">
        <v>1</v>
      </c>
      <c r="H50" s="59" t="n">
        <v>1</v>
      </c>
      <c r="I50" s="59" t="n">
        <v>1</v>
      </c>
      <c r="J50" s="59" t="n">
        <v>1</v>
      </c>
      <c r="K50" s="59" t="n">
        <v>1</v>
      </c>
      <c r="L50" s="59" t="n">
        <v>1</v>
      </c>
      <c r="M50" s="59" t="n">
        <v>1</v>
      </c>
      <c r="N50" s="59" t="n">
        <v>1</v>
      </c>
      <c r="O50" s="59" t="n">
        <v>1</v>
      </c>
      <c r="P50" s="59" t="n">
        <v>1</v>
      </c>
      <c r="Q50" s="59" t="n">
        <v>1</v>
      </c>
    </row>
    <row r="51" customFormat="false" ht="15" hidden="false" customHeight="false" outlineLevel="0" collapsed="false">
      <c r="A51" s="44" t="s">
        <v>513</v>
      </c>
      <c r="B51" s="45" t="s">
        <v>408</v>
      </c>
      <c r="C51" s="76" t="n">
        <f aca="false">INDEX(Calib!$C$69:$G$69,C$6)*C50/C46</f>
        <v>240.417841369295</v>
      </c>
      <c r="D51" s="76" t="n">
        <f aca="false">INDEX(Calib!$C$69:$G$69,D$6)*D50/D46</f>
        <v>240.417841369295</v>
      </c>
      <c r="E51" s="76" t="n">
        <f aca="false">INDEX(Calib!$C$69:$G$69,E$6)*E50/E46</f>
        <v>240.417841369295</v>
      </c>
      <c r="F51" s="76" t="n">
        <f aca="false">INDEX(Calib!$C$69:$G$69,F$6)*F50/F46</f>
        <v>160.278560912864</v>
      </c>
      <c r="G51" s="76" t="n">
        <f aca="false">INDEX(Calib!$C$69:$G$69,G$6)*G50/G46</f>
        <v>160.278560912864</v>
      </c>
      <c r="H51" s="76" t="n">
        <f aca="false">INDEX(Calib!$C$69:$G$69,H$6)*H50/H46</f>
        <v>160.278560912864</v>
      </c>
      <c r="I51" s="76" t="n">
        <f aca="false">INDEX(Calib!$C$69:$G$69,I$6)*I50/I46</f>
        <v>160.278560912864</v>
      </c>
      <c r="J51" s="76" t="n">
        <f aca="false">INDEX(Calib!$C$69:$G$69,J$6)*J50/J46</f>
        <v>160.278560912864</v>
      </c>
      <c r="K51" s="76" t="n">
        <f aca="false">INDEX(Calib!$C$69:$G$69,K$6)*K50/K46</f>
        <v>160.278560912864</v>
      </c>
      <c r="L51" s="76" t="n">
        <f aca="false">INDEX(Calib!$C$69:$G$69,L$6)*L50/L46</f>
        <v>160.278560912864</v>
      </c>
      <c r="M51" s="76" t="n">
        <f aca="false">INDEX(Calib!$C$69:$G$69,M$6)*M50/M46</f>
        <v>160.278560912864</v>
      </c>
      <c r="N51" s="76" t="n">
        <f aca="false">INDEX(Calib!$C$69:$G$69,N$6)*N50/N46</f>
        <v>160.278560912864</v>
      </c>
      <c r="O51" s="76" t="n">
        <f aca="false">INDEX(Calib!$C$69:$G$69,O$6)*O50/O46</f>
        <v>160.278560912864</v>
      </c>
      <c r="P51" s="76" t="n">
        <f aca="false">INDEX(Calib!$C$69:$G$69,P$6)*P50/P46</f>
        <v>160.278560912864</v>
      </c>
      <c r="Q51" s="76" t="n">
        <f aca="false">INDEX(Calib!$C$69:$G$69,Q$6)*Q50/Q46</f>
        <v>160.278560912864</v>
      </c>
    </row>
    <row r="52" customFormat="false" ht="15" hidden="false" customHeight="false" outlineLevel="0" collapsed="false">
      <c r="A52" s="45" t="s">
        <v>514</v>
      </c>
      <c r="B52" s="45" t="s">
        <v>45</v>
      </c>
      <c r="C52" s="81" t="n">
        <f aca="false">Serving!$C$9</f>
        <v>0.1</v>
      </c>
      <c r="D52" s="81" t="n">
        <f aca="false">Serving!$C$9</f>
        <v>0.1</v>
      </c>
      <c r="E52" s="81" t="n">
        <f aca="false">Serving!$C$9</f>
        <v>0.1</v>
      </c>
      <c r="F52" s="81" t="n">
        <f aca="false">Serving!$C$9</f>
        <v>0.1</v>
      </c>
      <c r="G52" s="81" t="n">
        <f aca="false">Serving!$C$9</f>
        <v>0.1</v>
      </c>
      <c r="H52" s="81" t="n">
        <f aca="false">Serving!$C$9</f>
        <v>0.1</v>
      </c>
      <c r="I52" s="81" t="n">
        <f aca="false">Serving!$C$9</f>
        <v>0.1</v>
      </c>
      <c r="J52" s="81" t="n">
        <f aca="false">Serving!$C$9</f>
        <v>0.1</v>
      </c>
      <c r="K52" s="81" t="n">
        <f aca="false">Serving!$C$9</f>
        <v>0.1</v>
      </c>
      <c r="L52" s="81" t="n">
        <f aca="false">Serving!$C$9</f>
        <v>0.1</v>
      </c>
      <c r="M52" s="81" t="n">
        <f aca="false">Serving!$C$9</f>
        <v>0.1</v>
      </c>
      <c r="N52" s="81" t="n">
        <f aca="false">Serving!$C$9</f>
        <v>0.1</v>
      </c>
      <c r="O52" s="81" t="n">
        <f aca="false">Serving!$C$9</f>
        <v>0.1</v>
      </c>
      <c r="P52" s="81" t="n">
        <f aca="false">Serving!$C$9</f>
        <v>0.1</v>
      </c>
      <c r="Q52" s="81" t="n">
        <f aca="false">Serving!$C$9</f>
        <v>0.1</v>
      </c>
    </row>
    <row r="53" customFormat="false" ht="15" hidden="false" customHeight="false" outlineLevel="0" collapsed="false">
      <c r="A53" s="44" t="s">
        <v>515</v>
      </c>
      <c r="B53" s="45" t="s">
        <v>45</v>
      </c>
      <c r="C53" s="81" t="n">
        <f aca="false">Serving!$C$10</f>
        <v>0.2</v>
      </c>
      <c r="D53" s="81" t="n">
        <f aca="false">Serving!$C$10</f>
        <v>0.2</v>
      </c>
      <c r="E53" s="81" t="n">
        <f aca="false">Serving!$C$10</f>
        <v>0.2</v>
      </c>
      <c r="F53" s="81" t="n">
        <f aca="false">Serving!$C$10</f>
        <v>0.2</v>
      </c>
      <c r="G53" s="81" t="n">
        <f aca="false">Serving!$C$10</f>
        <v>0.2</v>
      </c>
      <c r="H53" s="81" t="n">
        <f aca="false">Serving!$C$10</f>
        <v>0.2</v>
      </c>
      <c r="I53" s="81" t="n">
        <f aca="false">Serving!$C$10</f>
        <v>0.2</v>
      </c>
      <c r="J53" s="81" t="n">
        <f aca="false">Serving!$C$10</f>
        <v>0.2</v>
      </c>
      <c r="K53" s="81" t="n">
        <f aca="false">Serving!$C$10</f>
        <v>0.2</v>
      </c>
      <c r="L53" s="81" t="n">
        <f aca="false">Serving!$C$10</f>
        <v>0.2</v>
      </c>
      <c r="M53" s="81" t="n">
        <f aca="false">Serving!$C$10</f>
        <v>0.2</v>
      </c>
      <c r="N53" s="81" t="n">
        <f aca="false">Serving!$C$10</f>
        <v>0.2</v>
      </c>
      <c r="O53" s="81" t="n">
        <f aca="false">Serving!$C$10</f>
        <v>0.2</v>
      </c>
      <c r="P53" s="81" t="n">
        <f aca="false">Serving!$C$10</f>
        <v>0.2</v>
      </c>
      <c r="Q53" s="81" t="n">
        <f aca="false">Serving!$C$10</f>
        <v>0.2</v>
      </c>
    </row>
    <row r="54" customFormat="false" ht="15" hidden="false" customHeight="false" outlineLevel="0" collapsed="false">
      <c r="A54" s="44" t="s">
        <v>516</v>
      </c>
      <c r="B54" s="45" t="s">
        <v>45</v>
      </c>
      <c r="C54" s="81" t="n">
        <f aca="false">Serving!$C$11</f>
        <v>0.4</v>
      </c>
      <c r="D54" s="81" t="n">
        <f aca="false">Serving!$C$11</f>
        <v>0.4</v>
      </c>
      <c r="E54" s="81" t="n">
        <f aca="false">Serving!$C$11</f>
        <v>0.4</v>
      </c>
      <c r="F54" s="81" t="n">
        <f aca="false">Serving!$C$11</f>
        <v>0.4</v>
      </c>
      <c r="G54" s="81" t="n">
        <f aca="false">Serving!$C$11</f>
        <v>0.4</v>
      </c>
      <c r="H54" s="81" t="n">
        <f aca="false">Serving!$C$11</f>
        <v>0.4</v>
      </c>
      <c r="I54" s="81" t="n">
        <f aca="false">Serving!$C$11</f>
        <v>0.4</v>
      </c>
      <c r="J54" s="81" t="n">
        <f aca="false">Serving!$C$11</f>
        <v>0.4</v>
      </c>
      <c r="K54" s="81" t="n">
        <f aca="false">Serving!$C$11</f>
        <v>0.4</v>
      </c>
      <c r="L54" s="81" t="n">
        <f aca="false">Serving!$C$11</f>
        <v>0.4</v>
      </c>
      <c r="M54" s="81" t="n">
        <f aca="false">Serving!$C$11</f>
        <v>0.4</v>
      </c>
      <c r="N54" s="81" t="n">
        <f aca="false">Serving!$C$11</f>
        <v>0.4</v>
      </c>
      <c r="O54" s="81" t="n">
        <f aca="false">Serving!$C$11</f>
        <v>0.4</v>
      </c>
      <c r="P54" s="81" t="n">
        <f aca="false">Serving!$C$11</f>
        <v>0.4</v>
      </c>
      <c r="Q54" s="81" t="n">
        <f aca="false">Serving!$C$11</f>
        <v>0.4</v>
      </c>
    </row>
    <row r="55" customFormat="false" ht="15" hidden="false" customHeight="false" outlineLevel="0" collapsed="false">
      <c r="A55" s="45" t="s">
        <v>517</v>
      </c>
      <c r="B55" s="45" t="s">
        <v>194</v>
      </c>
      <c r="C55" s="90" t="n">
        <f aca="false">Serving!$C$12</f>
        <v>3</v>
      </c>
      <c r="D55" s="90" t="n">
        <f aca="false">Serving!$C$12</f>
        <v>3</v>
      </c>
      <c r="E55" s="90" t="n">
        <f aca="false">Serving!$C$12</f>
        <v>3</v>
      </c>
      <c r="F55" s="90" t="n">
        <f aca="false">Serving!$C$12</f>
        <v>3</v>
      </c>
      <c r="G55" s="90" t="n">
        <f aca="false">Serving!$C$12</f>
        <v>3</v>
      </c>
      <c r="H55" s="90" t="n">
        <f aca="false">Serving!$C$12</f>
        <v>3</v>
      </c>
      <c r="I55" s="90" t="n">
        <f aca="false">Serving!$C$12</f>
        <v>3</v>
      </c>
      <c r="J55" s="90" t="n">
        <f aca="false">Serving!$C$12</f>
        <v>3</v>
      </c>
      <c r="K55" s="90" t="n">
        <f aca="false">Serving!$C$12</f>
        <v>3</v>
      </c>
      <c r="L55" s="90" t="n">
        <f aca="false">Serving!$C$12</f>
        <v>3</v>
      </c>
      <c r="M55" s="90" t="n">
        <f aca="false">Serving!$C$12</f>
        <v>3</v>
      </c>
      <c r="N55" s="90" t="n">
        <f aca="false">Serving!$C$12</f>
        <v>3</v>
      </c>
      <c r="O55" s="90" t="n">
        <f aca="false">Serving!$C$12</f>
        <v>3</v>
      </c>
      <c r="P55" s="90" t="n">
        <f aca="false">Serving!$C$12</f>
        <v>3</v>
      </c>
      <c r="Q55" s="90" t="n">
        <f aca="false">Serving!$C$12</f>
        <v>3</v>
      </c>
    </row>
    <row r="56" customFormat="false" ht="15" hidden="false" customHeight="false" outlineLevel="0" collapsed="false">
      <c r="A56" s="45" t="s">
        <v>518</v>
      </c>
      <c r="B56" s="45" t="s">
        <v>45</v>
      </c>
      <c r="C56" s="81" t="n">
        <f aca="false">Serving!$C$13</f>
        <v>0.7</v>
      </c>
      <c r="D56" s="81" t="n">
        <f aca="false">Serving!$C$13</f>
        <v>0.7</v>
      </c>
      <c r="E56" s="81" t="n">
        <f aca="false">Serving!$C$13</f>
        <v>0.7</v>
      </c>
      <c r="F56" s="81" t="n">
        <f aca="false">Serving!$C$13</f>
        <v>0.7</v>
      </c>
      <c r="G56" s="81" t="n">
        <f aca="false">Serving!$C$13</f>
        <v>0.7</v>
      </c>
      <c r="H56" s="81" t="n">
        <f aca="false">Serving!$C$13</f>
        <v>0.7</v>
      </c>
      <c r="I56" s="81" t="n">
        <f aca="false">Serving!$C$13</f>
        <v>0.7</v>
      </c>
      <c r="J56" s="81" t="n">
        <f aca="false">Serving!$C$13</f>
        <v>0.7</v>
      </c>
      <c r="K56" s="81" t="n">
        <f aca="false">Serving!$C$13</f>
        <v>0.7</v>
      </c>
      <c r="L56" s="81" t="n">
        <f aca="false">Serving!$C$13</f>
        <v>0.7</v>
      </c>
      <c r="M56" s="81" t="n">
        <f aca="false">Serving!$C$13</f>
        <v>0.7</v>
      </c>
      <c r="N56" s="81" t="n">
        <f aca="false">Serving!$C$13</f>
        <v>0.7</v>
      </c>
      <c r="O56" s="81" t="n">
        <f aca="false">Serving!$C$13</f>
        <v>0.7</v>
      </c>
      <c r="P56" s="81" t="n">
        <f aca="false">Serving!$C$13</f>
        <v>0.7</v>
      </c>
      <c r="Q56" s="81" t="n">
        <f aca="false">Serving!$C$13</f>
        <v>0.7</v>
      </c>
    </row>
    <row r="57" customFormat="false" ht="15" hidden="false" customHeight="false" outlineLevel="0" collapsed="false">
      <c r="A57" s="45" t="s">
        <v>519</v>
      </c>
      <c r="B57" s="45" t="s">
        <v>45</v>
      </c>
      <c r="C57" s="81" t="n">
        <f aca="false">Serving!$C$14</f>
        <v>0.7</v>
      </c>
      <c r="D57" s="81" t="n">
        <f aca="false">Serving!$C$14</f>
        <v>0.7</v>
      </c>
      <c r="E57" s="81" t="n">
        <f aca="false">Serving!$C$14</f>
        <v>0.7</v>
      </c>
      <c r="F57" s="81" t="n">
        <f aca="false">Serving!$C$14</f>
        <v>0.7</v>
      </c>
      <c r="G57" s="81" t="n">
        <f aca="false">Serving!$C$14</f>
        <v>0.7</v>
      </c>
      <c r="H57" s="81" t="n">
        <f aca="false">Serving!$C$14</f>
        <v>0.7</v>
      </c>
      <c r="I57" s="81" t="n">
        <f aca="false">Serving!$C$14</f>
        <v>0.7</v>
      </c>
      <c r="J57" s="81" t="n">
        <f aca="false">Serving!$C$14</f>
        <v>0.7</v>
      </c>
      <c r="K57" s="81" t="n">
        <f aca="false">Serving!$C$14</f>
        <v>0.7</v>
      </c>
      <c r="L57" s="81" t="n">
        <f aca="false">Serving!$C$14</f>
        <v>0.7</v>
      </c>
      <c r="M57" s="81" t="n">
        <f aca="false">Serving!$C$14</f>
        <v>0.7</v>
      </c>
      <c r="N57" s="81" t="n">
        <f aca="false">Serving!$C$14</f>
        <v>0.7</v>
      </c>
      <c r="O57" s="81" t="n">
        <f aca="false">Serving!$C$14</f>
        <v>0.7</v>
      </c>
      <c r="P57" s="81" t="n">
        <f aca="false">Serving!$C$14</f>
        <v>0.7</v>
      </c>
      <c r="Q57" s="81" t="n">
        <f aca="false">Serving!$C$14</f>
        <v>0.7</v>
      </c>
    </row>
    <row r="58" customFormat="false" ht="15" hidden="false" customHeight="false" outlineLevel="0" collapsed="false">
      <c r="A58" s="44" t="s">
        <v>520</v>
      </c>
      <c r="B58" s="45" t="s">
        <v>373</v>
      </c>
      <c r="C58" s="79" t="n">
        <f aca="false">Serving!$C$15</f>
        <v>0.1</v>
      </c>
      <c r="D58" s="79" t="n">
        <f aca="false">Serving!$C$15</f>
        <v>0.1</v>
      </c>
      <c r="E58" s="79" t="n">
        <f aca="false">Serving!$C$15</f>
        <v>0.1</v>
      </c>
      <c r="F58" s="79" t="n">
        <f aca="false">Serving!$C$15</f>
        <v>0.1</v>
      </c>
      <c r="G58" s="79" t="n">
        <f aca="false">Serving!$C$15</f>
        <v>0.1</v>
      </c>
      <c r="H58" s="79" t="n">
        <f aca="false">Serving!$C$15</f>
        <v>0.1</v>
      </c>
      <c r="I58" s="79" t="n">
        <f aca="false">Serving!$C$15</f>
        <v>0.1</v>
      </c>
      <c r="J58" s="79" t="n">
        <f aca="false">Serving!$C$15</f>
        <v>0.1</v>
      </c>
      <c r="K58" s="79" t="n">
        <f aca="false">Serving!$C$15</f>
        <v>0.1</v>
      </c>
      <c r="L58" s="79" t="n">
        <f aca="false">Serving!$C$15</f>
        <v>0.1</v>
      </c>
      <c r="M58" s="79" t="n">
        <f aca="false">Serving!$C$15</f>
        <v>0.1</v>
      </c>
      <c r="N58" s="79" t="n">
        <f aca="false">Serving!$C$15</f>
        <v>0.1</v>
      </c>
      <c r="O58" s="79" t="n">
        <f aca="false">Serving!$C$15</f>
        <v>0.1</v>
      </c>
      <c r="P58" s="79" t="n">
        <f aca="false">Serving!$C$15</f>
        <v>0.1</v>
      </c>
      <c r="Q58" s="79" t="n">
        <f aca="false">Serving!$C$15</f>
        <v>0.1</v>
      </c>
    </row>
    <row r="59" customFormat="false" ht="15" hidden="false" customHeight="false" outlineLevel="0" collapsed="false">
      <c r="A59" s="72" t="s">
        <v>521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</row>
    <row r="60" customFormat="false" ht="15" hidden="false" customHeight="false" outlineLevel="0" collapsed="false">
      <c r="A60" s="45" t="s">
        <v>522</v>
      </c>
      <c r="B60" s="45" t="s">
        <v>217</v>
      </c>
      <c r="C60" s="56" t="n">
        <f aca="false">C32*IF(C33=0,C41,MIN(C41,C33))+(1-C32)*(C41/C34+C35)</f>
        <v>2210</v>
      </c>
      <c r="D60" s="56" t="n">
        <f aca="false">D32*IF(D33=0,D41,MIN(D41,D33))+(1-D32)*(D41/D34+D35)</f>
        <v>2244</v>
      </c>
      <c r="E60" s="56" t="n">
        <f aca="false">E32*IF(E33=0,E41,MIN(E41,E33))+(1-E32)*(E41/E34+E35)</f>
        <v>34816</v>
      </c>
      <c r="F60" s="56" t="n">
        <f aca="false">F32*IF(F33=0,F41,MIN(F41,F33))+(1-F32)*(F41/F34+F35)</f>
        <v>2210</v>
      </c>
      <c r="G60" s="56" t="n">
        <f aca="false">G32*IF(G33=0,G41,MIN(G41,G33))+(1-G32)*(G41/G34+G35)</f>
        <v>2244</v>
      </c>
      <c r="H60" s="56" t="n">
        <f aca="false">H32*IF(H33=0,H41,MIN(H41,H33))+(1-H32)*(H41/H34+H35)</f>
        <v>34816</v>
      </c>
      <c r="I60" s="56" t="n">
        <f aca="false">I32*IF(I33=0,I41,MIN(I41,I33))+(1-I32)*(I41/I34+I35)</f>
        <v>2210</v>
      </c>
      <c r="J60" s="56" t="n">
        <f aca="false">J32*IF(J33=0,J41,MIN(J41,J33))+(1-J32)*(J41/J34+J35)</f>
        <v>2244</v>
      </c>
      <c r="K60" s="56" t="n">
        <f aca="false">K32*IF(K33=0,K41,MIN(K41,K33))+(1-K32)*(K41/K34+K35)</f>
        <v>34816</v>
      </c>
      <c r="L60" s="56" t="n">
        <f aca="false">L32*IF(L33=0,L41,MIN(L41,L33))+(1-L32)*(L41/L34+L35)</f>
        <v>2210</v>
      </c>
      <c r="M60" s="56" t="n">
        <f aca="false">M32*IF(M33=0,M41,MIN(M41,M33))+(1-M32)*(M41/M34+M35)</f>
        <v>2244</v>
      </c>
      <c r="N60" s="56" t="n">
        <f aca="false">N32*IF(N33=0,N41,MIN(N41,N33))+(1-N32)*(N41/N34+N35)</f>
        <v>34816</v>
      </c>
      <c r="O60" s="56" t="n">
        <f aca="false">O32*IF(O33=0,O41,MIN(O41,O33))+(1-O32)*(O41/O34+O35)</f>
        <v>2210</v>
      </c>
      <c r="P60" s="56" t="n">
        <f aca="false">P32*IF(P33=0,P41,MIN(P41,P33))+(1-P32)*(P41/P34+P35)</f>
        <v>2244</v>
      </c>
      <c r="Q60" s="56" t="n">
        <f aca="false">Q32*IF(Q33=0,Q41,MIN(Q41,Q33))+(1-Q32)*(Q41/Q34+Q35)</f>
        <v>34816</v>
      </c>
    </row>
    <row r="61" customFormat="false" ht="15" hidden="false" customHeight="false" outlineLevel="0" collapsed="false">
      <c r="A61" s="45" t="s">
        <v>386</v>
      </c>
      <c r="B61" s="45" t="s">
        <v>387</v>
      </c>
      <c r="C61" s="55" t="n">
        <f aca="false">(2*C24*1000000000+C31*C60)/1000000000</f>
        <v>38.45577216</v>
      </c>
      <c r="D61" s="55" t="n">
        <f aca="false">(2*D24*1000000000+D31*D60)/1000000000</f>
        <v>133.883319296</v>
      </c>
      <c r="E61" s="55" t="n">
        <f aca="false">(2*E24*1000000000+E31*E60)/1000000000</f>
        <v>531.1276032</v>
      </c>
      <c r="F61" s="55" t="n">
        <f aca="false">(2*F24*1000000000+F31*F60)/1000000000</f>
        <v>38.45577216</v>
      </c>
      <c r="G61" s="55" t="n">
        <f aca="false">(2*G24*1000000000+G31*G60)/1000000000</f>
        <v>133.883319296</v>
      </c>
      <c r="H61" s="55" t="n">
        <f aca="false">(2*H24*1000000000+H31*H60)/1000000000</f>
        <v>531.1276032</v>
      </c>
      <c r="I61" s="55" t="n">
        <f aca="false">(2*I24*1000000000+I31*I60)/1000000000</f>
        <v>38.45577216</v>
      </c>
      <c r="J61" s="55" t="n">
        <f aca="false">(2*J24*1000000000+J31*J60)/1000000000</f>
        <v>133.883319296</v>
      </c>
      <c r="K61" s="55" t="n">
        <f aca="false">(2*K24*1000000000+K31*K60)/1000000000</f>
        <v>531.1276032</v>
      </c>
      <c r="L61" s="55" t="n">
        <f aca="false">(2*L24*1000000000+L31*L60)/1000000000</f>
        <v>38.45577216</v>
      </c>
      <c r="M61" s="55" t="n">
        <f aca="false">(2*M24*1000000000+M31*M60)/1000000000</f>
        <v>133.883319296</v>
      </c>
      <c r="N61" s="55" t="n">
        <f aca="false">(2*N24*1000000000+N31*N60)/1000000000</f>
        <v>531.1276032</v>
      </c>
      <c r="O61" s="55" t="n">
        <f aca="false">(2*O24*1000000000+O31*O60)/1000000000</f>
        <v>38.45577216</v>
      </c>
      <c r="P61" s="55" t="n">
        <f aca="false">(2*P24*1000000000+P31*P60)/1000000000</f>
        <v>133.883319296</v>
      </c>
      <c r="Q61" s="55" t="n">
        <f aca="false">(2*Q24*1000000000+Q31*Q60)/1000000000</f>
        <v>531.1276032</v>
      </c>
    </row>
    <row r="62" customFormat="false" ht="15" hidden="false" customHeight="false" outlineLevel="0" collapsed="false">
      <c r="A62" s="45" t="s">
        <v>523</v>
      </c>
      <c r="B62" s="45" t="s">
        <v>217</v>
      </c>
      <c r="C62" s="56" t="n">
        <f aca="false">C32*IF(C33=0,C42,MIN(C42,C33))+(1-C32)*(C42/C34+C35)</f>
        <v>2128</v>
      </c>
      <c r="D62" s="56" t="n">
        <f aca="false">D32*IF(D33=0,D42,MIN(D42,D33))+(1-D32)*(D42/D34+D35)</f>
        <v>2208</v>
      </c>
      <c r="E62" s="56" t="n">
        <f aca="false">E32*IF(E33=0,E42,MIN(E42,E33))+(1-E32)*(E42/E34+E35)</f>
        <v>16384</v>
      </c>
      <c r="F62" s="56" t="n">
        <f aca="false">F32*IF(F33=0,F42,MIN(F42,F33))+(1-F32)*(F42/F34+F35)</f>
        <v>2128</v>
      </c>
      <c r="G62" s="56" t="n">
        <f aca="false">G32*IF(G33=0,G42,MIN(G42,G33))+(1-G32)*(G42/G34+G35)</f>
        <v>2208</v>
      </c>
      <c r="H62" s="56" t="n">
        <f aca="false">H32*IF(H33=0,H42,MIN(H42,H33))+(1-H32)*(H42/H34+H35)</f>
        <v>16384</v>
      </c>
      <c r="I62" s="56" t="n">
        <f aca="false">I32*IF(I33=0,I42,MIN(I42,I33))+(1-I32)*(I42/I34+I35)</f>
        <v>2128</v>
      </c>
      <c r="J62" s="56" t="n">
        <f aca="false">J32*IF(J33=0,J42,MIN(J42,J33))+(1-J32)*(J42/J34+J35)</f>
        <v>2208</v>
      </c>
      <c r="K62" s="56" t="n">
        <f aca="false">K32*IF(K33=0,K42,MIN(K42,K33))+(1-K32)*(K42/K34+K35)</f>
        <v>16384</v>
      </c>
      <c r="L62" s="56" t="n">
        <f aca="false">L32*IF(L33=0,L42,MIN(L42,L33))+(1-L32)*(L42/L34+L35)</f>
        <v>2128</v>
      </c>
      <c r="M62" s="56" t="n">
        <f aca="false">M32*IF(M33=0,M42,MIN(M42,M33))+(1-M32)*(M42/M34+M35)</f>
        <v>2208</v>
      </c>
      <c r="N62" s="56" t="n">
        <f aca="false">N32*IF(N33=0,N42,MIN(N42,N33))+(1-N32)*(N42/N34+N35)</f>
        <v>16384</v>
      </c>
      <c r="O62" s="56" t="n">
        <f aca="false">O32*IF(O33=0,O42,MIN(O42,O33))+(1-O32)*(O42/O34+O35)</f>
        <v>2128</v>
      </c>
      <c r="P62" s="56" t="n">
        <f aca="false">P32*IF(P33=0,P42,MIN(P42,P33))+(1-P32)*(P42/P34+P35)</f>
        <v>2208</v>
      </c>
      <c r="Q62" s="56" t="n">
        <f aca="false">Q32*IF(Q33=0,Q42,MIN(Q42,Q33))+(1-Q32)*(Q42/Q34+Q35)</f>
        <v>16384</v>
      </c>
    </row>
    <row r="63" customFormat="false" ht="15" hidden="false" customHeight="false" outlineLevel="0" collapsed="false">
      <c r="A63" s="45" t="s">
        <v>389</v>
      </c>
      <c r="B63" s="45" t="s">
        <v>387</v>
      </c>
      <c r="C63" s="55" t="n">
        <f aca="false">(2*C24*1000000000+C31*C62)/1000000000</f>
        <v>37.993612288</v>
      </c>
      <c r="D63" s="55" t="n">
        <f aca="false">(2*D24*1000000000+D31*D62)/1000000000</f>
        <v>133.307651072</v>
      </c>
      <c r="E63" s="55" t="n">
        <f aca="false">(2*E24*1000000000+E31*E62)/1000000000</f>
        <v>440.5306368</v>
      </c>
      <c r="F63" s="55" t="n">
        <f aca="false">(2*F24*1000000000+F31*F62)/1000000000</f>
        <v>37.993612288</v>
      </c>
      <c r="G63" s="55" t="n">
        <f aca="false">(2*G24*1000000000+G31*G62)/1000000000</f>
        <v>133.307651072</v>
      </c>
      <c r="H63" s="55" t="n">
        <f aca="false">(2*H24*1000000000+H31*H62)/1000000000</f>
        <v>440.5306368</v>
      </c>
      <c r="I63" s="55" t="n">
        <f aca="false">(2*I24*1000000000+I31*I62)/1000000000</f>
        <v>37.993612288</v>
      </c>
      <c r="J63" s="55" t="n">
        <f aca="false">(2*J24*1000000000+J31*J62)/1000000000</f>
        <v>133.307651072</v>
      </c>
      <c r="K63" s="55" t="n">
        <f aca="false">(2*K24*1000000000+K31*K62)/1000000000</f>
        <v>440.5306368</v>
      </c>
      <c r="L63" s="55" t="n">
        <f aca="false">(2*L24*1000000000+L31*L62)/1000000000</f>
        <v>37.993612288</v>
      </c>
      <c r="M63" s="55" t="n">
        <f aca="false">(2*M24*1000000000+M31*M62)/1000000000</f>
        <v>133.307651072</v>
      </c>
      <c r="N63" s="55" t="n">
        <f aca="false">(2*N24*1000000000+N31*N62)/1000000000</f>
        <v>440.5306368</v>
      </c>
      <c r="O63" s="55" t="n">
        <f aca="false">(2*O24*1000000000+O31*O62)/1000000000</f>
        <v>37.993612288</v>
      </c>
      <c r="P63" s="55" t="n">
        <f aca="false">(2*P24*1000000000+P31*P62)/1000000000</f>
        <v>133.307651072</v>
      </c>
      <c r="Q63" s="55" t="n">
        <f aca="false">(2*Q24*1000000000+Q31*Q62)/1000000000</f>
        <v>440.5306368</v>
      </c>
    </row>
    <row r="64" customFormat="false" ht="15" hidden="false" customHeight="false" outlineLevel="0" collapsed="false">
      <c r="A64" s="72" t="s">
        <v>524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</row>
    <row r="65" customFormat="false" ht="15" hidden="false" customHeight="false" outlineLevel="0" collapsed="false">
      <c r="A65" s="44" t="s">
        <v>390</v>
      </c>
      <c r="B65" s="45" t="s">
        <v>242</v>
      </c>
      <c r="C65" s="56" t="n">
        <f aca="false">C11*(1-C52)</f>
        <v>72</v>
      </c>
      <c r="D65" s="56" t="n">
        <f aca="false">D11*(1-D52)</f>
        <v>72</v>
      </c>
      <c r="E65" s="56" t="n">
        <f aca="false">E11*(1-E52)</f>
        <v>72</v>
      </c>
      <c r="F65" s="56" t="n">
        <f aca="false">F11*(1-F52)</f>
        <v>167.4</v>
      </c>
      <c r="G65" s="56" t="n">
        <f aca="false">G11*(1-G52)</f>
        <v>167.4</v>
      </c>
      <c r="H65" s="56" t="n">
        <f aca="false">H11*(1-H52)</f>
        <v>167.4</v>
      </c>
      <c r="I65" s="56" t="n">
        <f aca="false">I11*(1-I52)</f>
        <v>259.2</v>
      </c>
      <c r="J65" s="56" t="n">
        <f aca="false">J11*(1-J52)</f>
        <v>259.2</v>
      </c>
      <c r="K65" s="56" t="n">
        <f aca="false">K11*(1-K52)</f>
        <v>259.2</v>
      </c>
      <c r="L65" s="56" t="n">
        <f aca="false">L11*(1-L52)</f>
        <v>259.2</v>
      </c>
      <c r="M65" s="56" t="n">
        <f aca="false">M11*(1-M52)</f>
        <v>259.2</v>
      </c>
      <c r="N65" s="56" t="n">
        <f aca="false">N11*(1-N52)</f>
        <v>259.2</v>
      </c>
      <c r="O65" s="56" t="n">
        <f aca="false">O11*(1-O52)</f>
        <v>921.6</v>
      </c>
      <c r="P65" s="56" t="n">
        <f aca="false">P11*(1-P52)</f>
        <v>921.6</v>
      </c>
      <c r="Q65" s="56" t="n">
        <f aca="false">Q11*(1-Q52)</f>
        <v>921.6</v>
      </c>
    </row>
    <row r="66" customFormat="false" ht="15" hidden="false" customHeight="false" outlineLevel="0" collapsed="false">
      <c r="A66" s="44" t="s">
        <v>525</v>
      </c>
      <c r="B66" s="44"/>
      <c r="C66" s="93" t="n">
        <f aca="false">MAX(1,CEILING(C28*C16/(C53*C65),1))</f>
        <v>1</v>
      </c>
      <c r="D66" s="93" t="n">
        <f aca="false">MAX(1,CEILING(D28*D16/(D53*D65),1))</f>
        <v>2</v>
      </c>
      <c r="E66" s="93" t="n">
        <f aca="false">MAX(1,CEILING(E28*E16/(E53*E65),1))</f>
        <v>4</v>
      </c>
      <c r="F66" s="93" t="n">
        <f aca="false">MAX(1,CEILING(F28*F16/(F53*F65),1))</f>
        <v>1</v>
      </c>
      <c r="G66" s="93" t="n">
        <f aca="false">MAX(1,CEILING(G28*G16/(G53*G65),1))</f>
        <v>1</v>
      </c>
      <c r="H66" s="93" t="n">
        <f aca="false">MAX(1,CEILING(H28*H16/(H53*H65),1))</f>
        <v>2</v>
      </c>
      <c r="I66" s="93" t="n">
        <f aca="false">MAX(1,CEILING(I28*I16/(I53*I65),1))</f>
        <v>1</v>
      </c>
      <c r="J66" s="93" t="n">
        <f aca="false">MAX(1,CEILING(J28*J16/(J53*J65),1))</f>
        <v>1</v>
      </c>
      <c r="K66" s="93" t="n">
        <f aca="false">MAX(1,CEILING(K28*K16/(K53*K65),1))</f>
        <v>1</v>
      </c>
      <c r="L66" s="93" t="n">
        <f aca="false">MAX(1,CEILING(L28*L16/(L53*L65),1))</f>
        <v>1</v>
      </c>
      <c r="M66" s="93" t="n">
        <f aca="false">MAX(1,CEILING(M28*M16/(M53*M65),1))</f>
        <v>1</v>
      </c>
      <c r="N66" s="93" t="n">
        <f aca="false">MAX(1,CEILING(N28*N16/(N53*N65),1))</f>
        <v>1</v>
      </c>
      <c r="O66" s="93" t="n">
        <f aca="false">MAX(1,CEILING(O28*O16/(O53*O65),1))</f>
        <v>1</v>
      </c>
      <c r="P66" s="93" t="n">
        <f aca="false">MAX(1,CEILING(P28*P16/(P53*P65),1))</f>
        <v>1</v>
      </c>
      <c r="Q66" s="93" t="n">
        <f aca="false">MAX(1,CEILING(Q28*Q16/(Q53*Q65),1))</f>
        <v>1</v>
      </c>
    </row>
    <row r="67" customFormat="false" ht="15" hidden="false" customHeight="false" outlineLevel="0" collapsed="false">
      <c r="A67" s="45" t="s">
        <v>526</v>
      </c>
      <c r="B67" s="45" t="s">
        <v>489</v>
      </c>
      <c r="C67" s="56" t="n">
        <f aca="false">MAX(C14,CEILING(C29*C15/(C54*C65),1))</f>
        <v>64</v>
      </c>
      <c r="D67" s="56" t="n">
        <f aca="false">MAX(D14,CEILING(D29*D15/(D54*D65),1))</f>
        <v>64</v>
      </c>
      <c r="E67" s="56" t="n">
        <f aca="false">MAX(E14,CEILING(E29*E15/(E54*E65),1))</f>
        <v>138</v>
      </c>
      <c r="F67" s="56" t="n">
        <f aca="false">MAX(F14,CEILING(F29*F15/(F54*F65),1))</f>
        <v>32</v>
      </c>
      <c r="G67" s="56" t="n">
        <f aca="false">MAX(G14,CEILING(G29*G15/(G54*G65),1))</f>
        <v>32</v>
      </c>
      <c r="H67" s="56" t="n">
        <f aca="false">MAX(H14,CEILING(H29*H15/(H54*H65),1))</f>
        <v>34</v>
      </c>
      <c r="I67" s="56" t="n">
        <f aca="false">MAX(I14,CEILING(I29*I15/(I54*I65),1))</f>
        <v>32</v>
      </c>
      <c r="J67" s="56" t="n">
        <f aca="false">MAX(J14,CEILING(J29*J15/(J54*J65),1))</f>
        <v>32</v>
      </c>
      <c r="K67" s="56" t="n">
        <f aca="false">MAX(K14,CEILING(K29*K15/(K54*K65),1))</f>
        <v>32</v>
      </c>
      <c r="L67" s="56" t="n">
        <f aca="false">MAX(L14,CEILING(L29*L15/(L54*L65),1))</f>
        <v>32</v>
      </c>
      <c r="M67" s="56" t="n">
        <f aca="false">MAX(M14,CEILING(M29*M15/(M54*M65),1))</f>
        <v>32</v>
      </c>
      <c r="N67" s="56" t="n">
        <f aca="false">MAX(N14,CEILING(N29*N15/(N54*N65),1))</f>
        <v>32</v>
      </c>
      <c r="O67" s="56" t="n">
        <f aca="false">MAX(O14,CEILING(O29*O15/(O54*O65),1))</f>
        <v>64</v>
      </c>
      <c r="P67" s="56" t="n">
        <f aca="false">MAX(P14,CEILING(P29*P15/(P54*P65),1))</f>
        <v>64</v>
      </c>
      <c r="Q67" s="56" t="n">
        <f aca="false">MAX(Q14,CEILING(Q29*Q15/(Q54*Q65),1))</f>
        <v>64</v>
      </c>
    </row>
    <row r="68" customFormat="false" ht="15" hidden="false" customHeight="false" outlineLevel="0" collapsed="false">
      <c r="A68" s="44" t="s">
        <v>393</v>
      </c>
      <c r="B68" s="45" t="s">
        <v>242</v>
      </c>
      <c r="C68" s="55" t="n">
        <f aca="false">C28*C16/C66+C29*C15/C67</f>
        <v>9.7649375</v>
      </c>
      <c r="D68" s="55" t="n">
        <f aca="false">D28*D16/D66+D29*D15/D67</f>
        <v>34.8220486111111</v>
      </c>
      <c r="E68" s="55" t="n">
        <f aca="false">E28*E16/E66+E29*E15/E67</f>
        <v>40.898053997195</v>
      </c>
      <c r="F68" s="55" t="n">
        <f aca="false">F28*F16/F66+F29*F15/F67</f>
        <v>10.3090546875</v>
      </c>
      <c r="G68" s="55" t="n">
        <f aca="false">G28*G16/G66+G29*G15/G67</f>
        <v>48.0463324652778</v>
      </c>
      <c r="H68" s="55" t="n">
        <f aca="false">H28*H16/H66+H29*H15/H67</f>
        <v>89.9008983633776</v>
      </c>
      <c r="I68" s="55" t="n">
        <f aca="false">I28*I16/I66+I29*I15/I67</f>
        <v>10.3090546875</v>
      </c>
      <c r="J68" s="55" t="n">
        <f aca="false">J28*J16/J66+J29*J15/J67</f>
        <v>48.0463324652778</v>
      </c>
      <c r="K68" s="55" t="n">
        <f aca="false">K28*K16/K66+K29*K15/K67</f>
        <v>118.522476688508</v>
      </c>
      <c r="L68" s="55" t="n">
        <f aca="false">L28*L16/L66+L29*L15/L67</f>
        <v>10.3090546875</v>
      </c>
      <c r="M68" s="55" t="n">
        <f aca="false">M28*M16/M66+M29*M15/M67</f>
        <v>48.0463324652778</v>
      </c>
      <c r="N68" s="55" t="n">
        <f aca="false">N28*N16/N66+N29*N15/N67</f>
        <v>118.522476688508</v>
      </c>
      <c r="O68" s="55" t="n">
        <f aca="false">O28*O16/O66+O29*O15/O67</f>
        <v>7.86052734375</v>
      </c>
      <c r="P68" s="55" t="n">
        <f aca="false">P28*P16/P66+P29*P15/P67</f>
        <v>34.1620551215278</v>
      </c>
      <c r="Q68" s="55" t="n">
        <f aca="false">Q28*Q16/Q66+Q29*Q15/Q67</f>
        <v>83.7975286668347</v>
      </c>
    </row>
    <row r="69" customFormat="false" ht="15" hidden="false" customHeight="false" outlineLevel="0" collapsed="false">
      <c r="A69" s="44" t="s">
        <v>527</v>
      </c>
      <c r="B69" s="45" t="s">
        <v>45</v>
      </c>
      <c r="C69" s="67" t="n">
        <f aca="false">C68/C65</f>
        <v>0.135624131944444</v>
      </c>
      <c r="D69" s="67" t="n">
        <f aca="false">D68/D65</f>
        <v>0.48363956404321</v>
      </c>
      <c r="E69" s="67" t="n">
        <f aca="false">E68/E65</f>
        <v>0.568028527738819</v>
      </c>
      <c r="F69" s="67" t="n">
        <f aca="false">F68/F65</f>
        <v>0.0615833613351255</v>
      </c>
      <c r="G69" s="67" t="n">
        <f aca="false">G68/G65</f>
        <v>0.287015128227466</v>
      </c>
      <c r="H69" s="67" t="n">
        <f aca="false">H68/H65</f>
        <v>0.537042403604406</v>
      </c>
      <c r="I69" s="67" t="n">
        <f aca="false">I68/I65</f>
        <v>0.0397725875289352</v>
      </c>
      <c r="J69" s="67" t="n">
        <f aca="false">J68/J65</f>
        <v>0.185363936980238</v>
      </c>
      <c r="K69" s="67" t="n">
        <f aca="false">K68/K65</f>
        <v>0.45726264154517</v>
      </c>
      <c r="L69" s="67" t="n">
        <f aca="false">L68/L65</f>
        <v>0.0397725875289352</v>
      </c>
      <c r="M69" s="67" t="n">
        <f aca="false">M68/M65</f>
        <v>0.185363936980238</v>
      </c>
      <c r="N69" s="67" t="n">
        <f aca="false">N68/N65</f>
        <v>0.45726264154517</v>
      </c>
      <c r="O69" s="67" t="n">
        <f aca="false">O68/O65</f>
        <v>0.00852921803792318</v>
      </c>
      <c r="P69" s="67" t="n">
        <f aca="false">P68/P65</f>
        <v>0.0370682021717966</v>
      </c>
      <c r="Q69" s="67" t="n">
        <f aca="false">Q68/Q65</f>
        <v>0.0909261378763397</v>
      </c>
    </row>
    <row r="70" customFormat="false" ht="15" hidden="false" customHeight="false" outlineLevel="0" collapsed="false">
      <c r="A70" s="72" t="s">
        <v>528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</row>
    <row r="71" customFormat="false" ht="15" hidden="false" customHeight="false" outlineLevel="0" collapsed="false">
      <c r="A71" s="45" t="s">
        <v>529</v>
      </c>
      <c r="B71" s="45" t="s">
        <v>281</v>
      </c>
      <c r="C71" s="56" t="n">
        <f aca="false">C47*C10*1000000000000000/(C63*1000000000)</f>
        <v>7809.20744652938</v>
      </c>
      <c r="D71" s="56" t="n">
        <f aca="false">D47*D10*1000000000000000/(D63*1000000000)</f>
        <v>2225.6787034658</v>
      </c>
      <c r="E71" s="56" t="n">
        <f aca="false">E47*E10*1000000000000000/(E63*1000000000)</f>
        <v>673.50593855451</v>
      </c>
      <c r="F71" s="56" t="n">
        <f aca="false">F47*F10*1000000000000000/(F63*1000000000)</f>
        <v>78960.6415220363</v>
      </c>
      <c r="G71" s="56" t="n">
        <f aca="false">G47*G10*1000000000000000/(G63*1000000000)</f>
        <v>22504.3347165399</v>
      </c>
      <c r="H71" s="56" t="n">
        <f aca="false">H47*H10*1000000000000000/(H63*1000000000)</f>
        <v>6809.96904504055</v>
      </c>
      <c r="I71" s="56" t="n">
        <f aca="false">I47*I10*1000000000000000/(I63*1000000000)</f>
        <v>118440.962283054</v>
      </c>
      <c r="J71" s="56" t="n">
        <f aca="false">J47*J10*1000000000000000/(J63*1000000000)</f>
        <v>33756.5020748099</v>
      </c>
      <c r="K71" s="56" t="n">
        <f aca="false">K47*K10*1000000000000000/(K63*1000000000)</f>
        <v>10214.9535675608</v>
      </c>
      <c r="L71" s="56" t="n">
        <f aca="false">L47*L10*1000000000000000/(L63*1000000000)</f>
        <v>276362.245327127</v>
      </c>
      <c r="M71" s="56" t="n">
        <f aca="false">M47*M10*1000000000000000/(M63*1000000000)</f>
        <v>78765.1715078897</v>
      </c>
      <c r="N71" s="56" t="n">
        <f aca="false">N47*N10*1000000000000000/(N63*1000000000)</f>
        <v>23834.8916576419</v>
      </c>
      <c r="O71" s="56" t="n">
        <f aca="false">O47*O10*1000000000000000/(O63*1000000000)</f>
        <v>576412.683110865</v>
      </c>
      <c r="P71" s="56" t="n">
        <f aca="false">P47*P10*1000000000000000/(P63*1000000000)</f>
        <v>164281.643430741</v>
      </c>
      <c r="Q71" s="56" t="n">
        <f aca="false">Q47*Q10*1000000000000000/(Q63*1000000000)</f>
        <v>49712.774028796</v>
      </c>
    </row>
    <row r="72" customFormat="false" ht="15" hidden="false" customHeight="false" outlineLevel="0" collapsed="false">
      <c r="A72" s="45" t="s">
        <v>530</v>
      </c>
      <c r="B72" s="45" t="s">
        <v>284</v>
      </c>
      <c r="C72" s="57" t="n">
        <f aca="false">C39*C63*1000000000/(C47*C10*1000000000000000*C17)</f>
        <v>0.131127263171257</v>
      </c>
      <c r="D72" s="57" t="n">
        <f aca="false">D39*D63*1000000000/(D47*D10*1000000000000000*D17)</f>
        <v>0.920168754281955</v>
      </c>
      <c r="E72" s="57" t="n">
        <f aca="false">E39*E63*1000000000/(E47*E10*1000000000000000*E17)</f>
        <v>6.08160933041052</v>
      </c>
      <c r="F72" s="57" t="n">
        <f aca="false">F39*F63*1000000000/(F47*F10*1000000000000000*F17)</f>
        <v>0.0259369726552747</v>
      </c>
      <c r="G72" s="57" t="n">
        <f aca="false">G39*G63*1000000000/(G47*G10*1000000000000000*G17)</f>
        <v>0.182009379596971</v>
      </c>
      <c r="H72" s="57" t="n">
        <f aca="false">H39*H63*1000000000/(H47*H10*1000000000000000*H17)</f>
        <v>1.2029423255552</v>
      </c>
      <c r="I72" s="57" t="n">
        <f aca="false">I39*I63*1000000000/(I47*I10*1000000000000000*I17)</f>
        <v>0.0172913151035164</v>
      </c>
      <c r="J72" s="57" t="n">
        <f aca="false">J39*J63*1000000000/(J47*J10*1000000000000000*J17)</f>
        <v>0.12133958639798</v>
      </c>
      <c r="K72" s="57" t="n">
        <f aca="false">K39*K63*1000000000/(K47*K10*1000000000000000*K17)</f>
        <v>0.801961550370133</v>
      </c>
      <c r="L72" s="57" t="n">
        <f aca="false">L39*L63*1000000000/(L47*L10*1000000000000000*L17)</f>
        <v>0.00741056361579276</v>
      </c>
      <c r="M72" s="57" t="n">
        <f aca="false">M39*M63*1000000000/(M47*M10*1000000000000000*M17)</f>
        <v>0.0520026798848488</v>
      </c>
      <c r="N72" s="57" t="n">
        <f aca="false">N39*N63*1000000000/(N47*N10*1000000000000000*N17)</f>
        <v>0.343697807301486</v>
      </c>
      <c r="O72" s="57" t="n">
        <f aca="false">O39*O63*1000000000/(O47*O10*1000000000000000*O17)</f>
        <v>0.00177650497638868</v>
      </c>
      <c r="P72" s="57" t="n">
        <f aca="false">P39*P63*1000000000/(P47*P10*1000000000000000*P17)</f>
        <v>0.0124663958628062</v>
      </c>
      <c r="Q72" s="57" t="n">
        <f aca="false">Q39*Q63*1000000000/(Q47*Q10*1000000000000000*Q17)</f>
        <v>0.0823933099695342</v>
      </c>
    </row>
    <row r="73" customFormat="false" ht="15" hidden="false" customHeight="false" outlineLevel="0" collapsed="false">
      <c r="A73" s="45" t="s">
        <v>531</v>
      </c>
      <c r="B73" s="44"/>
      <c r="C73" s="44" t="str">
        <f aca="false">IF(C72&lt;=C38,"是","否")</f>
        <v>是</v>
      </c>
      <c r="D73" s="44" t="str">
        <f aca="false">IF(D72&lt;=D38,"是","否")</f>
        <v>是</v>
      </c>
      <c r="E73" s="44" t="str">
        <f aca="false">IF(E72&lt;=E38,"是","否")</f>
        <v>否</v>
      </c>
      <c r="F73" s="44" t="str">
        <f aca="false">IF(F72&lt;=F38,"是","否")</f>
        <v>是</v>
      </c>
      <c r="G73" s="44" t="str">
        <f aca="false">IF(G72&lt;=G38,"是","否")</f>
        <v>是</v>
      </c>
      <c r="H73" s="44" t="str">
        <f aca="false">IF(H72&lt;=H38,"是","否")</f>
        <v>是</v>
      </c>
      <c r="I73" s="44" t="str">
        <f aca="false">IF(I72&lt;=I38,"是","否")</f>
        <v>是</v>
      </c>
      <c r="J73" s="44" t="str">
        <f aca="false">IF(J72&lt;=J38,"是","否")</f>
        <v>是</v>
      </c>
      <c r="K73" s="44" t="str">
        <f aca="false">IF(K72&lt;=K38,"是","否")</f>
        <v>是</v>
      </c>
      <c r="L73" s="44" t="str">
        <f aca="false">IF(L72&lt;=L38,"是","否")</f>
        <v>是</v>
      </c>
      <c r="M73" s="44" t="str">
        <f aca="false">IF(M72&lt;=M38,"是","否")</f>
        <v>是</v>
      </c>
      <c r="N73" s="44" t="str">
        <f aca="false">IF(N72&lt;=N38,"是","否")</f>
        <v>是</v>
      </c>
      <c r="O73" s="44" t="str">
        <f aca="false">IF(O72&lt;=O38,"是","否")</f>
        <v>是</v>
      </c>
      <c r="P73" s="44" t="str">
        <f aca="false">IF(P72&lt;=P38,"是","否")</f>
        <v>是</v>
      </c>
      <c r="Q73" s="44" t="str">
        <f aca="false">IF(Q72&lt;=Q38,"是","否")</f>
        <v>是</v>
      </c>
    </row>
    <row r="74" customFormat="false" ht="15" hidden="false" customHeight="false" outlineLevel="0" collapsed="false">
      <c r="A74" s="72" t="s">
        <v>532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</row>
    <row r="75" customFormat="false" ht="15" hidden="false" customHeight="false" outlineLevel="0" collapsed="false">
      <c r="A75" s="44" t="s">
        <v>533</v>
      </c>
      <c r="B75" s="45" t="s">
        <v>398</v>
      </c>
      <c r="C75" s="52" t="n">
        <f aca="false">C68/C12+(C25+C43)*C51/1000</f>
        <v>13.9741274194055</v>
      </c>
      <c r="D75" s="52" t="n">
        <f aca="false">D68/D12+(D25+D43)*D51/1000</f>
        <v>25.781383224086</v>
      </c>
      <c r="E75" s="52" t="n">
        <f aca="false">E68/E12+(E25+E43)*E51/1000</f>
        <v>36.9714119885583</v>
      </c>
      <c r="F75" s="52" t="n">
        <f aca="false">F68/F12+(F25+F43)*F51/1000</f>
        <v>8.66144563792923</v>
      </c>
      <c r="G75" s="52" t="n">
        <f aca="false">G68/G12+(G25+G43)*G51/1000</f>
        <v>16.263619456583</v>
      </c>
      <c r="H75" s="52" t="n">
        <f aca="false">H68/H12+(H25+H43)*H51/1000</f>
        <v>27.7463040694472</v>
      </c>
      <c r="I75" s="52" t="n">
        <f aca="false">I68/I12+(I25+I43)*I51/1000</f>
        <v>8.66144563792923</v>
      </c>
      <c r="J75" s="52" t="n">
        <f aca="false">J68/J12+(J25+J43)*J51/1000</f>
        <v>16.263619456583</v>
      </c>
      <c r="K75" s="52" t="n">
        <f aca="false">K68/K12+(K25+K43)*K51/1000</f>
        <v>31.3240013600885</v>
      </c>
      <c r="L75" s="52" t="n">
        <f aca="false">L68/L12+(L25+L43)*L51/1000</f>
        <v>7.84140719687809</v>
      </c>
      <c r="M75" s="52" t="n">
        <f aca="false">M68/M12+(M25+M43)*M51/1000</f>
        <v>12.4417521013904</v>
      </c>
      <c r="N75" s="52" t="n">
        <f aca="false">N68/N12+(N25+N43)*N51/1000</f>
        <v>21.896077078048</v>
      </c>
      <c r="O75" s="52" t="n">
        <f aca="false">O68/O12+(O25+O43)*O51/1000</f>
        <v>7.61845528148391</v>
      </c>
      <c r="P75" s="52" t="n">
        <f aca="false">P68/P12+(P25+P43)*P51/1000</f>
        <v>11.325392120971</v>
      </c>
      <c r="Q75" s="52" t="n">
        <f aca="false">Q68/Q12+(Q25+Q43)*Q51/1000</f>
        <v>19.1273645448635</v>
      </c>
    </row>
    <row r="76" customFormat="false" ht="15" hidden="false" customHeight="false" outlineLevel="0" collapsed="false">
      <c r="A76" s="44" t="s">
        <v>534</v>
      </c>
      <c r="B76" s="45" t="s">
        <v>398</v>
      </c>
      <c r="C76" s="53" t="n">
        <f aca="false">(C43+1)*C61/(C10*C49)/1000</f>
        <v>1.43843594129198</v>
      </c>
      <c r="D76" s="53" t="n">
        <f aca="false">(D43+1)*D61/(D10*D49)/1000</f>
        <v>5.00789784206055</v>
      </c>
      <c r="E76" s="53" t="n">
        <f aca="false">(E43+1)*E61/(E10*E49)/1000</f>
        <v>19.8667973867865</v>
      </c>
      <c r="F76" s="53" t="n">
        <f aca="false">(F43+1)*F61/(F10*F49)/1000</f>
        <v>0.426783943781329</v>
      </c>
      <c r="G76" s="53" t="n">
        <f aca="false">(G43+1)*G61/(G10*G49)/1000</f>
        <v>1.48584328973936</v>
      </c>
      <c r="H76" s="53" t="n">
        <f aca="false">(H43+1)*H61/(H10*H49)/1000</f>
        <v>5.89447878465954</v>
      </c>
      <c r="I76" s="53" t="n">
        <f aca="false">(I43+1)*I61/(I10*I49)/1000</f>
        <v>0.284522629187553</v>
      </c>
      <c r="J76" s="53" t="n">
        <f aca="false">(J43+1)*J61/(J10*J49)/1000</f>
        <v>0.990562193159576</v>
      </c>
      <c r="K76" s="53" t="n">
        <f aca="false">(K43+1)*K61/(K10*K49)/1000</f>
        <v>3.92965252310636</v>
      </c>
      <c r="L76" s="53" t="n">
        <f aca="false">(L43+1)*L61/(L10*L49)/1000</f>
        <v>0.121938269651808</v>
      </c>
      <c r="M76" s="53" t="n">
        <f aca="false">(M43+1)*M61/(M10*M49)/1000</f>
        <v>0.424526654211247</v>
      </c>
      <c r="N76" s="53" t="n">
        <f aca="false">(N43+1)*N61/(N10*N49)/1000</f>
        <v>1.68413679561701</v>
      </c>
      <c r="O76" s="53" t="n">
        <f aca="false">(O43+1)*O61/(O10*O49)/1000</f>
        <v>0.0584635539426479</v>
      </c>
      <c r="P76" s="53" t="n">
        <f aca="false">(P43+1)*P61/(P10*P49)/1000</f>
        <v>0.203540176676625</v>
      </c>
      <c r="Q76" s="53" t="n">
        <f aca="false">(Q43+1)*Q61/(Q10*Q49)/1000</f>
        <v>0.807462847213636</v>
      </c>
    </row>
    <row r="77" customFormat="false" ht="15" hidden="false" customHeight="false" outlineLevel="0" collapsed="false">
      <c r="A77" s="44" t="s">
        <v>535</v>
      </c>
      <c r="B77" s="45" t="s">
        <v>398</v>
      </c>
      <c r="C77" s="53" t="n">
        <f aca="false">C30*C41/(C12*C56)/1000000000</f>
        <v>0.0103742771855011</v>
      </c>
      <c r="D77" s="53" t="n">
        <f aca="false">D30*D41/(D12*D56)/1000000000</f>
        <v>0.0294339957356077</v>
      </c>
      <c r="E77" s="53" t="n">
        <f aca="false">E30*E41/(E12*E56)/1000000000</f>
        <v>0.855181918976546</v>
      </c>
      <c r="F77" s="53" t="n">
        <f aca="false">F30*F41/(F12*F56)/1000000000</f>
        <v>0.00434422857142857</v>
      </c>
      <c r="G77" s="53" t="n">
        <f aca="false">G30*G41/(G12*G56)/1000000000</f>
        <v>0.0123254857142857</v>
      </c>
      <c r="H77" s="53" t="n">
        <f aca="false">H30*H41/(H12*H56)/1000000000</f>
        <v>0.358107428571429</v>
      </c>
      <c r="I77" s="53" t="n">
        <f aca="false">I30*I41/(I12*I56)/1000000000</f>
        <v>0.00434422857142857</v>
      </c>
      <c r="J77" s="53" t="n">
        <f aca="false">J30*J41/(J12*J56)/1000000000</f>
        <v>0.0123254857142857</v>
      </c>
      <c r="K77" s="53" t="n">
        <f aca="false">K30*K41/(K12*K56)/1000000000</f>
        <v>0.358107428571429</v>
      </c>
      <c r="L77" s="53" t="n">
        <f aca="false">L30*L41/(L12*L56)/1000000000</f>
        <v>0.00157971948051948</v>
      </c>
      <c r="M77" s="53" t="n">
        <f aca="false">M30*M41/(M12*M56)/1000000000</f>
        <v>0.00448199480519481</v>
      </c>
      <c r="N77" s="53" t="n">
        <f aca="false">N30*N41/(N12*N56)/1000000000</f>
        <v>0.130220883116883</v>
      </c>
      <c r="O77" s="53" t="n">
        <f aca="false">O30*O41/(O12*O56)/1000000000</f>
        <v>0.00108605714285714</v>
      </c>
      <c r="P77" s="53" t="n">
        <f aca="false">P30*P41/(P12*P56)/1000000000</f>
        <v>0.00308137142857143</v>
      </c>
      <c r="Q77" s="53" t="n">
        <f aca="false">Q30*Q41/(Q12*Q56)/1000000000</f>
        <v>0.0895268571428571</v>
      </c>
    </row>
    <row r="78" customFormat="false" ht="15" hidden="false" customHeight="false" outlineLevel="0" collapsed="false">
      <c r="A78" s="44" t="s">
        <v>536</v>
      </c>
      <c r="B78" s="45" t="s">
        <v>398</v>
      </c>
      <c r="C78" s="53" t="n">
        <f aca="false">(C43+1)*C25*C27*C26*C55*(C67-1)/C67/(C13*C57)/1000000000</f>
        <v>0.3566592</v>
      </c>
      <c r="D78" s="53" t="n">
        <f aca="false">(D43+1)*D25*D27*D26*D55*(D67-1)/D67/(D13*D57)/1000000000</f>
        <v>0.8854272</v>
      </c>
      <c r="E78" s="53" t="n">
        <f aca="false">(E43+1)*E25*E27*E26*E55*(E67-1)/E67/(E13*E57)/1000000000</f>
        <v>6.69199900621118</v>
      </c>
      <c r="F78" s="53" t="n">
        <f aca="false">(F43+1)*F25*F27*F26*F55*(F67-1)/F67/(F13*F57)/1000000000</f>
        <v>0.0194998857142857</v>
      </c>
      <c r="G78" s="53" t="n">
        <f aca="false">(G43+1)*G25*G27*G26*G55*(G67-1)/G67/(G13*G57)/1000000000</f>
        <v>0.0484096</v>
      </c>
      <c r="H78" s="53" t="n">
        <f aca="false">(H43+1)*H25*H27*H26*H55*(H67-1)/H67/(H13*H57)/1000000000</f>
        <v>0.363476974789916</v>
      </c>
      <c r="I78" s="53" t="n">
        <f aca="false">(I43+1)*I25*I27*I26*I55*(I67-1)/I67/(I13*I57)/1000000000</f>
        <v>0.0194998857142857</v>
      </c>
      <c r="J78" s="53" t="n">
        <f aca="false">(J43+1)*J25*J27*J26*J55*(J67-1)/J67/(J13*J57)/1000000000</f>
        <v>0.0484096</v>
      </c>
      <c r="K78" s="53" t="n">
        <f aca="false">(K43+1)*K25*K27*K26*K55*(K67-1)/K67/(K13*K57)/1000000000</f>
        <v>0.362788571428571</v>
      </c>
      <c r="L78" s="53" t="n">
        <f aca="false">(L43+1)*L25*L27*L26*L55*(L67-1)/L67/(L13*L57)/1000000000</f>
        <v>0.00974994285714286</v>
      </c>
      <c r="M78" s="53" t="n">
        <f aca="false">(M43+1)*M25*M27*M26*M55*(M67-1)/M67/(M13*M57)/1000000000</f>
        <v>0.0242048</v>
      </c>
      <c r="N78" s="53" t="n">
        <f aca="false">(N43+1)*N25*N27*N26*N55*(N67-1)/N67/(N13*N57)/1000000000</f>
        <v>0.181394285714286</v>
      </c>
      <c r="O78" s="53" t="n">
        <f aca="false">(O43+1)*O25*O27*O26*O55*(O67-1)/O67/(O13*O57)/1000000000</f>
        <v>0.0099072</v>
      </c>
      <c r="P78" s="53" t="n">
        <f aca="false">(P43+1)*P25*P27*P26*P55*(P67-1)/P67/(P13*P57)/1000000000</f>
        <v>0.0245952</v>
      </c>
      <c r="Q78" s="53" t="n">
        <f aca="false">(Q43+1)*Q25*Q27*Q26*Q55*(Q67-1)/Q67/(Q13*Q57)/1000000000</f>
        <v>0.18432</v>
      </c>
    </row>
    <row r="79" customFormat="false" ht="15" hidden="false" customHeight="false" outlineLevel="0" collapsed="false">
      <c r="A79" s="44" t="s">
        <v>537</v>
      </c>
      <c r="B79" s="45" t="s">
        <v>398</v>
      </c>
      <c r="C79" s="53" t="n">
        <f aca="false">MAX(C76,C77,C78)</f>
        <v>1.43843594129198</v>
      </c>
      <c r="D79" s="53" t="n">
        <f aca="false">MAX(D76,D77,D78)</f>
        <v>5.00789784206055</v>
      </c>
      <c r="E79" s="53" t="n">
        <f aca="false">MAX(E76,E77,E78)</f>
        <v>19.8667973867865</v>
      </c>
      <c r="F79" s="53" t="n">
        <f aca="false">MAX(F76,F77,F78)</f>
        <v>0.426783943781329</v>
      </c>
      <c r="G79" s="53" t="n">
        <f aca="false">MAX(G76,G77,G78)</f>
        <v>1.48584328973936</v>
      </c>
      <c r="H79" s="53" t="n">
        <f aca="false">MAX(H76,H77,H78)</f>
        <v>5.89447878465954</v>
      </c>
      <c r="I79" s="53" t="n">
        <f aca="false">MAX(I76,I77,I78)</f>
        <v>0.284522629187553</v>
      </c>
      <c r="J79" s="53" t="n">
        <f aca="false">MAX(J76,J77,J78)</f>
        <v>0.990562193159576</v>
      </c>
      <c r="K79" s="53" t="n">
        <f aca="false">MAX(K76,K77,K78)</f>
        <v>3.92965252310636</v>
      </c>
      <c r="L79" s="53" t="n">
        <f aca="false">MAX(L76,L77,L78)</f>
        <v>0.121938269651808</v>
      </c>
      <c r="M79" s="53" t="n">
        <f aca="false">MAX(M76,M77,M78)</f>
        <v>0.424526654211247</v>
      </c>
      <c r="N79" s="53" t="n">
        <f aca="false">MAX(N76,N77,N78)</f>
        <v>1.68413679561701</v>
      </c>
      <c r="O79" s="53" t="n">
        <f aca="false">MAX(O76,O77,O78)</f>
        <v>0.0584635539426479</v>
      </c>
      <c r="P79" s="53" t="n">
        <f aca="false">MAX(P76,P77,P78)</f>
        <v>0.203540176676625</v>
      </c>
      <c r="Q79" s="53" t="n">
        <f aca="false">MAX(Q76,Q77,Q78)</f>
        <v>0.807462847213636</v>
      </c>
    </row>
    <row r="80" customFormat="false" ht="15" hidden="false" customHeight="false" outlineLevel="0" collapsed="false">
      <c r="A80" s="44" t="s">
        <v>538</v>
      </c>
      <c r="B80" s="44"/>
      <c r="C80" s="44" t="str">
        <f aca="false">IF(C79=C76,"算力",IF(C79=C77,"KV 頻寬","EP 通訊"))</f>
        <v>算力</v>
      </c>
      <c r="D80" s="44" t="str">
        <f aca="false">IF(D79=D76,"算力",IF(D79=D77,"KV 頻寬","EP 通訊"))</f>
        <v>算力</v>
      </c>
      <c r="E80" s="44" t="str">
        <f aca="false">IF(E79=E76,"算力",IF(E79=E77,"KV 頻寬","EP 通訊"))</f>
        <v>算力</v>
      </c>
      <c r="F80" s="44" t="str">
        <f aca="false">IF(F79=F76,"算力",IF(F79=F77,"KV 頻寬","EP 通訊"))</f>
        <v>算力</v>
      </c>
      <c r="G80" s="44" t="str">
        <f aca="false">IF(G79=G76,"算力",IF(G79=G77,"KV 頻寬","EP 通訊"))</f>
        <v>算力</v>
      </c>
      <c r="H80" s="44" t="str">
        <f aca="false">IF(H79=H76,"算力",IF(H79=H77,"KV 頻寬","EP 通訊"))</f>
        <v>算力</v>
      </c>
      <c r="I80" s="44" t="str">
        <f aca="false">IF(I79=I76,"算力",IF(I79=I77,"KV 頻寬","EP 通訊"))</f>
        <v>算力</v>
      </c>
      <c r="J80" s="44" t="str">
        <f aca="false">IF(J79=J76,"算力",IF(J79=J77,"KV 頻寬","EP 通訊"))</f>
        <v>算力</v>
      </c>
      <c r="K80" s="44" t="str">
        <f aca="false">IF(K79=K76,"算力",IF(K79=K77,"KV 頻寬","EP 通訊"))</f>
        <v>算力</v>
      </c>
      <c r="L80" s="44" t="str">
        <f aca="false">IF(L79=L76,"算力",IF(L79=L77,"KV 頻寬","EP 通訊"))</f>
        <v>算力</v>
      </c>
      <c r="M80" s="44" t="str">
        <f aca="false">IF(M79=M76,"算力",IF(M79=M77,"KV 頻寬","EP 通訊"))</f>
        <v>算力</v>
      </c>
      <c r="N80" s="44" t="str">
        <f aca="false">IF(N79=N76,"算力",IF(N79=N77,"KV 頻寬","EP 通訊"))</f>
        <v>算力</v>
      </c>
      <c r="O80" s="44" t="str">
        <f aca="false">IF(O79=O76,"算力",IF(O79=O77,"KV 頻寬","EP 通訊"))</f>
        <v>算力</v>
      </c>
      <c r="P80" s="44" t="str">
        <f aca="false">IF(P79=P76,"算力",IF(P79=P77,"KV 頻寬","EP 通訊"))</f>
        <v>算力</v>
      </c>
      <c r="Q80" s="44" t="str">
        <f aca="false">IF(Q79=Q76,"算力",IF(Q79=Q77,"KV 頻寬","EP 通訊"))</f>
        <v>算力</v>
      </c>
    </row>
    <row r="81" customFormat="false" ht="15" hidden="false" customHeight="false" outlineLevel="0" collapsed="false">
      <c r="A81" s="45" t="s">
        <v>539</v>
      </c>
      <c r="B81" s="44" t="s">
        <v>402</v>
      </c>
      <c r="C81" s="55" t="n">
        <f aca="false">(1000*C45/C37-C75)/C79</f>
        <v>4.95969664628932</v>
      </c>
      <c r="D81" s="55" t="n">
        <f aca="false">(1000*D45/D37-D75)/D79</f>
        <v>2.63340985800112</v>
      </c>
      <c r="E81" s="55" t="n">
        <f aca="false">(1000*E45/E37-E75)/E79</f>
        <v>0.457201696335233</v>
      </c>
      <c r="F81" s="55" t="n">
        <f aca="false">(1000*F45/F37-F75)/F79</f>
        <v>29.1643766752891</v>
      </c>
      <c r="G81" s="55" t="n">
        <f aca="false">(1000*G45/G37-G75)/G79</f>
        <v>15.2812961295741</v>
      </c>
      <c r="H81" s="55" t="n">
        <f aca="false">(1000*H45/H37-H75)/H79</f>
        <v>3.10599835099004</v>
      </c>
      <c r="I81" s="55" t="n">
        <f aca="false">(1000*I45/I37-I75)/I79</f>
        <v>43.7465650129337</v>
      </c>
      <c r="J81" s="55" t="n">
        <f aca="false">(1000*J45/J37-J75)/J79</f>
        <v>22.9219441943611</v>
      </c>
      <c r="K81" s="55" t="n">
        <f aca="false">(1000*K45/K37-K75)/K79</f>
        <v>3.74856148421301</v>
      </c>
      <c r="L81" s="55" t="n">
        <f aca="false">(1000*L45/L37-L75)/L79</f>
        <v>108.800347703298</v>
      </c>
      <c r="M81" s="55" t="n">
        <f aca="false">(1000*M45/M37-M75)/M79</f>
        <v>62.4871922756589</v>
      </c>
      <c r="N81" s="55" t="n">
        <f aca="false">(1000*N45/N37-N75)/N79</f>
        <v>14.3447185759317</v>
      </c>
      <c r="O81" s="55" t="n">
        <f aca="false">(1000*O45/O37-O75)/O79</f>
        <v>230.739959207455</v>
      </c>
      <c r="P81" s="55" t="n">
        <f aca="false">(1000*P45/P37-P75)/P79</f>
        <v>135.815145194548</v>
      </c>
      <c r="Q81" s="55" t="n">
        <f aca="false">(1000*Q45/Q37-Q75)/Q79</f>
        <v>33.3478883921425</v>
      </c>
    </row>
    <row r="82" customFormat="false" ht="15" hidden="false" customHeight="false" outlineLevel="0" collapsed="false">
      <c r="A82" s="45" t="s">
        <v>540</v>
      </c>
      <c r="B82" s="44" t="s">
        <v>402</v>
      </c>
      <c r="C82" s="56" t="n">
        <f aca="false">(C65-C68)*1000000000/(C30*C41)</f>
        <v>2558.19965159029</v>
      </c>
      <c r="D82" s="56" t="n">
        <f aca="false">(D65-D68)*1000000000/(D30*D41)</f>
        <v>538.633530942984</v>
      </c>
      <c r="E82" s="56" t="n">
        <f aca="false">(E65-E68)*1000000000/(E30*E41)</f>
        <v>15.5090860617669</v>
      </c>
      <c r="F82" s="56" t="n">
        <f aca="false">(F65-F68)*1000000000/(F30*F41)</f>
        <v>6457.29248791911</v>
      </c>
      <c r="G82" s="56" t="n">
        <f aca="false">(G65-G68)*1000000000/(G30*G41)</f>
        <v>1729.19391665125</v>
      </c>
      <c r="H82" s="56" t="n">
        <f aca="false">(H65-H68)*1000000000/(H30*H41)</f>
        <v>38.6451779217801</v>
      </c>
      <c r="I82" s="56" t="n">
        <f aca="false">(I65-I68)*1000000000/(I30*I41)</f>
        <v>10230.7719154683</v>
      </c>
      <c r="J82" s="56" t="n">
        <f aca="false">(J65-J68)*1000000000/(J30*J41)</f>
        <v>3059.19076406613</v>
      </c>
      <c r="K82" s="56" t="n">
        <f aca="false">(K65-K68)*1000000000/(K30*K41)</f>
        <v>70.1493024197706</v>
      </c>
      <c r="L82" s="56" t="n">
        <f aca="false">(L65-L68)*1000000000/(L30*L41)</f>
        <v>10230.7719154683</v>
      </c>
      <c r="M82" s="56" t="n">
        <f aca="false">(M65-M68)*1000000000/(M30*M41)</f>
        <v>3059.19076406613</v>
      </c>
      <c r="N82" s="56" t="n">
        <f aca="false">(N65-N68)*1000000000/(N30*N41)</f>
        <v>70.1493024197706</v>
      </c>
      <c r="O82" s="56" t="n">
        <f aca="false">(O65-O68)*1000000000/(O30*O41)</f>
        <v>37559.6634227452</v>
      </c>
      <c r="P82" s="56" t="n">
        <f aca="false">(P65-P68)*1000000000/(P30*P41)</f>
        <v>12857.1859364347</v>
      </c>
      <c r="Q82" s="56" t="n">
        <f aca="false">(Q65-Q68)*1000000000/(Q30*Q41)</f>
        <v>417.772914578888</v>
      </c>
    </row>
    <row r="83" customFormat="false" ht="15" hidden="false" customHeight="false" outlineLevel="0" collapsed="false">
      <c r="A83" s="44" t="s">
        <v>541</v>
      </c>
      <c r="B83" s="44" t="s">
        <v>402</v>
      </c>
      <c r="C83" s="94" t="n">
        <f aca="false">MAX(0,MIN(C81,C82))</f>
        <v>4.95969664628932</v>
      </c>
      <c r="D83" s="94" t="n">
        <f aca="false">MAX(0,MIN(D81,D82))</f>
        <v>2.63340985800112</v>
      </c>
      <c r="E83" s="94" t="n">
        <f aca="false">MAX(0,MIN(E81,E82))</f>
        <v>0.457201696335233</v>
      </c>
      <c r="F83" s="94" t="n">
        <f aca="false">MAX(0,MIN(F81,F82))</f>
        <v>29.1643766752891</v>
      </c>
      <c r="G83" s="94" t="n">
        <f aca="false">MAX(0,MIN(G81,G82))</f>
        <v>15.2812961295741</v>
      </c>
      <c r="H83" s="94" t="n">
        <f aca="false">MAX(0,MIN(H81,H82))</f>
        <v>3.10599835099004</v>
      </c>
      <c r="I83" s="94" t="n">
        <f aca="false">MAX(0,MIN(I81,I82))</f>
        <v>43.7465650129337</v>
      </c>
      <c r="J83" s="94" t="n">
        <f aca="false">MAX(0,MIN(J81,J82))</f>
        <v>22.9219441943611</v>
      </c>
      <c r="K83" s="94" t="n">
        <f aca="false">MAX(0,MIN(K81,K82))</f>
        <v>3.74856148421301</v>
      </c>
      <c r="L83" s="94" t="n">
        <f aca="false">MAX(0,MIN(L81,L82))</f>
        <v>108.800347703298</v>
      </c>
      <c r="M83" s="94" t="n">
        <f aca="false">MAX(0,MIN(M81,M82))</f>
        <v>62.4871922756589</v>
      </c>
      <c r="N83" s="94" t="n">
        <f aca="false">MAX(0,MIN(N81,N82))</f>
        <v>14.3447185759317</v>
      </c>
      <c r="O83" s="94" t="n">
        <f aca="false">MAX(0,MIN(O81,O82))</f>
        <v>230.739959207455</v>
      </c>
      <c r="P83" s="94" t="n">
        <f aca="false">MAX(0,MIN(P81,P82))</f>
        <v>135.815145194548</v>
      </c>
      <c r="Q83" s="94" t="n">
        <f aca="false">MAX(0,MIN(Q81,Q82))</f>
        <v>33.3478883921425</v>
      </c>
    </row>
    <row r="84" customFormat="false" ht="15" hidden="false" customHeight="false" outlineLevel="0" collapsed="false">
      <c r="A84" s="45" t="s">
        <v>542</v>
      </c>
      <c r="B84" s="45" t="s">
        <v>281</v>
      </c>
      <c r="C84" s="51" t="n">
        <f aca="false">IF(C83&gt;0,C83*C45/((C75+C83*C79)/1000),0)</f>
        <v>595.163597554718</v>
      </c>
      <c r="D84" s="51" t="n">
        <f aca="false">IF(D83&gt;0,D83*D45/((D75+D83*D79)/1000),0)</f>
        <v>171.171640770073</v>
      </c>
      <c r="E84" s="51" t="n">
        <f aca="false">IF(E83&gt;0,E83*E45/((E75+E83*E79)/1000),0)</f>
        <v>25.1460932984378</v>
      </c>
      <c r="F84" s="51" t="n">
        <f aca="false">IF(F83&gt;0,F83*F45/((F75+F83*F79)/1000),0)</f>
        <v>3499.72520103469</v>
      </c>
      <c r="G84" s="51" t="n">
        <f aca="false">IF(G83&gt;0,G83*G45/((G75+G83*G79)/1000),0)</f>
        <v>993.284248422316</v>
      </c>
      <c r="H84" s="51" t="n">
        <f aca="false">IF(H83&gt;0,H83*H45/((H75+H83*H79)/1000),0)</f>
        <v>170.829909304452</v>
      </c>
      <c r="I84" s="51" t="n">
        <f aca="false">IF(I83&gt;0,I83*I45/((I75+I83*I79)/1000),0)</f>
        <v>5249.58780155204</v>
      </c>
      <c r="J84" s="51" t="n">
        <f aca="false">IF(J83&gt;0,J83*J45/((J75+J83*J79)/1000),0)</f>
        <v>1489.92637263347</v>
      </c>
      <c r="K84" s="51" t="n">
        <f aca="false">IF(K83&gt;0,K83*K45/((K75+K83*K79)/1000),0)</f>
        <v>206.170881631716</v>
      </c>
      <c r="L84" s="51" t="n">
        <f aca="false">IF(L83&gt;0,L83*L45/((L75+L83*L79)/1000),0)</f>
        <v>13056.0417243957</v>
      </c>
      <c r="M84" s="51" t="n">
        <f aca="false">IF(M83&gt;0,M83*M45/((M75+M83*M79)/1000),0)</f>
        <v>4061.66749791783</v>
      </c>
      <c r="N84" s="51" t="n">
        <f aca="false">IF(N83&gt;0,N83*N45/((N75+N83*N79)/1000),0)</f>
        <v>788.959521676242</v>
      </c>
      <c r="O84" s="51" t="n">
        <f aca="false">IF(O83&gt;0,O83*O45/((O75+O83*O79)/1000),0)</f>
        <v>27688.7951048946</v>
      </c>
      <c r="P84" s="51" t="n">
        <f aca="false">IF(P83&gt;0,P83*P45/((P75+P83*P79)/1000),0)</f>
        <v>8827.9844376456</v>
      </c>
      <c r="Q84" s="51" t="n">
        <f aca="false">IF(Q83&gt;0,Q83*Q45/((Q75+Q83*Q79)/1000),0)</f>
        <v>1834.13386156784</v>
      </c>
    </row>
    <row r="85" customFormat="false" ht="15" hidden="false" customHeight="false" outlineLevel="0" collapsed="false">
      <c r="A85" s="44" t="s">
        <v>543</v>
      </c>
      <c r="B85" s="45" t="s">
        <v>281</v>
      </c>
      <c r="C85" s="56" t="n">
        <f aca="false">IF(C83&gt;0,C45/((C75+C83*C79)/1000),0)</f>
        <v>120</v>
      </c>
      <c r="D85" s="56" t="n">
        <f aca="false">IF(D83&gt;0,D45/((D75+D83*D79)/1000),0)</f>
        <v>65</v>
      </c>
      <c r="E85" s="56" t="n">
        <f aca="false">IF(E83&gt;0,E45/((E75+E83*E79)/1000),0)</f>
        <v>55</v>
      </c>
      <c r="F85" s="56" t="n">
        <f aca="false">IF(F83&gt;0,F45/((F75+F83*F79)/1000),0)</f>
        <v>120</v>
      </c>
      <c r="G85" s="56" t="n">
        <f aca="false">IF(G83&gt;0,G45/((G75+G83*G79)/1000),0)</f>
        <v>65</v>
      </c>
      <c r="H85" s="56" t="n">
        <f aca="false">IF(H83&gt;0,H45/((H75+H83*H79)/1000),0)</f>
        <v>55</v>
      </c>
      <c r="I85" s="56" t="n">
        <f aca="false">IF(I83&gt;0,I45/((I75+I83*I79)/1000),0)</f>
        <v>120</v>
      </c>
      <c r="J85" s="56" t="n">
        <f aca="false">IF(J83&gt;0,J45/((J75+J83*J79)/1000),0)</f>
        <v>65</v>
      </c>
      <c r="K85" s="56" t="n">
        <f aca="false">IF(K83&gt;0,K45/((K75+K83*K79)/1000),0)</f>
        <v>55</v>
      </c>
      <c r="L85" s="56" t="n">
        <f aca="false">IF(L83&gt;0,L45/((L75+L83*L79)/1000),0)</f>
        <v>120</v>
      </c>
      <c r="M85" s="56" t="n">
        <f aca="false">IF(M83&gt;0,M45/((M75+M83*M79)/1000),0)</f>
        <v>65</v>
      </c>
      <c r="N85" s="56" t="n">
        <f aca="false">IF(N83&gt;0,N45/((N75+N83*N79)/1000),0)</f>
        <v>55</v>
      </c>
      <c r="O85" s="56" t="n">
        <f aca="false">IF(O83&gt;0,O45/((O75+O83*O79)/1000),0)</f>
        <v>120</v>
      </c>
      <c r="P85" s="56" t="n">
        <f aca="false">IF(P83&gt;0,P45/((P75+P83*P79)/1000),0)</f>
        <v>65</v>
      </c>
      <c r="Q85" s="56" t="n">
        <f aca="false">IF(Q83&gt;0,Q45/((Q75+Q83*Q79)/1000),0)</f>
        <v>55</v>
      </c>
    </row>
    <row r="86" customFormat="false" ht="15" hidden="false" customHeight="false" outlineLevel="0" collapsed="false">
      <c r="A86" s="44" t="s">
        <v>544</v>
      </c>
      <c r="B86" s="44"/>
      <c r="C86" s="95" t="str">
        <f aca="false">IF(C83&lt;=0,"SLO 不可達",IF(C81&lt;=C82,"SLO（"&amp;C80&amp;"）","HBM 容量"))</f>
        <v>SLO（算力）</v>
      </c>
      <c r="D86" s="95" t="str">
        <f aca="false">IF(D83&lt;=0,"SLO 不可達",IF(D81&lt;=D82,"SLO（"&amp;D80&amp;"）","HBM 容量"))</f>
        <v>SLO（算力）</v>
      </c>
      <c r="E86" s="95" t="str">
        <f aca="false">IF(E83&lt;=0,"SLO 不可達",IF(E81&lt;=E82,"SLO（"&amp;E80&amp;"）","HBM 容量"))</f>
        <v>SLO（算力）</v>
      </c>
      <c r="F86" s="95" t="str">
        <f aca="false">IF(F83&lt;=0,"SLO 不可達",IF(F81&lt;=F82,"SLO（"&amp;F80&amp;"）","HBM 容量"))</f>
        <v>SLO（算力）</v>
      </c>
      <c r="G86" s="95" t="str">
        <f aca="false">IF(G83&lt;=0,"SLO 不可達",IF(G81&lt;=G82,"SLO（"&amp;G80&amp;"）","HBM 容量"))</f>
        <v>SLO（算力）</v>
      </c>
      <c r="H86" s="95" t="str">
        <f aca="false">IF(H83&lt;=0,"SLO 不可達",IF(H81&lt;=H82,"SLO（"&amp;H80&amp;"）","HBM 容量"))</f>
        <v>SLO（算力）</v>
      </c>
      <c r="I86" s="95" t="str">
        <f aca="false">IF(I83&lt;=0,"SLO 不可達",IF(I81&lt;=I82,"SLO（"&amp;I80&amp;"）","HBM 容量"))</f>
        <v>SLO（算力）</v>
      </c>
      <c r="J86" s="95" t="str">
        <f aca="false">IF(J83&lt;=0,"SLO 不可達",IF(J81&lt;=J82,"SLO（"&amp;J80&amp;"）","HBM 容量"))</f>
        <v>SLO（算力）</v>
      </c>
      <c r="K86" s="95" t="str">
        <f aca="false">IF(K83&lt;=0,"SLO 不可達",IF(K81&lt;=K82,"SLO（"&amp;K80&amp;"）","HBM 容量"))</f>
        <v>SLO（算力）</v>
      </c>
      <c r="L86" s="95" t="str">
        <f aca="false">IF(L83&lt;=0,"SLO 不可達",IF(L81&lt;=L82,"SLO（"&amp;L80&amp;"）","HBM 容量"))</f>
        <v>SLO（算力）</v>
      </c>
      <c r="M86" s="95" t="str">
        <f aca="false">IF(M83&lt;=0,"SLO 不可達",IF(M81&lt;=M82,"SLO（"&amp;M80&amp;"）","HBM 容量"))</f>
        <v>SLO（算力）</v>
      </c>
      <c r="N86" s="95" t="str">
        <f aca="false">IF(N83&lt;=0,"SLO 不可達",IF(N81&lt;=N82,"SLO（"&amp;N80&amp;"）","HBM 容量"))</f>
        <v>SLO（算力）</v>
      </c>
      <c r="O86" s="95" t="str">
        <f aca="false">IF(O83&lt;=0,"SLO 不可達",IF(O81&lt;=O82,"SLO（"&amp;O80&amp;"）","HBM 容量"))</f>
        <v>SLO（算力）</v>
      </c>
      <c r="P86" s="95" t="str">
        <f aca="false">IF(P83&lt;=0,"SLO 不可達",IF(P81&lt;=P82,"SLO（"&amp;P80&amp;"）","HBM 容量"))</f>
        <v>SLO（算力）</v>
      </c>
      <c r="Q86" s="95" t="str">
        <f aca="false">IF(Q83&lt;=0,"SLO 不可達",IF(Q81&lt;=Q82,"SLO（"&amp;Q80&amp;"）","HBM 容量"))</f>
        <v>SLO（算力）</v>
      </c>
    </row>
    <row r="87" customFormat="false" ht="15" hidden="false" customHeight="false" outlineLevel="0" collapsed="false">
      <c r="A87" s="45" t="s">
        <v>545</v>
      </c>
      <c r="B87" s="45" t="s">
        <v>45</v>
      </c>
      <c r="C87" s="67" t="n">
        <f aca="false">C83*C30*C41/1000000000/C65</f>
        <v>0.00167580434594444</v>
      </c>
      <c r="D87" s="67" t="n">
        <f aca="false">D83*D30*D41/1000000000/D65</f>
        <v>0.00252451543436182</v>
      </c>
      <c r="E87" s="67" t="n">
        <f aca="false">E83*E30*E41/1000000000/E65</f>
        <v>0.012734347407686</v>
      </c>
      <c r="F87" s="67" t="n">
        <f aca="false">F83*F30*F41/1000000000/F65</f>
        <v>0.00423836095075208</v>
      </c>
      <c r="G87" s="67" t="n">
        <f aca="false">G83*G30*G41/1000000000/G65</f>
        <v>0.00630081615285947</v>
      </c>
      <c r="H87" s="67" t="n">
        <f aca="false">H83*H30*H41/1000000000/H65</f>
        <v>0.0372089251055722</v>
      </c>
      <c r="I87" s="67" t="n">
        <f aca="false">I83*I30*I41/1000000000/I65</f>
        <v>0.00410591217104107</v>
      </c>
      <c r="J87" s="67" t="n">
        <f aca="false">J83*J30*J41/1000000000/J65</f>
        <v>0.00610391564808262</v>
      </c>
      <c r="K87" s="67" t="n">
        <f aca="false">K83*K30*K41/1000000000/K65</f>
        <v>0.0290022036965245</v>
      </c>
      <c r="L87" s="67" t="n">
        <f aca="false">L83*L30*L41/1000000000/L65</f>
        <v>0.0102116513997475</v>
      </c>
      <c r="M87" s="67" t="n">
        <f aca="false">M83*M30*M41/1000000000/M65</f>
        <v>0.0166397992902352</v>
      </c>
      <c r="N87" s="67" t="n">
        <f aca="false">N83*N30*N41/1000000000/N65</f>
        <v>0.110983493764364</v>
      </c>
      <c r="O87" s="67" t="n">
        <f aca="false">O83*O30*O41/1000000000/O65</f>
        <v>0.00609089397874568</v>
      </c>
      <c r="P87" s="67" t="n">
        <f aca="false">P83*P30*P41/1000000000/P65</f>
        <v>0.0101717998464872</v>
      </c>
      <c r="Q87" s="67" t="n">
        <f aca="false">Q83*Q30*Q41/1000000000/Q65</f>
        <v>0.072565005141302</v>
      </c>
    </row>
    <row r="88" customFormat="false" ht="15" hidden="false" customHeight="false" outlineLevel="0" collapsed="false">
      <c r="A88" s="72" t="s">
        <v>546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</row>
    <row r="89" customFormat="false" ht="15" hidden="false" customHeight="false" outlineLevel="0" collapsed="false">
      <c r="A89" s="44" t="s">
        <v>547</v>
      </c>
      <c r="B89" s="45" t="s">
        <v>548</v>
      </c>
      <c r="C89" s="96" t="n">
        <f aca="false">IF(C84&gt;0,C39/C71+C40/C84,0)</f>
        <v>2.76955344087645</v>
      </c>
      <c r="D89" s="96" t="n">
        <f aca="false">IF(D84&gt;0,D39/D71+D40/D84,0)</f>
        <v>19.3259487889698</v>
      </c>
      <c r="E89" s="96" t="n">
        <f aca="false">IF(E84&gt;0,E39/E71+E40/E84,0)</f>
        <v>211.541000102298</v>
      </c>
      <c r="F89" s="96" t="n">
        <f aca="false">IF(F84&gt;0,F39/F71+F40/F84,0)</f>
        <v>0.396342291946453</v>
      </c>
      <c r="G89" s="96" t="n">
        <f aca="false">IF(G84&gt;0,G39/G71+G40/G84,0)</f>
        <v>2.78988436963207</v>
      </c>
      <c r="H89" s="96" t="n">
        <f aca="false">IF(H84&gt;0,H39/H71+H40/H84,0)</f>
        <v>28.7888352427063</v>
      </c>
      <c r="I89" s="96" t="n">
        <f aca="false">IF(I84&gt;0,I39/I71+I40/I84,0)</f>
        <v>0.264228194630968</v>
      </c>
      <c r="J89" s="96" t="n">
        <f aca="false">IF(J84&gt;0,J39/J71+J40/J84,0)</f>
        <v>1.85992291308805</v>
      </c>
      <c r="K89" s="96" t="n">
        <f aca="false">IF(K84&gt;0,K39/K71+K40/K84,0)</f>
        <v>23.0748612114697</v>
      </c>
      <c r="L89" s="96" t="n">
        <f aca="false">IF(L84&gt;0,L39/L71+L40/L84,0)</f>
        <v>0.108073376361825</v>
      </c>
      <c r="M89" s="96" t="n">
        <f aca="false">IF(M84&gt;0,M39/M71+M40/M84,0)</f>
        <v>0.712237124347245</v>
      </c>
      <c r="N89" s="96" t="n">
        <f aca="false">IF(N84&gt;0,N39/N71+N40/N84,0)</f>
        <v>6.56643907356878</v>
      </c>
      <c r="O89" s="96" t="n">
        <f aca="false">IF(O84&gt;0,O39/O71+O40/O84,0)</f>
        <v>0.051194508572236</v>
      </c>
      <c r="P89" s="96" t="n">
        <f aca="false">IF(P84&gt;0,P39/P71+P40/P84,0)</f>
        <v>0.331720701372698</v>
      </c>
      <c r="Q89" s="96" t="n">
        <f aca="false">IF(Q84&gt;0,Q39/Q71+Q40/Q84,0)</f>
        <v>2.8923531642993</v>
      </c>
    </row>
    <row r="90" customFormat="false" ht="15" hidden="false" customHeight="false" outlineLevel="0" collapsed="false">
      <c r="A90" s="45" t="s">
        <v>549</v>
      </c>
      <c r="B90" s="45" t="s">
        <v>45</v>
      </c>
      <c r="C90" s="67" t="n">
        <f aca="false">IF(C89&gt;0,(C39/C71)/C89,0)</f>
        <v>0.378767959443341</v>
      </c>
      <c r="D90" s="67" t="n">
        <f aca="false">IF(D89&gt;0,(D39/D71)/D89,0)</f>
        <v>0.380904974686525</v>
      </c>
      <c r="E90" s="67" t="n">
        <f aca="false">IF(E89&gt;0,(E39/E71)/E89,0)</f>
        <v>0.229992647381625</v>
      </c>
      <c r="F90" s="67" t="n">
        <f aca="false">IF(F89&gt;0,(F39/F71)/F89,0)</f>
        <v>0.261763361440912</v>
      </c>
      <c r="G90" s="67" t="n">
        <f aca="false">IF(G89&gt;0,(G39/G71)/G89,0)</f>
        <v>0.260956162310016</v>
      </c>
      <c r="H90" s="67" t="n">
        <f aca="false">IF(H89&gt;0,(H39/H71)/H89,0)</f>
        <v>0.167140117398111</v>
      </c>
      <c r="I90" s="67" t="n">
        <f aca="false">IF(I89&gt;0,(I39/I71)/I89,0)</f>
        <v>0.261763361440912</v>
      </c>
      <c r="J90" s="67" t="n">
        <f aca="false">IF(J89&gt;0,(J39/J71)/J89,0)</f>
        <v>0.260956162310016</v>
      </c>
      <c r="K90" s="67" t="n">
        <f aca="false">IF(K89&gt;0,(K39/K71)/K89,0)</f>
        <v>0.139019089739358</v>
      </c>
      <c r="L90" s="67" t="n">
        <f aca="false">IF(L89&gt;0,(L39/L71)/L89,0)</f>
        <v>0.274278971019929</v>
      </c>
      <c r="M90" s="67" t="n">
        <f aca="false">IF(M89&gt;0,(M39/M71)/M89,0)</f>
        <v>0.292052621842808</v>
      </c>
      <c r="N90" s="67" t="n">
        <f aca="false">IF(N89&gt;0,(N39/N71)/N89,0)</f>
        <v>0.209366326833024</v>
      </c>
      <c r="O90" s="67" t="n">
        <f aca="false">IF(O89&gt;0,(O39/O71)/O89,0)</f>
        <v>0.27760867732632</v>
      </c>
      <c r="P90" s="67" t="n">
        <f aca="false">IF(P89&gt;0,(P39/P71)/P89,0)</f>
        <v>0.300648004449981</v>
      </c>
      <c r="Q90" s="67" t="n">
        <f aca="false">IF(Q89&gt;0,(Q39/Q71)/Q89,0)</f>
        <v>0.227892806415277</v>
      </c>
    </row>
    <row r="91" customFormat="false" ht="15" hidden="false" customHeight="false" outlineLevel="0" collapsed="false">
      <c r="A91" s="44" t="s">
        <v>550</v>
      </c>
      <c r="B91" s="45" t="s">
        <v>281</v>
      </c>
      <c r="C91" s="51" t="n">
        <f aca="false">IF(C89&gt;0,C18*(C39+C40)/C89,0)</f>
        <v>106483.5924981</v>
      </c>
      <c r="D91" s="51" t="n">
        <f aca="false">IF(D89&gt;0,D18*(D39+D40)/D89,0)</f>
        <v>30519.7952473432</v>
      </c>
      <c r="E91" s="51" t="n">
        <f aca="false">IF(E89&gt;0,E18*(E39+E40)/E89,0)</f>
        <v>5576.45089807433</v>
      </c>
      <c r="F91" s="51" t="n">
        <f aca="false">IF(F89&gt;0,F18*(F39+F40)/F89,0)</f>
        <v>1674189.23865346</v>
      </c>
      <c r="G91" s="51" t="n">
        <f aca="false">IF(G89&gt;0,G18*(G39+G40)/G89,0)</f>
        <v>475684.230660434</v>
      </c>
      <c r="H91" s="51" t="n">
        <f aca="false">IF(H89&gt;0,H18*(H39+H40)/H89,0)</f>
        <v>92195.7410789118</v>
      </c>
      <c r="I91" s="51" t="n">
        <f aca="false">IF(I89&gt;0,I18*(I39+I40)/I89,0)</f>
        <v>2511283.85798019</v>
      </c>
      <c r="J91" s="51" t="n">
        <f aca="false">IF(J89&gt;0,J18*(J39+J40)/J89,0)</f>
        <v>713526.345990651</v>
      </c>
      <c r="K91" s="51" t="n">
        <f aca="false">IF(K89&gt;0,K18*(K39+K40)/K89,0)</f>
        <v>115025.957282061</v>
      </c>
      <c r="L91" s="51" t="n">
        <f aca="false">IF(L89&gt;0,L18*(L39+L40)/L89,0)</f>
        <v>6139828.53444362</v>
      </c>
      <c r="M91" s="51" t="n">
        <f aca="false">IF(M89&gt;0,M18*(M39+M40)/M89,0)</f>
        <v>1863289.56275099</v>
      </c>
      <c r="N91" s="51" t="n">
        <f aca="false">IF(N89&gt;0,N18*(N39+N40)/N89,0)</f>
        <v>404208.12106271</v>
      </c>
      <c r="O91" s="51" t="n">
        <f aca="false">IF(O89&gt;0,O18*(O39+O40)/O89,0)</f>
        <v>25922780.3335087</v>
      </c>
      <c r="P91" s="51" t="n">
        <f aca="false">IF(P89&gt;0,P18*(P39+P40)/P89,0)</f>
        <v>8001333.61896495</v>
      </c>
      <c r="Q91" s="51" t="n">
        <f aca="false">IF(Q89&gt;0,Q18*(Q39+Q40)/Q89,0)</f>
        <v>1835327.74127395</v>
      </c>
    </row>
    <row r="92" customFormat="false" ht="15" hidden="false" customHeight="false" outlineLevel="0" collapsed="false">
      <c r="A92" s="44" t="s">
        <v>551</v>
      </c>
      <c r="B92" s="45" t="s">
        <v>281</v>
      </c>
      <c r="C92" s="56" t="n">
        <f aca="false">C91*C40/(C39+C40)</f>
        <v>11831.5102775667</v>
      </c>
      <c r="D92" s="56" t="n">
        <f aca="false">D91*D40/(D39+D40)</f>
        <v>3391.08836081591</v>
      </c>
      <c r="E92" s="56" t="n">
        <f aca="false">E91*E40/(E39+E40)</f>
        <v>619.605655341592</v>
      </c>
      <c r="F92" s="56" t="n">
        <f aca="false">F91*F40/(F39+F40)</f>
        <v>186021.026517051</v>
      </c>
      <c r="G92" s="56" t="n">
        <f aca="false">G91*G40/(G39+G40)</f>
        <v>52853.8034067149</v>
      </c>
      <c r="H92" s="56" t="n">
        <f aca="false">H91*H40/(H39+H40)</f>
        <v>10243.9712309902</v>
      </c>
      <c r="I92" s="56" t="n">
        <f aca="false">I91*I40/(I39+I40)</f>
        <v>279031.539775577</v>
      </c>
      <c r="J92" s="56" t="n">
        <f aca="false">J91*J40/(J39+J40)</f>
        <v>79280.7051100723</v>
      </c>
      <c r="K92" s="56" t="n">
        <f aca="false">K91*K40/(K39+K40)</f>
        <v>12780.661920229</v>
      </c>
      <c r="L92" s="56" t="n">
        <f aca="false">L91*L40/(L39+L40)</f>
        <v>682203.170493735</v>
      </c>
      <c r="M92" s="56" t="n">
        <f aca="false">M91*M40/(M39+M40)</f>
        <v>207032.173638999</v>
      </c>
      <c r="N92" s="56" t="n">
        <f aca="false">N91*N40/(N39+N40)</f>
        <v>44912.0134514122</v>
      </c>
      <c r="O92" s="56" t="n">
        <f aca="false">O91*O40/(O39+O40)</f>
        <v>2880308.92594541</v>
      </c>
      <c r="P92" s="56" t="n">
        <f aca="false">P91*P40/(P39+P40)</f>
        <v>889037.068773883</v>
      </c>
      <c r="Q92" s="56" t="n">
        <f aca="false">Q91*Q40/(Q39+Q40)</f>
        <v>203925.304585995</v>
      </c>
    </row>
    <row r="93" customFormat="false" ht="15" hidden="false" customHeight="false" outlineLevel="0" collapsed="false">
      <c r="A93" s="44" t="s">
        <v>552</v>
      </c>
      <c r="B93" s="45" t="s">
        <v>281</v>
      </c>
      <c r="C93" s="56" t="n">
        <f aca="false">C91-C92</f>
        <v>94652.0822205337</v>
      </c>
      <c r="D93" s="56" t="n">
        <f aca="false">D91-D92</f>
        <v>27128.7068865273</v>
      </c>
      <c r="E93" s="56" t="n">
        <f aca="false">E91-E92</f>
        <v>4956.84524273274</v>
      </c>
      <c r="F93" s="56" t="n">
        <f aca="false">F91-F92</f>
        <v>1488168.21213641</v>
      </c>
      <c r="G93" s="56" t="n">
        <f aca="false">G91-G92</f>
        <v>422830.427253719</v>
      </c>
      <c r="H93" s="56" t="n">
        <f aca="false">H91-H92</f>
        <v>81951.7698479216</v>
      </c>
      <c r="I93" s="56" t="n">
        <f aca="false">I91-I92</f>
        <v>2232252.31820462</v>
      </c>
      <c r="J93" s="56" t="n">
        <f aca="false">J91-J92</f>
        <v>634245.640880578</v>
      </c>
      <c r="K93" s="56" t="n">
        <f aca="false">K91-K92</f>
        <v>102245.295361832</v>
      </c>
      <c r="L93" s="56" t="n">
        <f aca="false">L91-L92</f>
        <v>5457625.36394988</v>
      </c>
      <c r="M93" s="56" t="n">
        <f aca="false">M91-M92</f>
        <v>1656257.38911199</v>
      </c>
      <c r="N93" s="56" t="n">
        <f aca="false">N91-N92</f>
        <v>359296.107611298</v>
      </c>
      <c r="O93" s="56" t="n">
        <f aca="false">O91-O92</f>
        <v>23042471.4075633</v>
      </c>
      <c r="P93" s="56" t="n">
        <f aca="false">P91-P92</f>
        <v>7112296.55019106</v>
      </c>
      <c r="Q93" s="56" t="n">
        <f aca="false">Q91-Q92</f>
        <v>1631402.43668796</v>
      </c>
    </row>
    <row r="94" customFormat="false" ht="15" hidden="false" customHeight="false" outlineLevel="0" collapsed="false">
      <c r="A94" s="44" t="s">
        <v>553</v>
      </c>
      <c r="B94" s="45" t="s">
        <v>554</v>
      </c>
      <c r="C94" s="51" t="n">
        <f aca="false">C91*C21*8760*3600/1000000</f>
        <v>75351655831.9979</v>
      </c>
      <c r="D94" s="51" t="n">
        <f aca="false">D91*D21*8760*3600/1000000</f>
        <v>21596915107.6667</v>
      </c>
      <c r="E94" s="51" t="n">
        <f aca="false">E91*E21*8760*3600/1000000</f>
        <v>3946099102.9508</v>
      </c>
      <c r="F94" s="51" t="n">
        <f aca="false">F91*F21*8760*3600/1000000</f>
        <v>373593212430.323</v>
      </c>
      <c r="G94" s="51" t="n">
        <f aca="false">G91*G21*8760*3600/1000000</f>
        <v>106148334807.008</v>
      </c>
      <c r="H94" s="51" t="n">
        <f aca="false">H91*H21*8760*3600/1000000</f>
        <v>20573363086.3425</v>
      </c>
      <c r="I94" s="51" t="n">
        <f aca="false">I91*I21*8760*3600/1000000</f>
        <v>531800117609.444</v>
      </c>
      <c r="J94" s="51" t="n">
        <f aca="false">J91*J21*8760*3600/1000000</f>
        <v>151099364378.687</v>
      </c>
      <c r="K94" s="51" t="n">
        <f aca="false">K91*K21*8760*3600/1000000</f>
        <v>24358384424.1081</v>
      </c>
      <c r="L94" s="51" t="n">
        <f aca="false">L91*L21*8760*3600/1000000</f>
        <v>784571063547.291</v>
      </c>
      <c r="M94" s="51" t="n">
        <f aca="false">M91*M21*8760*3600/1000000</f>
        <v>238098354985.508</v>
      </c>
      <c r="N94" s="51" t="n">
        <f aca="false">N91*N21*8760*3600/1000000</f>
        <v>51651278803.2379</v>
      </c>
      <c r="O94" s="51" t="n">
        <f aca="false">O91*O21*8760*3600/1000000</f>
        <v>1253228727316.01</v>
      </c>
      <c r="P94" s="51" t="n">
        <f aca="false">P91*P21*8760*3600/1000000</f>
        <v>386821977392.771</v>
      </c>
      <c r="Q94" s="51" t="n">
        <f aca="false">Q91*Q21*8760*3600/1000000</f>
        <v>88728347029.634</v>
      </c>
    </row>
    <row r="95" customFormat="false" ht="15" hidden="false" customHeight="false" outlineLevel="0" collapsed="false">
      <c r="A95" s="44" t="s">
        <v>555</v>
      </c>
      <c r="B95" s="45" t="s">
        <v>554</v>
      </c>
      <c r="C95" s="56" t="n">
        <f aca="false">C92*C21*8760*3600/1000000</f>
        <v>8372406203.55532</v>
      </c>
      <c r="D95" s="56" t="n">
        <f aca="false">D92*D21*8760*3600/1000000</f>
        <v>2399657234.18519</v>
      </c>
      <c r="E95" s="56" t="n">
        <f aca="false">E92*E21*8760*3600/1000000</f>
        <v>438455455.883422</v>
      </c>
      <c r="F95" s="56" t="n">
        <f aca="false">F92*F21*8760*3600/1000000</f>
        <v>41510356936.7025</v>
      </c>
      <c r="G95" s="56" t="n">
        <f aca="false">G92*G21*8760*3600/1000000</f>
        <v>11794259423.0009</v>
      </c>
      <c r="H95" s="56" t="n">
        <f aca="false">H92*H21*8760*3600/1000000</f>
        <v>2285929231.81583</v>
      </c>
      <c r="I95" s="56" t="n">
        <f aca="false">I92*I21*8760*3600/1000000</f>
        <v>59088901956.6049</v>
      </c>
      <c r="J95" s="56" t="n">
        <f aca="false">J92*J21*8760*3600/1000000</f>
        <v>16788818264.2986</v>
      </c>
      <c r="K95" s="56" t="n">
        <f aca="false">K92*K21*8760*3600/1000000</f>
        <v>2706487158.23423</v>
      </c>
      <c r="L95" s="56" t="n">
        <f aca="false">L92*L21*8760*3600/1000000</f>
        <v>87174562616.3656</v>
      </c>
      <c r="M95" s="56" t="n">
        <f aca="false">M92*M21*8760*3600/1000000</f>
        <v>26455372776.1676</v>
      </c>
      <c r="N95" s="56" t="n">
        <f aca="false">N92*N21*8760*3600/1000000</f>
        <v>5739030978.13754</v>
      </c>
      <c r="O95" s="56" t="n">
        <f aca="false">O92*O21*8760*3600/1000000</f>
        <v>139247636368.446</v>
      </c>
      <c r="P95" s="56" t="n">
        <f aca="false">P92*P21*8760*3600/1000000</f>
        <v>42980219710.3079</v>
      </c>
      <c r="Q95" s="56" t="n">
        <f aca="false">Q92*Q21*8760*3600/1000000</f>
        <v>9858705225.51489</v>
      </c>
    </row>
    <row r="96" customFormat="false" ht="15" hidden="false" customHeight="false" outlineLevel="0" collapsed="false">
      <c r="A96" s="72" t="s">
        <v>556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</row>
    <row r="97" customFormat="false" ht="15" hidden="false" customHeight="false" outlineLevel="0" collapsed="false">
      <c r="A97" s="44" t="s">
        <v>557</v>
      </c>
      <c r="B97" s="45" t="s">
        <v>558</v>
      </c>
      <c r="C97" s="55" t="n">
        <f aca="false">1000000/C71</f>
        <v>128.053967940681</v>
      </c>
      <c r="D97" s="55" t="n">
        <f aca="false">1000000/D71</f>
        <v>449.301149551736</v>
      </c>
      <c r="E97" s="55" t="n">
        <f aca="false">1000000/E71</f>
        <v>1484.76790293226</v>
      </c>
      <c r="F97" s="55" t="n">
        <f aca="false">1000000/F71</f>
        <v>12.6645374293333</v>
      </c>
      <c r="G97" s="55" t="n">
        <f aca="false">1000000/G71</f>
        <v>44.4358836906667</v>
      </c>
      <c r="H97" s="55" t="n">
        <f aca="false">1000000/H71</f>
        <v>146.8435456</v>
      </c>
      <c r="I97" s="55" t="n">
        <f aca="false">1000000/I71</f>
        <v>8.44302495288889</v>
      </c>
      <c r="J97" s="55" t="n">
        <f aca="false">1000000/J71</f>
        <v>29.6239224604444</v>
      </c>
      <c r="K97" s="55" t="n">
        <f aca="false">1000000/K71</f>
        <v>97.8956970666667</v>
      </c>
      <c r="L97" s="55" t="n">
        <f aca="false">1000000/L71</f>
        <v>3.61843926552381</v>
      </c>
      <c r="M97" s="55" t="n">
        <f aca="false">1000000/M71</f>
        <v>12.6959667687619</v>
      </c>
      <c r="N97" s="55" t="n">
        <f aca="false">1000000/N71</f>
        <v>41.9552987428571</v>
      </c>
      <c r="O97" s="55" t="n">
        <f aca="false">1000000/O71</f>
        <v>1.73486814100457</v>
      </c>
      <c r="P97" s="55" t="n">
        <f aca="false">1000000/P71</f>
        <v>6.08710735488584</v>
      </c>
      <c r="Q97" s="55" t="n">
        <f aca="false">1000000/Q71</f>
        <v>20.1155541917808</v>
      </c>
    </row>
    <row r="98" customFormat="false" ht="15" hidden="false" customHeight="false" outlineLevel="0" collapsed="false">
      <c r="A98" s="44" t="s">
        <v>559</v>
      </c>
      <c r="B98" s="45" t="s">
        <v>558</v>
      </c>
      <c r="C98" s="97" t="n">
        <f aca="false">1000000*C30/(C58*1000000000000)</f>
        <v>0.02795</v>
      </c>
      <c r="D98" s="97" t="n">
        <f aca="false">1000000*D30/(D58*1000000000000)</f>
        <v>0.03965</v>
      </c>
      <c r="E98" s="97" t="n">
        <f aca="false">1000000*E30/(E58*1000000000000)</f>
        <v>0.576</v>
      </c>
      <c r="F98" s="97" t="n">
        <f aca="false">1000000*F30/(F58*1000000000000)</f>
        <v>0.02795</v>
      </c>
      <c r="G98" s="97" t="n">
        <f aca="false">1000000*G30/(G58*1000000000000)</f>
        <v>0.03965</v>
      </c>
      <c r="H98" s="97" t="n">
        <f aca="false">1000000*H30/(H58*1000000000000)</f>
        <v>0.576</v>
      </c>
      <c r="I98" s="97" t="n">
        <f aca="false">1000000*I30/(I58*1000000000000)</f>
        <v>0.02795</v>
      </c>
      <c r="J98" s="97" t="n">
        <f aca="false">1000000*J30/(J58*1000000000000)</f>
        <v>0.03965</v>
      </c>
      <c r="K98" s="97" t="n">
        <f aca="false">1000000*K30/(K58*1000000000000)</f>
        <v>0.576</v>
      </c>
      <c r="L98" s="97" t="n">
        <f aca="false">1000000*L30/(L58*1000000000000)</f>
        <v>0.02795</v>
      </c>
      <c r="M98" s="97" t="n">
        <f aca="false">1000000*M30/(M58*1000000000000)</f>
        <v>0.03965</v>
      </c>
      <c r="N98" s="97" t="n">
        <f aca="false">1000000*N30/(N58*1000000000000)</f>
        <v>0.576</v>
      </c>
      <c r="O98" s="97" t="n">
        <f aca="false">1000000*O30/(O58*1000000000000)</f>
        <v>0.02795</v>
      </c>
      <c r="P98" s="97" t="n">
        <f aca="false">1000000*P30/(P58*1000000000000)</f>
        <v>0.03965</v>
      </c>
      <c r="Q98" s="97" t="n">
        <f aca="false">1000000*Q30/(Q58*1000000000000)</f>
        <v>0.576</v>
      </c>
    </row>
    <row r="99" customFormat="false" ht="15" hidden="false" customHeight="false" outlineLevel="0" collapsed="false">
      <c r="A99" s="45" t="s">
        <v>560</v>
      </c>
      <c r="B99" s="45" t="s">
        <v>558</v>
      </c>
      <c r="C99" s="55" t="n">
        <f aca="false">IF(C84&gt;0,1000000/C84,0)</f>
        <v>1680.21028858046</v>
      </c>
      <c r="D99" s="55" t="n">
        <f aca="false">IF(D84&gt;0,1000000/D84,0)</f>
        <v>5842.0892357003</v>
      </c>
      <c r="E99" s="55" t="n">
        <f aca="false">IF(E84&gt;0,1000000/E84,0)</f>
        <v>39767.608754642</v>
      </c>
      <c r="F99" s="55" t="n">
        <f aca="false">IF(F84&gt;0,1000000/F84,0)</f>
        <v>285.736720044291</v>
      </c>
      <c r="G99" s="55" t="n">
        <f aca="false">IF(G84&gt;0,1000000/G84,0)</f>
        <v>1006.76115783408</v>
      </c>
      <c r="H99" s="55" t="n">
        <f aca="false">IF(H84&gt;0,1000000/H84,0)</f>
        <v>5853.77586437634</v>
      </c>
      <c r="I99" s="55" t="n">
        <f aca="false">IF(I84&gt;0,1000000/I84,0)</f>
        <v>190.491146696194</v>
      </c>
      <c r="J99" s="55" t="n">
        <f aca="false">IF(J84&gt;0,1000000/J84,0)</f>
        <v>671.174105222717</v>
      </c>
      <c r="K99" s="55" t="n">
        <f aca="false">IF(K84&gt;0,1000000/K84,0)</f>
        <v>4850.34546142314</v>
      </c>
      <c r="L99" s="55" t="n">
        <f aca="false">IF(L84&gt;0,1000000/L84,0)</f>
        <v>76.5928924791547</v>
      </c>
      <c r="M99" s="55" t="n">
        <f aca="false">IF(M84&gt;0,1000000/M84,0)</f>
        <v>246.204299222583</v>
      </c>
      <c r="N99" s="55" t="n">
        <f aca="false">IF(N84&gt;0,1000000/N84,0)</f>
        <v>1267.49214950265</v>
      </c>
      <c r="O99" s="55" t="n">
        <f aca="false">IF(O84&gt;0,1000000/O84,0)</f>
        <v>36.1156921495377</v>
      </c>
      <c r="P99" s="55" t="n">
        <f aca="false">IF(P84&gt;0,1000000/P84,0)</f>
        <v>113.276139878051</v>
      </c>
      <c r="Q99" s="55" t="n">
        <f aca="false">IF(Q84&gt;0,1000000/Q84,0)</f>
        <v>545.216475718512</v>
      </c>
    </row>
    <row r="100" customFormat="false" ht="15" hidden="false" customHeight="false" outlineLevel="0" collapsed="false">
      <c r="A100" s="44" t="s">
        <v>561</v>
      </c>
      <c r="B100" s="45" t="s">
        <v>562</v>
      </c>
      <c r="C100" s="98" t="n">
        <f aca="false">INDEX(DC_Cost!$C$58:$Q$58,3*(C$6-1)+2)/3600*C97</f>
        <v>0.0570917680386861</v>
      </c>
      <c r="D100" s="98" t="n">
        <f aca="false">INDEX(DC_Cost!$C$58:$Q$58,3*(D$6-1)+2)/3600*D97</f>
        <v>0.200317080542208</v>
      </c>
      <c r="E100" s="98" t="n">
        <f aca="false">INDEX(DC_Cost!$C$58:$Q$58,3*(E$6-1)+2)/3600*E97</f>
        <v>0.661971089757736</v>
      </c>
      <c r="F100" s="98" t="n">
        <f aca="false">INDEX(DC_Cost!$C$58:$Q$58,3*(F$6-1)+2)/3600*F97</f>
        <v>0.00730590684102865</v>
      </c>
      <c r="G100" s="98" t="n">
        <f aca="false">INDEX(DC_Cost!$C$58:$Q$58,3*(G$6-1)+2)/3600*G97</f>
        <v>0.0256341321942687</v>
      </c>
      <c r="H100" s="98" t="n">
        <f aca="false">INDEX(DC_Cost!$C$58:$Q$58,3*(H$6-1)+2)/3600*H97</f>
        <v>0.0847109711149092</v>
      </c>
      <c r="I100" s="98" t="n">
        <f aca="false">INDEX(DC_Cost!$C$58:$Q$58,3*(I$6-1)+2)/3600*I97</f>
        <v>0.00700656828083046</v>
      </c>
      <c r="J100" s="98" t="n">
        <f aca="false">INDEX(DC_Cost!$C$58:$Q$58,3*(J$6-1)+2)/3600*J97</f>
        <v>0.0245838472139196</v>
      </c>
      <c r="K100" s="98" t="n">
        <f aca="false">INDEX(DC_Cost!$C$58:$Q$58,3*(K$6-1)+2)/3600*K97</f>
        <v>0.0812401822479987</v>
      </c>
      <c r="L100" s="98" t="n">
        <f aca="false">INDEX(DC_Cost!$C$58:$Q$58,3*(L$6-1)+2)/3600*L97</f>
        <v>0.00474086184926097</v>
      </c>
      <c r="M100" s="98" t="n">
        <f aca="false">INDEX(DC_Cost!$C$58:$Q$58,3*(M$6-1)+2)/3600*M97</f>
        <v>0.0166341950428717</v>
      </c>
      <c r="N100" s="98" t="n">
        <f aca="false">INDEX(DC_Cost!$C$58:$Q$58,3*(N$6-1)+2)/3600*N97</f>
        <v>0.054969632095114</v>
      </c>
      <c r="O100" s="98" t="n">
        <f aca="false">INDEX(DC_Cost!$C$58:$Q$58,3*(O$6-1)+2)/3600*O97</f>
        <v>0.0041784721689812</v>
      </c>
      <c r="P100" s="98" t="n">
        <f aca="false">INDEX(DC_Cost!$C$58:$Q$58,3*(P$6-1)+2)/3600*P97</f>
        <v>0.014660946311034</v>
      </c>
      <c r="Q100" s="98" t="n">
        <f aca="false">INDEX(DC_Cost!$C$58:$Q$58,3*(Q$6-1)+2)/3600*Q97</f>
        <v>0.0484488021696676</v>
      </c>
    </row>
    <row r="101" customFormat="false" ht="15" hidden="false" customHeight="false" outlineLevel="0" collapsed="false">
      <c r="A101" s="44" t="s">
        <v>563</v>
      </c>
      <c r="B101" s="45" t="s">
        <v>562</v>
      </c>
      <c r="C101" s="98" t="n">
        <f aca="false">IF(C99&gt;0,INDEX(DC_Cost!$C$58:$Q$58,3*(C$6-1)+2)/3600*C99,0)</f>
        <v>0.749107408341193</v>
      </c>
      <c r="D101" s="98" t="n">
        <f aca="false">IF(D99&gt;0,INDEX(DC_Cost!$C$58:$Q$58,3*(D$6-1)+2)/3600*D99,0)</f>
        <v>2.60464559489802</v>
      </c>
      <c r="E101" s="98" t="n">
        <f aca="false">IF(E99&gt;0,INDEX(DC_Cost!$C$58:$Q$58,3*(E$6-1)+2)/3600*E99,0)</f>
        <v>17.7300487519838</v>
      </c>
      <c r="F101" s="98" t="n">
        <f aca="false">IF(F99&gt;0,INDEX(DC_Cost!$C$58:$Q$58,3*(F$6-1)+2)/3600*F99,0)</f>
        <v>0.164835539343861</v>
      </c>
      <c r="G101" s="98" t="n">
        <f aca="false">IF(G99&gt;0,INDEX(DC_Cost!$C$58:$Q$58,3*(G$6-1)+2)/3600*G99,0)</f>
        <v>0.580779461653743</v>
      </c>
      <c r="H101" s="98" t="n">
        <f aca="false">IF(H99&gt;0,INDEX(DC_Cost!$C$58:$Q$58,3*(H$6-1)+2)/3600*H99,0)</f>
        <v>3.37692089995637</v>
      </c>
      <c r="I101" s="98" t="n">
        <f aca="false">IF(I99&gt;0,INDEX(DC_Cost!$C$58:$Q$58,3*(I$6-1)+2)/3600*I99,0)</f>
        <v>0.15808187630239</v>
      </c>
      <c r="J101" s="98" t="n">
        <f aca="false">IF(J99&gt;0,INDEX(DC_Cost!$C$58:$Q$58,3*(J$6-1)+2)/3600*J99,0)</f>
        <v>0.556983690420006</v>
      </c>
      <c r="K101" s="98" t="n">
        <f aca="false">IF(K99&gt;0,INDEX(DC_Cost!$C$58:$Q$58,3*(K$6-1)+2)/3600*K99,0)</f>
        <v>4.02513043023155</v>
      </c>
      <c r="L101" s="98" t="n">
        <f aca="false">IF(L99&gt;0,INDEX(DC_Cost!$C$58:$Q$58,3*(L$6-1)+2)/3600*L99,0)</f>
        <v>0.1003516420294</v>
      </c>
      <c r="M101" s="98" t="n">
        <f aca="false">IF(M99&gt;0,INDEX(DC_Cost!$C$58:$Q$58,3*(M$6-1)+2)/3600*M99,0)</f>
        <v>0.32257569732607</v>
      </c>
      <c r="N101" s="98" t="n">
        <f aca="false">IF(N99&gt;0,INDEX(DC_Cost!$C$58:$Q$58,3*(N$6-1)+2)/3600*N99,0)</f>
        <v>1.66066216257053</v>
      </c>
      <c r="O101" s="98" t="n">
        <f aca="false">IF(O99&gt;0,INDEX(DC_Cost!$C$58:$Q$58,3*(O$6-1)+2)/3600*O99,0)</f>
        <v>0.0869855241119093</v>
      </c>
      <c r="P101" s="98" t="n">
        <f aca="false">IF(P99&gt;0,INDEX(DC_Cost!$C$58:$Q$58,3*(P$6-1)+2)/3600*P99,0)</f>
        <v>0.272828341649056</v>
      </c>
      <c r="Q101" s="98" t="n">
        <f aca="false">IF(Q99&gt;0,INDEX(DC_Cost!$C$58:$Q$58,3*(Q$6-1)+2)/3600*Q99,0)</f>
        <v>1.31316716009359</v>
      </c>
    </row>
    <row r="102" customFormat="false" ht="15" hidden="false" customHeight="false" outlineLevel="0" collapsed="false">
      <c r="A102" s="72" t="s">
        <v>564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</row>
    <row r="103" customFormat="false" ht="15" hidden="false" customHeight="false" outlineLevel="0" collapsed="false">
      <c r="A103" s="44" t="s">
        <v>565</v>
      </c>
      <c r="B103" s="45" t="s">
        <v>566</v>
      </c>
      <c r="C103" s="99" t="n">
        <f aca="false">C19*Energy!$C$5/(C10*1000000000000000)*1000000000000</f>
        <v>0.424671385237614</v>
      </c>
      <c r="D103" s="99" t="n">
        <f aca="false">D19*Energy!$C$5/(D10*1000000000000000)*1000000000000</f>
        <v>0.424671385237614</v>
      </c>
      <c r="E103" s="99" t="n">
        <f aca="false">E19*Energy!$C$5/(E10*1000000000000000)*1000000000000</f>
        <v>0.424671385237614</v>
      </c>
      <c r="F103" s="99" t="n">
        <f aca="false">F19*Energy!$C$5/(F10*1000000000000000)*1000000000000</f>
        <v>0.072</v>
      </c>
      <c r="G103" s="99" t="n">
        <f aca="false">G19*Energy!$C$5/(G10*1000000000000000)*1000000000000</f>
        <v>0.072</v>
      </c>
      <c r="H103" s="99" t="n">
        <f aca="false">H19*Energy!$C$5/(H10*1000000000000000)*1000000000000</f>
        <v>0.072</v>
      </c>
      <c r="I103" s="99" t="n">
        <f aca="false">I19*Energy!$C$5/(I10*1000000000000000)*1000000000000</f>
        <v>0.056</v>
      </c>
      <c r="J103" s="99" t="n">
        <f aca="false">J19*Energy!$C$5/(J10*1000000000000000)*1000000000000</f>
        <v>0.056</v>
      </c>
      <c r="K103" s="99" t="n">
        <f aca="false">K19*Energy!$C$5/(K10*1000000000000000)*1000000000000</f>
        <v>0.056</v>
      </c>
      <c r="L103" s="99" t="n">
        <f aca="false">L19*Energy!$C$5/(L10*1000000000000000)*1000000000000</f>
        <v>0.0308571428571429</v>
      </c>
      <c r="M103" s="99" t="n">
        <f aca="false">M19*Energy!$C$5/(M10*1000000000000000)*1000000000000</f>
        <v>0.0308571428571429</v>
      </c>
      <c r="N103" s="99" t="n">
        <f aca="false">N19*Energy!$C$5/(N10*1000000000000000)*1000000000000</f>
        <v>0.0308571428571429</v>
      </c>
      <c r="O103" s="99" t="n">
        <f aca="false">O19*Energy!$C$5/(O10*1000000000000000)*1000000000000</f>
        <v>0.0295890410958904</v>
      </c>
      <c r="P103" s="99" t="n">
        <f aca="false">P19*Energy!$C$5/(P10*1000000000000000)*1000000000000</f>
        <v>0.0295890410958904</v>
      </c>
      <c r="Q103" s="99" t="n">
        <f aca="false">Q19*Energy!$C$5/(Q10*1000000000000000)*1000000000000</f>
        <v>0.0295890410958904</v>
      </c>
    </row>
    <row r="104" customFormat="false" ht="15" hidden="false" customHeight="false" outlineLevel="0" collapsed="false">
      <c r="A104" s="45" t="s">
        <v>567</v>
      </c>
      <c r="B104" s="45" t="s">
        <v>495</v>
      </c>
      <c r="C104" s="82" t="n">
        <f aca="false">IF(C$6=1,Energy!$C$7,Energy!$C$6)</f>
        <v>40</v>
      </c>
      <c r="D104" s="82" t="n">
        <f aca="false">IF(D$6=1,Energy!$C$7,Energy!$C$6)</f>
        <v>40</v>
      </c>
      <c r="E104" s="82" t="n">
        <f aca="false">IF(E$6=1,Energy!$C$7,Energy!$C$6)</f>
        <v>40</v>
      </c>
      <c r="F104" s="82" t="n">
        <f aca="false">IF(F$6=1,Energy!$C$7,Energy!$C$6)</f>
        <v>10</v>
      </c>
      <c r="G104" s="82" t="n">
        <f aca="false">IF(G$6=1,Energy!$C$7,Energy!$C$6)</f>
        <v>10</v>
      </c>
      <c r="H104" s="82" t="n">
        <f aca="false">IF(H$6=1,Energy!$C$7,Energy!$C$6)</f>
        <v>10</v>
      </c>
      <c r="I104" s="82" t="n">
        <f aca="false">IF(I$6=1,Energy!$C$7,Energy!$C$6)</f>
        <v>10</v>
      </c>
      <c r="J104" s="82" t="n">
        <f aca="false">IF(J$6=1,Energy!$C$7,Energy!$C$6)</f>
        <v>10</v>
      </c>
      <c r="K104" s="82" t="n">
        <f aca="false">IF(K$6=1,Energy!$C$7,Energy!$C$6)</f>
        <v>10</v>
      </c>
      <c r="L104" s="82" t="n">
        <f aca="false">IF(L$6=1,Energy!$C$7,Energy!$C$6)</f>
        <v>10</v>
      </c>
      <c r="M104" s="82" t="n">
        <f aca="false">IF(M$6=1,Energy!$C$7,Energy!$C$6)</f>
        <v>10</v>
      </c>
      <c r="N104" s="82" t="n">
        <f aca="false">IF(N$6=1,Energy!$C$7,Energy!$C$6)</f>
        <v>10</v>
      </c>
      <c r="O104" s="82" t="n">
        <f aca="false">IF(O$6=1,Energy!$C$7,Energy!$C$6)</f>
        <v>10</v>
      </c>
      <c r="P104" s="82" t="n">
        <f aca="false">IF(P$6=1,Energy!$C$7,Energy!$C$6)</f>
        <v>10</v>
      </c>
      <c r="Q104" s="82" t="n">
        <f aca="false">IF(Q$6=1,Energy!$C$7,Energy!$C$6)</f>
        <v>10</v>
      </c>
    </row>
    <row r="105" customFormat="false" ht="15" hidden="false" customHeight="false" outlineLevel="0" collapsed="false">
      <c r="A105" s="45" t="s">
        <v>568</v>
      </c>
      <c r="B105" s="45" t="s">
        <v>387</v>
      </c>
      <c r="C105" s="55" t="n">
        <f aca="false">(C43+1)*C61/C45</f>
        <v>60.7276307303593</v>
      </c>
      <c r="D105" s="55" t="n">
        <f aca="false">(D43+1)*D61/D45</f>
        <v>211.422533432294</v>
      </c>
      <c r="E105" s="55" t="n">
        <f aca="false">(E43+1)*E61/E45</f>
        <v>838.732890959337</v>
      </c>
      <c r="F105" s="55" t="n">
        <f aca="false">(F43+1)*F61/F45</f>
        <v>60.7276307303593</v>
      </c>
      <c r="G105" s="55" t="n">
        <f aca="false">(G43+1)*G61/G45</f>
        <v>211.422533432294</v>
      </c>
      <c r="H105" s="55" t="n">
        <f aca="false">(H43+1)*H61/H45</f>
        <v>838.732890959337</v>
      </c>
      <c r="I105" s="55" t="n">
        <f aca="false">(I43+1)*I61/I45</f>
        <v>60.7276307303593</v>
      </c>
      <c r="J105" s="55" t="n">
        <f aca="false">(J43+1)*J61/J45</f>
        <v>211.422533432294</v>
      </c>
      <c r="K105" s="55" t="n">
        <f aca="false">(K43+1)*K61/K45</f>
        <v>838.732890959337</v>
      </c>
      <c r="L105" s="55" t="n">
        <f aca="false">(L43+1)*L61/L45</f>
        <v>60.7276307303593</v>
      </c>
      <c r="M105" s="55" t="n">
        <f aca="false">(M43+1)*M61/M45</f>
        <v>211.422533432294</v>
      </c>
      <c r="N105" s="55" t="n">
        <f aca="false">(N43+1)*N61/N45</f>
        <v>838.732890959337</v>
      </c>
      <c r="O105" s="55" t="n">
        <f aca="false">(O43+1)*O61/O45</f>
        <v>60.7276307303593</v>
      </c>
      <c r="P105" s="55" t="n">
        <f aca="false">(P43+1)*P61/P45</f>
        <v>211.422533432294</v>
      </c>
      <c r="Q105" s="55" t="n">
        <f aca="false">(Q43+1)*Q61/Q45</f>
        <v>838.732890959337</v>
      </c>
    </row>
    <row r="106" customFormat="false" ht="15" hidden="false" customHeight="false" outlineLevel="0" collapsed="false">
      <c r="A106" s="45" t="s">
        <v>569</v>
      </c>
      <c r="B106" s="45" t="s">
        <v>242</v>
      </c>
      <c r="C106" s="96" t="n">
        <f aca="false">IF(C83&gt;0,(C68+C83*C30*C41/1000000000)/(C83*C45),0)</f>
        <v>0.786887285661833</v>
      </c>
      <c r="D106" s="96" t="n">
        <f aca="false">IF(D83&gt;0,(D68+D83*D30*D41/1000000000)/(D83*D45),0)</f>
        <v>5.24761200874074</v>
      </c>
      <c r="E106" s="96" t="n">
        <f aca="false">IF(E83&gt;0,(E68+E83*E30*E41/1000000000)/(E83*E45),0)</f>
        <v>36.1067434505594</v>
      </c>
      <c r="F106" s="96" t="n">
        <f aca="false">IF(F83&gt;0,(F68+F83*F30*F41/1000000000)/(F83*F45),0)</f>
        <v>0.149154653288439</v>
      </c>
      <c r="G106" s="96" t="n">
        <f aca="false">IF(G83&gt;0,(G68+G83*G30*G41/1000000000)/(G83*G45),0)</f>
        <v>1.26851539860148</v>
      </c>
      <c r="H106" s="96" t="n">
        <f aca="false">IF(H83&gt;0,(H68+H83*H30*H41/1000000000)/(H83*H45),0)</f>
        <v>12.2185888655314</v>
      </c>
      <c r="I106" s="96" t="n">
        <f aca="false">IF(I83&gt;0,(I68+I83*I30*I41/1000000000)/(I83*I45),0)</f>
        <v>0.102637867292964</v>
      </c>
      <c r="J106" s="96" t="n">
        <f aca="false">IF(J83&gt;0,(J68+J83*J30*J41/1000000000)/(J83*J45),0)</f>
        <v>0.854760064392041</v>
      </c>
      <c r="K106" s="96" t="n">
        <f aca="false">IF(K83&gt;0,(K68+K83*K30*K41/1000000000)/(K83*K45),0)</f>
        <v>13.274190378425</v>
      </c>
      <c r="L106" s="96" t="n">
        <f aca="false">IF(L83&gt;0,(L68+L83*L30*L41/1000000000)/(L83*L45),0)</f>
        <v>0.0470113375716422</v>
      </c>
      <c r="M106" s="96" t="n">
        <f aca="false">IF(M83&gt;0,(M68+M83*M30*M41/1000000000)/(M83*M45),0)</f>
        <v>0.330802054861383</v>
      </c>
      <c r="N106" s="96" t="n">
        <f aca="false">IF(N83&gt;0,(N68+N83*N30*N41/1000000000)/(N83*N45),0)</f>
        <v>4.05363149657568</v>
      </c>
      <c r="O106" s="96" t="n">
        <f aca="false">IF(O83&gt;0,(O68+O83*O30*O41/1000000000)/(O83*O45),0)</f>
        <v>0.0230534095071409</v>
      </c>
      <c r="P106" s="96" t="n">
        <f aca="false">IF(P83&gt;0,(P68+P83*P30*P41/1000000000)/(P83*P45),0)</f>
        <v>0.126551990817375</v>
      </c>
      <c r="Q106" s="96" t="n">
        <f aca="false">IF(Q83&gt;0,(Q68+Q83*Q30*Q41/1000000000)/(Q83*Q45),0)</f>
        <v>1.78374663598535</v>
      </c>
    </row>
    <row r="107" customFormat="false" ht="15" hidden="false" customHeight="false" outlineLevel="0" collapsed="false">
      <c r="A107" s="45" t="s">
        <v>570</v>
      </c>
      <c r="B107" s="45" t="s">
        <v>242</v>
      </c>
      <c r="C107" s="53" t="n">
        <f aca="false">(C43+1)*C25*C27*C26*C55/C45/1000000000</f>
        <v>0.00500640189498618</v>
      </c>
      <c r="D107" s="53" t="n">
        <f aca="false">(D43+1)*D25*D27*D26*D55/D45/1000000000</f>
        <v>0.0124286837741808</v>
      </c>
      <c r="E107" s="53" t="n">
        <f aca="false">(E43+1)*E25*E27*E26*E55/E45/1000000000</f>
        <v>0.0931423608369523</v>
      </c>
      <c r="F107" s="53" t="n">
        <f aca="false">(F43+1)*F25*F27*F26*F55/F45/1000000000</f>
        <v>0.00500640189498618</v>
      </c>
      <c r="G107" s="53" t="n">
        <f aca="false">(G43+1)*G25*G27*G26*G55/G45/1000000000</f>
        <v>0.0124286837741808</v>
      </c>
      <c r="H107" s="53" t="n">
        <f aca="false">(H43+1)*H25*H27*H26*H55/H45/1000000000</f>
        <v>0.0931423608369523</v>
      </c>
      <c r="I107" s="53" t="n">
        <f aca="false">(I43+1)*I25*I27*I26*I55/I45/1000000000</f>
        <v>0.00500640189498618</v>
      </c>
      <c r="J107" s="53" t="n">
        <f aca="false">(J43+1)*J25*J27*J26*J55/J45/1000000000</f>
        <v>0.0124286837741808</v>
      </c>
      <c r="K107" s="53" t="n">
        <f aca="false">(K43+1)*K25*K27*K26*K55/K45/1000000000</f>
        <v>0.0931423608369523</v>
      </c>
      <c r="L107" s="53" t="n">
        <f aca="false">(L43+1)*L25*L27*L26*L55/L45/1000000000</f>
        <v>0.00500640189498618</v>
      </c>
      <c r="M107" s="53" t="n">
        <f aca="false">(M43+1)*M25*M27*M26*M55/M45/1000000000</f>
        <v>0.0124286837741808</v>
      </c>
      <c r="N107" s="53" t="n">
        <f aca="false">(N43+1)*N25*N27*N26*N55/N45/1000000000</f>
        <v>0.0931423608369523</v>
      </c>
      <c r="O107" s="53" t="n">
        <f aca="false">(O43+1)*O25*O27*O26*O55/O45/1000000000</f>
        <v>0.00500640189498618</v>
      </c>
      <c r="P107" s="53" t="n">
        <f aca="false">(P43+1)*P25*P27*P26*P55/P45/1000000000</f>
        <v>0.0124286837741808</v>
      </c>
      <c r="Q107" s="53" t="n">
        <f aca="false">(Q43+1)*Q25*Q27*Q26*Q55/Q45/1000000000</f>
        <v>0.0931423608369523</v>
      </c>
    </row>
    <row r="108" customFormat="false" ht="15" hidden="false" customHeight="false" outlineLevel="0" collapsed="false">
      <c r="A108" s="45" t="s">
        <v>571</v>
      </c>
      <c r="B108" s="45" t="s">
        <v>572</v>
      </c>
      <c r="C108" s="53" t="n">
        <f aca="false">(C105*C103+C106*C20+C107*C104)/1000</f>
        <v>0.0503830489957762</v>
      </c>
      <c r="D108" s="53" t="n">
        <f aca="false">(D105*D103+D106*D20+D107*D104)/1000</f>
        <v>0.252958219765068</v>
      </c>
      <c r="E108" s="53" t="n">
        <f aca="false">(E105*E103+E106*E20+E107*E104)/1000</f>
        <v>1.47922060004887</v>
      </c>
      <c r="F108" s="53" t="n">
        <f aca="false">(F105*F103+F106*F20+F107*F104)/1000</f>
        <v>0.00815131976374671</v>
      </c>
      <c r="G108" s="53" t="n">
        <f aca="false">(G105*G103+G106*G20+G107*G104)/1000</f>
        <v>0.0470595942099041</v>
      </c>
      <c r="H108" s="53" t="n">
        <f aca="false">(H105*H103+H106*H20+H107*H104)/1000</f>
        <v>0.366784913395726</v>
      </c>
      <c r="I108" s="53" t="n">
        <f aca="false">(I105*I103+I106*I20+I107*I104)/1000</f>
        <v>0.00601675802217408</v>
      </c>
      <c r="J108" s="53" t="n">
        <f aca="false">(J105*J103+J106*J20+J107*J104)/1000</f>
        <v>0.0333329503197513</v>
      </c>
      <c r="K108" s="53" t="n">
        <f aca="false">(K105*K103+K106*K20+K107*K104)/1000</f>
        <v>0.379755224962717</v>
      </c>
      <c r="L108" s="53" t="n">
        <f aca="false">(L105*L103+L106*L20+L107*L104)/1000</f>
        <v>0.00286417194720522</v>
      </c>
      <c r="M108" s="53" t="n">
        <f aca="false">(M105*M103+M106*M20+M107*M104)/1000</f>
        <v>0.0132642232523088</v>
      </c>
      <c r="N108" s="53" t="n">
        <f aca="false">(N105*N103+N106*N20+N107*N104)/1000</f>
        <v>0.1078849541752</v>
      </c>
      <c r="O108" s="53" t="n">
        <f aca="false">(O105*O103+O106*O20+O107*O104)/1000</f>
        <v>0.00226189775141506</v>
      </c>
      <c r="P108" s="53" t="n">
        <f aca="false">(P105*P103+P106*P20+P107*P104)/1000</f>
        <v>0.00865801270277997</v>
      </c>
      <c r="Q108" s="53" t="n">
        <f aca="false">(Q105*Q103+Q106*Q20+Q107*Q104)/1000</f>
        <v>0.0578561650351766</v>
      </c>
    </row>
    <row r="109" customFormat="false" ht="15" hidden="false" customHeight="false" outlineLevel="0" collapsed="false">
      <c r="A109" s="45" t="s">
        <v>573</v>
      </c>
      <c r="B109" s="45" t="s">
        <v>572</v>
      </c>
      <c r="C109" s="53" t="n">
        <f aca="false">C63*C103/1000</f>
        <v>0.0161347999605258</v>
      </c>
      <c r="D109" s="53" t="n">
        <f aca="false">D63*D103/1000</f>
        <v>0.0566119448435187</v>
      </c>
      <c r="E109" s="53" t="n">
        <f aca="false">E63*E103/1000</f>
        <v>0.187080755769464</v>
      </c>
      <c r="F109" s="53" t="n">
        <f aca="false">F63*F103/1000</f>
        <v>0.002735540084736</v>
      </c>
      <c r="G109" s="53" t="n">
        <f aca="false">G63*G103/1000</f>
        <v>0.009598150877184</v>
      </c>
      <c r="H109" s="53" t="n">
        <f aca="false">H63*H103/1000</f>
        <v>0.0317182058496</v>
      </c>
      <c r="I109" s="53" t="n">
        <f aca="false">I63*I103/1000</f>
        <v>0.002127642288128</v>
      </c>
      <c r="J109" s="53" t="n">
        <f aca="false">J63*J103/1000</f>
        <v>0.007465228460032</v>
      </c>
      <c r="K109" s="53" t="n">
        <f aca="false">K63*K103/1000</f>
        <v>0.0246697156608</v>
      </c>
      <c r="L109" s="53" t="n">
        <f aca="false">L63*L103/1000</f>
        <v>0.00117237432202971</v>
      </c>
      <c r="M109" s="53" t="n">
        <f aca="false">M63*M103/1000</f>
        <v>0.00411349323307886</v>
      </c>
      <c r="N109" s="53" t="n">
        <f aca="false">N63*N103/1000</f>
        <v>0.0135935167926857</v>
      </c>
      <c r="O109" s="53" t="n">
        <f aca="false">O63*O103/1000</f>
        <v>0.00112419455537096</v>
      </c>
      <c r="P109" s="53" t="n">
        <f aca="false">P63*P103/1000</f>
        <v>0.00394444556596603</v>
      </c>
      <c r="Q109" s="53" t="n">
        <f aca="false">Q63*Q103/1000</f>
        <v>0.013034879116274</v>
      </c>
    </row>
    <row r="110" customFormat="false" ht="15" hidden="false" customHeight="false" outlineLevel="0" collapsed="false">
      <c r="A110" s="44" t="s">
        <v>574</v>
      </c>
      <c r="B110" s="45" t="s">
        <v>499</v>
      </c>
      <c r="C110" s="55" t="n">
        <f aca="false">(C93*C109+C92*C108)/1000</f>
        <v>2.12329997448422</v>
      </c>
      <c r="D110" s="55" t="n">
        <f aca="false">(D93*D109+D92*D108)/1000</f>
        <v>2.39361253275411</v>
      </c>
      <c r="E110" s="55" t="n">
        <f aca="false">(E93*E109+E92*E108)/1000</f>
        <v>1.84386380353078</v>
      </c>
      <c r="F110" s="55" t="n">
        <f aca="false">(F93*F109+F92*F108)/1000</f>
        <v>5.58726066704995</v>
      </c>
      <c r="G110" s="55" t="n">
        <f aca="false">(G93*G109+G92*G108)/1000</f>
        <v>6.54566877701541</v>
      </c>
      <c r="H110" s="55" t="n">
        <f aca="false">(H93*H109+H92*H108)/1000</f>
        <v>6.35669720656247</v>
      </c>
      <c r="I110" s="55" t="n">
        <f aca="false">(I93*I109+I92*I108)/1000</f>
        <v>6.42829968536819</v>
      </c>
      <c r="J110" s="55" t="n">
        <f aca="false">(J93*J109+J92*J108)/1000</f>
        <v>7.37744841370182</v>
      </c>
      <c r="K110" s="55" t="n">
        <f aca="false">(K93*K109+K92*K108)/1000</f>
        <v>7.37588550691989</v>
      </c>
      <c r="L110" s="55" t="n">
        <f aca="false">(L93*L109+L92*L108)/1000</f>
        <v>8.35232701917553</v>
      </c>
      <c r="M110" s="55" t="n">
        <f aca="false">(M93*M109+M92*M108)/1000</f>
        <v>9.55912453390747</v>
      </c>
      <c r="N110" s="55" t="n">
        <f aca="false">(N93*N109+N92*N108)/1000</f>
        <v>9.72942818548236</v>
      </c>
      <c r="O110" s="55" t="n">
        <f aca="false">(O93*O109+O92*O108)/1000</f>
        <v>32.4191851816502</v>
      </c>
      <c r="P110" s="55" t="n">
        <f aca="false">(P93*P109+P92*P108)/1000</f>
        <v>35.7513608259232</v>
      </c>
      <c r="Q110" s="55" t="n">
        <f aca="false">(Q93*Q109+Q92*Q108)/1000</f>
        <v>33.0634696291983</v>
      </c>
    </row>
    <row r="111" customFormat="false" ht="15" hidden="false" customHeight="false" outlineLevel="0" collapsed="false">
      <c r="A111" s="44" t="s">
        <v>575</v>
      </c>
      <c r="B111" s="45" t="s">
        <v>499</v>
      </c>
      <c r="C111" s="80" t="n">
        <f aca="false">C22*Inputs!$E$10</f>
        <v>32.8</v>
      </c>
      <c r="D111" s="80" t="n">
        <f aca="false">D22*Inputs!$E$10</f>
        <v>32.8</v>
      </c>
      <c r="E111" s="80" t="n">
        <f aca="false">E22*Inputs!$E$10</f>
        <v>32.8</v>
      </c>
      <c r="F111" s="80" t="n">
        <f aca="false">F22*Inputs!$E$10</f>
        <v>104</v>
      </c>
      <c r="G111" s="80" t="n">
        <f aca="false">G22*Inputs!$E$10</f>
        <v>104</v>
      </c>
      <c r="H111" s="80" t="n">
        <f aca="false">H22*Inputs!$E$10</f>
        <v>104</v>
      </c>
      <c r="I111" s="80" t="n">
        <f aca="false">I22*Inputs!$E$10</f>
        <v>109.6</v>
      </c>
      <c r="J111" s="80" t="n">
        <f aca="false">J22*Inputs!$E$10</f>
        <v>109.6</v>
      </c>
      <c r="K111" s="80" t="n">
        <f aca="false">K22*Inputs!$E$10</f>
        <v>109.6</v>
      </c>
      <c r="L111" s="80" t="n">
        <f aca="false">L22*Inputs!$E$10</f>
        <v>181.6</v>
      </c>
      <c r="M111" s="80" t="n">
        <f aca="false">M22*Inputs!$E$10</f>
        <v>181.6</v>
      </c>
      <c r="N111" s="80" t="n">
        <f aca="false">N22*Inputs!$E$10</f>
        <v>181.6</v>
      </c>
      <c r="O111" s="80" t="n">
        <f aca="false">O22*Inputs!$E$10</f>
        <v>480</v>
      </c>
      <c r="P111" s="80" t="n">
        <f aca="false">P22*Inputs!$E$10</f>
        <v>480</v>
      </c>
      <c r="Q111" s="80" t="n">
        <f aca="false">Q22*Inputs!$E$10</f>
        <v>480</v>
      </c>
    </row>
    <row r="112" customFormat="false" ht="15" hidden="false" customHeight="false" outlineLevel="0" collapsed="false">
      <c r="A112" s="44" t="s">
        <v>576</v>
      </c>
      <c r="B112" s="45" t="s">
        <v>45</v>
      </c>
      <c r="C112" s="100" t="n">
        <f aca="false">IF(C111&gt;0,C110/C111,0)</f>
        <v>0.064734755319641</v>
      </c>
      <c r="D112" s="100" t="n">
        <f aca="false">IF(D111&gt;0,D110/D111,0)</f>
        <v>0.0729759918522593</v>
      </c>
      <c r="E112" s="100" t="n">
        <f aca="false">IF(E111&gt;0,E110/E111,0)</f>
        <v>0.0562153598637432</v>
      </c>
      <c r="F112" s="100" t="n">
        <f aca="false">IF(F111&gt;0,F110/F111,0)</f>
        <v>0.0537236602600957</v>
      </c>
      <c r="G112" s="100" t="n">
        <f aca="false">IF(G111&gt;0,G110/G111,0)</f>
        <v>0.0629391228559174</v>
      </c>
      <c r="H112" s="100" t="n">
        <f aca="false">IF(H111&gt;0,H110/H111,0)</f>
        <v>0.0611220885246391</v>
      </c>
      <c r="I112" s="100" t="n">
        <f aca="false">IF(I111&gt;0,I110/I111,0)</f>
        <v>0.0586523693920456</v>
      </c>
      <c r="J112" s="100" t="n">
        <f aca="false">IF(J111&gt;0,J110/J111,0)</f>
        <v>0.0673124855264764</v>
      </c>
      <c r="K112" s="100" t="n">
        <f aca="false">IF(K111&gt;0,K110/K111,0)</f>
        <v>0.0672982254281012</v>
      </c>
      <c r="L112" s="100" t="n">
        <f aca="false">IF(L111&gt;0,L110/L111,0)</f>
        <v>0.0459929901936979</v>
      </c>
      <c r="M112" s="100" t="n">
        <f aca="false">IF(M111&gt;0,M110/M111,0)</f>
        <v>0.0526383509576403</v>
      </c>
      <c r="N112" s="100" t="n">
        <f aca="false">IF(N111&gt;0,N110/N111,0)</f>
        <v>0.053576146395828</v>
      </c>
      <c r="O112" s="100" t="n">
        <f aca="false">IF(O111&gt;0,O110/O111,0)</f>
        <v>0.067539969128438</v>
      </c>
      <c r="P112" s="100" t="n">
        <f aca="false">IF(P111&gt;0,P110/P111,0)</f>
        <v>0.0744820017206733</v>
      </c>
      <c r="Q112" s="100" t="n">
        <f aca="false">IF(Q111&gt;0,Q110/Q111,0)</f>
        <v>0.0688822283941632</v>
      </c>
    </row>
    <row r="113" customFormat="false" ht="15" hidden="false" customHeight="false" outlineLevel="0" collapsed="false">
      <c r="A113" s="45" t="s">
        <v>577</v>
      </c>
      <c r="B113" s="45" t="s">
        <v>578</v>
      </c>
      <c r="C113" s="101" t="n">
        <f aca="false">C91/(C111*1000)</f>
        <v>3.24645099079574</v>
      </c>
      <c r="D113" s="101" t="n">
        <f aca="false">D91/(D111*1000)</f>
        <v>0.930481562419</v>
      </c>
      <c r="E113" s="101" t="n">
        <f aca="false">E91/(E111*1000)</f>
        <v>0.17001374689251</v>
      </c>
      <c r="F113" s="101" t="n">
        <f aca="false">F91/(F111*1000)</f>
        <v>16.097973448591</v>
      </c>
      <c r="G113" s="101" t="n">
        <f aca="false">G91/(G111*1000)</f>
        <v>4.5738868332734</v>
      </c>
      <c r="H113" s="101" t="n">
        <f aca="false">H91/(H111*1000)</f>
        <v>0.886497510374152</v>
      </c>
      <c r="I113" s="101" t="n">
        <f aca="false">I91/(I111*1000)</f>
        <v>22.9131738866806</v>
      </c>
      <c r="J113" s="101" t="n">
        <f aca="false">J91/(J111*1000)</f>
        <v>6.51027687947674</v>
      </c>
      <c r="K113" s="101" t="n">
        <f aca="false">K91/(K111*1000)</f>
        <v>1.04950690950785</v>
      </c>
      <c r="L113" s="101" t="n">
        <f aca="false">L91/(L111*1000)</f>
        <v>33.8096284936322</v>
      </c>
      <c r="M113" s="101" t="n">
        <f aca="false">M91/(M111*1000)</f>
        <v>10.2604050812279</v>
      </c>
      <c r="N113" s="101" t="n">
        <f aca="false">N91/(N111*1000)</f>
        <v>2.22581564461845</v>
      </c>
      <c r="O113" s="101" t="n">
        <f aca="false">O91/(O111*1000)</f>
        <v>54.0057923614764</v>
      </c>
      <c r="P113" s="101" t="n">
        <f aca="false">P91/(P111*1000)</f>
        <v>16.6694450395103</v>
      </c>
      <c r="Q113" s="101" t="n">
        <f aca="false">Q91/(Q111*1000)</f>
        <v>3.8235994609874</v>
      </c>
    </row>
    <row r="114" customFormat="false" ht="15" hidden="false" customHeight="false" outlineLevel="0" collapsed="false">
      <c r="A114" s="44" t="s">
        <v>579</v>
      </c>
      <c r="B114" s="45" t="s">
        <v>572</v>
      </c>
      <c r="C114" s="96" t="n">
        <f aca="false">IF(C92&gt;0,C111*1000*(1-C90)/C92,0)</f>
        <v>1.72221554579498</v>
      </c>
      <c r="D114" s="96" t="n">
        <f aca="false">IF(D92&gt;0,D111*1000*(1-D90)/D92,0)</f>
        <v>5.9881414665928</v>
      </c>
      <c r="E114" s="96" t="n">
        <f aca="false">IF(E92&gt;0,E111*1000*(1-E90)/E92,0)</f>
        <v>40.7617989735081</v>
      </c>
      <c r="F114" s="96" t="n">
        <f aca="false">IF(F92&gt;0,F111*1000*(1-F90)/F92,0)</f>
        <v>0.412730817841754</v>
      </c>
      <c r="G114" s="96" t="n">
        <f aca="false">IF(G92&gt;0,G111*1000*(1-G90)/G92,0)</f>
        <v>1.45421056131589</v>
      </c>
      <c r="H114" s="96" t="n">
        <f aca="false">IF(H92&gt;0,H111*1000*(1-H90)/H92,0)</f>
        <v>8.45545402632138</v>
      </c>
      <c r="I114" s="96" t="n">
        <f aca="false">IF(I92&gt;0,I111*1000*(1-I90)/I92,0)</f>
        <v>0.28996985663754</v>
      </c>
      <c r="J114" s="96" t="n">
        <f aca="false">IF(J92&gt;0,J111*1000*(1-J90)/J92,0)</f>
        <v>1.02167613795014</v>
      </c>
      <c r="K114" s="96" t="n">
        <f aca="false">IF(K92&gt;0,K111*1000*(1-K90)/K92,0)</f>
        <v>7.38330364683301</v>
      </c>
      <c r="L114" s="96" t="n">
        <f aca="false">IF(L92&gt;0,L111*1000*(1-L90)/L92,0)</f>
        <v>0.193184295475201</v>
      </c>
      <c r="M114" s="96" t="n">
        <f aca="false">IF(M92&gt;0,M111*1000*(1-M90)/M92,0)</f>
        <v>0.620981954705848</v>
      </c>
      <c r="N114" s="96" t="n">
        <f aca="false">IF(N92&gt;0,N111*1000*(1-N90)/N92,0)</f>
        <v>3.19689686596779</v>
      </c>
      <c r="O114" s="96" t="n">
        <f aca="false">IF(O92&gt;0,O111*1000*(1-O90)/O92,0)</f>
        <v>0.120385640498459</v>
      </c>
      <c r="P114" s="96" t="n">
        <f aca="false">IF(P92&gt;0,P111*1000*(1-P90)/P92,0)</f>
        <v>0.377587132926836</v>
      </c>
      <c r="Q114" s="96" t="n">
        <f aca="false">IF(Q92&gt;0,Q111*1000*(1-Q90)/Q92,0)</f>
        <v>1.81738825239504</v>
      </c>
    </row>
    <row r="115" customFormat="false" ht="15" hidden="false" customHeight="false" outlineLevel="0" collapsed="false">
      <c r="A115" s="72" t="s">
        <v>580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</row>
    <row r="116" customFormat="false" ht="15" hidden="false" customHeight="false" outlineLevel="0" collapsed="false">
      <c r="A116" s="45" t="s">
        <v>581</v>
      </c>
      <c r="B116" s="45" t="s">
        <v>49</v>
      </c>
      <c r="C116" s="88" t="n">
        <f aca="false">IF(INDEX($C$94:$Q$94,9+C$7)&gt;0,C94/INDEX($C$94:$Q$94,9+C$7),0)</f>
        <v>0.0960418492766093</v>
      </c>
      <c r="D116" s="88" t="n">
        <f aca="false">IF(INDEX($C$94:$Q$94,9+D$7)&gt;0,D94/INDEX($C$94:$Q$94,9+D$7),0)</f>
        <v>0.0907058560273597</v>
      </c>
      <c r="E116" s="88" t="n">
        <f aca="false">IF(INDEX($C$94:$Q$94,9+E$7)&gt;0,E94/INDEX($C$94:$Q$94,9+E$7),0)</f>
        <v>0.0763988655146992</v>
      </c>
      <c r="F116" s="88" t="n">
        <f aca="false">IF(INDEX($C$94:$Q$94,9+F$7)&gt;0,F94/INDEX($C$94:$Q$94,9+F$7),0)</f>
        <v>0.476175109927189</v>
      </c>
      <c r="G116" s="88" t="n">
        <f aca="false">IF(INDEX($C$94:$Q$94,9+G$7)&gt;0,G94/INDEX($C$94:$Q$94,9+G$7),0)</f>
        <v>0.445817170023996</v>
      </c>
      <c r="H116" s="88" t="n">
        <f aca="false">IF(INDEX($C$94:$Q$94,9+H$7)&gt;0,H94/INDEX($C$94:$Q$94,9+H$7),0)</f>
        <v>0.398312753585741</v>
      </c>
      <c r="I116" s="88" t="n">
        <f aca="false">IF(INDEX($C$94:$Q$94,9+I$7)&gt;0,I94/INDEX($C$94:$Q$94,9+I$7),0)</f>
        <v>0.677822752224648</v>
      </c>
      <c r="J116" s="88" t="n">
        <f aca="false">IF(INDEX($C$94:$Q$94,9+J$7)&gt;0,J94/INDEX($C$94:$Q$94,9+J$7),0)</f>
        <v>0.634609022762394</v>
      </c>
      <c r="K116" s="88" t="n">
        <f aca="false">IF(INDEX($C$94:$Q$94,9+K$7)&gt;0,K94/INDEX($C$94:$Q$94,9+K$7),0)</f>
        <v>0.471593056135159</v>
      </c>
      <c r="L116" s="88" t="n">
        <f aca="false">IF(INDEX($C$94:$Q$94,9+L$7)&gt;0,L94/INDEX($C$94:$Q$94,9+L$7),0)</f>
        <v>1</v>
      </c>
      <c r="M116" s="88" t="n">
        <f aca="false">IF(INDEX($C$94:$Q$94,9+M$7)&gt;0,M94/INDEX($C$94:$Q$94,9+M$7),0)</f>
        <v>1</v>
      </c>
      <c r="N116" s="88" t="n">
        <f aca="false">IF(INDEX($C$94:$Q$94,9+N$7)&gt;0,N94/INDEX($C$94:$Q$94,9+N$7),0)</f>
        <v>1</v>
      </c>
      <c r="O116" s="88" t="n">
        <f aca="false">IF(INDEX($C$94:$Q$94,9+O$7)&gt;0,O94/INDEX($C$94:$Q$94,9+O$7),0)</f>
        <v>1.59734252962348</v>
      </c>
      <c r="P116" s="88" t="n">
        <f aca="false">IF(INDEX($C$94:$Q$94,9+P$7)&gt;0,P94/INDEX($C$94:$Q$94,9+P$7),0)</f>
        <v>1.62463103710362</v>
      </c>
      <c r="Q116" s="88" t="n">
        <f aca="false">IF(INDEX($C$94:$Q$94,9+Q$7)&gt;0,Q94/INDEX($C$94:$Q$94,9+Q$7),0)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1" t="s">
        <v>582</v>
      </c>
    </row>
    <row r="2" customFormat="false" ht="15" hidden="false" customHeight="false" outlineLevel="0" collapsed="false">
      <c r="A2" s="54" t="s">
        <v>583</v>
      </c>
    </row>
    <row r="3" customFormat="false" ht="43.5" hidden="false" customHeight="true" outlineLevel="0" collapsed="false">
      <c r="A3" s="9" t="s">
        <v>584</v>
      </c>
      <c r="C3" s="102" t="s">
        <v>31</v>
      </c>
      <c r="D3" s="102"/>
      <c r="E3" s="103" t="s">
        <v>585</v>
      </c>
      <c r="F3" s="103"/>
      <c r="G3" s="103" t="s">
        <v>586</v>
      </c>
      <c r="H3" s="103"/>
      <c r="I3" s="103" t="s">
        <v>587</v>
      </c>
      <c r="J3" s="103"/>
      <c r="K3" s="103" t="s">
        <v>588</v>
      </c>
      <c r="L3" s="103"/>
      <c r="M3" s="103" t="s">
        <v>589</v>
      </c>
      <c r="N3" s="103"/>
      <c r="O3" s="103" t="s">
        <v>590</v>
      </c>
      <c r="P3" s="103"/>
      <c r="Q3" s="103" t="s">
        <v>591</v>
      </c>
      <c r="R3" s="103"/>
      <c r="S3" s="103" t="s">
        <v>592</v>
      </c>
      <c r="T3" s="103"/>
      <c r="U3" s="103" t="s">
        <v>593</v>
      </c>
      <c r="V3" s="103"/>
      <c r="W3" s="103" t="s">
        <v>594</v>
      </c>
      <c r="X3" s="103"/>
      <c r="Y3" s="103" t="s">
        <v>595</v>
      </c>
      <c r="Z3" s="103"/>
      <c r="AA3" s="102" t="s">
        <v>596</v>
      </c>
      <c r="AB3" s="102"/>
      <c r="AC3" s="103" t="s">
        <v>597</v>
      </c>
      <c r="AD3" s="103"/>
      <c r="AE3" s="103" t="s">
        <v>598</v>
      </c>
      <c r="AF3" s="103"/>
      <c r="AG3" s="103" t="s">
        <v>599</v>
      </c>
      <c r="AH3" s="103"/>
    </row>
    <row r="4" customFormat="false" ht="15" hidden="false" customHeight="false" outlineLevel="0" collapsed="false">
      <c r="A4" s="9" t="s">
        <v>110</v>
      </c>
      <c r="C4" s="62" t="str">
        <f aca="false">INDEX(Spec_Rack!$C$4:$G$4,C6)</f>
        <v>VR200 NVL72</v>
      </c>
      <c r="D4" s="62" t="str">
        <f aca="false">INDEX(Spec_Rack!$C$4:$G$4,D6)</f>
        <v>GB300 NVL72</v>
      </c>
      <c r="E4" s="62" t="str">
        <f aca="false">INDEX(Spec_Rack!$C$4:$G$4,E6)</f>
        <v>VR200 NVL72</v>
      </c>
      <c r="F4" s="62" t="str">
        <f aca="false">INDEX(Spec_Rack!$C$4:$G$4,F6)</f>
        <v>GB300 NVL72</v>
      </c>
      <c r="G4" s="62" t="str">
        <f aca="false">INDEX(Spec_Rack!$C$4:$G$4,G6)</f>
        <v>VR200 NVL72</v>
      </c>
      <c r="H4" s="62" t="str">
        <f aca="false">INDEX(Spec_Rack!$C$4:$G$4,H6)</f>
        <v>GB300 NVL72</v>
      </c>
      <c r="I4" s="62" t="str">
        <f aca="false">INDEX(Spec_Rack!$C$4:$G$4,I6)</f>
        <v>VR200 NVL72</v>
      </c>
      <c r="J4" s="62" t="str">
        <f aca="false">INDEX(Spec_Rack!$C$4:$G$4,J6)</f>
        <v>GB300 NVL72</v>
      </c>
      <c r="K4" s="62" t="str">
        <f aca="false">INDEX(Spec_Rack!$C$4:$G$4,K6)</f>
        <v>VR200 NVL72</v>
      </c>
      <c r="L4" s="62" t="str">
        <f aca="false">INDEX(Spec_Rack!$C$4:$G$4,L6)</f>
        <v>GB300 NVL72</v>
      </c>
      <c r="M4" s="62" t="str">
        <f aca="false">INDEX(Spec_Rack!$C$4:$G$4,M6)</f>
        <v>VR200 NVL72</v>
      </c>
      <c r="N4" s="62" t="str">
        <f aca="false">INDEX(Spec_Rack!$C$4:$G$4,N6)</f>
        <v>GB300 NVL72</v>
      </c>
      <c r="O4" s="62" t="str">
        <f aca="false">INDEX(Spec_Rack!$C$4:$G$4,O6)</f>
        <v>VR200 NVL72</v>
      </c>
      <c r="P4" s="62" t="str">
        <f aca="false">INDEX(Spec_Rack!$C$4:$G$4,P6)</f>
        <v>GB300 NVL72</v>
      </c>
      <c r="Q4" s="62" t="str">
        <f aca="false">INDEX(Spec_Rack!$C$4:$G$4,Q6)</f>
        <v>VR200 NVL72</v>
      </c>
      <c r="R4" s="62" t="str">
        <f aca="false">INDEX(Spec_Rack!$C$4:$G$4,R6)</f>
        <v>GB300 NVL72</v>
      </c>
      <c r="S4" s="62" t="str">
        <f aca="false">INDEX(Spec_Rack!$C$4:$G$4,S6)</f>
        <v>VR200 NVL72</v>
      </c>
      <c r="T4" s="62" t="str">
        <f aca="false">INDEX(Spec_Rack!$C$4:$G$4,T6)</f>
        <v>GB300 NVL72</v>
      </c>
      <c r="U4" s="62" t="str">
        <f aca="false">INDEX(Spec_Rack!$C$4:$G$4,U6)</f>
        <v>VR200 NVL72</v>
      </c>
      <c r="V4" s="62" t="str">
        <f aca="false">INDEX(Spec_Rack!$C$4:$G$4,V6)</f>
        <v>GB300 NVL72</v>
      </c>
      <c r="W4" s="62" t="str">
        <f aca="false">INDEX(Spec_Rack!$C$4:$G$4,W6)</f>
        <v>VR200 NVL72</v>
      </c>
      <c r="X4" s="62" t="str">
        <f aca="false">INDEX(Spec_Rack!$C$4:$G$4,X6)</f>
        <v>GB300 NVL72</v>
      </c>
      <c r="Y4" s="62" t="str">
        <f aca="false">INDEX(Spec_Rack!$C$4:$G$4,Y6)</f>
        <v>VR200 NVL72</v>
      </c>
      <c r="Z4" s="62" t="str">
        <f aca="false">INDEX(Spec_Rack!$C$4:$G$4,Z6)</f>
        <v>GB300 NVL72</v>
      </c>
      <c r="AA4" s="62" t="str">
        <f aca="false">INDEX(Spec_Rack!$C$4:$G$4,AA6)</f>
        <v>VR200 NVL72</v>
      </c>
      <c r="AB4" s="62" t="str">
        <f aca="false">INDEX(Spec_Rack!$C$4:$G$4,AB6)</f>
        <v>GB300 NVL72</v>
      </c>
      <c r="AC4" s="62" t="str">
        <f aca="false">INDEX(Spec_Rack!$C$4:$G$4,AC6)</f>
        <v>VR200 NVL72</v>
      </c>
      <c r="AD4" s="62" t="str">
        <f aca="false">INDEX(Spec_Rack!$C$4:$G$4,AD6)</f>
        <v>GB300 NVL72</v>
      </c>
      <c r="AE4" s="62" t="str">
        <f aca="false">INDEX(Spec_Rack!$C$4:$G$4,AE6)</f>
        <v>VR200 NVL72</v>
      </c>
      <c r="AF4" s="62" t="str">
        <f aca="false">INDEX(Spec_Rack!$C$4:$G$4,AF6)</f>
        <v>GB300 NVL72</v>
      </c>
      <c r="AG4" s="62" t="str">
        <f aca="false">INDEX(Spec_Rack!$C$4:$G$4,AG6)</f>
        <v>VR200 NVL72</v>
      </c>
      <c r="AH4" s="62" t="str">
        <f aca="false">INDEX(Spec_Rack!$C$4:$G$4,AH6)</f>
        <v>GB300 NVL72</v>
      </c>
    </row>
    <row r="5" customFormat="false" ht="15" hidden="false" customHeight="false" outlineLevel="0" collapsed="false">
      <c r="A5" s="9" t="s">
        <v>484</v>
      </c>
      <c r="C5" s="62" t="str">
        <f aca="false">INDEX(Arch!$C$4:$E$4,C7)</f>
        <v>Sol（中層）</v>
      </c>
      <c r="D5" s="62" t="str">
        <f aca="false">INDEX(Arch!$C$4:$E$4,D7)</f>
        <v>Sol（中層）</v>
      </c>
      <c r="E5" s="62" t="str">
        <f aca="false">INDEX(Arch!$C$4:$E$4,E7)</f>
        <v>Sol（中層）</v>
      </c>
      <c r="F5" s="62" t="str">
        <f aca="false">INDEX(Arch!$C$4:$E$4,F7)</f>
        <v>Sol（中層）</v>
      </c>
      <c r="G5" s="62" t="str">
        <f aca="false">INDEX(Arch!$C$4:$E$4,G7)</f>
        <v>Sol（中層）</v>
      </c>
      <c r="H5" s="62" t="str">
        <f aca="false">INDEX(Arch!$C$4:$E$4,H7)</f>
        <v>Sol（中層）</v>
      </c>
      <c r="I5" s="62" t="str">
        <f aca="false">INDEX(Arch!$C$4:$E$4,I7)</f>
        <v>Sol（中層）</v>
      </c>
      <c r="J5" s="62" t="str">
        <f aca="false">INDEX(Arch!$C$4:$E$4,J7)</f>
        <v>Sol（中層）</v>
      </c>
      <c r="K5" s="62" t="str">
        <f aca="false">INDEX(Arch!$C$4:$E$4,K7)</f>
        <v>Sol（中層）</v>
      </c>
      <c r="L5" s="62" t="str">
        <f aca="false">INDEX(Arch!$C$4:$E$4,L7)</f>
        <v>Sol（中層）</v>
      </c>
      <c r="M5" s="62" t="str">
        <f aca="false">INDEX(Arch!$C$4:$E$4,M7)</f>
        <v>Sol（中層）</v>
      </c>
      <c r="N5" s="62" t="str">
        <f aca="false">INDEX(Arch!$C$4:$E$4,N7)</f>
        <v>Sol（中層）</v>
      </c>
      <c r="O5" s="62" t="str">
        <f aca="false">INDEX(Arch!$C$4:$E$4,O7)</f>
        <v>Sol（中層）</v>
      </c>
      <c r="P5" s="62" t="str">
        <f aca="false">INDEX(Arch!$C$4:$E$4,P7)</f>
        <v>Sol（中層）</v>
      </c>
      <c r="Q5" s="62" t="str">
        <f aca="false">INDEX(Arch!$C$4:$E$4,Q7)</f>
        <v>Sol（中層）</v>
      </c>
      <c r="R5" s="62" t="str">
        <f aca="false">INDEX(Arch!$C$4:$E$4,R7)</f>
        <v>Sol（中層）</v>
      </c>
      <c r="S5" s="62" t="str">
        <f aca="false">INDEX(Arch!$C$4:$E$4,S7)</f>
        <v>Sol（中層）</v>
      </c>
      <c r="T5" s="62" t="str">
        <f aca="false">INDEX(Arch!$C$4:$E$4,T7)</f>
        <v>Sol（中層）</v>
      </c>
      <c r="U5" s="62" t="str">
        <f aca="false">INDEX(Arch!$C$4:$E$4,U7)</f>
        <v>Sol（中層）</v>
      </c>
      <c r="V5" s="62" t="str">
        <f aca="false">INDEX(Arch!$C$4:$E$4,V7)</f>
        <v>Sol（中層）</v>
      </c>
      <c r="W5" s="62" t="str">
        <f aca="false">INDEX(Arch!$C$4:$E$4,W7)</f>
        <v>Sol（中層）</v>
      </c>
      <c r="X5" s="62" t="str">
        <f aca="false">INDEX(Arch!$C$4:$E$4,X7)</f>
        <v>Sol（中層）</v>
      </c>
      <c r="Y5" s="62" t="str">
        <f aca="false">INDEX(Arch!$C$4:$E$4,Y7)</f>
        <v>Sol（中層）</v>
      </c>
      <c r="Z5" s="62" t="str">
        <f aca="false">INDEX(Arch!$C$4:$E$4,Z7)</f>
        <v>Sol（中層）</v>
      </c>
      <c r="AA5" s="62" t="str">
        <f aca="false">INDEX(Arch!$C$4:$E$4,AA7)</f>
        <v>Sol（中層）</v>
      </c>
      <c r="AB5" s="62" t="str">
        <f aca="false">INDEX(Arch!$C$4:$E$4,AB7)</f>
        <v>Sol（中層）</v>
      </c>
      <c r="AC5" s="62" t="str">
        <f aca="false">INDEX(Arch!$C$4:$E$4,AC7)</f>
        <v>Astra（頂層）</v>
      </c>
      <c r="AD5" s="62" t="str">
        <f aca="false">INDEX(Arch!$C$4:$E$4,AD7)</f>
        <v>Astra（頂層）</v>
      </c>
      <c r="AE5" s="62" t="str">
        <f aca="false">INDEX(Arch!$C$4:$E$4,AE7)</f>
        <v>Astra（頂層）</v>
      </c>
      <c r="AF5" s="62" t="str">
        <f aca="false">INDEX(Arch!$C$4:$E$4,AF7)</f>
        <v>Astra（頂層）</v>
      </c>
      <c r="AG5" s="62" t="str">
        <f aca="false">INDEX(Arch!$C$4:$E$4,AG7)</f>
        <v>Astra（頂層）</v>
      </c>
      <c r="AH5" s="62" t="str">
        <f aca="false">INDEX(Arch!$C$4:$E$4,AH7)</f>
        <v>Astra（頂層）</v>
      </c>
    </row>
    <row r="6" customFormat="false" ht="15" hidden="false" customHeight="false" outlineLevel="0" collapsed="false">
      <c r="A6" s="9" t="s">
        <v>349</v>
      </c>
      <c r="C6" s="48" t="n">
        <v>4</v>
      </c>
      <c r="D6" s="48" t="n">
        <v>3</v>
      </c>
      <c r="E6" s="48" t="n">
        <v>4</v>
      </c>
      <c r="F6" s="48" t="n">
        <v>3</v>
      </c>
      <c r="G6" s="48" t="n">
        <v>4</v>
      </c>
      <c r="H6" s="48" t="n">
        <v>3</v>
      </c>
      <c r="I6" s="48" t="n">
        <v>4</v>
      </c>
      <c r="J6" s="48" t="n">
        <v>3</v>
      </c>
      <c r="K6" s="48" t="n">
        <v>4</v>
      </c>
      <c r="L6" s="48" t="n">
        <v>3</v>
      </c>
      <c r="M6" s="48" t="n">
        <v>4</v>
      </c>
      <c r="N6" s="48" t="n">
        <v>3</v>
      </c>
      <c r="O6" s="48" t="n">
        <v>4</v>
      </c>
      <c r="P6" s="48" t="n">
        <v>3</v>
      </c>
      <c r="Q6" s="48" t="n">
        <v>4</v>
      </c>
      <c r="R6" s="48" t="n">
        <v>3</v>
      </c>
      <c r="S6" s="48" t="n">
        <v>4</v>
      </c>
      <c r="T6" s="48" t="n">
        <v>3</v>
      </c>
      <c r="U6" s="48" t="n">
        <v>4</v>
      </c>
      <c r="V6" s="48" t="n">
        <v>3</v>
      </c>
      <c r="W6" s="48" t="n">
        <v>4</v>
      </c>
      <c r="X6" s="48" t="n">
        <v>3</v>
      </c>
      <c r="Y6" s="48" t="n">
        <v>4</v>
      </c>
      <c r="Z6" s="48" t="n">
        <v>3</v>
      </c>
      <c r="AA6" s="48" t="n">
        <v>4</v>
      </c>
      <c r="AB6" s="48" t="n">
        <v>3</v>
      </c>
      <c r="AC6" s="48" t="n">
        <v>4</v>
      </c>
      <c r="AD6" s="48" t="n">
        <v>3</v>
      </c>
      <c r="AE6" s="48" t="n">
        <v>4</v>
      </c>
      <c r="AF6" s="48" t="n">
        <v>3</v>
      </c>
      <c r="AG6" s="48" t="n">
        <v>4</v>
      </c>
      <c r="AH6" s="48" t="n">
        <v>3</v>
      </c>
    </row>
    <row r="7" customFormat="false" ht="15" hidden="false" customHeight="false" outlineLevel="0" collapsed="false">
      <c r="A7" s="9" t="s">
        <v>485</v>
      </c>
      <c r="C7" s="48" t="n">
        <v>2</v>
      </c>
      <c r="D7" s="48" t="n">
        <v>2</v>
      </c>
      <c r="E7" s="48" t="n">
        <v>2</v>
      </c>
      <c r="F7" s="48" t="n">
        <v>2</v>
      </c>
      <c r="G7" s="48" t="n">
        <v>2</v>
      </c>
      <c r="H7" s="48" t="n">
        <v>2</v>
      </c>
      <c r="I7" s="48" t="n">
        <v>2</v>
      </c>
      <c r="J7" s="48" t="n">
        <v>2</v>
      </c>
      <c r="K7" s="48" t="n">
        <v>2</v>
      </c>
      <c r="L7" s="48" t="n">
        <v>2</v>
      </c>
      <c r="M7" s="48" t="n">
        <v>2</v>
      </c>
      <c r="N7" s="48" t="n">
        <v>2</v>
      </c>
      <c r="O7" s="48" t="n">
        <v>2</v>
      </c>
      <c r="P7" s="48" t="n">
        <v>2</v>
      </c>
      <c r="Q7" s="48" t="n">
        <v>2</v>
      </c>
      <c r="R7" s="48" t="n">
        <v>2</v>
      </c>
      <c r="S7" s="48" t="n">
        <v>2</v>
      </c>
      <c r="T7" s="48" t="n">
        <v>2</v>
      </c>
      <c r="U7" s="48" t="n">
        <v>2</v>
      </c>
      <c r="V7" s="48" t="n">
        <v>2</v>
      </c>
      <c r="W7" s="48" t="n">
        <v>2</v>
      </c>
      <c r="X7" s="48" t="n">
        <v>2</v>
      </c>
      <c r="Y7" s="48" t="n">
        <v>2</v>
      </c>
      <c r="Z7" s="48" t="n">
        <v>2</v>
      </c>
      <c r="AA7" s="48" t="n">
        <v>2</v>
      </c>
      <c r="AB7" s="48" t="n">
        <v>2</v>
      </c>
      <c r="AC7" s="48" t="n">
        <v>3</v>
      </c>
      <c r="AD7" s="48" t="n">
        <v>3</v>
      </c>
      <c r="AE7" s="48" t="n">
        <v>3</v>
      </c>
      <c r="AF7" s="48" t="n">
        <v>3</v>
      </c>
      <c r="AG7" s="48" t="n">
        <v>3</v>
      </c>
      <c r="AH7" s="48" t="n">
        <v>3</v>
      </c>
    </row>
    <row r="9" customFormat="false" ht="15" hidden="false" customHeight="false" outlineLevel="0" collapsed="false">
      <c r="A9" s="72" t="s">
        <v>486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</row>
    <row r="10" customFormat="false" ht="15" hidden="false" customHeight="false" outlineLevel="0" collapsed="false">
      <c r="A10" s="44" t="s">
        <v>369</v>
      </c>
      <c r="B10" s="45" t="s">
        <v>370</v>
      </c>
      <c r="C10" s="75" t="n">
        <f aca="false">INDEX(Spec_Rack!$C$35:$G$35,C$6)</f>
        <v>35</v>
      </c>
      <c r="D10" s="75" t="n">
        <f aca="false">INDEX(Spec_Rack!$C$35:$G$35,D$6)</f>
        <v>15</v>
      </c>
      <c r="E10" s="75" t="n">
        <f aca="false">INDEX(Spec_Rack!$C$35:$G$35,E$6)</f>
        <v>35</v>
      </c>
      <c r="F10" s="75" t="n">
        <f aca="false">INDEX(Spec_Rack!$C$35:$G$35,F$6)</f>
        <v>15</v>
      </c>
      <c r="G10" s="75" t="n">
        <f aca="false">INDEX(Spec_Rack!$C$35:$G$35,G$6)</f>
        <v>35</v>
      </c>
      <c r="H10" s="75" t="n">
        <f aca="false">INDEX(Spec_Rack!$C$35:$G$35,H$6)</f>
        <v>15</v>
      </c>
      <c r="I10" s="75" t="n">
        <f aca="false">INDEX(Spec_Rack!$C$35:$G$35,I$6)</f>
        <v>35</v>
      </c>
      <c r="J10" s="75" t="n">
        <f aca="false">INDEX(Spec_Rack!$C$35:$G$35,J$6)</f>
        <v>15</v>
      </c>
      <c r="K10" s="75" t="n">
        <f aca="false">INDEX(Spec_Rack!$C$35:$G$35,K$6)</f>
        <v>35</v>
      </c>
      <c r="L10" s="75" t="n">
        <f aca="false">INDEX(Spec_Rack!$C$35:$G$35,L$6)</f>
        <v>15</v>
      </c>
      <c r="M10" s="104" t="n">
        <v>50</v>
      </c>
      <c r="N10" s="75" t="n">
        <f aca="false">INDEX(Spec_Rack!$C$35:$G$35,N$6)</f>
        <v>15</v>
      </c>
      <c r="O10" s="75" t="n">
        <f aca="false">INDEX(Spec_Rack!$C$35:$G$35,O$6)</f>
        <v>35</v>
      </c>
      <c r="P10" s="75" t="n">
        <f aca="false">INDEX(Spec_Rack!$C$35:$G$35,P$6)</f>
        <v>15</v>
      </c>
      <c r="Q10" s="75" t="n">
        <f aca="false">INDEX(Spec_Rack!$C$35:$G$35,Q$6)</f>
        <v>35</v>
      </c>
      <c r="R10" s="75" t="n">
        <f aca="false">INDEX(Spec_Rack!$C$35:$G$35,R$6)</f>
        <v>15</v>
      </c>
      <c r="S10" s="75" t="n">
        <f aca="false">INDEX(Spec_Rack!$C$35:$G$35,S$6)</f>
        <v>35</v>
      </c>
      <c r="T10" s="75" t="n">
        <f aca="false">INDEX(Spec_Rack!$C$35:$G$35,T$6)</f>
        <v>15</v>
      </c>
      <c r="U10" s="75" t="n">
        <f aca="false">INDEX(Spec_Rack!$C$35:$G$35,U$6)</f>
        <v>35</v>
      </c>
      <c r="V10" s="75" t="n">
        <f aca="false">INDEX(Spec_Rack!$C$35:$G$35,V$6)</f>
        <v>15</v>
      </c>
      <c r="W10" s="75" t="n">
        <f aca="false">INDEX(Spec_Rack!$C$35:$G$35,W$6)</f>
        <v>35</v>
      </c>
      <c r="X10" s="75" t="n">
        <f aca="false">INDEX(Spec_Rack!$C$35:$G$35,X$6)</f>
        <v>15</v>
      </c>
      <c r="Y10" s="75" t="n">
        <f aca="false">INDEX(Spec_Rack!$C$35:$G$35,Y$6)</f>
        <v>35</v>
      </c>
      <c r="Z10" s="75" t="n">
        <f aca="false">INDEX(Spec_Rack!$C$35:$G$35,Z$6)</f>
        <v>15</v>
      </c>
      <c r="AA10" s="75" t="n">
        <f aca="false">INDEX(Spec_Rack!$C$35:$G$35,AA$6)</f>
        <v>35</v>
      </c>
      <c r="AB10" s="75" t="n">
        <f aca="false">INDEX(Spec_Rack!$C$35:$G$35,AB$6)</f>
        <v>15</v>
      </c>
      <c r="AC10" s="75" t="n">
        <f aca="false">INDEX(Spec_Rack!$C$35:$G$35,AC$6)</f>
        <v>35</v>
      </c>
      <c r="AD10" s="75" t="n">
        <f aca="false">INDEX(Spec_Rack!$C$35:$G$35,AD$6)</f>
        <v>15</v>
      </c>
      <c r="AE10" s="75" t="n">
        <f aca="false">INDEX(Spec_Rack!$C$35:$G$35,AE$6)</f>
        <v>35</v>
      </c>
      <c r="AF10" s="75" t="n">
        <f aca="false">INDEX(Spec_Rack!$C$35:$G$35,AF$6)</f>
        <v>15</v>
      </c>
      <c r="AG10" s="75" t="n">
        <f aca="false">INDEX(Spec_Rack!$C$35:$G$35,AG$6)</f>
        <v>35</v>
      </c>
      <c r="AH10" s="75" t="n">
        <f aca="false">INDEX(Spec_Rack!$C$35:$G$35,AH$6)</f>
        <v>15</v>
      </c>
    </row>
    <row r="11" customFormat="false" ht="15" hidden="false" customHeight="false" outlineLevel="0" collapsed="false">
      <c r="A11" s="45" t="s">
        <v>371</v>
      </c>
      <c r="B11" s="45" t="s">
        <v>487</v>
      </c>
      <c r="C11" s="76" t="n">
        <f aca="false">INDEX(Spec_Rack!$C$25:$G$25,C$6)</f>
        <v>288</v>
      </c>
      <c r="D11" s="76" t="n">
        <f aca="false">INDEX(Spec_Rack!$C$25:$G$25,D$6)</f>
        <v>288</v>
      </c>
      <c r="E11" s="76" t="n">
        <f aca="false">INDEX(Spec_Rack!$C$25:$G$25,E$6)</f>
        <v>288</v>
      </c>
      <c r="F11" s="76" t="n">
        <f aca="false">INDEX(Spec_Rack!$C$25:$G$25,F$6)</f>
        <v>288</v>
      </c>
      <c r="G11" s="76" t="n">
        <f aca="false">INDEX(Spec_Rack!$C$25:$G$25,G$6)</f>
        <v>288</v>
      </c>
      <c r="H11" s="76" t="n">
        <f aca="false">INDEX(Spec_Rack!$C$25:$G$25,H$6)</f>
        <v>288</v>
      </c>
      <c r="I11" s="76" t="n">
        <f aca="false">INDEX(Spec_Rack!$C$25:$G$25,I$6)</f>
        <v>288</v>
      </c>
      <c r="J11" s="76" t="n">
        <f aca="false">INDEX(Spec_Rack!$C$25:$G$25,J$6)</f>
        <v>288</v>
      </c>
      <c r="K11" s="76" t="n">
        <f aca="false">INDEX(Spec_Rack!$C$25:$G$25,K$6)</f>
        <v>288</v>
      </c>
      <c r="L11" s="76" t="n">
        <f aca="false">INDEX(Spec_Rack!$C$25:$G$25,L$6)</f>
        <v>288</v>
      </c>
      <c r="M11" s="76" t="n">
        <f aca="false">INDEX(Spec_Rack!$C$25:$G$25,M$6)</f>
        <v>288</v>
      </c>
      <c r="N11" s="76" t="n">
        <f aca="false">INDEX(Spec_Rack!$C$25:$G$25,N$6)</f>
        <v>288</v>
      </c>
      <c r="O11" s="76" t="n">
        <f aca="false">INDEX(Spec_Rack!$C$25:$G$25,O$6)</f>
        <v>288</v>
      </c>
      <c r="P11" s="76" t="n">
        <f aca="false">INDEX(Spec_Rack!$C$25:$G$25,P$6)</f>
        <v>288</v>
      </c>
      <c r="Q11" s="76" t="n">
        <f aca="false">INDEX(Spec_Rack!$C$25:$G$25,Q$6)</f>
        <v>288</v>
      </c>
      <c r="R11" s="76" t="n">
        <f aca="false">INDEX(Spec_Rack!$C$25:$G$25,R$6)</f>
        <v>288</v>
      </c>
      <c r="S11" s="76" t="n">
        <f aca="false">INDEX(Spec_Rack!$C$25:$G$25,S$6)</f>
        <v>288</v>
      </c>
      <c r="T11" s="76" t="n">
        <f aca="false">INDEX(Spec_Rack!$C$25:$G$25,T$6)</f>
        <v>288</v>
      </c>
      <c r="U11" s="76" t="n">
        <f aca="false">INDEX(Spec_Rack!$C$25:$G$25,U$6)</f>
        <v>288</v>
      </c>
      <c r="V11" s="76" t="n">
        <f aca="false">INDEX(Spec_Rack!$C$25:$G$25,V$6)</f>
        <v>288</v>
      </c>
      <c r="W11" s="76" t="n">
        <f aca="false">INDEX(Spec_Rack!$C$25:$G$25,W$6)</f>
        <v>288</v>
      </c>
      <c r="X11" s="76" t="n">
        <f aca="false">INDEX(Spec_Rack!$C$25:$G$25,X$6)</f>
        <v>288</v>
      </c>
      <c r="Y11" s="76" t="n">
        <f aca="false">INDEX(Spec_Rack!$C$25:$G$25,Y$6)</f>
        <v>288</v>
      </c>
      <c r="Z11" s="76" t="n">
        <f aca="false">INDEX(Spec_Rack!$C$25:$G$25,Z$6)</f>
        <v>288</v>
      </c>
      <c r="AA11" s="76" t="n">
        <f aca="false">INDEX(Spec_Rack!$C$25:$G$25,AA$6)</f>
        <v>288</v>
      </c>
      <c r="AB11" s="76" t="n">
        <f aca="false">INDEX(Spec_Rack!$C$25:$G$25,AB$6)</f>
        <v>288</v>
      </c>
      <c r="AC11" s="76" t="n">
        <f aca="false">INDEX(Spec_Rack!$C$25:$G$25,AC$6)</f>
        <v>288</v>
      </c>
      <c r="AD11" s="76" t="n">
        <f aca="false">INDEX(Spec_Rack!$C$25:$G$25,AD$6)</f>
        <v>288</v>
      </c>
      <c r="AE11" s="76" t="n">
        <f aca="false">INDEX(Spec_Rack!$C$25:$G$25,AE$6)</f>
        <v>288</v>
      </c>
      <c r="AF11" s="76" t="n">
        <f aca="false">INDEX(Spec_Rack!$C$25:$G$25,AF$6)</f>
        <v>288</v>
      </c>
      <c r="AG11" s="76" t="n">
        <f aca="false">INDEX(Spec_Rack!$C$25:$G$25,AG$6)</f>
        <v>288</v>
      </c>
      <c r="AH11" s="76" t="n">
        <f aca="false">INDEX(Spec_Rack!$C$25:$G$25,AH$6)</f>
        <v>288</v>
      </c>
    </row>
    <row r="12" customFormat="false" ht="15" hidden="false" customHeight="false" outlineLevel="0" collapsed="false">
      <c r="A12" s="45" t="s">
        <v>372</v>
      </c>
      <c r="B12" s="45" t="s">
        <v>270</v>
      </c>
      <c r="C12" s="77" t="n">
        <f aca="false">INDEX(Spec_Rack!$C$26:$G$26,C$6)</f>
        <v>22</v>
      </c>
      <c r="D12" s="77" t="n">
        <f aca="false">INDEX(Spec_Rack!$C$26:$G$26,D$6)</f>
        <v>8</v>
      </c>
      <c r="E12" s="77" t="n">
        <f aca="false">INDEX(Spec_Rack!$C$26:$G$26,E$6)</f>
        <v>22</v>
      </c>
      <c r="F12" s="77" t="n">
        <f aca="false">INDEX(Spec_Rack!$C$26:$G$26,F$6)</f>
        <v>8</v>
      </c>
      <c r="G12" s="77" t="n">
        <f aca="false">INDEX(Spec_Rack!$C$26:$G$26,G$6)</f>
        <v>22</v>
      </c>
      <c r="H12" s="77" t="n">
        <f aca="false">INDEX(Spec_Rack!$C$26:$G$26,H$6)</f>
        <v>8</v>
      </c>
      <c r="I12" s="77" t="n">
        <f aca="false">INDEX(Spec_Rack!$C$26:$G$26,I$6)</f>
        <v>22</v>
      </c>
      <c r="J12" s="77" t="n">
        <f aca="false">INDEX(Spec_Rack!$C$26:$G$26,J$6)</f>
        <v>8</v>
      </c>
      <c r="K12" s="77" t="n">
        <f aca="false">INDEX(Spec_Rack!$C$26:$G$26,K$6)</f>
        <v>22</v>
      </c>
      <c r="L12" s="77" t="n">
        <f aca="false">INDEX(Spec_Rack!$C$26:$G$26,L$6)</f>
        <v>8</v>
      </c>
      <c r="M12" s="77" t="n">
        <f aca="false">INDEX(Spec_Rack!$C$26:$G$26,M$6)</f>
        <v>22</v>
      </c>
      <c r="N12" s="77" t="n">
        <f aca="false">INDEX(Spec_Rack!$C$26:$G$26,N$6)</f>
        <v>8</v>
      </c>
      <c r="O12" s="77" t="n">
        <f aca="false">INDEX(Spec_Rack!$C$26:$G$26,O$6)</f>
        <v>22</v>
      </c>
      <c r="P12" s="77" t="n">
        <f aca="false">INDEX(Spec_Rack!$C$26:$G$26,P$6)</f>
        <v>8</v>
      </c>
      <c r="Q12" s="77" t="n">
        <f aca="false">INDEX(Spec_Rack!$C$26:$G$26,Q$6)</f>
        <v>22</v>
      </c>
      <c r="R12" s="77" t="n">
        <f aca="false">INDEX(Spec_Rack!$C$26:$G$26,R$6)</f>
        <v>8</v>
      </c>
      <c r="S12" s="77" t="n">
        <f aca="false">INDEX(Spec_Rack!$C$26:$G$26,S$6)</f>
        <v>22</v>
      </c>
      <c r="T12" s="77" t="n">
        <f aca="false">INDEX(Spec_Rack!$C$26:$G$26,T$6)</f>
        <v>8</v>
      </c>
      <c r="U12" s="77" t="n">
        <f aca="false">INDEX(Spec_Rack!$C$26:$G$26,U$6)</f>
        <v>22</v>
      </c>
      <c r="V12" s="77" t="n">
        <f aca="false">INDEX(Spec_Rack!$C$26:$G$26,V$6)</f>
        <v>8</v>
      </c>
      <c r="W12" s="77" t="n">
        <f aca="false">INDEX(Spec_Rack!$C$26:$G$26,W$6)</f>
        <v>22</v>
      </c>
      <c r="X12" s="77" t="n">
        <f aca="false">INDEX(Spec_Rack!$C$26:$G$26,X$6)</f>
        <v>8</v>
      </c>
      <c r="Y12" s="77" t="n">
        <f aca="false">INDEX(Spec_Rack!$C$26:$G$26,Y$6)</f>
        <v>22</v>
      </c>
      <c r="Z12" s="77" t="n">
        <f aca="false">INDEX(Spec_Rack!$C$26:$G$26,Z$6)</f>
        <v>8</v>
      </c>
      <c r="AA12" s="77" t="n">
        <f aca="false">INDEX(Spec_Rack!$C$26:$G$26,AA$6)</f>
        <v>22</v>
      </c>
      <c r="AB12" s="77" t="n">
        <f aca="false">INDEX(Spec_Rack!$C$26:$G$26,AB$6)</f>
        <v>8</v>
      </c>
      <c r="AC12" s="77" t="n">
        <f aca="false">INDEX(Spec_Rack!$C$26:$G$26,AC$6)</f>
        <v>22</v>
      </c>
      <c r="AD12" s="77" t="n">
        <f aca="false">INDEX(Spec_Rack!$C$26:$G$26,AD$6)</f>
        <v>8</v>
      </c>
      <c r="AE12" s="77" t="n">
        <f aca="false">INDEX(Spec_Rack!$C$26:$G$26,AE$6)</f>
        <v>22</v>
      </c>
      <c r="AF12" s="77" t="n">
        <f aca="false">INDEX(Spec_Rack!$C$26:$G$26,AF$6)</f>
        <v>8</v>
      </c>
      <c r="AG12" s="77" t="n">
        <f aca="false">INDEX(Spec_Rack!$C$26:$G$26,AG$6)</f>
        <v>22</v>
      </c>
      <c r="AH12" s="77" t="n">
        <f aca="false">INDEX(Spec_Rack!$C$26:$G$26,AH$6)</f>
        <v>8</v>
      </c>
    </row>
    <row r="13" customFormat="false" ht="15" hidden="false" customHeight="false" outlineLevel="0" collapsed="false">
      <c r="A13" s="45" t="s">
        <v>488</v>
      </c>
      <c r="B13" s="45" t="s">
        <v>270</v>
      </c>
      <c r="C13" s="77" t="n">
        <f aca="false">INDEX(Spec_Rack!$C$27:$G$27,C$6)</f>
        <v>1.8</v>
      </c>
      <c r="D13" s="77" t="n">
        <f aca="false">INDEX(Spec_Rack!$C$27:$G$27,D$6)</f>
        <v>0.9</v>
      </c>
      <c r="E13" s="77" t="n">
        <f aca="false">INDEX(Spec_Rack!$C$27:$G$27,E$6)</f>
        <v>1.8</v>
      </c>
      <c r="F13" s="77" t="n">
        <f aca="false">INDEX(Spec_Rack!$C$27:$G$27,F$6)</f>
        <v>0.9</v>
      </c>
      <c r="G13" s="77" t="n">
        <f aca="false">INDEX(Spec_Rack!$C$27:$G$27,G$6)</f>
        <v>1.8</v>
      </c>
      <c r="H13" s="77" t="n">
        <f aca="false">INDEX(Spec_Rack!$C$27:$G$27,H$6)</f>
        <v>0.9</v>
      </c>
      <c r="I13" s="77" t="n">
        <f aca="false">INDEX(Spec_Rack!$C$27:$G$27,I$6)</f>
        <v>1.8</v>
      </c>
      <c r="J13" s="77" t="n">
        <f aca="false">INDEX(Spec_Rack!$C$27:$G$27,J$6)</f>
        <v>0.9</v>
      </c>
      <c r="K13" s="77" t="n">
        <f aca="false">INDEX(Spec_Rack!$C$27:$G$27,K$6)</f>
        <v>1.8</v>
      </c>
      <c r="L13" s="77" t="n">
        <f aca="false">INDEX(Spec_Rack!$C$27:$G$27,L$6)</f>
        <v>0.9</v>
      </c>
      <c r="M13" s="77" t="n">
        <f aca="false">INDEX(Spec_Rack!$C$27:$G$27,M$6)</f>
        <v>1.8</v>
      </c>
      <c r="N13" s="77" t="n">
        <f aca="false">INDEX(Spec_Rack!$C$27:$G$27,N$6)</f>
        <v>0.9</v>
      </c>
      <c r="O13" s="77" t="n">
        <f aca="false">INDEX(Spec_Rack!$C$27:$G$27,O$6)</f>
        <v>1.8</v>
      </c>
      <c r="P13" s="77" t="n">
        <f aca="false">INDEX(Spec_Rack!$C$27:$G$27,P$6)</f>
        <v>0.9</v>
      </c>
      <c r="Q13" s="77" t="n">
        <f aca="false">INDEX(Spec_Rack!$C$27:$G$27,Q$6)</f>
        <v>1.8</v>
      </c>
      <c r="R13" s="77" t="n">
        <f aca="false">INDEX(Spec_Rack!$C$27:$G$27,R$6)</f>
        <v>0.9</v>
      </c>
      <c r="S13" s="77" t="n">
        <f aca="false">INDEX(Spec_Rack!$C$27:$G$27,S$6)</f>
        <v>1.8</v>
      </c>
      <c r="T13" s="77" t="n">
        <f aca="false">INDEX(Spec_Rack!$C$27:$G$27,T$6)</f>
        <v>0.9</v>
      </c>
      <c r="U13" s="77" t="n">
        <f aca="false">INDEX(Spec_Rack!$C$27:$G$27,U$6)</f>
        <v>1.8</v>
      </c>
      <c r="V13" s="77" t="n">
        <f aca="false">INDEX(Spec_Rack!$C$27:$G$27,V$6)</f>
        <v>0.9</v>
      </c>
      <c r="W13" s="77" t="n">
        <f aca="false">INDEX(Spec_Rack!$C$27:$G$27,W$6)</f>
        <v>1.8</v>
      </c>
      <c r="X13" s="77" t="n">
        <f aca="false">INDEX(Spec_Rack!$C$27:$G$27,X$6)</f>
        <v>0.9</v>
      </c>
      <c r="Y13" s="77" t="n">
        <f aca="false">INDEX(Spec_Rack!$C$27:$G$27,Y$6)</f>
        <v>1.8</v>
      </c>
      <c r="Z13" s="77" t="n">
        <f aca="false">INDEX(Spec_Rack!$C$27:$G$27,Z$6)</f>
        <v>0.9</v>
      </c>
      <c r="AA13" s="77" t="n">
        <f aca="false">INDEX(Spec_Rack!$C$27:$G$27,AA$6)</f>
        <v>1.8</v>
      </c>
      <c r="AB13" s="77" t="n">
        <f aca="false">INDEX(Spec_Rack!$C$27:$G$27,AB$6)</f>
        <v>0.9</v>
      </c>
      <c r="AC13" s="77" t="n">
        <f aca="false">INDEX(Spec_Rack!$C$27:$G$27,AC$6)</f>
        <v>1.8</v>
      </c>
      <c r="AD13" s="77" t="n">
        <f aca="false">INDEX(Spec_Rack!$C$27:$G$27,AD$6)</f>
        <v>0.9</v>
      </c>
      <c r="AE13" s="77" t="n">
        <f aca="false">INDEX(Spec_Rack!$C$27:$G$27,AE$6)</f>
        <v>1.8</v>
      </c>
      <c r="AF13" s="77" t="n">
        <f aca="false">INDEX(Spec_Rack!$C$27:$G$27,AF$6)</f>
        <v>0.9</v>
      </c>
      <c r="AG13" s="77" t="n">
        <f aca="false">INDEX(Spec_Rack!$C$27:$G$27,AG$6)</f>
        <v>1.8</v>
      </c>
      <c r="AH13" s="77" t="n">
        <f aca="false">INDEX(Spec_Rack!$C$27:$G$27,AH$6)</f>
        <v>0.9</v>
      </c>
    </row>
    <row r="14" customFormat="false" ht="15" hidden="false" customHeight="false" outlineLevel="0" collapsed="false">
      <c r="A14" s="45" t="s">
        <v>169</v>
      </c>
      <c r="B14" s="45" t="s">
        <v>489</v>
      </c>
      <c r="C14" s="76" t="n">
        <f aca="false">INDEX(Spec_Rack!$C$29:$G$29,C$6)</f>
        <v>32</v>
      </c>
      <c r="D14" s="76" t="n">
        <f aca="false">INDEX(Spec_Rack!$C$29:$G$29,D$6)</f>
        <v>32</v>
      </c>
      <c r="E14" s="76" t="n">
        <f aca="false">INDEX(Spec_Rack!$C$29:$G$29,E$6)</f>
        <v>32</v>
      </c>
      <c r="F14" s="76" t="n">
        <f aca="false">INDEX(Spec_Rack!$C$29:$G$29,F$6)</f>
        <v>32</v>
      </c>
      <c r="G14" s="76" t="n">
        <f aca="false">INDEX(Spec_Rack!$C$29:$G$29,G$6)</f>
        <v>32</v>
      </c>
      <c r="H14" s="76" t="n">
        <f aca="false">INDEX(Spec_Rack!$C$29:$G$29,H$6)</f>
        <v>32</v>
      </c>
      <c r="I14" s="76" t="n">
        <f aca="false">INDEX(Spec_Rack!$C$29:$G$29,I$6)</f>
        <v>32</v>
      </c>
      <c r="J14" s="76" t="n">
        <f aca="false">INDEX(Spec_Rack!$C$29:$G$29,J$6)</f>
        <v>32</v>
      </c>
      <c r="K14" s="76" t="n">
        <f aca="false">INDEX(Spec_Rack!$C$29:$G$29,K$6)</f>
        <v>32</v>
      </c>
      <c r="L14" s="76" t="n">
        <f aca="false">INDEX(Spec_Rack!$C$29:$G$29,L$6)</f>
        <v>32</v>
      </c>
      <c r="M14" s="76" t="n">
        <f aca="false">INDEX(Spec_Rack!$C$29:$G$29,M$6)</f>
        <v>32</v>
      </c>
      <c r="N14" s="76" t="n">
        <f aca="false">INDEX(Spec_Rack!$C$29:$G$29,N$6)</f>
        <v>32</v>
      </c>
      <c r="O14" s="76" t="n">
        <f aca="false">INDEX(Spec_Rack!$C$29:$G$29,O$6)</f>
        <v>32</v>
      </c>
      <c r="P14" s="76" t="n">
        <f aca="false">INDEX(Spec_Rack!$C$29:$G$29,P$6)</f>
        <v>32</v>
      </c>
      <c r="Q14" s="76" t="n">
        <f aca="false">INDEX(Spec_Rack!$C$29:$G$29,Q$6)</f>
        <v>32</v>
      </c>
      <c r="R14" s="76" t="n">
        <f aca="false">INDEX(Spec_Rack!$C$29:$G$29,R$6)</f>
        <v>32</v>
      </c>
      <c r="S14" s="76" t="n">
        <f aca="false">INDEX(Spec_Rack!$C$29:$G$29,S$6)</f>
        <v>32</v>
      </c>
      <c r="T14" s="76" t="n">
        <f aca="false">INDEX(Spec_Rack!$C$29:$G$29,T$6)</f>
        <v>32</v>
      </c>
      <c r="U14" s="76" t="n">
        <f aca="false">INDEX(Spec_Rack!$C$29:$G$29,U$6)</f>
        <v>32</v>
      </c>
      <c r="V14" s="76" t="n">
        <f aca="false">INDEX(Spec_Rack!$C$29:$G$29,V$6)</f>
        <v>32</v>
      </c>
      <c r="W14" s="76" t="n">
        <f aca="false">INDEX(Spec_Rack!$C$29:$G$29,W$6)</f>
        <v>32</v>
      </c>
      <c r="X14" s="76" t="n">
        <f aca="false">INDEX(Spec_Rack!$C$29:$G$29,X$6)</f>
        <v>32</v>
      </c>
      <c r="Y14" s="76" t="n">
        <f aca="false">INDEX(Spec_Rack!$C$29:$G$29,Y$6)</f>
        <v>32</v>
      </c>
      <c r="Z14" s="76" t="n">
        <f aca="false">INDEX(Spec_Rack!$C$29:$G$29,Z$6)</f>
        <v>32</v>
      </c>
      <c r="AA14" s="76" t="n">
        <f aca="false">INDEX(Spec_Rack!$C$29:$G$29,AA$6)</f>
        <v>32</v>
      </c>
      <c r="AB14" s="76" t="n">
        <f aca="false">INDEX(Spec_Rack!$C$29:$G$29,AB$6)</f>
        <v>32</v>
      </c>
      <c r="AC14" s="76" t="n">
        <f aca="false">INDEX(Spec_Rack!$C$29:$G$29,AC$6)</f>
        <v>32</v>
      </c>
      <c r="AD14" s="76" t="n">
        <f aca="false">INDEX(Spec_Rack!$C$29:$G$29,AD$6)</f>
        <v>32</v>
      </c>
      <c r="AE14" s="76" t="n">
        <f aca="false">INDEX(Spec_Rack!$C$29:$G$29,AE$6)</f>
        <v>32</v>
      </c>
      <c r="AF14" s="76" t="n">
        <f aca="false">INDEX(Spec_Rack!$C$29:$G$29,AF$6)</f>
        <v>32</v>
      </c>
      <c r="AG14" s="76" t="n">
        <f aca="false">INDEX(Spec_Rack!$C$29:$G$29,AG$6)</f>
        <v>32</v>
      </c>
      <c r="AH14" s="76" t="n">
        <f aca="false">INDEX(Spec_Rack!$C$29:$G$29,AH$6)</f>
        <v>32</v>
      </c>
    </row>
    <row r="15" customFormat="false" ht="15" hidden="false" customHeight="false" outlineLevel="0" collapsed="false">
      <c r="A15" s="44" t="s">
        <v>171</v>
      </c>
      <c r="B15" s="45" t="s">
        <v>194</v>
      </c>
      <c r="C15" s="78" t="n">
        <f aca="false">INDEX(Spec_Rack!$C$30:$G$30,C$6)</f>
        <v>0.5625</v>
      </c>
      <c r="D15" s="78" t="n">
        <f aca="false">INDEX(Spec_Rack!$C$30:$G$30,D$6)</f>
        <v>0.5625</v>
      </c>
      <c r="E15" s="78" t="n">
        <f aca="false">INDEX(Spec_Rack!$C$30:$G$30,E$6)</f>
        <v>0.5625</v>
      </c>
      <c r="F15" s="78" t="n">
        <f aca="false">INDEX(Spec_Rack!$C$30:$G$30,F$6)</f>
        <v>0.5625</v>
      </c>
      <c r="G15" s="78" t="n">
        <f aca="false">INDEX(Spec_Rack!$C$30:$G$30,G$6)</f>
        <v>0.5625</v>
      </c>
      <c r="H15" s="78" t="n">
        <f aca="false">INDEX(Spec_Rack!$C$30:$G$30,H$6)</f>
        <v>0.5625</v>
      </c>
      <c r="I15" s="78" t="n">
        <f aca="false">INDEX(Spec_Rack!$C$30:$G$30,I$6)</f>
        <v>0.5625</v>
      </c>
      <c r="J15" s="78" t="n">
        <f aca="false">INDEX(Spec_Rack!$C$30:$G$30,J$6)</f>
        <v>0.5625</v>
      </c>
      <c r="K15" s="78" t="n">
        <f aca="false">INDEX(Spec_Rack!$C$30:$G$30,K$6)</f>
        <v>0.5625</v>
      </c>
      <c r="L15" s="78" t="n">
        <f aca="false">INDEX(Spec_Rack!$C$30:$G$30,L$6)</f>
        <v>0.5625</v>
      </c>
      <c r="M15" s="78" t="n">
        <f aca="false">INDEX(Spec_Rack!$C$30:$G$30,M$6)</f>
        <v>0.5625</v>
      </c>
      <c r="N15" s="78" t="n">
        <f aca="false">INDEX(Spec_Rack!$C$30:$G$30,N$6)</f>
        <v>0.5625</v>
      </c>
      <c r="O15" s="78" t="n">
        <f aca="false">INDEX(Spec_Rack!$C$30:$G$30,O$6)</f>
        <v>0.5625</v>
      </c>
      <c r="P15" s="78" t="n">
        <f aca="false">INDEX(Spec_Rack!$C$30:$G$30,P$6)</f>
        <v>0.5625</v>
      </c>
      <c r="Q15" s="78" t="n">
        <f aca="false">INDEX(Spec_Rack!$C$30:$G$30,Q$6)</f>
        <v>0.5625</v>
      </c>
      <c r="R15" s="78" t="n">
        <f aca="false">INDEX(Spec_Rack!$C$30:$G$30,R$6)</f>
        <v>0.5625</v>
      </c>
      <c r="S15" s="78" t="n">
        <f aca="false">INDEX(Spec_Rack!$C$30:$G$30,S$6)</f>
        <v>0.5625</v>
      </c>
      <c r="T15" s="78" t="n">
        <f aca="false">INDEX(Spec_Rack!$C$30:$G$30,T$6)</f>
        <v>0.5625</v>
      </c>
      <c r="U15" s="78" t="n">
        <f aca="false">INDEX(Spec_Rack!$C$30:$G$30,U$6)</f>
        <v>0.5625</v>
      </c>
      <c r="V15" s="78" t="n">
        <f aca="false">INDEX(Spec_Rack!$C$30:$G$30,V$6)</f>
        <v>0.5625</v>
      </c>
      <c r="W15" s="78" t="n">
        <f aca="false">INDEX(Spec_Rack!$C$30:$G$30,W$6)</f>
        <v>0.5625</v>
      </c>
      <c r="X15" s="78" t="n">
        <f aca="false">INDEX(Spec_Rack!$C$30:$G$30,X$6)</f>
        <v>0.5625</v>
      </c>
      <c r="Y15" s="78" t="n">
        <f aca="false">INDEX(Spec_Rack!$C$30:$G$30,Y$6)</f>
        <v>0.5625</v>
      </c>
      <c r="Z15" s="78" t="n">
        <f aca="false">INDEX(Spec_Rack!$C$30:$G$30,Z$6)</f>
        <v>0.5625</v>
      </c>
      <c r="AA15" s="78" t="n">
        <f aca="false">INDEX(Spec_Rack!$C$30:$G$30,AA$6)</f>
        <v>0.5625</v>
      </c>
      <c r="AB15" s="78" t="n">
        <f aca="false">INDEX(Spec_Rack!$C$30:$G$30,AB$6)</f>
        <v>0.5625</v>
      </c>
      <c r="AC15" s="78" t="n">
        <f aca="false">INDEX(Spec_Rack!$C$30:$G$30,AC$6)</f>
        <v>0.5625</v>
      </c>
      <c r="AD15" s="78" t="n">
        <f aca="false">INDEX(Spec_Rack!$C$30:$G$30,AD$6)</f>
        <v>0.5625</v>
      </c>
      <c r="AE15" s="78" t="n">
        <f aca="false">INDEX(Spec_Rack!$C$30:$G$30,AE$6)</f>
        <v>0.5625</v>
      </c>
      <c r="AF15" s="78" t="n">
        <f aca="false">INDEX(Spec_Rack!$C$30:$G$30,AF$6)</f>
        <v>0.5625</v>
      </c>
      <c r="AG15" s="78" t="n">
        <f aca="false">INDEX(Spec_Rack!$C$30:$G$30,AG$6)</f>
        <v>0.5625</v>
      </c>
      <c r="AH15" s="78" t="n">
        <f aca="false">INDEX(Spec_Rack!$C$30:$G$30,AH$6)</f>
        <v>0.5625</v>
      </c>
    </row>
    <row r="16" customFormat="false" ht="15" hidden="false" customHeight="false" outlineLevel="0" collapsed="false">
      <c r="A16" s="44" t="s">
        <v>173</v>
      </c>
      <c r="B16" s="45" t="s">
        <v>194</v>
      </c>
      <c r="C16" s="79" t="n">
        <f aca="false">INDEX(Spec_Rack!$C$31:$G$31,C$6)</f>
        <v>1</v>
      </c>
      <c r="D16" s="79" t="n">
        <f aca="false">INDEX(Spec_Rack!$C$31:$G$31,D$6)</f>
        <v>1</v>
      </c>
      <c r="E16" s="79" t="n">
        <f aca="false">INDEX(Spec_Rack!$C$31:$G$31,E$6)</f>
        <v>1</v>
      </c>
      <c r="F16" s="79" t="n">
        <f aca="false">INDEX(Spec_Rack!$C$31:$G$31,F$6)</f>
        <v>1</v>
      </c>
      <c r="G16" s="79" t="n">
        <f aca="false">INDEX(Spec_Rack!$C$31:$G$31,G$6)</f>
        <v>1</v>
      </c>
      <c r="H16" s="79" t="n">
        <f aca="false">INDEX(Spec_Rack!$C$31:$G$31,H$6)</f>
        <v>1</v>
      </c>
      <c r="I16" s="79" t="n">
        <f aca="false">INDEX(Spec_Rack!$C$31:$G$31,I$6)</f>
        <v>1</v>
      </c>
      <c r="J16" s="79" t="n">
        <f aca="false">INDEX(Spec_Rack!$C$31:$G$31,J$6)</f>
        <v>1</v>
      </c>
      <c r="K16" s="79" t="n">
        <f aca="false">INDEX(Spec_Rack!$C$31:$G$31,K$6)</f>
        <v>1</v>
      </c>
      <c r="L16" s="79" t="n">
        <f aca="false">INDEX(Spec_Rack!$C$31:$G$31,L$6)</f>
        <v>1</v>
      </c>
      <c r="M16" s="79" t="n">
        <f aca="false">INDEX(Spec_Rack!$C$31:$G$31,M$6)</f>
        <v>1</v>
      </c>
      <c r="N16" s="79" t="n">
        <f aca="false">INDEX(Spec_Rack!$C$31:$G$31,N$6)</f>
        <v>1</v>
      </c>
      <c r="O16" s="79" t="n">
        <f aca="false">INDEX(Spec_Rack!$C$31:$G$31,O$6)</f>
        <v>1</v>
      </c>
      <c r="P16" s="79" t="n">
        <f aca="false">INDEX(Spec_Rack!$C$31:$G$31,P$6)</f>
        <v>1</v>
      </c>
      <c r="Q16" s="79" t="n">
        <f aca="false">INDEX(Spec_Rack!$C$31:$G$31,Q$6)</f>
        <v>1</v>
      </c>
      <c r="R16" s="79" t="n">
        <f aca="false">INDEX(Spec_Rack!$C$31:$G$31,R$6)</f>
        <v>1</v>
      </c>
      <c r="S16" s="79" t="n">
        <f aca="false">INDEX(Spec_Rack!$C$31:$G$31,S$6)</f>
        <v>1</v>
      </c>
      <c r="T16" s="79" t="n">
        <f aca="false">INDEX(Spec_Rack!$C$31:$G$31,T$6)</f>
        <v>1</v>
      </c>
      <c r="U16" s="79" t="n">
        <f aca="false">INDEX(Spec_Rack!$C$31:$G$31,U$6)</f>
        <v>1</v>
      </c>
      <c r="V16" s="79" t="n">
        <f aca="false">INDEX(Spec_Rack!$C$31:$G$31,V$6)</f>
        <v>1</v>
      </c>
      <c r="W16" s="79" t="n">
        <f aca="false">INDEX(Spec_Rack!$C$31:$G$31,W$6)</f>
        <v>1</v>
      </c>
      <c r="X16" s="79" t="n">
        <f aca="false">INDEX(Spec_Rack!$C$31:$G$31,X$6)</f>
        <v>1</v>
      </c>
      <c r="Y16" s="79" t="n">
        <f aca="false">INDEX(Spec_Rack!$C$31:$G$31,Y$6)</f>
        <v>1</v>
      </c>
      <c r="Z16" s="79" t="n">
        <f aca="false">INDEX(Spec_Rack!$C$31:$G$31,Z$6)</f>
        <v>1</v>
      </c>
      <c r="AA16" s="79" t="n">
        <f aca="false">INDEX(Spec_Rack!$C$31:$G$31,AA$6)</f>
        <v>1</v>
      </c>
      <c r="AB16" s="79" t="n">
        <f aca="false">INDEX(Spec_Rack!$C$31:$G$31,AB$6)</f>
        <v>1</v>
      </c>
      <c r="AC16" s="79" t="n">
        <f aca="false">INDEX(Spec_Rack!$C$31:$G$31,AC$6)</f>
        <v>1</v>
      </c>
      <c r="AD16" s="79" t="n">
        <f aca="false">INDEX(Spec_Rack!$C$31:$G$31,AD$6)</f>
        <v>1</v>
      </c>
      <c r="AE16" s="79" t="n">
        <f aca="false">INDEX(Spec_Rack!$C$31:$G$31,AE$6)</f>
        <v>1</v>
      </c>
      <c r="AF16" s="79" t="n">
        <f aca="false">INDEX(Spec_Rack!$C$31:$G$31,AF$6)</f>
        <v>1</v>
      </c>
      <c r="AG16" s="79" t="n">
        <f aca="false">INDEX(Spec_Rack!$C$31:$G$31,AG$6)</f>
        <v>1</v>
      </c>
      <c r="AH16" s="79" t="n">
        <f aca="false">INDEX(Spec_Rack!$C$31:$G$31,AH$6)</f>
        <v>1</v>
      </c>
    </row>
    <row r="17" customFormat="false" ht="15" hidden="false" customHeight="false" outlineLevel="0" collapsed="false">
      <c r="A17" s="44" t="s">
        <v>490</v>
      </c>
      <c r="B17" s="45" t="s">
        <v>489</v>
      </c>
      <c r="C17" s="76" t="n">
        <f aca="false">INDEX(Spec_Rack!$C$32:$G$32,C$6)</f>
        <v>4</v>
      </c>
      <c r="D17" s="76" t="n">
        <f aca="false">INDEX(Spec_Rack!$C$32:$G$32,D$6)</f>
        <v>4</v>
      </c>
      <c r="E17" s="76" t="n">
        <f aca="false">INDEX(Spec_Rack!$C$32:$G$32,E$6)</f>
        <v>4</v>
      </c>
      <c r="F17" s="76" t="n">
        <f aca="false">INDEX(Spec_Rack!$C$32:$G$32,F$6)</f>
        <v>4</v>
      </c>
      <c r="G17" s="76" t="n">
        <f aca="false">INDEX(Spec_Rack!$C$32:$G$32,G$6)</f>
        <v>4</v>
      </c>
      <c r="H17" s="76" t="n">
        <f aca="false">INDEX(Spec_Rack!$C$32:$G$32,H$6)</f>
        <v>4</v>
      </c>
      <c r="I17" s="76" t="n">
        <f aca="false">INDEX(Spec_Rack!$C$32:$G$32,I$6)</f>
        <v>4</v>
      </c>
      <c r="J17" s="76" t="n">
        <f aca="false">INDEX(Spec_Rack!$C$32:$G$32,J$6)</f>
        <v>4</v>
      </c>
      <c r="K17" s="76" t="n">
        <f aca="false">INDEX(Spec_Rack!$C$32:$G$32,K$6)</f>
        <v>4</v>
      </c>
      <c r="L17" s="76" t="n">
        <f aca="false">INDEX(Spec_Rack!$C$32:$G$32,L$6)</f>
        <v>4</v>
      </c>
      <c r="M17" s="76" t="n">
        <f aca="false">INDEX(Spec_Rack!$C$32:$G$32,M$6)</f>
        <v>4</v>
      </c>
      <c r="N17" s="76" t="n">
        <f aca="false">INDEX(Spec_Rack!$C$32:$G$32,N$6)</f>
        <v>4</v>
      </c>
      <c r="O17" s="76" t="n">
        <f aca="false">INDEX(Spec_Rack!$C$32:$G$32,O$6)</f>
        <v>4</v>
      </c>
      <c r="P17" s="76" t="n">
        <f aca="false">INDEX(Spec_Rack!$C$32:$G$32,P$6)</f>
        <v>4</v>
      </c>
      <c r="Q17" s="76" t="n">
        <f aca="false">INDEX(Spec_Rack!$C$32:$G$32,Q$6)</f>
        <v>4</v>
      </c>
      <c r="R17" s="76" t="n">
        <f aca="false">INDEX(Spec_Rack!$C$32:$G$32,R$6)</f>
        <v>4</v>
      </c>
      <c r="S17" s="76" t="n">
        <f aca="false">INDEX(Spec_Rack!$C$32:$G$32,S$6)</f>
        <v>4</v>
      </c>
      <c r="T17" s="76" t="n">
        <f aca="false">INDEX(Spec_Rack!$C$32:$G$32,T$6)</f>
        <v>4</v>
      </c>
      <c r="U17" s="76" t="n">
        <f aca="false">INDEX(Spec_Rack!$C$32:$G$32,U$6)</f>
        <v>4</v>
      </c>
      <c r="V17" s="76" t="n">
        <f aca="false">INDEX(Spec_Rack!$C$32:$G$32,V$6)</f>
        <v>4</v>
      </c>
      <c r="W17" s="76" t="n">
        <f aca="false">INDEX(Spec_Rack!$C$32:$G$32,W$6)</f>
        <v>4</v>
      </c>
      <c r="X17" s="76" t="n">
        <f aca="false">INDEX(Spec_Rack!$C$32:$G$32,X$6)</f>
        <v>4</v>
      </c>
      <c r="Y17" s="76" t="n">
        <f aca="false">INDEX(Spec_Rack!$C$32:$G$32,Y$6)</f>
        <v>4</v>
      </c>
      <c r="Z17" s="76" t="n">
        <f aca="false">INDEX(Spec_Rack!$C$32:$G$32,Z$6)</f>
        <v>4</v>
      </c>
      <c r="AA17" s="76" t="n">
        <f aca="false">INDEX(Spec_Rack!$C$32:$G$32,AA$6)</f>
        <v>4</v>
      </c>
      <c r="AB17" s="76" t="n">
        <f aca="false">INDEX(Spec_Rack!$C$32:$G$32,AB$6)</f>
        <v>4</v>
      </c>
      <c r="AC17" s="76" t="n">
        <f aca="false">INDEX(Spec_Rack!$C$32:$G$32,AC$6)</f>
        <v>4</v>
      </c>
      <c r="AD17" s="76" t="n">
        <f aca="false">INDEX(Spec_Rack!$C$32:$G$32,AD$6)</f>
        <v>4</v>
      </c>
      <c r="AE17" s="76" t="n">
        <f aca="false">INDEX(Spec_Rack!$C$32:$G$32,AE$6)</f>
        <v>4</v>
      </c>
      <c r="AF17" s="76" t="n">
        <f aca="false">INDEX(Spec_Rack!$C$32:$G$32,AF$6)</f>
        <v>4</v>
      </c>
      <c r="AG17" s="76" t="n">
        <f aca="false">INDEX(Spec_Rack!$C$32:$G$32,AG$6)</f>
        <v>4</v>
      </c>
      <c r="AH17" s="76" t="n">
        <f aca="false">INDEX(Spec_Rack!$C$32:$G$32,AH$6)</f>
        <v>4</v>
      </c>
    </row>
    <row r="18" customFormat="false" ht="15" hidden="false" customHeight="false" outlineLevel="0" collapsed="false">
      <c r="A18" s="45" t="s">
        <v>123</v>
      </c>
      <c r="B18" s="44" t="s">
        <v>491</v>
      </c>
      <c r="C18" s="76" t="n">
        <f aca="false">INDEX(Spec_Rack!$C$6:$G$6,C$6)</f>
        <v>72</v>
      </c>
      <c r="D18" s="76" t="n">
        <f aca="false">INDEX(Spec_Rack!$C$6:$G$6,D$6)</f>
        <v>72</v>
      </c>
      <c r="E18" s="76" t="n">
        <f aca="false">INDEX(Spec_Rack!$C$6:$G$6,E$6)</f>
        <v>72</v>
      </c>
      <c r="F18" s="76" t="n">
        <f aca="false">INDEX(Spec_Rack!$C$6:$G$6,F$6)</f>
        <v>72</v>
      </c>
      <c r="G18" s="76" t="n">
        <f aca="false">INDEX(Spec_Rack!$C$6:$G$6,G$6)</f>
        <v>72</v>
      </c>
      <c r="H18" s="76" t="n">
        <f aca="false">INDEX(Spec_Rack!$C$6:$G$6,H$6)</f>
        <v>72</v>
      </c>
      <c r="I18" s="76" t="n">
        <f aca="false">INDEX(Spec_Rack!$C$6:$G$6,I$6)</f>
        <v>72</v>
      </c>
      <c r="J18" s="76" t="n">
        <f aca="false">INDEX(Spec_Rack!$C$6:$G$6,J$6)</f>
        <v>72</v>
      </c>
      <c r="K18" s="76" t="n">
        <f aca="false">INDEX(Spec_Rack!$C$6:$G$6,K$6)</f>
        <v>72</v>
      </c>
      <c r="L18" s="76" t="n">
        <f aca="false">INDEX(Spec_Rack!$C$6:$G$6,L$6)</f>
        <v>72</v>
      </c>
      <c r="M18" s="76" t="n">
        <f aca="false">INDEX(Spec_Rack!$C$6:$G$6,M$6)</f>
        <v>72</v>
      </c>
      <c r="N18" s="76" t="n">
        <f aca="false">INDEX(Spec_Rack!$C$6:$G$6,N$6)</f>
        <v>72</v>
      </c>
      <c r="O18" s="76" t="n">
        <f aca="false">INDEX(Spec_Rack!$C$6:$G$6,O$6)</f>
        <v>72</v>
      </c>
      <c r="P18" s="76" t="n">
        <f aca="false">INDEX(Spec_Rack!$C$6:$G$6,P$6)</f>
        <v>72</v>
      </c>
      <c r="Q18" s="76" t="n">
        <f aca="false">INDEX(Spec_Rack!$C$6:$G$6,Q$6)</f>
        <v>72</v>
      </c>
      <c r="R18" s="76" t="n">
        <f aca="false">INDEX(Spec_Rack!$C$6:$G$6,R$6)</f>
        <v>72</v>
      </c>
      <c r="S18" s="76" t="n">
        <f aca="false">INDEX(Spec_Rack!$C$6:$G$6,S$6)</f>
        <v>72</v>
      </c>
      <c r="T18" s="76" t="n">
        <f aca="false">INDEX(Spec_Rack!$C$6:$G$6,T$6)</f>
        <v>72</v>
      </c>
      <c r="U18" s="76" t="n">
        <f aca="false">INDEX(Spec_Rack!$C$6:$G$6,U$6)</f>
        <v>72</v>
      </c>
      <c r="V18" s="76" t="n">
        <f aca="false">INDEX(Spec_Rack!$C$6:$G$6,V$6)</f>
        <v>72</v>
      </c>
      <c r="W18" s="76" t="n">
        <f aca="false">INDEX(Spec_Rack!$C$6:$G$6,W$6)</f>
        <v>72</v>
      </c>
      <c r="X18" s="76" t="n">
        <f aca="false">INDEX(Spec_Rack!$C$6:$G$6,X$6)</f>
        <v>72</v>
      </c>
      <c r="Y18" s="76" t="n">
        <f aca="false">INDEX(Spec_Rack!$C$6:$G$6,Y$6)</f>
        <v>72</v>
      </c>
      <c r="Z18" s="76" t="n">
        <f aca="false">INDEX(Spec_Rack!$C$6:$G$6,Z$6)</f>
        <v>72</v>
      </c>
      <c r="AA18" s="76" t="n">
        <f aca="false">INDEX(Spec_Rack!$C$6:$G$6,AA$6)</f>
        <v>72</v>
      </c>
      <c r="AB18" s="76" t="n">
        <f aca="false">INDEX(Spec_Rack!$C$6:$G$6,AB$6)</f>
        <v>72</v>
      </c>
      <c r="AC18" s="76" t="n">
        <f aca="false">INDEX(Spec_Rack!$C$6:$G$6,AC$6)</f>
        <v>72</v>
      </c>
      <c r="AD18" s="76" t="n">
        <f aca="false">INDEX(Spec_Rack!$C$6:$G$6,AD$6)</f>
        <v>72</v>
      </c>
      <c r="AE18" s="76" t="n">
        <f aca="false">INDEX(Spec_Rack!$C$6:$G$6,AE$6)</f>
        <v>72</v>
      </c>
      <c r="AF18" s="76" t="n">
        <f aca="false">INDEX(Spec_Rack!$C$6:$G$6,AF$6)</f>
        <v>72</v>
      </c>
      <c r="AG18" s="76" t="n">
        <f aca="false">INDEX(Spec_Rack!$C$6:$G$6,AG$6)</f>
        <v>72</v>
      </c>
      <c r="AH18" s="76" t="n">
        <f aca="false">INDEX(Spec_Rack!$C$6:$G$6,AH$6)</f>
        <v>72</v>
      </c>
    </row>
    <row r="19" customFormat="false" ht="15" hidden="false" customHeight="false" outlineLevel="0" collapsed="false">
      <c r="A19" s="45" t="s">
        <v>492</v>
      </c>
      <c r="B19" s="45" t="s">
        <v>493</v>
      </c>
      <c r="C19" s="76" t="n">
        <f aca="false">INDEX(Spec_Rack!$C$33:$G$33,C$6)</f>
        <v>1800</v>
      </c>
      <c r="D19" s="76" t="n">
        <f aca="false">INDEX(Spec_Rack!$C$33:$G$33,D$6)</f>
        <v>1400</v>
      </c>
      <c r="E19" s="76" t="n">
        <f aca="false">INDEX(Spec_Rack!$C$33:$G$33,E$6)</f>
        <v>1800</v>
      </c>
      <c r="F19" s="76" t="n">
        <f aca="false">INDEX(Spec_Rack!$C$33:$G$33,F$6)</f>
        <v>1400</v>
      </c>
      <c r="G19" s="76" t="n">
        <f aca="false">INDEX(Spec_Rack!$C$33:$G$33,G$6)</f>
        <v>1800</v>
      </c>
      <c r="H19" s="76" t="n">
        <f aca="false">INDEX(Spec_Rack!$C$33:$G$33,H$6)</f>
        <v>1400</v>
      </c>
      <c r="I19" s="76" t="n">
        <f aca="false">INDEX(Spec_Rack!$C$33:$G$33,I$6)</f>
        <v>1800</v>
      </c>
      <c r="J19" s="76" t="n">
        <f aca="false">INDEX(Spec_Rack!$C$33:$G$33,J$6)</f>
        <v>1400</v>
      </c>
      <c r="K19" s="76" t="n">
        <f aca="false">INDEX(Spec_Rack!$C$33:$G$33,K$6)</f>
        <v>1800</v>
      </c>
      <c r="L19" s="76" t="n">
        <f aca="false">INDEX(Spec_Rack!$C$33:$G$33,L$6)</f>
        <v>1400</v>
      </c>
      <c r="M19" s="76" t="n">
        <f aca="false">INDEX(Spec_Rack!$C$33:$G$33,M$6)</f>
        <v>1800</v>
      </c>
      <c r="N19" s="76" t="n">
        <f aca="false">INDEX(Spec_Rack!$C$33:$G$33,N$6)</f>
        <v>1400</v>
      </c>
      <c r="O19" s="76" t="n">
        <f aca="false">INDEX(Spec_Rack!$C$33:$G$33,O$6)</f>
        <v>1800</v>
      </c>
      <c r="P19" s="76" t="n">
        <f aca="false">INDEX(Spec_Rack!$C$33:$G$33,P$6)</f>
        <v>1400</v>
      </c>
      <c r="Q19" s="76" t="n">
        <f aca="false">INDEX(Spec_Rack!$C$33:$G$33,Q$6)</f>
        <v>1800</v>
      </c>
      <c r="R19" s="76" t="n">
        <f aca="false">INDEX(Spec_Rack!$C$33:$G$33,R$6)</f>
        <v>1400</v>
      </c>
      <c r="S19" s="76" t="n">
        <f aca="false">INDEX(Spec_Rack!$C$33:$G$33,S$6)</f>
        <v>1800</v>
      </c>
      <c r="T19" s="76" t="n">
        <f aca="false">INDEX(Spec_Rack!$C$33:$G$33,T$6)</f>
        <v>1400</v>
      </c>
      <c r="U19" s="76" t="n">
        <f aca="false">INDEX(Spec_Rack!$C$33:$G$33,U$6)</f>
        <v>1800</v>
      </c>
      <c r="V19" s="76" t="n">
        <f aca="false">INDEX(Spec_Rack!$C$33:$G$33,V$6)</f>
        <v>1400</v>
      </c>
      <c r="W19" s="76" t="n">
        <f aca="false">INDEX(Spec_Rack!$C$33:$G$33,W$6)</f>
        <v>1800</v>
      </c>
      <c r="X19" s="76" t="n">
        <f aca="false">INDEX(Spec_Rack!$C$33:$G$33,X$6)</f>
        <v>1400</v>
      </c>
      <c r="Y19" s="76" t="n">
        <f aca="false">INDEX(Spec_Rack!$C$33:$G$33,Y$6)</f>
        <v>1800</v>
      </c>
      <c r="Z19" s="76" t="n">
        <f aca="false">INDEX(Spec_Rack!$C$33:$G$33,Z$6)</f>
        <v>1400</v>
      </c>
      <c r="AA19" s="76" t="n">
        <f aca="false">INDEX(Spec_Rack!$C$33:$G$33,AA$6)</f>
        <v>1800</v>
      </c>
      <c r="AB19" s="76" t="n">
        <f aca="false">INDEX(Spec_Rack!$C$33:$G$33,AB$6)</f>
        <v>1400</v>
      </c>
      <c r="AC19" s="76" t="n">
        <f aca="false">INDEX(Spec_Rack!$C$33:$G$33,AC$6)</f>
        <v>1800</v>
      </c>
      <c r="AD19" s="76" t="n">
        <f aca="false">INDEX(Spec_Rack!$C$33:$G$33,AD$6)</f>
        <v>1400</v>
      </c>
      <c r="AE19" s="76" t="n">
        <f aca="false">INDEX(Spec_Rack!$C$33:$G$33,AE$6)</f>
        <v>1800</v>
      </c>
      <c r="AF19" s="76" t="n">
        <f aca="false">INDEX(Spec_Rack!$C$33:$G$33,AF$6)</f>
        <v>1400</v>
      </c>
      <c r="AG19" s="76" t="n">
        <f aca="false">INDEX(Spec_Rack!$C$33:$G$33,AG$6)</f>
        <v>1800</v>
      </c>
      <c r="AH19" s="76" t="n">
        <f aca="false">INDEX(Spec_Rack!$C$33:$G$33,AH$6)</f>
        <v>1400</v>
      </c>
    </row>
    <row r="20" customFormat="false" ht="15" hidden="false" customHeight="false" outlineLevel="0" collapsed="false">
      <c r="A20" s="45" t="s">
        <v>494</v>
      </c>
      <c r="B20" s="45" t="s">
        <v>495</v>
      </c>
      <c r="C20" s="76" t="n">
        <f aca="false">INDEX(Spec_Rack!$C$34:$G$34,C$6)</f>
        <v>20</v>
      </c>
      <c r="D20" s="76" t="n">
        <f aca="false">INDEX(Spec_Rack!$C$34:$G$34,D$6)</f>
        <v>25</v>
      </c>
      <c r="E20" s="76" t="n">
        <f aca="false">INDEX(Spec_Rack!$C$34:$G$34,E$6)</f>
        <v>20</v>
      </c>
      <c r="F20" s="76" t="n">
        <f aca="false">INDEX(Spec_Rack!$C$34:$G$34,F$6)</f>
        <v>25</v>
      </c>
      <c r="G20" s="76" t="n">
        <f aca="false">INDEX(Spec_Rack!$C$34:$G$34,G$6)</f>
        <v>20</v>
      </c>
      <c r="H20" s="76" t="n">
        <f aca="false">INDEX(Spec_Rack!$C$34:$G$34,H$6)</f>
        <v>25</v>
      </c>
      <c r="I20" s="76" t="n">
        <f aca="false">INDEX(Spec_Rack!$C$34:$G$34,I$6)</f>
        <v>20</v>
      </c>
      <c r="J20" s="76" t="n">
        <f aca="false">INDEX(Spec_Rack!$C$34:$G$34,J$6)</f>
        <v>25</v>
      </c>
      <c r="K20" s="76" t="n">
        <f aca="false">INDEX(Spec_Rack!$C$34:$G$34,K$6)</f>
        <v>20</v>
      </c>
      <c r="L20" s="76" t="n">
        <f aca="false">INDEX(Spec_Rack!$C$34:$G$34,L$6)</f>
        <v>25</v>
      </c>
      <c r="M20" s="76" t="n">
        <f aca="false">INDEX(Spec_Rack!$C$34:$G$34,M$6)</f>
        <v>20</v>
      </c>
      <c r="N20" s="76" t="n">
        <f aca="false">INDEX(Spec_Rack!$C$34:$G$34,N$6)</f>
        <v>25</v>
      </c>
      <c r="O20" s="76" t="n">
        <f aca="false">INDEX(Spec_Rack!$C$34:$G$34,O$6)</f>
        <v>20</v>
      </c>
      <c r="P20" s="76" t="n">
        <f aca="false">INDEX(Spec_Rack!$C$34:$G$34,P$6)</f>
        <v>25</v>
      </c>
      <c r="Q20" s="76" t="n">
        <f aca="false">INDEX(Spec_Rack!$C$34:$G$34,Q$6)</f>
        <v>20</v>
      </c>
      <c r="R20" s="76" t="n">
        <f aca="false">INDEX(Spec_Rack!$C$34:$G$34,R$6)</f>
        <v>25</v>
      </c>
      <c r="S20" s="76" t="n">
        <f aca="false">INDEX(Spec_Rack!$C$34:$G$34,S$6)</f>
        <v>20</v>
      </c>
      <c r="T20" s="76" t="n">
        <f aca="false">INDEX(Spec_Rack!$C$34:$G$34,T$6)</f>
        <v>25</v>
      </c>
      <c r="U20" s="76" t="n">
        <f aca="false">INDEX(Spec_Rack!$C$34:$G$34,U$6)</f>
        <v>20</v>
      </c>
      <c r="V20" s="76" t="n">
        <f aca="false">INDEX(Spec_Rack!$C$34:$G$34,V$6)</f>
        <v>25</v>
      </c>
      <c r="W20" s="76" t="n">
        <f aca="false">INDEX(Spec_Rack!$C$34:$G$34,W$6)</f>
        <v>20</v>
      </c>
      <c r="X20" s="76" t="n">
        <f aca="false">INDEX(Spec_Rack!$C$34:$G$34,X$6)</f>
        <v>25</v>
      </c>
      <c r="Y20" s="76" t="n">
        <f aca="false">INDEX(Spec_Rack!$C$34:$G$34,Y$6)</f>
        <v>20</v>
      </c>
      <c r="Z20" s="76" t="n">
        <f aca="false">INDEX(Spec_Rack!$C$34:$G$34,Z$6)</f>
        <v>25</v>
      </c>
      <c r="AA20" s="76" t="n">
        <f aca="false">INDEX(Spec_Rack!$C$34:$G$34,AA$6)</f>
        <v>20</v>
      </c>
      <c r="AB20" s="76" t="n">
        <f aca="false">INDEX(Spec_Rack!$C$34:$G$34,AB$6)</f>
        <v>25</v>
      </c>
      <c r="AC20" s="76" t="n">
        <f aca="false">INDEX(Spec_Rack!$C$34:$G$34,AC$6)</f>
        <v>20</v>
      </c>
      <c r="AD20" s="76" t="n">
        <f aca="false">INDEX(Spec_Rack!$C$34:$G$34,AD$6)</f>
        <v>25</v>
      </c>
      <c r="AE20" s="76" t="n">
        <f aca="false">INDEX(Spec_Rack!$C$34:$G$34,AE$6)</f>
        <v>20</v>
      </c>
      <c r="AF20" s="76" t="n">
        <f aca="false">INDEX(Spec_Rack!$C$34:$G$34,AF$6)</f>
        <v>25</v>
      </c>
      <c r="AG20" s="76" t="n">
        <f aca="false">INDEX(Spec_Rack!$C$34:$G$34,AG$6)</f>
        <v>20</v>
      </c>
      <c r="AH20" s="76" t="n">
        <f aca="false">INDEX(Spec_Rack!$C$34:$G$34,AH$6)</f>
        <v>25</v>
      </c>
    </row>
    <row r="21" customFormat="false" ht="15" hidden="false" customHeight="false" outlineLevel="0" collapsed="false">
      <c r="A21" s="44" t="s">
        <v>496</v>
      </c>
      <c r="B21" s="44" t="s">
        <v>497</v>
      </c>
      <c r="C21" s="76" t="n">
        <f aca="false">INDEX(DC_Cost!$C$12:$Q$12,3*(C$6-1)+2)</f>
        <v>4052</v>
      </c>
      <c r="D21" s="76" t="n">
        <f aca="false">INDEX(DC_Cost!$C$12:$Q$12,3*(D$6-1)+2)</f>
        <v>6715</v>
      </c>
      <c r="E21" s="76" t="n">
        <f aca="false">INDEX(DC_Cost!$C$12:$Q$12,3*(E$6-1)+2)</f>
        <v>4052</v>
      </c>
      <c r="F21" s="76" t="n">
        <f aca="false">INDEX(DC_Cost!$C$12:$Q$12,3*(F$6-1)+2)</f>
        <v>6715</v>
      </c>
      <c r="G21" s="76" t="n">
        <f aca="false">INDEX(DC_Cost!$C$12:$Q$12,3*(G$6-1)+2)</f>
        <v>4052</v>
      </c>
      <c r="H21" s="76" t="n">
        <f aca="false">INDEX(DC_Cost!$C$12:$Q$12,3*(H$6-1)+2)</f>
        <v>6715</v>
      </c>
      <c r="I21" s="76" t="n">
        <f aca="false">INDEX(DC_Cost!$C$12:$Q$12,3*(I$6-1)+2)</f>
        <v>4052</v>
      </c>
      <c r="J21" s="76" t="n">
        <f aca="false">INDEX(DC_Cost!$C$12:$Q$12,3*(J$6-1)+2)</f>
        <v>6715</v>
      </c>
      <c r="K21" s="76" t="n">
        <f aca="false">INDEX(DC_Cost!$C$12:$Q$12,3*(K$6-1)+2)</f>
        <v>4052</v>
      </c>
      <c r="L21" s="76" t="n">
        <f aca="false">INDEX(DC_Cost!$C$12:$Q$12,3*(L$6-1)+2)</f>
        <v>6715</v>
      </c>
      <c r="M21" s="76" t="n">
        <f aca="false">INDEX(DC_Cost!$C$12:$Q$12,3*(M$6-1)+2)</f>
        <v>4052</v>
      </c>
      <c r="N21" s="76" t="n">
        <f aca="false">INDEX(DC_Cost!$C$12:$Q$12,3*(N$6-1)+2)</f>
        <v>6715</v>
      </c>
      <c r="O21" s="76" t="n">
        <f aca="false">INDEX(DC_Cost!$C$12:$Q$12,3*(O$6-1)+2)</f>
        <v>4052</v>
      </c>
      <c r="P21" s="76" t="n">
        <f aca="false">INDEX(DC_Cost!$C$12:$Q$12,3*(P$6-1)+2)</f>
        <v>6715</v>
      </c>
      <c r="Q21" s="76" t="n">
        <f aca="false">INDEX(DC_Cost!$C$12:$Q$12,3*(Q$6-1)+2)</f>
        <v>4052</v>
      </c>
      <c r="R21" s="76" t="n">
        <f aca="false">INDEX(DC_Cost!$C$12:$Q$12,3*(R$6-1)+2)</f>
        <v>6715</v>
      </c>
      <c r="S21" s="76" t="n">
        <f aca="false">INDEX(DC_Cost!$C$12:$Q$12,3*(S$6-1)+2)</f>
        <v>4052</v>
      </c>
      <c r="T21" s="76" t="n">
        <f aca="false">INDEX(DC_Cost!$C$12:$Q$12,3*(T$6-1)+2)</f>
        <v>6715</v>
      </c>
      <c r="U21" s="76" t="n">
        <f aca="false">INDEX(DC_Cost!$C$12:$Q$12,3*(U$6-1)+2)</f>
        <v>4052</v>
      </c>
      <c r="V21" s="76" t="n">
        <f aca="false">INDEX(DC_Cost!$C$12:$Q$12,3*(V$6-1)+2)</f>
        <v>6715</v>
      </c>
      <c r="W21" s="76" t="n">
        <f aca="false">INDEX(DC_Cost!$C$12:$Q$12,3*(W$6-1)+2)</f>
        <v>4052</v>
      </c>
      <c r="X21" s="76" t="n">
        <f aca="false">INDEX(DC_Cost!$C$12:$Q$12,3*(X$6-1)+2)</f>
        <v>6715</v>
      </c>
      <c r="Y21" s="76" t="n">
        <f aca="false">INDEX(DC_Cost!$C$12:$Q$12,3*(Y$6-1)+2)</f>
        <v>4052</v>
      </c>
      <c r="Z21" s="76" t="n">
        <f aca="false">INDEX(DC_Cost!$C$12:$Q$12,3*(Z$6-1)+2)</f>
        <v>6715</v>
      </c>
      <c r="AA21" s="76" t="n">
        <f aca="false">INDEX(DC_Cost!$C$12:$Q$12,3*(AA$6-1)+2)</f>
        <v>4052</v>
      </c>
      <c r="AB21" s="76" t="n">
        <f aca="false">INDEX(DC_Cost!$C$12:$Q$12,3*(AB$6-1)+2)</f>
        <v>6715</v>
      </c>
      <c r="AC21" s="76" t="n">
        <f aca="false">INDEX(DC_Cost!$C$12:$Q$12,3*(AC$6-1)+2)</f>
        <v>4052</v>
      </c>
      <c r="AD21" s="76" t="n">
        <f aca="false">INDEX(DC_Cost!$C$12:$Q$12,3*(AD$6-1)+2)</f>
        <v>6715</v>
      </c>
      <c r="AE21" s="76" t="n">
        <f aca="false">INDEX(DC_Cost!$C$12:$Q$12,3*(AE$6-1)+2)</f>
        <v>4052</v>
      </c>
      <c r="AF21" s="76" t="n">
        <f aca="false">INDEX(DC_Cost!$C$12:$Q$12,3*(AF$6-1)+2)</f>
        <v>6715</v>
      </c>
      <c r="AG21" s="76" t="n">
        <f aca="false">INDEX(DC_Cost!$C$12:$Q$12,3*(AG$6-1)+2)</f>
        <v>4052</v>
      </c>
      <c r="AH21" s="76" t="n">
        <f aca="false">INDEX(DC_Cost!$C$12:$Q$12,3*(AH$6-1)+2)</f>
        <v>6715</v>
      </c>
    </row>
    <row r="22" customFormat="false" ht="15" hidden="false" customHeight="false" outlineLevel="0" collapsed="false">
      <c r="A22" s="44" t="s">
        <v>498</v>
      </c>
      <c r="B22" s="45" t="s">
        <v>499</v>
      </c>
      <c r="C22" s="76" t="n">
        <f aca="false">INDEX(DC_Cost!$C$11:$Q$11,3*(C$6-1)+2)</f>
        <v>227</v>
      </c>
      <c r="D22" s="76" t="n">
        <f aca="false">INDEX(DC_Cost!$C$11:$Q$11,3*(D$6-1)+2)</f>
        <v>137</v>
      </c>
      <c r="E22" s="76" t="n">
        <f aca="false">INDEX(DC_Cost!$C$11:$Q$11,3*(E$6-1)+2)</f>
        <v>227</v>
      </c>
      <c r="F22" s="76" t="n">
        <f aca="false">INDEX(DC_Cost!$C$11:$Q$11,3*(F$6-1)+2)</f>
        <v>137</v>
      </c>
      <c r="G22" s="76" t="n">
        <f aca="false">INDEX(DC_Cost!$C$11:$Q$11,3*(G$6-1)+2)</f>
        <v>227</v>
      </c>
      <c r="H22" s="76" t="n">
        <f aca="false">INDEX(DC_Cost!$C$11:$Q$11,3*(H$6-1)+2)</f>
        <v>137</v>
      </c>
      <c r="I22" s="76" t="n">
        <f aca="false">INDEX(DC_Cost!$C$11:$Q$11,3*(I$6-1)+2)</f>
        <v>227</v>
      </c>
      <c r="J22" s="76" t="n">
        <f aca="false">INDEX(DC_Cost!$C$11:$Q$11,3*(J$6-1)+2)</f>
        <v>137</v>
      </c>
      <c r="K22" s="76" t="n">
        <f aca="false">INDEX(DC_Cost!$C$11:$Q$11,3*(K$6-1)+2)</f>
        <v>227</v>
      </c>
      <c r="L22" s="76" t="n">
        <f aca="false">INDEX(DC_Cost!$C$11:$Q$11,3*(L$6-1)+2)</f>
        <v>137</v>
      </c>
      <c r="M22" s="76" t="n">
        <f aca="false">INDEX(DC_Cost!$C$11:$Q$11,3*(M$6-1)+2)</f>
        <v>227</v>
      </c>
      <c r="N22" s="76" t="n">
        <f aca="false">INDEX(DC_Cost!$C$11:$Q$11,3*(N$6-1)+2)</f>
        <v>137</v>
      </c>
      <c r="O22" s="76" t="n">
        <f aca="false">INDEX(DC_Cost!$C$11:$Q$11,3*(O$6-1)+2)</f>
        <v>227</v>
      </c>
      <c r="P22" s="76" t="n">
        <f aca="false">INDEX(DC_Cost!$C$11:$Q$11,3*(P$6-1)+2)</f>
        <v>137</v>
      </c>
      <c r="Q22" s="76" t="n">
        <f aca="false">INDEX(DC_Cost!$C$11:$Q$11,3*(Q$6-1)+2)</f>
        <v>227</v>
      </c>
      <c r="R22" s="76" t="n">
        <f aca="false">INDEX(DC_Cost!$C$11:$Q$11,3*(R$6-1)+2)</f>
        <v>137</v>
      </c>
      <c r="S22" s="76" t="n">
        <f aca="false">INDEX(DC_Cost!$C$11:$Q$11,3*(S$6-1)+2)</f>
        <v>227</v>
      </c>
      <c r="T22" s="76" t="n">
        <f aca="false">INDEX(DC_Cost!$C$11:$Q$11,3*(T$6-1)+2)</f>
        <v>137</v>
      </c>
      <c r="U22" s="76" t="n">
        <f aca="false">INDEX(DC_Cost!$C$11:$Q$11,3*(U$6-1)+2)</f>
        <v>227</v>
      </c>
      <c r="V22" s="76" t="n">
        <f aca="false">INDEX(DC_Cost!$C$11:$Q$11,3*(V$6-1)+2)</f>
        <v>137</v>
      </c>
      <c r="W22" s="76" t="n">
        <f aca="false">INDEX(DC_Cost!$C$11:$Q$11,3*(W$6-1)+2)</f>
        <v>227</v>
      </c>
      <c r="X22" s="76" t="n">
        <f aca="false">INDEX(DC_Cost!$C$11:$Q$11,3*(X$6-1)+2)</f>
        <v>137</v>
      </c>
      <c r="Y22" s="76" t="n">
        <f aca="false">INDEX(DC_Cost!$C$11:$Q$11,3*(Y$6-1)+2)</f>
        <v>227</v>
      </c>
      <c r="Z22" s="76" t="n">
        <f aca="false">INDEX(DC_Cost!$C$11:$Q$11,3*(Z$6-1)+2)</f>
        <v>137</v>
      </c>
      <c r="AA22" s="76" t="n">
        <f aca="false">INDEX(DC_Cost!$C$11:$Q$11,3*(AA$6-1)+2)</f>
        <v>227</v>
      </c>
      <c r="AB22" s="76" t="n">
        <f aca="false">INDEX(DC_Cost!$C$11:$Q$11,3*(AB$6-1)+2)</f>
        <v>137</v>
      </c>
      <c r="AC22" s="76" t="n">
        <f aca="false">INDEX(DC_Cost!$C$11:$Q$11,3*(AC$6-1)+2)</f>
        <v>227</v>
      </c>
      <c r="AD22" s="76" t="n">
        <f aca="false">INDEX(DC_Cost!$C$11:$Q$11,3*(AD$6-1)+2)</f>
        <v>137</v>
      </c>
      <c r="AE22" s="76" t="n">
        <f aca="false">INDEX(DC_Cost!$C$11:$Q$11,3*(AE$6-1)+2)</f>
        <v>227</v>
      </c>
      <c r="AF22" s="76" t="n">
        <f aca="false">INDEX(DC_Cost!$C$11:$Q$11,3*(AF$6-1)+2)</f>
        <v>137</v>
      </c>
      <c r="AG22" s="76" t="n">
        <f aca="false">INDEX(DC_Cost!$C$11:$Q$11,3*(AG$6-1)+2)</f>
        <v>227</v>
      </c>
      <c r="AH22" s="76" t="n">
        <f aca="false">INDEX(DC_Cost!$C$11:$Q$11,3*(AH$6-1)+2)</f>
        <v>137</v>
      </c>
    </row>
    <row r="23" customFormat="false" ht="15" hidden="false" customHeight="false" outlineLevel="0" collapsed="false">
      <c r="A23" s="72" t="s">
        <v>500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</row>
    <row r="24" customFormat="false" ht="15" hidden="false" customHeight="false" outlineLevel="0" collapsed="false">
      <c r="A24" s="44" t="s">
        <v>197</v>
      </c>
      <c r="B24" s="45" t="s">
        <v>194</v>
      </c>
      <c r="C24" s="76" t="n">
        <f aca="false">INDEX(Arch!$C$7:$E$7,C$7)</f>
        <v>49</v>
      </c>
      <c r="D24" s="76" t="n">
        <f aca="false">INDEX(Arch!$C$7:$E$7,D$7)</f>
        <v>49</v>
      </c>
      <c r="E24" s="76" t="n">
        <f aca="false">INDEX(Arch!$C$7:$E$7,E$7)</f>
        <v>49</v>
      </c>
      <c r="F24" s="76" t="n">
        <f aca="false">INDEX(Arch!$C$7:$E$7,F$7)</f>
        <v>49</v>
      </c>
      <c r="G24" s="76" t="n">
        <f aca="false">INDEX(Arch!$C$7:$E$7,G$7)</f>
        <v>49</v>
      </c>
      <c r="H24" s="76" t="n">
        <f aca="false">INDEX(Arch!$C$7:$E$7,H$7)</f>
        <v>49</v>
      </c>
      <c r="I24" s="76" t="n">
        <f aca="false">INDEX(Arch!$C$7:$E$7,I$7)</f>
        <v>49</v>
      </c>
      <c r="J24" s="76" t="n">
        <f aca="false">INDEX(Arch!$C$7:$E$7,J$7)</f>
        <v>49</v>
      </c>
      <c r="K24" s="76" t="n">
        <f aca="false">INDEX(Arch!$C$7:$E$7,K$7)</f>
        <v>49</v>
      </c>
      <c r="L24" s="76" t="n">
        <f aca="false">INDEX(Arch!$C$7:$E$7,L$7)</f>
        <v>49</v>
      </c>
      <c r="M24" s="76" t="n">
        <f aca="false">INDEX(Arch!$C$7:$E$7,M$7)</f>
        <v>49</v>
      </c>
      <c r="N24" s="76" t="n">
        <f aca="false">INDEX(Arch!$C$7:$E$7,N$7)</f>
        <v>49</v>
      </c>
      <c r="O24" s="76" t="n">
        <f aca="false">INDEX(Arch!$C$7:$E$7,O$7)</f>
        <v>49</v>
      </c>
      <c r="P24" s="76" t="n">
        <f aca="false">INDEX(Arch!$C$7:$E$7,P$7)</f>
        <v>49</v>
      </c>
      <c r="Q24" s="76" t="n">
        <f aca="false">INDEX(Arch!$C$7:$E$7,Q$7)</f>
        <v>49</v>
      </c>
      <c r="R24" s="76" t="n">
        <f aca="false">INDEX(Arch!$C$7:$E$7,R$7)</f>
        <v>49</v>
      </c>
      <c r="S24" s="76" t="n">
        <f aca="false">INDEX(Arch!$C$7:$E$7,S$7)</f>
        <v>49</v>
      </c>
      <c r="T24" s="76" t="n">
        <f aca="false">INDEX(Arch!$C$7:$E$7,T$7)</f>
        <v>49</v>
      </c>
      <c r="U24" s="76" t="n">
        <f aca="false">INDEX(Arch!$C$7:$E$7,U$7)</f>
        <v>49</v>
      </c>
      <c r="V24" s="76" t="n">
        <f aca="false">INDEX(Arch!$C$7:$E$7,V$7)</f>
        <v>49</v>
      </c>
      <c r="W24" s="76" t="n">
        <f aca="false">INDEX(Arch!$C$7:$E$7,W$7)</f>
        <v>49</v>
      </c>
      <c r="X24" s="76" t="n">
        <f aca="false">INDEX(Arch!$C$7:$E$7,X$7)</f>
        <v>49</v>
      </c>
      <c r="Y24" s="76" t="n">
        <f aca="false">INDEX(Arch!$C$7:$E$7,Y$7)</f>
        <v>49</v>
      </c>
      <c r="Z24" s="76" t="n">
        <f aca="false">INDEX(Arch!$C$7:$E$7,Z$7)</f>
        <v>49</v>
      </c>
      <c r="AA24" s="76" t="n">
        <f aca="false">INDEX(Arch!$C$7:$E$7,AA$7)</f>
        <v>49</v>
      </c>
      <c r="AB24" s="76" t="n">
        <f aca="false">INDEX(Arch!$C$7:$E$7,AB$7)</f>
        <v>49</v>
      </c>
      <c r="AC24" s="76" t="n">
        <f aca="false">INDEX(Arch!$C$7:$E$7,AC$7)</f>
        <v>180</v>
      </c>
      <c r="AD24" s="76" t="n">
        <f aca="false">INDEX(Arch!$C$7:$E$7,AD$7)</f>
        <v>180</v>
      </c>
      <c r="AE24" s="76" t="n">
        <f aca="false">INDEX(Arch!$C$7:$E$7,AE$7)</f>
        <v>180</v>
      </c>
      <c r="AF24" s="76" t="n">
        <f aca="false">INDEX(Arch!$C$7:$E$7,AF$7)</f>
        <v>180</v>
      </c>
      <c r="AG24" s="76" t="n">
        <f aca="false">INDEX(Arch!$C$7:$E$7,AG$7)</f>
        <v>180</v>
      </c>
      <c r="AH24" s="76" t="n">
        <f aca="false">INDEX(Arch!$C$7:$E$7,AH$7)</f>
        <v>180</v>
      </c>
    </row>
    <row r="25" customFormat="false" ht="15" hidden="false" customHeight="false" outlineLevel="0" collapsed="false">
      <c r="A25" s="44" t="s">
        <v>199</v>
      </c>
      <c r="B25" s="44" t="s">
        <v>200</v>
      </c>
      <c r="C25" s="76" t="n">
        <f aca="false">INDEX(Arch!$C$8:$E$8,C$7)</f>
        <v>61</v>
      </c>
      <c r="D25" s="76" t="n">
        <f aca="false">INDEX(Arch!$C$8:$E$8,D$7)</f>
        <v>61</v>
      </c>
      <c r="E25" s="76" t="n">
        <f aca="false">INDEX(Arch!$C$8:$E$8,E$7)</f>
        <v>61</v>
      </c>
      <c r="F25" s="76" t="n">
        <f aca="false">INDEX(Arch!$C$8:$E$8,F$7)</f>
        <v>61</v>
      </c>
      <c r="G25" s="76" t="n">
        <f aca="false">INDEX(Arch!$C$8:$E$8,G$7)</f>
        <v>61</v>
      </c>
      <c r="H25" s="76" t="n">
        <f aca="false">INDEX(Arch!$C$8:$E$8,H$7)</f>
        <v>61</v>
      </c>
      <c r="I25" s="76" t="n">
        <f aca="false">INDEX(Arch!$C$8:$E$8,I$7)</f>
        <v>61</v>
      </c>
      <c r="J25" s="76" t="n">
        <f aca="false">INDEX(Arch!$C$8:$E$8,J$7)</f>
        <v>61</v>
      </c>
      <c r="K25" s="76" t="n">
        <f aca="false">INDEX(Arch!$C$8:$E$8,K$7)</f>
        <v>61</v>
      </c>
      <c r="L25" s="76" t="n">
        <f aca="false">INDEX(Arch!$C$8:$E$8,L$7)</f>
        <v>61</v>
      </c>
      <c r="M25" s="76" t="n">
        <f aca="false">INDEX(Arch!$C$8:$E$8,M$7)</f>
        <v>61</v>
      </c>
      <c r="N25" s="76" t="n">
        <f aca="false">INDEX(Arch!$C$8:$E$8,N$7)</f>
        <v>61</v>
      </c>
      <c r="O25" s="76" t="n">
        <f aca="false">INDEX(Arch!$C$8:$E$8,O$7)</f>
        <v>61</v>
      </c>
      <c r="P25" s="76" t="n">
        <f aca="false">INDEX(Arch!$C$8:$E$8,P$7)</f>
        <v>61</v>
      </c>
      <c r="Q25" s="76" t="n">
        <f aca="false">INDEX(Arch!$C$8:$E$8,Q$7)</f>
        <v>61</v>
      </c>
      <c r="R25" s="76" t="n">
        <f aca="false">INDEX(Arch!$C$8:$E$8,R$7)</f>
        <v>61</v>
      </c>
      <c r="S25" s="76" t="n">
        <f aca="false">INDEX(Arch!$C$8:$E$8,S$7)</f>
        <v>61</v>
      </c>
      <c r="T25" s="76" t="n">
        <f aca="false">INDEX(Arch!$C$8:$E$8,T$7)</f>
        <v>61</v>
      </c>
      <c r="U25" s="76" t="n">
        <f aca="false">INDEX(Arch!$C$8:$E$8,U$7)</f>
        <v>61</v>
      </c>
      <c r="V25" s="76" t="n">
        <f aca="false">INDEX(Arch!$C$8:$E$8,V$7)</f>
        <v>61</v>
      </c>
      <c r="W25" s="76" t="n">
        <f aca="false">INDEX(Arch!$C$8:$E$8,W$7)</f>
        <v>61</v>
      </c>
      <c r="X25" s="76" t="n">
        <f aca="false">INDEX(Arch!$C$8:$E$8,X$7)</f>
        <v>61</v>
      </c>
      <c r="Y25" s="76" t="n">
        <f aca="false">INDEX(Arch!$C$8:$E$8,Y$7)</f>
        <v>61</v>
      </c>
      <c r="Z25" s="76" t="n">
        <f aca="false">INDEX(Arch!$C$8:$E$8,Z$7)</f>
        <v>61</v>
      </c>
      <c r="AA25" s="76" t="n">
        <f aca="false">INDEX(Arch!$C$8:$E$8,AA$7)</f>
        <v>61</v>
      </c>
      <c r="AB25" s="76" t="n">
        <f aca="false">INDEX(Arch!$C$8:$E$8,AB$7)</f>
        <v>61</v>
      </c>
      <c r="AC25" s="76" t="n">
        <f aca="false">INDEX(Arch!$C$8:$E$8,AC$7)</f>
        <v>100</v>
      </c>
      <c r="AD25" s="76" t="n">
        <f aca="false">INDEX(Arch!$C$8:$E$8,AD$7)</f>
        <v>100</v>
      </c>
      <c r="AE25" s="76" t="n">
        <f aca="false">INDEX(Arch!$C$8:$E$8,AE$7)</f>
        <v>100</v>
      </c>
      <c r="AF25" s="76" t="n">
        <f aca="false">INDEX(Arch!$C$8:$E$8,AF$7)</f>
        <v>100</v>
      </c>
      <c r="AG25" s="76" t="n">
        <f aca="false">INDEX(Arch!$C$8:$E$8,AG$7)</f>
        <v>100</v>
      </c>
      <c r="AH25" s="76" t="n">
        <f aca="false">INDEX(Arch!$C$8:$E$8,AH$7)</f>
        <v>100</v>
      </c>
    </row>
    <row r="26" customFormat="false" ht="15" hidden="false" customHeight="false" outlineLevel="0" collapsed="false">
      <c r="A26" s="45" t="s">
        <v>202</v>
      </c>
      <c r="B26" s="44"/>
      <c r="C26" s="76" t="n">
        <f aca="false">INDEX(Arch!$C$9:$E$9,C$7)</f>
        <v>7168</v>
      </c>
      <c r="D26" s="76" t="n">
        <f aca="false">INDEX(Arch!$C$9:$E$9,D$7)</f>
        <v>7168</v>
      </c>
      <c r="E26" s="76" t="n">
        <f aca="false">INDEX(Arch!$C$9:$E$9,E$7)</f>
        <v>7168</v>
      </c>
      <c r="F26" s="76" t="n">
        <f aca="false">INDEX(Arch!$C$9:$E$9,F$7)</f>
        <v>7168</v>
      </c>
      <c r="G26" s="76" t="n">
        <f aca="false">INDEX(Arch!$C$9:$E$9,G$7)</f>
        <v>7168</v>
      </c>
      <c r="H26" s="76" t="n">
        <f aca="false">INDEX(Arch!$C$9:$E$9,H$7)</f>
        <v>7168</v>
      </c>
      <c r="I26" s="76" t="n">
        <f aca="false">INDEX(Arch!$C$9:$E$9,I$7)</f>
        <v>7168</v>
      </c>
      <c r="J26" s="76" t="n">
        <f aca="false">INDEX(Arch!$C$9:$E$9,J$7)</f>
        <v>7168</v>
      </c>
      <c r="K26" s="76" t="n">
        <f aca="false">INDEX(Arch!$C$9:$E$9,K$7)</f>
        <v>7168</v>
      </c>
      <c r="L26" s="76" t="n">
        <f aca="false">INDEX(Arch!$C$9:$E$9,L$7)</f>
        <v>7168</v>
      </c>
      <c r="M26" s="76" t="n">
        <f aca="false">INDEX(Arch!$C$9:$E$9,M$7)</f>
        <v>7168</v>
      </c>
      <c r="N26" s="76" t="n">
        <f aca="false">INDEX(Arch!$C$9:$E$9,N$7)</f>
        <v>7168</v>
      </c>
      <c r="O26" s="76" t="n">
        <f aca="false">INDEX(Arch!$C$9:$E$9,O$7)</f>
        <v>7168</v>
      </c>
      <c r="P26" s="76" t="n">
        <f aca="false">INDEX(Arch!$C$9:$E$9,P$7)</f>
        <v>7168</v>
      </c>
      <c r="Q26" s="76" t="n">
        <f aca="false">INDEX(Arch!$C$9:$E$9,Q$7)</f>
        <v>7168</v>
      </c>
      <c r="R26" s="76" t="n">
        <f aca="false">INDEX(Arch!$C$9:$E$9,R$7)</f>
        <v>7168</v>
      </c>
      <c r="S26" s="76" t="n">
        <f aca="false">INDEX(Arch!$C$9:$E$9,S$7)</f>
        <v>7168</v>
      </c>
      <c r="T26" s="76" t="n">
        <f aca="false">INDEX(Arch!$C$9:$E$9,T$7)</f>
        <v>7168</v>
      </c>
      <c r="U26" s="76" t="n">
        <f aca="false">INDEX(Arch!$C$9:$E$9,U$7)</f>
        <v>7168</v>
      </c>
      <c r="V26" s="76" t="n">
        <f aca="false">INDEX(Arch!$C$9:$E$9,V$7)</f>
        <v>7168</v>
      </c>
      <c r="W26" s="76" t="n">
        <f aca="false">INDEX(Arch!$C$9:$E$9,W$7)</f>
        <v>7168</v>
      </c>
      <c r="X26" s="76" t="n">
        <f aca="false">INDEX(Arch!$C$9:$E$9,X$7)</f>
        <v>7168</v>
      </c>
      <c r="Y26" s="76" t="n">
        <f aca="false">INDEX(Arch!$C$9:$E$9,Y$7)</f>
        <v>7168</v>
      </c>
      <c r="Z26" s="76" t="n">
        <f aca="false">INDEX(Arch!$C$9:$E$9,Z$7)</f>
        <v>7168</v>
      </c>
      <c r="AA26" s="76" t="n">
        <f aca="false">INDEX(Arch!$C$9:$E$9,AA$7)</f>
        <v>7168</v>
      </c>
      <c r="AB26" s="76" t="n">
        <f aca="false">INDEX(Arch!$C$9:$E$9,AB$7)</f>
        <v>7168</v>
      </c>
      <c r="AC26" s="76" t="n">
        <f aca="false">INDEX(Arch!$C$9:$E$9,AC$7)</f>
        <v>12288</v>
      </c>
      <c r="AD26" s="76" t="n">
        <f aca="false">INDEX(Arch!$C$9:$E$9,AD$7)</f>
        <v>12288</v>
      </c>
      <c r="AE26" s="76" t="n">
        <f aca="false">INDEX(Arch!$C$9:$E$9,AE$7)</f>
        <v>12288</v>
      </c>
      <c r="AF26" s="76" t="n">
        <f aca="false">INDEX(Arch!$C$9:$E$9,AF$7)</f>
        <v>12288</v>
      </c>
      <c r="AG26" s="76" t="n">
        <f aca="false">INDEX(Arch!$C$9:$E$9,AG$7)</f>
        <v>12288</v>
      </c>
      <c r="AH26" s="76" t="n">
        <f aca="false">INDEX(Arch!$C$9:$E$9,AH$7)</f>
        <v>12288</v>
      </c>
    </row>
    <row r="27" customFormat="false" ht="15" hidden="false" customHeight="false" outlineLevel="0" collapsed="false">
      <c r="A27" s="44" t="s">
        <v>501</v>
      </c>
      <c r="B27" s="44"/>
      <c r="C27" s="76" t="n">
        <f aca="false">INDEX(Arch!$C$13:$E$13,C$7)</f>
        <v>6</v>
      </c>
      <c r="D27" s="76" t="n">
        <f aca="false">INDEX(Arch!$C$13:$E$13,D$7)</f>
        <v>6</v>
      </c>
      <c r="E27" s="76" t="n">
        <f aca="false">INDEX(Arch!$C$13:$E$13,E$7)</f>
        <v>6</v>
      </c>
      <c r="F27" s="76" t="n">
        <f aca="false">INDEX(Arch!$C$13:$E$13,F$7)</f>
        <v>6</v>
      </c>
      <c r="G27" s="76" t="n">
        <f aca="false">INDEX(Arch!$C$13:$E$13,G$7)</f>
        <v>6</v>
      </c>
      <c r="H27" s="76" t="n">
        <f aca="false">INDEX(Arch!$C$13:$E$13,H$7)</f>
        <v>6</v>
      </c>
      <c r="I27" s="76" t="n">
        <f aca="false">INDEX(Arch!$C$13:$E$13,I$7)</f>
        <v>6</v>
      </c>
      <c r="J27" s="76" t="n">
        <f aca="false">INDEX(Arch!$C$13:$E$13,J$7)</f>
        <v>6</v>
      </c>
      <c r="K27" s="76" t="n">
        <f aca="false">INDEX(Arch!$C$13:$E$13,K$7)</f>
        <v>6</v>
      </c>
      <c r="L27" s="76" t="n">
        <f aca="false">INDEX(Arch!$C$13:$E$13,L$7)</f>
        <v>6</v>
      </c>
      <c r="M27" s="76" t="n">
        <f aca="false">INDEX(Arch!$C$13:$E$13,M$7)</f>
        <v>6</v>
      </c>
      <c r="N27" s="76" t="n">
        <f aca="false">INDEX(Arch!$C$13:$E$13,N$7)</f>
        <v>6</v>
      </c>
      <c r="O27" s="76" t="n">
        <f aca="false">INDEX(Arch!$C$13:$E$13,O$7)</f>
        <v>6</v>
      </c>
      <c r="P27" s="76" t="n">
        <f aca="false">INDEX(Arch!$C$13:$E$13,P$7)</f>
        <v>6</v>
      </c>
      <c r="Q27" s="76" t="n">
        <f aca="false">INDEX(Arch!$C$13:$E$13,Q$7)</f>
        <v>6</v>
      </c>
      <c r="R27" s="76" t="n">
        <f aca="false">INDEX(Arch!$C$13:$E$13,R$7)</f>
        <v>6</v>
      </c>
      <c r="S27" s="76" t="n">
        <f aca="false">INDEX(Arch!$C$13:$E$13,S$7)</f>
        <v>6</v>
      </c>
      <c r="T27" s="76" t="n">
        <f aca="false">INDEX(Arch!$C$13:$E$13,T$7)</f>
        <v>6</v>
      </c>
      <c r="U27" s="76" t="n">
        <f aca="false">INDEX(Arch!$C$13:$E$13,U$7)</f>
        <v>6</v>
      </c>
      <c r="V27" s="76" t="n">
        <f aca="false">INDEX(Arch!$C$13:$E$13,V$7)</f>
        <v>6</v>
      </c>
      <c r="W27" s="76" t="n">
        <f aca="false">INDEX(Arch!$C$13:$E$13,W$7)</f>
        <v>6</v>
      </c>
      <c r="X27" s="76" t="n">
        <f aca="false">INDEX(Arch!$C$13:$E$13,X$7)</f>
        <v>6</v>
      </c>
      <c r="Y27" s="76" t="n">
        <f aca="false">INDEX(Arch!$C$13:$E$13,Y$7)</f>
        <v>6</v>
      </c>
      <c r="Z27" s="76" t="n">
        <f aca="false">INDEX(Arch!$C$13:$E$13,Z$7)</f>
        <v>6</v>
      </c>
      <c r="AA27" s="76" t="n">
        <f aca="false">INDEX(Arch!$C$13:$E$13,AA$7)</f>
        <v>6</v>
      </c>
      <c r="AB27" s="76" t="n">
        <f aca="false">INDEX(Arch!$C$13:$E$13,AB$7)</f>
        <v>6</v>
      </c>
      <c r="AC27" s="76" t="n">
        <f aca="false">INDEX(Arch!$C$13:$E$13,AC$7)</f>
        <v>16</v>
      </c>
      <c r="AD27" s="76" t="n">
        <f aca="false">INDEX(Arch!$C$13:$E$13,AD$7)</f>
        <v>16</v>
      </c>
      <c r="AE27" s="76" t="n">
        <f aca="false">INDEX(Arch!$C$13:$E$13,AE$7)</f>
        <v>16</v>
      </c>
      <c r="AF27" s="76" t="n">
        <f aca="false">INDEX(Arch!$C$13:$E$13,AF$7)</f>
        <v>16</v>
      </c>
      <c r="AG27" s="76" t="n">
        <f aca="false">INDEX(Arch!$C$13:$E$13,AG$7)</f>
        <v>16</v>
      </c>
      <c r="AH27" s="76" t="n">
        <f aca="false">INDEX(Arch!$C$13:$E$13,AH$7)</f>
        <v>16</v>
      </c>
    </row>
    <row r="28" customFormat="false" ht="15" hidden="false" customHeight="false" outlineLevel="0" collapsed="false">
      <c r="A28" s="44" t="s">
        <v>379</v>
      </c>
      <c r="B28" s="45" t="s">
        <v>194</v>
      </c>
      <c r="C28" s="80" t="n">
        <f aca="false">INDEX(Arch!$C$28:$E$28,C$7)</f>
        <v>20.2777777777778</v>
      </c>
      <c r="D28" s="80" t="n">
        <f aca="false">INDEX(Arch!$C$28:$E$28,D$7)</f>
        <v>20.2777777777778</v>
      </c>
      <c r="E28" s="80" t="n">
        <f aca="false">INDEX(Arch!$C$28:$E$28,E$7)</f>
        <v>20.2777777777778</v>
      </c>
      <c r="F28" s="80" t="n">
        <f aca="false">INDEX(Arch!$C$28:$E$28,F$7)</f>
        <v>20.2777777777778</v>
      </c>
      <c r="G28" s="80" t="n">
        <f aca="false">INDEX(Arch!$C$28:$E$28,G$7)</f>
        <v>20.2777777777778</v>
      </c>
      <c r="H28" s="80" t="n">
        <f aca="false">INDEX(Arch!$C$28:$E$28,H$7)</f>
        <v>20.2777777777778</v>
      </c>
      <c r="I28" s="80" t="n">
        <f aca="false">INDEX(Arch!$C$28:$E$28,I$7)</f>
        <v>20.2777777777778</v>
      </c>
      <c r="J28" s="80" t="n">
        <f aca="false">INDEX(Arch!$C$28:$E$28,J$7)</f>
        <v>20.2777777777778</v>
      </c>
      <c r="K28" s="80" t="n">
        <f aca="false">INDEX(Arch!$C$28:$E$28,K$7)</f>
        <v>20.2777777777778</v>
      </c>
      <c r="L28" s="80" t="n">
        <f aca="false">INDEX(Arch!$C$28:$E$28,L$7)</f>
        <v>20.2777777777778</v>
      </c>
      <c r="M28" s="80" t="n">
        <f aca="false">INDEX(Arch!$C$28:$E$28,M$7)</f>
        <v>20.2777777777778</v>
      </c>
      <c r="N28" s="80" t="n">
        <f aca="false">INDEX(Arch!$C$28:$E$28,N$7)</f>
        <v>20.2777777777778</v>
      </c>
      <c r="O28" s="80" t="n">
        <f aca="false">INDEX(Arch!$C$28:$E$28,O$7)</f>
        <v>20.2777777777778</v>
      </c>
      <c r="P28" s="80" t="n">
        <f aca="false">INDEX(Arch!$C$28:$E$28,P$7)</f>
        <v>20.2777777777778</v>
      </c>
      <c r="Q28" s="80" t="n">
        <f aca="false">INDEX(Arch!$C$28:$E$28,Q$7)</f>
        <v>20.2777777777778</v>
      </c>
      <c r="R28" s="80" t="n">
        <f aca="false">INDEX(Arch!$C$28:$E$28,R$7)</f>
        <v>20.2777777777778</v>
      </c>
      <c r="S28" s="80" t="n">
        <f aca="false">INDEX(Arch!$C$28:$E$28,S$7)</f>
        <v>20.2777777777778</v>
      </c>
      <c r="T28" s="80" t="n">
        <f aca="false">INDEX(Arch!$C$28:$E$28,T$7)</f>
        <v>20.2777777777778</v>
      </c>
      <c r="U28" s="80" t="n">
        <f aca="false">INDEX(Arch!$C$28:$E$28,U$7)</f>
        <v>20.2777777777778</v>
      </c>
      <c r="V28" s="80" t="n">
        <f aca="false">INDEX(Arch!$C$28:$E$28,V$7)</f>
        <v>20.2777777777778</v>
      </c>
      <c r="W28" s="80" t="n">
        <f aca="false">INDEX(Arch!$C$28:$E$28,W$7)</f>
        <v>20.2777777777778</v>
      </c>
      <c r="X28" s="80" t="n">
        <f aca="false">INDEX(Arch!$C$28:$E$28,X$7)</f>
        <v>20.2777777777778</v>
      </c>
      <c r="Y28" s="80" t="n">
        <f aca="false">INDEX(Arch!$C$28:$E$28,Y$7)</f>
        <v>20.2777777777778</v>
      </c>
      <c r="Z28" s="80" t="n">
        <f aca="false">INDEX(Arch!$C$28:$E$28,Z$7)</f>
        <v>20.2777777777778</v>
      </c>
      <c r="AA28" s="80" t="n">
        <f aca="false">INDEX(Arch!$C$28:$E$28,AA$7)</f>
        <v>20.2777777777778</v>
      </c>
      <c r="AB28" s="80" t="n">
        <f aca="false">INDEX(Arch!$C$28:$E$28,AB$7)</f>
        <v>20.2777777777778</v>
      </c>
      <c r="AC28" s="80" t="n">
        <f aca="false">INDEX(Arch!$C$28:$E$28,AC$7)</f>
        <v>49.0725806451613</v>
      </c>
      <c r="AD28" s="80" t="n">
        <f aca="false">INDEX(Arch!$C$28:$E$28,AD$7)</f>
        <v>49.0725806451613</v>
      </c>
      <c r="AE28" s="80" t="n">
        <f aca="false">INDEX(Arch!$C$28:$E$28,AE$7)</f>
        <v>49.0725806451613</v>
      </c>
      <c r="AF28" s="80" t="n">
        <f aca="false">INDEX(Arch!$C$28:$E$28,AF$7)</f>
        <v>49.0725806451613</v>
      </c>
      <c r="AG28" s="80" t="n">
        <f aca="false">INDEX(Arch!$C$28:$E$28,AG$7)</f>
        <v>49.0725806451613</v>
      </c>
      <c r="AH28" s="80" t="n">
        <f aca="false">INDEX(Arch!$C$28:$E$28,AH$7)</f>
        <v>49.0725806451613</v>
      </c>
    </row>
    <row r="29" customFormat="false" ht="15" hidden="false" customHeight="false" outlineLevel="0" collapsed="false">
      <c r="A29" s="44" t="s">
        <v>238</v>
      </c>
      <c r="B29" s="45" t="s">
        <v>194</v>
      </c>
      <c r="C29" s="76" t="n">
        <f aca="false">INDEX(Arch!$C$29:$E$29,C$7)</f>
        <v>1579.72222222222</v>
      </c>
      <c r="D29" s="76" t="n">
        <f aca="false">INDEX(Arch!$C$29:$E$29,D$7)</f>
        <v>1579.72222222222</v>
      </c>
      <c r="E29" s="76" t="n">
        <f aca="false">INDEX(Arch!$C$29:$E$29,E$7)</f>
        <v>1579.72222222222</v>
      </c>
      <c r="F29" s="76" t="n">
        <f aca="false">INDEX(Arch!$C$29:$E$29,F$7)</f>
        <v>1579.72222222222</v>
      </c>
      <c r="G29" s="76" t="n">
        <f aca="false">INDEX(Arch!$C$29:$E$29,G$7)</f>
        <v>1579.72222222222</v>
      </c>
      <c r="H29" s="76" t="n">
        <f aca="false">INDEX(Arch!$C$29:$E$29,H$7)</f>
        <v>1579.72222222222</v>
      </c>
      <c r="I29" s="76" t="n">
        <f aca="false">INDEX(Arch!$C$29:$E$29,I$7)</f>
        <v>1579.72222222222</v>
      </c>
      <c r="J29" s="76" t="n">
        <f aca="false">INDEX(Arch!$C$29:$E$29,J$7)</f>
        <v>1579.72222222222</v>
      </c>
      <c r="K29" s="76" t="n">
        <f aca="false">INDEX(Arch!$C$29:$E$29,K$7)</f>
        <v>1579.72222222222</v>
      </c>
      <c r="L29" s="76" t="n">
        <f aca="false">INDEX(Arch!$C$29:$E$29,L$7)</f>
        <v>1579.72222222222</v>
      </c>
      <c r="M29" s="76" t="n">
        <f aca="false">INDEX(Arch!$C$29:$E$29,M$7)</f>
        <v>1579.72222222222</v>
      </c>
      <c r="N29" s="76" t="n">
        <f aca="false">INDEX(Arch!$C$29:$E$29,N$7)</f>
        <v>1579.72222222222</v>
      </c>
      <c r="O29" s="76" t="n">
        <f aca="false">INDEX(Arch!$C$29:$E$29,O$7)</f>
        <v>1579.72222222222</v>
      </c>
      <c r="P29" s="76" t="n">
        <f aca="false">INDEX(Arch!$C$29:$E$29,P$7)</f>
        <v>1579.72222222222</v>
      </c>
      <c r="Q29" s="76" t="n">
        <f aca="false">INDEX(Arch!$C$29:$E$29,Q$7)</f>
        <v>1579.72222222222</v>
      </c>
      <c r="R29" s="76" t="n">
        <f aca="false">INDEX(Arch!$C$29:$E$29,R$7)</f>
        <v>1579.72222222222</v>
      </c>
      <c r="S29" s="76" t="n">
        <f aca="false">INDEX(Arch!$C$29:$E$29,S$7)</f>
        <v>1579.72222222222</v>
      </c>
      <c r="T29" s="76" t="n">
        <f aca="false">INDEX(Arch!$C$29:$E$29,T$7)</f>
        <v>1579.72222222222</v>
      </c>
      <c r="U29" s="76" t="n">
        <f aca="false">INDEX(Arch!$C$29:$E$29,U$7)</f>
        <v>1579.72222222222</v>
      </c>
      <c r="V29" s="76" t="n">
        <f aca="false">INDEX(Arch!$C$29:$E$29,V$7)</f>
        <v>1579.72222222222</v>
      </c>
      <c r="W29" s="76" t="n">
        <f aca="false">INDEX(Arch!$C$29:$E$29,W$7)</f>
        <v>1579.72222222222</v>
      </c>
      <c r="X29" s="76" t="n">
        <f aca="false">INDEX(Arch!$C$29:$E$29,X$7)</f>
        <v>1579.72222222222</v>
      </c>
      <c r="Y29" s="76" t="n">
        <f aca="false">INDEX(Arch!$C$29:$E$29,Y$7)</f>
        <v>1579.72222222222</v>
      </c>
      <c r="Z29" s="76" t="n">
        <f aca="false">INDEX(Arch!$C$29:$E$29,Z$7)</f>
        <v>1579.72222222222</v>
      </c>
      <c r="AA29" s="76" t="n">
        <f aca="false">INDEX(Arch!$C$29:$E$29,AA$7)</f>
        <v>1579.72222222222</v>
      </c>
      <c r="AB29" s="76" t="n">
        <f aca="false">INDEX(Arch!$C$29:$E$29,AB$7)</f>
        <v>1579.72222222222</v>
      </c>
      <c r="AC29" s="76" t="n">
        <f aca="false">INDEX(Arch!$C$29:$E$29,AC$7)</f>
        <v>3950.92741935484</v>
      </c>
      <c r="AD29" s="76" t="n">
        <f aca="false">INDEX(Arch!$C$29:$E$29,AD$7)</f>
        <v>3950.92741935484</v>
      </c>
      <c r="AE29" s="76" t="n">
        <f aca="false">INDEX(Arch!$C$29:$E$29,AE$7)</f>
        <v>3950.92741935484</v>
      </c>
      <c r="AF29" s="76" t="n">
        <f aca="false">INDEX(Arch!$C$29:$E$29,AF$7)</f>
        <v>3950.92741935484</v>
      </c>
      <c r="AG29" s="76" t="n">
        <f aca="false">INDEX(Arch!$C$29:$E$29,AG$7)</f>
        <v>3950.92741935484</v>
      </c>
      <c r="AH29" s="76" t="n">
        <f aca="false">INDEX(Arch!$C$29:$E$29,AH$7)</f>
        <v>3950.92741935484</v>
      </c>
    </row>
    <row r="30" customFormat="false" ht="15" hidden="false" customHeight="false" outlineLevel="0" collapsed="false">
      <c r="A30" s="45" t="s">
        <v>380</v>
      </c>
      <c r="B30" s="45" t="s">
        <v>194</v>
      </c>
      <c r="C30" s="76" t="n">
        <f aca="false">INDEX(Arch!$C$25:$E$25,C$7)</f>
        <v>3965</v>
      </c>
      <c r="D30" s="76" t="n">
        <f aca="false">INDEX(Arch!$C$25:$E$25,D$7)</f>
        <v>3965</v>
      </c>
      <c r="E30" s="76" t="n">
        <f aca="false">INDEX(Arch!$C$25:$E$25,E$7)</f>
        <v>3965</v>
      </c>
      <c r="F30" s="76" t="n">
        <f aca="false">INDEX(Arch!$C$25:$E$25,F$7)</f>
        <v>3965</v>
      </c>
      <c r="G30" s="76" t="n">
        <f aca="false">INDEX(Arch!$C$25:$E$25,G$7)</f>
        <v>3965</v>
      </c>
      <c r="H30" s="76" t="n">
        <f aca="false">INDEX(Arch!$C$25:$E$25,H$7)</f>
        <v>3965</v>
      </c>
      <c r="I30" s="76" t="n">
        <f aca="false">INDEX(Arch!$C$25:$E$25,I$7)</f>
        <v>3965</v>
      </c>
      <c r="J30" s="76" t="n">
        <f aca="false">INDEX(Arch!$C$25:$E$25,J$7)</f>
        <v>3965</v>
      </c>
      <c r="K30" s="76" t="n">
        <f aca="false">INDEX(Arch!$C$25:$E$25,K$7)</f>
        <v>3965</v>
      </c>
      <c r="L30" s="76" t="n">
        <f aca="false">INDEX(Arch!$C$25:$E$25,L$7)</f>
        <v>3965</v>
      </c>
      <c r="M30" s="76" t="n">
        <f aca="false">INDEX(Arch!$C$25:$E$25,M$7)</f>
        <v>3965</v>
      </c>
      <c r="N30" s="76" t="n">
        <f aca="false">INDEX(Arch!$C$25:$E$25,N$7)</f>
        <v>3965</v>
      </c>
      <c r="O30" s="76" t="n">
        <f aca="false">INDEX(Arch!$C$25:$E$25,O$7)</f>
        <v>3965</v>
      </c>
      <c r="P30" s="76" t="n">
        <f aca="false">INDEX(Arch!$C$25:$E$25,P$7)</f>
        <v>3965</v>
      </c>
      <c r="Q30" s="76" t="n">
        <f aca="false">INDEX(Arch!$C$25:$E$25,Q$7)</f>
        <v>3965</v>
      </c>
      <c r="R30" s="76" t="n">
        <f aca="false">INDEX(Arch!$C$25:$E$25,R$7)</f>
        <v>3965</v>
      </c>
      <c r="S30" s="76" t="n">
        <f aca="false">INDEX(Arch!$C$25:$E$25,S$7)</f>
        <v>3965</v>
      </c>
      <c r="T30" s="76" t="n">
        <f aca="false">INDEX(Arch!$C$25:$E$25,T$7)</f>
        <v>3965</v>
      </c>
      <c r="U30" s="76" t="n">
        <f aca="false">INDEX(Arch!$C$25:$E$25,U$7)</f>
        <v>3965</v>
      </c>
      <c r="V30" s="76" t="n">
        <f aca="false">INDEX(Arch!$C$25:$E$25,V$7)</f>
        <v>3965</v>
      </c>
      <c r="W30" s="76" t="n">
        <f aca="false">INDEX(Arch!$C$25:$E$25,W$7)</f>
        <v>3965</v>
      </c>
      <c r="X30" s="76" t="n">
        <f aca="false">INDEX(Arch!$C$25:$E$25,X$7)</f>
        <v>3965</v>
      </c>
      <c r="Y30" s="76" t="n">
        <f aca="false">INDEX(Arch!$C$25:$E$25,Y$7)</f>
        <v>3965</v>
      </c>
      <c r="Z30" s="76" t="n">
        <f aca="false">INDEX(Arch!$C$25:$E$25,Z$7)</f>
        <v>3965</v>
      </c>
      <c r="AA30" s="76" t="n">
        <f aca="false">INDEX(Arch!$C$25:$E$25,AA$7)</f>
        <v>3965</v>
      </c>
      <c r="AB30" s="76" t="n">
        <f aca="false">INDEX(Arch!$C$25:$E$25,AB$7)</f>
        <v>3965</v>
      </c>
      <c r="AC30" s="105" t="n">
        <f aca="false">Arch!$E$21</f>
        <v>14976</v>
      </c>
      <c r="AD30" s="105" t="n">
        <f aca="false">Arch!$E$21</f>
        <v>14976</v>
      </c>
      <c r="AE30" s="105" t="n">
        <f aca="false">Arch!$E$22</f>
        <v>57600</v>
      </c>
      <c r="AF30" s="105" t="n">
        <f aca="false">Arch!$E$22</f>
        <v>57600</v>
      </c>
      <c r="AG30" s="105" t="n">
        <f aca="false">Arch!$E$23</f>
        <v>204800</v>
      </c>
      <c r="AH30" s="105" t="n">
        <f aca="false">Arch!$E$23</f>
        <v>204800</v>
      </c>
    </row>
    <row r="31" customFormat="false" ht="15" hidden="false" customHeight="false" outlineLevel="0" collapsed="false">
      <c r="A31" s="44" t="s">
        <v>381</v>
      </c>
      <c r="B31" s="45" t="s">
        <v>240</v>
      </c>
      <c r="C31" s="76" t="n">
        <f aca="false">INDEX(Arch!$C$30:$E$30,C$7)</f>
        <v>15990784</v>
      </c>
      <c r="D31" s="76" t="n">
        <f aca="false">INDEX(Arch!$C$30:$E$30,D$7)</f>
        <v>15990784</v>
      </c>
      <c r="E31" s="76" t="n">
        <f aca="false">INDEX(Arch!$C$30:$E$30,E$7)</f>
        <v>15990784</v>
      </c>
      <c r="F31" s="76" t="n">
        <f aca="false">INDEX(Arch!$C$30:$E$30,F$7)</f>
        <v>15990784</v>
      </c>
      <c r="G31" s="76" t="n">
        <f aca="false">INDEX(Arch!$C$30:$E$30,G$7)</f>
        <v>15990784</v>
      </c>
      <c r="H31" s="76" t="n">
        <f aca="false">INDEX(Arch!$C$30:$E$30,H$7)</f>
        <v>15990784</v>
      </c>
      <c r="I31" s="76" t="n">
        <f aca="false">INDEX(Arch!$C$30:$E$30,I$7)</f>
        <v>15990784</v>
      </c>
      <c r="J31" s="76" t="n">
        <f aca="false">INDEX(Arch!$C$30:$E$30,J$7)</f>
        <v>15990784</v>
      </c>
      <c r="K31" s="76" t="n">
        <f aca="false">INDEX(Arch!$C$30:$E$30,K$7)</f>
        <v>15990784</v>
      </c>
      <c r="L31" s="76" t="n">
        <f aca="false">INDEX(Arch!$C$30:$E$30,L$7)</f>
        <v>15990784</v>
      </c>
      <c r="M31" s="76" t="n">
        <f aca="false">INDEX(Arch!$C$30:$E$30,M$7)</f>
        <v>15990784</v>
      </c>
      <c r="N31" s="76" t="n">
        <f aca="false">INDEX(Arch!$C$30:$E$30,N$7)</f>
        <v>15990784</v>
      </c>
      <c r="O31" s="76" t="n">
        <f aca="false">INDEX(Arch!$C$30:$E$30,O$7)</f>
        <v>15990784</v>
      </c>
      <c r="P31" s="76" t="n">
        <f aca="false">INDEX(Arch!$C$30:$E$30,P$7)</f>
        <v>15990784</v>
      </c>
      <c r="Q31" s="76" t="n">
        <f aca="false">INDEX(Arch!$C$30:$E$30,Q$7)</f>
        <v>15990784</v>
      </c>
      <c r="R31" s="76" t="n">
        <f aca="false">INDEX(Arch!$C$30:$E$30,R$7)</f>
        <v>15990784</v>
      </c>
      <c r="S31" s="76" t="n">
        <f aca="false">INDEX(Arch!$C$30:$E$30,S$7)</f>
        <v>15990784</v>
      </c>
      <c r="T31" s="76" t="n">
        <f aca="false">INDEX(Arch!$C$30:$E$30,T$7)</f>
        <v>15990784</v>
      </c>
      <c r="U31" s="76" t="n">
        <f aca="false">INDEX(Arch!$C$30:$E$30,U$7)</f>
        <v>15990784</v>
      </c>
      <c r="V31" s="76" t="n">
        <f aca="false">INDEX(Arch!$C$30:$E$30,V$7)</f>
        <v>15990784</v>
      </c>
      <c r="W31" s="76" t="n">
        <f aca="false">INDEX(Arch!$C$30:$E$30,W$7)</f>
        <v>15990784</v>
      </c>
      <c r="X31" s="76" t="n">
        <f aca="false">INDEX(Arch!$C$30:$E$30,X$7)</f>
        <v>15990784</v>
      </c>
      <c r="Y31" s="76" t="n">
        <f aca="false">INDEX(Arch!$C$30:$E$30,Y$7)</f>
        <v>15990784</v>
      </c>
      <c r="Z31" s="76" t="n">
        <f aca="false">INDEX(Arch!$C$30:$E$30,Z$7)</f>
        <v>15990784</v>
      </c>
      <c r="AA31" s="76" t="n">
        <f aca="false">INDEX(Arch!$C$30:$E$30,AA$7)</f>
        <v>15990784</v>
      </c>
      <c r="AB31" s="76" t="n">
        <f aca="false">INDEX(Arch!$C$30:$E$30,AB$7)</f>
        <v>15990784</v>
      </c>
      <c r="AC31" s="76" t="n">
        <f aca="false">INDEX(Arch!$C$30:$E$30,AC$7)</f>
        <v>4915200</v>
      </c>
      <c r="AD31" s="76" t="n">
        <f aca="false">INDEX(Arch!$C$30:$E$30,AD$7)</f>
        <v>4915200</v>
      </c>
      <c r="AE31" s="76" t="n">
        <f aca="false">INDEX(Arch!$C$30:$E$30,AE$7)</f>
        <v>4915200</v>
      </c>
      <c r="AF31" s="76" t="n">
        <f aca="false">INDEX(Arch!$C$30:$E$30,AF$7)</f>
        <v>4915200</v>
      </c>
      <c r="AG31" s="76" t="n">
        <f aca="false">INDEX(Arch!$C$30:$E$30,AG$7)</f>
        <v>4915200</v>
      </c>
      <c r="AH31" s="76" t="n">
        <f aca="false">INDEX(Arch!$C$30:$E$30,AH$7)</f>
        <v>4915200</v>
      </c>
    </row>
    <row r="32" customFormat="false" ht="15" hidden="false" customHeight="false" outlineLevel="0" collapsed="false">
      <c r="A32" s="44" t="s">
        <v>214</v>
      </c>
      <c r="B32" s="45" t="s">
        <v>45</v>
      </c>
      <c r="C32" s="81" t="n">
        <f aca="false">INDEX(Arch!$C$16:$E$16,C$7)</f>
        <v>0.5</v>
      </c>
      <c r="D32" s="81" t="n">
        <f aca="false">INDEX(Arch!$C$16:$E$16,D$7)</f>
        <v>0.5</v>
      </c>
      <c r="E32" s="81" t="n">
        <f aca="false">INDEX(Arch!$C$16:$E$16,E$7)</f>
        <v>0.5</v>
      </c>
      <c r="F32" s="81" t="n">
        <f aca="false">INDEX(Arch!$C$16:$E$16,F$7)</f>
        <v>0.5</v>
      </c>
      <c r="G32" s="81" t="n">
        <f aca="false">INDEX(Arch!$C$16:$E$16,G$7)</f>
        <v>0.5</v>
      </c>
      <c r="H32" s="81" t="n">
        <f aca="false">INDEX(Arch!$C$16:$E$16,H$7)</f>
        <v>0.5</v>
      </c>
      <c r="I32" s="81" t="n">
        <f aca="false">INDEX(Arch!$C$16:$E$16,I$7)</f>
        <v>0.5</v>
      </c>
      <c r="J32" s="81" t="n">
        <f aca="false">INDEX(Arch!$C$16:$E$16,J$7)</f>
        <v>0.5</v>
      </c>
      <c r="K32" s="81" t="n">
        <f aca="false">INDEX(Arch!$C$16:$E$16,K$7)</f>
        <v>0.5</v>
      </c>
      <c r="L32" s="81" t="n">
        <f aca="false">INDEX(Arch!$C$16:$E$16,L$7)</f>
        <v>0.5</v>
      </c>
      <c r="M32" s="81" t="n">
        <f aca="false">INDEX(Arch!$C$16:$E$16,M$7)</f>
        <v>0.5</v>
      </c>
      <c r="N32" s="81" t="n">
        <f aca="false">INDEX(Arch!$C$16:$E$16,N$7)</f>
        <v>0.5</v>
      </c>
      <c r="O32" s="81" t="n">
        <f aca="false">INDEX(Arch!$C$16:$E$16,O$7)</f>
        <v>0.5</v>
      </c>
      <c r="P32" s="81" t="n">
        <f aca="false">INDEX(Arch!$C$16:$E$16,P$7)</f>
        <v>0.5</v>
      </c>
      <c r="Q32" s="81" t="n">
        <f aca="false">INDEX(Arch!$C$16:$E$16,Q$7)</f>
        <v>0.5</v>
      </c>
      <c r="R32" s="81" t="n">
        <f aca="false">INDEX(Arch!$C$16:$E$16,R$7)</f>
        <v>0.5</v>
      </c>
      <c r="S32" s="81" t="n">
        <f aca="false">INDEX(Arch!$C$16:$E$16,S$7)</f>
        <v>0.5</v>
      </c>
      <c r="T32" s="81" t="n">
        <f aca="false">INDEX(Arch!$C$16:$E$16,T$7)</f>
        <v>0.5</v>
      </c>
      <c r="U32" s="81" t="n">
        <f aca="false">INDEX(Arch!$C$16:$E$16,U$7)</f>
        <v>0.5</v>
      </c>
      <c r="V32" s="81" t="n">
        <f aca="false">INDEX(Arch!$C$16:$E$16,V$7)</f>
        <v>0.5</v>
      </c>
      <c r="W32" s="81" t="n">
        <f aca="false">INDEX(Arch!$C$16:$E$16,W$7)</f>
        <v>0.5</v>
      </c>
      <c r="X32" s="81" t="n">
        <f aca="false">INDEX(Arch!$C$16:$E$16,X$7)</f>
        <v>0.5</v>
      </c>
      <c r="Y32" s="81" t="n">
        <f aca="false">INDEX(Arch!$C$16:$E$16,Y$7)</f>
        <v>0.5</v>
      </c>
      <c r="Z32" s="81" t="n">
        <f aca="false">INDEX(Arch!$C$16:$E$16,Z$7)</f>
        <v>0.5</v>
      </c>
      <c r="AA32" s="81" t="n">
        <f aca="false">INDEX(Arch!$C$16:$E$16,AA$7)</f>
        <v>0.5</v>
      </c>
      <c r="AB32" s="81" t="n">
        <f aca="false">INDEX(Arch!$C$16:$E$16,AB$7)</f>
        <v>0.5</v>
      </c>
      <c r="AC32" s="81" t="n">
        <f aca="false">INDEX(Arch!$C$16:$E$16,AC$7)</f>
        <v>1</v>
      </c>
      <c r="AD32" s="81" t="n">
        <f aca="false">INDEX(Arch!$C$16:$E$16,AD$7)</f>
        <v>1</v>
      </c>
      <c r="AE32" s="81" t="n">
        <f aca="false">INDEX(Arch!$C$16:$E$16,AE$7)</f>
        <v>1</v>
      </c>
      <c r="AF32" s="81" t="n">
        <f aca="false">INDEX(Arch!$C$16:$E$16,AF$7)</f>
        <v>1</v>
      </c>
      <c r="AG32" s="81" t="n">
        <f aca="false">INDEX(Arch!$C$16:$E$16,AG$7)</f>
        <v>1</v>
      </c>
      <c r="AH32" s="81" t="n">
        <f aca="false">INDEX(Arch!$C$16:$E$16,AH$7)</f>
        <v>1</v>
      </c>
    </row>
    <row r="33" customFormat="false" ht="15" hidden="false" customHeight="false" outlineLevel="0" collapsed="false">
      <c r="A33" s="44" t="s">
        <v>502</v>
      </c>
      <c r="B33" s="45" t="s">
        <v>217</v>
      </c>
      <c r="C33" s="76" t="n">
        <f aca="false">INDEX(Arch!$C$17:$E$17,C$7)</f>
        <v>4224</v>
      </c>
      <c r="D33" s="76" t="n">
        <f aca="false">INDEX(Arch!$C$17:$E$17,D$7)</f>
        <v>4224</v>
      </c>
      <c r="E33" s="76" t="n">
        <f aca="false">INDEX(Arch!$C$17:$E$17,E$7)</f>
        <v>4224</v>
      </c>
      <c r="F33" s="76" t="n">
        <f aca="false">INDEX(Arch!$C$17:$E$17,F$7)</f>
        <v>4224</v>
      </c>
      <c r="G33" s="76" t="n">
        <f aca="false">INDEX(Arch!$C$17:$E$17,G$7)</f>
        <v>4224</v>
      </c>
      <c r="H33" s="76" t="n">
        <f aca="false">INDEX(Arch!$C$17:$E$17,H$7)</f>
        <v>4224</v>
      </c>
      <c r="I33" s="76" t="n">
        <f aca="false">INDEX(Arch!$C$17:$E$17,I$7)</f>
        <v>4224</v>
      </c>
      <c r="J33" s="76" t="n">
        <f aca="false">INDEX(Arch!$C$17:$E$17,J$7)</f>
        <v>4224</v>
      </c>
      <c r="K33" s="76" t="n">
        <f aca="false">INDEX(Arch!$C$17:$E$17,K$7)</f>
        <v>4224</v>
      </c>
      <c r="L33" s="76" t="n">
        <f aca="false">INDEX(Arch!$C$17:$E$17,L$7)</f>
        <v>4224</v>
      </c>
      <c r="M33" s="76" t="n">
        <f aca="false">INDEX(Arch!$C$17:$E$17,M$7)</f>
        <v>4224</v>
      </c>
      <c r="N33" s="76" t="n">
        <f aca="false">INDEX(Arch!$C$17:$E$17,N$7)</f>
        <v>4224</v>
      </c>
      <c r="O33" s="76" t="n">
        <f aca="false">INDEX(Arch!$C$17:$E$17,O$7)</f>
        <v>4224</v>
      </c>
      <c r="P33" s="76" t="n">
        <f aca="false">INDEX(Arch!$C$17:$E$17,P$7)</f>
        <v>4224</v>
      </c>
      <c r="Q33" s="76" t="n">
        <f aca="false">INDEX(Arch!$C$17:$E$17,Q$7)</f>
        <v>4224</v>
      </c>
      <c r="R33" s="76" t="n">
        <f aca="false">INDEX(Arch!$C$17:$E$17,R$7)</f>
        <v>4224</v>
      </c>
      <c r="S33" s="76" t="n">
        <f aca="false">INDEX(Arch!$C$17:$E$17,S$7)</f>
        <v>4224</v>
      </c>
      <c r="T33" s="76" t="n">
        <f aca="false">INDEX(Arch!$C$17:$E$17,T$7)</f>
        <v>4224</v>
      </c>
      <c r="U33" s="76" t="n">
        <f aca="false">INDEX(Arch!$C$17:$E$17,U$7)</f>
        <v>4224</v>
      </c>
      <c r="V33" s="76" t="n">
        <f aca="false">INDEX(Arch!$C$17:$E$17,V$7)</f>
        <v>4224</v>
      </c>
      <c r="W33" s="76" t="n">
        <f aca="false">INDEX(Arch!$C$17:$E$17,W$7)</f>
        <v>4224</v>
      </c>
      <c r="X33" s="76" t="n">
        <f aca="false">INDEX(Arch!$C$17:$E$17,X$7)</f>
        <v>4224</v>
      </c>
      <c r="Y33" s="76" t="n">
        <f aca="false">INDEX(Arch!$C$17:$E$17,Y$7)</f>
        <v>4224</v>
      </c>
      <c r="Z33" s="76" t="n">
        <f aca="false">INDEX(Arch!$C$17:$E$17,Z$7)</f>
        <v>4224</v>
      </c>
      <c r="AA33" s="76" t="n">
        <f aca="false">INDEX(Arch!$C$17:$E$17,AA$7)</f>
        <v>4224</v>
      </c>
      <c r="AB33" s="76" t="n">
        <f aca="false">INDEX(Arch!$C$17:$E$17,AB$7)</f>
        <v>4224</v>
      </c>
      <c r="AC33" s="76" t="n">
        <f aca="false">INDEX(Arch!$C$17:$E$17,AC$7)</f>
        <v>0</v>
      </c>
      <c r="AD33" s="76" t="n">
        <f aca="false">INDEX(Arch!$C$17:$E$17,AD$7)</f>
        <v>0</v>
      </c>
      <c r="AE33" s="76" t="n">
        <f aca="false">INDEX(Arch!$C$17:$E$17,AE$7)</f>
        <v>0</v>
      </c>
      <c r="AF33" s="76" t="n">
        <f aca="false">INDEX(Arch!$C$17:$E$17,AF$7)</f>
        <v>0</v>
      </c>
      <c r="AG33" s="76" t="n">
        <f aca="false">INDEX(Arch!$C$17:$E$17,AG$7)</f>
        <v>0</v>
      </c>
      <c r="AH33" s="76" t="n">
        <f aca="false">INDEX(Arch!$C$17:$E$17,AH$7)</f>
        <v>0</v>
      </c>
    </row>
    <row r="34" customFormat="false" ht="15" hidden="false" customHeight="false" outlineLevel="0" collapsed="false">
      <c r="A34" s="44" t="s">
        <v>220</v>
      </c>
      <c r="B34" s="45" t="s">
        <v>49</v>
      </c>
      <c r="C34" s="76" t="n">
        <f aca="false">INDEX(Arch!$C$18:$E$18,C$7)</f>
        <v>128</v>
      </c>
      <c r="D34" s="76" t="n">
        <f aca="false">INDEX(Arch!$C$18:$E$18,D$7)</f>
        <v>128</v>
      </c>
      <c r="E34" s="76" t="n">
        <f aca="false">INDEX(Arch!$C$18:$E$18,E$7)</f>
        <v>128</v>
      </c>
      <c r="F34" s="76" t="n">
        <f aca="false">INDEX(Arch!$C$18:$E$18,F$7)</f>
        <v>128</v>
      </c>
      <c r="G34" s="76" t="n">
        <f aca="false">INDEX(Arch!$C$18:$E$18,G$7)</f>
        <v>128</v>
      </c>
      <c r="H34" s="76" t="n">
        <f aca="false">INDEX(Arch!$C$18:$E$18,H$7)</f>
        <v>128</v>
      </c>
      <c r="I34" s="76" t="n">
        <f aca="false">INDEX(Arch!$C$18:$E$18,I$7)</f>
        <v>128</v>
      </c>
      <c r="J34" s="76" t="n">
        <f aca="false">INDEX(Arch!$C$18:$E$18,J$7)</f>
        <v>128</v>
      </c>
      <c r="K34" s="76" t="n">
        <f aca="false">INDEX(Arch!$C$18:$E$18,K$7)</f>
        <v>128</v>
      </c>
      <c r="L34" s="76" t="n">
        <f aca="false">INDEX(Arch!$C$18:$E$18,L$7)</f>
        <v>128</v>
      </c>
      <c r="M34" s="76" t="n">
        <f aca="false">INDEX(Arch!$C$18:$E$18,M$7)</f>
        <v>128</v>
      </c>
      <c r="N34" s="76" t="n">
        <f aca="false">INDEX(Arch!$C$18:$E$18,N$7)</f>
        <v>128</v>
      </c>
      <c r="O34" s="76" t="n">
        <f aca="false">INDEX(Arch!$C$18:$E$18,O$7)</f>
        <v>128</v>
      </c>
      <c r="P34" s="76" t="n">
        <f aca="false">INDEX(Arch!$C$18:$E$18,P$7)</f>
        <v>128</v>
      </c>
      <c r="Q34" s="76" t="n">
        <f aca="false">INDEX(Arch!$C$18:$E$18,Q$7)</f>
        <v>128</v>
      </c>
      <c r="R34" s="76" t="n">
        <f aca="false">INDEX(Arch!$C$18:$E$18,R$7)</f>
        <v>128</v>
      </c>
      <c r="S34" s="76" t="n">
        <f aca="false">INDEX(Arch!$C$18:$E$18,S$7)</f>
        <v>128</v>
      </c>
      <c r="T34" s="76" t="n">
        <f aca="false">INDEX(Arch!$C$18:$E$18,T$7)</f>
        <v>128</v>
      </c>
      <c r="U34" s="76" t="n">
        <f aca="false">INDEX(Arch!$C$18:$E$18,U$7)</f>
        <v>128</v>
      </c>
      <c r="V34" s="76" t="n">
        <f aca="false">INDEX(Arch!$C$18:$E$18,V$7)</f>
        <v>128</v>
      </c>
      <c r="W34" s="76" t="n">
        <f aca="false">INDEX(Arch!$C$18:$E$18,W$7)</f>
        <v>128</v>
      </c>
      <c r="X34" s="76" t="n">
        <f aca="false">INDEX(Arch!$C$18:$E$18,X$7)</f>
        <v>128</v>
      </c>
      <c r="Y34" s="76" t="n">
        <f aca="false">INDEX(Arch!$C$18:$E$18,Y$7)</f>
        <v>128</v>
      </c>
      <c r="Z34" s="76" t="n">
        <f aca="false">INDEX(Arch!$C$18:$E$18,Z$7)</f>
        <v>128</v>
      </c>
      <c r="AA34" s="76" t="n">
        <f aca="false">INDEX(Arch!$C$18:$E$18,AA$7)</f>
        <v>128</v>
      </c>
      <c r="AB34" s="76" t="n">
        <f aca="false">INDEX(Arch!$C$18:$E$18,AB$7)</f>
        <v>128</v>
      </c>
      <c r="AC34" s="76" t="n">
        <f aca="false">INDEX(Arch!$C$18:$E$18,AC$7)</f>
        <v>1</v>
      </c>
      <c r="AD34" s="76" t="n">
        <f aca="false">INDEX(Arch!$C$18:$E$18,AD$7)</f>
        <v>1</v>
      </c>
      <c r="AE34" s="76" t="n">
        <f aca="false">INDEX(Arch!$C$18:$E$18,AE$7)</f>
        <v>1</v>
      </c>
      <c r="AF34" s="76" t="n">
        <f aca="false">INDEX(Arch!$C$18:$E$18,AF$7)</f>
        <v>1</v>
      </c>
      <c r="AG34" s="76" t="n">
        <f aca="false">INDEX(Arch!$C$18:$E$18,AG$7)</f>
        <v>1</v>
      </c>
      <c r="AH34" s="76" t="n">
        <f aca="false">INDEX(Arch!$C$18:$E$18,AH$7)</f>
        <v>1</v>
      </c>
    </row>
    <row r="35" customFormat="false" ht="15" hidden="false" customHeight="false" outlineLevel="0" collapsed="false">
      <c r="A35" s="44" t="s">
        <v>222</v>
      </c>
      <c r="B35" s="45" t="s">
        <v>217</v>
      </c>
      <c r="C35" s="76" t="n">
        <f aca="false">INDEX(Arch!$C$19:$E$19,C$7)</f>
        <v>128</v>
      </c>
      <c r="D35" s="76" t="n">
        <f aca="false">INDEX(Arch!$C$19:$E$19,D$7)</f>
        <v>128</v>
      </c>
      <c r="E35" s="76" t="n">
        <f aca="false">INDEX(Arch!$C$19:$E$19,E$7)</f>
        <v>128</v>
      </c>
      <c r="F35" s="76" t="n">
        <f aca="false">INDEX(Arch!$C$19:$E$19,F$7)</f>
        <v>128</v>
      </c>
      <c r="G35" s="76" t="n">
        <f aca="false">INDEX(Arch!$C$19:$E$19,G$7)</f>
        <v>128</v>
      </c>
      <c r="H35" s="76" t="n">
        <f aca="false">INDEX(Arch!$C$19:$E$19,H$7)</f>
        <v>128</v>
      </c>
      <c r="I35" s="76" t="n">
        <f aca="false">INDEX(Arch!$C$19:$E$19,I$7)</f>
        <v>128</v>
      </c>
      <c r="J35" s="76" t="n">
        <f aca="false">INDEX(Arch!$C$19:$E$19,J$7)</f>
        <v>128</v>
      </c>
      <c r="K35" s="76" t="n">
        <f aca="false">INDEX(Arch!$C$19:$E$19,K$7)</f>
        <v>128</v>
      </c>
      <c r="L35" s="76" t="n">
        <f aca="false">INDEX(Arch!$C$19:$E$19,L$7)</f>
        <v>128</v>
      </c>
      <c r="M35" s="76" t="n">
        <f aca="false">INDEX(Arch!$C$19:$E$19,M$7)</f>
        <v>128</v>
      </c>
      <c r="N35" s="76" t="n">
        <f aca="false">INDEX(Arch!$C$19:$E$19,N$7)</f>
        <v>128</v>
      </c>
      <c r="O35" s="76" t="n">
        <f aca="false">INDEX(Arch!$C$19:$E$19,O$7)</f>
        <v>128</v>
      </c>
      <c r="P35" s="76" t="n">
        <f aca="false">INDEX(Arch!$C$19:$E$19,P$7)</f>
        <v>128</v>
      </c>
      <c r="Q35" s="76" t="n">
        <f aca="false">INDEX(Arch!$C$19:$E$19,Q$7)</f>
        <v>128</v>
      </c>
      <c r="R35" s="76" t="n">
        <f aca="false">INDEX(Arch!$C$19:$E$19,R$7)</f>
        <v>128</v>
      </c>
      <c r="S35" s="76" t="n">
        <f aca="false">INDEX(Arch!$C$19:$E$19,S$7)</f>
        <v>128</v>
      </c>
      <c r="T35" s="76" t="n">
        <f aca="false">INDEX(Arch!$C$19:$E$19,T$7)</f>
        <v>128</v>
      </c>
      <c r="U35" s="76" t="n">
        <f aca="false">INDEX(Arch!$C$19:$E$19,U$7)</f>
        <v>128</v>
      </c>
      <c r="V35" s="76" t="n">
        <f aca="false">INDEX(Arch!$C$19:$E$19,V$7)</f>
        <v>128</v>
      </c>
      <c r="W35" s="76" t="n">
        <f aca="false">INDEX(Arch!$C$19:$E$19,W$7)</f>
        <v>128</v>
      </c>
      <c r="X35" s="76" t="n">
        <f aca="false">INDEX(Arch!$C$19:$E$19,X$7)</f>
        <v>128</v>
      </c>
      <c r="Y35" s="76" t="n">
        <f aca="false">INDEX(Arch!$C$19:$E$19,Y$7)</f>
        <v>128</v>
      </c>
      <c r="Z35" s="76" t="n">
        <f aca="false">INDEX(Arch!$C$19:$E$19,Z$7)</f>
        <v>128</v>
      </c>
      <c r="AA35" s="76" t="n">
        <f aca="false">INDEX(Arch!$C$19:$E$19,AA$7)</f>
        <v>128</v>
      </c>
      <c r="AB35" s="76" t="n">
        <f aca="false">INDEX(Arch!$C$19:$E$19,AB$7)</f>
        <v>128</v>
      </c>
      <c r="AC35" s="76" t="n">
        <f aca="false">INDEX(Arch!$C$19:$E$19,AC$7)</f>
        <v>0</v>
      </c>
      <c r="AD35" s="76" t="n">
        <f aca="false">INDEX(Arch!$C$19:$E$19,AD$7)</f>
        <v>0</v>
      </c>
      <c r="AE35" s="76" t="n">
        <f aca="false">INDEX(Arch!$C$19:$E$19,AE$7)</f>
        <v>0</v>
      </c>
      <c r="AF35" s="76" t="n">
        <f aca="false">INDEX(Arch!$C$19:$E$19,AF$7)</f>
        <v>0</v>
      </c>
      <c r="AG35" s="76" t="n">
        <f aca="false">INDEX(Arch!$C$19:$E$19,AG$7)</f>
        <v>0</v>
      </c>
      <c r="AH35" s="76" t="n">
        <f aca="false">INDEX(Arch!$C$19:$E$19,AH$7)</f>
        <v>0</v>
      </c>
    </row>
    <row r="36" customFormat="false" ht="15" hidden="false" customHeight="false" outlineLevel="0" collapsed="false">
      <c r="A36" s="72" t="s">
        <v>503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</row>
    <row r="37" customFormat="false" ht="15" hidden="false" customHeight="false" outlineLevel="0" collapsed="false">
      <c r="A37" s="45" t="s">
        <v>280</v>
      </c>
      <c r="B37" s="45" t="s">
        <v>281</v>
      </c>
      <c r="C37" s="76" t="n">
        <f aca="false">INDEX(Serving!$C$21:$E$21,C$7)</f>
        <v>65</v>
      </c>
      <c r="D37" s="76" t="n">
        <f aca="false">INDEX(Serving!$C$21:$E$21,D$7)</f>
        <v>65</v>
      </c>
      <c r="E37" s="76" t="n">
        <f aca="false">INDEX(Serving!$C$21:$E$21,E$7)</f>
        <v>65</v>
      </c>
      <c r="F37" s="76" t="n">
        <f aca="false">INDEX(Serving!$C$21:$E$21,F$7)</f>
        <v>65</v>
      </c>
      <c r="G37" s="76" t="n">
        <f aca="false">INDEX(Serving!$C$21:$E$21,G$7)</f>
        <v>65</v>
      </c>
      <c r="H37" s="76" t="n">
        <f aca="false">INDEX(Serving!$C$21:$E$21,H$7)</f>
        <v>65</v>
      </c>
      <c r="I37" s="76" t="n">
        <f aca="false">INDEX(Serving!$C$21:$E$21,I$7)</f>
        <v>65</v>
      </c>
      <c r="J37" s="76" t="n">
        <f aca="false">INDEX(Serving!$C$21:$E$21,J$7)</f>
        <v>65</v>
      </c>
      <c r="K37" s="76" t="n">
        <f aca="false">INDEX(Serving!$C$21:$E$21,K$7)</f>
        <v>65</v>
      </c>
      <c r="L37" s="76" t="n">
        <f aca="false">INDEX(Serving!$C$21:$E$21,L$7)</f>
        <v>65</v>
      </c>
      <c r="M37" s="76" t="n">
        <f aca="false">INDEX(Serving!$C$21:$E$21,M$7)</f>
        <v>65</v>
      </c>
      <c r="N37" s="76" t="n">
        <f aca="false">INDEX(Serving!$C$21:$E$21,N$7)</f>
        <v>65</v>
      </c>
      <c r="O37" s="105" t="n">
        <v>40</v>
      </c>
      <c r="P37" s="105" t="n">
        <v>40</v>
      </c>
      <c r="Q37" s="105" t="n">
        <v>100</v>
      </c>
      <c r="R37" s="105" t="n">
        <v>100</v>
      </c>
      <c r="S37" s="76" t="n">
        <f aca="false">INDEX(Serving!$C$21:$E$21,S$7)</f>
        <v>65</v>
      </c>
      <c r="T37" s="76" t="n">
        <f aca="false">INDEX(Serving!$C$21:$E$21,T$7)</f>
        <v>65</v>
      </c>
      <c r="U37" s="76" t="n">
        <f aca="false">INDEX(Serving!$C$21:$E$21,U$7)</f>
        <v>65</v>
      </c>
      <c r="V37" s="76" t="n">
        <f aca="false">INDEX(Serving!$C$21:$E$21,V$7)</f>
        <v>65</v>
      </c>
      <c r="W37" s="76" t="n">
        <f aca="false">INDEX(Serving!$C$21:$E$21,W$7)</f>
        <v>65</v>
      </c>
      <c r="X37" s="76" t="n">
        <f aca="false">INDEX(Serving!$C$21:$E$21,X$7)</f>
        <v>65</v>
      </c>
      <c r="Y37" s="76" t="n">
        <f aca="false">INDEX(Serving!$C$21:$E$21,Y$7)</f>
        <v>65</v>
      </c>
      <c r="Z37" s="76" t="n">
        <f aca="false">INDEX(Serving!$C$21:$E$21,Z$7)</f>
        <v>65</v>
      </c>
      <c r="AA37" s="76" t="n">
        <f aca="false">INDEX(Serving!$C$21:$E$21,AA$7)</f>
        <v>65</v>
      </c>
      <c r="AB37" s="76" t="n">
        <f aca="false">INDEX(Serving!$C$21:$E$21,AB$7)</f>
        <v>65</v>
      </c>
      <c r="AC37" s="76" t="n">
        <f aca="false">INDEX(Serving!$C$21:$E$21,AC$7)</f>
        <v>55</v>
      </c>
      <c r="AD37" s="76" t="n">
        <f aca="false">INDEX(Serving!$C$21:$E$21,AD$7)</f>
        <v>55</v>
      </c>
      <c r="AE37" s="76" t="n">
        <f aca="false">INDEX(Serving!$C$21:$E$21,AE$7)</f>
        <v>55</v>
      </c>
      <c r="AF37" s="76" t="n">
        <f aca="false">INDEX(Serving!$C$21:$E$21,AF$7)</f>
        <v>55</v>
      </c>
      <c r="AG37" s="76" t="n">
        <f aca="false">INDEX(Serving!$C$21:$E$21,AG$7)</f>
        <v>55</v>
      </c>
      <c r="AH37" s="76" t="n">
        <f aca="false">INDEX(Serving!$C$21:$E$21,AH$7)</f>
        <v>55</v>
      </c>
    </row>
    <row r="38" customFormat="false" ht="15" hidden="false" customHeight="false" outlineLevel="0" collapsed="false">
      <c r="A38" s="45" t="s">
        <v>504</v>
      </c>
      <c r="B38" s="45" t="s">
        <v>284</v>
      </c>
      <c r="C38" s="90" t="n">
        <f aca="false">INDEX(Serving!$C$22:$E$22,C$7)</f>
        <v>3</v>
      </c>
      <c r="D38" s="90" t="n">
        <f aca="false">INDEX(Serving!$C$22:$E$22,D$7)</f>
        <v>3</v>
      </c>
      <c r="E38" s="90" t="n">
        <f aca="false">INDEX(Serving!$C$22:$E$22,E$7)</f>
        <v>3</v>
      </c>
      <c r="F38" s="90" t="n">
        <f aca="false">INDEX(Serving!$C$22:$E$22,F$7)</f>
        <v>3</v>
      </c>
      <c r="G38" s="90" t="n">
        <f aca="false">INDEX(Serving!$C$22:$E$22,G$7)</f>
        <v>3</v>
      </c>
      <c r="H38" s="90" t="n">
        <f aca="false">INDEX(Serving!$C$22:$E$22,H$7)</f>
        <v>3</v>
      </c>
      <c r="I38" s="90" t="n">
        <f aca="false">INDEX(Serving!$C$22:$E$22,I$7)</f>
        <v>3</v>
      </c>
      <c r="J38" s="90" t="n">
        <f aca="false">INDEX(Serving!$C$22:$E$22,J$7)</f>
        <v>3</v>
      </c>
      <c r="K38" s="90" t="n">
        <f aca="false">INDEX(Serving!$C$22:$E$22,K$7)</f>
        <v>3</v>
      </c>
      <c r="L38" s="90" t="n">
        <f aca="false">INDEX(Serving!$C$22:$E$22,L$7)</f>
        <v>3</v>
      </c>
      <c r="M38" s="90" t="n">
        <f aca="false">INDEX(Serving!$C$22:$E$22,M$7)</f>
        <v>3</v>
      </c>
      <c r="N38" s="90" t="n">
        <f aca="false">INDEX(Serving!$C$22:$E$22,N$7)</f>
        <v>3</v>
      </c>
      <c r="O38" s="90" t="n">
        <f aca="false">INDEX(Serving!$C$22:$E$22,O$7)</f>
        <v>3</v>
      </c>
      <c r="P38" s="90" t="n">
        <f aca="false">INDEX(Serving!$C$22:$E$22,P$7)</f>
        <v>3</v>
      </c>
      <c r="Q38" s="90" t="n">
        <f aca="false">INDEX(Serving!$C$22:$E$22,Q$7)</f>
        <v>3</v>
      </c>
      <c r="R38" s="90" t="n">
        <f aca="false">INDEX(Serving!$C$22:$E$22,R$7)</f>
        <v>3</v>
      </c>
      <c r="S38" s="90" t="n">
        <f aca="false">INDEX(Serving!$C$22:$E$22,S$7)</f>
        <v>3</v>
      </c>
      <c r="T38" s="90" t="n">
        <f aca="false">INDEX(Serving!$C$22:$E$22,T$7)</f>
        <v>3</v>
      </c>
      <c r="U38" s="90" t="n">
        <f aca="false">INDEX(Serving!$C$22:$E$22,U$7)</f>
        <v>3</v>
      </c>
      <c r="V38" s="90" t="n">
        <f aca="false">INDEX(Serving!$C$22:$E$22,V$7)</f>
        <v>3</v>
      </c>
      <c r="W38" s="90" t="n">
        <f aca="false">INDEX(Serving!$C$22:$E$22,W$7)</f>
        <v>3</v>
      </c>
      <c r="X38" s="90" t="n">
        <f aca="false">INDEX(Serving!$C$22:$E$22,X$7)</f>
        <v>3</v>
      </c>
      <c r="Y38" s="90" t="n">
        <f aca="false">INDEX(Serving!$C$22:$E$22,Y$7)</f>
        <v>3</v>
      </c>
      <c r="Z38" s="90" t="n">
        <f aca="false">INDEX(Serving!$C$22:$E$22,Z$7)</f>
        <v>3</v>
      </c>
      <c r="AA38" s="90" t="n">
        <f aca="false">INDEX(Serving!$C$22:$E$22,AA$7)</f>
        <v>3</v>
      </c>
      <c r="AB38" s="90" t="n">
        <f aca="false">INDEX(Serving!$C$22:$E$22,AB$7)</f>
        <v>3</v>
      </c>
      <c r="AC38" s="90" t="n">
        <f aca="false">INDEX(Serving!$C$22:$E$22,AC$7)</f>
        <v>5</v>
      </c>
      <c r="AD38" s="90" t="n">
        <f aca="false">INDEX(Serving!$C$22:$E$22,AD$7)</f>
        <v>5</v>
      </c>
      <c r="AE38" s="90" t="n">
        <f aca="false">INDEX(Serving!$C$22:$E$22,AE$7)</f>
        <v>5</v>
      </c>
      <c r="AF38" s="90" t="n">
        <f aca="false">INDEX(Serving!$C$22:$E$22,AF$7)</f>
        <v>5</v>
      </c>
      <c r="AG38" s="90" t="n">
        <f aca="false">INDEX(Serving!$C$22:$E$22,AG$7)</f>
        <v>5</v>
      </c>
      <c r="AH38" s="90" t="n">
        <f aca="false">INDEX(Serving!$C$22:$E$22,AH$7)</f>
        <v>5</v>
      </c>
    </row>
    <row r="39" customFormat="false" ht="15" hidden="false" customHeight="false" outlineLevel="0" collapsed="false">
      <c r="A39" s="44" t="s">
        <v>505</v>
      </c>
      <c r="B39" s="45" t="s">
        <v>217</v>
      </c>
      <c r="C39" s="76" t="n">
        <f aca="false">INDEX(Serving!$C$23:$E$23,C$7)</f>
        <v>16384</v>
      </c>
      <c r="D39" s="76" t="n">
        <f aca="false">INDEX(Serving!$C$23:$E$23,D$7)</f>
        <v>16384</v>
      </c>
      <c r="E39" s="76" t="n">
        <f aca="false">INDEX(Serving!$C$23:$E$23,E$7)</f>
        <v>16384</v>
      </c>
      <c r="F39" s="76" t="n">
        <f aca="false">INDEX(Serving!$C$23:$E$23,F$7)</f>
        <v>16384</v>
      </c>
      <c r="G39" s="76" t="n">
        <f aca="false">INDEX(Serving!$C$23:$E$23,G$7)</f>
        <v>16384</v>
      </c>
      <c r="H39" s="76" t="n">
        <f aca="false">INDEX(Serving!$C$23:$E$23,H$7)</f>
        <v>16384</v>
      </c>
      <c r="I39" s="76" t="n">
        <f aca="false">INDEX(Serving!$C$23:$E$23,I$7)</f>
        <v>16384</v>
      </c>
      <c r="J39" s="76" t="n">
        <f aca="false">INDEX(Serving!$C$23:$E$23,J$7)</f>
        <v>16384</v>
      </c>
      <c r="K39" s="76" t="n">
        <f aca="false">INDEX(Serving!$C$23:$E$23,K$7)</f>
        <v>16384</v>
      </c>
      <c r="L39" s="76" t="n">
        <f aca="false">INDEX(Serving!$C$23:$E$23,L$7)</f>
        <v>16384</v>
      </c>
      <c r="M39" s="76" t="n">
        <f aca="false">INDEX(Serving!$C$23:$E$23,M$7)</f>
        <v>16384</v>
      </c>
      <c r="N39" s="76" t="n">
        <f aca="false">INDEX(Serving!$C$23:$E$23,N$7)</f>
        <v>16384</v>
      </c>
      <c r="O39" s="76" t="n">
        <f aca="false">INDEX(Serving!$C$23:$E$23,O$7)</f>
        <v>16384</v>
      </c>
      <c r="P39" s="76" t="n">
        <f aca="false">INDEX(Serving!$C$23:$E$23,P$7)</f>
        <v>16384</v>
      </c>
      <c r="Q39" s="76" t="n">
        <f aca="false">INDEX(Serving!$C$23:$E$23,Q$7)</f>
        <v>16384</v>
      </c>
      <c r="R39" s="76" t="n">
        <f aca="false">INDEX(Serving!$C$23:$E$23,R$7)</f>
        <v>16384</v>
      </c>
      <c r="S39" s="76" t="n">
        <f aca="false">INDEX(Serving!$C$23:$E$23,S$7)</f>
        <v>16384</v>
      </c>
      <c r="T39" s="76" t="n">
        <f aca="false">INDEX(Serving!$C$23:$E$23,T$7)</f>
        <v>16384</v>
      </c>
      <c r="U39" s="76" t="n">
        <f aca="false">INDEX(Serving!$C$23:$E$23,U$7)</f>
        <v>16384</v>
      </c>
      <c r="V39" s="76" t="n">
        <f aca="false">INDEX(Serving!$C$23:$E$23,V$7)</f>
        <v>16384</v>
      </c>
      <c r="W39" s="105" t="n">
        <v>4096</v>
      </c>
      <c r="X39" s="105" t="n">
        <v>4096</v>
      </c>
      <c r="Y39" s="105" t="n">
        <v>65536</v>
      </c>
      <c r="Z39" s="105" t="n">
        <v>65536</v>
      </c>
      <c r="AA39" s="76" t="n">
        <f aca="false">INDEX(Serving!$C$23:$E$23,AA$7)</f>
        <v>16384</v>
      </c>
      <c r="AB39" s="76" t="n">
        <f aca="false">INDEX(Serving!$C$23:$E$23,AB$7)</f>
        <v>16384</v>
      </c>
      <c r="AC39" s="76" t="n">
        <f aca="false">INDEX(Serving!$C$23:$E$23,AC$7)</f>
        <v>32768</v>
      </c>
      <c r="AD39" s="76" t="n">
        <f aca="false">INDEX(Serving!$C$23:$E$23,AD$7)</f>
        <v>32768</v>
      </c>
      <c r="AE39" s="76" t="n">
        <f aca="false">INDEX(Serving!$C$23:$E$23,AE$7)</f>
        <v>32768</v>
      </c>
      <c r="AF39" s="76" t="n">
        <f aca="false">INDEX(Serving!$C$23:$E$23,AF$7)</f>
        <v>32768</v>
      </c>
      <c r="AG39" s="76" t="n">
        <f aca="false">INDEX(Serving!$C$23:$E$23,AG$7)</f>
        <v>32768</v>
      </c>
      <c r="AH39" s="76" t="n">
        <f aca="false">INDEX(Serving!$C$23:$E$23,AH$7)</f>
        <v>32768</v>
      </c>
    </row>
    <row r="40" customFormat="false" ht="15" hidden="false" customHeight="false" outlineLevel="0" collapsed="false">
      <c r="A40" s="44" t="s">
        <v>287</v>
      </c>
      <c r="B40" s="45" t="s">
        <v>217</v>
      </c>
      <c r="C40" s="76" t="n">
        <f aca="false">INDEX(Serving!$C$24:$E$24,C$7)</f>
        <v>2048</v>
      </c>
      <c r="D40" s="76" t="n">
        <f aca="false">INDEX(Serving!$C$24:$E$24,D$7)</f>
        <v>2048</v>
      </c>
      <c r="E40" s="76" t="n">
        <f aca="false">INDEX(Serving!$C$24:$E$24,E$7)</f>
        <v>2048</v>
      </c>
      <c r="F40" s="76" t="n">
        <f aca="false">INDEX(Serving!$C$24:$E$24,F$7)</f>
        <v>2048</v>
      </c>
      <c r="G40" s="76" t="n">
        <f aca="false">INDEX(Serving!$C$24:$E$24,G$7)</f>
        <v>2048</v>
      </c>
      <c r="H40" s="76" t="n">
        <f aca="false">INDEX(Serving!$C$24:$E$24,H$7)</f>
        <v>2048</v>
      </c>
      <c r="I40" s="76" t="n">
        <f aca="false">INDEX(Serving!$C$24:$E$24,I$7)</f>
        <v>2048</v>
      </c>
      <c r="J40" s="76" t="n">
        <f aca="false">INDEX(Serving!$C$24:$E$24,J$7)</f>
        <v>2048</v>
      </c>
      <c r="K40" s="76" t="n">
        <f aca="false">INDEX(Serving!$C$24:$E$24,K$7)</f>
        <v>2048</v>
      </c>
      <c r="L40" s="76" t="n">
        <f aca="false">INDEX(Serving!$C$24:$E$24,L$7)</f>
        <v>2048</v>
      </c>
      <c r="M40" s="76" t="n">
        <f aca="false">INDEX(Serving!$C$24:$E$24,M$7)</f>
        <v>2048</v>
      </c>
      <c r="N40" s="76" t="n">
        <f aca="false">INDEX(Serving!$C$24:$E$24,N$7)</f>
        <v>2048</v>
      </c>
      <c r="O40" s="76" t="n">
        <f aca="false">INDEX(Serving!$C$24:$E$24,O$7)</f>
        <v>2048</v>
      </c>
      <c r="P40" s="76" t="n">
        <f aca="false">INDEX(Serving!$C$24:$E$24,P$7)</f>
        <v>2048</v>
      </c>
      <c r="Q40" s="76" t="n">
        <f aca="false">INDEX(Serving!$C$24:$E$24,Q$7)</f>
        <v>2048</v>
      </c>
      <c r="R40" s="76" t="n">
        <f aca="false">INDEX(Serving!$C$24:$E$24,R$7)</f>
        <v>2048</v>
      </c>
      <c r="S40" s="76" t="n">
        <f aca="false">INDEX(Serving!$C$24:$E$24,S$7)</f>
        <v>2048</v>
      </c>
      <c r="T40" s="76" t="n">
        <f aca="false">INDEX(Serving!$C$24:$E$24,T$7)</f>
        <v>2048</v>
      </c>
      <c r="U40" s="76" t="n">
        <f aca="false">INDEX(Serving!$C$24:$E$24,U$7)</f>
        <v>2048</v>
      </c>
      <c r="V40" s="76" t="n">
        <f aca="false">INDEX(Serving!$C$24:$E$24,V$7)</f>
        <v>2048</v>
      </c>
      <c r="W40" s="76" t="n">
        <f aca="false">INDEX(Serving!$C$24:$E$24,W$7)</f>
        <v>2048</v>
      </c>
      <c r="X40" s="76" t="n">
        <f aca="false">INDEX(Serving!$C$24:$E$24,X$7)</f>
        <v>2048</v>
      </c>
      <c r="Y40" s="76" t="n">
        <f aca="false">INDEX(Serving!$C$24:$E$24,Y$7)</f>
        <v>2048</v>
      </c>
      <c r="Z40" s="76" t="n">
        <f aca="false">INDEX(Serving!$C$24:$E$24,Z$7)</f>
        <v>2048</v>
      </c>
      <c r="AA40" s="76" t="n">
        <f aca="false">INDEX(Serving!$C$24:$E$24,AA$7)</f>
        <v>2048</v>
      </c>
      <c r="AB40" s="76" t="n">
        <f aca="false">INDEX(Serving!$C$24:$E$24,AB$7)</f>
        <v>2048</v>
      </c>
      <c r="AC40" s="76" t="n">
        <f aca="false">INDEX(Serving!$C$24:$E$24,AC$7)</f>
        <v>4096</v>
      </c>
      <c r="AD40" s="76" t="n">
        <f aca="false">INDEX(Serving!$C$24:$E$24,AD$7)</f>
        <v>4096</v>
      </c>
      <c r="AE40" s="76" t="n">
        <f aca="false">INDEX(Serving!$C$24:$E$24,AE$7)</f>
        <v>4096</v>
      </c>
      <c r="AF40" s="76" t="n">
        <f aca="false">INDEX(Serving!$C$24:$E$24,AF$7)</f>
        <v>4096</v>
      </c>
      <c r="AG40" s="76" t="n">
        <f aca="false">INDEX(Serving!$C$24:$E$24,AG$7)</f>
        <v>4096</v>
      </c>
      <c r="AH40" s="76" t="n">
        <f aca="false">INDEX(Serving!$C$24:$E$24,AH$7)</f>
        <v>4096</v>
      </c>
    </row>
    <row r="41" customFormat="false" ht="15" hidden="false" customHeight="false" outlineLevel="0" collapsed="false">
      <c r="A41" s="45" t="s">
        <v>288</v>
      </c>
      <c r="B41" s="45" t="s">
        <v>217</v>
      </c>
      <c r="C41" s="56" t="n">
        <f aca="false">C39+C40/2</f>
        <v>17408</v>
      </c>
      <c r="D41" s="56" t="n">
        <f aca="false">D39+D40/2</f>
        <v>17408</v>
      </c>
      <c r="E41" s="56" t="n">
        <f aca="false">E39+E40/2</f>
        <v>17408</v>
      </c>
      <c r="F41" s="56" t="n">
        <f aca="false">F39+F40/2</f>
        <v>17408</v>
      </c>
      <c r="G41" s="56" t="n">
        <f aca="false">G39+G40/2</f>
        <v>17408</v>
      </c>
      <c r="H41" s="56" t="n">
        <f aca="false">H39+H40/2</f>
        <v>17408</v>
      </c>
      <c r="I41" s="56" t="n">
        <f aca="false">I39+I40/2</f>
        <v>17408</v>
      </c>
      <c r="J41" s="56" t="n">
        <f aca="false">J39+J40/2</f>
        <v>17408</v>
      </c>
      <c r="K41" s="56" t="n">
        <f aca="false">K39+K40/2</f>
        <v>17408</v>
      </c>
      <c r="L41" s="56" t="n">
        <f aca="false">L39+L40/2</f>
        <v>17408</v>
      </c>
      <c r="M41" s="56" t="n">
        <f aca="false">M39+M40/2</f>
        <v>17408</v>
      </c>
      <c r="N41" s="56" t="n">
        <f aca="false">N39+N40/2</f>
        <v>17408</v>
      </c>
      <c r="O41" s="56" t="n">
        <f aca="false">O39+O40/2</f>
        <v>17408</v>
      </c>
      <c r="P41" s="56" t="n">
        <f aca="false">P39+P40/2</f>
        <v>17408</v>
      </c>
      <c r="Q41" s="56" t="n">
        <f aca="false">Q39+Q40/2</f>
        <v>17408</v>
      </c>
      <c r="R41" s="56" t="n">
        <f aca="false">R39+R40/2</f>
        <v>17408</v>
      </c>
      <c r="S41" s="56" t="n">
        <f aca="false">S39+S40/2</f>
        <v>17408</v>
      </c>
      <c r="T41" s="56" t="n">
        <f aca="false">T39+T40/2</f>
        <v>17408</v>
      </c>
      <c r="U41" s="56" t="n">
        <f aca="false">U39+U40/2</f>
        <v>17408</v>
      </c>
      <c r="V41" s="56" t="n">
        <f aca="false">V39+V40/2</f>
        <v>17408</v>
      </c>
      <c r="W41" s="56" t="n">
        <f aca="false">W39+W40/2</f>
        <v>5120</v>
      </c>
      <c r="X41" s="56" t="n">
        <f aca="false">X39+X40/2</f>
        <v>5120</v>
      </c>
      <c r="Y41" s="56" t="n">
        <f aca="false">Y39+Y40/2</f>
        <v>66560</v>
      </c>
      <c r="Z41" s="56" t="n">
        <f aca="false">Z39+Z40/2</f>
        <v>66560</v>
      </c>
      <c r="AA41" s="56" t="n">
        <f aca="false">AA39+AA40/2</f>
        <v>17408</v>
      </c>
      <c r="AB41" s="56" t="n">
        <f aca="false">AB39+AB40/2</f>
        <v>17408</v>
      </c>
      <c r="AC41" s="56" t="n">
        <f aca="false">AC39+AC40/2</f>
        <v>34816</v>
      </c>
      <c r="AD41" s="56" t="n">
        <f aca="false">AD39+AD40/2</f>
        <v>34816</v>
      </c>
      <c r="AE41" s="56" t="n">
        <f aca="false">AE39+AE40/2</f>
        <v>34816</v>
      </c>
      <c r="AF41" s="56" t="n">
        <f aca="false">AF39+AF40/2</f>
        <v>34816</v>
      </c>
      <c r="AG41" s="56" t="n">
        <f aca="false">AG39+AG40/2</f>
        <v>34816</v>
      </c>
      <c r="AH41" s="56" t="n">
        <f aca="false">AH39+AH40/2</f>
        <v>34816</v>
      </c>
    </row>
    <row r="42" customFormat="false" ht="15" hidden="false" customHeight="false" outlineLevel="0" collapsed="false">
      <c r="A42" s="45" t="s">
        <v>289</v>
      </c>
      <c r="B42" s="45" t="s">
        <v>217</v>
      </c>
      <c r="C42" s="56" t="n">
        <f aca="false">C39/2</f>
        <v>8192</v>
      </c>
      <c r="D42" s="56" t="n">
        <f aca="false">D39/2</f>
        <v>8192</v>
      </c>
      <c r="E42" s="56" t="n">
        <f aca="false">E39/2</f>
        <v>8192</v>
      </c>
      <c r="F42" s="56" t="n">
        <f aca="false">F39/2</f>
        <v>8192</v>
      </c>
      <c r="G42" s="56" t="n">
        <f aca="false">G39/2</f>
        <v>8192</v>
      </c>
      <c r="H42" s="56" t="n">
        <f aca="false">H39/2</f>
        <v>8192</v>
      </c>
      <c r="I42" s="56" t="n">
        <f aca="false">I39/2</f>
        <v>8192</v>
      </c>
      <c r="J42" s="56" t="n">
        <f aca="false">J39/2</f>
        <v>8192</v>
      </c>
      <c r="K42" s="56" t="n">
        <f aca="false">K39/2</f>
        <v>8192</v>
      </c>
      <c r="L42" s="56" t="n">
        <f aca="false">L39/2</f>
        <v>8192</v>
      </c>
      <c r="M42" s="56" t="n">
        <f aca="false">M39/2</f>
        <v>8192</v>
      </c>
      <c r="N42" s="56" t="n">
        <f aca="false">N39/2</f>
        <v>8192</v>
      </c>
      <c r="O42" s="56" t="n">
        <f aca="false">O39/2</f>
        <v>8192</v>
      </c>
      <c r="P42" s="56" t="n">
        <f aca="false">P39/2</f>
        <v>8192</v>
      </c>
      <c r="Q42" s="56" t="n">
        <f aca="false">Q39/2</f>
        <v>8192</v>
      </c>
      <c r="R42" s="56" t="n">
        <f aca="false">R39/2</f>
        <v>8192</v>
      </c>
      <c r="S42" s="56" t="n">
        <f aca="false">S39/2</f>
        <v>8192</v>
      </c>
      <c r="T42" s="56" t="n">
        <f aca="false">T39/2</f>
        <v>8192</v>
      </c>
      <c r="U42" s="56" t="n">
        <f aca="false">U39/2</f>
        <v>8192</v>
      </c>
      <c r="V42" s="56" t="n">
        <f aca="false">V39/2</f>
        <v>8192</v>
      </c>
      <c r="W42" s="56" t="n">
        <f aca="false">W39/2</f>
        <v>2048</v>
      </c>
      <c r="X42" s="56" t="n">
        <f aca="false">X39/2</f>
        <v>2048</v>
      </c>
      <c r="Y42" s="56" t="n">
        <f aca="false">Y39/2</f>
        <v>32768</v>
      </c>
      <c r="Z42" s="56" t="n">
        <f aca="false">Z39/2</f>
        <v>32768</v>
      </c>
      <c r="AA42" s="56" t="n">
        <f aca="false">AA39/2</f>
        <v>8192</v>
      </c>
      <c r="AB42" s="56" t="n">
        <f aca="false">AB39/2</f>
        <v>8192</v>
      </c>
      <c r="AC42" s="56" t="n">
        <f aca="false">AC39/2</f>
        <v>16384</v>
      </c>
      <c r="AD42" s="56" t="n">
        <f aca="false">AD39/2</f>
        <v>16384</v>
      </c>
      <c r="AE42" s="56" t="n">
        <f aca="false">AE39/2</f>
        <v>16384</v>
      </c>
      <c r="AF42" s="56" t="n">
        <f aca="false">AF39/2</f>
        <v>16384</v>
      </c>
      <c r="AG42" s="56" t="n">
        <f aca="false">AG39/2</f>
        <v>16384</v>
      </c>
      <c r="AH42" s="56" t="n">
        <f aca="false">AH39/2</f>
        <v>16384</v>
      </c>
    </row>
    <row r="43" customFormat="false" ht="15" hidden="false" customHeight="false" outlineLevel="0" collapsed="false">
      <c r="A43" s="45" t="s">
        <v>506</v>
      </c>
      <c r="B43" s="45" t="s">
        <v>217</v>
      </c>
      <c r="C43" s="82" t="n">
        <f aca="false">Serving!$C$6</f>
        <v>3</v>
      </c>
      <c r="D43" s="82" t="n">
        <f aca="false">Serving!$C$6</f>
        <v>3</v>
      </c>
      <c r="E43" s="82" t="n">
        <f aca="false">Serving!$C$6</f>
        <v>3</v>
      </c>
      <c r="F43" s="82" t="n">
        <f aca="false">Serving!$C$6</f>
        <v>3</v>
      </c>
      <c r="G43" s="82" t="n">
        <f aca="false">Serving!$C$6</f>
        <v>3</v>
      </c>
      <c r="H43" s="82" t="n">
        <f aca="false">Serving!$C$6</f>
        <v>3</v>
      </c>
      <c r="I43" s="82" t="n">
        <f aca="false">Serving!$C$6</f>
        <v>3</v>
      </c>
      <c r="J43" s="82" t="n">
        <f aca="false">Serving!$C$6</f>
        <v>3</v>
      </c>
      <c r="K43" s="82" t="n">
        <f aca="false">Serving!$C$6</f>
        <v>3</v>
      </c>
      <c r="L43" s="82" t="n">
        <f aca="false">Serving!$C$6</f>
        <v>3</v>
      </c>
      <c r="M43" s="82" t="n">
        <f aca="false">Serving!$C$6</f>
        <v>3</v>
      </c>
      <c r="N43" s="82" t="n">
        <f aca="false">Serving!$C$6</f>
        <v>3</v>
      </c>
      <c r="O43" s="82" t="n">
        <f aca="false">Serving!$C$6</f>
        <v>3</v>
      </c>
      <c r="P43" s="82" t="n">
        <f aca="false">Serving!$C$6</f>
        <v>3</v>
      </c>
      <c r="Q43" s="82" t="n">
        <f aca="false">Serving!$C$6</f>
        <v>3</v>
      </c>
      <c r="R43" s="82" t="n">
        <f aca="false">Serving!$C$6</f>
        <v>3</v>
      </c>
      <c r="S43" s="82" t="n">
        <f aca="false">Serving!$C$6</f>
        <v>3</v>
      </c>
      <c r="T43" s="82" t="n">
        <f aca="false">Serving!$C$6</f>
        <v>3</v>
      </c>
      <c r="U43" s="82" t="n">
        <f aca="false">Serving!$C$6</f>
        <v>3</v>
      </c>
      <c r="V43" s="82" t="n">
        <f aca="false">Serving!$C$6</f>
        <v>3</v>
      </c>
      <c r="W43" s="82" t="n">
        <f aca="false">Serving!$C$6</f>
        <v>3</v>
      </c>
      <c r="X43" s="82" t="n">
        <f aca="false">Serving!$C$6</f>
        <v>3</v>
      </c>
      <c r="Y43" s="82" t="n">
        <f aca="false">Serving!$C$6</f>
        <v>3</v>
      </c>
      <c r="Z43" s="82" t="n">
        <f aca="false">Serving!$C$6</f>
        <v>3</v>
      </c>
      <c r="AA43" s="82" t="n">
        <f aca="false">Serving!$C$6</f>
        <v>3</v>
      </c>
      <c r="AB43" s="82" t="n">
        <f aca="false">Serving!$C$6</f>
        <v>3</v>
      </c>
      <c r="AC43" s="82" t="n">
        <f aca="false">Serving!$C$6</f>
        <v>3</v>
      </c>
      <c r="AD43" s="82" t="n">
        <f aca="false">Serving!$C$6</f>
        <v>3</v>
      </c>
      <c r="AE43" s="82" t="n">
        <f aca="false">Serving!$C$6</f>
        <v>3</v>
      </c>
      <c r="AF43" s="82" t="n">
        <f aca="false">Serving!$C$6</f>
        <v>3</v>
      </c>
      <c r="AG43" s="82" t="n">
        <f aca="false">Serving!$C$6</f>
        <v>3</v>
      </c>
      <c r="AH43" s="82" t="n">
        <f aca="false">Serving!$C$6</f>
        <v>3</v>
      </c>
    </row>
    <row r="44" customFormat="false" ht="15" hidden="false" customHeight="false" outlineLevel="0" collapsed="false">
      <c r="A44" s="44" t="s">
        <v>507</v>
      </c>
      <c r="B44" s="45" t="s">
        <v>45</v>
      </c>
      <c r="C44" s="81" t="n">
        <f aca="false">Serving!$C$7</f>
        <v>0.7</v>
      </c>
      <c r="D44" s="81" t="n">
        <f aca="false">Serving!$C$7</f>
        <v>0.7</v>
      </c>
      <c r="E44" s="81" t="n">
        <f aca="false">Serving!$C$7</f>
        <v>0.7</v>
      </c>
      <c r="F44" s="81" t="n">
        <f aca="false">Serving!$C$7</f>
        <v>0.7</v>
      </c>
      <c r="G44" s="81" t="n">
        <f aca="false">Serving!$C$7</f>
        <v>0.7</v>
      </c>
      <c r="H44" s="81" t="n">
        <f aca="false">Serving!$C$7</f>
        <v>0.7</v>
      </c>
      <c r="I44" s="81" t="n">
        <f aca="false">Serving!$C$7</f>
        <v>0.7</v>
      </c>
      <c r="J44" s="81" t="n">
        <f aca="false">Serving!$C$7</f>
        <v>0.7</v>
      </c>
      <c r="K44" s="81" t="n">
        <f aca="false">Serving!$C$7</f>
        <v>0.7</v>
      </c>
      <c r="L44" s="81" t="n">
        <f aca="false">Serving!$C$7</f>
        <v>0.7</v>
      </c>
      <c r="M44" s="81" t="n">
        <f aca="false">Serving!$C$7</f>
        <v>0.7</v>
      </c>
      <c r="N44" s="81" t="n">
        <f aca="false">Serving!$C$7</f>
        <v>0.7</v>
      </c>
      <c r="O44" s="81" t="n">
        <f aca="false">Serving!$C$7</f>
        <v>0.7</v>
      </c>
      <c r="P44" s="81" t="n">
        <f aca="false">Serving!$C$7</f>
        <v>0.7</v>
      </c>
      <c r="Q44" s="81" t="n">
        <f aca="false">Serving!$C$7</f>
        <v>0.7</v>
      </c>
      <c r="R44" s="81" t="n">
        <f aca="false">Serving!$C$7</f>
        <v>0.7</v>
      </c>
      <c r="S44" s="60" t="n">
        <v>0.6</v>
      </c>
      <c r="T44" s="60" t="n">
        <v>0.6</v>
      </c>
      <c r="U44" s="60" t="n">
        <v>0.8</v>
      </c>
      <c r="V44" s="60" t="n">
        <v>0.8</v>
      </c>
      <c r="W44" s="81" t="n">
        <f aca="false">Serving!$C$7</f>
        <v>0.7</v>
      </c>
      <c r="X44" s="81" t="n">
        <f aca="false">Serving!$C$7</f>
        <v>0.7</v>
      </c>
      <c r="Y44" s="81" t="n">
        <f aca="false">Serving!$C$7</f>
        <v>0.7</v>
      </c>
      <c r="Z44" s="81" t="n">
        <f aca="false">Serving!$C$7</f>
        <v>0.7</v>
      </c>
      <c r="AA44" s="81" t="n">
        <f aca="false">Serving!$C$7</f>
        <v>0.7</v>
      </c>
      <c r="AB44" s="81" t="n">
        <f aca="false">Serving!$C$7</f>
        <v>0.7</v>
      </c>
      <c r="AC44" s="81" t="n">
        <f aca="false">Serving!$C$7</f>
        <v>0.7</v>
      </c>
      <c r="AD44" s="81" t="n">
        <f aca="false">Serving!$C$7</f>
        <v>0.7</v>
      </c>
      <c r="AE44" s="81" t="n">
        <f aca="false">Serving!$C$7</f>
        <v>0.7</v>
      </c>
      <c r="AF44" s="81" t="n">
        <f aca="false">Serving!$C$7</f>
        <v>0.7</v>
      </c>
      <c r="AG44" s="81" t="n">
        <f aca="false">Serving!$C$7</f>
        <v>0.7</v>
      </c>
      <c r="AH44" s="81" t="n">
        <f aca="false">Serving!$C$7</f>
        <v>0.7</v>
      </c>
    </row>
    <row r="45" customFormat="false" ht="15" hidden="false" customHeight="false" outlineLevel="0" collapsed="false">
      <c r="A45" s="44" t="s">
        <v>508</v>
      </c>
      <c r="B45" s="45" t="s">
        <v>217</v>
      </c>
      <c r="C45" s="57" t="n">
        <f aca="false">(1-C44^(C43+1))/(1-C44)</f>
        <v>2.533</v>
      </c>
      <c r="D45" s="57" t="n">
        <f aca="false">(1-D44^(D43+1))/(1-D44)</f>
        <v>2.533</v>
      </c>
      <c r="E45" s="57" t="n">
        <f aca="false">(1-E44^(E43+1))/(1-E44)</f>
        <v>2.533</v>
      </c>
      <c r="F45" s="57" t="n">
        <f aca="false">(1-F44^(F43+1))/(1-F44)</f>
        <v>2.533</v>
      </c>
      <c r="G45" s="57" t="n">
        <f aca="false">(1-G44^(G43+1))/(1-G44)</f>
        <v>2.533</v>
      </c>
      <c r="H45" s="57" t="n">
        <f aca="false">(1-H44^(H43+1))/(1-H44)</f>
        <v>2.533</v>
      </c>
      <c r="I45" s="57" t="n">
        <f aca="false">(1-I44^(I43+1))/(1-I44)</f>
        <v>2.533</v>
      </c>
      <c r="J45" s="57" t="n">
        <f aca="false">(1-J44^(J43+1))/(1-J44)</f>
        <v>2.533</v>
      </c>
      <c r="K45" s="57" t="n">
        <f aca="false">(1-K44^(K43+1))/(1-K44)</f>
        <v>2.533</v>
      </c>
      <c r="L45" s="57" t="n">
        <f aca="false">(1-L44^(L43+1))/(1-L44)</f>
        <v>2.533</v>
      </c>
      <c r="M45" s="57" t="n">
        <f aca="false">(1-M44^(M43+1))/(1-M44)</f>
        <v>2.533</v>
      </c>
      <c r="N45" s="57" t="n">
        <f aca="false">(1-N44^(N43+1))/(1-N44)</f>
        <v>2.533</v>
      </c>
      <c r="O45" s="57" t="n">
        <f aca="false">(1-O44^(O43+1))/(1-O44)</f>
        <v>2.533</v>
      </c>
      <c r="P45" s="57" t="n">
        <f aca="false">(1-P44^(P43+1))/(1-P44)</f>
        <v>2.533</v>
      </c>
      <c r="Q45" s="57" t="n">
        <f aca="false">(1-Q44^(Q43+1))/(1-Q44)</f>
        <v>2.533</v>
      </c>
      <c r="R45" s="57" t="n">
        <f aca="false">(1-R44^(R43+1))/(1-R44)</f>
        <v>2.533</v>
      </c>
      <c r="S45" s="57" t="n">
        <f aca="false">(1-S44^(S43+1))/(1-S44)</f>
        <v>2.176</v>
      </c>
      <c r="T45" s="57" t="n">
        <f aca="false">(1-T44^(T43+1))/(1-T44)</f>
        <v>2.176</v>
      </c>
      <c r="U45" s="57" t="n">
        <f aca="false">(1-U44^(U43+1))/(1-U44)</f>
        <v>2.952</v>
      </c>
      <c r="V45" s="57" t="n">
        <f aca="false">(1-V44^(V43+1))/(1-V44)</f>
        <v>2.952</v>
      </c>
      <c r="W45" s="57" t="n">
        <f aca="false">(1-W44^(W43+1))/(1-W44)</f>
        <v>2.533</v>
      </c>
      <c r="X45" s="57" t="n">
        <f aca="false">(1-X44^(X43+1))/(1-X44)</f>
        <v>2.533</v>
      </c>
      <c r="Y45" s="57" t="n">
        <f aca="false">(1-Y44^(Y43+1))/(1-Y44)</f>
        <v>2.533</v>
      </c>
      <c r="Z45" s="57" t="n">
        <f aca="false">(1-Z44^(Z43+1))/(1-Z44)</f>
        <v>2.533</v>
      </c>
      <c r="AA45" s="57" t="n">
        <f aca="false">(1-AA44^(AA43+1))/(1-AA44)</f>
        <v>2.533</v>
      </c>
      <c r="AB45" s="57" t="n">
        <f aca="false">(1-AB44^(AB43+1))/(1-AB44)</f>
        <v>2.533</v>
      </c>
      <c r="AC45" s="57" t="n">
        <f aca="false">(1-AC44^(AC43+1))/(1-AC44)</f>
        <v>2.533</v>
      </c>
      <c r="AD45" s="57" t="n">
        <f aca="false">(1-AD44^(AD43+1))/(1-AD44)</f>
        <v>2.533</v>
      </c>
      <c r="AE45" s="57" t="n">
        <f aca="false">(1-AE44^(AE43+1))/(1-AE44)</f>
        <v>2.533</v>
      </c>
      <c r="AF45" s="57" t="n">
        <f aca="false">(1-AF44^(AF43+1))/(1-AF44)</f>
        <v>2.533</v>
      </c>
      <c r="AG45" s="57" t="n">
        <f aca="false">(1-AG44^(AG43+1))/(1-AG44)</f>
        <v>2.533</v>
      </c>
      <c r="AH45" s="57" t="n">
        <f aca="false">(1-AH44^(AH43+1))/(1-AH44)</f>
        <v>2.533</v>
      </c>
    </row>
    <row r="46" customFormat="false" ht="15" hidden="false" customHeight="false" outlineLevel="0" collapsed="false">
      <c r="A46" s="44" t="s">
        <v>276</v>
      </c>
      <c r="B46" s="45" t="s">
        <v>49</v>
      </c>
      <c r="C46" s="79" t="n">
        <f aca="false">Serving!$C$18</f>
        <v>1</v>
      </c>
      <c r="D46" s="79" t="n">
        <f aca="false">Serving!$C$18</f>
        <v>1</v>
      </c>
      <c r="E46" s="79" t="n">
        <f aca="false">Serving!$C$18</f>
        <v>1</v>
      </c>
      <c r="F46" s="79" t="n">
        <f aca="false">Serving!$C$18</f>
        <v>1</v>
      </c>
      <c r="G46" s="79" t="n">
        <f aca="false">Serving!$C$18</f>
        <v>1</v>
      </c>
      <c r="H46" s="79" t="n">
        <f aca="false">Serving!$C$18</f>
        <v>1</v>
      </c>
      <c r="I46" s="79" t="n">
        <f aca="false">Serving!$C$18</f>
        <v>1</v>
      </c>
      <c r="J46" s="79" t="n">
        <f aca="false">Serving!$C$18</f>
        <v>1</v>
      </c>
      <c r="K46" s="79" t="n">
        <f aca="false">Serving!$C$18</f>
        <v>1</v>
      </c>
      <c r="L46" s="79" t="n">
        <f aca="false">Serving!$C$18</f>
        <v>1</v>
      </c>
      <c r="M46" s="79" t="n">
        <f aca="false">Serving!$C$18</f>
        <v>1</v>
      </c>
      <c r="N46" s="79" t="n">
        <f aca="false">Serving!$C$18</f>
        <v>1</v>
      </c>
      <c r="O46" s="79" t="n">
        <f aca="false">Serving!$C$18</f>
        <v>1</v>
      </c>
      <c r="P46" s="79" t="n">
        <f aca="false">Serving!$C$18</f>
        <v>1</v>
      </c>
      <c r="Q46" s="79" t="n">
        <f aca="false">Serving!$C$18</f>
        <v>1</v>
      </c>
      <c r="R46" s="79" t="n">
        <f aca="false">Serving!$C$18</f>
        <v>1</v>
      </c>
      <c r="S46" s="79" t="n">
        <f aca="false">Serving!$C$18</f>
        <v>1</v>
      </c>
      <c r="T46" s="79" t="n">
        <f aca="false">Serving!$C$18</f>
        <v>1</v>
      </c>
      <c r="U46" s="79" t="n">
        <f aca="false">Serving!$C$18</f>
        <v>1</v>
      </c>
      <c r="V46" s="79" t="n">
        <f aca="false">Serving!$C$18</f>
        <v>1</v>
      </c>
      <c r="W46" s="79" t="n">
        <f aca="false">Serving!$C$18</f>
        <v>1</v>
      </c>
      <c r="X46" s="79" t="n">
        <f aca="false">Serving!$C$18</f>
        <v>1</v>
      </c>
      <c r="Y46" s="79" t="n">
        <f aca="false">Serving!$C$18</f>
        <v>1</v>
      </c>
      <c r="Z46" s="79" t="n">
        <f aca="false">Serving!$C$18</f>
        <v>1</v>
      </c>
      <c r="AA46" s="61" t="n">
        <v>0.7</v>
      </c>
      <c r="AB46" s="61" t="n">
        <v>0.7</v>
      </c>
      <c r="AC46" s="79" t="n">
        <f aca="false">Serving!$C$18</f>
        <v>1</v>
      </c>
      <c r="AD46" s="79" t="n">
        <f aca="false">Serving!$C$18</f>
        <v>1</v>
      </c>
      <c r="AE46" s="79" t="n">
        <f aca="false">Serving!$C$18</f>
        <v>1</v>
      </c>
      <c r="AF46" s="79" t="n">
        <f aca="false">Serving!$C$18</f>
        <v>1</v>
      </c>
      <c r="AG46" s="79" t="n">
        <f aca="false">Serving!$C$18</f>
        <v>1</v>
      </c>
      <c r="AH46" s="79" t="n">
        <f aca="false">Serving!$C$18</f>
        <v>1</v>
      </c>
    </row>
    <row r="47" customFormat="false" ht="15" hidden="false" customHeight="false" outlineLevel="0" collapsed="false">
      <c r="A47" s="45" t="s">
        <v>509</v>
      </c>
      <c r="B47" s="45" t="s">
        <v>45</v>
      </c>
      <c r="C47" s="91" t="n">
        <f aca="false">INDEX(Calib!$C$70:$G$70,C$6)*C46</f>
        <v>0.3</v>
      </c>
      <c r="D47" s="91" t="n">
        <f aca="false">INDEX(Calib!$C$70:$G$70,D$6)*D46</f>
        <v>0.3</v>
      </c>
      <c r="E47" s="91" t="n">
        <f aca="false">INDEX(Calib!$C$70:$G$70,E$6)*E46</f>
        <v>0.3</v>
      </c>
      <c r="F47" s="91" t="n">
        <f aca="false">INDEX(Calib!$C$70:$G$70,F$6)*F46</f>
        <v>0.3</v>
      </c>
      <c r="G47" s="91" t="n">
        <f aca="false">INDEX(Calib!$C$70:$G$70,G$6)*G46</f>
        <v>0.3</v>
      </c>
      <c r="H47" s="91" t="n">
        <f aca="false">INDEX(Calib!$C$70:$G$70,H$6)*H46</f>
        <v>0.3</v>
      </c>
      <c r="I47" s="91" t="n">
        <f aca="false">INDEX(Calib!$C$70:$G$70,I$6)*I46</f>
        <v>0.3</v>
      </c>
      <c r="J47" s="91" t="n">
        <f aca="false">INDEX(Calib!$C$70:$G$70,J$6)*J46</f>
        <v>0.3</v>
      </c>
      <c r="K47" s="91" t="n">
        <f aca="false">INDEX(Calib!$C$70:$G$70,K$6)*K46</f>
        <v>0.3</v>
      </c>
      <c r="L47" s="91" t="n">
        <f aca="false">INDEX(Calib!$C$70:$G$70,L$6)*L46</f>
        <v>0.3</v>
      </c>
      <c r="M47" s="91" t="n">
        <f aca="false">INDEX(Calib!$C$70:$G$70,M$6)*M46</f>
        <v>0.3</v>
      </c>
      <c r="N47" s="91" t="n">
        <f aca="false">INDEX(Calib!$C$70:$G$70,N$6)*N46</f>
        <v>0.3</v>
      </c>
      <c r="O47" s="91" t="n">
        <f aca="false">INDEX(Calib!$C$70:$G$70,O$6)*O46</f>
        <v>0.3</v>
      </c>
      <c r="P47" s="91" t="n">
        <f aca="false">INDEX(Calib!$C$70:$G$70,P$6)*P46</f>
        <v>0.3</v>
      </c>
      <c r="Q47" s="91" t="n">
        <f aca="false">INDEX(Calib!$C$70:$G$70,Q$6)*Q46</f>
        <v>0.3</v>
      </c>
      <c r="R47" s="91" t="n">
        <f aca="false">INDEX(Calib!$C$70:$G$70,R$6)*R46</f>
        <v>0.3</v>
      </c>
      <c r="S47" s="91" t="n">
        <f aca="false">INDEX(Calib!$C$70:$G$70,S$6)*S46</f>
        <v>0.3</v>
      </c>
      <c r="T47" s="91" t="n">
        <f aca="false">INDEX(Calib!$C$70:$G$70,T$6)*T46</f>
        <v>0.3</v>
      </c>
      <c r="U47" s="91" t="n">
        <f aca="false">INDEX(Calib!$C$70:$G$70,U$6)*U46</f>
        <v>0.3</v>
      </c>
      <c r="V47" s="91" t="n">
        <f aca="false">INDEX(Calib!$C$70:$G$70,V$6)*V46</f>
        <v>0.3</v>
      </c>
      <c r="W47" s="91" t="n">
        <f aca="false">INDEX(Calib!$C$70:$G$70,W$6)*W46</f>
        <v>0.3</v>
      </c>
      <c r="X47" s="91" t="n">
        <f aca="false">INDEX(Calib!$C$70:$G$70,X$6)*X46</f>
        <v>0.3</v>
      </c>
      <c r="Y47" s="91" t="n">
        <f aca="false">INDEX(Calib!$C$70:$G$70,Y$6)*Y46</f>
        <v>0.3</v>
      </c>
      <c r="Z47" s="91" t="n">
        <f aca="false">INDEX(Calib!$C$70:$G$70,Z$6)*Z46</f>
        <v>0.3</v>
      </c>
      <c r="AA47" s="91" t="n">
        <f aca="false">INDEX(Calib!$C$70:$G$70,AA$6)*AA46</f>
        <v>0.21</v>
      </c>
      <c r="AB47" s="91" t="n">
        <f aca="false">INDEX(Calib!$C$70:$G$70,AB$6)*AB46</f>
        <v>0.21</v>
      </c>
      <c r="AC47" s="91" t="n">
        <f aca="false">INDEX(Calib!$C$70:$G$70,AC$6)*AC46</f>
        <v>0.3</v>
      </c>
      <c r="AD47" s="91" t="n">
        <f aca="false">INDEX(Calib!$C$70:$G$70,AD$6)*AD46</f>
        <v>0.3</v>
      </c>
      <c r="AE47" s="91" t="n">
        <f aca="false">INDEX(Calib!$C$70:$G$70,AE$6)*AE46</f>
        <v>0.3</v>
      </c>
      <c r="AF47" s="91" t="n">
        <f aca="false">INDEX(Calib!$C$70:$G$70,AF$6)*AF46</f>
        <v>0.3</v>
      </c>
      <c r="AG47" s="91" t="n">
        <f aca="false">INDEX(Calib!$C$70:$G$70,AG$6)*AG46</f>
        <v>0.3</v>
      </c>
      <c r="AH47" s="91" t="n">
        <f aca="false">INDEX(Calib!$C$70:$G$70,AH$6)*AH46</f>
        <v>0.3</v>
      </c>
    </row>
    <row r="48" customFormat="false" ht="15" hidden="false" customHeight="false" outlineLevel="0" collapsed="false">
      <c r="A48" s="45" t="s">
        <v>510</v>
      </c>
      <c r="B48" s="45" t="s">
        <v>49</v>
      </c>
      <c r="C48" s="59" t="n">
        <v>1</v>
      </c>
      <c r="D48" s="59" t="n">
        <v>1</v>
      </c>
      <c r="E48" s="61" t="n">
        <v>0.5</v>
      </c>
      <c r="F48" s="59" t="n">
        <v>1</v>
      </c>
      <c r="G48" s="61" t="n">
        <v>1.5</v>
      </c>
      <c r="H48" s="59" t="n">
        <v>1</v>
      </c>
      <c r="I48" s="59" t="n">
        <v>1</v>
      </c>
      <c r="J48" s="59" t="n">
        <v>1</v>
      </c>
      <c r="K48" s="59" t="n">
        <v>1</v>
      </c>
      <c r="L48" s="59" t="n">
        <v>1</v>
      </c>
      <c r="M48" s="59" t="n">
        <v>1</v>
      </c>
      <c r="N48" s="59" t="n">
        <v>1</v>
      </c>
      <c r="O48" s="59" t="n">
        <v>1</v>
      </c>
      <c r="P48" s="59" t="n">
        <v>1</v>
      </c>
      <c r="Q48" s="59" t="n">
        <v>1</v>
      </c>
      <c r="R48" s="59" t="n">
        <v>1</v>
      </c>
      <c r="S48" s="59" t="n">
        <v>1</v>
      </c>
      <c r="T48" s="59" t="n">
        <v>1</v>
      </c>
      <c r="U48" s="59" t="n">
        <v>1</v>
      </c>
      <c r="V48" s="59" t="n">
        <v>1</v>
      </c>
      <c r="W48" s="59" t="n">
        <v>1</v>
      </c>
      <c r="X48" s="59" t="n">
        <v>1</v>
      </c>
      <c r="Y48" s="59" t="n">
        <v>1</v>
      </c>
      <c r="Z48" s="59" t="n">
        <v>1</v>
      </c>
      <c r="AA48" s="59" t="n">
        <v>1</v>
      </c>
      <c r="AB48" s="59" t="n">
        <v>1</v>
      </c>
      <c r="AC48" s="59" t="n">
        <v>1</v>
      </c>
      <c r="AD48" s="59" t="n">
        <v>1</v>
      </c>
      <c r="AE48" s="59" t="n">
        <v>1</v>
      </c>
      <c r="AF48" s="59" t="n">
        <v>1</v>
      </c>
      <c r="AG48" s="59" t="n">
        <v>1</v>
      </c>
      <c r="AH48" s="59" t="n">
        <v>1</v>
      </c>
    </row>
    <row r="49" customFormat="false" ht="15" hidden="false" customHeight="false" outlineLevel="0" collapsed="false">
      <c r="A49" s="45" t="s">
        <v>511</v>
      </c>
      <c r="B49" s="45" t="s">
        <v>45</v>
      </c>
      <c r="C49" s="92" t="n">
        <f aca="false">INDEX(Calib!$C$68:$G$68,C$6)*C48*C46</f>
        <v>0.0360423794946733</v>
      </c>
      <c r="D49" s="92" t="n">
        <f aca="false">INDEX(Calib!$C$68:$G$68,D$6)*D48*D46</f>
        <v>0.0360423794946733</v>
      </c>
      <c r="E49" s="92" t="n">
        <f aca="false">INDEX(Calib!$C$68:$G$68,E$6)*E48*E46</f>
        <v>0.0180211897473367</v>
      </c>
      <c r="F49" s="92" t="n">
        <f aca="false">INDEX(Calib!$C$68:$G$68,F$6)*F48*F46</f>
        <v>0.0360423794946733</v>
      </c>
      <c r="G49" s="92" t="n">
        <f aca="false">INDEX(Calib!$C$68:$G$68,G$6)*G48*G46</f>
        <v>0.05406356924201</v>
      </c>
      <c r="H49" s="92" t="n">
        <f aca="false">INDEX(Calib!$C$68:$G$68,H$6)*H48*H46</f>
        <v>0.0360423794946733</v>
      </c>
      <c r="I49" s="92" t="n">
        <f aca="false">INDEX(Calib!$C$68:$G$68,I$6)*I48*I46</f>
        <v>0.0360423794946733</v>
      </c>
      <c r="J49" s="92" t="n">
        <f aca="false">INDEX(Calib!$C$68:$G$68,J$6)*J48*J46</f>
        <v>0.0360423794946733</v>
      </c>
      <c r="K49" s="92" t="n">
        <f aca="false">INDEX(Calib!$C$68:$G$68,K$6)*K48*K46</f>
        <v>0.0360423794946733</v>
      </c>
      <c r="L49" s="92" t="n">
        <f aca="false">INDEX(Calib!$C$68:$G$68,L$6)*L48*L46</f>
        <v>0.0360423794946733</v>
      </c>
      <c r="M49" s="92" t="n">
        <f aca="false">INDEX(Calib!$C$68:$G$68,M$6)*M48*M46</f>
        <v>0.0360423794946733</v>
      </c>
      <c r="N49" s="92" t="n">
        <f aca="false">INDEX(Calib!$C$68:$G$68,N$6)*N48*N46</f>
        <v>0.0360423794946733</v>
      </c>
      <c r="O49" s="92" t="n">
        <f aca="false">INDEX(Calib!$C$68:$G$68,O$6)*O48*O46</f>
        <v>0.0360423794946733</v>
      </c>
      <c r="P49" s="92" t="n">
        <f aca="false">INDEX(Calib!$C$68:$G$68,P$6)*P48*P46</f>
        <v>0.0360423794946733</v>
      </c>
      <c r="Q49" s="92" t="n">
        <f aca="false">INDEX(Calib!$C$68:$G$68,Q$6)*Q48*Q46</f>
        <v>0.0360423794946733</v>
      </c>
      <c r="R49" s="92" t="n">
        <f aca="false">INDEX(Calib!$C$68:$G$68,R$6)*R48*R46</f>
        <v>0.0360423794946733</v>
      </c>
      <c r="S49" s="92" t="n">
        <f aca="false">INDEX(Calib!$C$68:$G$68,S$6)*S48*S46</f>
        <v>0.0360423794946733</v>
      </c>
      <c r="T49" s="92" t="n">
        <f aca="false">INDEX(Calib!$C$68:$G$68,T$6)*T48*T46</f>
        <v>0.0360423794946733</v>
      </c>
      <c r="U49" s="92" t="n">
        <f aca="false">INDEX(Calib!$C$68:$G$68,U$6)*U48*U46</f>
        <v>0.0360423794946733</v>
      </c>
      <c r="V49" s="92" t="n">
        <f aca="false">INDEX(Calib!$C$68:$G$68,V$6)*V48*V46</f>
        <v>0.0360423794946733</v>
      </c>
      <c r="W49" s="92" t="n">
        <f aca="false">INDEX(Calib!$C$68:$G$68,W$6)*W48*W46</f>
        <v>0.0360423794946733</v>
      </c>
      <c r="X49" s="92" t="n">
        <f aca="false">INDEX(Calib!$C$68:$G$68,X$6)*X48*X46</f>
        <v>0.0360423794946733</v>
      </c>
      <c r="Y49" s="92" t="n">
        <f aca="false">INDEX(Calib!$C$68:$G$68,Y$6)*Y48*Y46</f>
        <v>0.0360423794946733</v>
      </c>
      <c r="Z49" s="92" t="n">
        <f aca="false">INDEX(Calib!$C$68:$G$68,Z$6)*Z48*Z46</f>
        <v>0.0360423794946733</v>
      </c>
      <c r="AA49" s="92" t="n">
        <f aca="false">INDEX(Calib!$C$68:$G$68,AA$6)*AA48*AA46</f>
        <v>0.0252296656462713</v>
      </c>
      <c r="AB49" s="92" t="n">
        <f aca="false">INDEX(Calib!$C$68:$G$68,AB$6)*AB48*AB46</f>
        <v>0.0252296656462713</v>
      </c>
      <c r="AC49" s="92" t="n">
        <f aca="false">INDEX(Calib!$C$68:$G$68,AC$6)*AC48*AC46</f>
        <v>0.0360423794946733</v>
      </c>
      <c r="AD49" s="92" t="n">
        <f aca="false">INDEX(Calib!$C$68:$G$68,AD$6)*AD48*AD46</f>
        <v>0.0360423794946733</v>
      </c>
      <c r="AE49" s="92" t="n">
        <f aca="false">INDEX(Calib!$C$68:$G$68,AE$6)*AE48*AE46</f>
        <v>0.0360423794946733</v>
      </c>
      <c r="AF49" s="92" t="n">
        <f aca="false">INDEX(Calib!$C$68:$G$68,AF$6)*AF48*AF46</f>
        <v>0.0360423794946733</v>
      </c>
      <c r="AG49" s="92" t="n">
        <f aca="false">INDEX(Calib!$C$68:$G$68,AG$6)*AG48*AG46</f>
        <v>0.0360423794946733</v>
      </c>
      <c r="AH49" s="92" t="n">
        <f aca="false">INDEX(Calib!$C$68:$G$68,AH$6)*AH48*AH46</f>
        <v>0.0360423794946733</v>
      </c>
    </row>
    <row r="50" customFormat="false" ht="15" hidden="false" customHeight="false" outlineLevel="0" collapsed="false">
      <c r="A50" s="44" t="s">
        <v>512</v>
      </c>
      <c r="B50" s="45" t="s">
        <v>49</v>
      </c>
      <c r="C50" s="59" t="n">
        <v>1</v>
      </c>
      <c r="D50" s="59" t="n">
        <v>1</v>
      </c>
      <c r="E50" s="59" t="n">
        <v>1</v>
      </c>
      <c r="F50" s="59" t="n">
        <v>1</v>
      </c>
      <c r="G50" s="59" t="n">
        <v>1</v>
      </c>
      <c r="H50" s="59" t="n">
        <v>1</v>
      </c>
      <c r="I50" s="61" t="n">
        <v>0.7</v>
      </c>
      <c r="J50" s="59" t="n">
        <v>1</v>
      </c>
      <c r="K50" s="61" t="n">
        <v>1.5</v>
      </c>
      <c r="L50" s="59" t="n">
        <v>1</v>
      </c>
      <c r="M50" s="59" t="n">
        <v>1</v>
      </c>
      <c r="N50" s="59" t="n">
        <v>1</v>
      </c>
      <c r="O50" s="59" t="n">
        <v>1</v>
      </c>
      <c r="P50" s="59" t="n">
        <v>1</v>
      </c>
      <c r="Q50" s="59" t="n">
        <v>1</v>
      </c>
      <c r="R50" s="59" t="n">
        <v>1</v>
      </c>
      <c r="S50" s="59" t="n">
        <v>1</v>
      </c>
      <c r="T50" s="59" t="n">
        <v>1</v>
      </c>
      <c r="U50" s="59" t="n">
        <v>1</v>
      </c>
      <c r="V50" s="59" t="n">
        <v>1</v>
      </c>
      <c r="W50" s="59" t="n">
        <v>1</v>
      </c>
      <c r="X50" s="59" t="n">
        <v>1</v>
      </c>
      <c r="Y50" s="59" t="n">
        <v>1</v>
      </c>
      <c r="Z50" s="59" t="n">
        <v>1</v>
      </c>
      <c r="AA50" s="59" t="n">
        <v>1</v>
      </c>
      <c r="AB50" s="59" t="n">
        <v>1</v>
      </c>
      <c r="AC50" s="59" t="n">
        <v>1</v>
      </c>
      <c r="AD50" s="59" t="n">
        <v>1</v>
      </c>
      <c r="AE50" s="59" t="n">
        <v>1</v>
      </c>
      <c r="AF50" s="59" t="n">
        <v>1</v>
      </c>
      <c r="AG50" s="59" t="n">
        <v>1</v>
      </c>
      <c r="AH50" s="59" t="n">
        <v>1</v>
      </c>
    </row>
    <row r="51" customFormat="false" ht="15" hidden="false" customHeight="false" outlineLevel="0" collapsed="false">
      <c r="A51" s="44" t="s">
        <v>513</v>
      </c>
      <c r="B51" s="45" t="s">
        <v>408</v>
      </c>
      <c r="C51" s="76" t="n">
        <f aca="false">INDEX(Calib!$C$69:$G$69,C$6)*C50/C46</f>
        <v>160.278560912864</v>
      </c>
      <c r="D51" s="76" t="n">
        <f aca="false">INDEX(Calib!$C$69:$G$69,D$6)*D50/D46</f>
        <v>160.278560912864</v>
      </c>
      <c r="E51" s="76" t="n">
        <f aca="false">INDEX(Calib!$C$69:$G$69,E$6)*E50/E46</f>
        <v>160.278560912864</v>
      </c>
      <c r="F51" s="76" t="n">
        <f aca="false">INDEX(Calib!$C$69:$G$69,F$6)*F50/F46</f>
        <v>160.278560912864</v>
      </c>
      <c r="G51" s="76" t="n">
        <f aca="false">INDEX(Calib!$C$69:$G$69,G$6)*G50/G46</f>
        <v>160.278560912864</v>
      </c>
      <c r="H51" s="76" t="n">
        <f aca="false">INDEX(Calib!$C$69:$G$69,H$6)*H50/H46</f>
        <v>160.278560912864</v>
      </c>
      <c r="I51" s="76" t="n">
        <f aca="false">INDEX(Calib!$C$69:$G$69,I$6)*I50/I46</f>
        <v>112.194992639005</v>
      </c>
      <c r="J51" s="76" t="n">
        <f aca="false">INDEX(Calib!$C$69:$G$69,J$6)*J50/J46</f>
        <v>160.278560912864</v>
      </c>
      <c r="K51" s="76" t="n">
        <f aca="false">INDEX(Calib!$C$69:$G$69,K$6)*K50/K46</f>
        <v>240.417841369295</v>
      </c>
      <c r="L51" s="76" t="n">
        <f aca="false">INDEX(Calib!$C$69:$G$69,L$6)*L50/L46</f>
        <v>160.278560912864</v>
      </c>
      <c r="M51" s="76" t="n">
        <f aca="false">INDEX(Calib!$C$69:$G$69,M$6)*M50/M46</f>
        <v>160.278560912864</v>
      </c>
      <c r="N51" s="76" t="n">
        <f aca="false">INDEX(Calib!$C$69:$G$69,N$6)*N50/N46</f>
        <v>160.278560912864</v>
      </c>
      <c r="O51" s="76" t="n">
        <f aca="false">INDEX(Calib!$C$69:$G$69,O$6)*O50/O46</f>
        <v>160.278560912864</v>
      </c>
      <c r="P51" s="76" t="n">
        <f aca="false">INDEX(Calib!$C$69:$G$69,P$6)*P50/P46</f>
        <v>160.278560912864</v>
      </c>
      <c r="Q51" s="76" t="n">
        <f aca="false">INDEX(Calib!$C$69:$G$69,Q$6)*Q50/Q46</f>
        <v>160.278560912864</v>
      </c>
      <c r="R51" s="76" t="n">
        <f aca="false">INDEX(Calib!$C$69:$G$69,R$6)*R50/R46</f>
        <v>160.278560912864</v>
      </c>
      <c r="S51" s="76" t="n">
        <f aca="false">INDEX(Calib!$C$69:$G$69,S$6)*S50/S46</f>
        <v>160.278560912864</v>
      </c>
      <c r="T51" s="76" t="n">
        <f aca="false">INDEX(Calib!$C$69:$G$69,T$6)*T50/T46</f>
        <v>160.278560912864</v>
      </c>
      <c r="U51" s="76" t="n">
        <f aca="false">INDEX(Calib!$C$69:$G$69,U$6)*U50/U46</f>
        <v>160.278560912864</v>
      </c>
      <c r="V51" s="76" t="n">
        <f aca="false">INDEX(Calib!$C$69:$G$69,V$6)*V50/V46</f>
        <v>160.278560912864</v>
      </c>
      <c r="W51" s="76" t="n">
        <f aca="false">INDEX(Calib!$C$69:$G$69,W$6)*W50/W46</f>
        <v>160.278560912864</v>
      </c>
      <c r="X51" s="76" t="n">
        <f aca="false">INDEX(Calib!$C$69:$G$69,X$6)*X50/X46</f>
        <v>160.278560912864</v>
      </c>
      <c r="Y51" s="76" t="n">
        <f aca="false">INDEX(Calib!$C$69:$G$69,Y$6)*Y50/Y46</f>
        <v>160.278560912864</v>
      </c>
      <c r="Z51" s="76" t="n">
        <f aca="false">INDEX(Calib!$C$69:$G$69,Z$6)*Z50/Z46</f>
        <v>160.278560912864</v>
      </c>
      <c r="AA51" s="76" t="n">
        <f aca="false">INDEX(Calib!$C$69:$G$69,AA$6)*AA50/AA46</f>
        <v>228.969372732662</v>
      </c>
      <c r="AB51" s="76" t="n">
        <f aca="false">INDEX(Calib!$C$69:$G$69,AB$6)*AB50/AB46</f>
        <v>228.969372732662</v>
      </c>
      <c r="AC51" s="76" t="n">
        <f aca="false">INDEX(Calib!$C$69:$G$69,AC$6)*AC50/AC46</f>
        <v>160.278560912864</v>
      </c>
      <c r="AD51" s="76" t="n">
        <f aca="false">INDEX(Calib!$C$69:$G$69,AD$6)*AD50/AD46</f>
        <v>160.278560912864</v>
      </c>
      <c r="AE51" s="76" t="n">
        <f aca="false">INDEX(Calib!$C$69:$G$69,AE$6)*AE50/AE46</f>
        <v>160.278560912864</v>
      </c>
      <c r="AF51" s="76" t="n">
        <f aca="false">INDEX(Calib!$C$69:$G$69,AF$6)*AF50/AF46</f>
        <v>160.278560912864</v>
      </c>
      <c r="AG51" s="76" t="n">
        <f aca="false">INDEX(Calib!$C$69:$G$69,AG$6)*AG50/AG46</f>
        <v>160.278560912864</v>
      </c>
      <c r="AH51" s="76" t="n">
        <f aca="false">INDEX(Calib!$C$69:$G$69,AH$6)*AH50/AH46</f>
        <v>160.278560912864</v>
      </c>
    </row>
    <row r="52" customFormat="false" ht="15" hidden="false" customHeight="false" outlineLevel="0" collapsed="false">
      <c r="A52" s="45" t="s">
        <v>514</v>
      </c>
      <c r="B52" s="45" t="s">
        <v>45</v>
      </c>
      <c r="C52" s="81" t="n">
        <f aca="false">Serving!$C$9</f>
        <v>0.1</v>
      </c>
      <c r="D52" s="81" t="n">
        <f aca="false">Serving!$C$9</f>
        <v>0.1</v>
      </c>
      <c r="E52" s="81" t="n">
        <f aca="false">Serving!$C$9</f>
        <v>0.1</v>
      </c>
      <c r="F52" s="81" t="n">
        <f aca="false">Serving!$C$9</f>
        <v>0.1</v>
      </c>
      <c r="G52" s="81" t="n">
        <f aca="false">Serving!$C$9</f>
        <v>0.1</v>
      </c>
      <c r="H52" s="81" t="n">
        <f aca="false">Serving!$C$9</f>
        <v>0.1</v>
      </c>
      <c r="I52" s="81" t="n">
        <f aca="false">Serving!$C$9</f>
        <v>0.1</v>
      </c>
      <c r="J52" s="81" t="n">
        <f aca="false">Serving!$C$9</f>
        <v>0.1</v>
      </c>
      <c r="K52" s="81" t="n">
        <f aca="false">Serving!$C$9</f>
        <v>0.1</v>
      </c>
      <c r="L52" s="81" t="n">
        <f aca="false">Serving!$C$9</f>
        <v>0.1</v>
      </c>
      <c r="M52" s="81" t="n">
        <f aca="false">Serving!$C$9</f>
        <v>0.1</v>
      </c>
      <c r="N52" s="81" t="n">
        <f aca="false">Serving!$C$9</f>
        <v>0.1</v>
      </c>
      <c r="O52" s="81" t="n">
        <f aca="false">Serving!$C$9</f>
        <v>0.1</v>
      </c>
      <c r="P52" s="81" t="n">
        <f aca="false">Serving!$C$9</f>
        <v>0.1</v>
      </c>
      <c r="Q52" s="81" t="n">
        <f aca="false">Serving!$C$9</f>
        <v>0.1</v>
      </c>
      <c r="R52" s="81" t="n">
        <f aca="false">Serving!$C$9</f>
        <v>0.1</v>
      </c>
      <c r="S52" s="81" t="n">
        <f aca="false">Serving!$C$9</f>
        <v>0.1</v>
      </c>
      <c r="T52" s="81" t="n">
        <f aca="false">Serving!$C$9</f>
        <v>0.1</v>
      </c>
      <c r="U52" s="81" t="n">
        <f aca="false">Serving!$C$9</f>
        <v>0.1</v>
      </c>
      <c r="V52" s="81" t="n">
        <f aca="false">Serving!$C$9</f>
        <v>0.1</v>
      </c>
      <c r="W52" s="81" t="n">
        <f aca="false">Serving!$C$9</f>
        <v>0.1</v>
      </c>
      <c r="X52" s="81" t="n">
        <f aca="false">Serving!$C$9</f>
        <v>0.1</v>
      </c>
      <c r="Y52" s="81" t="n">
        <f aca="false">Serving!$C$9</f>
        <v>0.1</v>
      </c>
      <c r="Z52" s="81" t="n">
        <f aca="false">Serving!$C$9</f>
        <v>0.1</v>
      </c>
      <c r="AA52" s="81" t="n">
        <f aca="false">Serving!$C$9</f>
        <v>0.1</v>
      </c>
      <c r="AB52" s="81" t="n">
        <f aca="false">Serving!$C$9</f>
        <v>0.1</v>
      </c>
      <c r="AC52" s="81" t="n">
        <f aca="false">Serving!$C$9</f>
        <v>0.1</v>
      </c>
      <c r="AD52" s="81" t="n">
        <f aca="false">Serving!$C$9</f>
        <v>0.1</v>
      </c>
      <c r="AE52" s="81" t="n">
        <f aca="false">Serving!$C$9</f>
        <v>0.1</v>
      </c>
      <c r="AF52" s="81" t="n">
        <f aca="false">Serving!$C$9</f>
        <v>0.1</v>
      </c>
      <c r="AG52" s="81" t="n">
        <f aca="false">Serving!$C$9</f>
        <v>0.1</v>
      </c>
      <c r="AH52" s="81" t="n">
        <f aca="false">Serving!$C$9</f>
        <v>0.1</v>
      </c>
    </row>
    <row r="53" customFormat="false" ht="15" hidden="false" customHeight="false" outlineLevel="0" collapsed="false">
      <c r="A53" s="44" t="s">
        <v>515</v>
      </c>
      <c r="B53" s="45" t="s">
        <v>45</v>
      </c>
      <c r="C53" s="81" t="n">
        <f aca="false">Serving!$C$10</f>
        <v>0.2</v>
      </c>
      <c r="D53" s="81" t="n">
        <f aca="false">Serving!$C$10</f>
        <v>0.2</v>
      </c>
      <c r="E53" s="81" t="n">
        <f aca="false">Serving!$C$10</f>
        <v>0.2</v>
      </c>
      <c r="F53" s="81" t="n">
        <f aca="false">Serving!$C$10</f>
        <v>0.2</v>
      </c>
      <c r="G53" s="81" t="n">
        <f aca="false">Serving!$C$10</f>
        <v>0.2</v>
      </c>
      <c r="H53" s="81" t="n">
        <f aca="false">Serving!$C$10</f>
        <v>0.2</v>
      </c>
      <c r="I53" s="81" t="n">
        <f aca="false">Serving!$C$10</f>
        <v>0.2</v>
      </c>
      <c r="J53" s="81" t="n">
        <f aca="false">Serving!$C$10</f>
        <v>0.2</v>
      </c>
      <c r="K53" s="81" t="n">
        <f aca="false">Serving!$C$10</f>
        <v>0.2</v>
      </c>
      <c r="L53" s="81" t="n">
        <f aca="false">Serving!$C$10</f>
        <v>0.2</v>
      </c>
      <c r="M53" s="81" t="n">
        <f aca="false">Serving!$C$10</f>
        <v>0.2</v>
      </c>
      <c r="N53" s="81" t="n">
        <f aca="false">Serving!$C$10</f>
        <v>0.2</v>
      </c>
      <c r="O53" s="81" t="n">
        <f aca="false">Serving!$C$10</f>
        <v>0.2</v>
      </c>
      <c r="P53" s="81" t="n">
        <f aca="false">Serving!$C$10</f>
        <v>0.2</v>
      </c>
      <c r="Q53" s="81" t="n">
        <f aca="false">Serving!$C$10</f>
        <v>0.2</v>
      </c>
      <c r="R53" s="81" t="n">
        <f aca="false">Serving!$C$10</f>
        <v>0.2</v>
      </c>
      <c r="S53" s="81" t="n">
        <f aca="false">Serving!$C$10</f>
        <v>0.2</v>
      </c>
      <c r="T53" s="81" t="n">
        <f aca="false">Serving!$C$10</f>
        <v>0.2</v>
      </c>
      <c r="U53" s="81" t="n">
        <f aca="false">Serving!$C$10</f>
        <v>0.2</v>
      </c>
      <c r="V53" s="81" t="n">
        <f aca="false">Serving!$C$10</f>
        <v>0.2</v>
      </c>
      <c r="W53" s="81" t="n">
        <f aca="false">Serving!$C$10</f>
        <v>0.2</v>
      </c>
      <c r="X53" s="81" t="n">
        <f aca="false">Serving!$C$10</f>
        <v>0.2</v>
      </c>
      <c r="Y53" s="81" t="n">
        <f aca="false">Serving!$C$10</f>
        <v>0.2</v>
      </c>
      <c r="Z53" s="81" t="n">
        <f aca="false">Serving!$C$10</f>
        <v>0.2</v>
      </c>
      <c r="AA53" s="81" t="n">
        <f aca="false">Serving!$C$10</f>
        <v>0.2</v>
      </c>
      <c r="AB53" s="81" t="n">
        <f aca="false">Serving!$C$10</f>
        <v>0.2</v>
      </c>
      <c r="AC53" s="81" t="n">
        <f aca="false">Serving!$C$10</f>
        <v>0.2</v>
      </c>
      <c r="AD53" s="81" t="n">
        <f aca="false">Serving!$C$10</f>
        <v>0.2</v>
      </c>
      <c r="AE53" s="81" t="n">
        <f aca="false">Serving!$C$10</f>
        <v>0.2</v>
      </c>
      <c r="AF53" s="81" t="n">
        <f aca="false">Serving!$C$10</f>
        <v>0.2</v>
      </c>
      <c r="AG53" s="81" t="n">
        <f aca="false">Serving!$C$10</f>
        <v>0.2</v>
      </c>
      <c r="AH53" s="81" t="n">
        <f aca="false">Serving!$C$10</f>
        <v>0.2</v>
      </c>
    </row>
    <row r="54" customFormat="false" ht="15" hidden="false" customHeight="false" outlineLevel="0" collapsed="false">
      <c r="A54" s="44" t="s">
        <v>516</v>
      </c>
      <c r="B54" s="45" t="s">
        <v>45</v>
      </c>
      <c r="C54" s="81" t="n">
        <f aca="false">Serving!$C$11</f>
        <v>0.4</v>
      </c>
      <c r="D54" s="81" t="n">
        <f aca="false">Serving!$C$11</f>
        <v>0.4</v>
      </c>
      <c r="E54" s="81" t="n">
        <f aca="false">Serving!$C$11</f>
        <v>0.4</v>
      </c>
      <c r="F54" s="81" t="n">
        <f aca="false">Serving!$C$11</f>
        <v>0.4</v>
      </c>
      <c r="G54" s="81" t="n">
        <f aca="false">Serving!$C$11</f>
        <v>0.4</v>
      </c>
      <c r="H54" s="81" t="n">
        <f aca="false">Serving!$C$11</f>
        <v>0.4</v>
      </c>
      <c r="I54" s="81" t="n">
        <f aca="false">Serving!$C$11</f>
        <v>0.4</v>
      </c>
      <c r="J54" s="81" t="n">
        <f aca="false">Serving!$C$11</f>
        <v>0.4</v>
      </c>
      <c r="K54" s="81" t="n">
        <f aca="false">Serving!$C$11</f>
        <v>0.4</v>
      </c>
      <c r="L54" s="81" t="n">
        <f aca="false">Serving!$C$11</f>
        <v>0.4</v>
      </c>
      <c r="M54" s="81" t="n">
        <f aca="false">Serving!$C$11</f>
        <v>0.4</v>
      </c>
      <c r="N54" s="81" t="n">
        <f aca="false">Serving!$C$11</f>
        <v>0.4</v>
      </c>
      <c r="O54" s="81" t="n">
        <f aca="false">Serving!$C$11</f>
        <v>0.4</v>
      </c>
      <c r="P54" s="81" t="n">
        <f aca="false">Serving!$C$11</f>
        <v>0.4</v>
      </c>
      <c r="Q54" s="81" t="n">
        <f aca="false">Serving!$C$11</f>
        <v>0.4</v>
      </c>
      <c r="R54" s="81" t="n">
        <f aca="false">Serving!$C$11</f>
        <v>0.4</v>
      </c>
      <c r="S54" s="81" t="n">
        <f aca="false">Serving!$C$11</f>
        <v>0.4</v>
      </c>
      <c r="T54" s="81" t="n">
        <f aca="false">Serving!$C$11</f>
        <v>0.4</v>
      </c>
      <c r="U54" s="81" t="n">
        <f aca="false">Serving!$C$11</f>
        <v>0.4</v>
      </c>
      <c r="V54" s="81" t="n">
        <f aca="false">Serving!$C$11</f>
        <v>0.4</v>
      </c>
      <c r="W54" s="81" t="n">
        <f aca="false">Serving!$C$11</f>
        <v>0.4</v>
      </c>
      <c r="X54" s="81" t="n">
        <f aca="false">Serving!$C$11</f>
        <v>0.4</v>
      </c>
      <c r="Y54" s="81" t="n">
        <f aca="false">Serving!$C$11</f>
        <v>0.4</v>
      </c>
      <c r="Z54" s="81" t="n">
        <f aca="false">Serving!$C$11</f>
        <v>0.4</v>
      </c>
      <c r="AA54" s="81" t="n">
        <f aca="false">Serving!$C$11</f>
        <v>0.4</v>
      </c>
      <c r="AB54" s="81" t="n">
        <f aca="false">Serving!$C$11</f>
        <v>0.4</v>
      </c>
      <c r="AC54" s="81" t="n">
        <f aca="false">Serving!$C$11</f>
        <v>0.4</v>
      </c>
      <c r="AD54" s="81" t="n">
        <f aca="false">Serving!$C$11</f>
        <v>0.4</v>
      </c>
      <c r="AE54" s="81" t="n">
        <f aca="false">Serving!$C$11</f>
        <v>0.4</v>
      </c>
      <c r="AF54" s="81" t="n">
        <f aca="false">Serving!$C$11</f>
        <v>0.4</v>
      </c>
      <c r="AG54" s="81" t="n">
        <f aca="false">Serving!$C$11</f>
        <v>0.4</v>
      </c>
      <c r="AH54" s="81" t="n">
        <f aca="false">Serving!$C$11</f>
        <v>0.4</v>
      </c>
    </row>
    <row r="55" customFormat="false" ht="15" hidden="false" customHeight="false" outlineLevel="0" collapsed="false">
      <c r="A55" s="45" t="s">
        <v>517</v>
      </c>
      <c r="B55" s="45" t="s">
        <v>194</v>
      </c>
      <c r="C55" s="90" t="n">
        <f aca="false">Serving!$C$12</f>
        <v>3</v>
      </c>
      <c r="D55" s="90" t="n">
        <f aca="false">Serving!$C$12</f>
        <v>3</v>
      </c>
      <c r="E55" s="90" t="n">
        <f aca="false">Serving!$C$12</f>
        <v>3</v>
      </c>
      <c r="F55" s="90" t="n">
        <f aca="false">Serving!$C$12</f>
        <v>3</v>
      </c>
      <c r="G55" s="90" t="n">
        <f aca="false">Serving!$C$12</f>
        <v>3</v>
      </c>
      <c r="H55" s="90" t="n">
        <f aca="false">Serving!$C$12</f>
        <v>3</v>
      </c>
      <c r="I55" s="90" t="n">
        <f aca="false">Serving!$C$12</f>
        <v>3</v>
      </c>
      <c r="J55" s="90" t="n">
        <f aca="false">Serving!$C$12</f>
        <v>3</v>
      </c>
      <c r="K55" s="90" t="n">
        <f aca="false">Serving!$C$12</f>
        <v>3</v>
      </c>
      <c r="L55" s="90" t="n">
        <f aca="false">Serving!$C$12</f>
        <v>3</v>
      </c>
      <c r="M55" s="90" t="n">
        <f aca="false">Serving!$C$12</f>
        <v>3</v>
      </c>
      <c r="N55" s="90" t="n">
        <f aca="false">Serving!$C$12</f>
        <v>3</v>
      </c>
      <c r="O55" s="90" t="n">
        <f aca="false">Serving!$C$12</f>
        <v>3</v>
      </c>
      <c r="P55" s="90" t="n">
        <f aca="false">Serving!$C$12</f>
        <v>3</v>
      </c>
      <c r="Q55" s="90" t="n">
        <f aca="false">Serving!$C$12</f>
        <v>3</v>
      </c>
      <c r="R55" s="90" t="n">
        <f aca="false">Serving!$C$12</f>
        <v>3</v>
      </c>
      <c r="S55" s="90" t="n">
        <f aca="false">Serving!$C$12</f>
        <v>3</v>
      </c>
      <c r="T55" s="90" t="n">
        <f aca="false">Serving!$C$12</f>
        <v>3</v>
      </c>
      <c r="U55" s="90" t="n">
        <f aca="false">Serving!$C$12</f>
        <v>3</v>
      </c>
      <c r="V55" s="90" t="n">
        <f aca="false">Serving!$C$12</f>
        <v>3</v>
      </c>
      <c r="W55" s="90" t="n">
        <f aca="false">Serving!$C$12</f>
        <v>3</v>
      </c>
      <c r="X55" s="90" t="n">
        <f aca="false">Serving!$C$12</f>
        <v>3</v>
      </c>
      <c r="Y55" s="90" t="n">
        <f aca="false">Serving!$C$12</f>
        <v>3</v>
      </c>
      <c r="Z55" s="90" t="n">
        <f aca="false">Serving!$C$12</f>
        <v>3</v>
      </c>
      <c r="AA55" s="90" t="n">
        <f aca="false">Serving!$C$12</f>
        <v>3</v>
      </c>
      <c r="AB55" s="90" t="n">
        <f aca="false">Serving!$C$12</f>
        <v>3</v>
      </c>
      <c r="AC55" s="90" t="n">
        <f aca="false">Serving!$C$12</f>
        <v>3</v>
      </c>
      <c r="AD55" s="90" t="n">
        <f aca="false">Serving!$C$12</f>
        <v>3</v>
      </c>
      <c r="AE55" s="90" t="n">
        <f aca="false">Serving!$C$12</f>
        <v>3</v>
      </c>
      <c r="AF55" s="90" t="n">
        <f aca="false">Serving!$C$12</f>
        <v>3</v>
      </c>
      <c r="AG55" s="90" t="n">
        <f aca="false">Serving!$C$12</f>
        <v>3</v>
      </c>
      <c r="AH55" s="90" t="n">
        <f aca="false">Serving!$C$12</f>
        <v>3</v>
      </c>
    </row>
    <row r="56" customFormat="false" ht="15" hidden="false" customHeight="false" outlineLevel="0" collapsed="false">
      <c r="A56" s="45" t="s">
        <v>518</v>
      </c>
      <c r="B56" s="45" t="s">
        <v>45</v>
      </c>
      <c r="C56" s="81" t="n">
        <f aca="false">Serving!$C$13</f>
        <v>0.7</v>
      </c>
      <c r="D56" s="81" t="n">
        <f aca="false">Serving!$C$13</f>
        <v>0.7</v>
      </c>
      <c r="E56" s="81" t="n">
        <f aca="false">Serving!$C$13</f>
        <v>0.7</v>
      </c>
      <c r="F56" s="81" t="n">
        <f aca="false">Serving!$C$13</f>
        <v>0.7</v>
      </c>
      <c r="G56" s="81" t="n">
        <f aca="false">Serving!$C$13</f>
        <v>0.7</v>
      </c>
      <c r="H56" s="81" t="n">
        <f aca="false">Serving!$C$13</f>
        <v>0.7</v>
      </c>
      <c r="I56" s="81" t="n">
        <f aca="false">Serving!$C$13</f>
        <v>0.7</v>
      </c>
      <c r="J56" s="81" t="n">
        <f aca="false">Serving!$C$13</f>
        <v>0.7</v>
      </c>
      <c r="K56" s="81" t="n">
        <f aca="false">Serving!$C$13</f>
        <v>0.7</v>
      </c>
      <c r="L56" s="81" t="n">
        <f aca="false">Serving!$C$13</f>
        <v>0.7</v>
      </c>
      <c r="M56" s="81" t="n">
        <f aca="false">Serving!$C$13</f>
        <v>0.7</v>
      </c>
      <c r="N56" s="81" t="n">
        <f aca="false">Serving!$C$13</f>
        <v>0.7</v>
      </c>
      <c r="O56" s="81" t="n">
        <f aca="false">Serving!$C$13</f>
        <v>0.7</v>
      </c>
      <c r="P56" s="81" t="n">
        <f aca="false">Serving!$C$13</f>
        <v>0.7</v>
      </c>
      <c r="Q56" s="81" t="n">
        <f aca="false">Serving!$C$13</f>
        <v>0.7</v>
      </c>
      <c r="R56" s="81" t="n">
        <f aca="false">Serving!$C$13</f>
        <v>0.7</v>
      </c>
      <c r="S56" s="81" t="n">
        <f aca="false">Serving!$C$13</f>
        <v>0.7</v>
      </c>
      <c r="T56" s="81" t="n">
        <f aca="false">Serving!$C$13</f>
        <v>0.7</v>
      </c>
      <c r="U56" s="81" t="n">
        <f aca="false">Serving!$C$13</f>
        <v>0.7</v>
      </c>
      <c r="V56" s="81" t="n">
        <f aca="false">Serving!$C$13</f>
        <v>0.7</v>
      </c>
      <c r="W56" s="81" t="n">
        <f aca="false">Serving!$C$13</f>
        <v>0.7</v>
      </c>
      <c r="X56" s="81" t="n">
        <f aca="false">Serving!$C$13</f>
        <v>0.7</v>
      </c>
      <c r="Y56" s="81" t="n">
        <f aca="false">Serving!$C$13</f>
        <v>0.7</v>
      </c>
      <c r="Z56" s="81" t="n">
        <f aca="false">Serving!$C$13</f>
        <v>0.7</v>
      </c>
      <c r="AA56" s="81" t="n">
        <f aca="false">Serving!$C$13</f>
        <v>0.7</v>
      </c>
      <c r="AB56" s="81" t="n">
        <f aca="false">Serving!$C$13</f>
        <v>0.7</v>
      </c>
      <c r="AC56" s="81" t="n">
        <f aca="false">Serving!$C$13</f>
        <v>0.7</v>
      </c>
      <c r="AD56" s="81" t="n">
        <f aca="false">Serving!$C$13</f>
        <v>0.7</v>
      </c>
      <c r="AE56" s="81" t="n">
        <f aca="false">Serving!$C$13</f>
        <v>0.7</v>
      </c>
      <c r="AF56" s="81" t="n">
        <f aca="false">Serving!$C$13</f>
        <v>0.7</v>
      </c>
      <c r="AG56" s="81" t="n">
        <f aca="false">Serving!$C$13</f>
        <v>0.7</v>
      </c>
      <c r="AH56" s="81" t="n">
        <f aca="false">Serving!$C$13</f>
        <v>0.7</v>
      </c>
    </row>
    <row r="57" customFormat="false" ht="15" hidden="false" customHeight="false" outlineLevel="0" collapsed="false">
      <c r="A57" s="45" t="s">
        <v>519</v>
      </c>
      <c r="B57" s="45" t="s">
        <v>45</v>
      </c>
      <c r="C57" s="81" t="n">
        <f aca="false">Serving!$C$14</f>
        <v>0.7</v>
      </c>
      <c r="D57" s="81" t="n">
        <f aca="false">Serving!$C$14</f>
        <v>0.7</v>
      </c>
      <c r="E57" s="81" t="n">
        <f aca="false">Serving!$C$14</f>
        <v>0.7</v>
      </c>
      <c r="F57" s="81" t="n">
        <f aca="false">Serving!$C$14</f>
        <v>0.7</v>
      </c>
      <c r="G57" s="81" t="n">
        <f aca="false">Serving!$C$14</f>
        <v>0.7</v>
      </c>
      <c r="H57" s="81" t="n">
        <f aca="false">Serving!$C$14</f>
        <v>0.7</v>
      </c>
      <c r="I57" s="81" t="n">
        <f aca="false">Serving!$C$14</f>
        <v>0.7</v>
      </c>
      <c r="J57" s="81" t="n">
        <f aca="false">Serving!$C$14</f>
        <v>0.7</v>
      </c>
      <c r="K57" s="81" t="n">
        <f aca="false">Serving!$C$14</f>
        <v>0.7</v>
      </c>
      <c r="L57" s="81" t="n">
        <f aca="false">Serving!$C$14</f>
        <v>0.7</v>
      </c>
      <c r="M57" s="81" t="n">
        <f aca="false">Serving!$C$14</f>
        <v>0.7</v>
      </c>
      <c r="N57" s="81" t="n">
        <f aca="false">Serving!$C$14</f>
        <v>0.7</v>
      </c>
      <c r="O57" s="81" t="n">
        <f aca="false">Serving!$C$14</f>
        <v>0.7</v>
      </c>
      <c r="P57" s="81" t="n">
        <f aca="false">Serving!$C$14</f>
        <v>0.7</v>
      </c>
      <c r="Q57" s="81" t="n">
        <f aca="false">Serving!$C$14</f>
        <v>0.7</v>
      </c>
      <c r="R57" s="81" t="n">
        <f aca="false">Serving!$C$14</f>
        <v>0.7</v>
      </c>
      <c r="S57" s="81" t="n">
        <f aca="false">Serving!$C$14</f>
        <v>0.7</v>
      </c>
      <c r="T57" s="81" t="n">
        <f aca="false">Serving!$C$14</f>
        <v>0.7</v>
      </c>
      <c r="U57" s="81" t="n">
        <f aca="false">Serving!$C$14</f>
        <v>0.7</v>
      </c>
      <c r="V57" s="81" t="n">
        <f aca="false">Serving!$C$14</f>
        <v>0.7</v>
      </c>
      <c r="W57" s="81" t="n">
        <f aca="false">Serving!$C$14</f>
        <v>0.7</v>
      </c>
      <c r="X57" s="81" t="n">
        <f aca="false">Serving!$C$14</f>
        <v>0.7</v>
      </c>
      <c r="Y57" s="81" t="n">
        <f aca="false">Serving!$C$14</f>
        <v>0.7</v>
      </c>
      <c r="Z57" s="81" t="n">
        <f aca="false">Serving!$C$14</f>
        <v>0.7</v>
      </c>
      <c r="AA57" s="81" t="n">
        <f aca="false">Serving!$C$14</f>
        <v>0.7</v>
      </c>
      <c r="AB57" s="81" t="n">
        <f aca="false">Serving!$C$14</f>
        <v>0.7</v>
      </c>
      <c r="AC57" s="81" t="n">
        <f aca="false">Serving!$C$14</f>
        <v>0.7</v>
      </c>
      <c r="AD57" s="81" t="n">
        <f aca="false">Serving!$C$14</f>
        <v>0.7</v>
      </c>
      <c r="AE57" s="81" t="n">
        <f aca="false">Serving!$C$14</f>
        <v>0.7</v>
      </c>
      <c r="AF57" s="81" t="n">
        <f aca="false">Serving!$C$14</f>
        <v>0.7</v>
      </c>
      <c r="AG57" s="81" t="n">
        <f aca="false">Serving!$C$14</f>
        <v>0.7</v>
      </c>
      <c r="AH57" s="81" t="n">
        <f aca="false">Serving!$C$14</f>
        <v>0.7</v>
      </c>
    </row>
    <row r="58" customFormat="false" ht="15" hidden="false" customHeight="false" outlineLevel="0" collapsed="false">
      <c r="A58" s="44" t="s">
        <v>520</v>
      </c>
      <c r="B58" s="45" t="s">
        <v>373</v>
      </c>
      <c r="C58" s="79" t="n">
        <f aca="false">Serving!$C$15</f>
        <v>0.1</v>
      </c>
      <c r="D58" s="79" t="n">
        <f aca="false">Serving!$C$15</f>
        <v>0.1</v>
      </c>
      <c r="E58" s="79" t="n">
        <f aca="false">Serving!$C$15</f>
        <v>0.1</v>
      </c>
      <c r="F58" s="79" t="n">
        <f aca="false">Serving!$C$15</f>
        <v>0.1</v>
      </c>
      <c r="G58" s="79" t="n">
        <f aca="false">Serving!$C$15</f>
        <v>0.1</v>
      </c>
      <c r="H58" s="79" t="n">
        <f aca="false">Serving!$C$15</f>
        <v>0.1</v>
      </c>
      <c r="I58" s="79" t="n">
        <f aca="false">Serving!$C$15</f>
        <v>0.1</v>
      </c>
      <c r="J58" s="79" t="n">
        <f aca="false">Serving!$C$15</f>
        <v>0.1</v>
      </c>
      <c r="K58" s="79" t="n">
        <f aca="false">Serving!$C$15</f>
        <v>0.1</v>
      </c>
      <c r="L58" s="79" t="n">
        <f aca="false">Serving!$C$15</f>
        <v>0.1</v>
      </c>
      <c r="M58" s="79" t="n">
        <f aca="false">Serving!$C$15</f>
        <v>0.1</v>
      </c>
      <c r="N58" s="79" t="n">
        <f aca="false">Serving!$C$15</f>
        <v>0.1</v>
      </c>
      <c r="O58" s="79" t="n">
        <f aca="false">Serving!$C$15</f>
        <v>0.1</v>
      </c>
      <c r="P58" s="79" t="n">
        <f aca="false">Serving!$C$15</f>
        <v>0.1</v>
      </c>
      <c r="Q58" s="79" t="n">
        <f aca="false">Serving!$C$15</f>
        <v>0.1</v>
      </c>
      <c r="R58" s="79" t="n">
        <f aca="false">Serving!$C$15</f>
        <v>0.1</v>
      </c>
      <c r="S58" s="79" t="n">
        <f aca="false">Serving!$C$15</f>
        <v>0.1</v>
      </c>
      <c r="T58" s="79" t="n">
        <f aca="false">Serving!$C$15</f>
        <v>0.1</v>
      </c>
      <c r="U58" s="79" t="n">
        <f aca="false">Serving!$C$15</f>
        <v>0.1</v>
      </c>
      <c r="V58" s="79" t="n">
        <f aca="false">Serving!$C$15</f>
        <v>0.1</v>
      </c>
      <c r="W58" s="79" t="n">
        <f aca="false">Serving!$C$15</f>
        <v>0.1</v>
      </c>
      <c r="X58" s="79" t="n">
        <f aca="false">Serving!$C$15</f>
        <v>0.1</v>
      </c>
      <c r="Y58" s="79" t="n">
        <f aca="false">Serving!$C$15</f>
        <v>0.1</v>
      </c>
      <c r="Z58" s="79" t="n">
        <f aca="false">Serving!$C$15</f>
        <v>0.1</v>
      </c>
      <c r="AA58" s="79" t="n">
        <f aca="false">Serving!$C$15</f>
        <v>0.1</v>
      </c>
      <c r="AB58" s="79" t="n">
        <f aca="false">Serving!$C$15</f>
        <v>0.1</v>
      </c>
      <c r="AC58" s="79" t="n">
        <f aca="false">Serving!$C$15</f>
        <v>0.1</v>
      </c>
      <c r="AD58" s="79" t="n">
        <f aca="false">Serving!$C$15</f>
        <v>0.1</v>
      </c>
      <c r="AE58" s="79" t="n">
        <f aca="false">Serving!$C$15</f>
        <v>0.1</v>
      </c>
      <c r="AF58" s="79" t="n">
        <f aca="false">Serving!$C$15</f>
        <v>0.1</v>
      </c>
      <c r="AG58" s="79" t="n">
        <f aca="false">Serving!$C$15</f>
        <v>0.1</v>
      </c>
      <c r="AH58" s="79" t="n">
        <f aca="false">Serving!$C$15</f>
        <v>0.1</v>
      </c>
    </row>
    <row r="59" customFormat="false" ht="15" hidden="false" customHeight="false" outlineLevel="0" collapsed="false">
      <c r="A59" s="72" t="s">
        <v>521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customFormat="false" ht="15" hidden="false" customHeight="false" outlineLevel="0" collapsed="false">
      <c r="A60" s="45" t="s">
        <v>522</v>
      </c>
      <c r="B60" s="45" t="s">
        <v>217</v>
      </c>
      <c r="C60" s="56" t="n">
        <f aca="false">C32*IF(C33=0,C41,MIN(C41,C33))+(1-C32)*(C41/C34+C35)</f>
        <v>2244</v>
      </c>
      <c r="D60" s="56" t="n">
        <f aca="false">D32*IF(D33=0,D41,MIN(D41,D33))+(1-D32)*(D41/D34+D35)</f>
        <v>2244</v>
      </c>
      <c r="E60" s="56" t="n">
        <f aca="false">E32*IF(E33=0,E41,MIN(E41,E33))+(1-E32)*(E41/E34+E35)</f>
        <v>2244</v>
      </c>
      <c r="F60" s="56" t="n">
        <f aca="false">F32*IF(F33=0,F41,MIN(F41,F33))+(1-F32)*(F41/F34+F35)</f>
        <v>2244</v>
      </c>
      <c r="G60" s="56" t="n">
        <f aca="false">G32*IF(G33=0,G41,MIN(G41,G33))+(1-G32)*(G41/G34+G35)</f>
        <v>2244</v>
      </c>
      <c r="H60" s="56" t="n">
        <f aca="false">H32*IF(H33=0,H41,MIN(H41,H33))+(1-H32)*(H41/H34+H35)</f>
        <v>2244</v>
      </c>
      <c r="I60" s="56" t="n">
        <f aca="false">I32*IF(I33=0,I41,MIN(I41,I33))+(1-I32)*(I41/I34+I35)</f>
        <v>2244</v>
      </c>
      <c r="J60" s="56" t="n">
        <f aca="false">J32*IF(J33=0,J41,MIN(J41,J33))+(1-J32)*(J41/J34+J35)</f>
        <v>2244</v>
      </c>
      <c r="K60" s="56" t="n">
        <f aca="false">K32*IF(K33=0,K41,MIN(K41,K33))+(1-K32)*(K41/K34+K35)</f>
        <v>2244</v>
      </c>
      <c r="L60" s="56" t="n">
        <f aca="false">L32*IF(L33=0,L41,MIN(L41,L33))+(1-L32)*(L41/L34+L35)</f>
        <v>2244</v>
      </c>
      <c r="M60" s="56" t="n">
        <f aca="false">M32*IF(M33=0,M41,MIN(M41,M33))+(1-M32)*(M41/M34+M35)</f>
        <v>2244</v>
      </c>
      <c r="N60" s="56" t="n">
        <f aca="false">N32*IF(N33=0,N41,MIN(N41,N33))+(1-N32)*(N41/N34+N35)</f>
        <v>2244</v>
      </c>
      <c r="O60" s="56" t="n">
        <f aca="false">O32*IF(O33=0,O41,MIN(O41,O33))+(1-O32)*(O41/O34+O35)</f>
        <v>2244</v>
      </c>
      <c r="P60" s="56" t="n">
        <f aca="false">P32*IF(P33=0,P41,MIN(P41,P33))+(1-P32)*(P41/P34+P35)</f>
        <v>2244</v>
      </c>
      <c r="Q60" s="56" t="n">
        <f aca="false">Q32*IF(Q33=0,Q41,MIN(Q41,Q33))+(1-Q32)*(Q41/Q34+Q35)</f>
        <v>2244</v>
      </c>
      <c r="R60" s="56" t="n">
        <f aca="false">R32*IF(R33=0,R41,MIN(R41,R33))+(1-R32)*(R41/R34+R35)</f>
        <v>2244</v>
      </c>
      <c r="S60" s="56" t="n">
        <f aca="false">S32*IF(S33=0,S41,MIN(S41,S33))+(1-S32)*(S41/S34+S35)</f>
        <v>2244</v>
      </c>
      <c r="T60" s="56" t="n">
        <f aca="false">T32*IF(T33=0,T41,MIN(T41,T33))+(1-T32)*(T41/T34+T35)</f>
        <v>2244</v>
      </c>
      <c r="U60" s="56" t="n">
        <f aca="false">U32*IF(U33=0,U41,MIN(U41,U33))+(1-U32)*(U41/U34+U35)</f>
        <v>2244</v>
      </c>
      <c r="V60" s="56" t="n">
        <f aca="false">V32*IF(V33=0,V41,MIN(V41,V33))+(1-V32)*(V41/V34+V35)</f>
        <v>2244</v>
      </c>
      <c r="W60" s="56" t="n">
        <f aca="false">W32*IF(W33=0,W41,MIN(W41,W33))+(1-W32)*(W41/W34+W35)</f>
        <v>2196</v>
      </c>
      <c r="X60" s="56" t="n">
        <f aca="false">X32*IF(X33=0,X41,MIN(X41,X33))+(1-X32)*(X41/X34+X35)</f>
        <v>2196</v>
      </c>
      <c r="Y60" s="56" t="n">
        <f aca="false">Y32*IF(Y33=0,Y41,MIN(Y41,Y33))+(1-Y32)*(Y41/Y34+Y35)</f>
        <v>2436</v>
      </c>
      <c r="Z60" s="56" t="n">
        <f aca="false">Z32*IF(Z33=0,Z41,MIN(Z41,Z33))+(1-Z32)*(Z41/Z34+Z35)</f>
        <v>2436</v>
      </c>
      <c r="AA60" s="56" t="n">
        <f aca="false">AA32*IF(AA33=0,AA41,MIN(AA41,AA33))+(1-AA32)*(AA41/AA34+AA35)</f>
        <v>2244</v>
      </c>
      <c r="AB60" s="56" t="n">
        <f aca="false">AB32*IF(AB33=0,AB41,MIN(AB41,AB33))+(1-AB32)*(AB41/AB34+AB35)</f>
        <v>2244</v>
      </c>
      <c r="AC60" s="56" t="n">
        <f aca="false">AC32*IF(AC33=0,AC41,MIN(AC41,AC33))+(1-AC32)*(AC41/AC34+AC35)</f>
        <v>34816</v>
      </c>
      <c r="AD60" s="56" t="n">
        <f aca="false">AD32*IF(AD33=0,AD41,MIN(AD41,AD33))+(1-AD32)*(AD41/AD34+AD35)</f>
        <v>34816</v>
      </c>
      <c r="AE60" s="56" t="n">
        <f aca="false">AE32*IF(AE33=0,AE41,MIN(AE41,AE33))+(1-AE32)*(AE41/AE34+AE35)</f>
        <v>34816</v>
      </c>
      <c r="AF60" s="56" t="n">
        <f aca="false">AF32*IF(AF33=0,AF41,MIN(AF41,AF33))+(1-AF32)*(AF41/AF34+AF35)</f>
        <v>34816</v>
      </c>
      <c r="AG60" s="56" t="n">
        <f aca="false">AG32*IF(AG33=0,AG41,MIN(AG41,AG33))+(1-AG32)*(AG41/AG34+AG35)</f>
        <v>34816</v>
      </c>
      <c r="AH60" s="56" t="n">
        <f aca="false">AH32*IF(AH33=0,AH41,MIN(AH41,AH33))+(1-AH32)*(AH41/AH34+AH35)</f>
        <v>34816</v>
      </c>
    </row>
    <row r="61" customFormat="false" ht="15" hidden="false" customHeight="false" outlineLevel="0" collapsed="false">
      <c r="A61" s="45" t="s">
        <v>386</v>
      </c>
      <c r="B61" s="45" t="s">
        <v>387</v>
      </c>
      <c r="C61" s="55" t="n">
        <f aca="false">(2*C24*1000000000+C31*C60)/1000000000</f>
        <v>133.883319296</v>
      </c>
      <c r="D61" s="55" t="n">
        <f aca="false">(2*D24*1000000000+D31*D60)/1000000000</f>
        <v>133.883319296</v>
      </c>
      <c r="E61" s="55" t="n">
        <f aca="false">(2*E24*1000000000+E31*E60)/1000000000</f>
        <v>133.883319296</v>
      </c>
      <c r="F61" s="55" t="n">
        <f aca="false">(2*F24*1000000000+F31*F60)/1000000000</f>
        <v>133.883319296</v>
      </c>
      <c r="G61" s="55" t="n">
        <f aca="false">(2*G24*1000000000+G31*G60)/1000000000</f>
        <v>133.883319296</v>
      </c>
      <c r="H61" s="55" t="n">
        <f aca="false">(2*H24*1000000000+H31*H60)/1000000000</f>
        <v>133.883319296</v>
      </c>
      <c r="I61" s="55" t="n">
        <f aca="false">(2*I24*1000000000+I31*I60)/1000000000</f>
        <v>133.883319296</v>
      </c>
      <c r="J61" s="55" t="n">
        <f aca="false">(2*J24*1000000000+J31*J60)/1000000000</f>
        <v>133.883319296</v>
      </c>
      <c r="K61" s="55" t="n">
        <f aca="false">(2*K24*1000000000+K31*K60)/1000000000</f>
        <v>133.883319296</v>
      </c>
      <c r="L61" s="55" t="n">
        <f aca="false">(2*L24*1000000000+L31*L60)/1000000000</f>
        <v>133.883319296</v>
      </c>
      <c r="M61" s="55" t="n">
        <f aca="false">(2*M24*1000000000+M31*M60)/1000000000</f>
        <v>133.883319296</v>
      </c>
      <c r="N61" s="55" t="n">
        <f aca="false">(2*N24*1000000000+N31*N60)/1000000000</f>
        <v>133.883319296</v>
      </c>
      <c r="O61" s="55" t="n">
        <f aca="false">(2*O24*1000000000+O31*O60)/1000000000</f>
        <v>133.883319296</v>
      </c>
      <c r="P61" s="55" t="n">
        <f aca="false">(2*P24*1000000000+P31*P60)/1000000000</f>
        <v>133.883319296</v>
      </c>
      <c r="Q61" s="55" t="n">
        <f aca="false">(2*Q24*1000000000+Q31*Q60)/1000000000</f>
        <v>133.883319296</v>
      </c>
      <c r="R61" s="55" t="n">
        <f aca="false">(2*R24*1000000000+R31*R60)/1000000000</f>
        <v>133.883319296</v>
      </c>
      <c r="S61" s="55" t="n">
        <f aca="false">(2*S24*1000000000+S31*S60)/1000000000</f>
        <v>133.883319296</v>
      </c>
      <c r="T61" s="55" t="n">
        <f aca="false">(2*T24*1000000000+T31*T60)/1000000000</f>
        <v>133.883319296</v>
      </c>
      <c r="U61" s="55" t="n">
        <f aca="false">(2*U24*1000000000+U31*U60)/1000000000</f>
        <v>133.883319296</v>
      </c>
      <c r="V61" s="55" t="n">
        <f aca="false">(2*V24*1000000000+V31*V60)/1000000000</f>
        <v>133.883319296</v>
      </c>
      <c r="W61" s="55" t="n">
        <f aca="false">(2*W24*1000000000+W31*W60)/1000000000</f>
        <v>133.115761664</v>
      </c>
      <c r="X61" s="55" t="n">
        <f aca="false">(2*X24*1000000000+X31*X60)/1000000000</f>
        <v>133.115761664</v>
      </c>
      <c r="Y61" s="55" t="n">
        <f aca="false">(2*Y24*1000000000+Y31*Y60)/1000000000</f>
        <v>136.953549824</v>
      </c>
      <c r="Z61" s="55" t="n">
        <f aca="false">(2*Z24*1000000000+Z31*Z60)/1000000000</f>
        <v>136.953549824</v>
      </c>
      <c r="AA61" s="55" t="n">
        <f aca="false">(2*AA24*1000000000+AA31*AA60)/1000000000</f>
        <v>133.883319296</v>
      </c>
      <c r="AB61" s="55" t="n">
        <f aca="false">(2*AB24*1000000000+AB31*AB60)/1000000000</f>
        <v>133.883319296</v>
      </c>
      <c r="AC61" s="55" t="n">
        <f aca="false">(2*AC24*1000000000+AC31*AC60)/1000000000</f>
        <v>531.1276032</v>
      </c>
      <c r="AD61" s="55" t="n">
        <f aca="false">(2*AD24*1000000000+AD31*AD60)/1000000000</f>
        <v>531.1276032</v>
      </c>
      <c r="AE61" s="55" t="n">
        <f aca="false">(2*AE24*1000000000+AE31*AE60)/1000000000</f>
        <v>531.1276032</v>
      </c>
      <c r="AF61" s="55" t="n">
        <f aca="false">(2*AF24*1000000000+AF31*AF60)/1000000000</f>
        <v>531.1276032</v>
      </c>
      <c r="AG61" s="55" t="n">
        <f aca="false">(2*AG24*1000000000+AG31*AG60)/1000000000</f>
        <v>531.1276032</v>
      </c>
      <c r="AH61" s="55" t="n">
        <f aca="false">(2*AH24*1000000000+AH31*AH60)/1000000000</f>
        <v>531.1276032</v>
      </c>
    </row>
    <row r="62" customFormat="false" ht="15" hidden="false" customHeight="false" outlineLevel="0" collapsed="false">
      <c r="A62" s="45" t="s">
        <v>523</v>
      </c>
      <c r="B62" s="45" t="s">
        <v>217</v>
      </c>
      <c r="C62" s="56" t="n">
        <f aca="false">C32*IF(C33=0,C42,MIN(C42,C33))+(1-C32)*(C42/C34+C35)</f>
        <v>2208</v>
      </c>
      <c r="D62" s="56" t="n">
        <f aca="false">D32*IF(D33=0,D42,MIN(D42,D33))+(1-D32)*(D42/D34+D35)</f>
        <v>2208</v>
      </c>
      <c r="E62" s="56" t="n">
        <f aca="false">E32*IF(E33=0,E42,MIN(E42,E33))+(1-E32)*(E42/E34+E35)</f>
        <v>2208</v>
      </c>
      <c r="F62" s="56" t="n">
        <f aca="false">F32*IF(F33=0,F42,MIN(F42,F33))+(1-F32)*(F42/F34+F35)</f>
        <v>2208</v>
      </c>
      <c r="G62" s="56" t="n">
        <f aca="false">G32*IF(G33=0,G42,MIN(G42,G33))+(1-G32)*(G42/G34+G35)</f>
        <v>2208</v>
      </c>
      <c r="H62" s="56" t="n">
        <f aca="false">H32*IF(H33=0,H42,MIN(H42,H33))+(1-H32)*(H42/H34+H35)</f>
        <v>2208</v>
      </c>
      <c r="I62" s="56" t="n">
        <f aca="false">I32*IF(I33=0,I42,MIN(I42,I33))+(1-I32)*(I42/I34+I35)</f>
        <v>2208</v>
      </c>
      <c r="J62" s="56" t="n">
        <f aca="false">J32*IF(J33=0,J42,MIN(J42,J33))+(1-J32)*(J42/J34+J35)</f>
        <v>2208</v>
      </c>
      <c r="K62" s="56" t="n">
        <f aca="false">K32*IF(K33=0,K42,MIN(K42,K33))+(1-K32)*(K42/K34+K35)</f>
        <v>2208</v>
      </c>
      <c r="L62" s="56" t="n">
        <f aca="false">L32*IF(L33=0,L42,MIN(L42,L33))+(1-L32)*(L42/L34+L35)</f>
        <v>2208</v>
      </c>
      <c r="M62" s="56" t="n">
        <f aca="false">M32*IF(M33=0,M42,MIN(M42,M33))+(1-M32)*(M42/M34+M35)</f>
        <v>2208</v>
      </c>
      <c r="N62" s="56" t="n">
        <f aca="false">N32*IF(N33=0,N42,MIN(N42,N33))+(1-N32)*(N42/N34+N35)</f>
        <v>2208</v>
      </c>
      <c r="O62" s="56" t="n">
        <f aca="false">O32*IF(O33=0,O42,MIN(O42,O33))+(1-O32)*(O42/O34+O35)</f>
        <v>2208</v>
      </c>
      <c r="P62" s="56" t="n">
        <f aca="false">P32*IF(P33=0,P42,MIN(P42,P33))+(1-P32)*(P42/P34+P35)</f>
        <v>2208</v>
      </c>
      <c r="Q62" s="56" t="n">
        <f aca="false">Q32*IF(Q33=0,Q42,MIN(Q42,Q33))+(1-Q32)*(Q42/Q34+Q35)</f>
        <v>2208</v>
      </c>
      <c r="R62" s="56" t="n">
        <f aca="false">R32*IF(R33=0,R42,MIN(R42,R33))+(1-R32)*(R42/R34+R35)</f>
        <v>2208</v>
      </c>
      <c r="S62" s="56" t="n">
        <f aca="false">S32*IF(S33=0,S42,MIN(S42,S33))+(1-S32)*(S42/S34+S35)</f>
        <v>2208</v>
      </c>
      <c r="T62" s="56" t="n">
        <f aca="false">T32*IF(T33=0,T42,MIN(T42,T33))+(1-T32)*(T42/T34+T35)</f>
        <v>2208</v>
      </c>
      <c r="U62" s="56" t="n">
        <f aca="false">U32*IF(U33=0,U42,MIN(U42,U33))+(1-U32)*(U42/U34+U35)</f>
        <v>2208</v>
      </c>
      <c r="V62" s="56" t="n">
        <f aca="false">V32*IF(V33=0,V42,MIN(V42,V33))+(1-V32)*(V42/V34+V35)</f>
        <v>2208</v>
      </c>
      <c r="W62" s="56" t="n">
        <f aca="false">W32*IF(W33=0,W42,MIN(W42,W33))+(1-W32)*(W42/W34+W35)</f>
        <v>1096</v>
      </c>
      <c r="X62" s="56" t="n">
        <f aca="false">X32*IF(X33=0,X42,MIN(X42,X33))+(1-X32)*(X42/X34+X35)</f>
        <v>1096</v>
      </c>
      <c r="Y62" s="56" t="n">
        <f aca="false">Y32*IF(Y33=0,Y42,MIN(Y42,Y33))+(1-Y32)*(Y42/Y34+Y35)</f>
        <v>2304</v>
      </c>
      <c r="Z62" s="56" t="n">
        <f aca="false">Z32*IF(Z33=0,Z42,MIN(Z42,Z33))+(1-Z32)*(Z42/Z34+Z35)</f>
        <v>2304</v>
      </c>
      <c r="AA62" s="56" t="n">
        <f aca="false">AA32*IF(AA33=0,AA42,MIN(AA42,AA33))+(1-AA32)*(AA42/AA34+AA35)</f>
        <v>2208</v>
      </c>
      <c r="AB62" s="56" t="n">
        <f aca="false">AB32*IF(AB33=0,AB42,MIN(AB42,AB33))+(1-AB32)*(AB42/AB34+AB35)</f>
        <v>2208</v>
      </c>
      <c r="AC62" s="56" t="n">
        <f aca="false">AC32*IF(AC33=0,AC42,MIN(AC42,AC33))+(1-AC32)*(AC42/AC34+AC35)</f>
        <v>16384</v>
      </c>
      <c r="AD62" s="56" t="n">
        <f aca="false">AD32*IF(AD33=0,AD42,MIN(AD42,AD33))+(1-AD32)*(AD42/AD34+AD35)</f>
        <v>16384</v>
      </c>
      <c r="AE62" s="56" t="n">
        <f aca="false">AE32*IF(AE33=0,AE42,MIN(AE42,AE33))+(1-AE32)*(AE42/AE34+AE35)</f>
        <v>16384</v>
      </c>
      <c r="AF62" s="56" t="n">
        <f aca="false">AF32*IF(AF33=0,AF42,MIN(AF42,AF33))+(1-AF32)*(AF42/AF34+AF35)</f>
        <v>16384</v>
      </c>
      <c r="AG62" s="56" t="n">
        <f aca="false">AG32*IF(AG33=0,AG42,MIN(AG42,AG33))+(1-AG32)*(AG42/AG34+AG35)</f>
        <v>16384</v>
      </c>
      <c r="AH62" s="56" t="n">
        <f aca="false">AH32*IF(AH33=0,AH42,MIN(AH42,AH33))+(1-AH32)*(AH42/AH34+AH35)</f>
        <v>16384</v>
      </c>
    </row>
    <row r="63" customFormat="false" ht="15" hidden="false" customHeight="false" outlineLevel="0" collapsed="false">
      <c r="A63" s="45" t="s">
        <v>389</v>
      </c>
      <c r="B63" s="45" t="s">
        <v>387</v>
      </c>
      <c r="C63" s="55" t="n">
        <f aca="false">(2*C24*1000000000+C31*C62)/1000000000</f>
        <v>133.307651072</v>
      </c>
      <c r="D63" s="55" t="n">
        <f aca="false">(2*D24*1000000000+D31*D62)/1000000000</f>
        <v>133.307651072</v>
      </c>
      <c r="E63" s="55" t="n">
        <f aca="false">(2*E24*1000000000+E31*E62)/1000000000</f>
        <v>133.307651072</v>
      </c>
      <c r="F63" s="55" t="n">
        <f aca="false">(2*F24*1000000000+F31*F62)/1000000000</f>
        <v>133.307651072</v>
      </c>
      <c r="G63" s="55" t="n">
        <f aca="false">(2*G24*1000000000+G31*G62)/1000000000</f>
        <v>133.307651072</v>
      </c>
      <c r="H63" s="55" t="n">
        <f aca="false">(2*H24*1000000000+H31*H62)/1000000000</f>
        <v>133.307651072</v>
      </c>
      <c r="I63" s="55" t="n">
        <f aca="false">(2*I24*1000000000+I31*I62)/1000000000</f>
        <v>133.307651072</v>
      </c>
      <c r="J63" s="55" t="n">
        <f aca="false">(2*J24*1000000000+J31*J62)/1000000000</f>
        <v>133.307651072</v>
      </c>
      <c r="K63" s="55" t="n">
        <f aca="false">(2*K24*1000000000+K31*K62)/1000000000</f>
        <v>133.307651072</v>
      </c>
      <c r="L63" s="55" t="n">
        <f aca="false">(2*L24*1000000000+L31*L62)/1000000000</f>
        <v>133.307651072</v>
      </c>
      <c r="M63" s="55" t="n">
        <f aca="false">(2*M24*1000000000+M31*M62)/1000000000</f>
        <v>133.307651072</v>
      </c>
      <c r="N63" s="55" t="n">
        <f aca="false">(2*N24*1000000000+N31*N62)/1000000000</f>
        <v>133.307651072</v>
      </c>
      <c r="O63" s="55" t="n">
        <f aca="false">(2*O24*1000000000+O31*O62)/1000000000</f>
        <v>133.307651072</v>
      </c>
      <c r="P63" s="55" t="n">
        <f aca="false">(2*P24*1000000000+P31*P62)/1000000000</f>
        <v>133.307651072</v>
      </c>
      <c r="Q63" s="55" t="n">
        <f aca="false">(2*Q24*1000000000+Q31*Q62)/1000000000</f>
        <v>133.307651072</v>
      </c>
      <c r="R63" s="55" t="n">
        <f aca="false">(2*R24*1000000000+R31*R62)/1000000000</f>
        <v>133.307651072</v>
      </c>
      <c r="S63" s="55" t="n">
        <f aca="false">(2*S24*1000000000+S31*S62)/1000000000</f>
        <v>133.307651072</v>
      </c>
      <c r="T63" s="55" t="n">
        <f aca="false">(2*T24*1000000000+T31*T62)/1000000000</f>
        <v>133.307651072</v>
      </c>
      <c r="U63" s="55" t="n">
        <f aca="false">(2*U24*1000000000+U31*U62)/1000000000</f>
        <v>133.307651072</v>
      </c>
      <c r="V63" s="55" t="n">
        <f aca="false">(2*V24*1000000000+V31*V62)/1000000000</f>
        <v>133.307651072</v>
      </c>
      <c r="W63" s="55" t="n">
        <f aca="false">(2*W24*1000000000+W31*W62)/1000000000</f>
        <v>115.525899264</v>
      </c>
      <c r="X63" s="55" t="n">
        <f aca="false">(2*X24*1000000000+X31*X62)/1000000000</f>
        <v>115.525899264</v>
      </c>
      <c r="Y63" s="55" t="n">
        <f aca="false">(2*Y24*1000000000+Y31*Y62)/1000000000</f>
        <v>134.842766336</v>
      </c>
      <c r="Z63" s="55" t="n">
        <f aca="false">(2*Z24*1000000000+Z31*Z62)/1000000000</f>
        <v>134.842766336</v>
      </c>
      <c r="AA63" s="55" t="n">
        <f aca="false">(2*AA24*1000000000+AA31*AA62)/1000000000</f>
        <v>133.307651072</v>
      </c>
      <c r="AB63" s="55" t="n">
        <f aca="false">(2*AB24*1000000000+AB31*AB62)/1000000000</f>
        <v>133.307651072</v>
      </c>
      <c r="AC63" s="55" t="n">
        <f aca="false">(2*AC24*1000000000+AC31*AC62)/1000000000</f>
        <v>440.5306368</v>
      </c>
      <c r="AD63" s="55" t="n">
        <f aca="false">(2*AD24*1000000000+AD31*AD62)/1000000000</f>
        <v>440.5306368</v>
      </c>
      <c r="AE63" s="55" t="n">
        <f aca="false">(2*AE24*1000000000+AE31*AE62)/1000000000</f>
        <v>440.5306368</v>
      </c>
      <c r="AF63" s="55" t="n">
        <f aca="false">(2*AF24*1000000000+AF31*AF62)/1000000000</f>
        <v>440.5306368</v>
      </c>
      <c r="AG63" s="55" t="n">
        <f aca="false">(2*AG24*1000000000+AG31*AG62)/1000000000</f>
        <v>440.5306368</v>
      </c>
      <c r="AH63" s="55" t="n">
        <f aca="false">(2*AH24*1000000000+AH31*AH62)/1000000000</f>
        <v>440.5306368</v>
      </c>
    </row>
    <row r="64" customFormat="false" ht="15" hidden="false" customHeight="false" outlineLevel="0" collapsed="false">
      <c r="A64" s="72" t="s">
        <v>524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customFormat="false" ht="15" hidden="false" customHeight="false" outlineLevel="0" collapsed="false">
      <c r="A65" s="44" t="s">
        <v>390</v>
      </c>
      <c r="B65" s="45" t="s">
        <v>242</v>
      </c>
      <c r="C65" s="56" t="n">
        <f aca="false">C11*(1-C52)</f>
        <v>259.2</v>
      </c>
      <c r="D65" s="56" t="n">
        <f aca="false">D11*(1-D52)</f>
        <v>259.2</v>
      </c>
      <c r="E65" s="56" t="n">
        <f aca="false">E11*(1-E52)</f>
        <v>259.2</v>
      </c>
      <c r="F65" s="56" t="n">
        <f aca="false">F11*(1-F52)</f>
        <v>259.2</v>
      </c>
      <c r="G65" s="56" t="n">
        <f aca="false">G11*(1-G52)</f>
        <v>259.2</v>
      </c>
      <c r="H65" s="56" t="n">
        <f aca="false">H11*(1-H52)</f>
        <v>259.2</v>
      </c>
      <c r="I65" s="56" t="n">
        <f aca="false">I11*(1-I52)</f>
        <v>259.2</v>
      </c>
      <c r="J65" s="56" t="n">
        <f aca="false">J11*(1-J52)</f>
        <v>259.2</v>
      </c>
      <c r="K65" s="56" t="n">
        <f aca="false">K11*(1-K52)</f>
        <v>259.2</v>
      </c>
      <c r="L65" s="56" t="n">
        <f aca="false">L11*(1-L52)</f>
        <v>259.2</v>
      </c>
      <c r="M65" s="56" t="n">
        <f aca="false">M11*(1-M52)</f>
        <v>259.2</v>
      </c>
      <c r="N65" s="56" t="n">
        <f aca="false">N11*(1-N52)</f>
        <v>259.2</v>
      </c>
      <c r="O65" s="56" t="n">
        <f aca="false">O11*(1-O52)</f>
        <v>259.2</v>
      </c>
      <c r="P65" s="56" t="n">
        <f aca="false">P11*(1-P52)</f>
        <v>259.2</v>
      </c>
      <c r="Q65" s="56" t="n">
        <f aca="false">Q11*(1-Q52)</f>
        <v>259.2</v>
      </c>
      <c r="R65" s="56" t="n">
        <f aca="false">R11*(1-R52)</f>
        <v>259.2</v>
      </c>
      <c r="S65" s="56" t="n">
        <f aca="false">S11*(1-S52)</f>
        <v>259.2</v>
      </c>
      <c r="T65" s="56" t="n">
        <f aca="false">T11*(1-T52)</f>
        <v>259.2</v>
      </c>
      <c r="U65" s="56" t="n">
        <f aca="false">U11*(1-U52)</f>
        <v>259.2</v>
      </c>
      <c r="V65" s="56" t="n">
        <f aca="false">V11*(1-V52)</f>
        <v>259.2</v>
      </c>
      <c r="W65" s="56" t="n">
        <f aca="false">W11*(1-W52)</f>
        <v>259.2</v>
      </c>
      <c r="X65" s="56" t="n">
        <f aca="false">X11*(1-X52)</f>
        <v>259.2</v>
      </c>
      <c r="Y65" s="56" t="n">
        <f aca="false">Y11*(1-Y52)</f>
        <v>259.2</v>
      </c>
      <c r="Z65" s="56" t="n">
        <f aca="false">Z11*(1-Z52)</f>
        <v>259.2</v>
      </c>
      <c r="AA65" s="56" t="n">
        <f aca="false">AA11*(1-AA52)</f>
        <v>259.2</v>
      </c>
      <c r="AB65" s="56" t="n">
        <f aca="false">AB11*(1-AB52)</f>
        <v>259.2</v>
      </c>
      <c r="AC65" s="56" t="n">
        <f aca="false">AC11*(1-AC52)</f>
        <v>259.2</v>
      </c>
      <c r="AD65" s="56" t="n">
        <f aca="false">AD11*(1-AD52)</f>
        <v>259.2</v>
      </c>
      <c r="AE65" s="56" t="n">
        <f aca="false">AE11*(1-AE52)</f>
        <v>259.2</v>
      </c>
      <c r="AF65" s="56" t="n">
        <f aca="false">AF11*(1-AF52)</f>
        <v>259.2</v>
      </c>
      <c r="AG65" s="56" t="n">
        <f aca="false">AG11*(1-AG52)</f>
        <v>259.2</v>
      </c>
      <c r="AH65" s="56" t="n">
        <f aca="false">AH11*(1-AH52)</f>
        <v>259.2</v>
      </c>
    </row>
    <row r="66" customFormat="false" ht="15" hidden="false" customHeight="false" outlineLevel="0" collapsed="false">
      <c r="A66" s="44" t="s">
        <v>525</v>
      </c>
      <c r="B66" s="44"/>
      <c r="C66" s="93" t="n">
        <f aca="false">MAX(1,CEILING(C28*C16/(C53*C65),1))</f>
        <v>1</v>
      </c>
      <c r="D66" s="93" t="n">
        <f aca="false">MAX(1,CEILING(D28*D16/(D53*D65),1))</f>
        <v>1</v>
      </c>
      <c r="E66" s="93" t="n">
        <f aca="false">MAX(1,CEILING(E28*E16/(E53*E65),1))</f>
        <v>1</v>
      </c>
      <c r="F66" s="93" t="n">
        <f aca="false">MAX(1,CEILING(F28*F16/(F53*F65),1))</f>
        <v>1</v>
      </c>
      <c r="G66" s="93" t="n">
        <f aca="false">MAX(1,CEILING(G28*G16/(G53*G65),1))</f>
        <v>1</v>
      </c>
      <c r="H66" s="93" t="n">
        <f aca="false">MAX(1,CEILING(H28*H16/(H53*H65),1))</f>
        <v>1</v>
      </c>
      <c r="I66" s="93" t="n">
        <f aca="false">MAX(1,CEILING(I28*I16/(I53*I65),1))</f>
        <v>1</v>
      </c>
      <c r="J66" s="93" t="n">
        <f aca="false">MAX(1,CEILING(J28*J16/(J53*J65),1))</f>
        <v>1</v>
      </c>
      <c r="K66" s="93" t="n">
        <f aca="false">MAX(1,CEILING(K28*K16/(K53*K65),1))</f>
        <v>1</v>
      </c>
      <c r="L66" s="93" t="n">
        <f aca="false">MAX(1,CEILING(L28*L16/(L53*L65),1))</f>
        <v>1</v>
      </c>
      <c r="M66" s="93" t="n">
        <f aca="false">MAX(1,CEILING(M28*M16/(M53*M65),1))</f>
        <v>1</v>
      </c>
      <c r="N66" s="93" t="n">
        <f aca="false">MAX(1,CEILING(N28*N16/(N53*N65),1))</f>
        <v>1</v>
      </c>
      <c r="O66" s="93" t="n">
        <f aca="false">MAX(1,CEILING(O28*O16/(O53*O65),1))</f>
        <v>1</v>
      </c>
      <c r="P66" s="93" t="n">
        <f aca="false">MAX(1,CEILING(P28*P16/(P53*P65),1))</f>
        <v>1</v>
      </c>
      <c r="Q66" s="93" t="n">
        <f aca="false">MAX(1,CEILING(Q28*Q16/(Q53*Q65),1))</f>
        <v>1</v>
      </c>
      <c r="R66" s="93" t="n">
        <f aca="false">MAX(1,CEILING(R28*R16/(R53*R65),1))</f>
        <v>1</v>
      </c>
      <c r="S66" s="93" t="n">
        <f aca="false">MAX(1,CEILING(S28*S16/(S53*S65),1))</f>
        <v>1</v>
      </c>
      <c r="T66" s="93" t="n">
        <f aca="false">MAX(1,CEILING(T28*T16/(T53*T65),1))</f>
        <v>1</v>
      </c>
      <c r="U66" s="93" t="n">
        <f aca="false">MAX(1,CEILING(U28*U16/(U53*U65),1))</f>
        <v>1</v>
      </c>
      <c r="V66" s="93" t="n">
        <f aca="false">MAX(1,CEILING(V28*V16/(V53*V65),1))</f>
        <v>1</v>
      </c>
      <c r="W66" s="93" t="n">
        <f aca="false">MAX(1,CEILING(W28*W16/(W53*W65),1))</f>
        <v>1</v>
      </c>
      <c r="X66" s="93" t="n">
        <f aca="false">MAX(1,CEILING(X28*X16/(X53*X65),1))</f>
        <v>1</v>
      </c>
      <c r="Y66" s="93" t="n">
        <f aca="false">MAX(1,CEILING(Y28*Y16/(Y53*Y65),1))</f>
        <v>1</v>
      </c>
      <c r="Z66" s="93" t="n">
        <f aca="false">MAX(1,CEILING(Z28*Z16/(Z53*Z65),1))</f>
        <v>1</v>
      </c>
      <c r="AA66" s="93" t="n">
        <f aca="false">MAX(1,CEILING(AA28*AA16/(AA53*AA65),1))</f>
        <v>1</v>
      </c>
      <c r="AB66" s="93" t="n">
        <f aca="false">MAX(1,CEILING(AB28*AB16/(AB53*AB65),1))</f>
        <v>1</v>
      </c>
      <c r="AC66" s="93" t="n">
        <f aca="false">MAX(1,CEILING(AC28*AC16/(AC53*AC65),1))</f>
        <v>1</v>
      </c>
      <c r="AD66" s="93" t="n">
        <f aca="false">MAX(1,CEILING(AD28*AD16/(AD53*AD65),1))</f>
        <v>1</v>
      </c>
      <c r="AE66" s="93" t="n">
        <f aca="false">MAX(1,CEILING(AE28*AE16/(AE53*AE65),1))</f>
        <v>1</v>
      </c>
      <c r="AF66" s="93" t="n">
        <f aca="false">MAX(1,CEILING(AF28*AF16/(AF53*AF65),1))</f>
        <v>1</v>
      </c>
      <c r="AG66" s="93" t="n">
        <f aca="false">MAX(1,CEILING(AG28*AG16/(AG53*AG65),1))</f>
        <v>1</v>
      </c>
      <c r="AH66" s="93" t="n">
        <f aca="false">MAX(1,CEILING(AH28*AH16/(AH53*AH65),1))</f>
        <v>1</v>
      </c>
    </row>
    <row r="67" customFormat="false" ht="15" hidden="false" customHeight="false" outlineLevel="0" collapsed="false">
      <c r="A67" s="45" t="s">
        <v>526</v>
      </c>
      <c r="B67" s="45" t="s">
        <v>489</v>
      </c>
      <c r="C67" s="56" t="n">
        <f aca="false">MAX(C14,CEILING(C29*C15/(C54*C65),1))</f>
        <v>32</v>
      </c>
      <c r="D67" s="56" t="n">
        <f aca="false">MAX(D14,CEILING(D29*D15/(D54*D65),1))</f>
        <v>32</v>
      </c>
      <c r="E67" s="56" t="n">
        <f aca="false">MAX(E14,CEILING(E29*E15/(E54*E65),1))</f>
        <v>32</v>
      </c>
      <c r="F67" s="56" t="n">
        <f aca="false">MAX(F14,CEILING(F29*F15/(F54*F65),1))</f>
        <v>32</v>
      </c>
      <c r="G67" s="56" t="n">
        <f aca="false">MAX(G14,CEILING(G29*G15/(G54*G65),1))</f>
        <v>32</v>
      </c>
      <c r="H67" s="56" t="n">
        <f aca="false">MAX(H14,CEILING(H29*H15/(H54*H65),1))</f>
        <v>32</v>
      </c>
      <c r="I67" s="56" t="n">
        <f aca="false">MAX(I14,CEILING(I29*I15/(I54*I65),1))</f>
        <v>32</v>
      </c>
      <c r="J67" s="56" t="n">
        <f aca="false">MAX(J14,CEILING(J29*J15/(J54*J65),1))</f>
        <v>32</v>
      </c>
      <c r="K67" s="56" t="n">
        <f aca="false">MAX(K14,CEILING(K29*K15/(K54*K65),1))</f>
        <v>32</v>
      </c>
      <c r="L67" s="56" t="n">
        <f aca="false">MAX(L14,CEILING(L29*L15/(L54*L65),1))</f>
        <v>32</v>
      </c>
      <c r="M67" s="56" t="n">
        <f aca="false">MAX(M14,CEILING(M29*M15/(M54*M65),1))</f>
        <v>32</v>
      </c>
      <c r="N67" s="56" t="n">
        <f aca="false">MAX(N14,CEILING(N29*N15/(N54*N65),1))</f>
        <v>32</v>
      </c>
      <c r="O67" s="56" t="n">
        <f aca="false">MAX(O14,CEILING(O29*O15/(O54*O65),1))</f>
        <v>32</v>
      </c>
      <c r="P67" s="56" t="n">
        <f aca="false">MAX(P14,CEILING(P29*P15/(P54*P65),1))</f>
        <v>32</v>
      </c>
      <c r="Q67" s="56" t="n">
        <f aca="false">MAX(Q14,CEILING(Q29*Q15/(Q54*Q65),1))</f>
        <v>32</v>
      </c>
      <c r="R67" s="56" t="n">
        <f aca="false">MAX(R14,CEILING(R29*R15/(R54*R65),1))</f>
        <v>32</v>
      </c>
      <c r="S67" s="56" t="n">
        <f aca="false">MAX(S14,CEILING(S29*S15/(S54*S65),1))</f>
        <v>32</v>
      </c>
      <c r="T67" s="56" t="n">
        <f aca="false">MAX(T14,CEILING(T29*T15/(T54*T65),1))</f>
        <v>32</v>
      </c>
      <c r="U67" s="56" t="n">
        <f aca="false">MAX(U14,CEILING(U29*U15/(U54*U65),1))</f>
        <v>32</v>
      </c>
      <c r="V67" s="56" t="n">
        <f aca="false">MAX(V14,CEILING(V29*V15/(V54*V65),1))</f>
        <v>32</v>
      </c>
      <c r="W67" s="56" t="n">
        <f aca="false">MAX(W14,CEILING(W29*W15/(W54*W65),1))</f>
        <v>32</v>
      </c>
      <c r="X67" s="56" t="n">
        <f aca="false">MAX(X14,CEILING(X29*X15/(X54*X65),1))</f>
        <v>32</v>
      </c>
      <c r="Y67" s="56" t="n">
        <f aca="false">MAX(Y14,CEILING(Y29*Y15/(Y54*Y65),1))</f>
        <v>32</v>
      </c>
      <c r="Z67" s="56" t="n">
        <f aca="false">MAX(Z14,CEILING(Z29*Z15/(Z54*Z65),1))</f>
        <v>32</v>
      </c>
      <c r="AA67" s="56" t="n">
        <f aca="false">MAX(AA14,CEILING(AA29*AA15/(AA54*AA65),1))</f>
        <v>32</v>
      </c>
      <c r="AB67" s="56" t="n">
        <f aca="false">MAX(AB14,CEILING(AB29*AB15/(AB54*AB65),1))</f>
        <v>32</v>
      </c>
      <c r="AC67" s="56" t="n">
        <f aca="false">MAX(AC14,CEILING(AC29*AC15/(AC54*AC65),1))</f>
        <v>32</v>
      </c>
      <c r="AD67" s="56" t="n">
        <f aca="false">MAX(AD14,CEILING(AD29*AD15/(AD54*AD65),1))</f>
        <v>32</v>
      </c>
      <c r="AE67" s="56" t="n">
        <f aca="false">MAX(AE14,CEILING(AE29*AE15/(AE54*AE65),1))</f>
        <v>32</v>
      </c>
      <c r="AF67" s="56" t="n">
        <f aca="false">MAX(AF14,CEILING(AF29*AF15/(AF54*AF65),1))</f>
        <v>32</v>
      </c>
      <c r="AG67" s="56" t="n">
        <f aca="false">MAX(AG14,CEILING(AG29*AG15/(AG54*AG65),1))</f>
        <v>32</v>
      </c>
      <c r="AH67" s="56" t="n">
        <f aca="false">MAX(AH14,CEILING(AH29*AH15/(AH54*AH65),1))</f>
        <v>32</v>
      </c>
    </row>
    <row r="68" customFormat="false" ht="15" hidden="false" customHeight="false" outlineLevel="0" collapsed="false">
      <c r="A68" s="44" t="s">
        <v>393</v>
      </c>
      <c r="B68" s="45" t="s">
        <v>242</v>
      </c>
      <c r="C68" s="55" t="n">
        <f aca="false">C28*C16/C66+C29*C15/C67</f>
        <v>48.0463324652778</v>
      </c>
      <c r="D68" s="55" t="n">
        <f aca="false">D28*D16/D66+D29*D15/D67</f>
        <v>48.0463324652778</v>
      </c>
      <c r="E68" s="55" t="n">
        <f aca="false">E28*E16/E66+E29*E15/E67</f>
        <v>48.0463324652778</v>
      </c>
      <c r="F68" s="55" t="n">
        <f aca="false">F28*F16/F66+F29*F15/F67</f>
        <v>48.0463324652778</v>
      </c>
      <c r="G68" s="55" t="n">
        <f aca="false">G28*G16/G66+G29*G15/G67</f>
        <v>48.0463324652778</v>
      </c>
      <c r="H68" s="55" t="n">
        <f aca="false">H28*H16/H66+H29*H15/H67</f>
        <v>48.0463324652778</v>
      </c>
      <c r="I68" s="55" t="n">
        <f aca="false">I28*I16/I66+I29*I15/I67</f>
        <v>48.0463324652778</v>
      </c>
      <c r="J68" s="55" t="n">
        <f aca="false">J28*J16/J66+J29*J15/J67</f>
        <v>48.0463324652778</v>
      </c>
      <c r="K68" s="55" t="n">
        <f aca="false">K28*K16/K66+K29*K15/K67</f>
        <v>48.0463324652778</v>
      </c>
      <c r="L68" s="55" t="n">
        <f aca="false">L28*L16/L66+L29*L15/L67</f>
        <v>48.0463324652778</v>
      </c>
      <c r="M68" s="55" t="n">
        <f aca="false">M28*M16/M66+M29*M15/M67</f>
        <v>48.0463324652778</v>
      </c>
      <c r="N68" s="55" t="n">
        <f aca="false">N28*N16/N66+N29*N15/N67</f>
        <v>48.0463324652778</v>
      </c>
      <c r="O68" s="55" t="n">
        <f aca="false">O28*O16/O66+O29*O15/O67</f>
        <v>48.0463324652778</v>
      </c>
      <c r="P68" s="55" t="n">
        <f aca="false">P28*P16/P66+P29*P15/P67</f>
        <v>48.0463324652778</v>
      </c>
      <c r="Q68" s="55" t="n">
        <f aca="false">Q28*Q16/Q66+Q29*Q15/Q67</f>
        <v>48.0463324652778</v>
      </c>
      <c r="R68" s="55" t="n">
        <f aca="false">R28*R16/R66+R29*R15/R67</f>
        <v>48.0463324652778</v>
      </c>
      <c r="S68" s="55" t="n">
        <f aca="false">S28*S16/S66+S29*S15/S67</f>
        <v>48.0463324652778</v>
      </c>
      <c r="T68" s="55" t="n">
        <f aca="false">T28*T16/T66+T29*T15/T67</f>
        <v>48.0463324652778</v>
      </c>
      <c r="U68" s="55" t="n">
        <f aca="false">U28*U16/U66+U29*U15/U67</f>
        <v>48.0463324652778</v>
      </c>
      <c r="V68" s="55" t="n">
        <f aca="false">V28*V16/V66+V29*V15/V67</f>
        <v>48.0463324652778</v>
      </c>
      <c r="W68" s="55" t="n">
        <f aca="false">W28*W16/W66+W29*W15/W67</f>
        <v>48.0463324652778</v>
      </c>
      <c r="X68" s="55" t="n">
        <f aca="false">X28*X16/X66+X29*X15/X67</f>
        <v>48.0463324652778</v>
      </c>
      <c r="Y68" s="55" t="n">
        <f aca="false">Y28*Y16/Y66+Y29*Y15/Y67</f>
        <v>48.0463324652778</v>
      </c>
      <c r="Z68" s="55" t="n">
        <f aca="false">Z28*Z16/Z66+Z29*Z15/Z67</f>
        <v>48.0463324652778</v>
      </c>
      <c r="AA68" s="55" t="n">
        <f aca="false">AA28*AA16/AA66+AA29*AA15/AA67</f>
        <v>48.0463324652778</v>
      </c>
      <c r="AB68" s="55" t="n">
        <f aca="false">AB28*AB16/AB66+AB29*AB15/AB67</f>
        <v>48.0463324652778</v>
      </c>
      <c r="AC68" s="55" t="n">
        <f aca="false">AC28*AC16/AC66+AC29*AC15/AC67</f>
        <v>118.522476688508</v>
      </c>
      <c r="AD68" s="55" t="n">
        <f aca="false">AD28*AD16/AD66+AD29*AD15/AD67</f>
        <v>118.522476688508</v>
      </c>
      <c r="AE68" s="55" t="n">
        <f aca="false">AE28*AE16/AE66+AE29*AE15/AE67</f>
        <v>118.522476688508</v>
      </c>
      <c r="AF68" s="55" t="n">
        <f aca="false">AF28*AF16/AF66+AF29*AF15/AF67</f>
        <v>118.522476688508</v>
      </c>
      <c r="AG68" s="55" t="n">
        <f aca="false">AG28*AG16/AG66+AG29*AG15/AG67</f>
        <v>118.522476688508</v>
      </c>
      <c r="AH68" s="55" t="n">
        <f aca="false">AH28*AH16/AH66+AH29*AH15/AH67</f>
        <v>118.522476688508</v>
      </c>
    </row>
    <row r="69" customFormat="false" ht="15" hidden="false" customHeight="false" outlineLevel="0" collapsed="false">
      <c r="A69" s="44" t="s">
        <v>527</v>
      </c>
      <c r="B69" s="45" t="s">
        <v>45</v>
      </c>
      <c r="C69" s="67" t="n">
        <f aca="false">C68/C65</f>
        <v>0.185363936980238</v>
      </c>
      <c r="D69" s="67" t="n">
        <f aca="false">D68/D65</f>
        <v>0.185363936980238</v>
      </c>
      <c r="E69" s="67" t="n">
        <f aca="false">E68/E65</f>
        <v>0.185363936980238</v>
      </c>
      <c r="F69" s="67" t="n">
        <f aca="false">F68/F65</f>
        <v>0.185363936980238</v>
      </c>
      <c r="G69" s="67" t="n">
        <f aca="false">G68/G65</f>
        <v>0.185363936980238</v>
      </c>
      <c r="H69" s="67" t="n">
        <f aca="false">H68/H65</f>
        <v>0.185363936980238</v>
      </c>
      <c r="I69" s="67" t="n">
        <f aca="false">I68/I65</f>
        <v>0.185363936980238</v>
      </c>
      <c r="J69" s="67" t="n">
        <f aca="false">J68/J65</f>
        <v>0.185363936980238</v>
      </c>
      <c r="K69" s="67" t="n">
        <f aca="false">K68/K65</f>
        <v>0.185363936980238</v>
      </c>
      <c r="L69" s="67" t="n">
        <f aca="false">L68/L65</f>
        <v>0.185363936980238</v>
      </c>
      <c r="M69" s="67" t="n">
        <f aca="false">M68/M65</f>
        <v>0.185363936980238</v>
      </c>
      <c r="N69" s="67" t="n">
        <f aca="false">N68/N65</f>
        <v>0.185363936980238</v>
      </c>
      <c r="O69" s="67" t="n">
        <f aca="false">O68/O65</f>
        <v>0.185363936980238</v>
      </c>
      <c r="P69" s="67" t="n">
        <f aca="false">P68/P65</f>
        <v>0.185363936980238</v>
      </c>
      <c r="Q69" s="67" t="n">
        <f aca="false">Q68/Q65</f>
        <v>0.185363936980238</v>
      </c>
      <c r="R69" s="67" t="n">
        <f aca="false">R68/R65</f>
        <v>0.185363936980238</v>
      </c>
      <c r="S69" s="67" t="n">
        <f aca="false">S68/S65</f>
        <v>0.185363936980238</v>
      </c>
      <c r="T69" s="67" t="n">
        <f aca="false">T68/T65</f>
        <v>0.185363936980238</v>
      </c>
      <c r="U69" s="67" t="n">
        <f aca="false">U68/U65</f>
        <v>0.185363936980238</v>
      </c>
      <c r="V69" s="67" t="n">
        <f aca="false">V68/V65</f>
        <v>0.185363936980238</v>
      </c>
      <c r="W69" s="67" t="n">
        <f aca="false">W68/W65</f>
        <v>0.185363936980238</v>
      </c>
      <c r="X69" s="67" t="n">
        <f aca="false">X68/X65</f>
        <v>0.185363936980238</v>
      </c>
      <c r="Y69" s="67" t="n">
        <f aca="false">Y68/Y65</f>
        <v>0.185363936980238</v>
      </c>
      <c r="Z69" s="67" t="n">
        <f aca="false">Z68/Z65</f>
        <v>0.185363936980238</v>
      </c>
      <c r="AA69" s="67" t="n">
        <f aca="false">AA68/AA65</f>
        <v>0.185363936980238</v>
      </c>
      <c r="AB69" s="67" t="n">
        <f aca="false">AB68/AB65</f>
        <v>0.185363936980238</v>
      </c>
      <c r="AC69" s="67" t="n">
        <f aca="false">AC68/AC65</f>
        <v>0.45726264154517</v>
      </c>
      <c r="AD69" s="67" t="n">
        <f aca="false">AD68/AD65</f>
        <v>0.45726264154517</v>
      </c>
      <c r="AE69" s="67" t="n">
        <f aca="false">AE68/AE65</f>
        <v>0.45726264154517</v>
      </c>
      <c r="AF69" s="67" t="n">
        <f aca="false">AF68/AF65</f>
        <v>0.45726264154517</v>
      </c>
      <c r="AG69" s="67" t="n">
        <f aca="false">AG68/AG65</f>
        <v>0.45726264154517</v>
      </c>
      <c r="AH69" s="67" t="n">
        <f aca="false">AH68/AH65</f>
        <v>0.45726264154517</v>
      </c>
    </row>
    <row r="70" customFormat="false" ht="15" hidden="false" customHeight="false" outlineLevel="0" collapsed="false">
      <c r="A70" s="72" t="s">
        <v>528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</row>
    <row r="71" customFormat="false" ht="15" hidden="false" customHeight="false" outlineLevel="0" collapsed="false">
      <c r="A71" s="45" t="s">
        <v>529</v>
      </c>
      <c r="B71" s="45" t="s">
        <v>281</v>
      </c>
      <c r="C71" s="56" t="n">
        <f aca="false">C47*C10*1000000000000000/(C63*1000000000)</f>
        <v>78765.1715078897</v>
      </c>
      <c r="D71" s="56" t="n">
        <f aca="false">D47*D10*1000000000000000/(D63*1000000000)</f>
        <v>33756.5020748099</v>
      </c>
      <c r="E71" s="56" t="n">
        <f aca="false">E47*E10*1000000000000000/(E63*1000000000)</f>
        <v>78765.1715078897</v>
      </c>
      <c r="F71" s="56" t="n">
        <f aca="false">F47*F10*1000000000000000/(F63*1000000000)</f>
        <v>33756.5020748099</v>
      </c>
      <c r="G71" s="56" t="n">
        <f aca="false">G47*G10*1000000000000000/(G63*1000000000)</f>
        <v>78765.1715078897</v>
      </c>
      <c r="H71" s="56" t="n">
        <f aca="false">H47*H10*1000000000000000/(H63*1000000000)</f>
        <v>33756.5020748099</v>
      </c>
      <c r="I71" s="56" t="n">
        <f aca="false">I47*I10*1000000000000000/(I63*1000000000)</f>
        <v>78765.1715078897</v>
      </c>
      <c r="J71" s="56" t="n">
        <f aca="false">J47*J10*1000000000000000/(J63*1000000000)</f>
        <v>33756.5020748099</v>
      </c>
      <c r="K71" s="56" t="n">
        <f aca="false">K47*K10*1000000000000000/(K63*1000000000)</f>
        <v>78765.1715078897</v>
      </c>
      <c r="L71" s="56" t="n">
        <f aca="false">L47*L10*1000000000000000/(L63*1000000000)</f>
        <v>33756.5020748099</v>
      </c>
      <c r="M71" s="56" t="n">
        <f aca="false">M47*M10*1000000000000000/(M63*1000000000)</f>
        <v>112521.6735827</v>
      </c>
      <c r="N71" s="56" t="n">
        <f aca="false">N47*N10*1000000000000000/(N63*1000000000)</f>
        <v>33756.5020748099</v>
      </c>
      <c r="O71" s="56" t="n">
        <f aca="false">O47*O10*1000000000000000/(O63*1000000000)</f>
        <v>78765.1715078897</v>
      </c>
      <c r="P71" s="56" t="n">
        <f aca="false">P47*P10*1000000000000000/(P63*1000000000)</f>
        <v>33756.5020748099</v>
      </c>
      <c r="Q71" s="56" t="n">
        <f aca="false">Q47*Q10*1000000000000000/(Q63*1000000000)</f>
        <v>78765.1715078897</v>
      </c>
      <c r="R71" s="56" t="n">
        <f aca="false">R47*R10*1000000000000000/(R63*1000000000)</f>
        <v>33756.5020748099</v>
      </c>
      <c r="S71" s="56" t="n">
        <f aca="false">S47*S10*1000000000000000/(S63*1000000000)</f>
        <v>78765.1715078897</v>
      </c>
      <c r="T71" s="56" t="n">
        <f aca="false">T47*T10*1000000000000000/(T63*1000000000)</f>
        <v>33756.5020748099</v>
      </c>
      <c r="U71" s="56" t="n">
        <f aca="false">U47*U10*1000000000000000/(U63*1000000000)</f>
        <v>78765.1715078897</v>
      </c>
      <c r="V71" s="56" t="n">
        <f aca="false">V47*V10*1000000000000000/(V63*1000000000)</f>
        <v>33756.5020748099</v>
      </c>
      <c r="W71" s="56" t="n">
        <f aca="false">W47*W10*1000000000000000/(W63*1000000000)</f>
        <v>90888.7103835079</v>
      </c>
      <c r="X71" s="56" t="n">
        <f aca="false">X47*X10*1000000000000000/(X63*1000000000)</f>
        <v>38952.3044500748</v>
      </c>
      <c r="Y71" s="56" t="n">
        <f aca="false">Y47*Y10*1000000000000000/(Y63*1000000000)</f>
        <v>77868.4707033983</v>
      </c>
      <c r="Z71" s="56" t="n">
        <f aca="false">Z47*Z10*1000000000000000/(Z63*1000000000)</f>
        <v>33372.2017300278</v>
      </c>
      <c r="AA71" s="56" t="n">
        <f aca="false">AA47*AA10*1000000000000000/(AA63*1000000000)</f>
        <v>55135.6200555228</v>
      </c>
      <c r="AB71" s="56" t="n">
        <f aca="false">AB47*AB10*1000000000000000/(AB63*1000000000)</f>
        <v>23629.5514523669</v>
      </c>
      <c r="AC71" s="56" t="n">
        <f aca="false">AC47*AC10*1000000000000000/(AC63*1000000000)</f>
        <v>23834.8916576419</v>
      </c>
      <c r="AD71" s="56" t="n">
        <f aca="false">AD47*AD10*1000000000000000/(AD63*1000000000)</f>
        <v>10214.9535675608</v>
      </c>
      <c r="AE71" s="56" t="n">
        <f aca="false">AE47*AE10*1000000000000000/(AE63*1000000000)</f>
        <v>23834.8916576419</v>
      </c>
      <c r="AF71" s="56" t="n">
        <f aca="false">AF47*AF10*1000000000000000/(AF63*1000000000)</f>
        <v>10214.9535675608</v>
      </c>
      <c r="AG71" s="56" t="n">
        <f aca="false">AG47*AG10*1000000000000000/(AG63*1000000000)</f>
        <v>23834.8916576419</v>
      </c>
      <c r="AH71" s="56" t="n">
        <f aca="false">AH47*AH10*1000000000000000/(AH63*1000000000)</f>
        <v>10214.9535675608</v>
      </c>
    </row>
    <row r="72" customFormat="false" ht="15" hidden="false" customHeight="false" outlineLevel="0" collapsed="false">
      <c r="A72" s="45" t="s">
        <v>530</v>
      </c>
      <c r="B72" s="45" t="s">
        <v>284</v>
      </c>
      <c r="C72" s="57" t="n">
        <f aca="false">C39*C63*1000000000/(C47*C10*1000000000000000*C17)</f>
        <v>0.0520026798848488</v>
      </c>
      <c r="D72" s="57" t="n">
        <f aca="false">D39*D63*1000000000/(D47*D10*1000000000000000*D17)</f>
        <v>0.12133958639798</v>
      </c>
      <c r="E72" s="57" t="n">
        <f aca="false">E39*E63*1000000000/(E47*E10*1000000000000000*E17)</f>
        <v>0.0520026798848488</v>
      </c>
      <c r="F72" s="57" t="n">
        <f aca="false">F39*F63*1000000000/(F47*F10*1000000000000000*F17)</f>
        <v>0.12133958639798</v>
      </c>
      <c r="G72" s="57" t="n">
        <f aca="false">G39*G63*1000000000/(G47*G10*1000000000000000*G17)</f>
        <v>0.0520026798848488</v>
      </c>
      <c r="H72" s="57" t="n">
        <f aca="false">H39*H63*1000000000/(H47*H10*1000000000000000*H17)</f>
        <v>0.12133958639798</v>
      </c>
      <c r="I72" s="57" t="n">
        <f aca="false">I39*I63*1000000000/(I47*I10*1000000000000000*I17)</f>
        <v>0.0520026798848488</v>
      </c>
      <c r="J72" s="57" t="n">
        <f aca="false">J39*J63*1000000000/(J47*J10*1000000000000000*J17)</f>
        <v>0.12133958639798</v>
      </c>
      <c r="K72" s="57" t="n">
        <f aca="false">K39*K63*1000000000/(K47*K10*1000000000000000*K17)</f>
        <v>0.0520026798848488</v>
      </c>
      <c r="L72" s="57" t="n">
        <f aca="false">L39*L63*1000000000/(L47*L10*1000000000000000*L17)</f>
        <v>0.12133958639798</v>
      </c>
      <c r="M72" s="57" t="n">
        <f aca="false">M39*M63*1000000000/(M47*M10*1000000000000000*M17)</f>
        <v>0.0364018759193941</v>
      </c>
      <c r="N72" s="57" t="n">
        <f aca="false">N39*N63*1000000000/(N47*N10*1000000000000000*N17)</f>
        <v>0.12133958639798</v>
      </c>
      <c r="O72" s="57" t="n">
        <f aca="false">O39*O63*1000000000/(O47*O10*1000000000000000*O17)</f>
        <v>0.0520026798848488</v>
      </c>
      <c r="P72" s="57" t="n">
        <f aca="false">P39*P63*1000000000/(P47*P10*1000000000000000*P17)</f>
        <v>0.12133958639798</v>
      </c>
      <c r="Q72" s="57" t="n">
        <f aca="false">Q39*Q63*1000000000/(Q47*Q10*1000000000000000*Q17)</f>
        <v>0.0520026798848488</v>
      </c>
      <c r="R72" s="57" t="n">
        <f aca="false">R39*R63*1000000000/(R47*R10*1000000000000000*R17)</f>
        <v>0.12133958639798</v>
      </c>
      <c r="S72" s="57" t="n">
        <f aca="false">S39*S63*1000000000/(S47*S10*1000000000000000*S17)</f>
        <v>0.0520026798848488</v>
      </c>
      <c r="T72" s="57" t="n">
        <f aca="false">T39*T63*1000000000/(T47*T10*1000000000000000*T17)</f>
        <v>0.12133958639798</v>
      </c>
      <c r="U72" s="57" t="n">
        <f aca="false">U39*U63*1000000000/(U47*U10*1000000000000000*U17)</f>
        <v>0.0520026798848488</v>
      </c>
      <c r="V72" s="57" t="n">
        <f aca="false">V39*V63*1000000000/(V47*V10*1000000000000000*V17)</f>
        <v>0.12133958639798</v>
      </c>
      <c r="W72" s="57" t="n">
        <f aca="false">W39*W63*1000000000/(W47*W10*1000000000000000*W17)</f>
        <v>0.0112665257948891</v>
      </c>
      <c r="X72" s="57" t="n">
        <f aca="false">X39*X63*1000000000/(X47*X10*1000000000000000*X17)</f>
        <v>0.0262885601880747</v>
      </c>
      <c r="Y72" s="57" t="n">
        <f aca="false">Y39*Y63*1000000000/(Y47*Y10*1000000000000000*Y17)</f>
        <v>0.21040608415705</v>
      </c>
      <c r="Z72" s="57" t="n">
        <f aca="false">Z39*Z63*1000000000/(Z47*Z10*1000000000000000*Z17)</f>
        <v>0.490947529699783</v>
      </c>
      <c r="AA72" s="57" t="n">
        <f aca="false">AA39*AA63*1000000000/(AA47*AA10*1000000000000000*AA17)</f>
        <v>0.0742895426926411</v>
      </c>
      <c r="AB72" s="57" t="n">
        <f aca="false">AB39*AB63*1000000000/(AB47*AB10*1000000000000000*AB17)</f>
        <v>0.173342266282829</v>
      </c>
      <c r="AC72" s="57" t="n">
        <f aca="false">AC39*AC63*1000000000/(AC47*AC10*1000000000000000*AC17)</f>
        <v>0.343697807301486</v>
      </c>
      <c r="AD72" s="57" t="n">
        <f aca="false">AD39*AD63*1000000000/(AD47*AD10*1000000000000000*AD17)</f>
        <v>0.801961550370133</v>
      </c>
      <c r="AE72" s="57" t="n">
        <f aca="false">AE39*AE63*1000000000/(AE47*AE10*1000000000000000*AE17)</f>
        <v>0.343697807301486</v>
      </c>
      <c r="AF72" s="57" t="n">
        <f aca="false">AF39*AF63*1000000000/(AF47*AF10*1000000000000000*AF17)</f>
        <v>0.801961550370133</v>
      </c>
      <c r="AG72" s="57" t="n">
        <f aca="false">AG39*AG63*1000000000/(AG47*AG10*1000000000000000*AG17)</f>
        <v>0.343697807301486</v>
      </c>
      <c r="AH72" s="57" t="n">
        <f aca="false">AH39*AH63*1000000000/(AH47*AH10*1000000000000000*AH17)</f>
        <v>0.801961550370133</v>
      </c>
    </row>
    <row r="73" customFormat="false" ht="15" hidden="false" customHeight="false" outlineLevel="0" collapsed="false">
      <c r="A73" s="45" t="s">
        <v>531</v>
      </c>
      <c r="B73" s="44"/>
      <c r="C73" s="44" t="str">
        <f aca="false">IF(C72&lt;=C38,"是","否")</f>
        <v>是</v>
      </c>
      <c r="D73" s="44" t="str">
        <f aca="false">IF(D72&lt;=D38,"是","否")</f>
        <v>是</v>
      </c>
      <c r="E73" s="44" t="str">
        <f aca="false">IF(E72&lt;=E38,"是","否")</f>
        <v>是</v>
      </c>
      <c r="F73" s="44" t="str">
        <f aca="false">IF(F72&lt;=F38,"是","否")</f>
        <v>是</v>
      </c>
      <c r="G73" s="44" t="str">
        <f aca="false">IF(G72&lt;=G38,"是","否")</f>
        <v>是</v>
      </c>
      <c r="H73" s="44" t="str">
        <f aca="false">IF(H72&lt;=H38,"是","否")</f>
        <v>是</v>
      </c>
      <c r="I73" s="44" t="str">
        <f aca="false">IF(I72&lt;=I38,"是","否")</f>
        <v>是</v>
      </c>
      <c r="J73" s="44" t="str">
        <f aca="false">IF(J72&lt;=J38,"是","否")</f>
        <v>是</v>
      </c>
      <c r="K73" s="44" t="str">
        <f aca="false">IF(K72&lt;=K38,"是","否")</f>
        <v>是</v>
      </c>
      <c r="L73" s="44" t="str">
        <f aca="false">IF(L72&lt;=L38,"是","否")</f>
        <v>是</v>
      </c>
      <c r="M73" s="44" t="str">
        <f aca="false">IF(M72&lt;=M38,"是","否")</f>
        <v>是</v>
      </c>
      <c r="N73" s="44" t="str">
        <f aca="false">IF(N72&lt;=N38,"是","否")</f>
        <v>是</v>
      </c>
      <c r="O73" s="44" t="str">
        <f aca="false">IF(O72&lt;=O38,"是","否")</f>
        <v>是</v>
      </c>
      <c r="P73" s="44" t="str">
        <f aca="false">IF(P72&lt;=P38,"是","否")</f>
        <v>是</v>
      </c>
      <c r="Q73" s="44" t="str">
        <f aca="false">IF(Q72&lt;=Q38,"是","否")</f>
        <v>是</v>
      </c>
      <c r="R73" s="44" t="str">
        <f aca="false">IF(R72&lt;=R38,"是","否")</f>
        <v>是</v>
      </c>
      <c r="S73" s="44" t="str">
        <f aca="false">IF(S72&lt;=S38,"是","否")</f>
        <v>是</v>
      </c>
      <c r="T73" s="44" t="str">
        <f aca="false">IF(T72&lt;=T38,"是","否")</f>
        <v>是</v>
      </c>
      <c r="U73" s="44" t="str">
        <f aca="false">IF(U72&lt;=U38,"是","否")</f>
        <v>是</v>
      </c>
      <c r="V73" s="44" t="str">
        <f aca="false">IF(V72&lt;=V38,"是","否")</f>
        <v>是</v>
      </c>
      <c r="W73" s="44" t="str">
        <f aca="false">IF(W72&lt;=W38,"是","否")</f>
        <v>是</v>
      </c>
      <c r="X73" s="44" t="str">
        <f aca="false">IF(X72&lt;=X38,"是","否")</f>
        <v>是</v>
      </c>
      <c r="Y73" s="44" t="str">
        <f aca="false">IF(Y72&lt;=Y38,"是","否")</f>
        <v>是</v>
      </c>
      <c r="Z73" s="44" t="str">
        <f aca="false">IF(Z72&lt;=Z38,"是","否")</f>
        <v>是</v>
      </c>
      <c r="AA73" s="44" t="str">
        <f aca="false">IF(AA72&lt;=AA38,"是","否")</f>
        <v>是</v>
      </c>
      <c r="AB73" s="44" t="str">
        <f aca="false">IF(AB72&lt;=AB38,"是","否")</f>
        <v>是</v>
      </c>
      <c r="AC73" s="44" t="str">
        <f aca="false">IF(AC72&lt;=AC38,"是","否")</f>
        <v>是</v>
      </c>
      <c r="AD73" s="44" t="str">
        <f aca="false">IF(AD72&lt;=AD38,"是","否")</f>
        <v>是</v>
      </c>
      <c r="AE73" s="44" t="str">
        <f aca="false">IF(AE72&lt;=AE38,"是","否")</f>
        <v>是</v>
      </c>
      <c r="AF73" s="44" t="str">
        <f aca="false">IF(AF72&lt;=AF38,"是","否")</f>
        <v>是</v>
      </c>
      <c r="AG73" s="44" t="str">
        <f aca="false">IF(AG72&lt;=AG38,"是","否")</f>
        <v>是</v>
      </c>
      <c r="AH73" s="44" t="str">
        <f aca="false">IF(AH72&lt;=AH38,"是","否")</f>
        <v>是</v>
      </c>
    </row>
    <row r="74" customFormat="false" ht="15" hidden="false" customHeight="false" outlineLevel="0" collapsed="false">
      <c r="A74" s="72" t="s">
        <v>532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</row>
    <row r="75" customFormat="false" ht="15" hidden="false" customHeight="false" outlineLevel="0" collapsed="false">
      <c r="A75" s="44" t="s">
        <v>533</v>
      </c>
      <c r="B75" s="45" t="s">
        <v>398</v>
      </c>
      <c r="C75" s="52" t="n">
        <f aca="false">C68/C12+(C25+C43)*C51/1000</f>
        <v>12.4417521013904</v>
      </c>
      <c r="D75" s="52" t="n">
        <f aca="false">D68/D12+(D25+D43)*D51/1000</f>
        <v>16.263619456583</v>
      </c>
      <c r="E75" s="52" t="n">
        <f aca="false">E68/E12+(E25+E43)*E51/1000</f>
        <v>12.4417521013904</v>
      </c>
      <c r="F75" s="52" t="n">
        <f aca="false">F68/F12+(F25+F43)*F51/1000</f>
        <v>16.263619456583</v>
      </c>
      <c r="G75" s="52" t="n">
        <f aca="false">G68/G12+(G25+G43)*G51/1000</f>
        <v>12.4417521013904</v>
      </c>
      <c r="H75" s="52" t="n">
        <f aca="false">H68/H12+(H25+H43)*H51/1000</f>
        <v>16.263619456583</v>
      </c>
      <c r="I75" s="52" t="n">
        <f aca="false">I68/I12+(I25+I43)*I51/1000</f>
        <v>9.36440373186346</v>
      </c>
      <c r="J75" s="52" t="n">
        <f aca="false">J68/J12+(J25+J43)*J51/1000</f>
        <v>16.263619456583</v>
      </c>
      <c r="K75" s="52" t="n">
        <f aca="false">K68/K12+(K25+K43)*K51/1000</f>
        <v>17.5706660506021</v>
      </c>
      <c r="L75" s="52" t="n">
        <f aca="false">L68/L12+(L25+L43)*L51/1000</f>
        <v>16.263619456583</v>
      </c>
      <c r="M75" s="52" t="n">
        <f aca="false">M68/M12+(M25+M43)*M51/1000</f>
        <v>12.4417521013904</v>
      </c>
      <c r="N75" s="52" t="n">
        <f aca="false">N68/N12+(N25+N43)*N51/1000</f>
        <v>16.263619456583</v>
      </c>
      <c r="O75" s="52" t="n">
        <f aca="false">O68/O12+(O25+O43)*O51/1000</f>
        <v>12.4417521013904</v>
      </c>
      <c r="P75" s="52" t="n">
        <f aca="false">P68/P12+(P25+P43)*P51/1000</f>
        <v>16.263619456583</v>
      </c>
      <c r="Q75" s="52" t="n">
        <f aca="false">Q68/Q12+(Q25+Q43)*Q51/1000</f>
        <v>12.4417521013904</v>
      </c>
      <c r="R75" s="52" t="n">
        <f aca="false">R68/R12+(R25+R43)*R51/1000</f>
        <v>16.263619456583</v>
      </c>
      <c r="S75" s="52" t="n">
        <f aca="false">S68/S12+(S25+S43)*S51/1000</f>
        <v>12.4417521013904</v>
      </c>
      <c r="T75" s="52" t="n">
        <f aca="false">T68/T12+(T25+T43)*T51/1000</f>
        <v>16.263619456583</v>
      </c>
      <c r="U75" s="52" t="n">
        <f aca="false">U68/U12+(U25+U43)*U51/1000</f>
        <v>12.4417521013904</v>
      </c>
      <c r="V75" s="52" t="n">
        <f aca="false">V68/V12+(V25+V43)*V51/1000</f>
        <v>16.263619456583</v>
      </c>
      <c r="W75" s="52" t="n">
        <f aca="false">W68/W12+(W25+W43)*W51/1000</f>
        <v>12.4417521013904</v>
      </c>
      <c r="X75" s="52" t="n">
        <f aca="false">X68/X12+(X25+X43)*X51/1000</f>
        <v>16.263619456583</v>
      </c>
      <c r="Y75" s="52" t="n">
        <f aca="false">Y68/Y12+(Y25+Y43)*Y51/1000</f>
        <v>12.4417521013904</v>
      </c>
      <c r="Z75" s="52" t="n">
        <f aca="false">Z68/Z12+(Z25+Z43)*Z51/1000</f>
        <v>16.263619456583</v>
      </c>
      <c r="AA75" s="52" t="n">
        <f aca="false">AA68/AA12+(AA25+AA43)*AA51/1000</f>
        <v>16.8379640578576</v>
      </c>
      <c r="AB75" s="52" t="n">
        <f aca="false">AB68/AB12+(AB25+AB43)*AB51/1000</f>
        <v>20.6598314130501</v>
      </c>
      <c r="AC75" s="52" t="n">
        <f aca="false">AC68/AC12+(AC25+AC43)*AC51/1000</f>
        <v>21.896077078048</v>
      </c>
      <c r="AD75" s="52" t="n">
        <f aca="false">AD68/AD12+(AD25+AD43)*AD51/1000</f>
        <v>31.3240013600885</v>
      </c>
      <c r="AE75" s="52" t="n">
        <f aca="false">AE68/AE12+(AE25+AE43)*AE51/1000</f>
        <v>21.896077078048</v>
      </c>
      <c r="AF75" s="52" t="n">
        <f aca="false">AF68/AF12+(AF25+AF43)*AF51/1000</f>
        <v>31.3240013600885</v>
      </c>
      <c r="AG75" s="52" t="n">
        <f aca="false">AG68/AG12+(AG25+AG43)*AG51/1000</f>
        <v>21.896077078048</v>
      </c>
      <c r="AH75" s="52" t="n">
        <f aca="false">AH68/AH12+(AH25+AH43)*AH51/1000</f>
        <v>31.3240013600885</v>
      </c>
    </row>
    <row r="76" customFormat="false" ht="15" hidden="false" customHeight="false" outlineLevel="0" collapsed="false">
      <c r="A76" s="44" t="s">
        <v>534</v>
      </c>
      <c r="B76" s="45" t="s">
        <v>398</v>
      </c>
      <c r="C76" s="53" t="n">
        <f aca="false">(C43+1)*C61/(C10*C49)/1000</f>
        <v>0.424526654211247</v>
      </c>
      <c r="D76" s="53" t="n">
        <f aca="false">(D43+1)*D61/(D10*D49)/1000</f>
        <v>0.990562193159576</v>
      </c>
      <c r="E76" s="53" t="n">
        <f aca="false">(E43+1)*E61/(E10*E49)/1000</f>
        <v>0.849053308422494</v>
      </c>
      <c r="F76" s="53" t="n">
        <f aca="false">(F43+1)*F61/(F10*F49)/1000</f>
        <v>0.990562193159576</v>
      </c>
      <c r="G76" s="53" t="n">
        <f aca="false">(G43+1)*G61/(G10*G49)/1000</f>
        <v>0.283017769474164</v>
      </c>
      <c r="H76" s="53" t="n">
        <f aca="false">(H43+1)*H61/(H10*H49)/1000</f>
        <v>0.990562193159576</v>
      </c>
      <c r="I76" s="53" t="n">
        <f aca="false">(I43+1)*I61/(I10*I49)/1000</f>
        <v>0.424526654211247</v>
      </c>
      <c r="J76" s="53" t="n">
        <f aca="false">(J43+1)*J61/(J10*J49)/1000</f>
        <v>0.990562193159576</v>
      </c>
      <c r="K76" s="53" t="n">
        <f aca="false">(K43+1)*K61/(K10*K49)/1000</f>
        <v>0.424526654211247</v>
      </c>
      <c r="L76" s="53" t="n">
        <f aca="false">(L43+1)*L61/(L10*L49)/1000</f>
        <v>0.990562193159576</v>
      </c>
      <c r="M76" s="53" t="n">
        <f aca="false">(M43+1)*M61/(M10*M49)/1000</f>
        <v>0.297168657947873</v>
      </c>
      <c r="N76" s="53" t="n">
        <f aca="false">(N43+1)*N61/(N10*N49)/1000</f>
        <v>0.990562193159576</v>
      </c>
      <c r="O76" s="53" t="n">
        <f aca="false">(O43+1)*O61/(O10*O49)/1000</f>
        <v>0.424526654211247</v>
      </c>
      <c r="P76" s="53" t="n">
        <f aca="false">(P43+1)*P61/(P10*P49)/1000</f>
        <v>0.990562193159576</v>
      </c>
      <c r="Q76" s="53" t="n">
        <f aca="false">(Q43+1)*Q61/(Q10*Q49)/1000</f>
        <v>0.424526654211247</v>
      </c>
      <c r="R76" s="53" t="n">
        <f aca="false">(R43+1)*R61/(R10*R49)/1000</f>
        <v>0.990562193159576</v>
      </c>
      <c r="S76" s="53" t="n">
        <f aca="false">(S43+1)*S61/(S10*S49)/1000</f>
        <v>0.424526654211247</v>
      </c>
      <c r="T76" s="53" t="n">
        <f aca="false">(T43+1)*T61/(T10*T49)/1000</f>
        <v>0.990562193159576</v>
      </c>
      <c r="U76" s="53" t="n">
        <f aca="false">(U43+1)*U61/(U10*U49)/1000</f>
        <v>0.424526654211247</v>
      </c>
      <c r="V76" s="53" t="n">
        <f aca="false">(V43+1)*V61/(V10*V49)/1000</f>
        <v>0.990562193159576</v>
      </c>
      <c r="W76" s="53" t="n">
        <f aca="false">(W43+1)*W61/(W10*W49)/1000</f>
        <v>0.422092828435634</v>
      </c>
      <c r="X76" s="53" t="n">
        <f aca="false">(X43+1)*X61/(X10*X49)/1000</f>
        <v>0.984883266349812</v>
      </c>
      <c r="Y76" s="53" t="n">
        <f aca="false">(Y43+1)*Y61/(Y10*Y49)/1000</f>
        <v>0.4342619573137</v>
      </c>
      <c r="Z76" s="53" t="n">
        <f aca="false">(Z43+1)*Z61/(Z10*Z49)/1000</f>
        <v>1.01327790039863</v>
      </c>
      <c r="AA76" s="53" t="n">
        <f aca="false">(AA43+1)*AA61/(AA10*AA49)/1000</f>
        <v>0.60646664887321</v>
      </c>
      <c r="AB76" s="53" t="n">
        <f aca="false">(AB43+1)*AB61/(AB10*AB49)/1000</f>
        <v>1.41508884737082</v>
      </c>
      <c r="AC76" s="53" t="n">
        <f aca="false">(AC43+1)*AC61/(AC10*AC49)/1000</f>
        <v>1.68413679561701</v>
      </c>
      <c r="AD76" s="53" t="n">
        <f aca="false">(AD43+1)*AD61/(AD10*AD49)/1000</f>
        <v>3.92965252310636</v>
      </c>
      <c r="AE76" s="53" t="n">
        <f aca="false">(AE43+1)*AE61/(AE10*AE49)/1000</f>
        <v>1.68413679561701</v>
      </c>
      <c r="AF76" s="53" t="n">
        <f aca="false">(AF43+1)*AF61/(AF10*AF49)/1000</f>
        <v>3.92965252310636</v>
      </c>
      <c r="AG76" s="53" t="n">
        <f aca="false">(AG43+1)*AG61/(AG10*AG49)/1000</f>
        <v>1.68413679561701</v>
      </c>
      <c r="AH76" s="53" t="n">
        <f aca="false">(AH43+1)*AH61/(AH10*AH49)/1000</f>
        <v>3.92965252310636</v>
      </c>
    </row>
    <row r="77" customFormat="false" ht="15" hidden="false" customHeight="false" outlineLevel="0" collapsed="false">
      <c r="A77" s="44" t="s">
        <v>535</v>
      </c>
      <c r="B77" s="45" t="s">
        <v>398</v>
      </c>
      <c r="C77" s="53" t="n">
        <f aca="false">C30*C41/(C12*C56)/1000000000</f>
        <v>0.00448199480519481</v>
      </c>
      <c r="D77" s="53" t="n">
        <f aca="false">D30*D41/(D12*D56)/1000000000</f>
        <v>0.0123254857142857</v>
      </c>
      <c r="E77" s="53" t="n">
        <f aca="false">E30*E41/(E12*E56)/1000000000</f>
        <v>0.00448199480519481</v>
      </c>
      <c r="F77" s="53" t="n">
        <f aca="false">F30*F41/(F12*F56)/1000000000</f>
        <v>0.0123254857142857</v>
      </c>
      <c r="G77" s="53" t="n">
        <f aca="false">G30*G41/(G12*G56)/1000000000</f>
        <v>0.00448199480519481</v>
      </c>
      <c r="H77" s="53" t="n">
        <f aca="false">H30*H41/(H12*H56)/1000000000</f>
        <v>0.0123254857142857</v>
      </c>
      <c r="I77" s="53" t="n">
        <f aca="false">I30*I41/(I12*I56)/1000000000</f>
        <v>0.00448199480519481</v>
      </c>
      <c r="J77" s="53" t="n">
        <f aca="false">J30*J41/(J12*J56)/1000000000</f>
        <v>0.0123254857142857</v>
      </c>
      <c r="K77" s="53" t="n">
        <f aca="false">K30*K41/(K12*K56)/1000000000</f>
        <v>0.00448199480519481</v>
      </c>
      <c r="L77" s="53" t="n">
        <f aca="false">L30*L41/(L12*L56)/1000000000</f>
        <v>0.0123254857142857</v>
      </c>
      <c r="M77" s="53" t="n">
        <f aca="false">M30*M41/(M12*M56)/1000000000</f>
        <v>0.00448199480519481</v>
      </c>
      <c r="N77" s="53" t="n">
        <f aca="false">N30*N41/(N12*N56)/1000000000</f>
        <v>0.0123254857142857</v>
      </c>
      <c r="O77" s="53" t="n">
        <f aca="false">O30*O41/(O12*O56)/1000000000</f>
        <v>0.00448199480519481</v>
      </c>
      <c r="P77" s="53" t="n">
        <f aca="false">P30*P41/(P12*P56)/1000000000</f>
        <v>0.0123254857142857</v>
      </c>
      <c r="Q77" s="53" t="n">
        <f aca="false">Q30*Q41/(Q12*Q56)/1000000000</f>
        <v>0.00448199480519481</v>
      </c>
      <c r="R77" s="53" t="n">
        <f aca="false">R30*R41/(R12*R56)/1000000000</f>
        <v>0.0123254857142857</v>
      </c>
      <c r="S77" s="53" t="n">
        <f aca="false">S30*S41/(S12*S56)/1000000000</f>
        <v>0.00448199480519481</v>
      </c>
      <c r="T77" s="53" t="n">
        <f aca="false">T30*T41/(T12*T56)/1000000000</f>
        <v>0.0123254857142857</v>
      </c>
      <c r="U77" s="53" t="n">
        <f aca="false">U30*U41/(U12*U56)/1000000000</f>
        <v>0.00448199480519481</v>
      </c>
      <c r="V77" s="53" t="n">
        <f aca="false">V30*V41/(V12*V56)/1000000000</f>
        <v>0.0123254857142857</v>
      </c>
      <c r="W77" s="53" t="n">
        <f aca="false">W30*W41/(W12*W56)/1000000000</f>
        <v>0.00131823376623377</v>
      </c>
      <c r="X77" s="53" t="n">
        <f aca="false">X30*X41/(X12*X56)/1000000000</f>
        <v>0.00362514285714286</v>
      </c>
      <c r="Y77" s="53" t="n">
        <f aca="false">Y30*Y41/(Y12*Y56)/1000000000</f>
        <v>0.017137038961039</v>
      </c>
      <c r="Z77" s="53" t="n">
        <f aca="false">Z30*Z41/(Z12*Z56)/1000000000</f>
        <v>0.0471268571428572</v>
      </c>
      <c r="AA77" s="53" t="n">
        <f aca="false">AA30*AA41/(AA12*AA56)/1000000000</f>
        <v>0.00448199480519481</v>
      </c>
      <c r="AB77" s="53" t="n">
        <f aca="false">AB30*AB41/(AB12*AB56)/1000000000</f>
        <v>0.0123254857142857</v>
      </c>
      <c r="AC77" s="53" t="n">
        <f aca="false">AC30*AC41/(AC12*AC56)/1000000000</f>
        <v>0.0338574296103896</v>
      </c>
      <c r="AD77" s="53" t="n">
        <f aca="false">AD30*AD41/(AD12*AD56)/1000000000</f>
        <v>0.0931079314285714</v>
      </c>
      <c r="AE77" s="53" t="n">
        <f aca="false">AE30*AE41/(AE12*AE56)/1000000000</f>
        <v>0.130220883116883</v>
      </c>
      <c r="AF77" s="53" t="n">
        <f aca="false">AF30*AF41/(AF12*AF56)/1000000000</f>
        <v>0.358107428571429</v>
      </c>
      <c r="AG77" s="53" t="n">
        <f aca="false">AG30*AG41/(AG12*AG56)/1000000000</f>
        <v>0.463007584415584</v>
      </c>
      <c r="AH77" s="53" t="n">
        <f aca="false">AH30*AH41/(AH12*AH56)/1000000000</f>
        <v>1.27327085714286</v>
      </c>
    </row>
    <row r="78" customFormat="false" ht="15" hidden="false" customHeight="false" outlineLevel="0" collapsed="false">
      <c r="A78" s="44" t="s">
        <v>536</v>
      </c>
      <c r="B78" s="45" t="s">
        <v>398</v>
      </c>
      <c r="C78" s="53" t="n">
        <f aca="false">(C43+1)*C25*C27*C26*C55*(C67-1)/C67/(C13*C57)/1000000000</f>
        <v>0.0242048</v>
      </c>
      <c r="D78" s="53" t="n">
        <f aca="false">(D43+1)*D25*D27*D26*D55*(D67-1)/D67/(D13*D57)/1000000000</f>
        <v>0.0484096</v>
      </c>
      <c r="E78" s="53" t="n">
        <f aca="false">(E43+1)*E25*E27*E26*E55*(E67-1)/E67/(E13*E57)/1000000000</f>
        <v>0.0242048</v>
      </c>
      <c r="F78" s="53" t="n">
        <f aca="false">(F43+1)*F25*F27*F26*F55*(F67-1)/F67/(F13*F57)/1000000000</f>
        <v>0.0484096</v>
      </c>
      <c r="G78" s="53" t="n">
        <f aca="false">(G43+1)*G25*G27*G26*G55*(G67-1)/G67/(G13*G57)/1000000000</f>
        <v>0.0242048</v>
      </c>
      <c r="H78" s="53" t="n">
        <f aca="false">(H43+1)*H25*H27*H26*H55*(H67-1)/H67/(H13*H57)/1000000000</f>
        <v>0.0484096</v>
      </c>
      <c r="I78" s="53" t="n">
        <f aca="false">(I43+1)*I25*I27*I26*I55*(I67-1)/I67/(I13*I57)/1000000000</f>
        <v>0.0242048</v>
      </c>
      <c r="J78" s="53" t="n">
        <f aca="false">(J43+1)*J25*J27*J26*J55*(J67-1)/J67/(J13*J57)/1000000000</f>
        <v>0.0484096</v>
      </c>
      <c r="K78" s="53" t="n">
        <f aca="false">(K43+1)*K25*K27*K26*K55*(K67-1)/K67/(K13*K57)/1000000000</f>
        <v>0.0242048</v>
      </c>
      <c r="L78" s="53" t="n">
        <f aca="false">(L43+1)*L25*L27*L26*L55*(L67-1)/L67/(L13*L57)/1000000000</f>
        <v>0.0484096</v>
      </c>
      <c r="M78" s="53" t="n">
        <f aca="false">(M43+1)*M25*M27*M26*M55*(M67-1)/M67/(M13*M57)/1000000000</f>
        <v>0.0242048</v>
      </c>
      <c r="N78" s="53" t="n">
        <f aca="false">(N43+1)*N25*N27*N26*N55*(N67-1)/N67/(N13*N57)/1000000000</f>
        <v>0.0484096</v>
      </c>
      <c r="O78" s="53" t="n">
        <f aca="false">(O43+1)*O25*O27*O26*O55*(O67-1)/O67/(O13*O57)/1000000000</f>
        <v>0.0242048</v>
      </c>
      <c r="P78" s="53" t="n">
        <f aca="false">(P43+1)*P25*P27*P26*P55*(P67-1)/P67/(P13*P57)/1000000000</f>
        <v>0.0484096</v>
      </c>
      <c r="Q78" s="53" t="n">
        <f aca="false">(Q43+1)*Q25*Q27*Q26*Q55*(Q67-1)/Q67/(Q13*Q57)/1000000000</f>
        <v>0.0242048</v>
      </c>
      <c r="R78" s="53" t="n">
        <f aca="false">(R43+1)*R25*R27*R26*R55*(R67-1)/R67/(R13*R57)/1000000000</f>
        <v>0.0484096</v>
      </c>
      <c r="S78" s="53" t="n">
        <f aca="false">(S43+1)*S25*S27*S26*S55*(S67-1)/S67/(S13*S57)/1000000000</f>
        <v>0.0242048</v>
      </c>
      <c r="T78" s="53" t="n">
        <f aca="false">(T43+1)*T25*T27*T26*T55*(T67-1)/T67/(T13*T57)/1000000000</f>
        <v>0.0484096</v>
      </c>
      <c r="U78" s="53" t="n">
        <f aca="false">(U43+1)*U25*U27*U26*U55*(U67-1)/U67/(U13*U57)/1000000000</f>
        <v>0.0242048</v>
      </c>
      <c r="V78" s="53" t="n">
        <f aca="false">(V43+1)*V25*V27*V26*V55*(V67-1)/V67/(V13*V57)/1000000000</f>
        <v>0.0484096</v>
      </c>
      <c r="W78" s="53" t="n">
        <f aca="false">(W43+1)*W25*W27*W26*W55*(W67-1)/W67/(W13*W57)/1000000000</f>
        <v>0.0242048</v>
      </c>
      <c r="X78" s="53" t="n">
        <f aca="false">(X43+1)*X25*X27*X26*X55*(X67-1)/X67/(X13*X57)/1000000000</f>
        <v>0.0484096</v>
      </c>
      <c r="Y78" s="53" t="n">
        <f aca="false">(Y43+1)*Y25*Y27*Y26*Y55*(Y67-1)/Y67/(Y13*Y57)/1000000000</f>
        <v>0.0242048</v>
      </c>
      <c r="Z78" s="53" t="n">
        <f aca="false">(Z43+1)*Z25*Z27*Z26*Z55*(Z67-1)/Z67/(Z13*Z57)/1000000000</f>
        <v>0.0484096</v>
      </c>
      <c r="AA78" s="53" t="n">
        <f aca="false">(AA43+1)*AA25*AA27*AA26*AA55*(AA67-1)/AA67/(AA13*AA57)/1000000000</f>
        <v>0.0242048</v>
      </c>
      <c r="AB78" s="53" t="n">
        <f aca="false">(AB43+1)*AB25*AB27*AB26*AB55*(AB67-1)/AB67/(AB13*AB57)/1000000000</f>
        <v>0.0484096</v>
      </c>
      <c r="AC78" s="53" t="n">
        <f aca="false">(AC43+1)*AC25*AC27*AC26*AC55*(AC67-1)/AC67/(AC13*AC57)/1000000000</f>
        <v>0.181394285714286</v>
      </c>
      <c r="AD78" s="53" t="n">
        <f aca="false">(AD43+1)*AD25*AD27*AD26*AD55*(AD67-1)/AD67/(AD13*AD57)/1000000000</f>
        <v>0.362788571428571</v>
      </c>
      <c r="AE78" s="53" t="n">
        <f aca="false">(AE43+1)*AE25*AE27*AE26*AE55*(AE67-1)/AE67/(AE13*AE57)/1000000000</f>
        <v>0.181394285714286</v>
      </c>
      <c r="AF78" s="53" t="n">
        <f aca="false">(AF43+1)*AF25*AF27*AF26*AF55*(AF67-1)/AF67/(AF13*AF57)/1000000000</f>
        <v>0.362788571428571</v>
      </c>
      <c r="AG78" s="53" t="n">
        <f aca="false">(AG43+1)*AG25*AG27*AG26*AG55*(AG67-1)/AG67/(AG13*AG57)/1000000000</f>
        <v>0.181394285714286</v>
      </c>
      <c r="AH78" s="53" t="n">
        <f aca="false">(AH43+1)*AH25*AH27*AH26*AH55*(AH67-1)/AH67/(AH13*AH57)/1000000000</f>
        <v>0.362788571428571</v>
      </c>
    </row>
    <row r="79" customFormat="false" ht="15" hidden="false" customHeight="false" outlineLevel="0" collapsed="false">
      <c r="A79" s="44" t="s">
        <v>537</v>
      </c>
      <c r="B79" s="45" t="s">
        <v>398</v>
      </c>
      <c r="C79" s="53" t="n">
        <f aca="false">MAX(C76,C77,C78)</f>
        <v>0.424526654211247</v>
      </c>
      <c r="D79" s="53" t="n">
        <f aca="false">MAX(D76,D77,D78)</f>
        <v>0.990562193159576</v>
      </c>
      <c r="E79" s="53" t="n">
        <f aca="false">MAX(E76,E77,E78)</f>
        <v>0.849053308422494</v>
      </c>
      <c r="F79" s="53" t="n">
        <f aca="false">MAX(F76,F77,F78)</f>
        <v>0.990562193159576</v>
      </c>
      <c r="G79" s="53" t="n">
        <f aca="false">MAX(G76,G77,G78)</f>
        <v>0.283017769474164</v>
      </c>
      <c r="H79" s="53" t="n">
        <f aca="false">MAX(H76,H77,H78)</f>
        <v>0.990562193159576</v>
      </c>
      <c r="I79" s="53" t="n">
        <f aca="false">MAX(I76,I77,I78)</f>
        <v>0.424526654211247</v>
      </c>
      <c r="J79" s="53" t="n">
        <f aca="false">MAX(J76,J77,J78)</f>
        <v>0.990562193159576</v>
      </c>
      <c r="K79" s="53" t="n">
        <f aca="false">MAX(K76,K77,K78)</f>
        <v>0.424526654211247</v>
      </c>
      <c r="L79" s="53" t="n">
        <f aca="false">MAX(L76,L77,L78)</f>
        <v>0.990562193159576</v>
      </c>
      <c r="M79" s="53" t="n">
        <f aca="false">MAX(M76,M77,M78)</f>
        <v>0.297168657947873</v>
      </c>
      <c r="N79" s="53" t="n">
        <f aca="false">MAX(N76,N77,N78)</f>
        <v>0.990562193159576</v>
      </c>
      <c r="O79" s="53" t="n">
        <f aca="false">MAX(O76,O77,O78)</f>
        <v>0.424526654211247</v>
      </c>
      <c r="P79" s="53" t="n">
        <f aca="false">MAX(P76,P77,P78)</f>
        <v>0.990562193159576</v>
      </c>
      <c r="Q79" s="53" t="n">
        <f aca="false">MAX(Q76,Q77,Q78)</f>
        <v>0.424526654211247</v>
      </c>
      <c r="R79" s="53" t="n">
        <f aca="false">MAX(R76,R77,R78)</f>
        <v>0.990562193159576</v>
      </c>
      <c r="S79" s="53" t="n">
        <f aca="false">MAX(S76,S77,S78)</f>
        <v>0.424526654211247</v>
      </c>
      <c r="T79" s="53" t="n">
        <f aca="false">MAX(T76,T77,T78)</f>
        <v>0.990562193159576</v>
      </c>
      <c r="U79" s="53" t="n">
        <f aca="false">MAX(U76,U77,U78)</f>
        <v>0.424526654211247</v>
      </c>
      <c r="V79" s="53" t="n">
        <f aca="false">MAX(V76,V77,V78)</f>
        <v>0.990562193159576</v>
      </c>
      <c r="W79" s="53" t="n">
        <f aca="false">MAX(W76,W77,W78)</f>
        <v>0.422092828435634</v>
      </c>
      <c r="X79" s="53" t="n">
        <f aca="false">MAX(X76,X77,X78)</f>
        <v>0.984883266349812</v>
      </c>
      <c r="Y79" s="53" t="n">
        <f aca="false">MAX(Y76,Y77,Y78)</f>
        <v>0.4342619573137</v>
      </c>
      <c r="Z79" s="53" t="n">
        <f aca="false">MAX(Z76,Z77,Z78)</f>
        <v>1.01327790039863</v>
      </c>
      <c r="AA79" s="53" t="n">
        <f aca="false">MAX(AA76,AA77,AA78)</f>
        <v>0.60646664887321</v>
      </c>
      <c r="AB79" s="53" t="n">
        <f aca="false">MAX(AB76,AB77,AB78)</f>
        <v>1.41508884737082</v>
      </c>
      <c r="AC79" s="53" t="n">
        <f aca="false">MAX(AC76,AC77,AC78)</f>
        <v>1.68413679561701</v>
      </c>
      <c r="AD79" s="53" t="n">
        <f aca="false">MAX(AD76,AD77,AD78)</f>
        <v>3.92965252310636</v>
      </c>
      <c r="AE79" s="53" t="n">
        <f aca="false">MAX(AE76,AE77,AE78)</f>
        <v>1.68413679561701</v>
      </c>
      <c r="AF79" s="53" t="n">
        <f aca="false">MAX(AF76,AF77,AF78)</f>
        <v>3.92965252310636</v>
      </c>
      <c r="AG79" s="53" t="n">
        <f aca="false">MAX(AG76,AG77,AG78)</f>
        <v>1.68413679561701</v>
      </c>
      <c r="AH79" s="53" t="n">
        <f aca="false">MAX(AH76,AH77,AH78)</f>
        <v>3.92965252310636</v>
      </c>
    </row>
    <row r="80" customFormat="false" ht="15" hidden="false" customHeight="false" outlineLevel="0" collapsed="false">
      <c r="A80" s="44" t="s">
        <v>538</v>
      </c>
      <c r="B80" s="44"/>
      <c r="C80" s="44" t="str">
        <f aca="false">IF(C79=C76,"算力",IF(C79=C77,"KV 頻寬","EP 通訊"))</f>
        <v>算力</v>
      </c>
      <c r="D80" s="44" t="str">
        <f aca="false">IF(D79=D76,"算力",IF(D79=D77,"KV 頻寬","EP 通訊"))</f>
        <v>算力</v>
      </c>
      <c r="E80" s="44" t="str">
        <f aca="false">IF(E79=E76,"算力",IF(E79=E77,"KV 頻寬","EP 通訊"))</f>
        <v>算力</v>
      </c>
      <c r="F80" s="44" t="str">
        <f aca="false">IF(F79=F76,"算力",IF(F79=F77,"KV 頻寬","EP 通訊"))</f>
        <v>算力</v>
      </c>
      <c r="G80" s="44" t="str">
        <f aca="false">IF(G79=G76,"算力",IF(G79=G77,"KV 頻寬","EP 通訊"))</f>
        <v>算力</v>
      </c>
      <c r="H80" s="44" t="str">
        <f aca="false">IF(H79=H76,"算力",IF(H79=H77,"KV 頻寬","EP 通訊"))</f>
        <v>算力</v>
      </c>
      <c r="I80" s="44" t="str">
        <f aca="false">IF(I79=I76,"算力",IF(I79=I77,"KV 頻寬","EP 通訊"))</f>
        <v>算力</v>
      </c>
      <c r="J80" s="44" t="str">
        <f aca="false">IF(J79=J76,"算力",IF(J79=J77,"KV 頻寬","EP 通訊"))</f>
        <v>算力</v>
      </c>
      <c r="K80" s="44" t="str">
        <f aca="false">IF(K79=K76,"算力",IF(K79=K77,"KV 頻寬","EP 通訊"))</f>
        <v>算力</v>
      </c>
      <c r="L80" s="44" t="str">
        <f aca="false">IF(L79=L76,"算力",IF(L79=L77,"KV 頻寬","EP 通訊"))</f>
        <v>算力</v>
      </c>
      <c r="M80" s="44" t="str">
        <f aca="false">IF(M79=M76,"算力",IF(M79=M77,"KV 頻寬","EP 通訊"))</f>
        <v>算力</v>
      </c>
      <c r="N80" s="44" t="str">
        <f aca="false">IF(N79=N76,"算力",IF(N79=N77,"KV 頻寬","EP 通訊"))</f>
        <v>算力</v>
      </c>
      <c r="O80" s="44" t="str">
        <f aca="false">IF(O79=O76,"算力",IF(O79=O77,"KV 頻寬","EP 通訊"))</f>
        <v>算力</v>
      </c>
      <c r="P80" s="44" t="str">
        <f aca="false">IF(P79=P76,"算力",IF(P79=P77,"KV 頻寬","EP 通訊"))</f>
        <v>算力</v>
      </c>
      <c r="Q80" s="44" t="str">
        <f aca="false">IF(Q79=Q76,"算力",IF(Q79=Q77,"KV 頻寬","EP 通訊"))</f>
        <v>算力</v>
      </c>
      <c r="R80" s="44" t="str">
        <f aca="false">IF(R79=R76,"算力",IF(R79=R77,"KV 頻寬","EP 通訊"))</f>
        <v>算力</v>
      </c>
      <c r="S80" s="44" t="str">
        <f aca="false">IF(S79=S76,"算力",IF(S79=S77,"KV 頻寬","EP 通訊"))</f>
        <v>算力</v>
      </c>
      <c r="T80" s="44" t="str">
        <f aca="false">IF(T79=T76,"算力",IF(T79=T77,"KV 頻寬","EP 通訊"))</f>
        <v>算力</v>
      </c>
      <c r="U80" s="44" t="str">
        <f aca="false">IF(U79=U76,"算力",IF(U79=U77,"KV 頻寬","EP 通訊"))</f>
        <v>算力</v>
      </c>
      <c r="V80" s="44" t="str">
        <f aca="false">IF(V79=V76,"算力",IF(V79=V77,"KV 頻寬","EP 通訊"))</f>
        <v>算力</v>
      </c>
      <c r="W80" s="44" t="str">
        <f aca="false">IF(W79=W76,"算力",IF(W79=W77,"KV 頻寬","EP 通訊"))</f>
        <v>算力</v>
      </c>
      <c r="X80" s="44" t="str">
        <f aca="false">IF(X79=X76,"算力",IF(X79=X77,"KV 頻寬","EP 通訊"))</f>
        <v>算力</v>
      </c>
      <c r="Y80" s="44" t="str">
        <f aca="false">IF(Y79=Y76,"算力",IF(Y79=Y77,"KV 頻寬","EP 通訊"))</f>
        <v>算力</v>
      </c>
      <c r="Z80" s="44" t="str">
        <f aca="false">IF(Z79=Z76,"算力",IF(Z79=Z77,"KV 頻寬","EP 通訊"))</f>
        <v>算力</v>
      </c>
      <c r="AA80" s="44" t="str">
        <f aca="false">IF(AA79=AA76,"算力",IF(AA79=AA77,"KV 頻寬","EP 通訊"))</f>
        <v>算力</v>
      </c>
      <c r="AB80" s="44" t="str">
        <f aca="false">IF(AB79=AB76,"算力",IF(AB79=AB77,"KV 頻寬","EP 通訊"))</f>
        <v>算力</v>
      </c>
      <c r="AC80" s="44" t="str">
        <f aca="false">IF(AC79=AC76,"算力",IF(AC79=AC77,"KV 頻寬","EP 通訊"))</f>
        <v>算力</v>
      </c>
      <c r="AD80" s="44" t="str">
        <f aca="false">IF(AD79=AD76,"算力",IF(AD79=AD77,"KV 頻寬","EP 通訊"))</f>
        <v>算力</v>
      </c>
      <c r="AE80" s="44" t="str">
        <f aca="false">IF(AE79=AE76,"算力",IF(AE79=AE77,"KV 頻寬","EP 通訊"))</f>
        <v>算力</v>
      </c>
      <c r="AF80" s="44" t="str">
        <f aca="false">IF(AF79=AF76,"算力",IF(AF79=AF77,"KV 頻寬","EP 通訊"))</f>
        <v>算力</v>
      </c>
      <c r="AG80" s="44" t="str">
        <f aca="false">IF(AG79=AG76,"算力",IF(AG79=AG77,"KV 頻寬","EP 通訊"))</f>
        <v>算力</v>
      </c>
      <c r="AH80" s="44" t="str">
        <f aca="false">IF(AH79=AH76,"算力",IF(AH79=AH77,"KV 頻寬","EP 通訊"))</f>
        <v>算力</v>
      </c>
    </row>
    <row r="81" customFormat="false" ht="15" hidden="false" customHeight="false" outlineLevel="0" collapsed="false">
      <c r="A81" s="45" t="s">
        <v>539</v>
      </c>
      <c r="B81" s="44" t="s">
        <v>402</v>
      </c>
      <c r="C81" s="55" t="n">
        <f aca="false">(1000*C45/C37-C75)/C79</f>
        <v>62.4871922756589</v>
      </c>
      <c r="D81" s="55" t="n">
        <f aca="false">(1000*D45/D37-D75)/D79</f>
        <v>22.9219441943611</v>
      </c>
      <c r="E81" s="55" t="n">
        <f aca="false">(1000*E45/E37-E75)/E79</f>
        <v>31.2435961378294</v>
      </c>
      <c r="F81" s="55" t="n">
        <f aca="false">(1000*F45/F37-F75)/F79</f>
        <v>22.9219441943611</v>
      </c>
      <c r="G81" s="55" t="n">
        <f aca="false">(1000*G45/G37-G75)/G79</f>
        <v>93.7307884134883</v>
      </c>
      <c r="H81" s="55" t="n">
        <f aca="false">(1000*H45/H37-H75)/H79</f>
        <v>22.9219441943611</v>
      </c>
      <c r="I81" s="55" t="n">
        <f aca="false">(1000*I45/I37-I75)/I79</f>
        <v>69.736085458219</v>
      </c>
      <c r="J81" s="55" t="n">
        <f aca="false">(1000*J45/J37-J75)/J79</f>
        <v>22.9219441943611</v>
      </c>
      <c r="K81" s="55" t="n">
        <f aca="false">(1000*K45/K37-K75)/K79</f>
        <v>50.4057036380586</v>
      </c>
      <c r="L81" s="55" t="n">
        <f aca="false">(1000*L45/L37-L75)/L79</f>
        <v>22.9219441943611</v>
      </c>
      <c r="M81" s="55" t="n">
        <f aca="false">(1000*M45/M37-M75)/M79</f>
        <v>89.2674175366555</v>
      </c>
      <c r="N81" s="55" t="n">
        <f aca="false">(1000*N45/N37-N75)/N79</f>
        <v>22.9219441943611</v>
      </c>
      <c r="O81" s="55" t="n">
        <f aca="false">(1000*O45/O37-O75)/O79</f>
        <v>119.858782467142</v>
      </c>
      <c r="P81" s="55" t="n">
        <f aca="false">(1000*P45/P37-P75)/P79</f>
        <v>47.5097685621397</v>
      </c>
      <c r="Q81" s="55" t="n">
        <f aca="false">(1000*Q45/Q37-Q75)/Q79</f>
        <v>30.3591017684282</v>
      </c>
      <c r="R81" s="55" t="n">
        <f aca="false">(1000*R45/R37-R75)/R79</f>
        <v>9.15276254840512</v>
      </c>
      <c r="S81" s="55" t="n">
        <f aca="false">(1000*S45/S37-S75)/S79</f>
        <v>49.5497061653646</v>
      </c>
      <c r="T81" s="55" t="n">
        <f aca="false">(1000*T45/T37-T75)/T79</f>
        <v>17.3773072899493</v>
      </c>
      <c r="U81" s="55" t="n">
        <f aca="false">(1000*U45/U37-U75)/U79</f>
        <v>77.6715247132311</v>
      </c>
      <c r="V81" s="55" t="n">
        <f aca="false">(1000*V45/V37-V75)/V79</f>
        <v>29.429515239035</v>
      </c>
      <c r="W81" s="55" t="n">
        <f aca="false">(1000*W45/W37-W75)/W79</f>
        <v>62.8474991298877</v>
      </c>
      <c r="X81" s="55" t="n">
        <f aca="false">(1000*X45/X37-X75)/X79</f>
        <v>23.0541142168042</v>
      </c>
      <c r="Y81" s="55" t="n">
        <f aca="false">(1000*Y45/Y37-Y75)/Y79</f>
        <v>61.0863517309612</v>
      </c>
      <c r="Z81" s="55" t="n">
        <f aca="false">(1000*Z45/Z37-Z75)/Z79</f>
        <v>22.4080790706233</v>
      </c>
      <c r="AA81" s="55" t="n">
        <f aca="false">(1000*AA45/AA37-AA75)/AA79</f>
        <v>36.492141410401</v>
      </c>
      <c r="AB81" s="55" t="n">
        <f aca="false">(1000*AB45/AB37-AB75)/AB79</f>
        <v>12.9386924292413</v>
      </c>
      <c r="AC81" s="55" t="n">
        <f aca="false">(1000*AC45/AC37-AC75)/AC79</f>
        <v>14.3447185759317</v>
      </c>
      <c r="AD81" s="55" t="n">
        <f aca="false">(1000*AD45/AD37-AD75)/AD79</f>
        <v>3.74856148421301</v>
      </c>
      <c r="AE81" s="55" t="n">
        <f aca="false">(1000*AE45/AE37-AE75)/AE79</f>
        <v>14.3447185759317</v>
      </c>
      <c r="AF81" s="55" t="n">
        <f aca="false">(1000*AF45/AF37-AF75)/AF79</f>
        <v>3.74856148421301</v>
      </c>
      <c r="AG81" s="55" t="n">
        <f aca="false">(1000*AG45/AG37-AG75)/AG79</f>
        <v>14.3447185759317</v>
      </c>
      <c r="AH81" s="55" t="n">
        <f aca="false">(1000*AH45/AH37-AH75)/AH79</f>
        <v>3.74856148421301</v>
      </c>
    </row>
    <row r="82" customFormat="false" ht="15" hidden="false" customHeight="false" outlineLevel="0" collapsed="false">
      <c r="A82" s="45" t="s">
        <v>540</v>
      </c>
      <c r="B82" s="44" t="s">
        <v>402</v>
      </c>
      <c r="C82" s="56" t="n">
        <f aca="false">(C65-C68)*1000000000/(C30*C41)</f>
        <v>3059.19076406613</v>
      </c>
      <c r="D82" s="56" t="n">
        <f aca="false">(D65-D68)*1000000000/(D30*D41)</f>
        <v>3059.19076406613</v>
      </c>
      <c r="E82" s="56" t="n">
        <f aca="false">(E65-E68)*1000000000/(E30*E41)</f>
        <v>3059.19076406613</v>
      </c>
      <c r="F82" s="56" t="n">
        <f aca="false">(F65-F68)*1000000000/(F30*F41)</f>
        <v>3059.19076406613</v>
      </c>
      <c r="G82" s="56" t="n">
        <f aca="false">(G65-G68)*1000000000/(G30*G41)</f>
        <v>3059.19076406613</v>
      </c>
      <c r="H82" s="56" t="n">
        <f aca="false">(H65-H68)*1000000000/(H30*H41)</f>
        <v>3059.19076406613</v>
      </c>
      <c r="I82" s="56" t="n">
        <f aca="false">(I65-I68)*1000000000/(I30*I41)</f>
        <v>3059.19076406613</v>
      </c>
      <c r="J82" s="56" t="n">
        <f aca="false">(J65-J68)*1000000000/(J30*J41)</f>
        <v>3059.19076406613</v>
      </c>
      <c r="K82" s="56" t="n">
        <f aca="false">(K65-K68)*1000000000/(K30*K41)</f>
        <v>3059.19076406613</v>
      </c>
      <c r="L82" s="56" t="n">
        <f aca="false">(L65-L68)*1000000000/(L30*L41)</f>
        <v>3059.19076406613</v>
      </c>
      <c r="M82" s="56" t="n">
        <f aca="false">(M65-M68)*1000000000/(M30*M41)</f>
        <v>3059.19076406613</v>
      </c>
      <c r="N82" s="56" t="n">
        <f aca="false">(N65-N68)*1000000000/(N30*N41)</f>
        <v>3059.19076406613</v>
      </c>
      <c r="O82" s="56" t="n">
        <f aca="false">(O65-O68)*1000000000/(O30*O41)</f>
        <v>3059.19076406613</v>
      </c>
      <c r="P82" s="56" t="n">
        <f aca="false">(P65-P68)*1000000000/(P30*P41)</f>
        <v>3059.19076406613</v>
      </c>
      <c r="Q82" s="56" t="n">
        <f aca="false">(Q65-Q68)*1000000000/(Q30*Q41)</f>
        <v>3059.19076406613</v>
      </c>
      <c r="R82" s="56" t="n">
        <f aca="false">(R65-R68)*1000000000/(R30*R41)</f>
        <v>3059.19076406613</v>
      </c>
      <c r="S82" s="56" t="n">
        <f aca="false">(S65-S68)*1000000000/(S30*S41)</f>
        <v>3059.19076406613</v>
      </c>
      <c r="T82" s="56" t="n">
        <f aca="false">(T65-T68)*1000000000/(T30*T41)</f>
        <v>3059.19076406613</v>
      </c>
      <c r="U82" s="56" t="n">
        <f aca="false">(U65-U68)*1000000000/(U30*U41)</f>
        <v>3059.19076406613</v>
      </c>
      <c r="V82" s="56" t="n">
        <f aca="false">(V65-V68)*1000000000/(V30*V41)</f>
        <v>3059.19076406613</v>
      </c>
      <c r="W82" s="56" t="n">
        <f aca="false">(W65-W68)*1000000000/(W30*W41)</f>
        <v>10401.2485978248</v>
      </c>
      <c r="X82" s="56" t="n">
        <f aca="false">(X65-X68)*1000000000/(X30*X41)</f>
        <v>10401.2485978248</v>
      </c>
      <c r="Y82" s="56" t="n">
        <f aca="false">(Y65-Y68)*1000000000/(Y30*Y41)</f>
        <v>800.096045986525</v>
      </c>
      <c r="Z82" s="56" t="n">
        <f aca="false">(Z65-Z68)*1000000000/(Z30*Z41)</f>
        <v>800.096045986525</v>
      </c>
      <c r="AA82" s="56" t="n">
        <f aca="false">(AA65-AA68)*1000000000/(AA30*AA41)</f>
        <v>3059.19076406613</v>
      </c>
      <c r="AB82" s="56" t="n">
        <f aca="false">(AB65-AB68)*1000000000/(AB30*AB41)</f>
        <v>3059.19076406613</v>
      </c>
      <c r="AC82" s="56" t="n">
        <f aca="false">(AC65-AC68)*1000000000/(AC30*AC41)</f>
        <v>269.80500930681</v>
      </c>
      <c r="AD82" s="56" t="n">
        <f aca="false">(AD65-AD68)*1000000000/(AD30*AD41)</f>
        <v>269.80500930681</v>
      </c>
      <c r="AE82" s="56" t="n">
        <f aca="false">(AE65-AE68)*1000000000/(AE30*AE41)</f>
        <v>70.1493024197706</v>
      </c>
      <c r="AF82" s="56" t="n">
        <f aca="false">(AF65-AF68)*1000000000/(AF30*AF41)</f>
        <v>70.1493024197706</v>
      </c>
      <c r="AG82" s="56" t="n">
        <f aca="false">(AG65-AG68)*1000000000/(AG30*AG41)</f>
        <v>19.7294913055605</v>
      </c>
      <c r="AH82" s="56" t="n">
        <f aca="false">(AH65-AH68)*1000000000/(AH30*AH41)</f>
        <v>19.7294913055605</v>
      </c>
    </row>
    <row r="83" customFormat="false" ht="15" hidden="false" customHeight="false" outlineLevel="0" collapsed="false">
      <c r="A83" s="44" t="s">
        <v>541</v>
      </c>
      <c r="B83" s="44" t="s">
        <v>402</v>
      </c>
      <c r="C83" s="94" t="n">
        <f aca="false">MAX(0,MIN(C81,C82))</f>
        <v>62.4871922756589</v>
      </c>
      <c r="D83" s="94" t="n">
        <f aca="false">MAX(0,MIN(D81,D82))</f>
        <v>22.9219441943611</v>
      </c>
      <c r="E83" s="94" t="n">
        <f aca="false">MAX(0,MIN(E81,E82))</f>
        <v>31.2435961378294</v>
      </c>
      <c r="F83" s="94" t="n">
        <f aca="false">MAX(0,MIN(F81,F82))</f>
        <v>22.9219441943611</v>
      </c>
      <c r="G83" s="94" t="n">
        <f aca="false">MAX(0,MIN(G81,G82))</f>
        <v>93.7307884134883</v>
      </c>
      <c r="H83" s="94" t="n">
        <f aca="false">MAX(0,MIN(H81,H82))</f>
        <v>22.9219441943611</v>
      </c>
      <c r="I83" s="94" t="n">
        <f aca="false">MAX(0,MIN(I81,I82))</f>
        <v>69.736085458219</v>
      </c>
      <c r="J83" s="94" t="n">
        <f aca="false">MAX(0,MIN(J81,J82))</f>
        <v>22.9219441943611</v>
      </c>
      <c r="K83" s="94" t="n">
        <f aca="false">MAX(0,MIN(K81,K82))</f>
        <v>50.4057036380586</v>
      </c>
      <c r="L83" s="94" t="n">
        <f aca="false">MAX(0,MIN(L81,L82))</f>
        <v>22.9219441943611</v>
      </c>
      <c r="M83" s="94" t="n">
        <f aca="false">MAX(0,MIN(M81,M82))</f>
        <v>89.2674175366555</v>
      </c>
      <c r="N83" s="94" t="n">
        <f aca="false">MAX(0,MIN(N81,N82))</f>
        <v>22.9219441943611</v>
      </c>
      <c r="O83" s="94" t="n">
        <f aca="false">MAX(0,MIN(O81,O82))</f>
        <v>119.858782467142</v>
      </c>
      <c r="P83" s="94" t="n">
        <f aca="false">MAX(0,MIN(P81,P82))</f>
        <v>47.5097685621397</v>
      </c>
      <c r="Q83" s="94" t="n">
        <f aca="false">MAX(0,MIN(Q81,Q82))</f>
        <v>30.3591017684282</v>
      </c>
      <c r="R83" s="94" t="n">
        <f aca="false">MAX(0,MIN(R81,R82))</f>
        <v>9.15276254840512</v>
      </c>
      <c r="S83" s="94" t="n">
        <f aca="false">MAX(0,MIN(S81,S82))</f>
        <v>49.5497061653646</v>
      </c>
      <c r="T83" s="94" t="n">
        <f aca="false">MAX(0,MIN(T81,T82))</f>
        <v>17.3773072899493</v>
      </c>
      <c r="U83" s="94" t="n">
        <f aca="false">MAX(0,MIN(U81,U82))</f>
        <v>77.6715247132311</v>
      </c>
      <c r="V83" s="94" t="n">
        <f aca="false">MAX(0,MIN(V81,V82))</f>
        <v>29.429515239035</v>
      </c>
      <c r="W83" s="94" t="n">
        <f aca="false">MAX(0,MIN(W81,W82))</f>
        <v>62.8474991298877</v>
      </c>
      <c r="X83" s="94" t="n">
        <f aca="false">MAX(0,MIN(X81,X82))</f>
        <v>23.0541142168042</v>
      </c>
      <c r="Y83" s="94" t="n">
        <f aca="false">MAX(0,MIN(Y81,Y82))</f>
        <v>61.0863517309612</v>
      </c>
      <c r="Z83" s="94" t="n">
        <f aca="false">MAX(0,MIN(Z81,Z82))</f>
        <v>22.4080790706233</v>
      </c>
      <c r="AA83" s="94" t="n">
        <f aca="false">MAX(0,MIN(AA81,AA82))</f>
        <v>36.492141410401</v>
      </c>
      <c r="AB83" s="94" t="n">
        <f aca="false">MAX(0,MIN(AB81,AB82))</f>
        <v>12.9386924292413</v>
      </c>
      <c r="AC83" s="94" t="n">
        <f aca="false">MAX(0,MIN(AC81,AC82))</f>
        <v>14.3447185759317</v>
      </c>
      <c r="AD83" s="94" t="n">
        <f aca="false">MAX(0,MIN(AD81,AD82))</f>
        <v>3.74856148421301</v>
      </c>
      <c r="AE83" s="94" t="n">
        <f aca="false">MAX(0,MIN(AE81,AE82))</f>
        <v>14.3447185759317</v>
      </c>
      <c r="AF83" s="94" t="n">
        <f aca="false">MAX(0,MIN(AF81,AF82))</f>
        <v>3.74856148421301</v>
      </c>
      <c r="AG83" s="94" t="n">
        <f aca="false">MAX(0,MIN(AG81,AG82))</f>
        <v>14.3447185759317</v>
      </c>
      <c r="AH83" s="94" t="n">
        <f aca="false">MAX(0,MIN(AH81,AH82))</f>
        <v>3.74856148421301</v>
      </c>
    </row>
    <row r="84" customFormat="false" ht="15" hidden="false" customHeight="false" outlineLevel="0" collapsed="false">
      <c r="A84" s="45" t="s">
        <v>542</v>
      </c>
      <c r="B84" s="45" t="s">
        <v>281</v>
      </c>
      <c r="C84" s="51" t="n">
        <f aca="false">IF(C83&gt;0,C83*C45/((C75+C83*C79)/1000),0)</f>
        <v>4061.66749791783</v>
      </c>
      <c r="D84" s="51" t="n">
        <f aca="false">IF(D83&gt;0,D83*D45/((D75+D83*D79)/1000),0)</f>
        <v>1489.92637263347</v>
      </c>
      <c r="E84" s="51" t="n">
        <f aca="false">IF(E83&gt;0,E83*E45/((E75+E83*E79)/1000),0)</f>
        <v>2030.83374895891</v>
      </c>
      <c r="F84" s="51" t="n">
        <f aca="false">IF(F83&gt;0,F83*F45/((F75+F83*F79)/1000),0)</f>
        <v>1489.92637263347</v>
      </c>
      <c r="G84" s="51" t="n">
        <f aca="false">IF(G83&gt;0,G83*G45/((G75+G83*G79)/1000),0)</f>
        <v>6092.50124687674</v>
      </c>
      <c r="H84" s="51" t="n">
        <f aca="false">IF(H83&gt;0,H83*H45/((H75+H83*H79)/1000),0)</f>
        <v>1489.92637263347</v>
      </c>
      <c r="I84" s="51" t="n">
        <f aca="false">IF(I83&gt;0,I83*I45/((I75+I83*I79)/1000),0)</f>
        <v>4532.84555478424</v>
      </c>
      <c r="J84" s="51" t="n">
        <f aca="false">IF(J83&gt;0,J83*J45/((J75+J83*J79)/1000),0)</f>
        <v>1489.92637263347</v>
      </c>
      <c r="K84" s="51" t="n">
        <f aca="false">IF(K83&gt;0,K83*K45/((K75+K83*K79)/1000),0)</f>
        <v>3276.37073647381</v>
      </c>
      <c r="L84" s="51" t="n">
        <f aca="false">IF(L83&gt;0,L83*L45/((L75+L83*L79)/1000),0)</f>
        <v>1489.92637263347</v>
      </c>
      <c r="M84" s="51" t="n">
        <f aca="false">IF(M83&gt;0,M83*M45/((M75+M83*M79)/1000),0)</f>
        <v>5802.38213988261</v>
      </c>
      <c r="N84" s="51" t="n">
        <f aca="false">IF(N83&gt;0,N83*N45/((N75+N83*N79)/1000),0)</f>
        <v>1489.92637263347</v>
      </c>
      <c r="O84" s="51" t="n">
        <f aca="false">IF(O83&gt;0,O83*O45/((O75+O83*O79)/1000),0)</f>
        <v>4794.35129868569</v>
      </c>
      <c r="P84" s="51" t="n">
        <f aca="false">IF(P83&gt;0,P83*P45/((P75+P83*P79)/1000),0)</f>
        <v>1900.39074248559</v>
      </c>
      <c r="Q84" s="51" t="n">
        <f aca="false">IF(Q83&gt;0,Q83*Q45/((Q75+Q83*Q79)/1000),0)</f>
        <v>3035.91017684282</v>
      </c>
      <c r="R84" s="51" t="n">
        <f aca="false">IF(R83&gt;0,R83*R45/((R75+R83*R79)/1000),0)</f>
        <v>915.276254840512</v>
      </c>
      <c r="S84" s="51" t="n">
        <f aca="false">IF(S83&gt;0,S83*S45/((S75+S83*S79)/1000),0)</f>
        <v>3220.7309007487</v>
      </c>
      <c r="T84" s="51" t="n">
        <f aca="false">IF(T83&gt;0,T83*T45/((T75+T83*T79)/1000),0)</f>
        <v>1129.52497384671</v>
      </c>
      <c r="U84" s="51" t="n">
        <f aca="false">IF(U83&gt;0,U83*U45/((U75+U83*U79)/1000),0)</f>
        <v>5048.64910636002</v>
      </c>
      <c r="V84" s="51" t="n">
        <f aca="false">IF(V83&gt;0,V83*V45/((V75+V83*V79)/1000),0)</f>
        <v>1912.91849053727</v>
      </c>
      <c r="W84" s="51" t="n">
        <f aca="false">IF(W83&gt;0,W83*W45/((W75+W83*W79)/1000),0)</f>
        <v>4085.0874434427</v>
      </c>
      <c r="X84" s="51" t="n">
        <f aca="false">IF(X83&gt;0,X83*X45/((X75+X83*X79)/1000),0)</f>
        <v>1498.51742409227</v>
      </c>
      <c r="Y84" s="51" t="n">
        <f aca="false">IF(Y83&gt;0,Y83*Y45/((Y75+Y83*Y79)/1000),0)</f>
        <v>3970.61286251248</v>
      </c>
      <c r="Z84" s="51" t="n">
        <f aca="false">IF(Z83&gt;0,Z83*Z45/((Z75+Z83*Z79)/1000),0)</f>
        <v>1456.52513959052</v>
      </c>
      <c r="AA84" s="51" t="n">
        <f aca="false">IF(AA83&gt;0,AA83*AA45/((AA75+AA83*AA79)/1000),0)</f>
        <v>2371.98919167607</v>
      </c>
      <c r="AB84" s="51" t="n">
        <f aca="false">IF(AB83&gt;0,AB83*AB45/((AB75+AB83*AB79)/1000),0)</f>
        <v>841.015007900684</v>
      </c>
      <c r="AC84" s="51" t="n">
        <f aca="false">IF(AC83&gt;0,AC83*AC45/((AC75+AC83*AC79)/1000),0)</f>
        <v>788.959521676242</v>
      </c>
      <c r="AD84" s="51" t="n">
        <f aca="false">IF(AD83&gt;0,AD83*AD45/((AD75+AD83*AD79)/1000),0)</f>
        <v>206.170881631716</v>
      </c>
      <c r="AE84" s="51" t="n">
        <f aca="false">IF(AE83&gt;0,AE83*AE45/((AE75+AE83*AE79)/1000),0)</f>
        <v>788.959521676242</v>
      </c>
      <c r="AF84" s="51" t="n">
        <f aca="false">IF(AF83&gt;0,AF83*AF45/((AF75+AF83*AF79)/1000),0)</f>
        <v>206.170881631716</v>
      </c>
      <c r="AG84" s="51" t="n">
        <f aca="false">IF(AG83&gt;0,AG83*AG45/((AG75+AG83*AG79)/1000),0)</f>
        <v>788.959521676242</v>
      </c>
      <c r="AH84" s="51" t="n">
        <f aca="false">IF(AH83&gt;0,AH83*AH45/((AH75+AH83*AH79)/1000),0)</f>
        <v>206.170881631716</v>
      </c>
    </row>
    <row r="85" customFormat="false" ht="15" hidden="false" customHeight="false" outlineLevel="0" collapsed="false">
      <c r="A85" s="44" t="s">
        <v>543</v>
      </c>
      <c r="B85" s="45" t="s">
        <v>281</v>
      </c>
      <c r="C85" s="56" t="n">
        <f aca="false">IF(C83&gt;0,C45/((C75+C83*C79)/1000),0)</f>
        <v>65</v>
      </c>
      <c r="D85" s="56" t="n">
        <f aca="false">IF(D83&gt;0,D45/((D75+D83*D79)/1000),0)</f>
        <v>65</v>
      </c>
      <c r="E85" s="56" t="n">
        <f aca="false">IF(E83&gt;0,E45/((E75+E83*E79)/1000),0)</f>
        <v>65</v>
      </c>
      <c r="F85" s="56" t="n">
        <f aca="false">IF(F83&gt;0,F45/((F75+F83*F79)/1000),0)</f>
        <v>65</v>
      </c>
      <c r="G85" s="56" t="n">
        <f aca="false">IF(G83&gt;0,G45/((G75+G83*G79)/1000),0)</f>
        <v>65</v>
      </c>
      <c r="H85" s="56" t="n">
        <f aca="false">IF(H83&gt;0,H45/((H75+H83*H79)/1000),0)</f>
        <v>65</v>
      </c>
      <c r="I85" s="56" t="n">
        <f aca="false">IF(I83&gt;0,I45/((I75+I83*I79)/1000),0)</f>
        <v>65</v>
      </c>
      <c r="J85" s="56" t="n">
        <f aca="false">IF(J83&gt;0,J45/((J75+J83*J79)/1000),0)</f>
        <v>65</v>
      </c>
      <c r="K85" s="56" t="n">
        <f aca="false">IF(K83&gt;0,K45/((K75+K83*K79)/1000),0)</f>
        <v>65</v>
      </c>
      <c r="L85" s="56" t="n">
        <f aca="false">IF(L83&gt;0,L45/((L75+L83*L79)/1000),0)</f>
        <v>65</v>
      </c>
      <c r="M85" s="56" t="n">
        <f aca="false">IF(M83&gt;0,M45/((M75+M83*M79)/1000),0)</f>
        <v>65</v>
      </c>
      <c r="N85" s="56" t="n">
        <f aca="false">IF(N83&gt;0,N45/((N75+N83*N79)/1000),0)</f>
        <v>65</v>
      </c>
      <c r="O85" s="56" t="n">
        <f aca="false">IF(O83&gt;0,O45/((O75+O83*O79)/1000),0)</f>
        <v>40</v>
      </c>
      <c r="P85" s="56" t="n">
        <f aca="false">IF(P83&gt;0,P45/((P75+P83*P79)/1000),0)</f>
        <v>40</v>
      </c>
      <c r="Q85" s="56" t="n">
        <f aca="false">IF(Q83&gt;0,Q45/((Q75+Q83*Q79)/1000),0)</f>
        <v>100</v>
      </c>
      <c r="R85" s="56" t="n">
        <f aca="false">IF(R83&gt;0,R45/((R75+R83*R79)/1000),0)</f>
        <v>100</v>
      </c>
      <c r="S85" s="56" t="n">
        <f aca="false">IF(S83&gt;0,S45/((S75+S83*S79)/1000),0)</f>
        <v>65</v>
      </c>
      <c r="T85" s="56" t="n">
        <f aca="false">IF(T83&gt;0,T45/((T75+T83*T79)/1000),0)</f>
        <v>65</v>
      </c>
      <c r="U85" s="56" t="n">
        <f aca="false">IF(U83&gt;0,U45/((U75+U83*U79)/1000),0)</f>
        <v>65</v>
      </c>
      <c r="V85" s="56" t="n">
        <f aca="false">IF(V83&gt;0,V45/((V75+V83*V79)/1000),0)</f>
        <v>65</v>
      </c>
      <c r="W85" s="56" t="n">
        <f aca="false">IF(W83&gt;0,W45/((W75+W83*W79)/1000),0)</f>
        <v>65</v>
      </c>
      <c r="X85" s="56" t="n">
        <f aca="false">IF(X83&gt;0,X45/((X75+X83*X79)/1000),0)</f>
        <v>65</v>
      </c>
      <c r="Y85" s="56" t="n">
        <f aca="false">IF(Y83&gt;0,Y45/((Y75+Y83*Y79)/1000),0)</f>
        <v>65</v>
      </c>
      <c r="Z85" s="56" t="n">
        <f aca="false">IF(Z83&gt;0,Z45/((Z75+Z83*Z79)/1000),0)</f>
        <v>65</v>
      </c>
      <c r="AA85" s="56" t="n">
        <f aca="false">IF(AA83&gt;0,AA45/((AA75+AA83*AA79)/1000),0)</f>
        <v>65</v>
      </c>
      <c r="AB85" s="56" t="n">
        <f aca="false">IF(AB83&gt;0,AB45/((AB75+AB83*AB79)/1000),0)</f>
        <v>65</v>
      </c>
      <c r="AC85" s="56" t="n">
        <f aca="false">IF(AC83&gt;0,AC45/((AC75+AC83*AC79)/1000),0)</f>
        <v>55</v>
      </c>
      <c r="AD85" s="56" t="n">
        <f aca="false">IF(AD83&gt;0,AD45/((AD75+AD83*AD79)/1000),0)</f>
        <v>55</v>
      </c>
      <c r="AE85" s="56" t="n">
        <f aca="false">IF(AE83&gt;0,AE45/((AE75+AE83*AE79)/1000),0)</f>
        <v>55</v>
      </c>
      <c r="AF85" s="56" t="n">
        <f aca="false">IF(AF83&gt;0,AF45/((AF75+AF83*AF79)/1000),0)</f>
        <v>55</v>
      </c>
      <c r="AG85" s="56" t="n">
        <f aca="false">IF(AG83&gt;0,AG45/((AG75+AG83*AG79)/1000),0)</f>
        <v>55</v>
      </c>
      <c r="AH85" s="56" t="n">
        <f aca="false">IF(AH83&gt;0,AH45/((AH75+AH83*AH79)/1000),0)</f>
        <v>55</v>
      </c>
    </row>
    <row r="86" customFormat="false" ht="15" hidden="false" customHeight="false" outlineLevel="0" collapsed="false">
      <c r="A86" s="44" t="s">
        <v>544</v>
      </c>
      <c r="B86" s="44"/>
      <c r="C86" s="95" t="str">
        <f aca="false">IF(C83&lt;=0,"SLO 不可達",IF(C81&lt;=C82,"SLO（"&amp;C80&amp;"）","HBM 容量"))</f>
        <v>SLO（算力）</v>
      </c>
      <c r="D86" s="95" t="str">
        <f aca="false">IF(D83&lt;=0,"SLO 不可達",IF(D81&lt;=D82,"SLO（"&amp;D80&amp;"）","HBM 容量"))</f>
        <v>SLO（算力）</v>
      </c>
      <c r="E86" s="95" t="str">
        <f aca="false">IF(E83&lt;=0,"SLO 不可達",IF(E81&lt;=E82,"SLO（"&amp;E80&amp;"）","HBM 容量"))</f>
        <v>SLO（算力）</v>
      </c>
      <c r="F86" s="95" t="str">
        <f aca="false">IF(F83&lt;=0,"SLO 不可達",IF(F81&lt;=F82,"SLO（"&amp;F80&amp;"）","HBM 容量"))</f>
        <v>SLO（算力）</v>
      </c>
      <c r="G86" s="95" t="str">
        <f aca="false">IF(G83&lt;=0,"SLO 不可達",IF(G81&lt;=G82,"SLO（"&amp;G80&amp;"）","HBM 容量"))</f>
        <v>SLO（算力）</v>
      </c>
      <c r="H86" s="95" t="str">
        <f aca="false">IF(H83&lt;=0,"SLO 不可達",IF(H81&lt;=H82,"SLO（"&amp;H80&amp;"）","HBM 容量"))</f>
        <v>SLO（算力）</v>
      </c>
      <c r="I86" s="95" t="str">
        <f aca="false">IF(I83&lt;=0,"SLO 不可達",IF(I81&lt;=I82,"SLO（"&amp;I80&amp;"）","HBM 容量"))</f>
        <v>SLO（算力）</v>
      </c>
      <c r="J86" s="95" t="str">
        <f aca="false">IF(J83&lt;=0,"SLO 不可達",IF(J81&lt;=J82,"SLO（"&amp;J80&amp;"）","HBM 容量"))</f>
        <v>SLO（算力）</v>
      </c>
      <c r="K86" s="95" t="str">
        <f aca="false">IF(K83&lt;=0,"SLO 不可達",IF(K81&lt;=K82,"SLO（"&amp;K80&amp;"）","HBM 容量"))</f>
        <v>SLO（算力）</v>
      </c>
      <c r="L86" s="95" t="str">
        <f aca="false">IF(L83&lt;=0,"SLO 不可達",IF(L81&lt;=L82,"SLO（"&amp;L80&amp;"）","HBM 容量"))</f>
        <v>SLO（算力）</v>
      </c>
      <c r="M86" s="95" t="str">
        <f aca="false">IF(M83&lt;=0,"SLO 不可達",IF(M81&lt;=M82,"SLO（"&amp;M80&amp;"）","HBM 容量"))</f>
        <v>SLO（算力）</v>
      </c>
      <c r="N86" s="95" t="str">
        <f aca="false">IF(N83&lt;=0,"SLO 不可達",IF(N81&lt;=N82,"SLO（"&amp;N80&amp;"）","HBM 容量"))</f>
        <v>SLO（算力）</v>
      </c>
      <c r="O86" s="95" t="str">
        <f aca="false">IF(O83&lt;=0,"SLO 不可達",IF(O81&lt;=O82,"SLO（"&amp;O80&amp;"）","HBM 容量"))</f>
        <v>SLO（算力）</v>
      </c>
      <c r="P86" s="95" t="str">
        <f aca="false">IF(P83&lt;=0,"SLO 不可達",IF(P81&lt;=P82,"SLO（"&amp;P80&amp;"）","HBM 容量"))</f>
        <v>SLO（算力）</v>
      </c>
      <c r="Q86" s="95" t="str">
        <f aca="false">IF(Q83&lt;=0,"SLO 不可達",IF(Q81&lt;=Q82,"SLO（"&amp;Q80&amp;"）","HBM 容量"))</f>
        <v>SLO（算力）</v>
      </c>
      <c r="R86" s="95" t="str">
        <f aca="false">IF(R83&lt;=0,"SLO 不可達",IF(R81&lt;=R82,"SLO（"&amp;R80&amp;"）","HBM 容量"))</f>
        <v>SLO（算力）</v>
      </c>
      <c r="S86" s="95" t="str">
        <f aca="false">IF(S83&lt;=0,"SLO 不可達",IF(S81&lt;=S82,"SLO（"&amp;S80&amp;"）","HBM 容量"))</f>
        <v>SLO（算力）</v>
      </c>
      <c r="T86" s="95" t="str">
        <f aca="false">IF(T83&lt;=0,"SLO 不可達",IF(T81&lt;=T82,"SLO（"&amp;T80&amp;"）","HBM 容量"))</f>
        <v>SLO（算力）</v>
      </c>
      <c r="U86" s="95" t="str">
        <f aca="false">IF(U83&lt;=0,"SLO 不可達",IF(U81&lt;=U82,"SLO（"&amp;U80&amp;"）","HBM 容量"))</f>
        <v>SLO（算力）</v>
      </c>
      <c r="V86" s="95" t="str">
        <f aca="false">IF(V83&lt;=0,"SLO 不可達",IF(V81&lt;=V82,"SLO（"&amp;V80&amp;"）","HBM 容量"))</f>
        <v>SLO（算力）</v>
      </c>
      <c r="W86" s="95" t="str">
        <f aca="false">IF(W83&lt;=0,"SLO 不可達",IF(W81&lt;=W82,"SLO（"&amp;W80&amp;"）","HBM 容量"))</f>
        <v>SLO（算力）</v>
      </c>
      <c r="X86" s="95" t="str">
        <f aca="false">IF(X83&lt;=0,"SLO 不可達",IF(X81&lt;=X82,"SLO（"&amp;X80&amp;"）","HBM 容量"))</f>
        <v>SLO（算力）</v>
      </c>
      <c r="Y86" s="95" t="str">
        <f aca="false">IF(Y83&lt;=0,"SLO 不可達",IF(Y81&lt;=Y82,"SLO（"&amp;Y80&amp;"）","HBM 容量"))</f>
        <v>SLO（算力）</v>
      </c>
      <c r="Z86" s="95" t="str">
        <f aca="false">IF(Z83&lt;=0,"SLO 不可達",IF(Z81&lt;=Z82,"SLO（"&amp;Z80&amp;"）","HBM 容量"))</f>
        <v>SLO（算力）</v>
      </c>
      <c r="AA86" s="95" t="str">
        <f aca="false">IF(AA83&lt;=0,"SLO 不可達",IF(AA81&lt;=AA82,"SLO（"&amp;AA80&amp;"）","HBM 容量"))</f>
        <v>SLO（算力）</v>
      </c>
      <c r="AB86" s="95" t="str">
        <f aca="false">IF(AB83&lt;=0,"SLO 不可達",IF(AB81&lt;=AB82,"SLO（"&amp;AB80&amp;"）","HBM 容量"))</f>
        <v>SLO（算力）</v>
      </c>
      <c r="AC86" s="95" t="str">
        <f aca="false">IF(AC83&lt;=0,"SLO 不可達",IF(AC81&lt;=AC82,"SLO（"&amp;AC80&amp;"）","HBM 容量"))</f>
        <v>SLO（算力）</v>
      </c>
      <c r="AD86" s="95" t="str">
        <f aca="false">IF(AD83&lt;=0,"SLO 不可達",IF(AD81&lt;=AD82,"SLO（"&amp;AD80&amp;"）","HBM 容量"))</f>
        <v>SLO（算力）</v>
      </c>
      <c r="AE86" s="95" t="str">
        <f aca="false">IF(AE83&lt;=0,"SLO 不可達",IF(AE81&lt;=AE82,"SLO（"&amp;AE80&amp;"）","HBM 容量"))</f>
        <v>SLO（算力）</v>
      </c>
      <c r="AF86" s="95" t="str">
        <f aca="false">IF(AF83&lt;=0,"SLO 不可達",IF(AF81&lt;=AF82,"SLO（"&amp;AF80&amp;"）","HBM 容量"))</f>
        <v>SLO（算力）</v>
      </c>
      <c r="AG86" s="95" t="str">
        <f aca="false">IF(AG83&lt;=0,"SLO 不可達",IF(AG81&lt;=AG82,"SLO（"&amp;AG80&amp;"）","HBM 容量"))</f>
        <v>SLO（算力）</v>
      </c>
      <c r="AH86" s="95" t="str">
        <f aca="false">IF(AH83&lt;=0,"SLO 不可達",IF(AH81&lt;=AH82,"SLO（"&amp;AH80&amp;"）","HBM 容量"))</f>
        <v>SLO（算力）</v>
      </c>
    </row>
    <row r="87" customFormat="false" ht="15" hidden="false" customHeight="false" outlineLevel="0" collapsed="false">
      <c r="A87" s="45" t="s">
        <v>545</v>
      </c>
      <c r="B87" s="45" t="s">
        <v>45</v>
      </c>
      <c r="C87" s="67" t="n">
        <f aca="false">C83*C30*C41/1000000000/C65</f>
        <v>0.0166397992902352</v>
      </c>
      <c r="D87" s="67" t="n">
        <f aca="false">D83*D30*D41/1000000000/D65</f>
        <v>0.00610391564808262</v>
      </c>
      <c r="E87" s="67" t="n">
        <f aca="false">E83*E30*E41/1000000000/E65</f>
        <v>0.0083198996451176</v>
      </c>
      <c r="F87" s="67" t="n">
        <f aca="false">F83*F30*F41/1000000000/F65</f>
        <v>0.00610391564808262</v>
      </c>
      <c r="G87" s="67" t="n">
        <f aca="false">G83*G30*G41/1000000000/G65</f>
        <v>0.0249596989353528</v>
      </c>
      <c r="H87" s="67" t="n">
        <f aca="false">H83*H30*H41/1000000000/H65</f>
        <v>0.00610391564808262</v>
      </c>
      <c r="I87" s="67" t="n">
        <f aca="false">I83*I30*I41/1000000000/I65</f>
        <v>0.0185701168999951</v>
      </c>
      <c r="J87" s="67" t="n">
        <f aca="false">J83*J30*J41/1000000000/J65</f>
        <v>0.00610391564808262</v>
      </c>
      <c r="K87" s="67" t="n">
        <f aca="false">K83*K30*K41/1000000000/K65</f>
        <v>0.0134226032739687</v>
      </c>
      <c r="L87" s="67" t="n">
        <f aca="false">L83*L30*L41/1000000000/L65</f>
        <v>0.00610391564808262</v>
      </c>
      <c r="M87" s="67" t="n">
        <f aca="false">M83*M30*M41/1000000000/M65</f>
        <v>0.0237711418431931</v>
      </c>
      <c r="N87" s="67" t="n">
        <f aca="false">N83*N30*N41/1000000000/N65</f>
        <v>0.00610391564808262</v>
      </c>
      <c r="O87" s="67" t="n">
        <f aca="false">O83*O30*O41/1000000000/O65</f>
        <v>0.0319173579543614</v>
      </c>
      <c r="P87" s="67" t="n">
        <f aca="false">P83*P30*P41/1000000000/P65</f>
        <v>0.012651440789851</v>
      </c>
      <c r="Q87" s="67" t="n">
        <f aca="false">Q83*Q30*Q41/1000000000/Q65</f>
        <v>0.00808436643832454</v>
      </c>
      <c r="R87" s="67" t="n">
        <f aca="false">R83*R30*R41/1000000000/R65</f>
        <v>0.00243730156869233</v>
      </c>
      <c r="S87" s="67" t="n">
        <f aca="false">S83*S30*S41/1000000000/S65</f>
        <v>0.0131946585444994</v>
      </c>
      <c r="T87" s="67" t="n">
        <f aca="false">T83*T30*T41/1000000000/T65</f>
        <v>0.00462742675705298</v>
      </c>
      <c r="U87" s="67" t="n">
        <f aca="false">U83*U30*U41/1000000000/U65</f>
        <v>0.0206832557957347</v>
      </c>
      <c r="V87" s="67" t="n">
        <f aca="false">V83*V30*V41/1000000000/V65</f>
        <v>0.00783682557901097</v>
      </c>
      <c r="W87" s="67" t="n">
        <f aca="false">W83*W30*W41/1000000000/W65</f>
        <v>0.00492227820345689</v>
      </c>
      <c r="X87" s="67" t="n">
        <f aca="false">X83*X30*X41/1000000000/X65</f>
        <v>0.00180562099495563</v>
      </c>
      <c r="Y87" s="67" t="n">
        <f aca="false">Y83*Y30*Y41/1000000000/Y65</f>
        <v>0.0621964641969855</v>
      </c>
      <c r="Z87" s="67" t="n">
        <f aca="false">Z83*Z30*Z41/1000000000/Z65</f>
        <v>0.0228152974952154</v>
      </c>
      <c r="AA87" s="67" t="n">
        <f aca="false">AA83*AA30*AA41/1000000000/AA65</f>
        <v>0.00971754189340477</v>
      </c>
      <c r="AB87" s="67" t="n">
        <f aca="false">AB83*AB30*AB41/1000000000/AB65</f>
        <v>0.00344546197804646</v>
      </c>
      <c r="AC87" s="67" t="n">
        <f aca="false">AC83*AC30*AC41/1000000000/AC65</f>
        <v>0.0288557083787346</v>
      </c>
      <c r="AD87" s="67" t="n">
        <f aca="false">AD83*AD30*AD41/1000000000/AD65</f>
        <v>0.00754057296109637</v>
      </c>
      <c r="AE87" s="67" t="n">
        <f aca="false">AE83*AE30*AE41/1000000000/AE65</f>
        <v>0.110983493764364</v>
      </c>
      <c r="AF87" s="67" t="n">
        <f aca="false">AF83*AF30*AF41/1000000000/AF65</f>
        <v>0.0290022036965245</v>
      </c>
      <c r="AG87" s="67" t="n">
        <f aca="false">AG83*AG30*AG41/1000000000/AG65</f>
        <v>0.394607977828849</v>
      </c>
      <c r="AH87" s="67" t="n">
        <f aca="false">AH83*AH30*AH41/1000000000/AH65</f>
        <v>0.103118946476532</v>
      </c>
    </row>
    <row r="88" customFormat="false" ht="15" hidden="false" customHeight="false" outlineLevel="0" collapsed="false">
      <c r="A88" s="72" t="s">
        <v>546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</row>
    <row r="89" customFormat="false" ht="15" hidden="false" customHeight="false" outlineLevel="0" collapsed="false">
      <c r="A89" s="44" t="s">
        <v>547</v>
      </c>
      <c r="B89" s="45" t="s">
        <v>548</v>
      </c>
      <c r="C89" s="96" t="n">
        <f aca="false">IF(C84&gt;0,C39/C71+C40/C84,0)</f>
        <v>0.712237124347245</v>
      </c>
      <c r="D89" s="96" t="n">
        <f aca="false">IF(D84&gt;0,D39/D71+D40/D84,0)</f>
        <v>1.85992291308805</v>
      </c>
      <c r="E89" s="96" t="n">
        <f aca="false">IF(E84&gt;0,E39/E71+E40/E84,0)</f>
        <v>1.21646352915509</v>
      </c>
      <c r="F89" s="96" t="n">
        <f aca="false">IF(F84&gt;0,F39/F71+F40/F84,0)</f>
        <v>1.85992291308805</v>
      </c>
      <c r="G89" s="96" t="n">
        <f aca="false">IF(G84&gt;0,G39/G71+G40/G84,0)</f>
        <v>0.544161656077962</v>
      </c>
      <c r="H89" s="96" t="n">
        <f aca="false">IF(H84&gt;0,H39/H71+H40/H84,0)</f>
        <v>1.85992291308805</v>
      </c>
      <c r="I89" s="96" t="n">
        <f aca="false">IF(I84&gt;0,I39/I71+I40/I84,0)</f>
        <v>0.659824039725965</v>
      </c>
      <c r="J89" s="96" t="n">
        <f aca="false">IF(J84&gt;0,J39/J71+J40/J84,0)</f>
        <v>1.85992291308805</v>
      </c>
      <c r="K89" s="96" t="n">
        <f aca="false">IF(K84&gt;0,K39/K71+K40/K84,0)</f>
        <v>0.833092605786541</v>
      </c>
      <c r="L89" s="96" t="n">
        <f aca="false">IF(L84&gt;0,L39/L71+L40/L84,0)</f>
        <v>1.85992291308805</v>
      </c>
      <c r="M89" s="96" t="n">
        <f aca="false">IF(M84&gt;0,M39/M71+M40/M84,0)</f>
        <v>0.498565987043072</v>
      </c>
      <c r="N89" s="96" t="n">
        <f aca="false">IF(N84&gt;0,N39/N71+N40/N84,0)</f>
        <v>1.85992291308805</v>
      </c>
      <c r="O89" s="96" t="n">
        <f aca="false">IF(O84&gt;0,O39/O71+O40/O84,0)</f>
        <v>0.635180084571414</v>
      </c>
      <c r="P89" s="96" t="n">
        <f aca="false">IF(P84&gt;0,P39/P71+P40/P84,0)</f>
        <v>1.56303145471334</v>
      </c>
      <c r="Q89" s="96" t="n">
        <f aca="false">IF(Q84&gt;0,Q39/Q71+Q40/Q84,0)</f>
        <v>0.882602483031492</v>
      </c>
      <c r="R89" s="96" t="n">
        <f aca="false">IF(R84&gt;0,R39/R71+R40/R84,0)</f>
        <v>2.7229341476178</v>
      </c>
      <c r="S89" s="96" t="n">
        <f aca="false">IF(S84&gt;0,S39/S71+S40/S84,0)</f>
        <v>0.843891227135952</v>
      </c>
      <c r="T89" s="96" t="n">
        <f aca="false">IF(T84&gt;0,T39/T71+T40/T84,0)</f>
        <v>2.29850993357792</v>
      </c>
      <c r="U89" s="96" t="n">
        <f aca="false">IF(U84&gt;0,U39/U71+U40/U84,0)</f>
        <v>0.61366378768787</v>
      </c>
      <c r="V89" s="96" t="n">
        <f aca="false">IF(V84&gt;0,V39/V71+V40/V84,0)</f>
        <v>1.55597374825071</v>
      </c>
      <c r="W89" s="96" t="n">
        <f aca="false">IF(W84&gt;0,W39/W71+W40/W84,0)</f>
        <v>0.546401760825615</v>
      </c>
      <c r="X89" s="96" t="n">
        <f aca="false">IF(X84&gt;0,X39/X71+X40/X84,0)</f>
        <v>1.47183838274055</v>
      </c>
      <c r="Y89" s="96" t="n">
        <f aca="false">IF(Y84&gt;0,Y39/Y71+Y40/Y84,0)</f>
        <v>1.35741373008322</v>
      </c>
      <c r="Z89" s="96" t="n">
        <f aca="false">IF(Z84&gt;0,Z39/Z71+Z40/Z84,0)</f>
        <v>3.36987638832674</v>
      </c>
      <c r="AA89" s="96" t="n">
        <f aca="false">IF(AA84&gt;0,AA39/AA71+AA40/AA84,0)</f>
        <v>1.16056851310558</v>
      </c>
      <c r="AB89" s="96" t="n">
        <f aca="false">IF(AB84&gt;0,AB39/AB71+AB40/AB84,0)</f>
        <v>3.12852180409629</v>
      </c>
      <c r="AC89" s="96" t="n">
        <f aca="false">IF(AC84&gt;0,AC39/AC71+AC40/AC84,0)</f>
        <v>6.56643907356878</v>
      </c>
      <c r="AD89" s="96" t="n">
        <f aca="false">IF(AD84&gt;0,AD39/AD71+AD40/AD84,0)</f>
        <v>23.0748612114697</v>
      </c>
      <c r="AE89" s="96" t="n">
        <f aca="false">IF(AE84&gt;0,AE39/AE71+AE40/AE84,0)</f>
        <v>6.56643907356878</v>
      </c>
      <c r="AF89" s="96" t="n">
        <f aca="false">IF(AF84&gt;0,AF39/AF71+AF40/AF84,0)</f>
        <v>23.0748612114697</v>
      </c>
      <c r="AG89" s="96" t="n">
        <f aca="false">IF(AG84&gt;0,AG39/AG71+AG40/AG84,0)</f>
        <v>6.56643907356878</v>
      </c>
      <c r="AH89" s="96" t="n">
        <f aca="false">IF(AH84&gt;0,AH39/AH71+AH40/AH84,0)</f>
        <v>23.0748612114697</v>
      </c>
    </row>
    <row r="90" customFormat="false" ht="15" hidden="false" customHeight="false" outlineLevel="0" collapsed="false">
      <c r="A90" s="45" t="s">
        <v>549</v>
      </c>
      <c r="B90" s="45" t="s">
        <v>45</v>
      </c>
      <c r="C90" s="67" t="n">
        <f aca="false">IF(C89&gt;0,(C39/C71)/C89,0)</f>
        <v>0.292052621842808</v>
      </c>
      <c r="D90" s="67" t="n">
        <f aca="false">IF(D89&gt;0,(D39/D71)/D89,0)</f>
        <v>0.260956162310016</v>
      </c>
      <c r="E90" s="67" t="n">
        <f aca="false">IF(E89&gt;0,(E39/E71)/E89,0)</f>
        <v>0.170996264626093</v>
      </c>
      <c r="F90" s="67" t="n">
        <f aca="false">IF(F89&gt;0,(F39/F71)/F89,0)</f>
        <v>0.260956162310016</v>
      </c>
      <c r="G90" s="67" t="n">
        <f aca="false">IF(G89&gt;0,(G39/G71)/G89,0)</f>
        <v>0.382259053382463</v>
      </c>
      <c r="H90" s="67" t="n">
        <f aca="false">IF(H89&gt;0,(H39/H71)/H89,0)</f>
        <v>0.260956162310016</v>
      </c>
      <c r="I90" s="67" t="n">
        <f aca="false">IF(I89&gt;0,(I39/I71)/I89,0)</f>
        <v>0.315251805050609</v>
      </c>
      <c r="J90" s="67" t="n">
        <f aca="false">IF(J89&gt;0,(J39/J71)/J89,0)</f>
        <v>0.260956162310016</v>
      </c>
      <c r="K90" s="67" t="n">
        <f aca="false">IF(K89&gt;0,(K39/K71)/K89,0)</f>
        <v>0.249684990713616</v>
      </c>
      <c r="L90" s="67" t="n">
        <f aca="false">IF(L89&gt;0,(L39/L71)/L89,0)</f>
        <v>0.260956162310016</v>
      </c>
      <c r="M90" s="67" t="n">
        <f aca="false">IF(M89&gt;0,(M39/M71)/M89,0)</f>
        <v>0.292052621842808</v>
      </c>
      <c r="N90" s="67" t="n">
        <f aca="false">IF(N89&gt;0,(N39/N71)/N89,0)</f>
        <v>0.260956162310016</v>
      </c>
      <c r="O90" s="67" t="n">
        <f aca="false">IF(O89&gt;0,(O39/O71)/O89,0)</f>
        <v>0.327483062822648</v>
      </c>
      <c r="P90" s="67" t="n">
        <f aca="false">IF(P89&gt;0,(P39/P71)/P89,0)</f>
        <v>0.310523722429462</v>
      </c>
      <c r="Q90" s="67" t="n">
        <f aca="false">IF(Q89&gt;0,(Q39/Q71)/Q89,0)</f>
        <v>0.235678828848222</v>
      </c>
      <c r="R90" s="67" t="n">
        <f aca="false">IF(R89&gt;0,(R39/R71)/R89,0)</f>
        <v>0.178248286326184</v>
      </c>
      <c r="S90" s="67" t="n">
        <f aca="false">IF(S89&gt;0,(S39/S71)/S89,0)</f>
        <v>0.246489965591127</v>
      </c>
      <c r="T90" s="67" t="n">
        <f aca="false">IF(T89&gt;0,(T39/T71)/T89,0)</f>
        <v>0.211162170109224</v>
      </c>
      <c r="U90" s="67" t="n">
        <f aca="false">IF(U89&gt;0,(U39/U71)/U89,0)</f>
        <v>0.338965283128612</v>
      </c>
      <c r="V90" s="67" t="n">
        <f aca="false">IF(V89&gt;0,(V39/V71)/V89,0)</f>
        <v>0.311932220024652</v>
      </c>
      <c r="W90" s="67" t="n">
        <f aca="false">IF(W89&gt;0,(W39/W71)/W89,0)</f>
        <v>0.0824779611095352</v>
      </c>
      <c r="X90" s="67" t="n">
        <f aca="false">IF(X89&gt;0,(X39/X71)/X89,0)</f>
        <v>0.0714441490216488</v>
      </c>
      <c r="Y90" s="67" t="n">
        <f aca="false">IF(Y89&gt;0,(Y39/Y71)/Y89,0)</f>
        <v>0.620020497786333</v>
      </c>
      <c r="Z90" s="67" t="n">
        <f aca="false">IF(Z89&gt;0,(Z39/Z71)/Z89,0)</f>
        <v>0.582748413443802</v>
      </c>
      <c r="AA90" s="67" t="n">
        <f aca="false">IF(AA89&gt;0,(AA39/AA71)/AA89,0)</f>
        <v>0.256045349684177</v>
      </c>
      <c r="AB90" s="67" t="n">
        <f aca="false">IF(AB89&gt;0,(AB39/AB71)/AB89,0)</f>
        <v>0.221628330741842</v>
      </c>
      <c r="AC90" s="67" t="n">
        <f aca="false">IF(AC89&gt;0,(AC39/AC71)/AC89,0)</f>
        <v>0.209366326833024</v>
      </c>
      <c r="AD90" s="67" t="n">
        <f aca="false">IF(AD89&gt;0,(AD39/AD71)/AD89,0)</f>
        <v>0.139019089739358</v>
      </c>
      <c r="AE90" s="67" t="n">
        <f aca="false">IF(AE89&gt;0,(AE39/AE71)/AE89,0)</f>
        <v>0.209366326833024</v>
      </c>
      <c r="AF90" s="67" t="n">
        <f aca="false">IF(AF89&gt;0,(AF39/AF71)/AF89,0)</f>
        <v>0.139019089739358</v>
      </c>
      <c r="AG90" s="67" t="n">
        <f aca="false">IF(AG89&gt;0,(AG39/AG71)/AG89,0)</f>
        <v>0.209366326833024</v>
      </c>
      <c r="AH90" s="67" t="n">
        <f aca="false">IF(AH89&gt;0,(AH39/AH71)/AH89,0)</f>
        <v>0.139019089739358</v>
      </c>
    </row>
    <row r="91" customFormat="false" ht="15" hidden="false" customHeight="false" outlineLevel="0" collapsed="false">
      <c r="A91" s="44" t="s">
        <v>550</v>
      </c>
      <c r="B91" s="45" t="s">
        <v>281</v>
      </c>
      <c r="C91" s="51" t="n">
        <f aca="false">IF(C89&gt;0,C18*(C39+C40)/C89,0)</f>
        <v>1863289.56275099</v>
      </c>
      <c r="D91" s="51" t="n">
        <f aca="false">IF(D89&gt;0,D18*(D39+D40)/D89,0)</f>
        <v>713526.345990651</v>
      </c>
      <c r="E91" s="51" t="n">
        <f aca="false">IF(E89&gt;0,E18*(E39+E40)/E89,0)</f>
        <v>1090952.5589491</v>
      </c>
      <c r="F91" s="51" t="n">
        <f aca="false">IF(F89&gt;0,F18*(F39+F40)/F89,0)</f>
        <v>713526.345990651</v>
      </c>
      <c r="G91" s="51" t="n">
        <f aca="false">IF(G89&gt;0,G18*(G39+G40)/G89,0)</f>
        <v>2438804.69190918</v>
      </c>
      <c r="H91" s="51" t="n">
        <f aca="false">IF(H89&gt;0,H18*(H39+H40)/H89,0)</f>
        <v>713526.345990651</v>
      </c>
      <c r="I91" s="51" t="n">
        <f aca="false">IF(I89&gt;0,I18*(I39+I40)/I89,0)</f>
        <v>2011299.86193162</v>
      </c>
      <c r="J91" s="51" t="n">
        <f aca="false">IF(J89&gt;0,J18*(J39+J40)/J89,0)</f>
        <v>713526.345990651</v>
      </c>
      <c r="K91" s="51" t="n">
        <f aca="false">IF(K89&gt;0,K18*(K39+K40)/K89,0)</f>
        <v>1592984.97043681</v>
      </c>
      <c r="L91" s="51" t="n">
        <f aca="false">IF(L89&gt;0,L18*(L39+L40)/L89,0)</f>
        <v>713526.345990651</v>
      </c>
      <c r="M91" s="51" t="n">
        <f aca="false">IF(M89&gt;0,M18*(M39+M40)/M89,0)</f>
        <v>2661842.23250141</v>
      </c>
      <c r="N91" s="51" t="n">
        <f aca="false">IF(N89&gt;0,N18*(N39+N40)/N89,0)</f>
        <v>713526.345990651</v>
      </c>
      <c r="O91" s="51" t="n">
        <f aca="false">IF(O89&gt;0,O18*(O39+O40)/O89,0)</f>
        <v>2089335.02834155</v>
      </c>
      <c r="P91" s="51" t="n">
        <f aca="false">IF(P89&gt;0,P18*(P39+P40)/P89,0)</f>
        <v>849057.769117892</v>
      </c>
      <c r="Q91" s="51" t="n">
        <f aca="false">IF(Q89&gt;0,Q18*(Q39+Q40)/Q89,0)</f>
        <v>1503625.95337571</v>
      </c>
      <c r="R91" s="51" t="n">
        <f aca="false">IF(R89&gt;0,R18*(R39+R40)/R89,0)</f>
        <v>487380.130423293</v>
      </c>
      <c r="S91" s="51" t="n">
        <f aca="false">IF(S89&gt;0,S18*(S39+S40)/S89,0)</f>
        <v>1572600.77759548</v>
      </c>
      <c r="T91" s="51" t="n">
        <f aca="false">IF(T89&gt;0,T18*(T39+T40)/T89,0)</f>
        <v>577375.794906483</v>
      </c>
      <c r="U91" s="51" t="n">
        <f aca="false">IF(U89&gt;0,U18*(U39+U40)/U89,0)</f>
        <v>2162591.35152848</v>
      </c>
      <c r="V91" s="51" t="n">
        <f aca="false">IF(V89&gt;0,V18*(V39+V40)/V89,0)</f>
        <v>852908.991229439</v>
      </c>
      <c r="W91" s="51" t="n">
        <f aca="false">IF(W89&gt;0,W18*(W39+W40)/W89,0)</f>
        <v>809602.076193131</v>
      </c>
      <c r="X91" s="51" t="n">
        <f aca="false">IF(X89&gt;0,X18*(X39+X40)/X89,0)</f>
        <v>300554.73833772</v>
      </c>
      <c r="Y91" s="51" t="n">
        <f aca="false">IF(Y89&gt;0,Y18*(Y39+Y40)/Y89,0)</f>
        <v>3584793.56157808</v>
      </c>
      <c r="Z91" s="51" t="n">
        <f aca="false">IF(Z89&gt;0,Z18*(Z39+Z40)/Z89,0)</f>
        <v>1443984.12263904</v>
      </c>
      <c r="AA91" s="51" t="n">
        <f aca="false">IF(AA89&gt;0,AA18*(AA39+AA40)/AA89,0)</f>
        <v>1143494.74849079</v>
      </c>
      <c r="AB91" s="51" t="n">
        <f aca="false">IF(AB89&gt;0,AB18*(AB39+AB40)/AB89,0)</f>
        <v>424195.22160989</v>
      </c>
      <c r="AC91" s="51" t="n">
        <f aca="false">IF(AC89&gt;0,AC18*(AC39+AC40)/AC89,0)</f>
        <v>404208.12106271</v>
      </c>
      <c r="AD91" s="51" t="n">
        <f aca="false">IF(AD89&gt;0,AD18*(AD39+AD40)/AD89,0)</f>
        <v>115025.957282061</v>
      </c>
      <c r="AE91" s="51" t="n">
        <f aca="false">IF(AE89&gt;0,AE18*(AE39+AE40)/AE89,0)</f>
        <v>404208.12106271</v>
      </c>
      <c r="AF91" s="51" t="n">
        <f aca="false">IF(AF89&gt;0,AF18*(AF39+AF40)/AF89,0)</f>
        <v>115025.957282061</v>
      </c>
      <c r="AG91" s="51" t="n">
        <f aca="false">IF(AG89&gt;0,AG18*(AG39+AG40)/AG89,0)</f>
        <v>404208.12106271</v>
      </c>
      <c r="AH91" s="51" t="n">
        <f aca="false">IF(AH89&gt;0,AH18*(AH39+AH40)/AH89,0)</f>
        <v>115025.957282061</v>
      </c>
    </row>
    <row r="92" customFormat="false" ht="15" hidden="false" customHeight="false" outlineLevel="0" collapsed="false">
      <c r="A92" s="44" t="s">
        <v>551</v>
      </c>
      <c r="B92" s="45" t="s">
        <v>281</v>
      </c>
      <c r="C92" s="56" t="n">
        <f aca="false">C91*C40/(C39+C40)</f>
        <v>207032.173638999</v>
      </c>
      <c r="D92" s="56" t="n">
        <f aca="false">D91*D40/(D39+D40)</f>
        <v>79280.7051100723</v>
      </c>
      <c r="E92" s="56" t="n">
        <f aca="false">E91*E40/(E39+E40)</f>
        <v>121216.950994344</v>
      </c>
      <c r="F92" s="56" t="n">
        <f aca="false">F91*F40/(F39+F40)</f>
        <v>79280.7051100723</v>
      </c>
      <c r="G92" s="56" t="n">
        <f aca="false">G91*G40/(G39+G40)</f>
        <v>270978.29910102</v>
      </c>
      <c r="H92" s="56" t="n">
        <f aca="false">H91*H40/(H39+H40)</f>
        <v>79280.7051100723</v>
      </c>
      <c r="I92" s="56" t="n">
        <f aca="false">I91*I40/(I39+I40)</f>
        <v>223477.762436847</v>
      </c>
      <c r="J92" s="56" t="n">
        <f aca="false">J91*J40/(J39+J40)</f>
        <v>79280.7051100723</v>
      </c>
      <c r="K92" s="56" t="n">
        <f aca="false">K91*K40/(K39+K40)</f>
        <v>176998.330048535</v>
      </c>
      <c r="L92" s="56" t="n">
        <f aca="false">L91*L40/(L39+L40)</f>
        <v>79280.7051100723</v>
      </c>
      <c r="M92" s="56" t="n">
        <f aca="false">M91*M40/(M39+M40)</f>
        <v>295760.248055713</v>
      </c>
      <c r="N92" s="56" t="n">
        <f aca="false">N91*N40/(N39+N40)</f>
        <v>79280.7051100723</v>
      </c>
      <c r="O92" s="56" t="n">
        <f aca="false">O91*O40/(O39+O40)</f>
        <v>232148.336482394</v>
      </c>
      <c r="P92" s="56" t="n">
        <f aca="false">P91*P40/(P39+P40)</f>
        <v>94339.7521242103</v>
      </c>
      <c r="Q92" s="56" t="n">
        <f aca="false">Q91*Q40/(Q39+Q40)</f>
        <v>167069.550375079</v>
      </c>
      <c r="R92" s="56" t="n">
        <f aca="false">R91*R40/(R39+R40)</f>
        <v>54153.3478248103</v>
      </c>
      <c r="S92" s="56" t="n">
        <f aca="false">S91*S40/(S39+S40)</f>
        <v>174733.419732831</v>
      </c>
      <c r="T92" s="56" t="n">
        <f aca="false">T91*T40/(T39+T40)</f>
        <v>64152.8661007203</v>
      </c>
      <c r="U92" s="56" t="n">
        <f aca="false">U91*U40/(U39+U40)</f>
        <v>240287.927947609</v>
      </c>
      <c r="V92" s="56" t="n">
        <f aca="false">V91*V40/(V39+V40)</f>
        <v>94767.6656921599</v>
      </c>
      <c r="W92" s="56" t="n">
        <f aca="false">W91*W40/(W39+W40)</f>
        <v>269867.358731044</v>
      </c>
      <c r="X92" s="56" t="n">
        <f aca="false">X91*X40/(X39+X40)</f>
        <v>100184.91277924</v>
      </c>
      <c r="Y92" s="56" t="n">
        <f aca="false">Y91*Y40/(Y39+Y40)</f>
        <v>108630.107926608</v>
      </c>
      <c r="Z92" s="56" t="n">
        <f aca="false">Z91*Z40/(Z39+Z40)</f>
        <v>43757.0946254255</v>
      </c>
      <c r="AA92" s="56" t="n">
        <f aca="false">AA91*AA40/(AA39+AA40)</f>
        <v>127054.972054532</v>
      </c>
      <c r="AB92" s="56" t="n">
        <f aca="false">AB91*AB40/(AB39+AB40)</f>
        <v>47132.8024010989</v>
      </c>
      <c r="AC92" s="56" t="n">
        <f aca="false">AC91*AC40/(AC39+AC40)</f>
        <v>44912.0134514122</v>
      </c>
      <c r="AD92" s="56" t="n">
        <f aca="false">AD91*AD40/(AD39+AD40)</f>
        <v>12780.661920229</v>
      </c>
      <c r="AE92" s="56" t="n">
        <f aca="false">AE91*AE40/(AE39+AE40)</f>
        <v>44912.0134514122</v>
      </c>
      <c r="AF92" s="56" t="n">
        <f aca="false">AF91*AF40/(AF39+AF40)</f>
        <v>12780.661920229</v>
      </c>
      <c r="AG92" s="56" t="n">
        <f aca="false">AG91*AG40/(AG39+AG40)</f>
        <v>44912.0134514122</v>
      </c>
      <c r="AH92" s="56" t="n">
        <f aca="false">AH91*AH40/(AH39+AH40)</f>
        <v>12780.661920229</v>
      </c>
    </row>
    <row r="93" customFormat="false" ht="15" hidden="false" customHeight="false" outlineLevel="0" collapsed="false">
      <c r="A93" s="44" t="s">
        <v>552</v>
      </c>
      <c r="B93" s="45" t="s">
        <v>281</v>
      </c>
      <c r="C93" s="56" t="n">
        <f aca="false">C91-C92</f>
        <v>1656257.38911199</v>
      </c>
      <c r="D93" s="56" t="n">
        <f aca="false">D91-D92</f>
        <v>634245.640880578</v>
      </c>
      <c r="E93" s="56" t="n">
        <f aca="false">E91-E92</f>
        <v>969735.607954753</v>
      </c>
      <c r="F93" s="56" t="n">
        <f aca="false">F91-F92</f>
        <v>634245.640880578</v>
      </c>
      <c r="G93" s="56" t="n">
        <f aca="false">G91-G92</f>
        <v>2167826.39280816</v>
      </c>
      <c r="H93" s="56" t="n">
        <f aca="false">H91-H92</f>
        <v>634245.640880578</v>
      </c>
      <c r="I93" s="56" t="n">
        <f aca="false">I91-I92</f>
        <v>1787822.09949478</v>
      </c>
      <c r="J93" s="56" t="n">
        <f aca="false">J91-J92</f>
        <v>634245.640880578</v>
      </c>
      <c r="K93" s="56" t="n">
        <f aca="false">K91-K92</f>
        <v>1415986.64038828</v>
      </c>
      <c r="L93" s="56" t="n">
        <f aca="false">L91-L92</f>
        <v>634245.640880578</v>
      </c>
      <c r="M93" s="56" t="n">
        <f aca="false">M91-M92</f>
        <v>2366081.9844457</v>
      </c>
      <c r="N93" s="56" t="n">
        <f aca="false">N91-N92</f>
        <v>634245.640880578</v>
      </c>
      <c r="O93" s="56" t="n">
        <f aca="false">O91-O92</f>
        <v>1857186.69185915</v>
      </c>
      <c r="P93" s="56" t="n">
        <f aca="false">P91-P92</f>
        <v>754718.016993682</v>
      </c>
      <c r="Q93" s="56" t="n">
        <f aca="false">Q91-Q92</f>
        <v>1336556.40300063</v>
      </c>
      <c r="R93" s="56" t="n">
        <f aca="false">R91-R92</f>
        <v>433226.782598482</v>
      </c>
      <c r="S93" s="56" t="n">
        <f aca="false">S91-S92</f>
        <v>1397867.35786265</v>
      </c>
      <c r="T93" s="56" t="n">
        <f aca="false">T91-T92</f>
        <v>513222.928805763</v>
      </c>
      <c r="U93" s="56" t="n">
        <f aca="false">U91-U92</f>
        <v>1922303.42358088</v>
      </c>
      <c r="V93" s="56" t="n">
        <f aca="false">V91-V92</f>
        <v>758141.325537279</v>
      </c>
      <c r="W93" s="56" t="n">
        <f aca="false">W91-W92</f>
        <v>539734.717462087</v>
      </c>
      <c r="X93" s="56" t="n">
        <f aca="false">X91-X92</f>
        <v>200369.82555848</v>
      </c>
      <c r="Y93" s="56" t="n">
        <f aca="false">Y91-Y92</f>
        <v>3476163.45365147</v>
      </c>
      <c r="Z93" s="56" t="n">
        <f aca="false">Z91-Z92</f>
        <v>1400227.02801362</v>
      </c>
      <c r="AA93" s="56" t="n">
        <f aca="false">AA91-AA92</f>
        <v>1016439.77643626</v>
      </c>
      <c r="AB93" s="56" t="n">
        <f aca="false">AB91-AB92</f>
        <v>377062.419208791</v>
      </c>
      <c r="AC93" s="56" t="n">
        <f aca="false">AC91-AC92</f>
        <v>359296.107611298</v>
      </c>
      <c r="AD93" s="56" t="n">
        <f aca="false">AD91-AD92</f>
        <v>102245.295361832</v>
      </c>
      <c r="AE93" s="56" t="n">
        <f aca="false">AE91-AE92</f>
        <v>359296.107611298</v>
      </c>
      <c r="AF93" s="56" t="n">
        <f aca="false">AF91-AF92</f>
        <v>102245.295361832</v>
      </c>
      <c r="AG93" s="56" t="n">
        <f aca="false">AG91-AG92</f>
        <v>359296.107611298</v>
      </c>
      <c r="AH93" s="56" t="n">
        <f aca="false">AH91-AH92</f>
        <v>102245.295361832</v>
      </c>
    </row>
    <row r="94" customFormat="false" ht="15" hidden="false" customHeight="false" outlineLevel="0" collapsed="false">
      <c r="A94" s="44" t="s">
        <v>553</v>
      </c>
      <c r="B94" s="45" t="s">
        <v>554</v>
      </c>
      <c r="C94" s="51" t="n">
        <f aca="false">C91*C21*8760*3600/1000000</f>
        <v>238098354985.508</v>
      </c>
      <c r="D94" s="51" t="n">
        <f aca="false">D91*D21*8760*3600/1000000</f>
        <v>151099364378.687</v>
      </c>
      <c r="E94" s="51" t="n">
        <f aca="false">E91*E21*8760*3600/1000000</f>
        <v>139406142150.824</v>
      </c>
      <c r="F94" s="51" t="n">
        <f aca="false">F91*F21*8760*3600/1000000</f>
        <v>151099364378.687</v>
      </c>
      <c r="G94" s="51" t="n">
        <f aca="false">G91*G21*8760*3600/1000000</f>
        <v>311639906583.922</v>
      </c>
      <c r="H94" s="51" t="n">
        <f aca="false">H91*H21*8760*3600/1000000</f>
        <v>151099364378.687</v>
      </c>
      <c r="I94" s="51" t="n">
        <f aca="false">I91*I21*8760*3600/1000000</f>
        <v>257011684110.688</v>
      </c>
      <c r="J94" s="51" t="n">
        <f aca="false">J91*J21*8760*3600/1000000</f>
        <v>151099364378.687</v>
      </c>
      <c r="K94" s="51" t="n">
        <f aca="false">K91*K21*8760*3600/1000000</f>
        <v>203557787560.221</v>
      </c>
      <c r="L94" s="51" t="n">
        <f aca="false">L91*L21*8760*3600/1000000</f>
        <v>151099364378.687</v>
      </c>
      <c r="M94" s="51" t="n">
        <f aca="false">M91*M21*8760*3600/1000000</f>
        <v>340140507122.155</v>
      </c>
      <c r="N94" s="51" t="n">
        <f aca="false">N91*N21*8760*3600/1000000</f>
        <v>151099364378.687</v>
      </c>
      <c r="O94" s="51" t="n">
        <f aca="false">O91*O21*8760*3600/1000000</f>
        <v>266983319826.712</v>
      </c>
      <c r="P94" s="51" t="n">
        <f aca="false">P91*P21*8760*3600/1000000</f>
        <v>179800073193.346</v>
      </c>
      <c r="Q94" s="51" t="n">
        <f aca="false">Q91*Q21*8760*3600/1000000</f>
        <v>192139146362.04</v>
      </c>
      <c r="R94" s="51" t="n">
        <f aca="false">R91*R21*8760*3600/1000000</f>
        <v>103209682910.189</v>
      </c>
      <c r="S94" s="51" t="n">
        <f aca="false">S91*S21*8760*3600/1000000</f>
        <v>200953016471.361</v>
      </c>
      <c r="T94" s="51" t="n">
        <f aca="false">T91*T21*8760*3600/1000000</f>
        <v>122267546402.767</v>
      </c>
      <c r="U94" s="51" t="n">
        <f aca="false">U91*U21*8760*3600/1000000</f>
        <v>276344296452.023</v>
      </c>
      <c r="V94" s="51" t="n">
        <f aca="false">V91*V21*8760*3600/1000000</f>
        <v>180615624316.869</v>
      </c>
      <c r="W94" s="51" t="n">
        <f aca="false">W91*W21*8760*3600/1000000</f>
        <v>103454088075.197</v>
      </c>
      <c r="X94" s="51" t="n">
        <f aca="false">X91*X21*8760*3600/1000000</f>
        <v>63646745742.4861</v>
      </c>
      <c r="Y94" s="51" t="n">
        <f aca="false">Y91*Y21*8760*3600/1000000</f>
        <v>458078801619.117</v>
      </c>
      <c r="Z94" s="51" t="n">
        <f aca="false">Z91*Z21*8760*3600/1000000</f>
        <v>305784200302.723</v>
      </c>
      <c r="AA94" s="51" t="n">
        <f aca="false">AA91*AA21*8760*3600/1000000</f>
        <v>146120186573.819</v>
      </c>
      <c r="AB94" s="51" t="n">
        <f aca="false">AB91*AB21*8760*3600/1000000</f>
        <v>89829378715.85</v>
      </c>
      <c r="AC94" s="51" t="n">
        <f aca="false">AC91*AC21*8760*3600/1000000</f>
        <v>51651278803.2379</v>
      </c>
      <c r="AD94" s="51" t="n">
        <f aca="false">AD91*AD21*8760*3600/1000000</f>
        <v>24358384424.1081</v>
      </c>
      <c r="AE94" s="51" t="n">
        <f aca="false">AE91*AE21*8760*3600/1000000</f>
        <v>51651278803.2379</v>
      </c>
      <c r="AF94" s="51" t="n">
        <f aca="false">AF91*AF21*8760*3600/1000000</f>
        <v>24358384424.1081</v>
      </c>
      <c r="AG94" s="51" t="n">
        <f aca="false">AG91*AG21*8760*3600/1000000</f>
        <v>51651278803.2379</v>
      </c>
      <c r="AH94" s="51" t="n">
        <f aca="false">AH91*AH21*8760*3600/1000000</f>
        <v>24358384424.1081</v>
      </c>
    </row>
    <row r="95" customFormat="false" ht="15" hidden="false" customHeight="false" outlineLevel="0" collapsed="false">
      <c r="A95" s="44" t="s">
        <v>555</v>
      </c>
      <c r="B95" s="45" t="s">
        <v>554</v>
      </c>
      <c r="C95" s="56" t="n">
        <f aca="false">C92*C21*8760*3600/1000000</f>
        <v>26455372776.1676</v>
      </c>
      <c r="D95" s="56" t="n">
        <f aca="false">D92*D21*8760*3600/1000000</f>
        <v>16788818264.2986</v>
      </c>
      <c r="E95" s="56" t="n">
        <f aca="false">E92*E21*8760*3600/1000000</f>
        <v>15489571350.0915</v>
      </c>
      <c r="F95" s="56" t="n">
        <f aca="false">F92*F21*8760*3600/1000000</f>
        <v>16788818264.2986</v>
      </c>
      <c r="G95" s="56" t="n">
        <f aca="false">G92*G21*8760*3600/1000000</f>
        <v>34626656287.1024</v>
      </c>
      <c r="H95" s="56" t="n">
        <f aca="false">H92*H21*8760*3600/1000000</f>
        <v>16788818264.2986</v>
      </c>
      <c r="I95" s="56" t="n">
        <f aca="false">I92*I21*8760*3600/1000000</f>
        <v>28556853790.0765</v>
      </c>
      <c r="J95" s="56" t="n">
        <f aca="false">J92*J21*8760*3600/1000000</f>
        <v>16788818264.2986</v>
      </c>
      <c r="K95" s="56" t="n">
        <f aca="false">K92*K21*8760*3600/1000000</f>
        <v>22617531951.1357</v>
      </c>
      <c r="L95" s="56" t="n">
        <f aca="false">L92*L21*8760*3600/1000000</f>
        <v>16788818264.2986</v>
      </c>
      <c r="M95" s="56" t="n">
        <f aca="false">M92*M21*8760*3600/1000000</f>
        <v>37793389680.2394</v>
      </c>
      <c r="N95" s="56" t="n">
        <f aca="false">N92*N21*8760*3600/1000000</f>
        <v>16788818264.2986</v>
      </c>
      <c r="O95" s="56" t="n">
        <f aca="false">O92*O21*8760*3600/1000000</f>
        <v>29664813314.0792</v>
      </c>
      <c r="P95" s="56" t="n">
        <f aca="false">P92*P21*8760*3600/1000000</f>
        <v>19977785910.3718</v>
      </c>
      <c r="Q95" s="56" t="n">
        <f aca="false">Q92*Q21*8760*3600/1000000</f>
        <v>21348794040.2267</v>
      </c>
      <c r="R95" s="56" t="n">
        <f aca="false">R92*R21*8760*3600/1000000</f>
        <v>11467742545.5766</v>
      </c>
      <c r="S95" s="56" t="n">
        <f aca="false">S92*S21*8760*3600/1000000</f>
        <v>22328112941.2623</v>
      </c>
      <c r="T95" s="56" t="n">
        <f aca="false">T92*T21*8760*3600/1000000</f>
        <v>13585282933.6408</v>
      </c>
      <c r="U95" s="56" t="n">
        <f aca="false">U92*U21*8760*3600/1000000</f>
        <v>30704921828.0025</v>
      </c>
      <c r="V95" s="56" t="n">
        <f aca="false">V92*V21*8760*3600/1000000</f>
        <v>20068402701.8743</v>
      </c>
      <c r="W95" s="56" t="n">
        <f aca="false">W92*W21*8760*3600/1000000</f>
        <v>34484696025.0658</v>
      </c>
      <c r="X95" s="56" t="n">
        <f aca="false">X92*X21*8760*3600/1000000</f>
        <v>21215581914.162</v>
      </c>
      <c r="Y95" s="56" t="n">
        <f aca="false">Y92*Y21*8760*3600/1000000</f>
        <v>13881175806.6399</v>
      </c>
      <c r="Z95" s="56" t="n">
        <f aca="false">Z92*Z21*8760*3600/1000000</f>
        <v>9266187887.96131</v>
      </c>
      <c r="AA95" s="56" t="n">
        <f aca="false">AA92*AA21*8760*3600/1000000</f>
        <v>16235576285.9799</v>
      </c>
      <c r="AB95" s="56" t="n">
        <f aca="false">AB92*AB21*8760*3600/1000000</f>
        <v>9981042079.53889</v>
      </c>
      <c r="AC95" s="56" t="n">
        <f aca="false">AC92*AC21*8760*3600/1000000</f>
        <v>5739030978.13754</v>
      </c>
      <c r="AD95" s="56" t="n">
        <f aca="false">AD92*AD21*8760*3600/1000000</f>
        <v>2706487158.23423</v>
      </c>
      <c r="AE95" s="56" t="n">
        <f aca="false">AE92*AE21*8760*3600/1000000</f>
        <v>5739030978.13754</v>
      </c>
      <c r="AF95" s="56" t="n">
        <f aca="false">AF92*AF21*8760*3600/1000000</f>
        <v>2706487158.23423</v>
      </c>
      <c r="AG95" s="56" t="n">
        <f aca="false">AG92*AG21*8760*3600/1000000</f>
        <v>5739030978.13754</v>
      </c>
      <c r="AH95" s="56" t="n">
        <f aca="false">AH92*AH21*8760*3600/1000000</f>
        <v>2706487158.23423</v>
      </c>
    </row>
    <row r="96" customFormat="false" ht="15" hidden="false" customHeight="false" outlineLevel="0" collapsed="false">
      <c r="A96" s="72" t="s">
        <v>556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</row>
    <row r="97" customFormat="false" ht="15" hidden="false" customHeight="false" outlineLevel="0" collapsed="false">
      <c r="A97" s="44" t="s">
        <v>557</v>
      </c>
      <c r="B97" s="45" t="s">
        <v>558</v>
      </c>
      <c r="C97" s="55" t="n">
        <f aca="false">1000000/C71</f>
        <v>12.6959667687619</v>
      </c>
      <c r="D97" s="55" t="n">
        <f aca="false">1000000/D71</f>
        <v>29.6239224604444</v>
      </c>
      <c r="E97" s="55" t="n">
        <f aca="false">1000000/E71</f>
        <v>12.6959667687619</v>
      </c>
      <c r="F97" s="55" t="n">
        <f aca="false">1000000/F71</f>
        <v>29.6239224604444</v>
      </c>
      <c r="G97" s="55" t="n">
        <f aca="false">1000000/G71</f>
        <v>12.6959667687619</v>
      </c>
      <c r="H97" s="55" t="n">
        <f aca="false">1000000/H71</f>
        <v>29.6239224604444</v>
      </c>
      <c r="I97" s="55" t="n">
        <f aca="false">1000000/I71</f>
        <v>12.6959667687619</v>
      </c>
      <c r="J97" s="55" t="n">
        <f aca="false">1000000/J71</f>
        <v>29.6239224604444</v>
      </c>
      <c r="K97" s="55" t="n">
        <f aca="false">1000000/K71</f>
        <v>12.6959667687619</v>
      </c>
      <c r="L97" s="55" t="n">
        <f aca="false">1000000/L71</f>
        <v>29.6239224604444</v>
      </c>
      <c r="M97" s="55" t="n">
        <f aca="false">1000000/M71</f>
        <v>8.88717673813333</v>
      </c>
      <c r="N97" s="55" t="n">
        <f aca="false">1000000/N71</f>
        <v>29.6239224604444</v>
      </c>
      <c r="O97" s="55" t="n">
        <f aca="false">1000000/O71</f>
        <v>12.6959667687619</v>
      </c>
      <c r="P97" s="55" t="n">
        <f aca="false">1000000/P71</f>
        <v>29.6239224604444</v>
      </c>
      <c r="Q97" s="55" t="n">
        <f aca="false">1000000/Q71</f>
        <v>12.6959667687619</v>
      </c>
      <c r="R97" s="55" t="n">
        <f aca="false">1000000/R71</f>
        <v>29.6239224604444</v>
      </c>
      <c r="S97" s="55" t="n">
        <f aca="false">1000000/S71</f>
        <v>12.6959667687619</v>
      </c>
      <c r="T97" s="55" t="n">
        <f aca="false">1000000/T71</f>
        <v>29.6239224604444</v>
      </c>
      <c r="U97" s="55" t="n">
        <f aca="false">1000000/U71</f>
        <v>12.6959667687619</v>
      </c>
      <c r="V97" s="55" t="n">
        <f aca="false">1000000/V71</f>
        <v>29.6239224604444</v>
      </c>
      <c r="W97" s="55" t="n">
        <f aca="false">1000000/W71</f>
        <v>11.0024665965714</v>
      </c>
      <c r="X97" s="55" t="n">
        <f aca="false">1000000/X71</f>
        <v>25.6724220586667</v>
      </c>
      <c r="Y97" s="55" t="n">
        <f aca="false">1000000/Y71</f>
        <v>12.8421682224762</v>
      </c>
      <c r="Z97" s="55" t="n">
        <f aca="false">1000000/Z71</f>
        <v>29.9650591857778</v>
      </c>
      <c r="AA97" s="55" t="n">
        <f aca="false">1000000/AA71</f>
        <v>18.1370953839456</v>
      </c>
      <c r="AB97" s="55" t="n">
        <f aca="false">1000000/AB71</f>
        <v>42.3198892292063</v>
      </c>
      <c r="AC97" s="55" t="n">
        <f aca="false">1000000/AC71</f>
        <v>41.9552987428571</v>
      </c>
      <c r="AD97" s="55" t="n">
        <f aca="false">1000000/AD71</f>
        <v>97.8956970666667</v>
      </c>
      <c r="AE97" s="55" t="n">
        <f aca="false">1000000/AE71</f>
        <v>41.9552987428571</v>
      </c>
      <c r="AF97" s="55" t="n">
        <f aca="false">1000000/AF71</f>
        <v>97.8956970666667</v>
      </c>
      <c r="AG97" s="55" t="n">
        <f aca="false">1000000/AG71</f>
        <v>41.9552987428571</v>
      </c>
      <c r="AH97" s="55" t="n">
        <f aca="false">1000000/AH71</f>
        <v>97.8956970666667</v>
      </c>
    </row>
    <row r="98" customFormat="false" ht="15" hidden="false" customHeight="false" outlineLevel="0" collapsed="false">
      <c r="A98" s="44" t="s">
        <v>559</v>
      </c>
      <c r="B98" s="45" t="s">
        <v>558</v>
      </c>
      <c r="C98" s="97" t="n">
        <f aca="false">1000000*C30/(C58*1000000000000)</f>
        <v>0.03965</v>
      </c>
      <c r="D98" s="97" t="n">
        <f aca="false">1000000*D30/(D58*1000000000000)</f>
        <v>0.03965</v>
      </c>
      <c r="E98" s="97" t="n">
        <f aca="false">1000000*E30/(E58*1000000000000)</f>
        <v>0.03965</v>
      </c>
      <c r="F98" s="97" t="n">
        <f aca="false">1000000*F30/(F58*1000000000000)</f>
        <v>0.03965</v>
      </c>
      <c r="G98" s="97" t="n">
        <f aca="false">1000000*G30/(G58*1000000000000)</f>
        <v>0.03965</v>
      </c>
      <c r="H98" s="97" t="n">
        <f aca="false">1000000*H30/(H58*1000000000000)</f>
        <v>0.03965</v>
      </c>
      <c r="I98" s="97" t="n">
        <f aca="false">1000000*I30/(I58*1000000000000)</f>
        <v>0.03965</v>
      </c>
      <c r="J98" s="97" t="n">
        <f aca="false">1000000*J30/(J58*1000000000000)</f>
        <v>0.03965</v>
      </c>
      <c r="K98" s="97" t="n">
        <f aca="false">1000000*K30/(K58*1000000000000)</f>
        <v>0.03965</v>
      </c>
      <c r="L98" s="97" t="n">
        <f aca="false">1000000*L30/(L58*1000000000000)</f>
        <v>0.03965</v>
      </c>
      <c r="M98" s="97" t="n">
        <f aca="false">1000000*M30/(M58*1000000000000)</f>
        <v>0.03965</v>
      </c>
      <c r="N98" s="97" t="n">
        <f aca="false">1000000*N30/(N58*1000000000000)</f>
        <v>0.03965</v>
      </c>
      <c r="O98" s="97" t="n">
        <f aca="false">1000000*O30/(O58*1000000000000)</f>
        <v>0.03965</v>
      </c>
      <c r="P98" s="97" t="n">
        <f aca="false">1000000*P30/(P58*1000000000000)</f>
        <v>0.03965</v>
      </c>
      <c r="Q98" s="97" t="n">
        <f aca="false">1000000*Q30/(Q58*1000000000000)</f>
        <v>0.03965</v>
      </c>
      <c r="R98" s="97" t="n">
        <f aca="false">1000000*R30/(R58*1000000000000)</f>
        <v>0.03965</v>
      </c>
      <c r="S98" s="97" t="n">
        <f aca="false">1000000*S30/(S58*1000000000000)</f>
        <v>0.03965</v>
      </c>
      <c r="T98" s="97" t="n">
        <f aca="false">1000000*T30/(T58*1000000000000)</f>
        <v>0.03965</v>
      </c>
      <c r="U98" s="97" t="n">
        <f aca="false">1000000*U30/(U58*1000000000000)</f>
        <v>0.03965</v>
      </c>
      <c r="V98" s="97" t="n">
        <f aca="false">1000000*V30/(V58*1000000000000)</f>
        <v>0.03965</v>
      </c>
      <c r="W98" s="97" t="n">
        <f aca="false">1000000*W30/(W58*1000000000000)</f>
        <v>0.03965</v>
      </c>
      <c r="X98" s="97" t="n">
        <f aca="false">1000000*X30/(X58*1000000000000)</f>
        <v>0.03965</v>
      </c>
      <c r="Y98" s="97" t="n">
        <f aca="false">1000000*Y30/(Y58*1000000000000)</f>
        <v>0.03965</v>
      </c>
      <c r="Z98" s="97" t="n">
        <f aca="false">1000000*Z30/(Z58*1000000000000)</f>
        <v>0.03965</v>
      </c>
      <c r="AA98" s="97" t="n">
        <f aca="false">1000000*AA30/(AA58*1000000000000)</f>
        <v>0.03965</v>
      </c>
      <c r="AB98" s="97" t="n">
        <f aca="false">1000000*AB30/(AB58*1000000000000)</f>
        <v>0.03965</v>
      </c>
      <c r="AC98" s="97" t="n">
        <f aca="false">1000000*AC30/(AC58*1000000000000)</f>
        <v>0.14976</v>
      </c>
      <c r="AD98" s="97" t="n">
        <f aca="false">1000000*AD30/(AD58*1000000000000)</f>
        <v>0.14976</v>
      </c>
      <c r="AE98" s="97" t="n">
        <f aca="false">1000000*AE30/(AE58*1000000000000)</f>
        <v>0.576</v>
      </c>
      <c r="AF98" s="97" t="n">
        <f aca="false">1000000*AF30/(AF58*1000000000000)</f>
        <v>0.576</v>
      </c>
      <c r="AG98" s="97" t="n">
        <f aca="false">1000000*AG30/(AG58*1000000000000)</f>
        <v>2.048</v>
      </c>
      <c r="AH98" s="97" t="n">
        <f aca="false">1000000*AH30/(AH58*1000000000000)</f>
        <v>2.048</v>
      </c>
    </row>
    <row r="99" customFormat="false" ht="15" hidden="false" customHeight="false" outlineLevel="0" collapsed="false">
      <c r="A99" s="45" t="s">
        <v>560</v>
      </c>
      <c r="B99" s="45" t="s">
        <v>558</v>
      </c>
      <c r="C99" s="55" t="n">
        <f aca="false">IF(C84&gt;0,1000000/C84,0)</f>
        <v>246.204299222583</v>
      </c>
      <c r="D99" s="55" t="n">
        <f aca="false">IF(D84&gt;0,1000000/D84,0)</f>
        <v>671.174105222717</v>
      </c>
      <c r="E99" s="55" t="n">
        <f aca="false">IF(E84&gt;0,1000000/E84,0)</f>
        <v>492.408598445166</v>
      </c>
      <c r="F99" s="55" t="n">
        <f aca="false">IF(F84&gt;0,1000000/F84,0)</f>
        <v>671.174105222717</v>
      </c>
      <c r="G99" s="55" t="n">
        <f aca="false">IF(G84&gt;0,1000000/G84,0)</f>
        <v>164.136199481722</v>
      </c>
      <c r="H99" s="55" t="n">
        <f aca="false">IF(H84&gt;0,1000000/H84,0)</f>
        <v>671.174105222717</v>
      </c>
      <c r="I99" s="55" t="n">
        <f aca="false">IF(I84&gt;0,1000000/I84,0)</f>
        <v>220.611972747349</v>
      </c>
      <c r="J99" s="55" t="n">
        <f aca="false">IF(J84&gt;0,1000000/J84,0)</f>
        <v>671.174105222717</v>
      </c>
      <c r="K99" s="55" t="n">
        <f aca="false">IF(K84&gt;0,1000000/K84,0)</f>
        <v>305.215764769114</v>
      </c>
      <c r="L99" s="55" t="n">
        <f aca="false">IF(L84&gt;0,1000000/L84,0)</f>
        <v>671.174105222717</v>
      </c>
      <c r="M99" s="55" t="n">
        <f aca="false">IF(M84&gt;0,1000000/M84,0)</f>
        <v>172.343009455808</v>
      </c>
      <c r="N99" s="55" t="n">
        <f aca="false">IF(N84&gt;0,1000000/N84,0)</f>
        <v>671.174105222717</v>
      </c>
      <c r="O99" s="55" t="n">
        <f aca="false">IF(O84&gt;0,1000000/O84,0)</f>
        <v>208.57879151954</v>
      </c>
      <c r="P99" s="55" t="n">
        <f aca="false">IF(P84&gt;0,1000000/P84,0)</f>
        <v>526.207572813191</v>
      </c>
      <c r="Q99" s="55" t="n">
        <f aca="false">IF(Q84&gt;0,1000000/Q84,0)</f>
        <v>329.390509517626</v>
      </c>
      <c r="R99" s="55" t="n">
        <f aca="false">IF(R84&gt;0,1000000/R84,0)</f>
        <v>1092.56630958295</v>
      </c>
      <c r="S99" s="55" t="n">
        <f aca="false">IF(S84&gt;0,1000000/S84,0)</f>
        <v>310.488529099881</v>
      </c>
      <c r="T99" s="55" t="n">
        <f aca="false">IF(T84&gt;0,1000000/T84,0)</f>
        <v>885.327923821289</v>
      </c>
      <c r="U99" s="55" t="n">
        <f aca="false">IF(U84&gt;0,1000000/U84,0)</f>
        <v>198.072787181873</v>
      </c>
      <c r="V99" s="55" t="n">
        <f aca="false">IF(V84&gt;0,1000000/V84,0)</f>
        <v>522.761427079486</v>
      </c>
      <c r="W99" s="55" t="n">
        <f aca="false">IF(W84&gt;0,1000000/W84,0)</f>
        <v>244.792801584989</v>
      </c>
      <c r="X99" s="55" t="n">
        <f aca="false">IF(X84&gt;0,1000000/X84,0)</f>
        <v>667.326241205203</v>
      </c>
      <c r="Y99" s="55" t="n">
        <f aca="false">IF(Y84&gt;0,1000000/Y84,0)</f>
        <v>251.850289772958</v>
      </c>
      <c r="Z99" s="55" t="n">
        <f aca="false">IF(Z84&gt;0,1000000/Z84,0)</f>
        <v>686.565561292775</v>
      </c>
      <c r="AA99" s="55" t="n">
        <f aca="false">IF(AA84&gt;0,1000000/AA84,0)</f>
        <v>421.587081218271</v>
      </c>
      <c r="AB99" s="55" t="n">
        <f aca="false">IF(AB84&gt;0,1000000/AB84,0)</f>
        <v>1189.03942332274</v>
      </c>
      <c r="AC99" s="55" t="n">
        <f aca="false">IF(AC84&gt;0,1000000/AC84,0)</f>
        <v>1267.49214950265</v>
      </c>
      <c r="AD99" s="55" t="n">
        <f aca="false">IF(AD84&gt;0,1000000/AD84,0)</f>
        <v>4850.34546142314</v>
      </c>
      <c r="AE99" s="55" t="n">
        <f aca="false">IF(AE84&gt;0,1000000/AE84,0)</f>
        <v>1267.49214950265</v>
      </c>
      <c r="AF99" s="55" t="n">
        <f aca="false">IF(AF84&gt;0,1000000/AF84,0)</f>
        <v>4850.34546142314</v>
      </c>
      <c r="AG99" s="55" t="n">
        <f aca="false">IF(AG84&gt;0,1000000/AG84,0)</f>
        <v>1267.49214950265</v>
      </c>
      <c r="AH99" s="55" t="n">
        <f aca="false">IF(AH84&gt;0,1000000/AH84,0)</f>
        <v>4850.34546142314</v>
      </c>
    </row>
    <row r="100" customFormat="false" ht="15" hidden="false" customHeight="false" outlineLevel="0" collapsed="false">
      <c r="A100" s="44" t="s">
        <v>561</v>
      </c>
      <c r="B100" s="45" t="s">
        <v>562</v>
      </c>
      <c r="C100" s="98" t="n">
        <f aca="false">INDEX(DC_Cost!$C$58:$Q$58,3*(C$6-1)+2)/3600*C97</f>
        <v>0.0166341950428717</v>
      </c>
      <c r="D100" s="98" t="n">
        <f aca="false">INDEX(DC_Cost!$C$58:$Q$58,3*(D$6-1)+2)/3600*D97</f>
        <v>0.0245838472139196</v>
      </c>
      <c r="E100" s="98" t="n">
        <f aca="false">INDEX(DC_Cost!$C$58:$Q$58,3*(E$6-1)+2)/3600*E97</f>
        <v>0.0166341950428717</v>
      </c>
      <c r="F100" s="98" t="n">
        <f aca="false">INDEX(DC_Cost!$C$58:$Q$58,3*(F$6-1)+2)/3600*F97</f>
        <v>0.0245838472139196</v>
      </c>
      <c r="G100" s="98" t="n">
        <f aca="false">INDEX(DC_Cost!$C$58:$Q$58,3*(G$6-1)+2)/3600*G97</f>
        <v>0.0166341950428717</v>
      </c>
      <c r="H100" s="98" t="n">
        <f aca="false">INDEX(DC_Cost!$C$58:$Q$58,3*(H$6-1)+2)/3600*H97</f>
        <v>0.0245838472139196</v>
      </c>
      <c r="I100" s="98" t="n">
        <f aca="false">INDEX(DC_Cost!$C$58:$Q$58,3*(I$6-1)+2)/3600*I97</f>
        <v>0.0166341950428717</v>
      </c>
      <c r="J100" s="98" t="n">
        <f aca="false">INDEX(DC_Cost!$C$58:$Q$58,3*(J$6-1)+2)/3600*J97</f>
        <v>0.0245838472139196</v>
      </c>
      <c r="K100" s="98" t="n">
        <f aca="false">INDEX(DC_Cost!$C$58:$Q$58,3*(K$6-1)+2)/3600*K97</f>
        <v>0.0166341950428717</v>
      </c>
      <c r="L100" s="98" t="n">
        <f aca="false">INDEX(DC_Cost!$C$58:$Q$58,3*(L$6-1)+2)/3600*L97</f>
        <v>0.0245838472139196</v>
      </c>
      <c r="M100" s="98" t="n">
        <f aca="false">INDEX(DC_Cost!$C$58:$Q$58,3*(M$6-1)+2)/3600*M97</f>
        <v>0.0116439365300102</v>
      </c>
      <c r="N100" s="98" t="n">
        <f aca="false">INDEX(DC_Cost!$C$58:$Q$58,3*(N$6-1)+2)/3600*N97</f>
        <v>0.0245838472139196</v>
      </c>
      <c r="O100" s="98" t="n">
        <f aca="false">INDEX(DC_Cost!$C$58:$Q$58,3*(O$6-1)+2)/3600*O97</f>
        <v>0.0166341950428717</v>
      </c>
      <c r="P100" s="98" t="n">
        <f aca="false">INDEX(DC_Cost!$C$58:$Q$58,3*(P$6-1)+2)/3600*P97</f>
        <v>0.0245838472139196</v>
      </c>
      <c r="Q100" s="98" t="n">
        <f aca="false">INDEX(DC_Cost!$C$58:$Q$58,3*(Q$6-1)+2)/3600*Q97</f>
        <v>0.0166341950428717</v>
      </c>
      <c r="R100" s="98" t="n">
        <f aca="false">INDEX(DC_Cost!$C$58:$Q$58,3*(R$6-1)+2)/3600*R97</f>
        <v>0.0245838472139196</v>
      </c>
      <c r="S100" s="98" t="n">
        <f aca="false">INDEX(DC_Cost!$C$58:$Q$58,3*(S$6-1)+2)/3600*S97</f>
        <v>0.0166341950428717</v>
      </c>
      <c r="T100" s="98" t="n">
        <f aca="false">INDEX(DC_Cost!$C$58:$Q$58,3*(T$6-1)+2)/3600*T97</f>
        <v>0.0245838472139196</v>
      </c>
      <c r="U100" s="98" t="n">
        <f aca="false">INDEX(DC_Cost!$C$58:$Q$58,3*(U$6-1)+2)/3600*U97</f>
        <v>0.0166341950428717</v>
      </c>
      <c r="V100" s="98" t="n">
        <f aca="false">INDEX(DC_Cost!$C$58:$Q$58,3*(V$6-1)+2)/3600*V97</f>
        <v>0.0245838472139196</v>
      </c>
      <c r="W100" s="98" t="n">
        <f aca="false">INDEX(DC_Cost!$C$58:$Q$58,3*(W$6-1)+2)/3600*W97</f>
        <v>0.0144153792029732</v>
      </c>
      <c r="X100" s="98" t="n">
        <f aca="false">INDEX(DC_Cost!$C$58:$Q$58,3*(X$6-1)+2)/3600*X97</f>
        <v>0.0213046365600044</v>
      </c>
      <c r="Y100" s="98" t="n">
        <f aca="false">INDEX(DC_Cost!$C$58:$Q$58,3*(Y$6-1)+2)/3600*Y97</f>
        <v>0.0168257474894816</v>
      </c>
      <c r="Z100" s="98" t="n">
        <f aca="false">INDEX(DC_Cost!$C$58:$Q$58,3*(Z$6-1)+2)/3600*Z97</f>
        <v>0.0248669445365598</v>
      </c>
      <c r="AA100" s="98" t="n">
        <f aca="false">INDEX(DC_Cost!$C$58:$Q$58,3*(AA$6-1)+2)/3600*AA97</f>
        <v>0.023763135775531</v>
      </c>
      <c r="AB100" s="98" t="n">
        <f aca="false">INDEX(DC_Cost!$C$58:$Q$58,3*(AB$6-1)+2)/3600*AB97</f>
        <v>0.0351197817341708</v>
      </c>
      <c r="AC100" s="98" t="n">
        <f aca="false">INDEX(DC_Cost!$C$58:$Q$58,3*(AC$6-1)+2)/3600*AC97</f>
        <v>0.054969632095114</v>
      </c>
      <c r="AD100" s="98" t="n">
        <f aca="false">INDEX(DC_Cost!$C$58:$Q$58,3*(AD$6-1)+2)/3600*AD97</f>
        <v>0.0812401822479987</v>
      </c>
      <c r="AE100" s="98" t="n">
        <f aca="false">INDEX(DC_Cost!$C$58:$Q$58,3*(AE$6-1)+2)/3600*AE97</f>
        <v>0.054969632095114</v>
      </c>
      <c r="AF100" s="98" t="n">
        <f aca="false">INDEX(DC_Cost!$C$58:$Q$58,3*(AF$6-1)+2)/3600*AF97</f>
        <v>0.0812401822479987</v>
      </c>
      <c r="AG100" s="98" t="n">
        <f aca="false">INDEX(DC_Cost!$C$58:$Q$58,3*(AG$6-1)+2)/3600*AG97</f>
        <v>0.054969632095114</v>
      </c>
      <c r="AH100" s="98" t="n">
        <f aca="false">INDEX(DC_Cost!$C$58:$Q$58,3*(AH$6-1)+2)/3600*AH97</f>
        <v>0.0812401822479987</v>
      </c>
    </row>
    <row r="101" customFormat="false" ht="15" hidden="false" customHeight="false" outlineLevel="0" collapsed="false">
      <c r="A101" s="44" t="s">
        <v>563</v>
      </c>
      <c r="B101" s="45" t="s">
        <v>562</v>
      </c>
      <c r="C101" s="98" t="n">
        <f aca="false">IF(C99&gt;0,INDEX(DC_Cost!$C$58:$Q$58,3*(C$6-1)+2)/3600*C99,0)</f>
        <v>0.32257569732607</v>
      </c>
      <c r="D101" s="98" t="n">
        <f aca="false">IF(D99&gt;0,INDEX(DC_Cost!$C$58:$Q$58,3*(D$6-1)+2)/3600*D99,0)</f>
        <v>0.556983690420006</v>
      </c>
      <c r="E101" s="98" t="n">
        <f aca="false">IF(E99&gt;0,INDEX(DC_Cost!$C$58:$Q$58,3*(E$6-1)+2)/3600*E99,0)</f>
        <v>0.64515139465214</v>
      </c>
      <c r="F101" s="98" t="n">
        <f aca="false">IF(F99&gt;0,INDEX(DC_Cost!$C$58:$Q$58,3*(F$6-1)+2)/3600*F99,0)</f>
        <v>0.556983690420006</v>
      </c>
      <c r="G101" s="98" t="n">
        <f aca="false">IF(G99&gt;0,INDEX(DC_Cost!$C$58:$Q$58,3*(G$6-1)+2)/3600*G99,0)</f>
        <v>0.215050464884047</v>
      </c>
      <c r="H101" s="98" t="n">
        <f aca="false">IF(H99&gt;0,INDEX(DC_Cost!$C$58:$Q$58,3*(H$6-1)+2)/3600*H99,0)</f>
        <v>0.556983690420006</v>
      </c>
      <c r="I101" s="98" t="n">
        <f aca="false">IF(I99&gt;0,INDEX(DC_Cost!$C$58:$Q$58,3*(I$6-1)+2)/3600*I99,0)</f>
        <v>0.289044753370125</v>
      </c>
      <c r="J101" s="98" t="n">
        <f aca="false">IF(J99&gt;0,INDEX(DC_Cost!$C$58:$Q$58,3*(J$6-1)+2)/3600*J99,0)</f>
        <v>0.556983690420006</v>
      </c>
      <c r="K101" s="98" t="n">
        <f aca="false">IF(K99&gt;0,INDEX(DC_Cost!$C$58:$Q$58,3*(K$6-1)+2)/3600*K99,0)</f>
        <v>0.399892237731794</v>
      </c>
      <c r="L101" s="98" t="n">
        <f aca="false">IF(L99&gt;0,INDEX(DC_Cost!$C$58:$Q$58,3*(L$6-1)+2)/3600*L99,0)</f>
        <v>0.556983690420006</v>
      </c>
      <c r="M101" s="98" t="n">
        <f aca="false">IF(M99&gt;0,INDEX(DC_Cost!$C$58:$Q$58,3*(M$6-1)+2)/3600*M99,0)</f>
        <v>0.225802988128249</v>
      </c>
      <c r="N101" s="98" t="n">
        <f aca="false">IF(N99&gt;0,INDEX(DC_Cost!$C$58:$Q$58,3*(N$6-1)+2)/3600*N99,0)</f>
        <v>0.556983690420006</v>
      </c>
      <c r="O101" s="98" t="n">
        <f aca="false">IF(O99&gt;0,INDEX(DC_Cost!$C$58:$Q$58,3*(O$6-1)+2)/3600*O99,0)</f>
        <v>0.273278936778506</v>
      </c>
      <c r="P101" s="98" t="n">
        <f aca="false">IF(P99&gt;0,INDEX(DC_Cost!$C$58:$Q$58,3*(P$6-1)+2)/3600*P99,0)</f>
        <v>0.436681084016478</v>
      </c>
      <c r="Q101" s="98" t="n">
        <f aca="false">IF(Q99&gt;0,INDEX(DC_Cost!$C$58:$Q$58,3*(Q$6-1)+2)/3600*Q99,0)</f>
        <v>0.431565872877705</v>
      </c>
      <c r="R101" s="98" t="n">
        <f aca="false">IF(R99&gt;0,INDEX(DC_Cost!$C$58:$Q$58,3*(R$6-1)+2)/3600*R99,0)</f>
        <v>0.906682201242171</v>
      </c>
      <c r="S101" s="98" t="n">
        <f aca="false">IF(S99&gt;0,INDEX(DC_Cost!$C$58:$Q$58,3*(S$6-1)+2)/3600*S99,0)</f>
        <v>0.406800588382874</v>
      </c>
      <c r="T101" s="98" t="n">
        <f aca="false">IF(T99&gt;0,INDEX(DC_Cost!$C$58:$Q$58,3*(T$6-1)+2)/3600*T99,0)</f>
        <v>0.734702382593013</v>
      </c>
      <c r="U101" s="98" t="n">
        <f aca="false">IF(U99&gt;0,INDEX(DC_Cost!$C$58:$Q$58,3*(U$6-1)+2)/3600*U99,0)</f>
        <v>0.259514020056764</v>
      </c>
      <c r="V101" s="98" t="n">
        <f aca="false">IF(V99&gt;0,INDEX(DC_Cost!$C$58:$Q$58,3*(V$6-1)+2)/3600*V99,0)</f>
        <v>0.433821249357261</v>
      </c>
      <c r="W101" s="98" t="n">
        <f aca="false">IF(W99&gt;0,INDEX(DC_Cost!$C$58:$Q$58,3*(W$6-1)+2)/3600*W99,0)</f>
        <v>0.320726359860564</v>
      </c>
      <c r="X101" s="98" t="n">
        <f aca="false">IF(X99&gt;0,INDEX(DC_Cost!$C$58:$Q$58,3*(X$6-1)+2)/3600*X99,0)</f>
        <v>0.553790483941937</v>
      </c>
      <c r="Y101" s="98" t="n">
        <f aca="false">IF(Y99&gt;0,INDEX(DC_Cost!$C$58:$Q$58,3*(Y$6-1)+2)/3600*Y99,0)</f>
        <v>0.329973047188093</v>
      </c>
      <c r="Z101" s="98" t="n">
        <f aca="false">IF(Z99&gt;0,INDEX(DC_Cost!$C$58:$Q$58,3*(Z$6-1)+2)/3600*Z99,0)</f>
        <v>0.569756516332283</v>
      </c>
      <c r="AA101" s="98" t="n">
        <f aca="false">IF(AA99&gt;0,INDEX(DC_Cost!$C$58:$Q$58,3*(AA$6-1)+2)/3600*AA99,0)</f>
        <v>0.552361380922517</v>
      </c>
      <c r="AB101" s="98" t="n">
        <f aca="false">IF(AB99&gt;0,INDEX(DC_Cost!$C$58:$Q$58,3*(AB$6-1)+2)/3600*AB99,0)</f>
        <v>0.986741831819349</v>
      </c>
      <c r="AC101" s="98" t="n">
        <f aca="false">IF(AC99&gt;0,INDEX(DC_Cost!$C$58:$Q$58,3*(AC$6-1)+2)/3600*AC99,0)</f>
        <v>1.66066216257053</v>
      </c>
      <c r="AD101" s="98" t="n">
        <f aca="false">IF(AD99&gt;0,INDEX(DC_Cost!$C$58:$Q$58,3*(AD$6-1)+2)/3600*AD99,0)</f>
        <v>4.02513043023155</v>
      </c>
      <c r="AE101" s="98" t="n">
        <f aca="false">IF(AE99&gt;0,INDEX(DC_Cost!$C$58:$Q$58,3*(AE$6-1)+2)/3600*AE99,0)</f>
        <v>1.66066216257053</v>
      </c>
      <c r="AF101" s="98" t="n">
        <f aca="false">IF(AF99&gt;0,INDEX(DC_Cost!$C$58:$Q$58,3*(AF$6-1)+2)/3600*AF99,0)</f>
        <v>4.02513043023155</v>
      </c>
      <c r="AG101" s="98" t="n">
        <f aca="false">IF(AG99&gt;0,INDEX(DC_Cost!$C$58:$Q$58,3*(AG$6-1)+2)/3600*AG99,0)</f>
        <v>1.66066216257053</v>
      </c>
      <c r="AH101" s="98" t="n">
        <f aca="false">IF(AH99&gt;0,INDEX(DC_Cost!$C$58:$Q$58,3*(AH$6-1)+2)/3600*AH99,0)</f>
        <v>4.02513043023155</v>
      </c>
    </row>
    <row r="102" customFormat="false" ht="15" hidden="false" customHeight="false" outlineLevel="0" collapsed="false">
      <c r="A102" s="72" t="s">
        <v>564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</row>
    <row r="103" customFormat="false" ht="15" hidden="false" customHeight="false" outlineLevel="0" collapsed="false">
      <c r="A103" s="44" t="s">
        <v>565</v>
      </c>
      <c r="B103" s="45" t="s">
        <v>566</v>
      </c>
      <c r="C103" s="99" t="n">
        <f aca="false">C19*Energy!$C$5/(C10*1000000000000000)*1000000000000</f>
        <v>0.0308571428571429</v>
      </c>
      <c r="D103" s="99" t="n">
        <f aca="false">D19*Energy!$C$5/(D10*1000000000000000)*1000000000000</f>
        <v>0.056</v>
      </c>
      <c r="E103" s="99" t="n">
        <f aca="false">E19*Energy!$C$5/(E10*1000000000000000)*1000000000000</f>
        <v>0.0308571428571429</v>
      </c>
      <c r="F103" s="99" t="n">
        <f aca="false">F19*Energy!$C$5/(F10*1000000000000000)*1000000000000</f>
        <v>0.056</v>
      </c>
      <c r="G103" s="99" t="n">
        <f aca="false">G19*Energy!$C$5/(G10*1000000000000000)*1000000000000</f>
        <v>0.0308571428571429</v>
      </c>
      <c r="H103" s="99" t="n">
        <f aca="false">H19*Energy!$C$5/(H10*1000000000000000)*1000000000000</f>
        <v>0.056</v>
      </c>
      <c r="I103" s="99" t="n">
        <f aca="false">I19*Energy!$C$5/(I10*1000000000000000)*1000000000000</f>
        <v>0.0308571428571429</v>
      </c>
      <c r="J103" s="99" t="n">
        <f aca="false">J19*Energy!$C$5/(J10*1000000000000000)*1000000000000</f>
        <v>0.056</v>
      </c>
      <c r="K103" s="99" t="n">
        <f aca="false">K19*Energy!$C$5/(K10*1000000000000000)*1000000000000</f>
        <v>0.0308571428571429</v>
      </c>
      <c r="L103" s="99" t="n">
        <f aca="false">L19*Energy!$C$5/(L10*1000000000000000)*1000000000000</f>
        <v>0.056</v>
      </c>
      <c r="M103" s="99" t="n">
        <f aca="false">M19*Energy!$C$5/(M10*1000000000000000)*1000000000000</f>
        <v>0.0216</v>
      </c>
      <c r="N103" s="99" t="n">
        <f aca="false">N19*Energy!$C$5/(N10*1000000000000000)*1000000000000</f>
        <v>0.056</v>
      </c>
      <c r="O103" s="99" t="n">
        <f aca="false">O19*Energy!$C$5/(O10*1000000000000000)*1000000000000</f>
        <v>0.0308571428571429</v>
      </c>
      <c r="P103" s="99" t="n">
        <f aca="false">P19*Energy!$C$5/(P10*1000000000000000)*1000000000000</f>
        <v>0.056</v>
      </c>
      <c r="Q103" s="99" t="n">
        <f aca="false">Q19*Energy!$C$5/(Q10*1000000000000000)*1000000000000</f>
        <v>0.0308571428571429</v>
      </c>
      <c r="R103" s="99" t="n">
        <f aca="false">R19*Energy!$C$5/(R10*1000000000000000)*1000000000000</f>
        <v>0.056</v>
      </c>
      <c r="S103" s="99" t="n">
        <f aca="false">S19*Energy!$C$5/(S10*1000000000000000)*1000000000000</f>
        <v>0.0308571428571429</v>
      </c>
      <c r="T103" s="99" t="n">
        <f aca="false">T19*Energy!$C$5/(T10*1000000000000000)*1000000000000</f>
        <v>0.056</v>
      </c>
      <c r="U103" s="99" t="n">
        <f aca="false">U19*Energy!$C$5/(U10*1000000000000000)*1000000000000</f>
        <v>0.0308571428571429</v>
      </c>
      <c r="V103" s="99" t="n">
        <f aca="false">V19*Energy!$C$5/(V10*1000000000000000)*1000000000000</f>
        <v>0.056</v>
      </c>
      <c r="W103" s="99" t="n">
        <f aca="false">W19*Energy!$C$5/(W10*1000000000000000)*1000000000000</f>
        <v>0.0308571428571429</v>
      </c>
      <c r="X103" s="99" t="n">
        <f aca="false">X19*Energy!$C$5/(X10*1000000000000000)*1000000000000</f>
        <v>0.056</v>
      </c>
      <c r="Y103" s="99" t="n">
        <f aca="false">Y19*Energy!$C$5/(Y10*1000000000000000)*1000000000000</f>
        <v>0.0308571428571429</v>
      </c>
      <c r="Z103" s="99" t="n">
        <f aca="false">Z19*Energy!$C$5/(Z10*1000000000000000)*1000000000000</f>
        <v>0.056</v>
      </c>
      <c r="AA103" s="99" t="n">
        <f aca="false">AA19*Energy!$C$5/(AA10*1000000000000000)*1000000000000</f>
        <v>0.0308571428571429</v>
      </c>
      <c r="AB103" s="99" t="n">
        <f aca="false">AB19*Energy!$C$5/(AB10*1000000000000000)*1000000000000</f>
        <v>0.056</v>
      </c>
      <c r="AC103" s="99" t="n">
        <f aca="false">AC19*Energy!$C$5/(AC10*1000000000000000)*1000000000000</f>
        <v>0.0308571428571429</v>
      </c>
      <c r="AD103" s="99" t="n">
        <f aca="false">AD19*Energy!$C$5/(AD10*1000000000000000)*1000000000000</f>
        <v>0.056</v>
      </c>
      <c r="AE103" s="99" t="n">
        <f aca="false">AE19*Energy!$C$5/(AE10*1000000000000000)*1000000000000</f>
        <v>0.0308571428571429</v>
      </c>
      <c r="AF103" s="99" t="n">
        <f aca="false">AF19*Energy!$C$5/(AF10*1000000000000000)*1000000000000</f>
        <v>0.056</v>
      </c>
      <c r="AG103" s="99" t="n">
        <f aca="false">AG19*Energy!$C$5/(AG10*1000000000000000)*1000000000000</f>
        <v>0.0308571428571429</v>
      </c>
      <c r="AH103" s="99" t="n">
        <f aca="false">AH19*Energy!$C$5/(AH10*1000000000000000)*1000000000000</f>
        <v>0.056</v>
      </c>
    </row>
    <row r="104" customFormat="false" ht="15" hidden="false" customHeight="false" outlineLevel="0" collapsed="false">
      <c r="A104" s="45" t="s">
        <v>567</v>
      </c>
      <c r="B104" s="45" t="s">
        <v>495</v>
      </c>
      <c r="C104" s="82" t="n">
        <f aca="false">IF(C$6=1,Energy!$C$7,Energy!$C$6)</f>
        <v>10</v>
      </c>
      <c r="D104" s="82" t="n">
        <f aca="false">IF(D$6=1,Energy!$C$7,Energy!$C$6)</f>
        <v>10</v>
      </c>
      <c r="E104" s="82" t="n">
        <f aca="false">IF(E$6=1,Energy!$C$7,Energy!$C$6)</f>
        <v>10</v>
      </c>
      <c r="F104" s="82" t="n">
        <f aca="false">IF(F$6=1,Energy!$C$7,Energy!$C$6)</f>
        <v>10</v>
      </c>
      <c r="G104" s="82" t="n">
        <f aca="false">IF(G$6=1,Energy!$C$7,Energy!$C$6)</f>
        <v>10</v>
      </c>
      <c r="H104" s="82" t="n">
        <f aca="false">IF(H$6=1,Energy!$C$7,Energy!$C$6)</f>
        <v>10</v>
      </c>
      <c r="I104" s="82" t="n">
        <f aca="false">IF(I$6=1,Energy!$C$7,Energy!$C$6)</f>
        <v>10</v>
      </c>
      <c r="J104" s="82" t="n">
        <f aca="false">IF(J$6=1,Energy!$C$7,Energy!$C$6)</f>
        <v>10</v>
      </c>
      <c r="K104" s="82" t="n">
        <f aca="false">IF(K$6=1,Energy!$C$7,Energy!$C$6)</f>
        <v>10</v>
      </c>
      <c r="L104" s="82" t="n">
        <f aca="false">IF(L$6=1,Energy!$C$7,Energy!$C$6)</f>
        <v>10</v>
      </c>
      <c r="M104" s="82" t="n">
        <f aca="false">IF(M$6=1,Energy!$C$7,Energy!$C$6)</f>
        <v>10</v>
      </c>
      <c r="N104" s="82" t="n">
        <f aca="false">IF(N$6=1,Energy!$C$7,Energy!$C$6)</f>
        <v>10</v>
      </c>
      <c r="O104" s="82" t="n">
        <f aca="false">IF(O$6=1,Energy!$C$7,Energy!$C$6)</f>
        <v>10</v>
      </c>
      <c r="P104" s="82" t="n">
        <f aca="false">IF(P$6=1,Energy!$C$7,Energy!$C$6)</f>
        <v>10</v>
      </c>
      <c r="Q104" s="82" t="n">
        <f aca="false">IF(Q$6=1,Energy!$C$7,Energy!$C$6)</f>
        <v>10</v>
      </c>
      <c r="R104" s="82" t="n">
        <f aca="false">IF(R$6=1,Energy!$C$7,Energy!$C$6)</f>
        <v>10</v>
      </c>
      <c r="S104" s="82" t="n">
        <f aca="false">IF(S$6=1,Energy!$C$7,Energy!$C$6)</f>
        <v>10</v>
      </c>
      <c r="T104" s="82" t="n">
        <f aca="false">IF(T$6=1,Energy!$C$7,Energy!$C$6)</f>
        <v>10</v>
      </c>
      <c r="U104" s="82" t="n">
        <f aca="false">IF(U$6=1,Energy!$C$7,Energy!$C$6)</f>
        <v>10</v>
      </c>
      <c r="V104" s="82" t="n">
        <f aca="false">IF(V$6=1,Energy!$C$7,Energy!$C$6)</f>
        <v>10</v>
      </c>
      <c r="W104" s="82" t="n">
        <f aca="false">IF(W$6=1,Energy!$C$7,Energy!$C$6)</f>
        <v>10</v>
      </c>
      <c r="X104" s="82" t="n">
        <f aca="false">IF(X$6=1,Energy!$C$7,Energy!$C$6)</f>
        <v>10</v>
      </c>
      <c r="Y104" s="82" t="n">
        <f aca="false">IF(Y$6=1,Energy!$C$7,Energy!$C$6)</f>
        <v>10</v>
      </c>
      <c r="Z104" s="82" t="n">
        <f aca="false">IF(Z$6=1,Energy!$C$7,Energy!$C$6)</f>
        <v>10</v>
      </c>
      <c r="AA104" s="82" t="n">
        <f aca="false">IF(AA$6=1,Energy!$C$7,Energy!$C$6)</f>
        <v>10</v>
      </c>
      <c r="AB104" s="82" t="n">
        <f aca="false">IF(AB$6=1,Energy!$C$7,Energy!$C$6)</f>
        <v>10</v>
      </c>
      <c r="AC104" s="82" t="n">
        <f aca="false">IF(AC$6=1,Energy!$C$7,Energy!$C$6)</f>
        <v>10</v>
      </c>
      <c r="AD104" s="82" t="n">
        <f aca="false">IF(AD$6=1,Energy!$C$7,Energy!$C$6)</f>
        <v>10</v>
      </c>
      <c r="AE104" s="82" t="n">
        <f aca="false">IF(AE$6=1,Energy!$C$7,Energy!$C$6)</f>
        <v>10</v>
      </c>
      <c r="AF104" s="82" t="n">
        <f aca="false">IF(AF$6=1,Energy!$C$7,Energy!$C$6)</f>
        <v>10</v>
      </c>
      <c r="AG104" s="82" t="n">
        <f aca="false">IF(AG$6=1,Energy!$C$7,Energy!$C$6)</f>
        <v>10</v>
      </c>
      <c r="AH104" s="82" t="n">
        <f aca="false">IF(AH$6=1,Energy!$C$7,Energy!$C$6)</f>
        <v>10</v>
      </c>
    </row>
    <row r="105" customFormat="false" ht="15" hidden="false" customHeight="false" outlineLevel="0" collapsed="false">
      <c r="A105" s="45" t="s">
        <v>568</v>
      </c>
      <c r="B105" s="45" t="s">
        <v>387</v>
      </c>
      <c r="C105" s="55" t="n">
        <f aca="false">(C43+1)*C61/C45</f>
        <v>211.422533432294</v>
      </c>
      <c r="D105" s="55" t="n">
        <f aca="false">(D43+1)*D61/D45</f>
        <v>211.422533432294</v>
      </c>
      <c r="E105" s="55" t="n">
        <f aca="false">(E43+1)*E61/E45</f>
        <v>211.422533432294</v>
      </c>
      <c r="F105" s="55" t="n">
        <f aca="false">(F43+1)*F61/F45</f>
        <v>211.422533432294</v>
      </c>
      <c r="G105" s="55" t="n">
        <f aca="false">(G43+1)*G61/G45</f>
        <v>211.422533432294</v>
      </c>
      <c r="H105" s="55" t="n">
        <f aca="false">(H43+1)*H61/H45</f>
        <v>211.422533432294</v>
      </c>
      <c r="I105" s="55" t="n">
        <f aca="false">(I43+1)*I61/I45</f>
        <v>211.422533432294</v>
      </c>
      <c r="J105" s="55" t="n">
        <f aca="false">(J43+1)*J61/J45</f>
        <v>211.422533432294</v>
      </c>
      <c r="K105" s="55" t="n">
        <f aca="false">(K43+1)*K61/K45</f>
        <v>211.422533432294</v>
      </c>
      <c r="L105" s="55" t="n">
        <f aca="false">(L43+1)*L61/L45</f>
        <v>211.422533432294</v>
      </c>
      <c r="M105" s="55" t="n">
        <f aca="false">(M43+1)*M61/M45</f>
        <v>211.422533432294</v>
      </c>
      <c r="N105" s="55" t="n">
        <f aca="false">(N43+1)*N61/N45</f>
        <v>211.422533432294</v>
      </c>
      <c r="O105" s="55" t="n">
        <f aca="false">(O43+1)*O61/O45</f>
        <v>211.422533432294</v>
      </c>
      <c r="P105" s="55" t="n">
        <f aca="false">(P43+1)*P61/P45</f>
        <v>211.422533432294</v>
      </c>
      <c r="Q105" s="55" t="n">
        <f aca="false">(Q43+1)*Q61/Q45</f>
        <v>211.422533432294</v>
      </c>
      <c r="R105" s="55" t="n">
        <f aca="false">(R43+1)*R61/R45</f>
        <v>211.422533432294</v>
      </c>
      <c r="S105" s="55" t="n">
        <f aca="false">(S43+1)*S61/S45</f>
        <v>246.109042823529</v>
      </c>
      <c r="T105" s="55" t="n">
        <f aca="false">(T43+1)*T61/T45</f>
        <v>246.109042823529</v>
      </c>
      <c r="U105" s="55" t="n">
        <f aca="false">(U43+1)*U61/U45</f>
        <v>181.413711783198</v>
      </c>
      <c r="V105" s="55" t="n">
        <f aca="false">(V43+1)*V61/V45</f>
        <v>181.413711783198</v>
      </c>
      <c r="W105" s="55" t="n">
        <f aca="false">(W43+1)*W61/W45</f>
        <v>210.210440843269</v>
      </c>
      <c r="X105" s="55" t="n">
        <f aca="false">(X43+1)*X61/X45</f>
        <v>210.210440843269</v>
      </c>
      <c r="Y105" s="55" t="n">
        <f aca="false">(Y43+1)*Y61/Y45</f>
        <v>216.270903788393</v>
      </c>
      <c r="Z105" s="55" t="n">
        <f aca="false">(Z43+1)*Z61/Z45</f>
        <v>216.270903788393</v>
      </c>
      <c r="AA105" s="55" t="n">
        <f aca="false">(AA43+1)*AA61/AA45</f>
        <v>211.422533432294</v>
      </c>
      <c r="AB105" s="55" t="n">
        <f aca="false">(AB43+1)*AB61/AB45</f>
        <v>211.422533432294</v>
      </c>
      <c r="AC105" s="55" t="n">
        <f aca="false">(AC43+1)*AC61/AC45</f>
        <v>838.732890959337</v>
      </c>
      <c r="AD105" s="55" t="n">
        <f aca="false">(AD43+1)*AD61/AD45</f>
        <v>838.732890959337</v>
      </c>
      <c r="AE105" s="55" t="n">
        <f aca="false">(AE43+1)*AE61/AE45</f>
        <v>838.732890959337</v>
      </c>
      <c r="AF105" s="55" t="n">
        <f aca="false">(AF43+1)*AF61/AF45</f>
        <v>838.732890959337</v>
      </c>
      <c r="AG105" s="55" t="n">
        <f aca="false">(AG43+1)*AG61/AG45</f>
        <v>838.732890959337</v>
      </c>
      <c r="AH105" s="55" t="n">
        <f aca="false">(AH43+1)*AH61/AH45</f>
        <v>838.732890959337</v>
      </c>
    </row>
    <row r="106" customFormat="false" ht="15" hidden="false" customHeight="false" outlineLevel="0" collapsed="false">
      <c r="A106" s="45" t="s">
        <v>569</v>
      </c>
      <c r="B106" s="45" t="s">
        <v>242</v>
      </c>
      <c r="C106" s="96" t="n">
        <f aca="false">IF(C83&gt;0,(C68+C83*C30*C41/1000000000)/(C83*C45),0)</f>
        <v>0.330802054861383</v>
      </c>
      <c r="D106" s="96" t="n">
        <f aca="false">IF(D83&gt;0,(D68+D83*D30*D41/1000000000)/(D83*D45),0)</f>
        <v>0.854760064392041</v>
      </c>
      <c r="E106" s="96" t="n">
        <f aca="false">IF(E83&gt;0,(E68+E83*E30*E41/1000000000)/(E83*E45),0)</f>
        <v>0.634354713749611</v>
      </c>
      <c r="F106" s="96" t="n">
        <f aca="false">IF(F83&gt;0,(F68+F83*F30*F41/1000000000)/(F83*F45),0)</f>
        <v>0.854760064392041</v>
      </c>
      <c r="G106" s="96" t="n">
        <f aca="false">IF(G83&gt;0,(G68+G83*G30*G41/1000000000)/(G83*G45),0)</f>
        <v>0.229617835231973</v>
      </c>
      <c r="H106" s="96" t="n">
        <f aca="false">IF(H83&gt;0,(H68+H83*H30*H41/1000000000)/(H83*H45),0)</f>
        <v>0.854760064392041</v>
      </c>
      <c r="I106" s="96" t="n">
        <f aca="false">IF(I83&gt;0,(I68+I83*I30*I41/1000000000)/(I83*I45),0)</f>
        <v>0.299248508586101</v>
      </c>
      <c r="J106" s="96" t="n">
        <f aca="false">IF(J83&gt;0,(J68+J83*J30*J41/1000000000)/(J83*J45),0)</f>
        <v>0.854760064392041</v>
      </c>
      <c r="K106" s="96" t="n">
        <f aca="false">IF(K83&gt;0,(K68+K83*K30*K41/1000000000)/(K83*K45),0)</f>
        <v>0.403559059219565</v>
      </c>
      <c r="L106" s="96" t="n">
        <f aca="false">IF(L83&gt;0,(L68+L83*L30*L41/1000000000)/(L83*L45),0)</f>
        <v>0.854760064392041</v>
      </c>
      <c r="M106" s="96" t="n">
        <f aca="false">IF(M83&gt;0,(M68+M83*M30*M41/1000000000)/(M83*M45),0)</f>
        <v>0.239736257194914</v>
      </c>
      <c r="N106" s="96" t="n">
        <f aca="false">IF(N83&gt;0,(N68+N83*N30*N41/1000000000)/(N83*N45),0)</f>
        <v>0.854760064392041</v>
      </c>
      <c r="O106" s="96" t="n">
        <f aca="false">IF(O83&gt;0,(O68+O83*O30*O41/1000000000)/(O83*O45),0)</f>
        <v>0.185503576195084</v>
      </c>
      <c r="P106" s="96" t="n">
        <f aca="false">IF(P83&gt;0,(P68+P83*P30*P41/1000000000)/(P83*P45),0)</f>
        <v>0.426496833622257</v>
      </c>
      <c r="Q106" s="96" t="n">
        <f aca="false">IF(Q83&gt;0,(Q68+Q83*Q30*Q41/1000000000)/(Q83*Q45),0)</f>
        <v>0.652042366016229</v>
      </c>
      <c r="R106" s="96" t="n">
        <f aca="false">IF(R83&gt;0,(R68+R83*R30*R41/1000000000)/(R83*R45),0)</f>
        <v>2.09964592777671</v>
      </c>
      <c r="S106" s="96" t="n">
        <f aca="false">IF(S83&gt;0,(S68+S83*S30*S41/1000000000)/(S83*S45),0)</f>
        <v>0.477335478504696</v>
      </c>
      <c r="T106" s="96" t="n">
        <f aca="false">IF(T83&gt;0,(T68+T83*T30*T41/1000000000)/(T83*T45),0)</f>
        <v>1.30234931294406</v>
      </c>
      <c r="U106" s="96" t="n">
        <f aca="false">IF(U83&gt;0,(U68+U83*U30*U41/1000000000)/(U83*U45),0)</f>
        <v>0.232928974946541</v>
      </c>
      <c r="V106" s="96" t="n">
        <f aca="false">IF(V83&gt;0,(V68+V83*V30*V41/1000000000)/(V83*V45),0)</f>
        <v>0.576427075256254</v>
      </c>
      <c r="W106" s="96" t="n">
        <f aca="false">IF(W83&gt;0,(W68+W83*W30*W41/1000000000)/(W83*W45),0)</f>
        <v>0.309826909377752</v>
      </c>
      <c r="X106" s="96" t="n">
        <f aca="false">IF(X83&gt;0,(X68+X83*X30*X41/1000000000)/(X83*X45),0)</f>
        <v>0.830781049784329</v>
      </c>
      <c r="Y106" s="96" t="n">
        <f aca="false">IF(Y83&gt;0,(Y68+Y83*Y30*Y41/1000000000)/(Y83*Y45),0)</f>
        <v>0.414702636795904</v>
      </c>
      <c r="Z106" s="96" t="n">
        <f aca="false">IF(Z83&gt;0,(Z68+Z83*Z30*Z41/1000000000)/(Z83*Z45),0)</f>
        <v>0.950676122822888</v>
      </c>
      <c r="AA106" s="96" t="n">
        <f aca="false">IF(AA83&gt;0,(AA68+AA83*AA30*AA41/1000000000)/(AA83*AA45),0)</f>
        <v>0.547036742745023</v>
      </c>
      <c r="AB106" s="96" t="n">
        <f aca="false">IF(AB83&gt;0,(AB68+AB83*AB30*AB41/1000000000)/(AB83*AB45),0)</f>
        <v>1.493251734731</v>
      </c>
      <c r="AC106" s="96" t="n">
        <f aca="false">IF(AC83&gt;0,(AC68+AC83*AC30*AC41/1000000000)/(AC83*AC45),0)</f>
        <v>3.46776604691125</v>
      </c>
      <c r="AD106" s="96" t="n">
        <f aca="false">IF(AD83&gt;0,(AD68+AD83*AD30*AD41/1000000000)/(AD83*AD45),0)</f>
        <v>12.6883249287605</v>
      </c>
      <c r="AE106" s="96" t="n">
        <f aca="false">IF(AE83&gt;0,(AE68+AE83*AE30*AE41/1000000000)/(AE83*AE45),0)</f>
        <v>4.05363149657568</v>
      </c>
      <c r="AF106" s="96" t="n">
        <f aca="false">IF(AF83&gt;0,(AF68+AF83*AF30*AF41/1000000000)/(AF83*AF45),0)</f>
        <v>13.274190378425</v>
      </c>
      <c r="AG106" s="96" t="n">
        <f aca="false">IF(AG83&gt;0,(AG68+AG83*AG30*AG41/1000000000)/(AG83*AG45),0)</f>
        <v>6.07689055697836</v>
      </c>
      <c r="AH106" s="96" t="n">
        <f aca="false">IF(AH83&gt;0,(AH68+AH83*AH30*AH41/1000000000)/(AH83*AH45),0)</f>
        <v>15.2974494388277</v>
      </c>
    </row>
    <row r="107" customFormat="false" ht="15" hidden="false" customHeight="false" outlineLevel="0" collapsed="false">
      <c r="A107" s="45" t="s">
        <v>570</v>
      </c>
      <c r="B107" s="45" t="s">
        <v>242</v>
      </c>
      <c r="C107" s="53" t="n">
        <f aca="false">(C43+1)*C25*C27*C26*C55/C45/1000000000</f>
        <v>0.0124286837741808</v>
      </c>
      <c r="D107" s="53" t="n">
        <f aca="false">(D43+1)*D25*D27*D26*D55/D45/1000000000</f>
        <v>0.0124286837741808</v>
      </c>
      <c r="E107" s="53" t="n">
        <f aca="false">(E43+1)*E25*E27*E26*E55/E45/1000000000</f>
        <v>0.0124286837741808</v>
      </c>
      <c r="F107" s="53" t="n">
        <f aca="false">(F43+1)*F25*F27*F26*F55/F45/1000000000</f>
        <v>0.0124286837741808</v>
      </c>
      <c r="G107" s="53" t="n">
        <f aca="false">(G43+1)*G25*G27*G26*G55/G45/1000000000</f>
        <v>0.0124286837741808</v>
      </c>
      <c r="H107" s="53" t="n">
        <f aca="false">(H43+1)*H25*H27*H26*H55/H45/1000000000</f>
        <v>0.0124286837741808</v>
      </c>
      <c r="I107" s="53" t="n">
        <f aca="false">(I43+1)*I25*I27*I26*I55/I45/1000000000</f>
        <v>0.0124286837741808</v>
      </c>
      <c r="J107" s="53" t="n">
        <f aca="false">(J43+1)*J25*J27*J26*J55/J45/1000000000</f>
        <v>0.0124286837741808</v>
      </c>
      <c r="K107" s="53" t="n">
        <f aca="false">(K43+1)*K25*K27*K26*K55/K45/1000000000</f>
        <v>0.0124286837741808</v>
      </c>
      <c r="L107" s="53" t="n">
        <f aca="false">(L43+1)*L25*L27*L26*L55/L45/1000000000</f>
        <v>0.0124286837741808</v>
      </c>
      <c r="M107" s="53" t="n">
        <f aca="false">(M43+1)*M25*M27*M26*M55/M45/1000000000</f>
        <v>0.0124286837741808</v>
      </c>
      <c r="N107" s="53" t="n">
        <f aca="false">(N43+1)*N25*N27*N26*N55/N45/1000000000</f>
        <v>0.0124286837741808</v>
      </c>
      <c r="O107" s="53" t="n">
        <f aca="false">(O43+1)*O25*O27*O26*O55/O45/1000000000</f>
        <v>0.0124286837741808</v>
      </c>
      <c r="P107" s="53" t="n">
        <f aca="false">(P43+1)*P25*P27*P26*P55/P45/1000000000</f>
        <v>0.0124286837741808</v>
      </c>
      <c r="Q107" s="53" t="n">
        <f aca="false">(Q43+1)*Q25*Q27*Q26*Q55/Q45/1000000000</f>
        <v>0.0124286837741808</v>
      </c>
      <c r="R107" s="53" t="n">
        <f aca="false">(R43+1)*R25*R27*R26*R55/R45/1000000000</f>
        <v>0.0124286837741808</v>
      </c>
      <c r="S107" s="53" t="n">
        <f aca="false">(S43+1)*S25*S27*S26*S55/S45/1000000000</f>
        <v>0.0144677647058824</v>
      </c>
      <c r="T107" s="53" t="n">
        <f aca="false">(T43+1)*T25*T27*T26*T55/T45/1000000000</f>
        <v>0.0144677647058824</v>
      </c>
      <c r="U107" s="53" t="n">
        <f aca="false">(U43+1)*U25*U27*U26*U55/U45/1000000000</f>
        <v>0.0106645853658537</v>
      </c>
      <c r="V107" s="53" t="n">
        <f aca="false">(V43+1)*V25*V27*V26*V55/V45/1000000000</f>
        <v>0.0106645853658537</v>
      </c>
      <c r="W107" s="53" t="n">
        <f aca="false">(W43+1)*W25*W27*W26*W55/W45/1000000000</f>
        <v>0.0124286837741808</v>
      </c>
      <c r="X107" s="53" t="n">
        <f aca="false">(X43+1)*X25*X27*X26*X55/X45/1000000000</f>
        <v>0.0124286837741808</v>
      </c>
      <c r="Y107" s="53" t="n">
        <f aca="false">(Y43+1)*Y25*Y27*Y26*Y55/Y45/1000000000</f>
        <v>0.0124286837741808</v>
      </c>
      <c r="Z107" s="53" t="n">
        <f aca="false">(Z43+1)*Z25*Z27*Z26*Z55/Z45/1000000000</f>
        <v>0.0124286837741808</v>
      </c>
      <c r="AA107" s="53" t="n">
        <f aca="false">(AA43+1)*AA25*AA27*AA26*AA55/AA45/1000000000</f>
        <v>0.0124286837741808</v>
      </c>
      <c r="AB107" s="53" t="n">
        <f aca="false">(AB43+1)*AB25*AB27*AB26*AB55/AB45/1000000000</f>
        <v>0.0124286837741808</v>
      </c>
      <c r="AC107" s="53" t="n">
        <f aca="false">(AC43+1)*AC25*AC27*AC26*AC55/AC45/1000000000</f>
        <v>0.0931423608369523</v>
      </c>
      <c r="AD107" s="53" t="n">
        <f aca="false">(AD43+1)*AD25*AD27*AD26*AD55/AD45/1000000000</f>
        <v>0.0931423608369523</v>
      </c>
      <c r="AE107" s="53" t="n">
        <f aca="false">(AE43+1)*AE25*AE27*AE26*AE55/AE45/1000000000</f>
        <v>0.0931423608369523</v>
      </c>
      <c r="AF107" s="53" t="n">
        <f aca="false">(AF43+1)*AF25*AF27*AF26*AF55/AF45/1000000000</f>
        <v>0.0931423608369523</v>
      </c>
      <c r="AG107" s="53" t="n">
        <f aca="false">(AG43+1)*AG25*AG27*AG26*AG55/AG45/1000000000</f>
        <v>0.0931423608369523</v>
      </c>
      <c r="AH107" s="53" t="n">
        <f aca="false">(AH43+1)*AH25*AH27*AH26*AH55/AH45/1000000000</f>
        <v>0.0931423608369523</v>
      </c>
    </row>
    <row r="108" customFormat="false" ht="15" hidden="false" customHeight="false" outlineLevel="0" collapsed="false">
      <c r="A108" s="45" t="s">
        <v>571</v>
      </c>
      <c r="B108" s="45" t="s">
        <v>572</v>
      </c>
      <c r="C108" s="53" t="n">
        <f aca="false">(C105*C103+C106*C20+C107*C104)/1000</f>
        <v>0.0132642232523088</v>
      </c>
      <c r="D108" s="53" t="n">
        <f aca="false">(D105*D103+D106*D20+D107*D104)/1000</f>
        <v>0.0333329503197513</v>
      </c>
      <c r="E108" s="53" t="n">
        <f aca="false">(E105*E103+E106*E20+E107*E104)/1000</f>
        <v>0.0193352764300734</v>
      </c>
      <c r="F108" s="53" t="n">
        <f aca="false">(F105*F103+F106*F20+F107*F104)/1000</f>
        <v>0.0333329503197513</v>
      </c>
      <c r="G108" s="53" t="n">
        <f aca="false">(G105*G103+G106*G20+G107*G104)/1000</f>
        <v>0.0112405388597206</v>
      </c>
      <c r="H108" s="53" t="n">
        <f aca="false">(H105*H103+H106*H20+H107*H104)/1000</f>
        <v>0.0333329503197513</v>
      </c>
      <c r="I108" s="53" t="n">
        <f aca="false">(I105*I103+I106*I20+I107*I104)/1000</f>
        <v>0.0126331523268032</v>
      </c>
      <c r="J108" s="53" t="n">
        <f aca="false">(J105*J103+J106*J20+J107*J104)/1000</f>
        <v>0.0333329503197513</v>
      </c>
      <c r="K108" s="53" t="n">
        <f aca="false">(K105*K103+K106*K20+K107*K104)/1000</f>
        <v>0.0147193633394725</v>
      </c>
      <c r="L108" s="53" t="n">
        <f aca="false">(L105*L103+L106*L20+L107*L104)/1000</f>
        <v>0.0333329503197513</v>
      </c>
      <c r="M108" s="53" t="n">
        <f aca="false">(M105*M103+M106*M20+M107*M104)/1000</f>
        <v>0.00948573870377764</v>
      </c>
      <c r="N108" s="53" t="n">
        <f aca="false">(N105*N103+N106*N20+N107*N104)/1000</f>
        <v>0.0333329503197513</v>
      </c>
      <c r="O108" s="53" t="n">
        <f aca="false">(O105*O103+O106*O20+O107*O104)/1000</f>
        <v>0.0103582536789828</v>
      </c>
      <c r="P108" s="53" t="n">
        <f aca="false">(P105*P103+P106*P20+P107*P104)/1000</f>
        <v>0.0226263695505067</v>
      </c>
      <c r="Q108" s="53" t="n">
        <f aca="false">(Q105*Q103+Q106*Q20+Q107*Q104)/1000</f>
        <v>0.0196890294754057</v>
      </c>
      <c r="R108" s="53" t="n">
        <f aca="false">(R105*R103+R106*R20+R107*R104)/1000</f>
        <v>0.0644550969043679</v>
      </c>
      <c r="S108" s="53" t="n">
        <f aca="false">(S105*S103+S106*S20+S107*S104)/1000</f>
        <v>0.0172856091099931</v>
      </c>
      <c r="T108" s="53" t="n">
        <f aca="false">(T105*T103+T106*T20+T107*T104)/1000</f>
        <v>0.0464855168687779</v>
      </c>
      <c r="U108" s="53" t="n">
        <f aca="false">(U105*U103+U106*U20+U107*U104)/1000</f>
        <v>0.010363134173328</v>
      </c>
      <c r="V108" s="53" t="n">
        <f aca="false">(V105*V103+V106*V20+V107*V104)/1000</f>
        <v>0.024676490594924</v>
      </c>
      <c r="W108" s="53" t="n">
        <f aca="false">(W105*W103+W106*W20+W107*W104)/1000</f>
        <v>0.0128073186284606</v>
      </c>
      <c r="X108" s="53" t="n">
        <f aca="false">(X105*X103+X106*X20+X107*X104)/1000</f>
        <v>0.0326655977695731</v>
      </c>
      <c r="Y108" s="53" t="n">
        <f aca="false">(Y105*Y103+Y106*Y20+Y107*Y104)/1000</f>
        <v>0.0150918417477017</v>
      </c>
      <c r="Z108" s="53" t="n">
        <f aca="false">(Z105*Z103+Z106*Z20+Z107*Z104)/1000</f>
        <v>0.036002360520464</v>
      </c>
      <c r="AA108" s="53" t="n">
        <f aca="false">(AA105*AA103+AA106*AA20+AA107*AA104)/1000</f>
        <v>0.0175889170099816</v>
      </c>
      <c r="AB108" s="53" t="n">
        <f aca="false">(AB105*AB103+AB106*AB20+AB107*AB104)/1000</f>
        <v>0.0492952420782253</v>
      </c>
      <c r="AC108" s="53" t="n">
        <f aca="false">(AC105*AC103+AC106*AC20+AC107*AC104)/1000</f>
        <v>0.0961676451819112</v>
      </c>
      <c r="AD108" s="53" t="n">
        <f aca="false">(AD105*AD103+AD106*AD20+AD107*AD104)/1000</f>
        <v>0.365108588721106</v>
      </c>
      <c r="AE108" s="53" t="n">
        <f aca="false">(AE105*AE103+AE106*AE20+AE107*AE104)/1000</f>
        <v>0.1078849541752</v>
      </c>
      <c r="AF108" s="53" t="n">
        <f aca="false">(AF105*AF103+AF106*AF20+AF107*AF104)/1000</f>
        <v>0.379755224962717</v>
      </c>
      <c r="AG108" s="53" t="n">
        <f aca="false">(AG105*AG103+AG106*AG20+AG107*AG104)/1000</f>
        <v>0.148350135383254</v>
      </c>
      <c r="AH108" s="53" t="n">
        <f aca="false">(AH105*AH103+AH106*AH20+AH107*AH104)/1000</f>
        <v>0.430336701472784</v>
      </c>
    </row>
    <row r="109" customFormat="false" ht="15" hidden="false" customHeight="false" outlineLevel="0" collapsed="false">
      <c r="A109" s="45" t="s">
        <v>573</v>
      </c>
      <c r="B109" s="45" t="s">
        <v>572</v>
      </c>
      <c r="C109" s="53" t="n">
        <f aca="false">C63*C103/1000</f>
        <v>0.00411349323307886</v>
      </c>
      <c r="D109" s="53" t="n">
        <f aca="false">D63*D103/1000</f>
        <v>0.007465228460032</v>
      </c>
      <c r="E109" s="53" t="n">
        <f aca="false">E63*E103/1000</f>
        <v>0.00411349323307886</v>
      </c>
      <c r="F109" s="53" t="n">
        <f aca="false">F63*F103/1000</f>
        <v>0.007465228460032</v>
      </c>
      <c r="G109" s="53" t="n">
        <f aca="false">G63*G103/1000</f>
        <v>0.00411349323307886</v>
      </c>
      <c r="H109" s="53" t="n">
        <f aca="false">H63*H103/1000</f>
        <v>0.007465228460032</v>
      </c>
      <c r="I109" s="53" t="n">
        <f aca="false">I63*I103/1000</f>
        <v>0.00411349323307886</v>
      </c>
      <c r="J109" s="53" t="n">
        <f aca="false">J63*J103/1000</f>
        <v>0.007465228460032</v>
      </c>
      <c r="K109" s="53" t="n">
        <f aca="false">K63*K103/1000</f>
        <v>0.00411349323307886</v>
      </c>
      <c r="L109" s="53" t="n">
        <f aca="false">L63*L103/1000</f>
        <v>0.007465228460032</v>
      </c>
      <c r="M109" s="53" t="n">
        <f aca="false">M63*M103/1000</f>
        <v>0.0028794452631552</v>
      </c>
      <c r="N109" s="53" t="n">
        <f aca="false">N63*N103/1000</f>
        <v>0.007465228460032</v>
      </c>
      <c r="O109" s="53" t="n">
        <f aca="false">O63*O103/1000</f>
        <v>0.00411349323307886</v>
      </c>
      <c r="P109" s="53" t="n">
        <f aca="false">P63*P103/1000</f>
        <v>0.007465228460032</v>
      </c>
      <c r="Q109" s="53" t="n">
        <f aca="false">Q63*Q103/1000</f>
        <v>0.00411349323307886</v>
      </c>
      <c r="R109" s="53" t="n">
        <f aca="false">R63*R103/1000</f>
        <v>0.007465228460032</v>
      </c>
      <c r="S109" s="53" t="n">
        <f aca="false">S63*S103/1000</f>
        <v>0.00411349323307886</v>
      </c>
      <c r="T109" s="53" t="n">
        <f aca="false">T63*T103/1000</f>
        <v>0.007465228460032</v>
      </c>
      <c r="U109" s="53" t="n">
        <f aca="false">U63*U103/1000</f>
        <v>0.00411349323307886</v>
      </c>
      <c r="V109" s="53" t="n">
        <f aca="false">V63*V103/1000</f>
        <v>0.007465228460032</v>
      </c>
      <c r="W109" s="53" t="n">
        <f aca="false">W63*W103/1000</f>
        <v>0.00356479917728914</v>
      </c>
      <c r="X109" s="53" t="n">
        <f aca="false">X63*X103/1000</f>
        <v>0.006469450358784</v>
      </c>
      <c r="Y109" s="53" t="n">
        <f aca="false">Y63*Y103/1000</f>
        <v>0.00416086250408229</v>
      </c>
      <c r="Z109" s="53" t="n">
        <f aca="false">Z63*Z103/1000</f>
        <v>0.007551194914816</v>
      </c>
      <c r="AA109" s="53" t="n">
        <f aca="false">AA63*AA103/1000</f>
        <v>0.00411349323307886</v>
      </c>
      <c r="AB109" s="53" t="n">
        <f aca="false">AB63*AB103/1000</f>
        <v>0.007465228460032</v>
      </c>
      <c r="AC109" s="53" t="n">
        <f aca="false">AC63*AC103/1000</f>
        <v>0.0135935167926857</v>
      </c>
      <c r="AD109" s="53" t="n">
        <f aca="false">AD63*AD103/1000</f>
        <v>0.0246697156608</v>
      </c>
      <c r="AE109" s="53" t="n">
        <f aca="false">AE63*AE103/1000</f>
        <v>0.0135935167926857</v>
      </c>
      <c r="AF109" s="53" t="n">
        <f aca="false">AF63*AF103/1000</f>
        <v>0.0246697156608</v>
      </c>
      <c r="AG109" s="53" t="n">
        <f aca="false">AG63*AG103/1000</f>
        <v>0.0135935167926857</v>
      </c>
      <c r="AH109" s="53" t="n">
        <f aca="false">AH63*AH103/1000</f>
        <v>0.0246697156608</v>
      </c>
    </row>
    <row r="110" customFormat="false" ht="15" hidden="false" customHeight="false" outlineLevel="0" collapsed="false">
      <c r="A110" s="44" t="s">
        <v>574</v>
      </c>
      <c r="B110" s="45" t="s">
        <v>499</v>
      </c>
      <c r="C110" s="55" t="n">
        <f aca="false">(C93*C109+C92*C108)/1000</f>
        <v>9.55912453390747</v>
      </c>
      <c r="D110" s="55" t="n">
        <f aca="false">(D93*D109+D92*D108)/1000</f>
        <v>7.37744841370182</v>
      </c>
      <c r="E110" s="55" t="n">
        <f aca="false">(E93*E109+E92*E108)/1000</f>
        <v>6.33276411668379</v>
      </c>
      <c r="F110" s="55" t="n">
        <f aca="false">(F93*F109+F92*F108)/1000</f>
        <v>7.37744841370182</v>
      </c>
      <c r="G110" s="55" t="n">
        <f aca="false">(G93*G109+G92*G108)/1000</f>
        <v>11.9632812984921</v>
      </c>
      <c r="H110" s="55" t="n">
        <f aca="false">(H93*H109+H92*H108)/1000</f>
        <v>7.37744841370182</v>
      </c>
      <c r="I110" s="55" t="n">
        <f aca="false">(I93*I109+I92*I108)/1000</f>
        <v>10.1774227227384</v>
      </c>
      <c r="J110" s="55" t="n">
        <f aca="false">(J93*J109+J92*J108)/1000</f>
        <v>7.37744841370182</v>
      </c>
      <c r="K110" s="55" t="n">
        <f aca="false">(K93*K109+K92*K108)/1000</f>
        <v>8.42995419383149</v>
      </c>
      <c r="L110" s="55" t="n">
        <f aca="false">(L93*L109+L92*L108)/1000</f>
        <v>7.37744841370182</v>
      </c>
      <c r="M110" s="55" t="n">
        <f aca="false">(M93*M109+M92*M108)/1000</f>
        <v>9.61850799436997</v>
      </c>
      <c r="N110" s="55" t="n">
        <f aca="false">(N93*N109+N92*N108)/1000</f>
        <v>7.37744841370182</v>
      </c>
      <c r="O110" s="55" t="n">
        <f aca="false">(O93*O109+O92*O108)/1000</f>
        <v>10.0441762499652</v>
      </c>
      <c r="P110" s="55" t="n">
        <f aca="false">(P93*P109+P92*P108)/1000</f>
        <v>7.76870851462573</v>
      </c>
      <c r="Q110" s="55" t="n">
        <f aca="false">(Q93*Q109+Q92*Q108)/1000</f>
        <v>8.78735302114905</v>
      </c>
      <c r="R110" s="55" t="n">
        <f aca="false">(R93*R109+R92*R108)/1000</f>
        <v>6.72459618884637</v>
      </c>
      <c r="S110" s="55" t="n">
        <f aca="false">(S93*S109+S92*S108)/1000</f>
        <v>8.77049150926388</v>
      </c>
      <c r="T110" s="55" t="n">
        <f aca="false">(T93*T109+T92*T108)/1000</f>
        <v>6.81350555376724</v>
      </c>
      <c r="U110" s="55" t="n">
        <f aca="false">(U93*U109+U92*U108)/1000</f>
        <v>10.3975181623763</v>
      </c>
      <c r="V110" s="55" t="n">
        <f aca="false">(V93*V109+V92*V108)/1000</f>
        <v>7.99823161128276</v>
      </c>
      <c r="W110" s="55" t="n">
        <f aca="false">(W93*W109+W92*W108)/1000</f>
        <v>5.38032312745278</v>
      </c>
      <c r="X110" s="55" t="n">
        <f aca="false">(X93*X109+X92*X108)/1000</f>
        <v>4.56888270327521</v>
      </c>
      <c r="Y110" s="55" t="n">
        <f aca="false">(Y93*Y109+Y92*Y108)/1000</f>
        <v>16.1032665702237</v>
      </c>
      <c r="Z110" s="55" t="n">
        <f aca="false">(Z93*Z109+Z92*Z108)/1000</f>
        <v>12.148745909557</v>
      </c>
      <c r="AA110" s="55" t="n">
        <f aca="false">(AA93*AA109+AA92*AA108)/1000</f>
        <v>6.41587750137544</v>
      </c>
      <c r="AB110" s="55" t="n">
        <f aca="false">(AB93*AB109+AB92*AB108)/1000</f>
        <v>5.13828000727332</v>
      </c>
      <c r="AC110" s="55" t="n">
        <f aca="false">(AC93*AC109+AC92*AC108)/1000</f>
        <v>9.20318024636143</v>
      </c>
      <c r="AD110" s="55" t="n">
        <f aca="false">(AD93*AD109+AD92*AD108)/1000</f>
        <v>7.18869180084729</v>
      </c>
      <c r="AE110" s="55" t="n">
        <f aca="false">(AE93*AE109+AE92*AE108)/1000</f>
        <v>9.72942818548236</v>
      </c>
      <c r="AF110" s="55" t="n">
        <f aca="false">(AF93*AF109+AF92*AF108)/1000</f>
        <v>7.37588550691989</v>
      </c>
      <c r="AG110" s="55" t="n">
        <f aca="false">(AG93*AG109+AG92*AG108)/1000</f>
        <v>11.5468009482123</v>
      </c>
      <c r="AH110" s="55" t="n">
        <f aca="false">(AH93*AH109+AH92*AH108)/1000</f>
        <v>8.02235025762106</v>
      </c>
    </row>
    <row r="111" customFormat="false" ht="15" hidden="false" customHeight="false" outlineLevel="0" collapsed="false">
      <c r="A111" s="44" t="s">
        <v>575</v>
      </c>
      <c r="B111" s="45" t="s">
        <v>499</v>
      </c>
      <c r="C111" s="80" t="n">
        <f aca="false">C22*Inputs!$E$10</f>
        <v>181.6</v>
      </c>
      <c r="D111" s="80" t="n">
        <f aca="false">D22*Inputs!$E$10</f>
        <v>109.6</v>
      </c>
      <c r="E111" s="80" t="n">
        <f aca="false">E22*Inputs!$E$10</f>
        <v>181.6</v>
      </c>
      <c r="F111" s="80" t="n">
        <f aca="false">F22*Inputs!$E$10</f>
        <v>109.6</v>
      </c>
      <c r="G111" s="80" t="n">
        <f aca="false">G22*Inputs!$E$10</f>
        <v>181.6</v>
      </c>
      <c r="H111" s="80" t="n">
        <f aca="false">H22*Inputs!$E$10</f>
        <v>109.6</v>
      </c>
      <c r="I111" s="80" t="n">
        <f aca="false">I22*Inputs!$E$10</f>
        <v>181.6</v>
      </c>
      <c r="J111" s="80" t="n">
        <f aca="false">J22*Inputs!$E$10</f>
        <v>109.6</v>
      </c>
      <c r="K111" s="80" t="n">
        <f aca="false">K22*Inputs!$E$10</f>
        <v>181.6</v>
      </c>
      <c r="L111" s="80" t="n">
        <f aca="false">L22*Inputs!$E$10</f>
        <v>109.6</v>
      </c>
      <c r="M111" s="80" t="n">
        <f aca="false">M22*Inputs!$E$10</f>
        <v>181.6</v>
      </c>
      <c r="N111" s="80" t="n">
        <f aca="false">N22*Inputs!$E$10</f>
        <v>109.6</v>
      </c>
      <c r="O111" s="80" t="n">
        <f aca="false">O22*Inputs!$E$10</f>
        <v>181.6</v>
      </c>
      <c r="P111" s="80" t="n">
        <f aca="false">P22*Inputs!$E$10</f>
        <v>109.6</v>
      </c>
      <c r="Q111" s="80" t="n">
        <f aca="false">Q22*Inputs!$E$10</f>
        <v>181.6</v>
      </c>
      <c r="R111" s="80" t="n">
        <f aca="false">R22*Inputs!$E$10</f>
        <v>109.6</v>
      </c>
      <c r="S111" s="80" t="n">
        <f aca="false">S22*Inputs!$E$10</f>
        <v>181.6</v>
      </c>
      <c r="T111" s="80" t="n">
        <f aca="false">T22*Inputs!$E$10</f>
        <v>109.6</v>
      </c>
      <c r="U111" s="80" t="n">
        <f aca="false">U22*Inputs!$E$10</f>
        <v>181.6</v>
      </c>
      <c r="V111" s="80" t="n">
        <f aca="false">V22*Inputs!$E$10</f>
        <v>109.6</v>
      </c>
      <c r="W111" s="80" t="n">
        <f aca="false">W22*Inputs!$E$10</f>
        <v>181.6</v>
      </c>
      <c r="X111" s="80" t="n">
        <f aca="false">X22*Inputs!$E$10</f>
        <v>109.6</v>
      </c>
      <c r="Y111" s="80" t="n">
        <f aca="false">Y22*Inputs!$E$10</f>
        <v>181.6</v>
      </c>
      <c r="Z111" s="80" t="n">
        <f aca="false">Z22*Inputs!$E$10</f>
        <v>109.6</v>
      </c>
      <c r="AA111" s="80" t="n">
        <f aca="false">AA22*Inputs!$E$10</f>
        <v>181.6</v>
      </c>
      <c r="AB111" s="80" t="n">
        <f aca="false">AB22*Inputs!$E$10</f>
        <v>109.6</v>
      </c>
      <c r="AC111" s="80" t="n">
        <f aca="false">AC22*Inputs!$E$10</f>
        <v>181.6</v>
      </c>
      <c r="AD111" s="80" t="n">
        <f aca="false">AD22*Inputs!$E$10</f>
        <v>109.6</v>
      </c>
      <c r="AE111" s="80" t="n">
        <f aca="false">AE22*Inputs!$E$10</f>
        <v>181.6</v>
      </c>
      <c r="AF111" s="80" t="n">
        <f aca="false">AF22*Inputs!$E$10</f>
        <v>109.6</v>
      </c>
      <c r="AG111" s="80" t="n">
        <f aca="false">AG22*Inputs!$E$10</f>
        <v>181.6</v>
      </c>
      <c r="AH111" s="80" t="n">
        <f aca="false">AH22*Inputs!$E$10</f>
        <v>109.6</v>
      </c>
    </row>
    <row r="112" customFormat="false" ht="15" hidden="false" customHeight="false" outlineLevel="0" collapsed="false">
      <c r="A112" s="44" t="s">
        <v>576</v>
      </c>
      <c r="B112" s="45" t="s">
        <v>45</v>
      </c>
      <c r="C112" s="100" t="n">
        <f aca="false">IF(C111&gt;0,C110/C111,0)</f>
        <v>0.0526383509576403</v>
      </c>
      <c r="D112" s="100" t="n">
        <f aca="false">IF(D111&gt;0,D110/D111,0)</f>
        <v>0.0673124855264764</v>
      </c>
      <c r="E112" s="100" t="n">
        <f aca="false">IF(E111&gt;0,E110/E111,0)</f>
        <v>0.0348720491006817</v>
      </c>
      <c r="F112" s="100" t="n">
        <f aca="false">IF(F111&gt;0,F110/F111,0)</f>
        <v>0.0673124855264764</v>
      </c>
      <c r="G112" s="100" t="n">
        <f aca="false">IF(G111&gt;0,G110/G111,0)</f>
        <v>0.0658770996613002</v>
      </c>
      <c r="H112" s="100" t="n">
        <f aca="false">IF(H111&gt;0,H110/H111,0)</f>
        <v>0.0673124855264764</v>
      </c>
      <c r="I112" s="100" t="n">
        <f aca="false">IF(I111&gt;0,I110/I111,0)</f>
        <v>0.0560430766670618</v>
      </c>
      <c r="J112" s="100" t="n">
        <f aca="false">IF(J111&gt;0,J110/J111,0)</f>
        <v>0.0673124855264764</v>
      </c>
      <c r="K112" s="100" t="n">
        <f aca="false">IF(K111&gt;0,K110/K111,0)</f>
        <v>0.0464204526092042</v>
      </c>
      <c r="L112" s="100" t="n">
        <f aca="false">IF(L111&gt;0,L110/L111,0)</f>
        <v>0.0673124855264764</v>
      </c>
      <c r="M112" s="100" t="n">
        <f aca="false">IF(M111&gt;0,M110/M111,0)</f>
        <v>0.0529653523919051</v>
      </c>
      <c r="N112" s="100" t="n">
        <f aca="false">IF(N111&gt;0,N110/N111,0)</f>
        <v>0.0673124855264764</v>
      </c>
      <c r="O112" s="100" t="n">
        <f aca="false">IF(O111&gt;0,O110/O111,0)</f>
        <v>0.055309340583509</v>
      </c>
      <c r="P112" s="100" t="n">
        <f aca="false">IF(P111&gt;0,P110/P111,0)</f>
        <v>0.070882376958264</v>
      </c>
      <c r="Q112" s="100" t="n">
        <f aca="false">IF(Q111&gt;0,Q110/Q111,0)</f>
        <v>0.0483885078257106</v>
      </c>
      <c r="R112" s="100" t="n">
        <f aca="false">IF(R111&gt;0,R110/R111,0)</f>
        <v>0.0613558046427589</v>
      </c>
      <c r="S112" s="100" t="n">
        <f aca="false">IF(S111&gt;0,S110/S111,0)</f>
        <v>0.0482956580906602</v>
      </c>
      <c r="T112" s="100" t="n">
        <f aca="false">IF(T111&gt;0,T110/T111,0)</f>
        <v>0.0621670214759785</v>
      </c>
      <c r="U112" s="100" t="n">
        <f aca="false">IF(U111&gt;0,U110/U111,0)</f>
        <v>0.0572550559602219</v>
      </c>
      <c r="V112" s="100" t="n">
        <f aca="false">IF(V111&gt;0,V110/V111,0)</f>
        <v>0.0729765657963755</v>
      </c>
      <c r="W112" s="100" t="n">
        <f aca="false">IF(W111&gt;0,W110/W111,0)</f>
        <v>0.0296273299969867</v>
      </c>
      <c r="X112" s="100" t="n">
        <f aca="false">IF(X111&gt;0,X110/X111,0)</f>
        <v>0.0416868859787884</v>
      </c>
      <c r="Y112" s="100" t="n">
        <f aca="false">IF(Y111&gt;0,Y110/Y111,0)</f>
        <v>0.0886743753866945</v>
      </c>
      <c r="Z112" s="100" t="n">
        <f aca="false">IF(Z111&gt;0,Z110/Z111,0)</f>
        <v>0.110846221802527</v>
      </c>
      <c r="AA112" s="100" t="n">
        <f aca="false">IF(AA111&gt;0,AA110/AA111,0)</f>
        <v>0.0353297219238735</v>
      </c>
      <c r="AB112" s="100" t="n">
        <f aca="false">IF(AB111&gt;0,AB110/AB111,0)</f>
        <v>0.0468821168546836</v>
      </c>
      <c r="AC112" s="100" t="n">
        <f aca="false">IF(AC111&gt;0,AC110/AC111,0)</f>
        <v>0.0506783053213735</v>
      </c>
      <c r="AD112" s="100" t="n">
        <f aca="false">IF(AD111&gt;0,AD110/AD111,0)</f>
        <v>0.0655902536573658</v>
      </c>
      <c r="AE112" s="100" t="n">
        <f aca="false">IF(AE111&gt;0,AE110/AE111,0)</f>
        <v>0.053576146395828</v>
      </c>
      <c r="AF112" s="100" t="n">
        <f aca="false">IF(AF111&gt;0,AF110/AF111,0)</f>
        <v>0.0672982254281012</v>
      </c>
      <c r="AG112" s="100" t="n">
        <f aca="false">IF(AG111&gt;0,AG110/AG111,0)</f>
        <v>0.063583705661962</v>
      </c>
      <c r="AH112" s="100" t="n">
        <f aca="false">IF(AH111&gt;0,AH110/AH111,0)</f>
        <v>0.0731966264381484</v>
      </c>
    </row>
    <row r="113" customFormat="false" ht="15" hidden="false" customHeight="false" outlineLevel="0" collapsed="false">
      <c r="A113" s="45" t="s">
        <v>577</v>
      </c>
      <c r="B113" s="45" t="s">
        <v>578</v>
      </c>
      <c r="C113" s="101" t="n">
        <f aca="false">C91/(C111*1000)</f>
        <v>10.2604050812279</v>
      </c>
      <c r="D113" s="101" t="n">
        <f aca="false">D91/(D111*1000)</f>
        <v>6.51027687947674</v>
      </c>
      <c r="E113" s="101" t="n">
        <f aca="false">E91/(E111*1000)</f>
        <v>6.00744801183423</v>
      </c>
      <c r="F113" s="101" t="n">
        <f aca="false">F91/(F111*1000)</f>
        <v>6.51027687947674</v>
      </c>
      <c r="G113" s="101" t="n">
        <f aca="false">G91/(G111*1000)</f>
        <v>13.4295412550065</v>
      </c>
      <c r="H113" s="101" t="n">
        <f aca="false">H91/(H111*1000)</f>
        <v>6.51027687947674</v>
      </c>
      <c r="I113" s="101" t="n">
        <f aca="false">I91/(I111*1000)</f>
        <v>11.075439768346</v>
      </c>
      <c r="J113" s="101" t="n">
        <f aca="false">J91/(J111*1000)</f>
        <v>6.51027687947674</v>
      </c>
      <c r="K113" s="101" t="n">
        <f aca="false">K91/(K111*1000)</f>
        <v>8.77194366980623</v>
      </c>
      <c r="L113" s="101" t="n">
        <f aca="false">L91/(L111*1000)</f>
        <v>6.51027687947674</v>
      </c>
      <c r="M113" s="101" t="n">
        <f aca="false">M91/(M111*1000)</f>
        <v>14.6577215446113</v>
      </c>
      <c r="N113" s="101" t="n">
        <f aca="false">N91/(N111*1000)</f>
        <v>6.51027687947674</v>
      </c>
      <c r="O113" s="101" t="n">
        <f aca="false">O91/(O111*1000)</f>
        <v>11.5051488344799</v>
      </c>
      <c r="P113" s="101" t="n">
        <f aca="false">P91/(P111*1000)</f>
        <v>7.74687745545522</v>
      </c>
      <c r="Q113" s="101" t="n">
        <f aca="false">Q91/(Q111*1000)</f>
        <v>8.27987859788389</v>
      </c>
      <c r="R113" s="101" t="n">
        <f aca="false">R91/(R111*1000)</f>
        <v>4.44689900021252</v>
      </c>
      <c r="S113" s="101" t="n">
        <f aca="false">S91/(S111*1000)</f>
        <v>8.65969591186937</v>
      </c>
      <c r="T113" s="101" t="n">
        <f aca="false">T91/(T111*1000)</f>
        <v>5.26802732578908</v>
      </c>
      <c r="U113" s="101" t="n">
        <f aca="false">U91/(U111*1000)</f>
        <v>11.9085426846282</v>
      </c>
      <c r="V113" s="101" t="n">
        <f aca="false">V91/(V111*1000)</f>
        <v>7.78201634333429</v>
      </c>
      <c r="W113" s="101" t="n">
        <f aca="false">W91/(W111*1000)</f>
        <v>4.45816121251724</v>
      </c>
      <c r="X113" s="101" t="n">
        <f aca="false">X91/(X111*1000)</f>
        <v>2.74228775855584</v>
      </c>
      <c r="Y113" s="101" t="n">
        <f aca="false">Y91/(Y111*1000)</f>
        <v>19.7400526518617</v>
      </c>
      <c r="Z113" s="101" t="n">
        <f aca="false">Z91/(Z111*1000)</f>
        <v>13.1750376153197</v>
      </c>
      <c r="AA113" s="101" t="n">
        <f aca="false">AA91/(AA111*1000)</f>
        <v>6.29677724939862</v>
      </c>
      <c r="AB113" s="101" t="n">
        <f aca="false">AB91/(AB111*1000)</f>
        <v>3.87039435775447</v>
      </c>
      <c r="AC113" s="101" t="n">
        <f aca="false">AC91/(AC111*1000)</f>
        <v>2.22581564461845</v>
      </c>
      <c r="AD113" s="101" t="n">
        <f aca="false">AD91/(AD111*1000)</f>
        <v>1.04950690950785</v>
      </c>
      <c r="AE113" s="101" t="n">
        <f aca="false">AE91/(AE111*1000)</f>
        <v>2.22581564461845</v>
      </c>
      <c r="AF113" s="101" t="n">
        <f aca="false">AF91/(AF111*1000)</f>
        <v>1.04950690950785</v>
      </c>
      <c r="AG113" s="101" t="n">
        <f aca="false">AG91/(AG111*1000)</f>
        <v>2.22581564461845</v>
      </c>
      <c r="AH113" s="101" t="n">
        <f aca="false">AH91/(AH111*1000)</f>
        <v>1.04950690950785</v>
      </c>
    </row>
    <row r="114" customFormat="false" ht="15" hidden="false" customHeight="false" outlineLevel="0" collapsed="false">
      <c r="A114" s="44" t="s">
        <v>579</v>
      </c>
      <c r="B114" s="45" t="s">
        <v>572</v>
      </c>
      <c r="C114" s="96" t="n">
        <f aca="false">IF(C92&gt;0,C111*1000*(1-C90)/C92,0)</f>
        <v>0.620981954705848</v>
      </c>
      <c r="D114" s="96" t="n">
        <f aca="false">IF(D92&gt;0,D111*1000*(1-D90)/D92,0)</f>
        <v>1.02167613795014</v>
      </c>
      <c r="E114" s="96" t="n">
        <f aca="false">IF(E92&gt;0,E111*1000*(1-E90)/E92,0)</f>
        <v>1.2419639094117</v>
      </c>
      <c r="F114" s="96" t="n">
        <f aca="false">IF(F92&gt;0,F111*1000*(1-F90)/F92,0)</f>
        <v>1.02167613795014</v>
      </c>
      <c r="G114" s="96" t="n">
        <f aca="false">IF(G92&gt;0,G111*1000*(1-G90)/G92,0)</f>
        <v>0.413987969803899</v>
      </c>
      <c r="H114" s="96" t="n">
        <f aca="false">IF(H92&gt;0,H111*1000*(1-H90)/H92,0)</f>
        <v>1.02167613795014</v>
      </c>
      <c r="I114" s="96" t="n">
        <f aca="false">IF(I92&gt;0,I111*1000*(1-I90)/I92,0)</f>
        <v>0.556432420151646</v>
      </c>
      <c r="J114" s="96" t="n">
        <f aca="false">IF(J92&gt;0,J111*1000*(1-J90)/J92,0)</f>
        <v>1.02167613795014</v>
      </c>
      <c r="K114" s="96" t="n">
        <f aca="false">IF(K92&gt;0,K111*1000*(1-K90)/K92,0)</f>
        <v>0.769821984473211</v>
      </c>
      <c r="L114" s="96" t="n">
        <f aca="false">IF(L92&gt;0,L111*1000*(1-L90)/L92,0)</f>
        <v>1.02167613795014</v>
      </c>
      <c r="M114" s="96" t="n">
        <f aca="false">IF(M92&gt;0,M111*1000*(1-M90)/M92,0)</f>
        <v>0.434687368294094</v>
      </c>
      <c r="N114" s="96" t="n">
        <f aca="false">IF(N92&gt;0,N111*1000*(1-N90)/N92,0)</f>
        <v>1.02167613795014</v>
      </c>
      <c r="O114" s="96" t="n">
        <f aca="false">IF(O92&gt;0,O111*1000*(1-O90)/O92,0)</f>
        <v>0.526082063054841</v>
      </c>
      <c r="P114" s="96" t="n">
        <f aca="false">IF(P92&gt;0,P111*1000*(1-P90)/P92,0)</f>
        <v>0.801004860837858</v>
      </c>
      <c r="Q114" s="96" t="n">
        <f aca="false">IF(Q92&gt;0,Q111*1000*(1-Q90)/Q92,0)</f>
        <v>0.830796062894456</v>
      </c>
      <c r="R114" s="96" t="n">
        <f aca="false">IF(R92&gt;0,R111*1000*(1-R90)/R92,0)</f>
        <v>1.66312871569849</v>
      </c>
      <c r="S114" s="96" t="n">
        <f aca="false">IF(S92&gt;0,S111*1000*(1-S90)/S92,0)</f>
        <v>0.783121067840812</v>
      </c>
      <c r="T114" s="96" t="n">
        <f aca="false">IF(T92&gt;0,T111*1000*(1-T90)/T92,0)</f>
        <v>1.34766583959463</v>
      </c>
      <c r="U114" s="96" t="n">
        <f aca="false">IF(U92&gt;0,U111*1000*(1-U90)/U92,0)</f>
        <v>0.499583585447612</v>
      </c>
      <c r="V114" s="96" t="n">
        <f aca="false">IF(V92&gt;0,V111*1000*(1-V90)/V92,0)</f>
        <v>0.795759061220995</v>
      </c>
      <c r="W114" s="96" t="n">
        <f aca="false">IF(W92&gt;0,W111*1000*(1-W90)/W92,0)</f>
        <v>0.617421843997695</v>
      </c>
      <c r="X114" s="96" t="n">
        <f aca="false">IF(X92&gt;0,X111*1000*(1-X90)/X92,0)</f>
        <v>1.01581883383459</v>
      </c>
      <c r="Y114" s="96" t="n">
        <f aca="false">IF(Y92&gt;0,Y111*1000*(1-Y90)/Y92,0)</f>
        <v>0.63522239753846</v>
      </c>
      <c r="Z114" s="96" t="n">
        <f aca="false">IF(Z92&gt;0,Z111*1000*(1-Z90)/Z92,0)</f>
        <v>1.04510535441233</v>
      </c>
      <c r="AA114" s="96" t="n">
        <f aca="false">IF(AA92&gt;0,AA111*1000*(1-AA90)/AA92,0)</f>
        <v>1.06333630485053</v>
      </c>
      <c r="AB114" s="96" t="n">
        <f aca="false">IF(AB92&gt;0,AB111*1000*(1-AB90)/AB92,0)</f>
        <v>1.80998223328017</v>
      </c>
      <c r="AC114" s="96" t="n">
        <f aca="false">IF(AC92&gt;0,AC111*1000*(1-AC90)/AC92,0)</f>
        <v>3.19689686596779</v>
      </c>
      <c r="AD114" s="96" t="n">
        <f aca="false">IF(AD92&gt;0,AD111*1000*(1-AD90)/AD92,0)</f>
        <v>7.38330364683301</v>
      </c>
      <c r="AE114" s="96" t="n">
        <f aca="false">IF(AE92&gt;0,AE111*1000*(1-AE90)/AE92,0)</f>
        <v>3.19689686596779</v>
      </c>
      <c r="AF114" s="96" t="n">
        <f aca="false">IF(AF92&gt;0,AF111*1000*(1-AF90)/AF92,0)</f>
        <v>7.38330364683301</v>
      </c>
      <c r="AG114" s="96" t="n">
        <f aca="false">IF(AG92&gt;0,AG111*1000*(1-AG90)/AG92,0)</f>
        <v>3.19689686596779</v>
      </c>
      <c r="AH114" s="96" t="n">
        <f aca="false">IF(AH92&gt;0,AH111*1000*(1-AH90)/AH92,0)</f>
        <v>7.38330364683301</v>
      </c>
    </row>
    <row r="115" customFormat="false" ht="15" hidden="false" customHeight="false" outlineLevel="0" collapsed="false">
      <c r="A115" s="72" t="s">
        <v>600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</row>
    <row r="116" customFormat="false" ht="15" hidden="false" customHeight="false" outlineLevel="0" collapsed="false">
      <c r="A116" s="45" t="s">
        <v>601</v>
      </c>
      <c r="B116" s="45" t="s">
        <v>49</v>
      </c>
      <c r="C116" s="88" t="n">
        <f aca="false">IF(D94&gt;0,C94/D94,0)</f>
        <v>1.57577337247285</v>
      </c>
      <c r="E116" s="88" t="n">
        <f aca="false">IF(F94&gt;0,E94/F94,0)</f>
        <v>0.922612366531486</v>
      </c>
      <c r="G116" s="88" t="n">
        <f aca="false">IF(H94&gt;0,G94/H94,0)</f>
        <v>2.0624832398559</v>
      </c>
      <c r="I116" s="88" t="n">
        <f aca="false">IF(J94&gt;0,I94/J94,0)</f>
        <v>1.70094483962595</v>
      </c>
      <c r="K116" s="88" t="n">
        <f aca="false">IF(L94&gt;0,K94/L94,0)</f>
        <v>1.34717831803754</v>
      </c>
      <c r="M116" s="88" t="n">
        <f aca="false">IF(N94&gt;0,M94/N94,0)</f>
        <v>2.25110481781836</v>
      </c>
      <c r="O116" s="88" t="n">
        <f aca="false">IF(P94&gt;0,O94/P94,0)</f>
        <v>1.48488993961429</v>
      </c>
      <c r="Q116" s="88" t="n">
        <f aca="false">IF(R94&gt;0,Q94/R94,0)</f>
        <v>1.86163876241375</v>
      </c>
      <c r="S116" s="88" t="n">
        <f aca="false">IF(T94&gt;0,S94/T94,0)</f>
        <v>1.64355155872182</v>
      </c>
      <c r="U116" s="88" t="n">
        <f aca="false">IF(V94&gt;0,U94/V94,0)</f>
        <v>1.53001323942612</v>
      </c>
      <c r="W116" s="88" t="n">
        <f aca="false">IF(X94&gt;0,W94/X94,0)</f>
        <v>1.62544191173216</v>
      </c>
      <c r="Y116" s="88" t="n">
        <f aca="false">IF(Z94&gt;0,Y94/Z94,0)</f>
        <v>1.4980460114212</v>
      </c>
      <c r="AA116" s="88" t="n">
        <f aca="false">IF(AB94&gt;0,AA94/AB94,0)</f>
        <v>1.6266414024306</v>
      </c>
      <c r="AC116" s="88" t="n">
        <f aca="false">IF(AD94&gt;0,AC94/AD94,0)</f>
        <v>2.12047227369141</v>
      </c>
      <c r="AE116" s="88" t="n">
        <f aca="false">IF(AF94&gt;0,AE94/AF94,0)</f>
        <v>2.12047227369141</v>
      </c>
      <c r="AG116" s="88" t="n">
        <f aca="false">IF(AH94&gt;0,AG94/AH94,0)</f>
        <v>2.12047227369141</v>
      </c>
    </row>
    <row r="117" customFormat="false" ht="15" hidden="false" customHeight="false" outlineLevel="0" collapsed="false">
      <c r="A117" s="45" t="s">
        <v>602</v>
      </c>
      <c r="B117" s="45" t="s">
        <v>49</v>
      </c>
      <c r="C117" s="88" t="n">
        <f aca="false">IF(AND(D101&gt;0,C101&gt;0),C101/D101,0)</f>
        <v>0.57914747392841</v>
      </c>
      <c r="E117" s="88" t="n">
        <f aca="false">IF(AND(F101&gt;0,E101&gt;0),E101/F101,0)</f>
        <v>1.15829494785682</v>
      </c>
      <c r="G117" s="88" t="n">
        <f aca="false">IF(AND(H101&gt;0,G101&gt;0),G101/H101,0)</f>
        <v>0.386098315952273</v>
      </c>
      <c r="I117" s="88" t="n">
        <f aca="false">IF(AND(J101&gt;0,I101&gt;0),I101/J101,0)</f>
        <v>0.518946529928307</v>
      </c>
      <c r="K117" s="88" t="n">
        <f aca="false">IF(AND(L101&gt;0,K101&gt;0),K101/L101,0)</f>
        <v>0.7179604081948</v>
      </c>
      <c r="M117" s="88" t="n">
        <f aca="false">IF(AND(N101&gt;0,M101&gt;0),M101/N101,0)</f>
        <v>0.405403231749887</v>
      </c>
      <c r="O117" s="88" t="n">
        <f aca="false">IF(AND(P101&gt;0,O101&gt;0),O101/P101,0)</f>
        <v>0.625808963981125</v>
      </c>
      <c r="Q117" s="88" t="n">
        <f aca="false">IF(AND(R101&gt;0,Q101&gt;0),Q101/R101,0)</f>
        <v>0.475983616184868</v>
      </c>
      <c r="S117" s="88" t="n">
        <f aca="false">IF(AND(T101&gt;0,S101&gt;0),S101/T101,0)</f>
        <v>0.553694391118125</v>
      </c>
      <c r="U117" s="88" t="n">
        <f aca="false">IF(AND(V101&gt;0,U101&gt;0),U101/V101,0)</f>
        <v>0.598204952941455</v>
      </c>
      <c r="W117" s="88" t="n">
        <f aca="false">IF(AND(X101&gt;0,W101&gt;0),W101/X101,0)</f>
        <v>0.57914747392841</v>
      </c>
      <c r="Y117" s="88" t="n">
        <f aca="false">IF(AND(Z101&gt;0,Y101&gt;0),Y101/Z101,0)</f>
        <v>0.57914747392841</v>
      </c>
      <c r="AA117" s="88" t="n">
        <f aca="false">IF(AND(AB101&gt;0,AA101&gt;0),AA101/AB101,0)</f>
        <v>0.559783079130309</v>
      </c>
      <c r="AC117" s="88" t="n">
        <f aca="false">IF(AND(AD101&gt;0,AC101&gt;0),AC101/AD101,0)</f>
        <v>0.412573503233036</v>
      </c>
      <c r="AE117" s="88" t="n">
        <f aca="false">IF(AND(AF101&gt;0,AE101&gt;0),AE101/AF101,0)</f>
        <v>0.412573503233036</v>
      </c>
      <c r="AG117" s="88" t="n">
        <f aca="false">IF(AND(AH101&gt;0,AG101&gt;0),AG101/AH101,0)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1" t="s">
        <v>603</v>
      </c>
    </row>
    <row r="2" customFormat="false" ht="15" hidden="false" customHeight="false" outlineLevel="0" collapsed="false">
      <c r="A2" s="54" t="s">
        <v>604</v>
      </c>
    </row>
    <row r="4" customFormat="false" ht="15" hidden="false" customHeight="false" outlineLevel="0" collapsed="false">
      <c r="A4" s="9" t="s">
        <v>110</v>
      </c>
      <c r="C4" s="62" t="str">
        <f aca="false">DC_Cost!C4</f>
        <v>Hopper H100</v>
      </c>
      <c r="D4" s="62" t="str">
        <f aca="false">DC_Cost!D4</f>
        <v>Hopper H100</v>
      </c>
      <c r="E4" s="62" t="str">
        <f aca="false">DC_Cost!E4</f>
        <v>Hopper H100</v>
      </c>
      <c r="F4" s="62" t="str">
        <f aca="false">DC_Cost!F4</f>
        <v>GB200 NVL72</v>
      </c>
      <c r="G4" s="62" t="str">
        <f aca="false">DC_Cost!G4</f>
        <v>GB200 NVL72</v>
      </c>
      <c r="H4" s="62" t="str">
        <f aca="false">DC_Cost!H4</f>
        <v>GB200 NVL72</v>
      </c>
      <c r="I4" s="62" t="str">
        <f aca="false">DC_Cost!I4</f>
        <v>GB300 NVL72</v>
      </c>
      <c r="J4" s="62" t="str">
        <f aca="false">DC_Cost!J4</f>
        <v>GB300 NVL72</v>
      </c>
      <c r="K4" s="62" t="str">
        <f aca="false">DC_Cost!K4</f>
        <v>GB300 NVL72</v>
      </c>
      <c r="L4" s="62" t="str">
        <f aca="false">DC_Cost!L4</f>
        <v>VR200 NVL72</v>
      </c>
      <c r="M4" s="62" t="str">
        <f aca="false">DC_Cost!M4</f>
        <v>VR200 NVL72</v>
      </c>
      <c r="N4" s="62" t="str">
        <f aca="false">DC_Cost!N4</f>
        <v>VR200 NVL72</v>
      </c>
      <c r="O4" s="62" t="str">
        <f aca="false">DC_Cost!O4</f>
        <v>Rubin Ultra NVL576</v>
      </c>
      <c r="P4" s="62" t="str">
        <f aca="false">DC_Cost!P4</f>
        <v>Rubin Ultra NVL576</v>
      </c>
      <c r="Q4" s="62" t="str">
        <f aca="false">DC_Cost!Q4</f>
        <v>Rubin Ultra NVL576</v>
      </c>
    </row>
    <row r="5" customFormat="false" ht="15" hidden="false" customHeight="false" outlineLevel="0" collapsed="false">
      <c r="A5" s="9" t="s">
        <v>12</v>
      </c>
      <c r="C5" s="62" t="str">
        <f aca="false">DC_Cost!C5</f>
        <v>低成本</v>
      </c>
      <c r="D5" s="62" t="str">
        <f aca="false">DC_Cost!D5</f>
        <v>基準</v>
      </c>
      <c r="E5" s="62" t="str">
        <f aca="false">DC_Cost!E5</f>
        <v>高成本</v>
      </c>
      <c r="F5" s="62" t="str">
        <f aca="false">DC_Cost!F5</f>
        <v>低成本</v>
      </c>
      <c r="G5" s="62" t="str">
        <f aca="false">DC_Cost!G5</f>
        <v>基準</v>
      </c>
      <c r="H5" s="62" t="str">
        <f aca="false">DC_Cost!H5</f>
        <v>高成本</v>
      </c>
      <c r="I5" s="62" t="str">
        <f aca="false">DC_Cost!I5</f>
        <v>低成本</v>
      </c>
      <c r="J5" s="62" t="str">
        <f aca="false">DC_Cost!J5</f>
        <v>基準</v>
      </c>
      <c r="K5" s="62" t="str">
        <f aca="false">DC_Cost!K5</f>
        <v>高成本</v>
      </c>
      <c r="L5" s="62" t="str">
        <f aca="false">DC_Cost!L5</f>
        <v>低成本</v>
      </c>
      <c r="M5" s="62" t="str">
        <f aca="false">DC_Cost!M5</f>
        <v>基準</v>
      </c>
      <c r="N5" s="62" t="str">
        <f aca="false">DC_Cost!N5</f>
        <v>高成本</v>
      </c>
      <c r="O5" s="62" t="str">
        <f aca="false">DC_Cost!O5</f>
        <v>低成本</v>
      </c>
      <c r="P5" s="62" t="str">
        <f aca="false">DC_Cost!P5</f>
        <v>基準</v>
      </c>
      <c r="Q5" s="62" t="str">
        <f aca="false">DC_Cost!Q5</f>
        <v>高成本</v>
      </c>
    </row>
    <row r="6" customFormat="false" ht="15" hidden="false" customHeight="false" outlineLevel="0" collapsed="false">
      <c r="A6" s="9" t="s">
        <v>349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49" t="s">
        <v>605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customFormat="false" ht="15" hidden="false" customHeight="false" outlineLevel="0" collapsed="false">
      <c r="A8" s="44" t="s">
        <v>606</v>
      </c>
      <c r="B8" s="45" t="s">
        <v>607</v>
      </c>
      <c r="C8" s="77" t="n">
        <f aca="false">DC_Cost!C58</f>
        <v>1.11286669150028</v>
      </c>
      <c r="D8" s="77" t="n">
        <f aca="false">DC_Cost!D58</f>
        <v>1.60502925637165</v>
      </c>
      <c r="E8" s="77" t="n">
        <f aca="false">DC_Cost!E58</f>
        <v>2.76720095633376</v>
      </c>
      <c r="F8" s="77" t="n">
        <f aca="false">DC_Cost!F58</f>
        <v>1.54359016643037</v>
      </c>
      <c r="G8" s="77" t="n">
        <f aca="false">DC_Cost!G58</f>
        <v>2.07676472784428</v>
      </c>
      <c r="H8" s="77" t="n">
        <f aca="false">DC_Cost!H58</f>
        <v>3.37961397142862</v>
      </c>
      <c r="I8" s="77" t="n">
        <f aca="false">DC_Cost!I58</f>
        <v>2.04424655562441</v>
      </c>
      <c r="J8" s="77" t="n">
        <f aca="false">DC_Cost!J58</f>
        <v>2.98751288214055</v>
      </c>
      <c r="K8" s="77" t="n">
        <f aca="false">DC_Cost!K58</f>
        <v>5.6029441686335</v>
      </c>
      <c r="L8" s="77" t="n">
        <f aca="false">DC_Cost!L58</f>
        <v>3.41070829238845</v>
      </c>
      <c r="M8" s="77" t="n">
        <f aca="false">DC_Cost!M58</f>
        <v>4.71670281161092</v>
      </c>
      <c r="N8" s="77" t="n">
        <f aca="false">DC_Cost!N58</f>
        <v>8.09104040200768</v>
      </c>
      <c r="O8" s="77" t="n">
        <f aca="false">DC_Cost!O58</f>
        <v>5.63852017134344</v>
      </c>
      <c r="P8" s="77" t="n">
        <f aca="false">DC_Cost!P58</f>
        <v>8.6706876752155</v>
      </c>
      <c r="Q8" s="77" t="n">
        <f aca="false">DC_Cost!Q58</f>
        <v>15.9170129511363</v>
      </c>
    </row>
    <row r="9" customFormat="false" ht="15" hidden="false" customHeight="false" outlineLevel="0" collapsed="false">
      <c r="A9" s="44" t="s">
        <v>608</v>
      </c>
      <c r="B9" s="45" t="s">
        <v>607</v>
      </c>
      <c r="C9" s="77" t="n">
        <f aca="false">DC_Cost!C57</f>
        <v>0.858328487231628</v>
      </c>
      <c r="D9" s="77" t="n">
        <f aca="false">DC_Cost!D57</f>
        <v>1.19184547960247</v>
      </c>
      <c r="E9" s="77" t="n">
        <f aca="false">DC_Cost!E57</f>
        <v>2.058675041473</v>
      </c>
      <c r="F9" s="77" t="n">
        <f aca="false">DC_Cost!F57</f>
        <v>1.19000660844732</v>
      </c>
      <c r="G9" s="77" t="n">
        <f aca="false">DC_Cost!G57</f>
        <v>1.53851503181567</v>
      </c>
      <c r="H9" s="77" t="n">
        <f aca="false">DC_Cost!H57</f>
        <v>2.49778765005716</v>
      </c>
      <c r="I9" s="77" t="n">
        <f aca="false">DC_Cost!I57</f>
        <v>1.5850032907665</v>
      </c>
      <c r="J9" s="77" t="n">
        <f aca="false">DC_Cost!J57</f>
        <v>2.23024901025153</v>
      </c>
      <c r="K9" s="77" t="n">
        <f aca="false">DC_Cost!K57</f>
        <v>4.21566720031043</v>
      </c>
      <c r="L9" s="77" t="n">
        <f aca="false">DC_Cost!L57</f>
        <v>2.64488206576388</v>
      </c>
      <c r="M9" s="77" t="n">
        <f aca="false">DC_Cost!M57</f>
        <v>3.51747354574866</v>
      </c>
      <c r="N9" s="77" t="n">
        <f aca="false">DC_Cost!N57</f>
        <v>6.05995439820971</v>
      </c>
      <c r="O9" s="77" t="n">
        <f aca="false">DC_Cost!O57</f>
        <v>4.39178072269974</v>
      </c>
      <c r="P9" s="77" t="n">
        <f aca="false">DC_Cost!P57</f>
        <v>6.50608885234023</v>
      </c>
      <c r="Q9" s="77" t="n">
        <f aca="false">DC_Cost!Q57</f>
        <v>12.0607477651595</v>
      </c>
    </row>
    <row r="10" customFormat="false" ht="15" hidden="false" customHeight="false" outlineLevel="0" collapsed="false">
      <c r="A10" s="44" t="s">
        <v>609</v>
      </c>
      <c r="B10" s="45" t="s">
        <v>45</v>
      </c>
      <c r="C10" s="81" t="n">
        <f aca="false">Serving!$C$17</f>
        <v>0.6</v>
      </c>
      <c r="D10" s="81" t="n">
        <f aca="false">Serving!$C$17</f>
        <v>0.6</v>
      </c>
      <c r="E10" s="81" t="n">
        <f aca="false">Serving!$C$17</f>
        <v>0.6</v>
      </c>
      <c r="F10" s="81" t="n">
        <f aca="false">Serving!$C$17</f>
        <v>0.6</v>
      </c>
      <c r="G10" s="81" t="n">
        <f aca="false">Serving!$C$17</f>
        <v>0.6</v>
      </c>
      <c r="H10" s="81" t="n">
        <f aca="false">Serving!$C$17</f>
        <v>0.6</v>
      </c>
      <c r="I10" s="81" t="n">
        <f aca="false">Serving!$C$17</f>
        <v>0.6</v>
      </c>
      <c r="J10" s="81" t="n">
        <f aca="false">Serving!$C$17</f>
        <v>0.6</v>
      </c>
      <c r="K10" s="81" t="n">
        <f aca="false">Serving!$C$17</f>
        <v>0.6</v>
      </c>
      <c r="L10" s="81" t="n">
        <f aca="false">Serving!$C$17</f>
        <v>0.6</v>
      </c>
      <c r="M10" s="81" t="n">
        <f aca="false">Serving!$C$17</f>
        <v>0.6</v>
      </c>
      <c r="N10" s="81" t="n">
        <f aca="false">Serving!$C$17</f>
        <v>0.6</v>
      </c>
      <c r="O10" s="81" t="n">
        <f aca="false">Serving!$C$17</f>
        <v>0.6</v>
      </c>
      <c r="P10" s="81" t="n">
        <f aca="false">Serving!$C$17</f>
        <v>0.6</v>
      </c>
      <c r="Q10" s="81" t="n">
        <f aca="false">Serving!$C$17</f>
        <v>0.6</v>
      </c>
    </row>
    <row r="12" customFormat="false" ht="15" hidden="false" customHeight="false" outlineLevel="0" collapsed="false">
      <c r="A12" s="72" t="s">
        <v>185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customFormat="false" ht="15" hidden="false" customHeight="false" outlineLevel="0" collapsed="false">
      <c r="A13" s="45" t="s">
        <v>610</v>
      </c>
      <c r="B13" s="45" t="s">
        <v>548</v>
      </c>
      <c r="C13" s="80" t="n">
        <f aca="false">INDEX(Perf!$C$97:$Q$97,3*(C$6-1)+1)</f>
        <v>128.053967940681</v>
      </c>
      <c r="D13" s="80" t="n">
        <f aca="false">INDEX(Perf!$C$97:$Q$97,3*(D$6-1)+1)</f>
        <v>128.053967940681</v>
      </c>
      <c r="E13" s="80" t="n">
        <f aca="false">INDEX(Perf!$C$97:$Q$97,3*(E$6-1)+1)</f>
        <v>128.053967940681</v>
      </c>
      <c r="F13" s="80" t="n">
        <f aca="false">INDEX(Perf!$C$97:$Q$97,3*(F$6-1)+1)</f>
        <v>12.6645374293333</v>
      </c>
      <c r="G13" s="80" t="n">
        <f aca="false">INDEX(Perf!$C$97:$Q$97,3*(G$6-1)+1)</f>
        <v>12.6645374293333</v>
      </c>
      <c r="H13" s="80" t="n">
        <f aca="false">INDEX(Perf!$C$97:$Q$97,3*(H$6-1)+1)</f>
        <v>12.6645374293333</v>
      </c>
      <c r="I13" s="80" t="n">
        <f aca="false">INDEX(Perf!$C$97:$Q$97,3*(I$6-1)+1)</f>
        <v>8.44302495288889</v>
      </c>
      <c r="J13" s="80" t="n">
        <f aca="false">INDEX(Perf!$C$97:$Q$97,3*(J$6-1)+1)</f>
        <v>8.44302495288889</v>
      </c>
      <c r="K13" s="80" t="n">
        <f aca="false">INDEX(Perf!$C$97:$Q$97,3*(K$6-1)+1)</f>
        <v>8.44302495288889</v>
      </c>
      <c r="L13" s="80" t="n">
        <f aca="false">INDEX(Perf!$C$97:$Q$97,3*(L$6-1)+1)</f>
        <v>3.61843926552381</v>
      </c>
      <c r="M13" s="80" t="n">
        <f aca="false">INDEX(Perf!$C$97:$Q$97,3*(M$6-1)+1)</f>
        <v>3.61843926552381</v>
      </c>
      <c r="N13" s="80" t="n">
        <f aca="false">INDEX(Perf!$C$97:$Q$97,3*(N$6-1)+1)</f>
        <v>3.61843926552381</v>
      </c>
      <c r="O13" s="80" t="n">
        <f aca="false">INDEX(Perf!$C$97:$Q$97,3*(O$6-1)+1)</f>
        <v>1.73486814100457</v>
      </c>
      <c r="P13" s="80" t="n">
        <f aca="false">INDEX(Perf!$C$97:$Q$97,3*(P$6-1)+1)</f>
        <v>1.73486814100457</v>
      </c>
      <c r="Q13" s="80" t="n">
        <f aca="false">INDEX(Perf!$C$97:$Q$97,3*(Q$6-1)+1)</f>
        <v>1.73486814100457</v>
      </c>
    </row>
    <row r="14" customFormat="false" ht="15" hidden="false" customHeight="false" outlineLevel="0" collapsed="false">
      <c r="A14" s="45" t="s">
        <v>611</v>
      </c>
      <c r="B14" s="45" t="s">
        <v>548</v>
      </c>
      <c r="C14" s="75" t="n">
        <f aca="false">INDEX(Perf!$C$98:$Q$98,3*(C$6-1)+1)</f>
        <v>0.02795</v>
      </c>
      <c r="D14" s="75" t="n">
        <f aca="false">INDEX(Perf!$C$98:$Q$98,3*(D$6-1)+1)</f>
        <v>0.02795</v>
      </c>
      <c r="E14" s="75" t="n">
        <f aca="false">INDEX(Perf!$C$98:$Q$98,3*(E$6-1)+1)</f>
        <v>0.02795</v>
      </c>
      <c r="F14" s="75" t="n">
        <f aca="false">INDEX(Perf!$C$98:$Q$98,3*(F$6-1)+1)</f>
        <v>0.02795</v>
      </c>
      <c r="G14" s="75" t="n">
        <f aca="false">INDEX(Perf!$C$98:$Q$98,3*(G$6-1)+1)</f>
        <v>0.02795</v>
      </c>
      <c r="H14" s="75" t="n">
        <f aca="false">INDEX(Perf!$C$98:$Q$98,3*(H$6-1)+1)</f>
        <v>0.02795</v>
      </c>
      <c r="I14" s="75" t="n">
        <f aca="false">INDEX(Perf!$C$98:$Q$98,3*(I$6-1)+1)</f>
        <v>0.02795</v>
      </c>
      <c r="J14" s="75" t="n">
        <f aca="false">INDEX(Perf!$C$98:$Q$98,3*(J$6-1)+1)</f>
        <v>0.02795</v>
      </c>
      <c r="K14" s="75" t="n">
        <f aca="false">INDEX(Perf!$C$98:$Q$98,3*(K$6-1)+1)</f>
        <v>0.02795</v>
      </c>
      <c r="L14" s="75" t="n">
        <f aca="false">INDEX(Perf!$C$98:$Q$98,3*(L$6-1)+1)</f>
        <v>0.02795</v>
      </c>
      <c r="M14" s="75" t="n">
        <f aca="false">INDEX(Perf!$C$98:$Q$98,3*(M$6-1)+1)</f>
        <v>0.02795</v>
      </c>
      <c r="N14" s="75" t="n">
        <f aca="false">INDEX(Perf!$C$98:$Q$98,3*(N$6-1)+1)</f>
        <v>0.02795</v>
      </c>
      <c r="O14" s="75" t="n">
        <f aca="false">INDEX(Perf!$C$98:$Q$98,3*(O$6-1)+1)</f>
        <v>0.02795</v>
      </c>
      <c r="P14" s="75" t="n">
        <f aca="false">INDEX(Perf!$C$98:$Q$98,3*(P$6-1)+1)</f>
        <v>0.02795</v>
      </c>
      <c r="Q14" s="75" t="n">
        <f aca="false">INDEX(Perf!$C$98:$Q$98,3*(Q$6-1)+1)</f>
        <v>0.02795</v>
      </c>
    </row>
    <row r="15" customFormat="false" ht="15" hidden="false" customHeight="false" outlineLevel="0" collapsed="false">
      <c r="A15" s="45" t="s">
        <v>612</v>
      </c>
      <c r="B15" s="45" t="s">
        <v>548</v>
      </c>
      <c r="C15" s="80" t="n">
        <f aca="false">INDEX(Perf!$C$99:$Q$99,3*(C$6-1)+1)</f>
        <v>1680.21028858046</v>
      </c>
      <c r="D15" s="80" t="n">
        <f aca="false">INDEX(Perf!$C$99:$Q$99,3*(D$6-1)+1)</f>
        <v>1680.21028858046</v>
      </c>
      <c r="E15" s="80" t="n">
        <f aca="false">INDEX(Perf!$C$99:$Q$99,3*(E$6-1)+1)</f>
        <v>1680.21028858046</v>
      </c>
      <c r="F15" s="80" t="n">
        <f aca="false">INDEX(Perf!$C$99:$Q$99,3*(F$6-1)+1)</f>
        <v>285.736720044291</v>
      </c>
      <c r="G15" s="80" t="n">
        <f aca="false">INDEX(Perf!$C$99:$Q$99,3*(G$6-1)+1)</f>
        <v>285.736720044291</v>
      </c>
      <c r="H15" s="80" t="n">
        <f aca="false">INDEX(Perf!$C$99:$Q$99,3*(H$6-1)+1)</f>
        <v>285.736720044291</v>
      </c>
      <c r="I15" s="80" t="n">
        <f aca="false">INDEX(Perf!$C$99:$Q$99,3*(I$6-1)+1)</f>
        <v>190.491146696194</v>
      </c>
      <c r="J15" s="80" t="n">
        <f aca="false">INDEX(Perf!$C$99:$Q$99,3*(J$6-1)+1)</f>
        <v>190.491146696194</v>
      </c>
      <c r="K15" s="80" t="n">
        <f aca="false">INDEX(Perf!$C$99:$Q$99,3*(K$6-1)+1)</f>
        <v>190.491146696194</v>
      </c>
      <c r="L15" s="80" t="n">
        <f aca="false">INDEX(Perf!$C$99:$Q$99,3*(L$6-1)+1)</f>
        <v>76.5928924791547</v>
      </c>
      <c r="M15" s="80" t="n">
        <f aca="false">INDEX(Perf!$C$99:$Q$99,3*(M$6-1)+1)</f>
        <v>76.5928924791547</v>
      </c>
      <c r="N15" s="80" t="n">
        <f aca="false">INDEX(Perf!$C$99:$Q$99,3*(N$6-1)+1)</f>
        <v>76.5928924791547</v>
      </c>
      <c r="O15" s="80" t="n">
        <f aca="false">INDEX(Perf!$C$99:$Q$99,3*(O$6-1)+1)</f>
        <v>36.1156921495377</v>
      </c>
      <c r="P15" s="80" t="n">
        <f aca="false">INDEX(Perf!$C$99:$Q$99,3*(P$6-1)+1)</f>
        <v>36.1156921495377</v>
      </c>
      <c r="Q15" s="80" t="n">
        <f aca="false">INDEX(Perf!$C$99:$Q$99,3*(Q$6-1)+1)</f>
        <v>36.1156921495377</v>
      </c>
    </row>
    <row r="16" customFormat="false" ht="15" hidden="false" customHeight="false" outlineLevel="0" collapsed="false">
      <c r="A16" s="44" t="s">
        <v>613</v>
      </c>
      <c r="B16" s="45" t="s">
        <v>562</v>
      </c>
      <c r="C16" s="106" t="n">
        <f aca="false">C$8/3600*C13</f>
        <v>0.0395852765654522</v>
      </c>
      <c r="D16" s="106" t="n">
        <f aca="false">D$8/3600*D13</f>
        <v>0.0570917680386861</v>
      </c>
      <c r="E16" s="106" t="n">
        <f aca="false">E$8/3600*E13</f>
        <v>0.098430850707718</v>
      </c>
      <c r="F16" s="106" t="n">
        <f aca="false">F$8/3600*F13</f>
        <v>0.00543023762175232</v>
      </c>
      <c r="G16" s="106" t="n">
        <f aca="false">G$8/3600*G13</f>
        <v>0.00730590684102865</v>
      </c>
      <c r="H16" s="106" t="n">
        <f aca="false">H$8/3600*H13</f>
        <v>0.0118892354549599</v>
      </c>
      <c r="I16" s="106" t="n">
        <f aca="false">I$8/3600*I13</f>
        <v>0.00479434018860947</v>
      </c>
      <c r="J16" s="106" t="n">
        <f aca="false">J$8/3600*J13</f>
        <v>0.00700656828083046</v>
      </c>
      <c r="K16" s="106" t="n">
        <f aca="false">K$8/3600*K13</f>
        <v>0.0131404992848378</v>
      </c>
      <c r="L16" s="106" t="n">
        <f aca="false">L$8/3600*L13</f>
        <v>0.00342817800234057</v>
      </c>
      <c r="M16" s="106" t="n">
        <f aca="false">M$8/3600*M13</f>
        <v>0.00474086184926097</v>
      </c>
      <c r="N16" s="106" t="n">
        <f aca="false">N$8/3600*N13</f>
        <v>0.00813248285821226</v>
      </c>
      <c r="O16" s="106" t="n">
        <f aca="false">O$8/3600*O13</f>
        <v>0.00271724694657648</v>
      </c>
      <c r="P16" s="106" t="n">
        <f aca="false">P$8/3600*P13</f>
        <v>0.0041784721689812</v>
      </c>
      <c r="Q16" s="106" t="n">
        <f aca="false">Q$8/3600*Q13</f>
        <v>0.00767053296357873</v>
      </c>
    </row>
    <row r="17" customFormat="false" ht="15" hidden="false" customHeight="false" outlineLevel="0" collapsed="false">
      <c r="A17" s="44" t="s">
        <v>614</v>
      </c>
      <c r="B17" s="45" t="s">
        <v>562</v>
      </c>
      <c r="C17" s="107" t="n">
        <f aca="false">C$8/3600*C14</f>
        <v>8.64017334095354E-006</v>
      </c>
      <c r="D17" s="107" t="n">
        <f aca="false">D$8/3600*D14</f>
        <v>1.24612688098854E-005</v>
      </c>
      <c r="E17" s="107" t="n">
        <f aca="false">E$8/3600*E14</f>
        <v>2.14842407582024E-005</v>
      </c>
      <c r="F17" s="107" t="n">
        <f aca="false">F$8/3600*F14</f>
        <v>1.19842625421469E-005</v>
      </c>
      <c r="G17" s="107" t="n">
        <f aca="false">G$8/3600*G14</f>
        <v>1.61237705953466E-005</v>
      </c>
      <c r="H17" s="107" t="n">
        <f aca="false">H$8/3600*H14</f>
        <v>2.62389473615083E-005</v>
      </c>
      <c r="I17" s="107" t="n">
        <f aca="false">I$8/3600*I14</f>
        <v>1.58713031193618E-005</v>
      </c>
      <c r="J17" s="107" t="n">
        <f aca="false">J$8/3600*J14</f>
        <v>2.31947180710634E-005</v>
      </c>
      <c r="K17" s="107" t="n">
        <f aca="false">K$8/3600*K14</f>
        <v>4.35006359759184E-005</v>
      </c>
      <c r="L17" s="107" t="n">
        <f aca="false">L$8/3600*L14</f>
        <v>2.64803602145159E-005</v>
      </c>
      <c r="M17" s="107" t="n">
        <f aca="false">M$8/3600*M14</f>
        <v>3.6619956551257E-005</v>
      </c>
      <c r="N17" s="107" t="n">
        <f aca="false">N$8/3600*N14</f>
        <v>6.28179386766985E-005</v>
      </c>
      <c r="O17" s="107" t="n">
        <f aca="false">O$8/3600*O14</f>
        <v>4.37768441080692E-005</v>
      </c>
      <c r="P17" s="107" t="n">
        <f aca="false">P$8/3600*P14</f>
        <v>6.73182557006314E-005</v>
      </c>
      <c r="Q17" s="107" t="n">
        <f aca="false">Q$8/3600*Q14</f>
        <v>0.000123577919995628</v>
      </c>
    </row>
    <row r="18" customFormat="false" ht="15" hidden="false" customHeight="false" outlineLevel="0" collapsed="false">
      <c r="A18" s="45" t="s">
        <v>615</v>
      </c>
      <c r="B18" s="45" t="s">
        <v>562</v>
      </c>
      <c r="C18" s="106" t="n">
        <f aca="false">IF(C15&gt;0,C$8/3600*C15,"SLO 不可達")</f>
        <v>0.519402795799241</v>
      </c>
      <c r="D18" s="106" t="n">
        <f aca="false">IF(D15&gt;0,D$8/3600*D15,"SLO 不可達")</f>
        <v>0.749107408341193</v>
      </c>
      <c r="E18" s="106" t="n">
        <f aca="false">IF(E15&gt;0,E$8/3600*E15,"SLO 不可達")</f>
        <v>1.29152208816713</v>
      </c>
      <c r="F18" s="106" t="n">
        <f aca="false">IF(F15&gt;0,F$8/3600*F15,"SLO 不可達")</f>
        <v>0.122516775346788</v>
      </c>
      <c r="G18" s="106" t="n">
        <f aca="false">IF(G15&gt;0,G$8/3600*G15,"SLO 不可達")</f>
        <v>0.164835539343861</v>
      </c>
      <c r="H18" s="106" t="n">
        <f aca="false">IF(H15&gt;0,H$8/3600*H15,"SLO 不可達")</f>
        <v>0.268244392003298</v>
      </c>
      <c r="I18" s="106" t="n">
        <f aca="false">IF(I15&gt;0,I$8/3600*I15,"SLO 不可達")</f>
        <v>0.108169686252955</v>
      </c>
      <c r="J18" s="106" t="n">
        <f aca="false">IF(J15&gt;0,J$8/3600*J15,"SLO 不可達")</f>
        <v>0.15808187630239</v>
      </c>
      <c r="K18" s="106" t="n">
        <f aca="false">IF(K15&gt;0,K$8/3600*K15,"SLO 不可達")</f>
        <v>0.296475349877152</v>
      </c>
      <c r="L18" s="106" t="n">
        <f aca="false">IF(L15&gt;0,L$8/3600*L15,"SLO 不可達")</f>
        <v>0.0725655593101862</v>
      </c>
      <c r="M18" s="106" t="n">
        <f aca="false">IF(M15&gt;0,M$8/3600*M15,"SLO 不可達")</f>
        <v>0.1003516420294</v>
      </c>
      <c r="N18" s="106" t="n">
        <f aca="false">IF(N15&gt;0,N$8/3600*N15,"SLO 不可達")</f>
        <v>0.172143385432075</v>
      </c>
      <c r="O18" s="106" t="n">
        <f aca="false">IF(O15&gt;0,O$8/3600*O15,"SLO 不可達")</f>
        <v>0.0565664051908884</v>
      </c>
      <c r="P18" s="106" t="n">
        <f aca="false">IF(P15&gt;0,P$8/3600*P15,"SLO 不可達")</f>
        <v>0.0869855241119093</v>
      </c>
      <c r="Q18" s="106" t="n">
        <f aca="false">IF(Q15&gt;0,Q$8/3600*Q15,"SLO 不可達")</f>
        <v>0.159681649912067</v>
      </c>
    </row>
    <row r="19" customFormat="false" ht="15" hidden="false" customHeight="false" outlineLevel="0" collapsed="false">
      <c r="A19" s="44" t="s">
        <v>616</v>
      </c>
      <c r="B19" s="45" t="s">
        <v>562</v>
      </c>
      <c r="C19" s="97" t="n">
        <f aca="false">C16/C$10</f>
        <v>0.0659754609424204</v>
      </c>
      <c r="D19" s="97" t="n">
        <f aca="false">D16/D$10</f>
        <v>0.0951529467311435</v>
      </c>
      <c r="E19" s="97" t="n">
        <f aca="false">E16/E$10</f>
        <v>0.164051417846197</v>
      </c>
      <c r="F19" s="97" t="n">
        <f aca="false">F16/F$10</f>
        <v>0.00905039603625387</v>
      </c>
      <c r="G19" s="97" t="n">
        <f aca="false">G16/G$10</f>
        <v>0.0121765114017144</v>
      </c>
      <c r="H19" s="97" t="n">
        <f aca="false">H16/H$10</f>
        <v>0.0198153924249331</v>
      </c>
      <c r="I19" s="97" t="n">
        <f aca="false">I16/I$10</f>
        <v>0.00799056698101578</v>
      </c>
      <c r="J19" s="97" t="n">
        <f aca="false">J16/J$10</f>
        <v>0.0116776138013841</v>
      </c>
      <c r="K19" s="97" t="n">
        <f aca="false">K16/K$10</f>
        <v>0.0219008321413963</v>
      </c>
      <c r="L19" s="97" t="n">
        <f aca="false">L16/L$10</f>
        <v>0.00571363000390095</v>
      </c>
      <c r="M19" s="97" t="n">
        <f aca="false">M16/M$10</f>
        <v>0.00790143641543495</v>
      </c>
      <c r="N19" s="97" t="n">
        <f aca="false">N16/N$10</f>
        <v>0.0135541380970204</v>
      </c>
      <c r="O19" s="97" t="n">
        <f aca="false">O16/O$10</f>
        <v>0.00452874491096081</v>
      </c>
      <c r="P19" s="97" t="n">
        <f aca="false">P16/P$10</f>
        <v>0.00696412028163533</v>
      </c>
      <c r="Q19" s="97" t="n">
        <f aca="false">Q16/Q$10</f>
        <v>0.0127842216059646</v>
      </c>
    </row>
    <row r="20" customFormat="false" ht="15" hidden="false" customHeight="false" outlineLevel="0" collapsed="false">
      <c r="A20" s="44" t="s">
        <v>617</v>
      </c>
      <c r="B20" s="45" t="s">
        <v>562</v>
      </c>
      <c r="C20" s="107" t="n">
        <f aca="false">C17/C$10</f>
        <v>1.44002889015892E-005</v>
      </c>
      <c r="D20" s="107" t="n">
        <f aca="false">D17/D$10</f>
        <v>2.07687813498091E-005</v>
      </c>
      <c r="E20" s="107" t="n">
        <f aca="false">E17/E$10</f>
        <v>3.58070679303373E-005</v>
      </c>
      <c r="F20" s="107" t="n">
        <f aca="false">F17/F$10</f>
        <v>1.99737709035782E-005</v>
      </c>
      <c r="G20" s="107" t="n">
        <f aca="false">G17/G$10</f>
        <v>2.68729509922443E-005</v>
      </c>
      <c r="H20" s="107" t="n">
        <f aca="false">H17/H$10</f>
        <v>4.37315789358471E-005</v>
      </c>
      <c r="I20" s="107" t="n">
        <f aca="false">I17/I$10</f>
        <v>2.64521718656029E-005</v>
      </c>
      <c r="J20" s="107" t="n">
        <f aca="false">J17/J$10</f>
        <v>3.86578634517724E-005</v>
      </c>
      <c r="K20" s="107" t="n">
        <f aca="false">K17/K$10</f>
        <v>7.2501059959864E-005</v>
      </c>
      <c r="L20" s="107" t="n">
        <f aca="false">L17/L$10</f>
        <v>4.41339336908599E-005</v>
      </c>
      <c r="M20" s="107" t="n">
        <f aca="false">M17/M$10</f>
        <v>6.10332609187616E-005</v>
      </c>
      <c r="N20" s="107" t="n">
        <f aca="false">N17/N$10</f>
        <v>0.000104696564461164</v>
      </c>
      <c r="O20" s="107" t="n">
        <f aca="false">O17/O$10</f>
        <v>7.2961406846782E-005</v>
      </c>
      <c r="P20" s="107" t="n">
        <f aca="false">P17/P$10</f>
        <v>0.000112197092834386</v>
      </c>
      <c r="Q20" s="107" t="n">
        <f aca="false">Q17/Q$10</f>
        <v>0.000205963199992713</v>
      </c>
    </row>
    <row r="21" customFormat="false" ht="15" hidden="false" customHeight="false" outlineLevel="0" collapsed="false">
      <c r="A21" s="45" t="s">
        <v>618</v>
      </c>
      <c r="B21" s="45" t="s">
        <v>562</v>
      </c>
      <c r="C21" s="106" t="n">
        <f aca="false">IF(ISNUMBER(C18),C18/C$10,C18)</f>
        <v>0.865671326332068</v>
      </c>
      <c r="D21" s="106" t="n">
        <f aca="false">IF(ISNUMBER(D18),D18/D$10,D18)</f>
        <v>1.24851234723532</v>
      </c>
      <c r="E21" s="106" t="n">
        <f aca="false">IF(ISNUMBER(E18),E18/E$10,E18)</f>
        <v>2.15253681361189</v>
      </c>
      <c r="F21" s="106" t="n">
        <f aca="false">IF(ISNUMBER(F18),F18/F$10,F18)</f>
        <v>0.20419462557798</v>
      </c>
      <c r="G21" s="106" t="n">
        <f aca="false">IF(ISNUMBER(G18),G18/G$10,G18)</f>
        <v>0.274725898906435</v>
      </c>
      <c r="H21" s="106" t="n">
        <f aca="false">IF(ISNUMBER(H18),H18/H$10,H18)</f>
        <v>0.447073986672163</v>
      </c>
      <c r="I21" s="106" t="n">
        <f aca="false">IF(ISNUMBER(I18),I18/I$10,I18)</f>
        <v>0.180282810421592</v>
      </c>
      <c r="J21" s="106" t="n">
        <f aca="false">IF(ISNUMBER(J18),J18/J$10,J18)</f>
        <v>0.263469793837317</v>
      </c>
      <c r="K21" s="106" t="n">
        <f aca="false">IF(ISNUMBER(K18),K18/K$10,K18)</f>
        <v>0.494125583128587</v>
      </c>
      <c r="L21" s="106" t="n">
        <f aca="false">IF(ISNUMBER(L18),L18/L$10,L18)</f>
        <v>0.12094259885031</v>
      </c>
      <c r="M21" s="106" t="n">
        <f aca="false">IF(ISNUMBER(M18),M18/M$10,M18)</f>
        <v>0.167252736715667</v>
      </c>
      <c r="N21" s="106" t="n">
        <f aca="false">IF(ISNUMBER(N18),N18/N$10,N18)</f>
        <v>0.286905642386792</v>
      </c>
      <c r="O21" s="106" t="n">
        <f aca="false">IF(ISNUMBER(O18),O18/O$10,O18)</f>
        <v>0.094277341984814</v>
      </c>
      <c r="P21" s="106" t="n">
        <f aca="false">IF(ISNUMBER(P18),P18/P$10,P18)</f>
        <v>0.144975873519849</v>
      </c>
      <c r="Q21" s="106" t="n">
        <f aca="false">IF(ISNUMBER(Q18),Q18/Q$10,Q18)</f>
        <v>0.266136083186779</v>
      </c>
    </row>
    <row r="22" customFormat="false" ht="15" hidden="false" customHeight="false" outlineLevel="0" collapsed="false">
      <c r="A22" s="45" t="s">
        <v>619</v>
      </c>
      <c r="B22" s="45" t="s">
        <v>562</v>
      </c>
      <c r="C22" s="97" t="n">
        <f aca="false">IF(C15&gt;0,C$9/3600*C15,"SLO 不可達")</f>
        <v>0.400603432007857</v>
      </c>
      <c r="D22" s="97" t="n">
        <f aca="false">IF(D15&gt;0,D$9/3600*D15,"SLO 不可達")</f>
        <v>0.556264177007275</v>
      </c>
      <c r="E22" s="97" t="n">
        <f aca="false">IF(E15&gt;0,E$9/3600*E15,"SLO 不可達")</f>
        <v>0.96083527375743</v>
      </c>
      <c r="F22" s="97" t="n">
        <f aca="false">IF(F15&gt;0,F$9/3600*F15,"SLO 不可達")</f>
        <v>0.0944523847579912</v>
      </c>
      <c r="G22" s="97" t="n">
        <f aca="false">IF(G15&gt;0,G$9/3600*G15,"SLO 不可達")</f>
        <v>0.122113955258291</v>
      </c>
      <c r="H22" s="97" t="n">
        <f aca="false">IF(H15&gt;0,H$9/3600*H15,"SLO 不可達")</f>
        <v>0.198252680692909</v>
      </c>
      <c r="I22" s="97" t="n">
        <f aca="false">IF(I15&gt;0,I$9/3600*I15,"SLO 不可達")</f>
        <v>0.083869192882042</v>
      </c>
      <c r="J22" s="97" t="n">
        <f aca="false">IF(J15&gt;0,J$9/3600*J15,"SLO 不可達")</f>
        <v>0.118011858716907</v>
      </c>
      <c r="K22" s="97" t="n">
        <f aca="false">IF(K15&gt;0,K$9/3600*K15,"SLO 不可達")</f>
        <v>0.223068688632408</v>
      </c>
      <c r="L22" s="97" t="n">
        <f aca="false">IF(L15&gt;0,L$9/3600*L15,"SLO 不可達")</f>
        <v>0.0562719910230825</v>
      </c>
      <c r="M22" s="97" t="n">
        <f aca="false">IF(M15&gt;0,M$9/3600*M15,"SLO 不可達")</f>
        <v>0.0748370758577218</v>
      </c>
      <c r="N22" s="97" t="n">
        <f aca="false">IF(N15&gt;0,N$9/3600*N15,"SLO 不可達")</f>
        <v>0.128930398791849</v>
      </c>
      <c r="O22" s="97" t="n">
        <f aca="false">IF(O15&gt;0,O$9/3600*O15,"SLO 不可達")</f>
        <v>0.0440589446025828</v>
      </c>
      <c r="P22" s="97" t="n">
        <f aca="false">IF(P15&gt;0,P$9/3600*P15,"SLO 不可達")</f>
        <v>0.0652699728024053</v>
      </c>
      <c r="Q22" s="97" t="n">
        <f aca="false">IF(Q15&gt;0,Q$9/3600*Q15,"SLO 不可達")</f>
        <v>0.120995070383257</v>
      </c>
    </row>
    <row r="23" customFormat="false" ht="15" hidden="false" customHeight="false" outlineLevel="0" collapsed="false">
      <c r="A23" s="44" t="s">
        <v>620</v>
      </c>
      <c r="B23" s="45" t="s">
        <v>562</v>
      </c>
      <c r="C23" s="75" t="n">
        <f aca="false">IF(ISNUMBER(C18),(Serving!$C$23*C16+Serving!$C$24*C18)/(Serving!$C$23+Serving!$C$24),C18)</f>
        <v>0.0928983342580954</v>
      </c>
      <c r="D23" s="75" t="n">
        <f aca="false">IF(ISNUMBER(D18),(Serving!$C$23*D16+Serving!$C$24*D18)/(Serving!$C$23+Serving!$C$24),D18)</f>
        <v>0.133982394738965</v>
      </c>
      <c r="E23" s="75" t="n">
        <f aca="false">IF(ISNUMBER(E18),(Serving!$C$23*E16+Serving!$C$24*E18)/(Serving!$C$23+Serving!$C$24),E18)</f>
        <v>0.230996543758764</v>
      </c>
      <c r="F23" s="75" t="n">
        <f aca="false">IF(ISNUMBER(F18),(Serving!$C$23*F16+Serving!$C$24*F18)/(Serving!$C$23+Serving!$C$24),F18)</f>
        <v>0.0184398529245341</v>
      </c>
      <c r="G23" s="75" t="n">
        <f aca="false">IF(ISNUMBER(G18),(Serving!$C$23*G16+Serving!$C$24*G18)/(Serving!$C$23+Serving!$C$24),G18)</f>
        <v>0.0248091993413433</v>
      </c>
      <c r="H23" s="75" t="n">
        <f aca="false">IF(ISNUMBER(H18),(Serving!$C$23*H16+Serving!$C$24*H18)/(Serving!$C$23+Serving!$C$24),H18)</f>
        <v>0.0403731417381086</v>
      </c>
      <c r="I23" s="75" t="n">
        <f aca="false">IF(ISNUMBER(I18),(Serving!$C$23*I16+Serving!$C$24*I18)/(Serving!$C$23+Serving!$C$24),I18)</f>
        <v>0.0162804897513146</v>
      </c>
      <c r="J23" s="75" t="n">
        <f aca="false">IF(ISNUMBER(J18),(Serving!$C$23*J16+Serving!$C$24*J18)/(Serving!$C$23+Serving!$C$24),J18)</f>
        <v>0.0237927136165593</v>
      </c>
      <c r="K23" s="75" t="n">
        <f aca="false">IF(ISNUMBER(K18),(Serving!$C$23*K16+Serving!$C$24*K18)/(Serving!$C$23+Serving!$C$24),K18)</f>
        <v>0.0446221493506505</v>
      </c>
      <c r="L23" s="75" t="n">
        <f aca="false">IF(ISNUMBER(L18),(Serving!$C$23*L16+Serving!$C$24*L18)/(Serving!$C$23+Serving!$C$24),L18)</f>
        <v>0.0111101092587679</v>
      </c>
      <c r="M23" s="75" t="n">
        <f aca="false">IF(ISNUMBER(M18),(Serving!$C$23*M16+Serving!$C$24*M18)/(Serving!$C$23+Serving!$C$24),M18)</f>
        <v>0.0153642818692765</v>
      </c>
      <c r="N23" s="75" t="n">
        <f aca="false">IF(ISNUMBER(N18),(Serving!$C$23*N16+Serving!$C$24*N18)/(Serving!$C$23+Serving!$C$24),N18)</f>
        <v>0.0263559164775304</v>
      </c>
      <c r="O23" s="75" t="n">
        <f aca="false">IF(ISNUMBER(O18),(Serving!$C$23*O16+Serving!$C$24*O18)/(Serving!$C$23+Serving!$C$24),O18)</f>
        <v>0.00870048675150003</v>
      </c>
      <c r="P23" s="75" t="n">
        <f aca="false">IF(ISNUMBER(P18),(Serving!$C$23*P16+Serving!$C$24*P18)/(Serving!$C$23+Serving!$C$24),P18)</f>
        <v>0.0133792557181954</v>
      </c>
      <c r="Q23" s="75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72" t="s">
        <v>186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r="26" customFormat="false" ht="15" hidden="false" customHeight="false" outlineLevel="0" collapsed="false">
      <c r="A26" s="45" t="s">
        <v>610</v>
      </c>
      <c r="B26" s="45" t="s">
        <v>548</v>
      </c>
      <c r="C26" s="80" t="n">
        <f aca="false">INDEX(Perf!$C$97:$Q$97,3*(C$6-1)+2)</f>
        <v>449.301149551736</v>
      </c>
      <c r="D26" s="80" t="n">
        <f aca="false">INDEX(Perf!$C$97:$Q$97,3*(D$6-1)+2)</f>
        <v>449.301149551736</v>
      </c>
      <c r="E26" s="80" t="n">
        <f aca="false">INDEX(Perf!$C$97:$Q$97,3*(E$6-1)+2)</f>
        <v>449.301149551736</v>
      </c>
      <c r="F26" s="80" t="n">
        <f aca="false">INDEX(Perf!$C$97:$Q$97,3*(F$6-1)+2)</f>
        <v>44.4358836906667</v>
      </c>
      <c r="G26" s="80" t="n">
        <f aca="false">INDEX(Perf!$C$97:$Q$97,3*(G$6-1)+2)</f>
        <v>44.4358836906667</v>
      </c>
      <c r="H26" s="80" t="n">
        <f aca="false">INDEX(Perf!$C$97:$Q$97,3*(H$6-1)+2)</f>
        <v>44.4358836906667</v>
      </c>
      <c r="I26" s="80" t="n">
        <f aca="false">INDEX(Perf!$C$97:$Q$97,3*(I$6-1)+2)</f>
        <v>29.6239224604444</v>
      </c>
      <c r="J26" s="80" t="n">
        <f aca="false">INDEX(Perf!$C$97:$Q$97,3*(J$6-1)+2)</f>
        <v>29.6239224604444</v>
      </c>
      <c r="K26" s="80" t="n">
        <f aca="false">INDEX(Perf!$C$97:$Q$97,3*(K$6-1)+2)</f>
        <v>29.6239224604444</v>
      </c>
      <c r="L26" s="80" t="n">
        <f aca="false">INDEX(Perf!$C$97:$Q$97,3*(L$6-1)+2)</f>
        <v>12.6959667687619</v>
      </c>
      <c r="M26" s="80" t="n">
        <f aca="false">INDEX(Perf!$C$97:$Q$97,3*(M$6-1)+2)</f>
        <v>12.6959667687619</v>
      </c>
      <c r="N26" s="80" t="n">
        <f aca="false">INDEX(Perf!$C$97:$Q$97,3*(N$6-1)+2)</f>
        <v>12.6959667687619</v>
      </c>
      <c r="O26" s="80" t="n">
        <f aca="false">INDEX(Perf!$C$97:$Q$97,3*(O$6-1)+2)</f>
        <v>6.08710735488584</v>
      </c>
      <c r="P26" s="80" t="n">
        <f aca="false">INDEX(Perf!$C$97:$Q$97,3*(P$6-1)+2)</f>
        <v>6.08710735488584</v>
      </c>
      <c r="Q26" s="80" t="n">
        <f aca="false">INDEX(Perf!$C$97:$Q$97,3*(Q$6-1)+2)</f>
        <v>6.08710735488584</v>
      </c>
    </row>
    <row r="27" customFormat="false" ht="15" hidden="false" customHeight="false" outlineLevel="0" collapsed="false">
      <c r="A27" s="45" t="s">
        <v>611</v>
      </c>
      <c r="B27" s="45" t="s">
        <v>548</v>
      </c>
      <c r="C27" s="75" t="n">
        <f aca="false">INDEX(Perf!$C$98:$Q$98,3*(C$6-1)+2)</f>
        <v>0.03965</v>
      </c>
      <c r="D27" s="75" t="n">
        <f aca="false">INDEX(Perf!$C$98:$Q$98,3*(D$6-1)+2)</f>
        <v>0.03965</v>
      </c>
      <c r="E27" s="75" t="n">
        <f aca="false">INDEX(Perf!$C$98:$Q$98,3*(E$6-1)+2)</f>
        <v>0.03965</v>
      </c>
      <c r="F27" s="75" t="n">
        <f aca="false">INDEX(Perf!$C$98:$Q$98,3*(F$6-1)+2)</f>
        <v>0.03965</v>
      </c>
      <c r="G27" s="75" t="n">
        <f aca="false">INDEX(Perf!$C$98:$Q$98,3*(G$6-1)+2)</f>
        <v>0.03965</v>
      </c>
      <c r="H27" s="75" t="n">
        <f aca="false">INDEX(Perf!$C$98:$Q$98,3*(H$6-1)+2)</f>
        <v>0.03965</v>
      </c>
      <c r="I27" s="75" t="n">
        <f aca="false">INDEX(Perf!$C$98:$Q$98,3*(I$6-1)+2)</f>
        <v>0.03965</v>
      </c>
      <c r="J27" s="75" t="n">
        <f aca="false">INDEX(Perf!$C$98:$Q$98,3*(J$6-1)+2)</f>
        <v>0.03965</v>
      </c>
      <c r="K27" s="75" t="n">
        <f aca="false">INDEX(Perf!$C$98:$Q$98,3*(K$6-1)+2)</f>
        <v>0.03965</v>
      </c>
      <c r="L27" s="75" t="n">
        <f aca="false">INDEX(Perf!$C$98:$Q$98,3*(L$6-1)+2)</f>
        <v>0.03965</v>
      </c>
      <c r="M27" s="75" t="n">
        <f aca="false">INDEX(Perf!$C$98:$Q$98,3*(M$6-1)+2)</f>
        <v>0.03965</v>
      </c>
      <c r="N27" s="75" t="n">
        <f aca="false">INDEX(Perf!$C$98:$Q$98,3*(N$6-1)+2)</f>
        <v>0.03965</v>
      </c>
      <c r="O27" s="75" t="n">
        <f aca="false">INDEX(Perf!$C$98:$Q$98,3*(O$6-1)+2)</f>
        <v>0.03965</v>
      </c>
      <c r="P27" s="75" t="n">
        <f aca="false">INDEX(Perf!$C$98:$Q$98,3*(P$6-1)+2)</f>
        <v>0.03965</v>
      </c>
      <c r="Q27" s="75" t="n">
        <f aca="false">INDEX(Perf!$C$98:$Q$98,3*(Q$6-1)+2)</f>
        <v>0.03965</v>
      </c>
    </row>
    <row r="28" customFormat="false" ht="15" hidden="false" customHeight="false" outlineLevel="0" collapsed="false">
      <c r="A28" s="45" t="s">
        <v>612</v>
      </c>
      <c r="B28" s="45" t="s">
        <v>548</v>
      </c>
      <c r="C28" s="80" t="n">
        <f aca="false">INDEX(Perf!$C$99:$Q$99,3*(C$6-1)+2)</f>
        <v>5842.0892357003</v>
      </c>
      <c r="D28" s="80" t="n">
        <f aca="false">INDEX(Perf!$C$99:$Q$99,3*(D$6-1)+2)</f>
        <v>5842.0892357003</v>
      </c>
      <c r="E28" s="80" t="n">
        <f aca="false">INDEX(Perf!$C$99:$Q$99,3*(E$6-1)+2)</f>
        <v>5842.0892357003</v>
      </c>
      <c r="F28" s="80" t="n">
        <f aca="false">INDEX(Perf!$C$99:$Q$99,3*(F$6-1)+2)</f>
        <v>1006.76115783408</v>
      </c>
      <c r="G28" s="80" t="n">
        <f aca="false">INDEX(Perf!$C$99:$Q$99,3*(G$6-1)+2)</f>
        <v>1006.76115783408</v>
      </c>
      <c r="H28" s="80" t="n">
        <f aca="false">INDEX(Perf!$C$99:$Q$99,3*(H$6-1)+2)</f>
        <v>1006.76115783408</v>
      </c>
      <c r="I28" s="80" t="n">
        <f aca="false">INDEX(Perf!$C$99:$Q$99,3*(I$6-1)+2)</f>
        <v>671.174105222717</v>
      </c>
      <c r="J28" s="80" t="n">
        <f aca="false">INDEX(Perf!$C$99:$Q$99,3*(J$6-1)+2)</f>
        <v>671.174105222717</v>
      </c>
      <c r="K28" s="80" t="n">
        <f aca="false">INDEX(Perf!$C$99:$Q$99,3*(K$6-1)+2)</f>
        <v>671.174105222717</v>
      </c>
      <c r="L28" s="80" t="n">
        <f aca="false">INDEX(Perf!$C$99:$Q$99,3*(L$6-1)+2)</f>
        <v>246.204299222583</v>
      </c>
      <c r="M28" s="80" t="n">
        <f aca="false">INDEX(Perf!$C$99:$Q$99,3*(M$6-1)+2)</f>
        <v>246.204299222583</v>
      </c>
      <c r="N28" s="80" t="n">
        <f aca="false">INDEX(Perf!$C$99:$Q$99,3*(N$6-1)+2)</f>
        <v>246.204299222583</v>
      </c>
      <c r="O28" s="80" t="n">
        <f aca="false">INDEX(Perf!$C$99:$Q$99,3*(O$6-1)+2)</f>
        <v>113.276139878051</v>
      </c>
      <c r="P28" s="80" t="n">
        <f aca="false">INDEX(Perf!$C$99:$Q$99,3*(P$6-1)+2)</f>
        <v>113.276139878051</v>
      </c>
      <c r="Q28" s="80" t="n">
        <f aca="false">INDEX(Perf!$C$99:$Q$99,3*(Q$6-1)+2)</f>
        <v>113.276139878051</v>
      </c>
    </row>
    <row r="29" customFormat="false" ht="15" hidden="false" customHeight="false" outlineLevel="0" collapsed="false">
      <c r="A29" s="44" t="s">
        <v>613</v>
      </c>
      <c r="B29" s="45" t="s">
        <v>562</v>
      </c>
      <c r="C29" s="106" t="n">
        <f aca="false">C$8/3600*C26</f>
        <v>0.138892301052475</v>
      </c>
      <c r="D29" s="106" t="n">
        <f aca="false">D$8/3600*D26</f>
        <v>0.200317080542208</v>
      </c>
      <c r="E29" s="106" t="n">
        <f aca="false">E$8/3600*E26</f>
        <v>0.345362936311506</v>
      </c>
      <c r="F29" s="106" t="n">
        <f aca="false">F$8/3600*F26</f>
        <v>0.0190529980837658</v>
      </c>
      <c r="G29" s="106" t="n">
        <f aca="false">G$8/3600*G26</f>
        <v>0.0256341321942687</v>
      </c>
      <c r="H29" s="106" t="n">
        <f aca="false">H$8/3600*H26</f>
        <v>0.041715592598265</v>
      </c>
      <c r="I29" s="106" t="n">
        <f aca="false">I$8/3600*I26</f>
        <v>0.0168218337371801</v>
      </c>
      <c r="J29" s="106" t="n">
        <f aca="false">J$8/3600*J26</f>
        <v>0.0245838472139196</v>
      </c>
      <c r="K29" s="106" t="n">
        <f aca="false">K$8/3600*K26</f>
        <v>0.0461058843338328</v>
      </c>
      <c r="L29" s="106" t="n">
        <f aca="false">L$8/3600*L26</f>
        <v>0.0120283997605846</v>
      </c>
      <c r="M29" s="106" t="n">
        <f aca="false">M$8/3600*M26</f>
        <v>0.0166341950428717</v>
      </c>
      <c r="N29" s="106" t="n">
        <f aca="false">N$8/3600*N26</f>
        <v>0.0285343277968332</v>
      </c>
      <c r="O29" s="106" t="n">
        <f aca="false">O$8/3600*O26</f>
        <v>0.00953396600157135</v>
      </c>
      <c r="P29" s="106" t="n">
        <f aca="false">P$8/3600*P26</f>
        <v>0.014660946311034</v>
      </c>
      <c r="Q29" s="106" t="n">
        <f aca="false">Q$8/3600*Q26</f>
        <v>0.0269134907229653</v>
      </c>
    </row>
    <row r="30" customFormat="false" ht="15" hidden="false" customHeight="false" outlineLevel="0" collapsed="false">
      <c r="A30" s="44" t="s">
        <v>614</v>
      </c>
      <c r="B30" s="45" t="s">
        <v>562</v>
      </c>
      <c r="C30" s="107" t="n">
        <f aca="false">C$8/3600*C27</f>
        <v>1.22569900883294E-005</v>
      </c>
      <c r="D30" s="107" t="n">
        <f aca="false">D$8/3600*D27</f>
        <v>1.76776138930933E-005</v>
      </c>
      <c r="E30" s="107" t="n">
        <f aca="false">E$8/3600*E27</f>
        <v>3.04776438662871E-005</v>
      </c>
      <c r="F30" s="107" t="n">
        <f aca="false">F$8/3600*F27</f>
        <v>1.70009305830457E-005</v>
      </c>
      <c r="G30" s="107" t="n">
        <f aca="false">G$8/3600*G27</f>
        <v>2.28732559608405E-005</v>
      </c>
      <c r="H30" s="107" t="n">
        <f aca="false">H$8/3600*H27</f>
        <v>3.72226927686513E-005</v>
      </c>
      <c r="I30" s="107" t="n">
        <f aca="false">I$8/3600*I27</f>
        <v>2.25151044251411E-005</v>
      </c>
      <c r="J30" s="107" t="n">
        <f aca="false">J$8/3600*J27</f>
        <v>3.29041349380202E-005</v>
      </c>
      <c r="K30" s="107" t="n">
        <f aca="false">K$8/3600*K27</f>
        <v>6.17102045239773E-005</v>
      </c>
      <c r="L30" s="107" t="n">
        <f aca="false">L$8/3600*L27</f>
        <v>3.75651621647784E-005</v>
      </c>
      <c r="M30" s="107" t="n">
        <f aca="false">M$8/3600*M27</f>
        <v>5.19492406889925E-005</v>
      </c>
      <c r="N30" s="107" t="n">
        <f aca="false">N$8/3600*N27</f>
        <v>8.91138199832235E-005</v>
      </c>
      <c r="O30" s="107" t="n">
        <f aca="false">O$8/3600*O27</f>
        <v>6.21020346649354E-005</v>
      </c>
      <c r="P30" s="107" t="n">
        <f aca="false">P$8/3600*P27</f>
        <v>9.54979906450818E-005</v>
      </c>
      <c r="Q30" s="107" t="n">
        <f aca="false">Q$8/3600*Q27</f>
        <v>0.000175308212086821</v>
      </c>
    </row>
    <row r="31" customFormat="false" ht="15" hidden="false" customHeight="false" outlineLevel="0" collapsed="false">
      <c r="A31" s="45" t="s">
        <v>615</v>
      </c>
      <c r="B31" s="45" t="s">
        <v>562</v>
      </c>
      <c r="C31" s="106" t="n">
        <f aca="false">IF(C28&gt;0,C$8/3600*C28,"SLO 不可達")</f>
        <v>1.80596292199532</v>
      </c>
      <c r="D31" s="106" t="n">
        <f aca="false">IF(D28&gt;0,D$8/3600*D28,"SLO 不可達")</f>
        <v>2.60464559489802</v>
      </c>
      <c r="E31" s="106" t="n">
        <f aca="false">IF(E28&gt;0,E$8/3600*E28,"SLO 不可達")</f>
        <v>4.49062081111584</v>
      </c>
      <c r="F31" s="106" t="n">
        <f aca="false">IF(F28&gt;0,F$8/3600*F28,"SLO 不可達")</f>
        <v>0.431674061993538</v>
      </c>
      <c r="G31" s="106" t="n">
        <f aca="false">IF(G28&gt;0,G$8/3600*G28,"SLO 不可達")</f>
        <v>0.580779461653743</v>
      </c>
      <c r="H31" s="106" t="n">
        <f aca="false">IF(H28&gt;0,H$8/3600*H28,"SLO 不可達")</f>
        <v>0.945128909696581</v>
      </c>
      <c r="I31" s="106" t="n">
        <f aca="false">IF(I28&gt;0,I$8/3600*I28,"SLO 不可達")</f>
        <v>0.381123709118288</v>
      </c>
      <c r="J31" s="106" t="n">
        <f aca="false">IF(J28&gt;0,J$8/3600*J28,"SLO 不可達")</f>
        <v>0.556983690420006</v>
      </c>
      <c r="K31" s="106" t="n">
        <f aca="false">IF(K28&gt;0,K$8/3600*K28,"SLO 不可達")</f>
        <v>1.04459751083206</v>
      </c>
      <c r="L31" s="106" t="n">
        <f aca="false">IF(L28&gt;0,L$8/3600*L28,"SLO 不可達")</f>
        <v>0.233258623605598</v>
      </c>
      <c r="M31" s="106" t="n">
        <f aca="false">IF(M28&gt;0,M$8/3600*M28,"SLO 不可達")</f>
        <v>0.32257569732607</v>
      </c>
      <c r="N31" s="106" t="n">
        <f aca="false">IF(N28&gt;0,N$8/3600*N28,"SLO 不可達")</f>
        <v>0.553346925599419</v>
      </c>
      <c r="O31" s="106" t="n">
        <f aca="false">IF(O28&gt;0,O$8/3600*O28,"SLO 不可達")</f>
        <v>0.177419388787309</v>
      </c>
      <c r="P31" s="106" t="n">
        <f aca="false">IF(P28&gt;0,P$8/3600*P28,"SLO 不可達")</f>
        <v>0.272828341649056</v>
      </c>
      <c r="Q31" s="106" t="n">
        <f aca="false">IF(Q28&gt;0,Q$8/3600*Q28,"SLO 不可達")</f>
        <v>0.50083827374824</v>
      </c>
    </row>
    <row r="32" customFormat="false" ht="15" hidden="false" customHeight="false" outlineLevel="0" collapsed="false">
      <c r="A32" s="44" t="s">
        <v>616</v>
      </c>
      <c r="B32" s="45" t="s">
        <v>562</v>
      </c>
      <c r="C32" s="97" t="n">
        <f aca="false">C29/C$10</f>
        <v>0.231487168420792</v>
      </c>
      <c r="D32" s="97" t="n">
        <f aca="false">D29/D$10</f>
        <v>0.33386180090368</v>
      </c>
      <c r="E32" s="97" t="n">
        <f aca="false">E29/E$10</f>
        <v>0.57560489385251</v>
      </c>
      <c r="F32" s="97" t="n">
        <f aca="false">F29/F$10</f>
        <v>0.0317549968062764</v>
      </c>
      <c r="G32" s="97" t="n">
        <f aca="false">G29/G$10</f>
        <v>0.0427235536571146</v>
      </c>
      <c r="H32" s="97" t="n">
        <f aca="false">H29/H$10</f>
        <v>0.069525987663775</v>
      </c>
      <c r="I32" s="97" t="n">
        <f aca="false">I29/I$10</f>
        <v>0.0280363895619668</v>
      </c>
      <c r="J32" s="97" t="n">
        <f aca="false">J29/J$10</f>
        <v>0.040973078689866</v>
      </c>
      <c r="K32" s="97" t="n">
        <f aca="false">K29/K$10</f>
        <v>0.076843140556388</v>
      </c>
      <c r="L32" s="97" t="n">
        <f aca="false">L29/L$10</f>
        <v>0.0200473329343076</v>
      </c>
      <c r="M32" s="97" t="n">
        <f aca="false">M29/M$10</f>
        <v>0.0277236584047861</v>
      </c>
      <c r="N32" s="97" t="n">
        <f aca="false">N29/N$10</f>
        <v>0.047557212994722</v>
      </c>
      <c r="O32" s="97" t="n">
        <f aca="false">O29/O$10</f>
        <v>0.0158899433359522</v>
      </c>
      <c r="P32" s="97" t="n">
        <f aca="false">P29/P$10</f>
        <v>0.0244349105183899</v>
      </c>
      <c r="Q32" s="97" t="n">
        <f aca="false">Q29/Q$10</f>
        <v>0.0448558178716088</v>
      </c>
    </row>
    <row r="33" customFormat="false" ht="15" hidden="false" customHeight="false" outlineLevel="0" collapsed="false">
      <c r="A33" s="44" t="s">
        <v>617</v>
      </c>
      <c r="B33" s="45" t="s">
        <v>562</v>
      </c>
      <c r="C33" s="107" t="n">
        <f aca="false">C30/C$10</f>
        <v>2.04283168138824E-005</v>
      </c>
      <c r="D33" s="107" t="n">
        <f aca="false">D30/D$10</f>
        <v>2.94626898218222E-005</v>
      </c>
      <c r="E33" s="107" t="n">
        <f aca="false">E30/E$10</f>
        <v>5.07960731104785E-005</v>
      </c>
      <c r="F33" s="107" t="n">
        <f aca="false">F30/F$10</f>
        <v>2.83348843050761E-005</v>
      </c>
      <c r="G33" s="107" t="n">
        <f aca="false">G30/G$10</f>
        <v>3.81220932680674E-005</v>
      </c>
      <c r="H33" s="107" t="n">
        <f aca="false">H30/H$10</f>
        <v>6.20378212810855E-005</v>
      </c>
      <c r="I33" s="107" t="n">
        <f aca="false">I30/I$10</f>
        <v>3.75251740419018E-005</v>
      </c>
      <c r="J33" s="107" t="n">
        <f aca="false">J30/J$10</f>
        <v>5.48402248967003E-005</v>
      </c>
      <c r="K33" s="107" t="n">
        <f aca="false">K30/K$10</f>
        <v>0.000102850340873295</v>
      </c>
      <c r="L33" s="107" t="n">
        <f aca="false">L30/L$10</f>
        <v>6.2608603607964E-005</v>
      </c>
      <c r="M33" s="107" t="n">
        <f aca="false">M30/M$10</f>
        <v>8.65820678149874E-005</v>
      </c>
      <c r="N33" s="107" t="n">
        <f aca="false">N30/N$10</f>
        <v>0.000148523033305373</v>
      </c>
      <c r="O33" s="107" t="n">
        <f aca="false">O30/O$10</f>
        <v>0.000103503391108226</v>
      </c>
      <c r="P33" s="107" t="n">
        <f aca="false">P30/P$10</f>
        <v>0.000159163317741803</v>
      </c>
      <c r="Q33" s="107" t="n">
        <f aca="false">Q30/Q$10</f>
        <v>0.000292180353478034</v>
      </c>
    </row>
    <row r="34" customFormat="false" ht="15" hidden="false" customHeight="false" outlineLevel="0" collapsed="false">
      <c r="A34" s="45" t="s">
        <v>618</v>
      </c>
      <c r="B34" s="45" t="s">
        <v>562</v>
      </c>
      <c r="C34" s="106" t="n">
        <f aca="false">IF(ISNUMBER(C31),C31/C$10,C31)</f>
        <v>3.00993820332554</v>
      </c>
      <c r="D34" s="106" t="n">
        <f aca="false">IF(ISNUMBER(D31),D31/D$10,D31)</f>
        <v>4.34107599149669</v>
      </c>
      <c r="E34" s="106" t="n">
        <f aca="false">IF(ISNUMBER(E31),E31/E$10,E31)</f>
        <v>7.4843680185264</v>
      </c>
      <c r="F34" s="106" t="n">
        <f aca="false">IF(ISNUMBER(F31),F31/F$10,F31)</f>
        <v>0.71945676998923</v>
      </c>
      <c r="G34" s="106" t="n">
        <f aca="false">IF(ISNUMBER(G31),G31/G$10,G31)</f>
        <v>0.967965769422905</v>
      </c>
      <c r="H34" s="106" t="n">
        <f aca="false">IF(ISNUMBER(H31),H31/H$10,H31)</f>
        <v>1.5752148494943</v>
      </c>
      <c r="I34" s="106" t="n">
        <f aca="false">IF(ISNUMBER(I31),I31/I$10,I31)</f>
        <v>0.635206181863813</v>
      </c>
      <c r="J34" s="106" t="n">
        <f aca="false">IF(ISNUMBER(J31),J31/J$10,J31)</f>
        <v>0.928306150700011</v>
      </c>
      <c r="K34" s="106" t="n">
        <f aca="false">IF(ISNUMBER(K31),K31/K$10,K31)</f>
        <v>1.74099585138677</v>
      </c>
      <c r="L34" s="106" t="n">
        <f aca="false">IF(ISNUMBER(L31),L31/L$10,L31)</f>
        <v>0.388764372675996</v>
      </c>
      <c r="M34" s="106" t="n">
        <f aca="false">IF(ISNUMBER(M31),M31/M$10,M31)</f>
        <v>0.537626162210117</v>
      </c>
      <c r="N34" s="106" t="n">
        <f aca="false">IF(ISNUMBER(N31),N31/N$10,N31)</f>
        <v>0.922244875999031</v>
      </c>
      <c r="O34" s="106" t="n">
        <f aca="false">IF(ISNUMBER(O31),O31/O$10,O31)</f>
        <v>0.295698981312181</v>
      </c>
      <c r="P34" s="106" t="n">
        <f aca="false">IF(ISNUMBER(P31),P31/P$10,P31)</f>
        <v>0.454713902748427</v>
      </c>
      <c r="Q34" s="106" t="n">
        <f aca="false">IF(ISNUMBER(Q31),Q31/Q$10,Q31)</f>
        <v>0.834730456247066</v>
      </c>
    </row>
    <row r="35" customFormat="false" ht="15" hidden="false" customHeight="false" outlineLevel="0" collapsed="false">
      <c r="A35" s="45" t="s">
        <v>619</v>
      </c>
      <c r="B35" s="45" t="s">
        <v>562</v>
      </c>
      <c r="C35" s="97" t="n">
        <f aca="false">IF(C28&gt;0,C$9/3600*C28,"SLO 不可達")</f>
        <v>1.39289767109745</v>
      </c>
      <c r="D35" s="97" t="n">
        <f aca="false">IF(D28&gt;0,D$9/3600*D28,"SLO 不可達")</f>
        <v>1.93412990194546</v>
      </c>
      <c r="E35" s="97" t="n">
        <f aca="false">IF(E28&gt;0,E$9/3600*E28,"SLO 不可達")</f>
        <v>3.34082313877619</v>
      </c>
      <c r="F35" s="97" t="n">
        <f aca="false">IF(F28&gt;0,F$9/3600*F28,"SLO 不可達")</f>
        <v>0.33279234193073</v>
      </c>
      <c r="G35" s="97" t="n">
        <f aca="false">IF(G28&gt;0,G$9/3600*G28,"SLO 不可達")</f>
        <v>0.430254770771076</v>
      </c>
      <c r="H35" s="97" t="n">
        <f aca="false">IF(H28&gt;0,H$9/3600*H28,"SLO 不可達")</f>
        <v>0.698520996276446</v>
      </c>
      <c r="I35" s="97" t="n">
        <f aca="false">IF(I28&gt;0,I$9/3600*I28,"SLO 不可達")</f>
        <v>0.295503657070907</v>
      </c>
      <c r="J35" s="97" t="n">
        <f aca="false">IF(J28&gt;0,J$9/3600*J28,"SLO 不可達")</f>
        <v>0.415801495522061</v>
      </c>
      <c r="K35" s="97" t="n">
        <f aca="false">IF(K28&gt;0,K$9/3600*K28,"SLO 不可達")</f>
        <v>0.785957405856976</v>
      </c>
      <c r="L35" s="97" t="n">
        <f aca="false">IF(L28&gt;0,L$9/3600*L28,"SLO 不可達")</f>
        <v>0.18088370431327</v>
      </c>
      <c r="M35" s="97" t="n">
        <f aca="false">IF(M28&gt;0,M$9/3600*M28,"SLO 不可達")</f>
        <v>0.240560308156951</v>
      </c>
      <c r="N35" s="97" t="n">
        <f aca="false">IF(N28&gt;0,N$9/3600*N28,"SLO 不可達")</f>
        <v>0.41444078498112</v>
      </c>
      <c r="O35" s="97" t="n">
        <f aca="false">IF(O28&gt;0,O$9/3600*O28,"SLO 不可達")</f>
        <v>0.138189990960629</v>
      </c>
      <c r="P35" s="97" t="n">
        <f aca="false">IF(P28&gt;0,P$9/3600*P28,"SLO 不可達")</f>
        <v>0.204717953026867</v>
      </c>
      <c r="Q35" s="97" t="n">
        <f aca="false">IF(Q28&gt;0,Q$9/3600*Q28,"SLO 不可達")</f>
        <v>0.379498597466694</v>
      </c>
    </row>
    <row r="36" customFormat="false" ht="15" hidden="false" customHeight="false" outlineLevel="0" collapsed="false">
      <c r="A36" s="44" t="s">
        <v>620</v>
      </c>
      <c r="B36" s="45" t="s">
        <v>562</v>
      </c>
      <c r="C36" s="75" t="n">
        <f aca="false">IF(ISNUMBER(C31),(Serving!$D$23*C29+Serving!$D$24*C31)/(Serving!$D$23+Serving!$D$24),C31)</f>
        <v>0.324122370046125</v>
      </c>
      <c r="D36" s="75" t="n">
        <f aca="false">IF(ISNUMBER(D31),(Serving!$D$23*D29+Serving!$D$24*D31)/(Serving!$D$23+Serving!$D$24),D31)</f>
        <v>0.467464693248409</v>
      </c>
      <c r="E36" s="75" t="n">
        <f aca="false">IF(ISNUMBER(E31),(Serving!$D$23*E29+Serving!$D$24*E31)/(Serving!$D$23+Serving!$D$24),E31)</f>
        <v>0.805947144623099</v>
      </c>
      <c r="F36" s="75" t="n">
        <f aca="false">IF(ISNUMBER(F31),(Serving!$D$23*F29+Serving!$D$24*F31)/(Serving!$D$23+Serving!$D$24),F31)</f>
        <v>0.0648997829626294</v>
      </c>
      <c r="G36" s="75" t="n">
        <f aca="false">IF(ISNUMBER(G31),(Serving!$D$23*G29+Serving!$D$24*G31)/(Serving!$D$23+Serving!$D$24),G31)</f>
        <v>0.0873169465786548</v>
      </c>
      <c r="H36" s="75" t="n">
        <f aca="false">IF(ISNUMBER(H31),(Serving!$D$23*H29+Serving!$D$24*H31)/(Serving!$D$23+Serving!$D$24),H31)</f>
        <v>0.142094850053633</v>
      </c>
      <c r="I36" s="75" t="n">
        <f aca="false">IF(ISNUMBER(I31),(Serving!$D$23*I29+Serving!$D$24*I31)/(Serving!$D$23+Serving!$D$24),I31)</f>
        <v>0.0572998198906365</v>
      </c>
      <c r="J36" s="75" t="n">
        <f aca="false">IF(ISNUMBER(J31),(Serving!$D$23*J29+Serving!$D$24*J31)/(Serving!$D$23+Serving!$D$24),J31)</f>
        <v>0.0837393853479292</v>
      </c>
      <c r="K36" s="75" t="n">
        <f aca="false">IF(ISNUMBER(K31),(Serving!$D$23*K29+Serving!$D$24*K31)/(Serving!$D$23+Serving!$D$24),K31)</f>
        <v>0.157049398389192</v>
      </c>
      <c r="L36" s="75" t="n">
        <f aca="false">IF(ISNUMBER(L31),(Serving!$D$23*L29+Serving!$D$24*L31)/(Serving!$D$23+Serving!$D$24),L31)</f>
        <v>0.0366095357433638</v>
      </c>
      <c r="M36" s="75" t="n">
        <f aca="false">IF(ISNUMBER(M31),(Serving!$D$23*M29+Serving!$D$24*M31)/(Serving!$D$23+Serving!$D$24),M31)</f>
        <v>0.0506276952965604</v>
      </c>
      <c r="N36" s="75" t="n">
        <f aca="false">IF(ISNUMBER(N31),(Serving!$D$23*N29+Serving!$D$24*N31)/(Serving!$D$23+Serving!$D$24),N31)</f>
        <v>0.0868468386637871</v>
      </c>
      <c r="O36" s="75" t="n">
        <f aca="false">IF(ISNUMBER(O31),(Serving!$D$23*O29+Serving!$D$24*O31)/(Serving!$D$23+Serving!$D$24),O31)</f>
        <v>0.0281879018666533</v>
      </c>
      <c r="P36" s="75" t="n">
        <f aca="false">IF(ISNUMBER(P31),(Serving!$D$23*P29+Serving!$D$24*P31)/(Serving!$D$23+Serving!$D$24),P31)</f>
        <v>0.0433462124597031</v>
      </c>
      <c r="Q36" s="75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72" t="s">
        <v>187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customFormat="false" ht="15" hidden="false" customHeight="false" outlineLevel="0" collapsed="false">
      <c r="A39" s="45" t="s">
        <v>610</v>
      </c>
      <c r="B39" s="45" t="s">
        <v>548</v>
      </c>
      <c r="C39" s="80" t="n">
        <f aca="false">INDEX(Perf!$C$97:$Q$97,3*(C$6-1)+3)</f>
        <v>1484.76790293226</v>
      </c>
      <c r="D39" s="80" t="n">
        <f aca="false">INDEX(Perf!$C$97:$Q$97,3*(D$6-1)+3)</f>
        <v>1484.76790293226</v>
      </c>
      <c r="E39" s="80" t="n">
        <f aca="false">INDEX(Perf!$C$97:$Q$97,3*(E$6-1)+3)</f>
        <v>1484.76790293226</v>
      </c>
      <c r="F39" s="80" t="n">
        <f aca="false">INDEX(Perf!$C$97:$Q$97,3*(F$6-1)+3)</f>
        <v>146.8435456</v>
      </c>
      <c r="G39" s="80" t="n">
        <f aca="false">INDEX(Perf!$C$97:$Q$97,3*(G$6-1)+3)</f>
        <v>146.8435456</v>
      </c>
      <c r="H39" s="80" t="n">
        <f aca="false">INDEX(Perf!$C$97:$Q$97,3*(H$6-1)+3)</f>
        <v>146.8435456</v>
      </c>
      <c r="I39" s="80" t="n">
        <f aca="false">INDEX(Perf!$C$97:$Q$97,3*(I$6-1)+3)</f>
        <v>97.8956970666667</v>
      </c>
      <c r="J39" s="80" t="n">
        <f aca="false">INDEX(Perf!$C$97:$Q$97,3*(J$6-1)+3)</f>
        <v>97.8956970666667</v>
      </c>
      <c r="K39" s="80" t="n">
        <f aca="false">INDEX(Perf!$C$97:$Q$97,3*(K$6-1)+3)</f>
        <v>97.8956970666667</v>
      </c>
      <c r="L39" s="80" t="n">
        <f aca="false">INDEX(Perf!$C$97:$Q$97,3*(L$6-1)+3)</f>
        <v>41.9552987428571</v>
      </c>
      <c r="M39" s="80" t="n">
        <f aca="false">INDEX(Perf!$C$97:$Q$97,3*(M$6-1)+3)</f>
        <v>41.9552987428571</v>
      </c>
      <c r="N39" s="80" t="n">
        <f aca="false">INDEX(Perf!$C$97:$Q$97,3*(N$6-1)+3)</f>
        <v>41.9552987428571</v>
      </c>
      <c r="O39" s="80" t="n">
        <f aca="false">INDEX(Perf!$C$97:$Q$97,3*(O$6-1)+3)</f>
        <v>20.1155541917808</v>
      </c>
      <c r="P39" s="80" t="n">
        <f aca="false">INDEX(Perf!$C$97:$Q$97,3*(P$6-1)+3)</f>
        <v>20.1155541917808</v>
      </c>
      <c r="Q39" s="80" t="n">
        <f aca="false">INDEX(Perf!$C$97:$Q$97,3*(Q$6-1)+3)</f>
        <v>20.1155541917808</v>
      </c>
    </row>
    <row r="40" customFormat="false" ht="15" hidden="false" customHeight="false" outlineLevel="0" collapsed="false">
      <c r="A40" s="45" t="s">
        <v>611</v>
      </c>
      <c r="B40" s="45" t="s">
        <v>548</v>
      </c>
      <c r="C40" s="75" t="n">
        <f aca="false">INDEX(Perf!$C$98:$Q$98,3*(C$6-1)+3)</f>
        <v>0.576</v>
      </c>
      <c r="D40" s="75" t="n">
        <f aca="false">INDEX(Perf!$C$98:$Q$98,3*(D$6-1)+3)</f>
        <v>0.576</v>
      </c>
      <c r="E40" s="75" t="n">
        <f aca="false">INDEX(Perf!$C$98:$Q$98,3*(E$6-1)+3)</f>
        <v>0.576</v>
      </c>
      <c r="F40" s="75" t="n">
        <f aca="false">INDEX(Perf!$C$98:$Q$98,3*(F$6-1)+3)</f>
        <v>0.576</v>
      </c>
      <c r="G40" s="75" t="n">
        <f aca="false">INDEX(Perf!$C$98:$Q$98,3*(G$6-1)+3)</f>
        <v>0.576</v>
      </c>
      <c r="H40" s="75" t="n">
        <f aca="false">INDEX(Perf!$C$98:$Q$98,3*(H$6-1)+3)</f>
        <v>0.576</v>
      </c>
      <c r="I40" s="75" t="n">
        <f aca="false">INDEX(Perf!$C$98:$Q$98,3*(I$6-1)+3)</f>
        <v>0.576</v>
      </c>
      <c r="J40" s="75" t="n">
        <f aca="false">INDEX(Perf!$C$98:$Q$98,3*(J$6-1)+3)</f>
        <v>0.576</v>
      </c>
      <c r="K40" s="75" t="n">
        <f aca="false">INDEX(Perf!$C$98:$Q$98,3*(K$6-1)+3)</f>
        <v>0.576</v>
      </c>
      <c r="L40" s="75" t="n">
        <f aca="false">INDEX(Perf!$C$98:$Q$98,3*(L$6-1)+3)</f>
        <v>0.576</v>
      </c>
      <c r="M40" s="75" t="n">
        <f aca="false">INDEX(Perf!$C$98:$Q$98,3*(M$6-1)+3)</f>
        <v>0.576</v>
      </c>
      <c r="N40" s="75" t="n">
        <f aca="false">INDEX(Perf!$C$98:$Q$98,3*(N$6-1)+3)</f>
        <v>0.576</v>
      </c>
      <c r="O40" s="75" t="n">
        <f aca="false">INDEX(Perf!$C$98:$Q$98,3*(O$6-1)+3)</f>
        <v>0.576</v>
      </c>
      <c r="P40" s="75" t="n">
        <f aca="false">INDEX(Perf!$C$98:$Q$98,3*(P$6-1)+3)</f>
        <v>0.576</v>
      </c>
      <c r="Q40" s="75" t="n">
        <f aca="false">INDEX(Perf!$C$98:$Q$98,3*(Q$6-1)+3)</f>
        <v>0.576</v>
      </c>
    </row>
    <row r="41" customFormat="false" ht="15" hidden="false" customHeight="false" outlineLevel="0" collapsed="false">
      <c r="A41" s="45" t="s">
        <v>612</v>
      </c>
      <c r="B41" s="45" t="s">
        <v>548</v>
      </c>
      <c r="C41" s="80" t="n">
        <f aca="false">INDEX(Perf!$C$99:$Q$99,3*(C$6-1)+3)</f>
        <v>39767.608754642</v>
      </c>
      <c r="D41" s="80" t="n">
        <f aca="false">INDEX(Perf!$C$99:$Q$99,3*(D$6-1)+3)</f>
        <v>39767.608754642</v>
      </c>
      <c r="E41" s="80" t="n">
        <f aca="false">INDEX(Perf!$C$99:$Q$99,3*(E$6-1)+3)</f>
        <v>39767.608754642</v>
      </c>
      <c r="F41" s="80" t="n">
        <f aca="false">INDEX(Perf!$C$99:$Q$99,3*(F$6-1)+3)</f>
        <v>5853.77586437634</v>
      </c>
      <c r="G41" s="80" t="n">
        <f aca="false">INDEX(Perf!$C$99:$Q$99,3*(G$6-1)+3)</f>
        <v>5853.77586437634</v>
      </c>
      <c r="H41" s="80" t="n">
        <f aca="false">INDEX(Perf!$C$99:$Q$99,3*(H$6-1)+3)</f>
        <v>5853.77586437634</v>
      </c>
      <c r="I41" s="80" t="n">
        <f aca="false">INDEX(Perf!$C$99:$Q$99,3*(I$6-1)+3)</f>
        <v>4850.34546142314</v>
      </c>
      <c r="J41" s="80" t="n">
        <f aca="false">INDEX(Perf!$C$99:$Q$99,3*(J$6-1)+3)</f>
        <v>4850.34546142314</v>
      </c>
      <c r="K41" s="80" t="n">
        <f aca="false">INDEX(Perf!$C$99:$Q$99,3*(K$6-1)+3)</f>
        <v>4850.34546142314</v>
      </c>
      <c r="L41" s="80" t="n">
        <f aca="false">INDEX(Perf!$C$99:$Q$99,3*(L$6-1)+3)</f>
        <v>1267.49214950265</v>
      </c>
      <c r="M41" s="80" t="n">
        <f aca="false">INDEX(Perf!$C$99:$Q$99,3*(M$6-1)+3)</f>
        <v>1267.49214950265</v>
      </c>
      <c r="N41" s="80" t="n">
        <f aca="false">INDEX(Perf!$C$99:$Q$99,3*(N$6-1)+3)</f>
        <v>1267.49214950265</v>
      </c>
      <c r="O41" s="80" t="n">
        <f aca="false">INDEX(Perf!$C$99:$Q$99,3*(O$6-1)+3)</f>
        <v>545.216475718512</v>
      </c>
      <c r="P41" s="80" t="n">
        <f aca="false">INDEX(Perf!$C$99:$Q$99,3*(P$6-1)+3)</f>
        <v>545.216475718512</v>
      </c>
      <c r="Q41" s="80" t="n">
        <f aca="false">INDEX(Perf!$C$99:$Q$99,3*(Q$6-1)+3)</f>
        <v>545.216475718512</v>
      </c>
    </row>
    <row r="42" customFormat="false" ht="15" hidden="false" customHeight="false" outlineLevel="0" collapsed="false">
      <c r="A42" s="44" t="s">
        <v>613</v>
      </c>
      <c r="B42" s="45" t="s">
        <v>562</v>
      </c>
      <c r="C42" s="106" t="n">
        <f aca="false">C$8/3600*C39</f>
        <v>0.458985762161673</v>
      </c>
      <c r="D42" s="106" t="n">
        <f aca="false">D$8/3600*D39</f>
        <v>0.661971089757736</v>
      </c>
      <c r="E42" s="106" t="n">
        <f aca="false">E$8/3600*E39</f>
        <v>1.14129198914661</v>
      </c>
      <c r="F42" s="106" t="n">
        <f aca="false">F$8/3600*F39</f>
        <v>0.062962848053314</v>
      </c>
      <c r="G42" s="106" t="n">
        <f aca="false">G$8/3600*G39</f>
        <v>0.0847109711149092</v>
      </c>
      <c r="H42" s="106" t="n">
        <f aca="false">H$8/3600*H39</f>
        <v>0.137854027312188</v>
      </c>
      <c r="I42" s="106" t="n">
        <f aca="false">I$8/3600*I39</f>
        <v>0.0555897059830512</v>
      </c>
      <c r="J42" s="106" t="n">
        <f aca="false">J$8/3600*J39</f>
        <v>0.0812401822479987</v>
      </c>
      <c r="K42" s="106" t="n">
        <f aca="false">K$8/3600*K39</f>
        <v>0.152362256948331</v>
      </c>
      <c r="L42" s="106" t="n">
        <f aca="false">L$8/3600*L39</f>
        <v>0.0397492459255272</v>
      </c>
      <c r="M42" s="106" t="n">
        <f aca="false">M$8/3600*M39</f>
        <v>0.054969632095114</v>
      </c>
      <c r="N42" s="106" t="n">
        <f aca="false">N$8/3600*N39</f>
        <v>0.0942950047796553</v>
      </c>
      <c r="O42" s="106" t="n">
        <f aca="false">O$8/3600*O39</f>
        <v>0.0315060994633634</v>
      </c>
      <c r="P42" s="106" t="n">
        <f aca="false">P$8/3600*P39</f>
        <v>0.0484488021696676</v>
      </c>
      <c r="Q42" s="106" t="n">
        <f aca="false">Q$8/3600*Q39</f>
        <v>0.0889387601638498</v>
      </c>
    </row>
    <row r="43" customFormat="false" ht="15" hidden="false" customHeight="false" outlineLevel="0" collapsed="false">
      <c r="A43" s="44" t="s">
        <v>614</v>
      </c>
      <c r="B43" s="45" t="s">
        <v>562</v>
      </c>
      <c r="C43" s="107" t="n">
        <f aca="false">C$8/3600*C40</f>
        <v>0.000178058670640044</v>
      </c>
      <c r="D43" s="107" t="n">
        <f aca="false">D$8/3600*D40</f>
        <v>0.000256804681019464</v>
      </c>
      <c r="E43" s="107" t="n">
        <f aca="false">E$8/3600*E40</f>
        <v>0.000442752153013402</v>
      </c>
      <c r="F43" s="107" t="n">
        <f aca="false">F$8/3600*F40</f>
        <v>0.00024697442662886</v>
      </c>
      <c r="G43" s="107" t="n">
        <f aca="false">G$8/3600*G40</f>
        <v>0.000332282356455085</v>
      </c>
      <c r="H43" s="107" t="n">
        <f aca="false">H$8/3600*H40</f>
        <v>0.000540738235428579</v>
      </c>
      <c r="I43" s="107" t="n">
        <f aca="false">I$8/3600*I40</f>
        <v>0.000327079448899906</v>
      </c>
      <c r="J43" s="107" t="n">
        <f aca="false">J$8/3600*J40</f>
        <v>0.000478002061142488</v>
      </c>
      <c r="K43" s="107" t="n">
        <f aca="false">K$8/3600*K40</f>
        <v>0.00089647106698136</v>
      </c>
      <c r="L43" s="107" t="n">
        <f aca="false">L$8/3600*L40</f>
        <v>0.000545713326782153</v>
      </c>
      <c r="M43" s="107" t="n">
        <f aca="false">M$8/3600*M40</f>
        <v>0.000754672449857747</v>
      </c>
      <c r="N43" s="107" t="n">
        <f aca="false">N$8/3600*N40</f>
        <v>0.00129456646432123</v>
      </c>
      <c r="O43" s="107" t="n">
        <f aca="false">O$8/3600*O40</f>
        <v>0.000902163227414951</v>
      </c>
      <c r="P43" s="107" t="n">
        <f aca="false">P$8/3600*P40</f>
        <v>0.00138731002803448</v>
      </c>
      <c r="Q43" s="107" t="n">
        <f aca="false">Q$8/3600*Q40</f>
        <v>0.00254672207218181</v>
      </c>
    </row>
    <row r="44" customFormat="false" ht="15" hidden="false" customHeight="false" outlineLevel="0" collapsed="false">
      <c r="A44" s="45" t="s">
        <v>615</v>
      </c>
      <c r="B44" s="45" t="s">
        <v>562</v>
      </c>
      <c r="C44" s="106" t="n">
        <f aca="false">IF(C41&gt;0,C$8/3600*C41,"SLO 不可達")</f>
        <v>12.2933464399044</v>
      </c>
      <c r="D44" s="106" t="n">
        <f aca="false">IF(D41&gt;0,D$8/3600*D41,"SLO 不可達")</f>
        <v>17.7300487519838</v>
      </c>
      <c r="E44" s="106" t="n">
        <f aca="false">IF(E41&gt;0,E$8/3600*E41,"SLO 不可達")</f>
        <v>30.5680458269312</v>
      </c>
      <c r="F44" s="106" t="n">
        <f aca="false">IF(F41&gt;0,F$8/3600*F41,"SLO 不可達")</f>
        <v>2.50995301687188</v>
      </c>
      <c r="G44" s="106" t="n">
        <f aca="false">IF(G41&gt;0,G$8/3600*G41,"SLO 不可達")</f>
        <v>3.37692089995637</v>
      </c>
      <c r="H44" s="106" t="n">
        <f aca="false">IF(H41&gt;0,H$8/3600*H41,"SLO 不可達")</f>
        <v>5.49541741579386</v>
      </c>
      <c r="I44" s="106" t="n">
        <f aca="false">IF(I41&gt;0,I$8/3600*I41,"SLO 不可達")</f>
        <v>2.75425055641743</v>
      </c>
      <c r="J44" s="106" t="n">
        <f aca="false">IF(J41&gt;0,J$8/3600*J41,"SLO 不可達")</f>
        <v>4.02513043023155</v>
      </c>
      <c r="K44" s="106" t="n">
        <f aca="false">IF(K41&gt;0,K$8/3600*K41,"SLO 不可達")</f>
        <v>7.54894856081632</v>
      </c>
      <c r="L44" s="106" t="n">
        <f aca="false">IF(L41&gt;0,L$8/3600*L41,"SLO 不可達")</f>
        <v>1.20084610690165</v>
      </c>
      <c r="M44" s="106" t="n">
        <f aca="false">IF(M41&gt;0,M$8/3600*M41,"SLO 不可達")</f>
        <v>1.66066216257053</v>
      </c>
      <c r="N44" s="106" t="n">
        <f aca="false">IF(N41&gt;0,N$8/3600*N41,"SLO 不可達")</f>
        <v>2.84870283079263</v>
      </c>
      <c r="O44" s="106" t="n">
        <f aca="false">IF(O41&gt;0,O$8/3600*O41,"SLO 不可達")</f>
        <v>0.853948360024336</v>
      </c>
      <c r="P44" s="106" t="n">
        <f aca="false">IF(P41&gt;0,P$8/3600*P41,"SLO 不可達")</f>
        <v>1.31316716009359</v>
      </c>
      <c r="Q44" s="106" t="n">
        <f aca="false">IF(Q41&gt;0,Q$8/3600*Q41,"SLO 不可達")</f>
        <v>2.4106160292179</v>
      </c>
    </row>
    <row r="45" customFormat="false" ht="15" hidden="false" customHeight="false" outlineLevel="0" collapsed="false">
      <c r="A45" s="44" t="s">
        <v>616</v>
      </c>
      <c r="B45" s="45" t="s">
        <v>562</v>
      </c>
      <c r="C45" s="97" t="n">
        <f aca="false">C42/C$10</f>
        <v>0.764976270269455</v>
      </c>
      <c r="D45" s="97" t="n">
        <f aca="false">D42/D$10</f>
        <v>1.10328514959623</v>
      </c>
      <c r="E45" s="97" t="n">
        <f aca="false">E42/E$10</f>
        <v>1.90215331524436</v>
      </c>
      <c r="F45" s="97" t="n">
        <f aca="false">F42/F$10</f>
        <v>0.104938080088857</v>
      </c>
      <c r="G45" s="97" t="n">
        <f aca="false">G42/G$10</f>
        <v>0.141184951858182</v>
      </c>
      <c r="H45" s="97" t="n">
        <f aca="false">H42/H$10</f>
        <v>0.229756712186979</v>
      </c>
      <c r="I45" s="97" t="n">
        <f aca="false">I42/I$10</f>
        <v>0.092649509971752</v>
      </c>
      <c r="J45" s="97" t="n">
        <f aca="false">J42/J$10</f>
        <v>0.135400303746665</v>
      </c>
      <c r="K45" s="97" t="n">
        <f aca="false">K42/K$10</f>
        <v>0.253937094913885</v>
      </c>
      <c r="L45" s="97" t="n">
        <f aca="false">L42/L$10</f>
        <v>0.0662487432092119</v>
      </c>
      <c r="M45" s="97" t="n">
        <f aca="false">M42/M$10</f>
        <v>0.0916160534918566</v>
      </c>
      <c r="N45" s="97" t="n">
        <f aca="false">N42/N$10</f>
        <v>0.157158341299426</v>
      </c>
      <c r="O45" s="97" t="n">
        <f aca="false">O42/O$10</f>
        <v>0.0525101657722724</v>
      </c>
      <c r="P45" s="97" t="n">
        <f aca="false">P42/P$10</f>
        <v>0.0807480036161127</v>
      </c>
      <c r="Q45" s="97" t="n">
        <f aca="false">Q42/Q$10</f>
        <v>0.14823126693975</v>
      </c>
    </row>
    <row r="46" customFormat="false" ht="15" hidden="false" customHeight="false" outlineLevel="0" collapsed="false">
      <c r="A46" s="44" t="s">
        <v>617</v>
      </c>
      <c r="B46" s="45" t="s">
        <v>562</v>
      </c>
      <c r="C46" s="107" t="n">
        <f aca="false">C43/C$10</f>
        <v>0.00029676445106674</v>
      </c>
      <c r="D46" s="107" t="n">
        <f aca="false">D43/D$10</f>
        <v>0.000428007801699106</v>
      </c>
      <c r="E46" s="107" t="n">
        <f aca="false">E43/E$10</f>
        <v>0.000737920255022336</v>
      </c>
      <c r="F46" s="107" t="n">
        <f aca="false">F43/F$10</f>
        <v>0.000411624044381433</v>
      </c>
      <c r="G46" s="107" t="n">
        <f aca="false">G43/G$10</f>
        <v>0.000553803927425141</v>
      </c>
      <c r="H46" s="107" t="n">
        <f aca="false">H43/H$10</f>
        <v>0.000901230392380964</v>
      </c>
      <c r="I46" s="107" t="n">
        <f aca="false">I43/I$10</f>
        <v>0.000545132414833177</v>
      </c>
      <c r="J46" s="107" t="n">
        <f aca="false">J43/J$10</f>
        <v>0.000796670101904146</v>
      </c>
      <c r="K46" s="107" t="n">
        <f aca="false">K43/K$10</f>
        <v>0.00149411844496893</v>
      </c>
      <c r="L46" s="107" t="n">
        <f aca="false">L43/L$10</f>
        <v>0.000909522211303588</v>
      </c>
      <c r="M46" s="107" t="n">
        <f aca="false">M43/M$10</f>
        <v>0.00125778741642958</v>
      </c>
      <c r="N46" s="107" t="n">
        <f aca="false">N43/N$10</f>
        <v>0.00215761077386871</v>
      </c>
      <c r="O46" s="107" t="n">
        <f aca="false">O43/O$10</f>
        <v>0.00150360537902492</v>
      </c>
      <c r="P46" s="107" t="n">
        <f aca="false">P43/P$10</f>
        <v>0.00231218338005747</v>
      </c>
      <c r="Q46" s="107" t="n">
        <f aca="false">Q43/Q$10</f>
        <v>0.00424453678696968</v>
      </c>
    </row>
    <row r="47" customFormat="false" ht="15" hidden="false" customHeight="false" outlineLevel="0" collapsed="false">
      <c r="A47" s="45" t="s">
        <v>618</v>
      </c>
      <c r="B47" s="45" t="s">
        <v>562</v>
      </c>
      <c r="C47" s="106" t="n">
        <f aca="false">IF(ISNUMBER(C44),C44/C$10,C44)</f>
        <v>20.488910733174</v>
      </c>
      <c r="D47" s="106" t="n">
        <f aca="false">IF(ISNUMBER(D44),D44/D$10,D44)</f>
        <v>29.5500812533064</v>
      </c>
      <c r="E47" s="106" t="n">
        <f aca="false">IF(ISNUMBER(E44),E44/E$10,E44)</f>
        <v>50.9467430448853</v>
      </c>
      <c r="F47" s="106" t="n">
        <f aca="false">IF(ISNUMBER(F44),F44/F$10,F44)</f>
        <v>4.18325502811981</v>
      </c>
      <c r="G47" s="106" t="n">
        <f aca="false">IF(ISNUMBER(G44),G44/G$10,G44)</f>
        <v>5.62820149992728</v>
      </c>
      <c r="H47" s="106" t="n">
        <f aca="false">IF(ISNUMBER(H44),H44/H$10,H44)</f>
        <v>9.1590290263231</v>
      </c>
      <c r="I47" s="106" t="n">
        <f aca="false">IF(ISNUMBER(I44),I44/I$10,I44)</f>
        <v>4.59041759402906</v>
      </c>
      <c r="J47" s="106" t="n">
        <f aca="false">IF(ISNUMBER(J44),J44/J$10,J44)</f>
        <v>6.70855071705259</v>
      </c>
      <c r="K47" s="106" t="n">
        <f aca="false">IF(ISNUMBER(K44),K44/K$10,K44)</f>
        <v>12.5815809346939</v>
      </c>
      <c r="L47" s="106" t="n">
        <f aca="false">IF(ISNUMBER(L44),L44/L$10,L44)</f>
        <v>2.00141017816942</v>
      </c>
      <c r="M47" s="106" t="n">
        <f aca="false">IF(ISNUMBER(M44),M44/M$10,M44)</f>
        <v>2.76777027095088</v>
      </c>
      <c r="N47" s="106" t="n">
        <f aca="false">IF(ISNUMBER(N44),N44/N$10,N44)</f>
        <v>4.74783805132105</v>
      </c>
      <c r="O47" s="106" t="n">
        <f aca="false">IF(ISNUMBER(O44),O44/O$10,O44)</f>
        <v>1.42324726670723</v>
      </c>
      <c r="P47" s="106" t="n">
        <f aca="false">IF(ISNUMBER(P44),P44/P$10,P44)</f>
        <v>2.18861193348932</v>
      </c>
      <c r="Q47" s="106" t="n">
        <f aca="false">IF(ISNUMBER(Q44),Q44/Q$10,Q44)</f>
        <v>4.01769338202983</v>
      </c>
    </row>
    <row r="48" customFormat="false" ht="15" hidden="false" customHeight="false" outlineLevel="0" collapsed="false">
      <c r="A48" s="45" t="s">
        <v>619</v>
      </c>
      <c r="B48" s="45" t="s">
        <v>562</v>
      </c>
      <c r="C48" s="97" t="n">
        <f aca="false">IF(C41&gt;0,C$9/3600*C41,"SLO 不可達")</f>
        <v>9.48157540644197</v>
      </c>
      <c r="D48" s="97" t="n">
        <f aca="false">IF(D41&gt;0,D$9/3600*D41,"SLO 不可達")</f>
        <v>13.1657902024499</v>
      </c>
      <c r="E48" s="97" t="n">
        <f aca="false">IF(E41&gt;0,E$9/3600*E41,"SLO 不可達")</f>
        <v>22.7412732228457</v>
      </c>
      <c r="F48" s="97" t="n">
        <f aca="false">IF(F41&gt;0,F$9/3600*F41,"SLO 不可達")</f>
        <v>1.9350088786048</v>
      </c>
      <c r="G48" s="97" t="n">
        <f aca="false">IF(G41&gt;0,G$9/3600*G41,"SLO 不可達")</f>
        <v>2.50170060006188</v>
      </c>
      <c r="H48" s="97" t="n">
        <f aca="false">IF(H41&gt;0,H$9/3600*H41,"SLO 不可達")</f>
        <v>4.06152473895609</v>
      </c>
      <c r="I48" s="97" t="n">
        <f aca="false">IF(I41&gt;0,I$9/3600*I41,"SLO 不可達")</f>
        <v>2.13550375491945</v>
      </c>
      <c r="J48" s="97" t="n">
        <f aca="false">IF(J41&gt;0,J$9/3600*J41,"SLO 不可達")</f>
        <v>3.00485504575471</v>
      </c>
      <c r="K48" s="97" t="n">
        <f aca="false">IF(K41&gt;0,K$9/3600*K41,"SLO 不可達")</f>
        <v>5.6798450755267</v>
      </c>
      <c r="L48" s="97" t="n">
        <f aca="false">IF(L41&gt;0,L$9/3600*L41,"SLO 不可達")</f>
        <v>0.931213126310015</v>
      </c>
      <c r="M48" s="97" t="n">
        <f aca="false">IF(M41&gt;0,M$9/3600*M41,"SLO 不可達")</f>
        <v>1.23843614036657</v>
      </c>
      <c r="N48" s="97" t="n">
        <f aca="false">IF(N41&gt;0,N$9/3600*N41,"SLO 不可達")</f>
        <v>2.13359572946523</v>
      </c>
      <c r="O48" s="97" t="n">
        <f aca="false">IF(O41&gt;0,O$9/3600*O41,"SLO 不可達")</f>
        <v>0.665130891044125</v>
      </c>
      <c r="P48" s="97" t="n">
        <f aca="false">IF(P41&gt;0,P$9/3600*P41,"SLO 不可達")</f>
        <v>0.985340787440122</v>
      </c>
      <c r="Q48" s="97" t="n">
        <f aca="false">IF(Q41&gt;0,Q$9/3600*Q41,"SLO 不可達")</f>
        <v>1.82658844195838</v>
      </c>
    </row>
    <row r="49" customFormat="false" ht="15" hidden="false" customHeight="false" outlineLevel="0" collapsed="false">
      <c r="A49" s="44" t="s">
        <v>620</v>
      </c>
      <c r="B49" s="45" t="s">
        <v>562</v>
      </c>
      <c r="C49" s="75" t="n">
        <f aca="false">IF(ISNUMBER(C44),(Serving!$E$23*C42+Serving!$E$24*C44)/(Serving!$E$23+Serving!$E$24),C44)</f>
        <v>1.77391472635531</v>
      </c>
      <c r="D49" s="75" t="n">
        <f aca="false">IF(ISNUMBER(D44),(Serving!$E$23*D42+Serving!$E$24*D44)/(Serving!$E$23+Serving!$E$24),D44)</f>
        <v>2.55842416333841</v>
      </c>
      <c r="E49" s="75" t="n">
        <f aca="false">IF(ISNUMBER(E44),(Serving!$E$23*E42+Serving!$E$24*E44)/(Serving!$E$23+Serving!$E$24),E44)</f>
        <v>4.41093130445601</v>
      </c>
      <c r="F49" s="75" t="n">
        <f aca="false">IF(ISNUMBER(F44),(Serving!$E$23*F42+Serving!$E$24*F44)/(Serving!$E$23+Serving!$E$24),F44)</f>
        <v>0.334850644588711</v>
      </c>
      <c r="G49" s="75" t="n">
        <f aca="false">IF(ISNUMBER(G44),(Serving!$E$23*G42+Serving!$E$24*G44)/(Serving!$E$23+Serving!$E$24),G44)</f>
        <v>0.450512074319516</v>
      </c>
      <c r="H49" s="75" t="n">
        <f aca="false">IF(ISNUMBER(H44),(Serving!$E$23*H42+Serving!$E$24*H44)/(Serving!$E$23+Serving!$E$24),H44)</f>
        <v>0.733138848254595</v>
      </c>
      <c r="I49" s="75" t="n">
        <f aca="false">IF(ISNUMBER(I44),(Serving!$E$23*I42+Serving!$E$24*I44)/(Serving!$E$23+Serving!$E$24),I44)</f>
        <v>0.355440911586871</v>
      </c>
      <c r="J49" s="75" t="n">
        <f aca="false">IF(ISNUMBER(J44),(Serving!$E$23*J42+Serving!$E$24*J44)/(Serving!$E$23+Serving!$E$24),J44)</f>
        <v>0.519450209801727</v>
      </c>
      <c r="K49" s="75" t="n">
        <f aca="false">IF(ISNUMBER(K44),(Serving!$E$23*K42+Serving!$E$24*K44)/(Serving!$E$23+Serving!$E$24),K44)</f>
        <v>0.97420517960033</v>
      </c>
      <c r="L49" s="75" t="n">
        <f aca="false">IF(ISNUMBER(L44),(Serving!$E$23*L42+Serving!$E$24*L44)/(Serving!$E$23+Serving!$E$24),L44)</f>
        <v>0.168760008256208</v>
      </c>
      <c r="M49" s="75" t="n">
        <f aca="false">IF(ISNUMBER(M44),(Serving!$E$23*M42+Serving!$E$24*M44)/(Serving!$E$23+Serving!$E$24),M44)</f>
        <v>0.233379913259049</v>
      </c>
      <c r="N49" s="75" t="n">
        <f aca="false">IF(ISNUMBER(N44),(Serving!$E$23*N42+Serving!$E$24*N44)/(Serving!$E$23+Serving!$E$24),N44)</f>
        <v>0.400340318781097</v>
      </c>
      <c r="O49" s="75" t="n">
        <f aca="false">IF(ISNUMBER(O44),(Serving!$E$23*O42+Serving!$E$24*O44)/(Serving!$E$23+Serving!$E$24),O44)</f>
        <v>0.122888572859027</v>
      </c>
      <c r="P49" s="75" t="n">
        <f aca="false">IF(ISNUMBER(P44),(Serving!$E$23*P42+Serving!$E$24*P44)/(Serving!$E$23+Serving!$E$24),P44)</f>
        <v>0.188973064161215</v>
      </c>
      <c r="Q49" s="75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621</v>
      </c>
    </row>
    <row r="2" customFormat="false" ht="15" hidden="false" customHeight="true" outlineLevel="0" collapsed="false">
      <c r="A2" s="10" t="s">
        <v>622</v>
      </c>
    </row>
    <row r="4" customFormat="false" ht="15" hidden="false" customHeight="true" outlineLevel="0" collapsed="false">
      <c r="A4" s="19" t="s">
        <v>110</v>
      </c>
      <c r="C4" s="108" t="str">
        <f aca="false">Spec_Rack!C4</f>
        <v>Hopper H100</v>
      </c>
      <c r="D4" s="108" t="str">
        <f aca="false">Spec_Rack!C4</f>
        <v>Hopper H100</v>
      </c>
      <c r="E4" s="108" t="str">
        <f aca="false">Spec_Rack!C4</f>
        <v>Hopper H100</v>
      </c>
      <c r="F4" s="108" t="str">
        <f aca="false">Spec_Rack!D4</f>
        <v>GB200 NVL72</v>
      </c>
      <c r="G4" s="108" t="str">
        <f aca="false">Spec_Rack!D4</f>
        <v>GB200 NVL72</v>
      </c>
      <c r="H4" s="108" t="str">
        <f aca="false">Spec_Rack!D4</f>
        <v>GB200 NVL72</v>
      </c>
      <c r="I4" s="108" t="str">
        <f aca="false">Spec_Rack!E4</f>
        <v>GB300 NVL72</v>
      </c>
      <c r="J4" s="108" t="str">
        <f aca="false">Spec_Rack!E4</f>
        <v>GB300 NVL72</v>
      </c>
      <c r="K4" s="108" t="str">
        <f aca="false">Spec_Rack!E4</f>
        <v>GB300 NVL72</v>
      </c>
      <c r="L4" s="108" t="str">
        <f aca="false">Spec_Rack!F4</f>
        <v>VR200 NVL72</v>
      </c>
      <c r="M4" s="108" t="str">
        <f aca="false">Spec_Rack!F4</f>
        <v>VR200 NVL72</v>
      </c>
      <c r="N4" s="108" t="str">
        <f aca="false">Spec_Rack!F4</f>
        <v>VR200 NVL72</v>
      </c>
      <c r="O4" s="108" t="str">
        <f aca="false">Spec_Rack!G4</f>
        <v>Rubin Ultra NVL576</v>
      </c>
      <c r="P4" s="108" t="str">
        <f aca="false">Spec_Rack!G4</f>
        <v>Rubin Ultra NVL576</v>
      </c>
      <c r="Q4" s="108" t="str">
        <f aca="false">Spec_Rack!G4</f>
        <v>Rubin Ultra NVL576</v>
      </c>
    </row>
    <row r="5" customFormat="false" ht="15" hidden="false" customHeight="true" outlineLevel="0" collapsed="false">
      <c r="A5" s="19" t="s">
        <v>12</v>
      </c>
      <c r="C5" s="25" t="s">
        <v>30</v>
      </c>
      <c r="D5" s="25" t="s">
        <v>31</v>
      </c>
      <c r="E5" s="25" t="s">
        <v>32</v>
      </c>
      <c r="F5" s="25" t="s">
        <v>30</v>
      </c>
      <c r="G5" s="25" t="s">
        <v>31</v>
      </c>
      <c r="H5" s="25" t="s">
        <v>32</v>
      </c>
      <c r="I5" s="25" t="s">
        <v>30</v>
      </c>
      <c r="J5" s="25" t="s">
        <v>31</v>
      </c>
      <c r="K5" s="25" t="s">
        <v>32</v>
      </c>
      <c r="L5" s="25" t="s">
        <v>30</v>
      </c>
      <c r="M5" s="25" t="s">
        <v>31</v>
      </c>
      <c r="N5" s="25" t="s">
        <v>32</v>
      </c>
      <c r="O5" s="25" t="s">
        <v>30</v>
      </c>
      <c r="P5" s="25" t="s">
        <v>31</v>
      </c>
      <c r="Q5" s="25" t="s">
        <v>32</v>
      </c>
    </row>
    <row r="7" customFormat="false" ht="15" hidden="false" customHeight="true" outlineLevel="0" collapsed="false">
      <c r="A7" s="24" t="s">
        <v>623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624</v>
      </c>
      <c r="B8" s="15" t="s">
        <v>625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44</v>
      </c>
      <c r="B9" s="15" t="s">
        <v>45</v>
      </c>
      <c r="C9" s="109" t="n">
        <f aca="false">Inputs!$E$8</f>
        <v>0.08</v>
      </c>
      <c r="D9" s="109" t="n">
        <f aca="false">Inputs!$E$8</f>
        <v>0.08</v>
      </c>
      <c r="E9" s="109" t="n">
        <f aca="false">Inputs!$E$8</f>
        <v>0.08</v>
      </c>
      <c r="F9" s="109" t="n">
        <f aca="false">Inputs!$E$8</f>
        <v>0.08</v>
      </c>
      <c r="G9" s="109" t="n">
        <f aca="false">Inputs!$E$8</f>
        <v>0.08</v>
      </c>
      <c r="H9" s="109" t="n">
        <f aca="false">Inputs!$E$8</f>
        <v>0.08</v>
      </c>
      <c r="I9" s="109" t="n">
        <f aca="false">Inputs!$E$8</f>
        <v>0.08</v>
      </c>
      <c r="J9" s="109" t="n">
        <f aca="false">Inputs!$E$8</f>
        <v>0.08</v>
      </c>
      <c r="K9" s="109" t="n">
        <f aca="false">Inputs!$E$8</f>
        <v>0.08</v>
      </c>
      <c r="L9" s="109" t="n">
        <f aca="false">Inputs!$E$8</f>
        <v>0.08</v>
      </c>
      <c r="M9" s="109" t="n">
        <f aca="false">Inputs!$E$8</f>
        <v>0.08</v>
      </c>
      <c r="N9" s="109" t="n">
        <f aca="false">Inputs!$E$8</f>
        <v>0.08</v>
      </c>
      <c r="O9" s="109" t="n">
        <f aca="false">Inputs!$E$8</f>
        <v>0.08</v>
      </c>
      <c r="P9" s="109" t="n">
        <f aca="false">Inputs!$E$8</f>
        <v>0.08</v>
      </c>
      <c r="Q9" s="109" t="n">
        <f aca="false">Inputs!$E$8</f>
        <v>0.08</v>
      </c>
    </row>
    <row r="10" customFormat="false" ht="15" hidden="false" customHeight="true" outlineLevel="0" collapsed="false">
      <c r="A10" s="19" t="s">
        <v>626</v>
      </c>
      <c r="B10" s="15" t="s">
        <v>625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498</v>
      </c>
      <c r="B11" s="15" t="s">
        <v>499</v>
      </c>
      <c r="C11" s="110" t="n">
        <f aca="false">CHOOSE(Inputs!$E$6,Spec_Rack!C8,Spec_Rack!C9,Spec_Rack!C10)</f>
        <v>41</v>
      </c>
      <c r="D11" s="110" t="n">
        <f aca="false">CHOOSE(Inputs!$E$6,Spec_Rack!C8,Spec_Rack!C9,Spec_Rack!C10)</f>
        <v>41</v>
      </c>
      <c r="E11" s="110" t="n">
        <f aca="false">CHOOSE(Inputs!$E$6,Spec_Rack!C8,Spec_Rack!C9,Spec_Rack!C10)</f>
        <v>41</v>
      </c>
      <c r="F11" s="110" t="n">
        <f aca="false">CHOOSE(Inputs!$E$6,Spec_Rack!D8,Spec_Rack!D9,Spec_Rack!D10)</f>
        <v>130</v>
      </c>
      <c r="G11" s="110" t="n">
        <f aca="false">CHOOSE(Inputs!$E$6,Spec_Rack!D8,Spec_Rack!D9,Spec_Rack!D10)</f>
        <v>130</v>
      </c>
      <c r="H11" s="110" t="n">
        <f aca="false">CHOOSE(Inputs!$E$6,Spec_Rack!D8,Spec_Rack!D9,Spec_Rack!D10)</f>
        <v>130</v>
      </c>
      <c r="I11" s="110" t="n">
        <f aca="false">CHOOSE(Inputs!$E$6,Spec_Rack!E8,Spec_Rack!E9,Spec_Rack!E10)</f>
        <v>137</v>
      </c>
      <c r="J11" s="110" t="n">
        <f aca="false">CHOOSE(Inputs!$E$6,Spec_Rack!E8,Spec_Rack!E9,Spec_Rack!E10)</f>
        <v>137</v>
      </c>
      <c r="K11" s="110" t="n">
        <f aca="false">CHOOSE(Inputs!$E$6,Spec_Rack!E8,Spec_Rack!E9,Spec_Rack!E10)</f>
        <v>137</v>
      </c>
      <c r="L11" s="110" t="n">
        <f aca="false">CHOOSE(Inputs!$E$6,Spec_Rack!F8,Spec_Rack!F9,Spec_Rack!F10)</f>
        <v>227</v>
      </c>
      <c r="M11" s="110" t="n">
        <f aca="false">CHOOSE(Inputs!$E$6,Spec_Rack!F8,Spec_Rack!F9,Spec_Rack!F10)</f>
        <v>227</v>
      </c>
      <c r="N11" s="110" t="n">
        <f aca="false">CHOOSE(Inputs!$E$6,Spec_Rack!F8,Spec_Rack!F9,Spec_Rack!F10)</f>
        <v>227</v>
      </c>
      <c r="O11" s="110" t="n">
        <f aca="false">CHOOSE(Inputs!$E$6,Spec_Rack!G8,Spec_Rack!G9,Spec_Rack!G10)</f>
        <v>600</v>
      </c>
      <c r="P11" s="110" t="n">
        <f aca="false">CHOOSE(Inputs!$E$6,Spec_Rack!G8,Spec_Rack!G9,Spec_Rack!G10)</f>
        <v>600</v>
      </c>
      <c r="Q11" s="110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627</v>
      </c>
      <c r="B12" s="20" t="s">
        <v>497</v>
      </c>
      <c r="C12" s="111" t="n">
        <f aca="false">FLOOR(C10*1000/C11,1)</f>
        <v>22439</v>
      </c>
      <c r="D12" s="111" t="n">
        <f aca="false">FLOOR(D10*1000/D11,1)</f>
        <v>22439</v>
      </c>
      <c r="E12" s="111" t="n">
        <f aca="false">FLOOR(E10*1000/E11,1)</f>
        <v>22439</v>
      </c>
      <c r="F12" s="111" t="n">
        <f aca="false">FLOOR(F10*1000/F11,1)</f>
        <v>7076</v>
      </c>
      <c r="G12" s="111" t="n">
        <f aca="false">FLOOR(G10*1000/G11,1)</f>
        <v>7076</v>
      </c>
      <c r="H12" s="111" t="n">
        <f aca="false">FLOOR(H10*1000/H11,1)</f>
        <v>7076</v>
      </c>
      <c r="I12" s="111" t="n">
        <f aca="false">FLOOR(I10*1000/I11,1)</f>
        <v>6715</v>
      </c>
      <c r="J12" s="111" t="n">
        <f aca="false">FLOOR(J10*1000/J11,1)</f>
        <v>6715</v>
      </c>
      <c r="K12" s="111" t="n">
        <f aca="false">FLOOR(K10*1000/K11,1)</f>
        <v>6715</v>
      </c>
      <c r="L12" s="111" t="n">
        <f aca="false">FLOOR(L10*1000/L11,1)</f>
        <v>4052</v>
      </c>
      <c r="M12" s="111" t="n">
        <f aca="false">FLOOR(M10*1000/M11,1)</f>
        <v>4052</v>
      </c>
      <c r="N12" s="111" t="n">
        <f aca="false">FLOOR(N10*1000/N11,1)</f>
        <v>4052</v>
      </c>
      <c r="O12" s="111" t="n">
        <f aca="false">FLOOR(O10*1000/O11,1)</f>
        <v>1533</v>
      </c>
      <c r="P12" s="111" t="n">
        <f aca="false">FLOOR(P10*1000/P11,1)</f>
        <v>1533</v>
      </c>
      <c r="Q12" s="111" t="n">
        <f aca="false">FLOOR(Q10*1000/Q11,1)</f>
        <v>1533</v>
      </c>
    </row>
    <row r="13" customFormat="false" ht="15" hidden="false" customHeight="true" outlineLevel="0" collapsed="false">
      <c r="A13" s="14" t="s">
        <v>123</v>
      </c>
      <c r="B13" s="20" t="s">
        <v>491</v>
      </c>
      <c r="C13" s="110" t="n">
        <f aca="false">Spec_Rack!C6</f>
        <v>32</v>
      </c>
      <c r="D13" s="110" t="n">
        <f aca="false">Spec_Rack!C6</f>
        <v>32</v>
      </c>
      <c r="E13" s="110" t="n">
        <f aca="false">Spec_Rack!C6</f>
        <v>32</v>
      </c>
      <c r="F13" s="110" t="n">
        <f aca="false">Spec_Rack!D6</f>
        <v>72</v>
      </c>
      <c r="G13" s="110" t="n">
        <f aca="false">Spec_Rack!D6</f>
        <v>72</v>
      </c>
      <c r="H13" s="110" t="n">
        <f aca="false">Spec_Rack!D6</f>
        <v>72</v>
      </c>
      <c r="I13" s="110" t="n">
        <f aca="false">Spec_Rack!E6</f>
        <v>72</v>
      </c>
      <c r="J13" s="110" t="n">
        <f aca="false">Spec_Rack!E6</f>
        <v>72</v>
      </c>
      <c r="K13" s="110" t="n">
        <f aca="false">Spec_Rack!E6</f>
        <v>72</v>
      </c>
      <c r="L13" s="110" t="n">
        <f aca="false">Spec_Rack!F6</f>
        <v>72</v>
      </c>
      <c r="M13" s="110" t="n">
        <f aca="false">Spec_Rack!F6</f>
        <v>72</v>
      </c>
      <c r="N13" s="110" t="n">
        <f aca="false">Spec_Rack!F6</f>
        <v>72</v>
      </c>
      <c r="O13" s="110" t="n">
        <f aca="false">Spec_Rack!G6</f>
        <v>144</v>
      </c>
      <c r="P13" s="110" t="n">
        <f aca="false">Spec_Rack!G6</f>
        <v>144</v>
      </c>
      <c r="Q13" s="110" t="n">
        <f aca="false">Spec_Rack!G6</f>
        <v>144</v>
      </c>
    </row>
    <row r="14" customFormat="false" ht="15" hidden="false" customHeight="true" outlineLevel="0" collapsed="false">
      <c r="A14" s="19" t="s">
        <v>628</v>
      </c>
      <c r="B14" s="20" t="s">
        <v>491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509472</v>
      </c>
      <c r="G14" s="16" t="n">
        <f aca="false">G12*G13</f>
        <v>509472</v>
      </c>
      <c r="H14" s="16" t="n">
        <f aca="false">H12*H13</f>
        <v>509472</v>
      </c>
      <c r="I14" s="16" t="n">
        <f aca="false">I12*I13</f>
        <v>483480</v>
      </c>
      <c r="J14" s="16" t="n">
        <f aca="false">J12*J13</f>
        <v>483480</v>
      </c>
      <c r="K14" s="16" t="n">
        <f aca="false">K12*K13</f>
        <v>483480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220752</v>
      </c>
      <c r="P14" s="16" t="n">
        <f aca="false">P12*P13</f>
        <v>220752</v>
      </c>
      <c r="Q14" s="16" t="n">
        <f aca="false">Q12*Q13</f>
        <v>220752</v>
      </c>
    </row>
    <row r="15" customFormat="false" ht="15" hidden="false" customHeight="true" outlineLevel="0" collapsed="false">
      <c r="A15" s="14" t="s">
        <v>48</v>
      </c>
      <c r="B15" s="15" t="s">
        <v>49</v>
      </c>
      <c r="C15" s="112" t="n">
        <f aca="false">Inputs!D9</f>
        <v>1.1</v>
      </c>
      <c r="D15" s="112" t="n">
        <f aca="false">Inputs!E9</f>
        <v>1.2</v>
      </c>
      <c r="E15" s="112" t="n">
        <f aca="false">Inputs!F9</f>
        <v>1.3</v>
      </c>
      <c r="F15" s="112" t="n">
        <f aca="false">Inputs!D9</f>
        <v>1.1</v>
      </c>
      <c r="G15" s="112" t="n">
        <f aca="false">Inputs!E9</f>
        <v>1.2</v>
      </c>
      <c r="H15" s="112" t="n">
        <f aca="false">Inputs!F9</f>
        <v>1.3</v>
      </c>
      <c r="I15" s="112" t="n">
        <f aca="false">Inputs!D9</f>
        <v>1.1</v>
      </c>
      <c r="J15" s="112" t="n">
        <f aca="false">Inputs!E9</f>
        <v>1.2</v>
      </c>
      <c r="K15" s="112" t="n">
        <f aca="false">Inputs!F9</f>
        <v>1.3</v>
      </c>
      <c r="L15" s="112" t="n">
        <f aca="false">Inputs!D9</f>
        <v>1.1</v>
      </c>
      <c r="M15" s="112" t="n">
        <f aca="false">Inputs!E9</f>
        <v>1.2</v>
      </c>
      <c r="N15" s="112" t="n">
        <f aca="false">Inputs!F9</f>
        <v>1.3</v>
      </c>
      <c r="O15" s="112" t="n">
        <f aca="false">Inputs!D9</f>
        <v>1.1</v>
      </c>
      <c r="P15" s="112" t="n">
        <f aca="false">Inputs!E9</f>
        <v>1.2</v>
      </c>
      <c r="Q15" s="112" t="n">
        <f aca="false">Inputs!F9</f>
        <v>1.3</v>
      </c>
    </row>
    <row r="16" customFormat="false" ht="15" hidden="false" customHeight="true" outlineLevel="0" collapsed="false">
      <c r="A16" s="19" t="s">
        <v>629</v>
      </c>
      <c r="B16" s="15" t="s">
        <v>625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630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631</v>
      </c>
      <c r="B18" s="15" t="s">
        <v>632</v>
      </c>
      <c r="C18" s="113" t="n">
        <f aca="false">Spec_Rack!C11</f>
        <v>0.9</v>
      </c>
      <c r="D18" s="113" t="n">
        <f aca="false">Spec_Rack!C12</f>
        <v>1.1</v>
      </c>
      <c r="E18" s="113" t="n">
        <f aca="false">Spec_Rack!C13</f>
        <v>1.3</v>
      </c>
      <c r="F18" s="113" t="n">
        <f aca="false">Spec_Rack!D11</f>
        <v>2.8</v>
      </c>
      <c r="G18" s="113" t="n">
        <f aca="false">Spec_Rack!D12</f>
        <v>3.1</v>
      </c>
      <c r="H18" s="113" t="n">
        <f aca="false">Spec_Rack!D13</f>
        <v>3.4</v>
      </c>
      <c r="I18" s="113" t="n">
        <f aca="false">Spec_Rack!E11</f>
        <v>4</v>
      </c>
      <c r="J18" s="113" t="n">
        <f aca="false">Spec_Rack!E12</f>
        <v>5</v>
      </c>
      <c r="K18" s="113" t="n">
        <f aca="false">Spec_Rack!E13</f>
        <v>6.5</v>
      </c>
      <c r="L18" s="113" t="n">
        <f aca="false">Spec_Rack!F11</f>
        <v>6.7</v>
      </c>
      <c r="M18" s="113" t="n">
        <f aca="false">Spec_Rack!F12</f>
        <v>7.8</v>
      </c>
      <c r="N18" s="113" t="n">
        <f aca="false">Spec_Rack!F13</f>
        <v>9.1</v>
      </c>
      <c r="O18" s="113" t="n">
        <f aca="false">Spec_Rack!G11</f>
        <v>23.4</v>
      </c>
      <c r="P18" s="113" t="n">
        <f aca="false">Spec_Rack!G12</f>
        <v>31.2</v>
      </c>
      <c r="Q18" s="113" t="n">
        <f aca="false">Spec_Rack!G13</f>
        <v>39</v>
      </c>
    </row>
    <row r="19" customFormat="false" ht="15" hidden="false" customHeight="true" outlineLevel="0" collapsed="false">
      <c r="A19" s="19" t="s">
        <v>633</v>
      </c>
      <c r="B19" s="15" t="s">
        <v>634</v>
      </c>
      <c r="C19" s="114" t="n">
        <f aca="false">C12*C18/1000</f>
        <v>20.1951</v>
      </c>
      <c r="D19" s="114" t="n">
        <f aca="false">D12*D18/1000</f>
        <v>24.6829</v>
      </c>
      <c r="E19" s="114" t="n">
        <f aca="false">E12*E18/1000</f>
        <v>29.1707</v>
      </c>
      <c r="F19" s="114" t="n">
        <f aca="false">F12*F18/1000</f>
        <v>19.8128</v>
      </c>
      <c r="G19" s="114" t="n">
        <f aca="false">G12*G18/1000</f>
        <v>21.9356</v>
      </c>
      <c r="H19" s="114" t="n">
        <f aca="false">H12*H18/1000</f>
        <v>24.0584</v>
      </c>
      <c r="I19" s="114" t="n">
        <f aca="false">I12*I18/1000</f>
        <v>26.86</v>
      </c>
      <c r="J19" s="114" t="n">
        <f aca="false">J12*J18/1000</f>
        <v>33.575</v>
      </c>
      <c r="K19" s="114" t="n">
        <f aca="false">K12*K18/1000</f>
        <v>43.6475</v>
      </c>
      <c r="L19" s="114" t="n">
        <f aca="false">L12*L18/1000</f>
        <v>27.1484</v>
      </c>
      <c r="M19" s="114" t="n">
        <f aca="false">M12*M18/1000</f>
        <v>31.6056</v>
      </c>
      <c r="N19" s="114" t="n">
        <f aca="false">N12*N18/1000</f>
        <v>36.8732</v>
      </c>
      <c r="O19" s="114" t="n">
        <f aca="false">O12*O18/1000</f>
        <v>35.8722</v>
      </c>
      <c r="P19" s="114" t="n">
        <f aca="false">P12*P18/1000</f>
        <v>47.8296</v>
      </c>
      <c r="Q19" s="114" t="n">
        <f aca="false">Q12*Q18/1000</f>
        <v>59.787</v>
      </c>
    </row>
    <row r="20" customFormat="false" ht="15" hidden="false" customHeight="true" outlineLevel="0" collapsed="false">
      <c r="A20" s="14" t="s">
        <v>59</v>
      </c>
      <c r="B20" s="15" t="s">
        <v>45</v>
      </c>
      <c r="C20" s="109" t="n">
        <f aca="false">Inputs!D13</f>
        <v>0.05</v>
      </c>
      <c r="D20" s="109" t="n">
        <f aca="false">Inputs!E13</f>
        <v>0.1</v>
      </c>
      <c r="E20" s="109" t="n">
        <f aca="false">Inputs!F13</f>
        <v>0.15</v>
      </c>
      <c r="F20" s="109" t="n">
        <f aca="false">Inputs!D13</f>
        <v>0.05</v>
      </c>
      <c r="G20" s="109" t="n">
        <f aca="false">Inputs!E13</f>
        <v>0.1</v>
      </c>
      <c r="H20" s="109" t="n">
        <f aca="false">Inputs!F13</f>
        <v>0.15</v>
      </c>
      <c r="I20" s="109" t="n">
        <f aca="false">Inputs!D13</f>
        <v>0.05</v>
      </c>
      <c r="J20" s="109" t="n">
        <f aca="false">Inputs!E13</f>
        <v>0.1</v>
      </c>
      <c r="K20" s="109" t="n">
        <f aca="false">Inputs!F13</f>
        <v>0.15</v>
      </c>
      <c r="L20" s="109" t="n">
        <f aca="false">Inputs!D13</f>
        <v>0.05</v>
      </c>
      <c r="M20" s="109" t="n">
        <f aca="false">Inputs!E13</f>
        <v>0.1</v>
      </c>
      <c r="N20" s="109" t="n">
        <f aca="false">Inputs!F13</f>
        <v>0.15</v>
      </c>
      <c r="O20" s="109" t="n">
        <f aca="false">Inputs!D13</f>
        <v>0.05</v>
      </c>
      <c r="P20" s="109" t="n">
        <f aca="false">Inputs!E13</f>
        <v>0.1</v>
      </c>
      <c r="Q20" s="109" t="n">
        <f aca="false">Inputs!F13</f>
        <v>0.15</v>
      </c>
    </row>
    <row r="21" customFormat="false" ht="15" hidden="false" customHeight="true" outlineLevel="0" collapsed="false">
      <c r="A21" s="14" t="s">
        <v>635</v>
      </c>
      <c r="B21" s="15" t="s">
        <v>634</v>
      </c>
      <c r="C21" s="114" t="n">
        <f aca="false">C19*C20</f>
        <v>1.009755</v>
      </c>
      <c r="D21" s="114" t="n">
        <f aca="false">D19*D20</f>
        <v>2.46829</v>
      </c>
      <c r="E21" s="114" t="n">
        <f aca="false">E19*E20</f>
        <v>4.375605</v>
      </c>
      <c r="F21" s="114" t="n">
        <f aca="false">F19*F20</f>
        <v>0.99064</v>
      </c>
      <c r="G21" s="114" t="n">
        <f aca="false">G19*G20</f>
        <v>2.19356</v>
      </c>
      <c r="H21" s="114" t="n">
        <f aca="false">H19*H20</f>
        <v>3.60876</v>
      </c>
      <c r="I21" s="114" t="n">
        <f aca="false">I19*I20</f>
        <v>1.343</v>
      </c>
      <c r="J21" s="114" t="n">
        <f aca="false">J19*J20</f>
        <v>3.3575</v>
      </c>
      <c r="K21" s="114" t="n">
        <f aca="false">K19*K20</f>
        <v>6.547125</v>
      </c>
      <c r="L21" s="114" t="n">
        <f aca="false">L19*L20</f>
        <v>1.35742</v>
      </c>
      <c r="M21" s="114" t="n">
        <f aca="false">M19*M20</f>
        <v>3.16056</v>
      </c>
      <c r="N21" s="114" t="n">
        <f aca="false">N19*N20</f>
        <v>5.53098</v>
      </c>
      <c r="O21" s="114" t="n">
        <f aca="false">O19*O20</f>
        <v>1.79361</v>
      </c>
      <c r="P21" s="114" t="n">
        <f aca="false">P19*P20</f>
        <v>4.78296</v>
      </c>
      <c r="Q21" s="114" t="n">
        <f aca="false">Q19*Q20</f>
        <v>8.96805</v>
      </c>
    </row>
    <row r="22" customFormat="false" ht="15" hidden="false" customHeight="true" outlineLevel="0" collapsed="false">
      <c r="A22" s="19" t="s">
        <v>636</v>
      </c>
      <c r="B22" s="15" t="s">
        <v>62</v>
      </c>
      <c r="C22" s="110" t="n">
        <f aca="false">Inputs!D14</f>
        <v>300</v>
      </c>
      <c r="D22" s="110" t="n">
        <f aca="false">Inputs!E14</f>
        <v>500</v>
      </c>
      <c r="E22" s="110" t="n">
        <f aca="false">Inputs!F14</f>
        <v>800</v>
      </c>
      <c r="F22" s="110" t="n">
        <f aca="false">Inputs!D14</f>
        <v>300</v>
      </c>
      <c r="G22" s="110" t="n">
        <f aca="false">Inputs!E14</f>
        <v>500</v>
      </c>
      <c r="H22" s="110" t="n">
        <f aca="false">Inputs!F14</f>
        <v>800</v>
      </c>
      <c r="I22" s="110" t="n">
        <f aca="false">Inputs!D14</f>
        <v>300</v>
      </c>
      <c r="J22" s="110" t="n">
        <f aca="false">Inputs!E14</f>
        <v>500</v>
      </c>
      <c r="K22" s="110" t="n">
        <f aca="false">Inputs!F14</f>
        <v>800</v>
      </c>
      <c r="L22" s="110" t="n">
        <f aca="false">Inputs!D14</f>
        <v>300</v>
      </c>
      <c r="M22" s="110" t="n">
        <f aca="false">Inputs!E14</f>
        <v>500</v>
      </c>
      <c r="N22" s="110" t="n">
        <f aca="false">Inputs!F14</f>
        <v>800</v>
      </c>
      <c r="O22" s="110" t="n">
        <f aca="false">Inputs!D14</f>
        <v>300</v>
      </c>
      <c r="P22" s="110" t="n">
        <f aca="false">Inputs!E14</f>
        <v>500</v>
      </c>
      <c r="Q22" s="110" t="n">
        <f aca="false">Inputs!F14</f>
        <v>800</v>
      </c>
    </row>
    <row r="23" customFormat="false" ht="15" hidden="false" customHeight="true" outlineLevel="0" collapsed="false">
      <c r="A23" s="19" t="s">
        <v>636</v>
      </c>
      <c r="B23" s="15" t="s">
        <v>634</v>
      </c>
      <c r="C23" s="114" t="n">
        <f aca="false">C14*C22/1000000000</f>
        <v>0.2154144</v>
      </c>
      <c r="D23" s="114" t="n">
        <f aca="false">D14*D22/1000000000</f>
        <v>0.359024</v>
      </c>
      <c r="E23" s="114" t="n">
        <f aca="false">E14*E22/1000000000</f>
        <v>0.5744384</v>
      </c>
      <c r="F23" s="114" t="n">
        <f aca="false">F14*F22/1000000000</f>
        <v>0.1528416</v>
      </c>
      <c r="G23" s="114" t="n">
        <f aca="false">G14*G22/1000000000</f>
        <v>0.254736</v>
      </c>
      <c r="H23" s="114" t="n">
        <f aca="false">H14*H22/1000000000</f>
        <v>0.4075776</v>
      </c>
      <c r="I23" s="114" t="n">
        <f aca="false">I14*I22/1000000000</f>
        <v>0.145044</v>
      </c>
      <c r="J23" s="114" t="n">
        <f aca="false">J14*J22/1000000000</f>
        <v>0.24174</v>
      </c>
      <c r="K23" s="114" t="n">
        <f aca="false">K14*K22/1000000000</f>
        <v>0.386784</v>
      </c>
      <c r="L23" s="114" t="n">
        <f aca="false">L14*L22/1000000000</f>
        <v>0.0875232</v>
      </c>
      <c r="M23" s="114" t="n">
        <f aca="false">M14*M22/1000000000</f>
        <v>0.145872</v>
      </c>
      <c r="N23" s="114" t="n">
        <f aca="false">N14*N22/1000000000</f>
        <v>0.2333952</v>
      </c>
      <c r="O23" s="114" t="n">
        <f aca="false">O14*O22/1000000000</f>
        <v>0.0662256</v>
      </c>
      <c r="P23" s="114" t="n">
        <f aca="false">P14*P22/1000000000</f>
        <v>0.110376</v>
      </c>
      <c r="Q23" s="114" t="n">
        <f aca="false">Q14*Q22/1000000000</f>
        <v>0.1766016</v>
      </c>
    </row>
    <row r="24" customFormat="false" ht="15" hidden="false" customHeight="true" outlineLevel="0" collapsed="false">
      <c r="A24" s="14" t="s">
        <v>637</v>
      </c>
      <c r="B24" s="15" t="s">
        <v>634</v>
      </c>
      <c r="C24" s="114" t="n">
        <f aca="false">C19+C21+C23</f>
        <v>21.4202694</v>
      </c>
      <c r="D24" s="114" t="n">
        <f aca="false">D19+D21+D23</f>
        <v>27.510214</v>
      </c>
      <c r="E24" s="114" t="n">
        <f aca="false">E19+E21+E23</f>
        <v>34.1207434</v>
      </c>
      <c r="F24" s="114" t="n">
        <f aca="false">F19+F21+F23</f>
        <v>20.9562816</v>
      </c>
      <c r="G24" s="114" t="n">
        <f aca="false">G19+G21+G23</f>
        <v>24.383896</v>
      </c>
      <c r="H24" s="114" t="n">
        <f aca="false">H19+H21+H23</f>
        <v>28.0747376</v>
      </c>
      <c r="I24" s="114" t="n">
        <f aca="false">I19+I21+I23</f>
        <v>28.348044</v>
      </c>
      <c r="J24" s="114" t="n">
        <f aca="false">J19+J21+J23</f>
        <v>37.17424</v>
      </c>
      <c r="K24" s="114" t="n">
        <f aca="false">K19+K21+K23</f>
        <v>50.581409</v>
      </c>
      <c r="L24" s="114" t="n">
        <f aca="false">L19+L21+L23</f>
        <v>28.5933432</v>
      </c>
      <c r="M24" s="114" t="n">
        <f aca="false">M19+M21+M23</f>
        <v>34.912032</v>
      </c>
      <c r="N24" s="114" t="n">
        <f aca="false">N19+N21+N23</f>
        <v>42.6375752</v>
      </c>
      <c r="O24" s="114" t="n">
        <f aca="false">O19+O21+O23</f>
        <v>37.7320356</v>
      </c>
      <c r="P24" s="114" t="n">
        <f aca="false">P19+P21+P23</f>
        <v>52.722936</v>
      </c>
      <c r="Q24" s="114" t="n">
        <f aca="false">Q19+Q21+Q23</f>
        <v>68.9316516</v>
      </c>
    </row>
    <row r="25" customFormat="false" ht="15" hidden="false" customHeight="true" outlineLevel="0" collapsed="false">
      <c r="A25" s="19" t="s">
        <v>65</v>
      </c>
      <c r="B25" s="15" t="s">
        <v>634</v>
      </c>
      <c r="C25" s="114" t="n">
        <f aca="false">C8*Inputs!D16/1000</f>
        <v>0.02</v>
      </c>
      <c r="D25" s="114" t="n">
        <f aca="false">D8*Inputs!E16/1000</f>
        <v>0.02</v>
      </c>
      <c r="E25" s="114" t="n">
        <f aca="false">E8*Inputs!F16/1000</f>
        <v>0.02</v>
      </c>
      <c r="F25" s="114" t="n">
        <f aca="false">F8*Inputs!D16/1000</f>
        <v>0.02</v>
      </c>
      <c r="G25" s="114" t="n">
        <f aca="false">G8*Inputs!E16/1000</f>
        <v>0.02</v>
      </c>
      <c r="H25" s="114" t="n">
        <f aca="false">H8*Inputs!F16/1000</f>
        <v>0.02</v>
      </c>
      <c r="I25" s="114" t="n">
        <f aca="false">I8*Inputs!D16/1000</f>
        <v>0.02</v>
      </c>
      <c r="J25" s="114" t="n">
        <f aca="false">J8*Inputs!E16/1000</f>
        <v>0.02</v>
      </c>
      <c r="K25" s="114" t="n">
        <f aca="false">K8*Inputs!F16/1000</f>
        <v>0.02</v>
      </c>
      <c r="L25" s="114" t="n">
        <f aca="false">L8*Inputs!D16/1000</f>
        <v>0.02</v>
      </c>
      <c r="M25" s="114" t="n">
        <f aca="false">M8*Inputs!E16/1000</f>
        <v>0.02</v>
      </c>
      <c r="N25" s="114" t="n">
        <f aca="false">N8*Inputs!F16/1000</f>
        <v>0.02</v>
      </c>
      <c r="O25" s="114" t="n">
        <f aca="false">O8*Inputs!D16/1000</f>
        <v>0.02</v>
      </c>
      <c r="P25" s="114" t="n">
        <f aca="false">P8*Inputs!E16/1000</f>
        <v>0.02</v>
      </c>
      <c r="Q25" s="114" t="n">
        <f aca="false">Q8*Inputs!F16/1000</f>
        <v>0.02</v>
      </c>
    </row>
    <row r="26" customFormat="false" ht="15" hidden="false" customHeight="true" outlineLevel="0" collapsed="false">
      <c r="A26" s="19" t="s">
        <v>638</v>
      </c>
      <c r="B26" s="15" t="s">
        <v>634</v>
      </c>
      <c r="C26" s="114" t="n">
        <f aca="false">C8*Inputs!D17/1000</f>
        <v>3</v>
      </c>
      <c r="D26" s="114" t="n">
        <f aca="false">D8*Inputs!E17/1000</f>
        <v>3.6</v>
      </c>
      <c r="E26" s="114" t="n">
        <f aca="false">E8*Inputs!F17/1000</f>
        <v>4.5</v>
      </c>
      <c r="F26" s="114" t="n">
        <f aca="false">F8*Inputs!D17/1000</f>
        <v>3</v>
      </c>
      <c r="G26" s="114" t="n">
        <f aca="false">G8*Inputs!E17/1000</f>
        <v>3.6</v>
      </c>
      <c r="H26" s="114" t="n">
        <f aca="false">H8*Inputs!F17/1000</f>
        <v>4.5</v>
      </c>
      <c r="I26" s="114" t="n">
        <f aca="false">I8*Inputs!D17/1000</f>
        <v>3</v>
      </c>
      <c r="J26" s="114" t="n">
        <f aca="false">J8*Inputs!E17/1000</f>
        <v>3.6</v>
      </c>
      <c r="K26" s="114" t="n">
        <f aca="false">K8*Inputs!F17/1000</f>
        <v>4.5</v>
      </c>
      <c r="L26" s="114" t="n">
        <f aca="false">L8*Inputs!D17/1000</f>
        <v>3</v>
      </c>
      <c r="M26" s="114" t="n">
        <f aca="false">M8*Inputs!E17/1000</f>
        <v>3.6</v>
      </c>
      <c r="N26" s="114" t="n">
        <f aca="false">N8*Inputs!F17/1000</f>
        <v>4.5</v>
      </c>
      <c r="O26" s="114" t="n">
        <f aca="false">O8*Inputs!D17/1000</f>
        <v>3</v>
      </c>
      <c r="P26" s="114" t="n">
        <f aca="false">P8*Inputs!E17/1000</f>
        <v>3.6</v>
      </c>
      <c r="Q26" s="114" t="n">
        <f aca="false">Q8*Inputs!F17/1000</f>
        <v>4.5</v>
      </c>
    </row>
    <row r="27" customFormat="false" ht="15" hidden="false" customHeight="true" outlineLevel="0" collapsed="false">
      <c r="A27" s="19" t="s">
        <v>639</v>
      </c>
      <c r="B27" s="15" t="s">
        <v>634</v>
      </c>
      <c r="C27" s="114" t="n">
        <f aca="false">C8*Inputs!D18/1000</f>
        <v>3.8</v>
      </c>
      <c r="D27" s="114" t="n">
        <f aca="false">D8*Inputs!E18/1000</f>
        <v>4.5</v>
      </c>
      <c r="E27" s="114" t="n">
        <f aca="false">E8*Inputs!F18/1000</f>
        <v>5.5</v>
      </c>
      <c r="F27" s="114" t="n">
        <f aca="false">F8*Inputs!D18/1000</f>
        <v>3.8</v>
      </c>
      <c r="G27" s="114" t="n">
        <f aca="false">G8*Inputs!E18/1000</f>
        <v>4.5</v>
      </c>
      <c r="H27" s="114" t="n">
        <f aca="false">H8*Inputs!F18/1000</f>
        <v>5.5</v>
      </c>
      <c r="I27" s="114" t="n">
        <f aca="false">I8*Inputs!D18/1000</f>
        <v>3.8</v>
      </c>
      <c r="J27" s="114" t="n">
        <f aca="false">J8*Inputs!E18/1000</f>
        <v>4.5</v>
      </c>
      <c r="K27" s="114" t="n">
        <f aca="false">K8*Inputs!F18/1000</f>
        <v>5.5</v>
      </c>
      <c r="L27" s="114" t="n">
        <f aca="false">L8*Inputs!D18/1000</f>
        <v>3.8</v>
      </c>
      <c r="M27" s="114" t="n">
        <f aca="false">M8*Inputs!E18/1000</f>
        <v>4.5</v>
      </c>
      <c r="N27" s="114" t="n">
        <f aca="false">N8*Inputs!F18/1000</f>
        <v>5.5</v>
      </c>
      <c r="O27" s="114" t="n">
        <f aca="false">O8*Inputs!D18/1000</f>
        <v>3.8</v>
      </c>
      <c r="P27" s="114" t="n">
        <f aca="false">P8*Inputs!E18/1000</f>
        <v>4.5</v>
      </c>
      <c r="Q27" s="114" t="n">
        <f aca="false">Q8*Inputs!F18/1000</f>
        <v>5.5</v>
      </c>
    </row>
    <row r="28" customFormat="false" ht="15" hidden="false" customHeight="true" outlineLevel="0" collapsed="false">
      <c r="A28" s="19" t="s">
        <v>640</v>
      </c>
      <c r="B28" s="15" t="s">
        <v>634</v>
      </c>
      <c r="C28" s="114" t="n">
        <f aca="false">C8*Inputs!D19/1000</f>
        <v>2</v>
      </c>
      <c r="D28" s="114" t="n">
        <f aca="false">D8*Inputs!E19/1000</f>
        <v>2.5</v>
      </c>
      <c r="E28" s="114" t="n">
        <f aca="false">E8*Inputs!F19/1000</f>
        <v>3.2</v>
      </c>
      <c r="F28" s="114" t="n">
        <f aca="false">F8*Inputs!D19/1000</f>
        <v>2</v>
      </c>
      <c r="G28" s="114" t="n">
        <f aca="false">G8*Inputs!E19/1000</f>
        <v>2.5</v>
      </c>
      <c r="H28" s="114" t="n">
        <f aca="false">H8*Inputs!F19/1000</f>
        <v>3.2</v>
      </c>
      <c r="I28" s="114" t="n">
        <f aca="false">I8*Inputs!D19/1000</f>
        <v>2</v>
      </c>
      <c r="J28" s="114" t="n">
        <f aca="false">J8*Inputs!E19/1000</f>
        <v>2.5</v>
      </c>
      <c r="K28" s="114" t="n">
        <f aca="false">K8*Inputs!F19/1000</f>
        <v>3.2</v>
      </c>
      <c r="L28" s="114" t="n">
        <f aca="false">L8*Inputs!D19/1000</f>
        <v>2</v>
      </c>
      <c r="M28" s="114" t="n">
        <f aca="false">M8*Inputs!E19/1000</f>
        <v>2.5</v>
      </c>
      <c r="N28" s="114" t="n">
        <f aca="false">N8*Inputs!F19/1000</f>
        <v>3.2</v>
      </c>
      <c r="O28" s="114" t="n">
        <f aca="false">O8*Inputs!D19/1000</f>
        <v>2</v>
      </c>
      <c r="P28" s="114" t="n">
        <f aca="false">P8*Inputs!E19/1000</f>
        <v>2.5</v>
      </c>
      <c r="Q28" s="114" t="n">
        <f aca="false">Q8*Inputs!F19/1000</f>
        <v>3.2</v>
      </c>
    </row>
    <row r="29" customFormat="false" ht="15" hidden="false" customHeight="true" outlineLevel="0" collapsed="false">
      <c r="A29" s="19" t="s">
        <v>641</v>
      </c>
      <c r="B29" s="15" t="s">
        <v>634</v>
      </c>
      <c r="C29" s="114" t="n">
        <f aca="false">C8*Inputs!D20/1000</f>
        <v>0.3</v>
      </c>
      <c r="D29" s="114" t="n">
        <f aca="false">D8*Inputs!E20/1000</f>
        <v>0.4</v>
      </c>
      <c r="E29" s="114" t="n">
        <f aca="false">E8*Inputs!F20/1000</f>
        <v>0.5</v>
      </c>
      <c r="F29" s="114" t="n">
        <f aca="false">F8*Inputs!D20/1000</f>
        <v>0.3</v>
      </c>
      <c r="G29" s="114" t="n">
        <f aca="false">G8*Inputs!E20/1000</f>
        <v>0.4</v>
      </c>
      <c r="H29" s="114" t="n">
        <f aca="false">H8*Inputs!F20/1000</f>
        <v>0.5</v>
      </c>
      <c r="I29" s="114" t="n">
        <f aca="false">I8*Inputs!D20/1000</f>
        <v>0.3</v>
      </c>
      <c r="J29" s="114" t="n">
        <f aca="false">J8*Inputs!E20/1000</f>
        <v>0.4</v>
      </c>
      <c r="K29" s="114" t="n">
        <f aca="false">K8*Inputs!F20/1000</f>
        <v>0.5</v>
      </c>
      <c r="L29" s="114" t="n">
        <f aca="false">L8*Inputs!D20/1000</f>
        <v>0.3</v>
      </c>
      <c r="M29" s="114" t="n">
        <f aca="false">M8*Inputs!E20/1000</f>
        <v>0.4</v>
      </c>
      <c r="N29" s="114" t="n">
        <f aca="false">N8*Inputs!F20/1000</f>
        <v>0.5</v>
      </c>
      <c r="O29" s="114" t="n">
        <f aca="false">O8*Inputs!D20/1000</f>
        <v>0.3</v>
      </c>
      <c r="P29" s="114" t="n">
        <f aca="false">P8*Inputs!E20/1000</f>
        <v>0.4</v>
      </c>
      <c r="Q29" s="114" t="n">
        <f aca="false">Q8*Inputs!F20/1000</f>
        <v>0.5</v>
      </c>
    </row>
    <row r="30" customFormat="false" ht="15" hidden="false" customHeight="true" outlineLevel="0" collapsed="false">
      <c r="A30" s="19" t="s">
        <v>642</v>
      </c>
      <c r="B30" s="15" t="s">
        <v>45</v>
      </c>
      <c r="C30" s="109" t="n">
        <f aca="false">Inputs!D21</f>
        <v>0.12</v>
      </c>
      <c r="D30" s="109" t="n">
        <f aca="false">Inputs!E21</f>
        <v>0.15</v>
      </c>
      <c r="E30" s="109" t="n">
        <f aca="false">Inputs!F21</f>
        <v>0.18</v>
      </c>
      <c r="F30" s="109" t="n">
        <f aca="false">Inputs!D21</f>
        <v>0.12</v>
      </c>
      <c r="G30" s="109" t="n">
        <f aca="false">Inputs!E21</f>
        <v>0.15</v>
      </c>
      <c r="H30" s="109" t="n">
        <f aca="false">Inputs!F21</f>
        <v>0.18</v>
      </c>
      <c r="I30" s="109" t="n">
        <f aca="false">Inputs!D21</f>
        <v>0.12</v>
      </c>
      <c r="J30" s="109" t="n">
        <f aca="false">Inputs!E21</f>
        <v>0.15</v>
      </c>
      <c r="K30" s="109" t="n">
        <f aca="false">Inputs!F21</f>
        <v>0.18</v>
      </c>
      <c r="L30" s="109" t="n">
        <f aca="false">Inputs!D21</f>
        <v>0.12</v>
      </c>
      <c r="M30" s="109" t="n">
        <f aca="false">Inputs!E21</f>
        <v>0.15</v>
      </c>
      <c r="N30" s="109" t="n">
        <f aca="false">Inputs!F21</f>
        <v>0.18</v>
      </c>
      <c r="O30" s="109" t="n">
        <f aca="false">Inputs!D21</f>
        <v>0.12</v>
      </c>
      <c r="P30" s="109" t="n">
        <f aca="false">Inputs!E21</f>
        <v>0.15</v>
      </c>
      <c r="Q30" s="109" t="n">
        <f aca="false">Inputs!F21</f>
        <v>0.18</v>
      </c>
    </row>
    <row r="31" customFormat="false" ht="15" hidden="false" customHeight="true" outlineLevel="0" collapsed="false">
      <c r="A31" s="19" t="s">
        <v>75</v>
      </c>
      <c r="B31" s="15" t="s">
        <v>634</v>
      </c>
      <c r="C31" s="114" t="n">
        <f aca="false">(C26+C27+C28+C29)*C30</f>
        <v>1.092</v>
      </c>
      <c r="D31" s="114" t="n">
        <f aca="false">(D26+D27+D28+D29)*D30</f>
        <v>1.65</v>
      </c>
      <c r="E31" s="114" t="n">
        <f aca="false">(E26+E27+E28+E29)*E30</f>
        <v>2.466</v>
      </c>
      <c r="F31" s="114" t="n">
        <f aca="false">(F26+F27+F28+F29)*F30</f>
        <v>1.092</v>
      </c>
      <c r="G31" s="114" t="n">
        <f aca="false">(G26+G27+G28+G29)*G30</f>
        <v>1.65</v>
      </c>
      <c r="H31" s="114" t="n">
        <f aca="false">(H26+H27+H28+H29)*H30</f>
        <v>2.466</v>
      </c>
      <c r="I31" s="114" t="n">
        <f aca="false">(I26+I27+I28+I29)*I30</f>
        <v>1.092</v>
      </c>
      <c r="J31" s="114" t="n">
        <f aca="false">(J26+J27+J28+J29)*J30</f>
        <v>1.65</v>
      </c>
      <c r="K31" s="114" t="n">
        <f aca="false">(K26+K27+K28+K29)*K30</f>
        <v>2.466</v>
      </c>
      <c r="L31" s="114" t="n">
        <f aca="false">(L26+L27+L28+L29)*L30</f>
        <v>1.092</v>
      </c>
      <c r="M31" s="114" t="n">
        <f aca="false">(M26+M27+M28+M29)*M30</f>
        <v>1.65</v>
      </c>
      <c r="N31" s="114" t="n">
        <f aca="false">(N26+N27+N28+N29)*N30</f>
        <v>2.466</v>
      </c>
      <c r="O31" s="114" t="n">
        <f aca="false">(O26+O27+O28+O29)*O30</f>
        <v>1.092</v>
      </c>
      <c r="P31" s="114" t="n">
        <f aca="false">(P26+P27+P28+P29)*P30</f>
        <v>1.65</v>
      </c>
      <c r="Q31" s="114" t="n">
        <f aca="false">(Q26+Q27+Q28+Q29)*Q30</f>
        <v>2.466</v>
      </c>
    </row>
    <row r="32" customFormat="false" ht="15" hidden="false" customHeight="true" outlineLevel="0" collapsed="false">
      <c r="A32" s="19" t="s">
        <v>643</v>
      </c>
      <c r="B32" s="15" t="s">
        <v>634</v>
      </c>
      <c r="C32" s="114" t="n">
        <f aca="false">C25+C26+C27+C28+C29+C31</f>
        <v>10.212</v>
      </c>
      <c r="D32" s="114" t="n">
        <f aca="false">D25+D26+D27+D28+D29+D31</f>
        <v>12.67</v>
      </c>
      <c r="E32" s="114" t="n">
        <f aca="false">E25+E26+E27+E28+E29+E31</f>
        <v>16.186</v>
      </c>
      <c r="F32" s="114" t="n">
        <f aca="false">F25+F26+F27+F28+F29+F31</f>
        <v>10.212</v>
      </c>
      <c r="G32" s="114" t="n">
        <f aca="false">G25+G26+G27+G28+G29+G31</f>
        <v>12.67</v>
      </c>
      <c r="H32" s="114" t="n">
        <f aca="false">H25+H26+H27+H28+H29+H31</f>
        <v>16.186</v>
      </c>
      <c r="I32" s="114" t="n">
        <f aca="false">I25+I26+I27+I28+I29+I31</f>
        <v>10.212</v>
      </c>
      <c r="J32" s="114" t="n">
        <f aca="false">J25+J26+J27+J28+J29+J31</f>
        <v>12.67</v>
      </c>
      <c r="K32" s="114" t="n">
        <f aca="false">K25+K26+K27+K28+K29+K31</f>
        <v>16.186</v>
      </c>
      <c r="L32" s="114" t="n">
        <f aca="false">L25+L26+L27+L28+L29+L31</f>
        <v>10.212</v>
      </c>
      <c r="M32" s="114" t="n">
        <f aca="false">M25+M26+M27+M28+M29+M31</f>
        <v>12.67</v>
      </c>
      <c r="N32" s="114" t="n">
        <f aca="false">N25+N26+N27+N28+N29+N31</f>
        <v>16.186</v>
      </c>
      <c r="O32" s="114" t="n">
        <f aca="false">O25+O26+O27+O28+O29+O31</f>
        <v>10.212</v>
      </c>
      <c r="P32" s="114" t="n">
        <f aca="false">P25+P26+P27+P28+P29+P31</f>
        <v>12.67</v>
      </c>
      <c r="Q32" s="114" t="n">
        <f aca="false">Q25+Q26+Q27+Q28+Q29+Q31</f>
        <v>16.186</v>
      </c>
    </row>
    <row r="33" customFormat="false" ht="15" hidden="false" customHeight="true" outlineLevel="0" collapsed="false">
      <c r="A33" s="19" t="s">
        <v>644</v>
      </c>
      <c r="B33" s="15" t="s">
        <v>634</v>
      </c>
      <c r="C33" s="115" t="n">
        <f aca="false">C24+C32</f>
        <v>31.6322694</v>
      </c>
      <c r="D33" s="115" t="n">
        <f aca="false">D24+D32</f>
        <v>40.180214</v>
      </c>
      <c r="E33" s="115" t="n">
        <f aca="false">E24+E32</f>
        <v>50.3067434</v>
      </c>
      <c r="F33" s="115" t="n">
        <f aca="false">F24+F32</f>
        <v>31.1682816</v>
      </c>
      <c r="G33" s="115" t="n">
        <f aca="false">G24+G32</f>
        <v>37.053896</v>
      </c>
      <c r="H33" s="115" t="n">
        <f aca="false">H24+H32</f>
        <v>44.2607376</v>
      </c>
      <c r="I33" s="115" t="n">
        <f aca="false">I24+I32</f>
        <v>38.560044</v>
      </c>
      <c r="J33" s="115" t="n">
        <f aca="false">J24+J32</f>
        <v>49.84424</v>
      </c>
      <c r="K33" s="115" t="n">
        <f aca="false">K24+K32</f>
        <v>66.767409</v>
      </c>
      <c r="L33" s="115" t="n">
        <f aca="false">L24+L32</f>
        <v>38.8053432</v>
      </c>
      <c r="M33" s="115" t="n">
        <f aca="false">M24+M32</f>
        <v>47.582032</v>
      </c>
      <c r="N33" s="115" t="n">
        <f aca="false">N24+N32</f>
        <v>58.8235752</v>
      </c>
      <c r="O33" s="115" t="n">
        <f aca="false">O24+O32</f>
        <v>47.9440356</v>
      </c>
      <c r="P33" s="115" t="n">
        <f aca="false">P24+P32</f>
        <v>65.392936</v>
      </c>
      <c r="Q33" s="115" t="n">
        <f aca="false">Q24+Q32</f>
        <v>85.1176516</v>
      </c>
    </row>
    <row r="34" customFormat="false" ht="15" hidden="false" customHeight="true" outlineLevel="0" collapsed="false">
      <c r="A34" s="19" t="s">
        <v>645</v>
      </c>
      <c r="B34" s="15" t="s">
        <v>646</v>
      </c>
      <c r="C34" s="116" t="n">
        <f aca="false">C33*1000000/C14</f>
        <v>44.0531404585766</v>
      </c>
      <c r="D34" s="116" t="n">
        <f aca="false">D33*1000000/D14</f>
        <v>55.9575599402826</v>
      </c>
      <c r="E34" s="116" t="n">
        <f aca="false">E33*1000000/E14</f>
        <v>70.0604185235527</v>
      </c>
      <c r="F34" s="116" t="n">
        <f aca="false">F33*1000000/F14</f>
        <v>61.1776144714528</v>
      </c>
      <c r="G34" s="116" t="n">
        <f aca="false">G33*1000000/G14</f>
        <v>72.72999497519</v>
      </c>
      <c r="H34" s="116" t="n">
        <f aca="false">H33*1000000/H14</f>
        <v>86.8757019031468</v>
      </c>
      <c r="I34" s="116" t="n">
        <f aca="false">I33*1000000/I14</f>
        <v>79.7551998014396</v>
      </c>
      <c r="J34" s="116" t="n">
        <f aca="false">J33*1000000/J14</f>
        <v>103.094729875072</v>
      </c>
      <c r="K34" s="116" t="n">
        <f aca="false">K33*1000000/K14</f>
        <v>138.097561429635</v>
      </c>
      <c r="L34" s="116" t="n">
        <f aca="false">L33*1000000/L14</f>
        <v>133.011623889437</v>
      </c>
      <c r="M34" s="116" t="n">
        <f aca="false">M33*1000000/M14</f>
        <v>163.095151914007</v>
      </c>
      <c r="N34" s="116" t="n">
        <f aca="false">N33*1000000/N14</f>
        <v>201.627369200395</v>
      </c>
      <c r="O34" s="116" t="n">
        <f aca="false">O33*1000000/O14</f>
        <v>217.185056534029</v>
      </c>
      <c r="P34" s="116" t="n">
        <f aca="false">P33*1000000/P14</f>
        <v>296.228056823947</v>
      </c>
      <c r="Q34" s="116" t="n">
        <f aca="false">Q33*1000000/Q14</f>
        <v>385.580432340364</v>
      </c>
    </row>
    <row r="35" customFormat="false" ht="15" hidden="false" customHeight="true" outlineLevel="0" collapsed="false">
      <c r="A35" s="19" t="s">
        <v>647</v>
      </c>
      <c r="B35" s="15" t="s">
        <v>632</v>
      </c>
      <c r="C35" s="116" t="n">
        <f aca="false">C33*1000/C8</f>
        <v>31.6322694</v>
      </c>
      <c r="D35" s="116" t="n">
        <f aca="false">D33*1000/D8</f>
        <v>40.180214</v>
      </c>
      <c r="E35" s="116" t="n">
        <f aca="false">E33*1000/E8</f>
        <v>50.3067434</v>
      </c>
      <c r="F35" s="116" t="n">
        <f aca="false">F33*1000/F8</f>
        <v>31.1682816</v>
      </c>
      <c r="G35" s="116" t="n">
        <f aca="false">G33*1000/G8</f>
        <v>37.053896</v>
      </c>
      <c r="H35" s="116" t="n">
        <f aca="false">H33*1000/H8</f>
        <v>44.2607376</v>
      </c>
      <c r="I35" s="116" t="n">
        <f aca="false">I33*1000/I8</f>
        <v>38.560044</v>
      </c>
      <c r="J35" s="116" t="n">
        <f aca="false">J33*1000/J8</f>
        <v>49.84424</v>
      </c>
      <c r="K35" s="116" t="n">
        <f aca="false">K33*1000/K8</f>
        <v>66.767409</v>
      </c>
      <c r="L35" s="116" t="n">
        <f aca="false">L33*1000/L8</f>
        <v>38.8053432</v>
      </c>
      <c r="M35" s="116" t="n">
        <f aca="false">M33*1000/M8</f>
        <v>47.582032</v>
      </c>
      <c r="N35" s="116" t="n">
        <f aca="false">N33*1000/N8</f>
        <v>58.8235752</v>
      </c>
      <c r="O35" s="116" t="n">
        <f aca="false">O33*1000/O8</f>
        <v>47.9440356</v>
      </c>
      <c r="P35" s="116" t="n">
        <f aca="false">P33*1000/P8</f>
        <v>65.392936</v>
      </c>
      <c r="Q35" s="116" t="n">
        <f aca="false">Q33*1000/Q8</f>
        <v>85.1176516</v>
      </c>
    </row>
    <row r="36" customFormat="false" ht="15" hidden="false" customHeight="true" outlineLevel="0" collapsed="false">
      <c r="A36" s="19" t="s">
        <v>648</v>
      </c>
      <c r="B36" s="15" t="s">
        <v>632</v>
      </c>
      <c r="C36" s="114" t="n">
        <f aca="false">C32*1000/C8</f>
        <v>10.212</v>
      </c>
      <c r="D36" s="114" t="n">
        <f aca="false">D32*1000/D8</f>
        <v>12.67</v>
      </c>
      <c r="E36" s="114" t="n">
        <f aca="false">E32*1000/E8</f>
        <v>16.186</v>
      </c>
      <c r="F36" s="114" t="n">
        <f aca="false">F32*1000/F8</f>
        <v>10.212</v>
      </c>
      <c r="G36" s="114" t="n">
        <f aca="false">G32*1000/G8</f>
        <v>12.67</v>
      </c>
      <c r="H36" s="114" t="n">
        <f aca="false">H32*1000/H8</f>
        <v>16.186</v>
      </c>
      <c r="I36" s="114" t="n">
        <f aca="false">I32*1000/I8</f>
        <v>10.212</v>
      </c>
      <c r="J36" s="114" t="n">
        <f aca="false">J32*1000/J8</f>
        <v>12.67</v>
      </c>
      <c r="K36" s="114" t="n">
        <f aca="false">K32*1000/K8</f>
        <v>16.186</v>
      </c>
      <c r="L36" s="114" t="n">
        <f aca="false">L32*1000/L8</f>
        <v>10.212</v>
      </c>
      <c r="M36" s="114" t="n">
        <f aca="false">M32*1000/M8</f>
        <v>12.67</v>
      </c>
      <c r="N36" s="114" t="n">
        <f aca="false">N32*1000/N8</f>
        <v>16.186</v>
      </c>
      <c r="O36" s="114" t="n">
        <f aca="false">O32*1000/O8</f>
        <v>10.212</v>
      </c>
      <c r="P36" s="114" t="n">
        <f aca="false">P32*1000/P8</f>
        <v>12.67</v>
      </c>
      <c r="Q36" s="114" t="n">
        <f aca="false">Q32*1000/Q8</f>
        <v>16.186</v>
      </c>
    </row>
    <row r="37" customFormat="false" ht="15" hidden="false" customHeight="true" outlineLevel="0" collapsed="false">
      <c r="A37" s="24" t="s">
        <v>649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650</v>
      </c>
      <c r="B38" s="20" t="s">
        <v>80</v>
      </c>
      <c r="C38" s="117" t="n">
        <f aca="false">Inputs!D23</f>
        <v>6</v>
      </c>
      <c r="D38" s="117" t="n">
        <f aca="false">Inputs!E23</f>
        <v>6</v>
      </c>
      <c r="E38" s="117" t="n">
        <f aca="false">Inputs!F23</f>
        <v>4</v>
      </c>
      <c r="F38" s="117" t="n">
        <f aca="false">Inputs!D23</f>
        <v>6</v>
      </c>
      <c r="G38" s="117" t="n">
        <f aca="false">Inputs!E23</f>
        <v>6</v>
      </c>
      <c r="H38" s="117" t="n">
        <f aca="false">Inputs!F23</f>
        <v>4</v>
      </c>
      <c r="I38" s="117" t="n">
        <f aca="false">Inputs!D23</f>
        <v>6</v>
      </c>
      <c r="J38" s="117" t="n">
        <f aca="false">Inputs!E23</f>
        <v>6</v>
      </c>
      <c r="K38" s="117" t="n">
        <f aca="false">Inputs!F23</f>
        <v>4</v>
      </c>
      <c r="L38" s="117" t="n">
        <f aca="false">Inputs!D23</f>
        <v>6</v>
      </c>
      <c r="M38" s="117" t="n">
        <f aca="false">Inputs!E23</f>
        <v>6</v>
      </c>
      <c r="N38" s="117" t="n">
        <f aca="false">Inputs!F23</f>
        <v>4</v>
      </c>
      <c r="O38" s="117" t="n">
        <f aca="false">Inputs!D23</f>
        <v>6</v>
      </c>
      <c r="P38" s="117" t="n">
        <f aca="false">Inputs!E23</f>
        <v>6</v>
      </c>
      <c r="Q38" s="117" t="n">
        <f aca="false">Inputs!F23</f>
        <v>4</v>
      </c>
    </row>
    <row r="39" customFormat="false" ht="15" hidden="false" customHeight="true" outlineLevel="0" collapsed="false">
      <c r="A39" s="14" t="s">
        <v>651</v>
      </c>
      <c r="B39" s="15" t="s">
        <v>634</v>
      </c>
      <c r="C39" s="114" t="n">
        <f aca="false">C24/C38</f>
        <v>3.5700449</v>
      </c>
      <c r="D39" s="114" t="n">
        <f aca="false">D24/D38</f>
        <v>4.58503566666667</v>
      </c>
      <c r="E39" s="114" t="n">
        <f aca="false">E24/E38</f>
        <v>8.53018585</v>
      </c>
      <c r="F39" s="114" t="n">
        <f aca="false">F24/F38</f>
        <v>3.4927136</v>
      </c>
      <c r="G39" s="114" t="n">
        <f aca="false">G24/G38</f>
        <v>4.06398266666667</v>
      </c>
      <c r="H39" s="114" t="n">
        <f aca="false">H24/H38</f>
        <v>7.0186844</v>
      </c>
      <c r="I39" s="114" t="n">
        <f aca="false">I24/I38</f>
        <v>4.724674</v>
      </c>
      <c r="J39" s="114" t="n">
        <f aca="false">J24/J38</f>
        <v>6.19570666666667</v>
      </c>
      <c r="K39" s="114" t="n">
        <f aca="false">K24/K38</f>
        <v>12.64535225</v>
      </c>
      <c r="L39" s="114" t="n">
        <f aca="false">L24/L38</f>
        <v>4.7655572</v>
      </c>
      <c r="M39" s="114" t="n">
        <f aca="false">M24/M38</f>
        <v>5.818672</v>
      </c>
      <c r="N39" s="114" t="n">
        <f aca="false">N24/N38</f>
        <v>10.6593938</v>
      </c>
      <c r="O39" s="114" t="n">
        <f aca="false">O24/O38</f>
        <v>6.2886726</v>
      </c>
      <c r="P39" s="114" t="n">
        <f aca="false">P24/P38</f>
        <v>8.787156</v>
      </c>
      <c r="Q39" s="114" t="n">
        <f aca="false">Q24/Q38</f>
        <v>17.2329129</v>
      </c>
    </row>
    <row r="40" customFormat="false" ht="15" hidden="false" customHeight="true" outlineLevel="0" collapsed="false">
      <c r="A40" s="19" t="s">
        <v>652</v>
      </c>
      <c r="B40" s="15" t="s">
        <v>634</v>
      </c>
      <c r="C40" s="114" t="n">
        <f aca="false">(C26/Inputs!D24+C27/Inputs!D25+C28/Inputs!D26+C29/Inputs!D27)*(1+C30)</f>
        <v>0.507733333333333</v>
      </c>
      <c r="D40" s="114" t="n">
        <f aca="false">(D26/Inputs!E24+D27/Inputs!E25+D28/Inputs!E26+D29/Inputs!E27)*(1+D30)</f>
        <v>0.634416666666667</v>
      </c>
      <c r="E40" s="114" t="n">
        <f aca="false">(E26/Inputs!F24+E27/Inputs!F25+E28/Inputs!F26+E29/Inputs!F27)*(1+E30)</f>
        <v>0.812233333333334</v>
      </c>
      <c r="F40" s="114" t="n">
        <f aca="false">(F26/Inputs!D24+F27/Inputs!D25+F28/Inputs!D26+F29/Inputs!D27)*(1+F30)</f>
        <v>0.507733333333333</v>
      </c>
      <c r="G40" s="114" t="n">
        <f aca="false">(G26/Inputs!E24+G27/Inputs!E25+G28/Inputs!E26+G29/Inputs!E27)*(1+G30)</f>
        <v>0.634416666666667</v>
      </c>
      <c r="H40" s="114" t="n">
        <f aca="false">(H26/Inputs!F24+H27/Inputs!F25+H28/Inputs!F26+H29/Inputs!F27)*(1+H30)</f>
        <v>0.812233333333334</v>
      </c>
      <c r="I40" s="114" t="n">
        <f aca="false">(I26/Inputs!D24+I27/Inputs!D25+I28/Inputs!D26+I29/Inputs!D27)*(1+I30)</f>
        <v>0.507733333333333</v>
      </c>
      <c r="J40" s="114" t="n">
        <f aca="false">(J26/Inputs!E24+J27/Inputs!E25+J28/Inputs!E26+J29/Inputs!E27)*(1+J30)</f>
        <v>0.634416666666667</v>
      </c>
      <c r="K40" s="114" t="n">
        <f aca="false">(K26/Inputs!F24+K27/Inputs!F25+K28/Inputs!F26+K29/Inputs!F27)*(1+K30)</f>
        <v>0.812233333333334</v>
      </c>
      <c r="L40" s="114" t="n">
        <f aca="false">(L26/Inputs!D24+L27/Inputs!D25+L28/Inputs!D26+L29/Inputs!D27)*(1+L30)</f>
        <v>0.507733333333333</v>
      </c>
      <c r="M40" s="114" t="n">
        <f aca="false">(M26/Inputs!E24+M27/Inputs!E25+M28/Inputs!E26+M29/Inputs!E27)*(1+M30)</f>
        <v>0.634416666666667</v>
      </c>
      <c r="N40" s="114" t="n">
        <f aca="false">(N26/Inputs!F24+N27/Inputs!F25+N28/Inputs!F26+N29/Inputs!F27)*(1+N30)</f>
        <v>0.812233333333334</v>
      </c>
      <c r="O40" s="114" t="n">
        <f aca="false">(O26/Inputs!D24+O27/Inputs!D25+O28/Inputs!D26+O29/Inputs!D27)*(1+O30)</f>
        <v>0.507733333333333</v>
      </c>
      <c r="P40" s="114" t="n">
        <f aca="false">(P26/Inputs!E24+P27/Inputs!E25+P28/Inputs!E26+P29/Inputs!E27)*(1+P30)</f>
        <v>0.634416666666667</v>
      </c>
      <c r="Q40" s="11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52</v>
      </c>
      <c r="B41" s="15" t="s">
        <v>45</v>
      </c>
      <c r="C41" s="109" t="n">
        <f aca="false">Inputs!D10</f>
        <v>0.7</v>
      </c>
      <c r="D41" s="109" t="n">
        <f aca="false">Inputs!E10</f>
        <v>0.8</v>
      </c>
      <c r="E41" s="109" t="n">
        <f aca="false">Inputs!F10</f>
        <v>0.9</v>
      </c>
      <c r="F41" s="109" t="n">
        <f aca="false">Inputs!D10</f>
        <v>0.7</v>
      </c>
      <c r="G41" s="109" t="n">
        <f aca="false">Inputs!E10</f>
        <v>0.8</v>
      </c>
      <c r="H41" s="109" t="n">
        <f aca="false">Inputs!F10</f>
        <v>0.9</v>
      </c>
      <c r="I41" s="109" t="n">
        <f aca="false">Inputs!D10</f>
        <v>0.7</v>
      </c>
      <c r="J41" s="109" t="n">
        <f aca="false">Inputs!E10</f>
        <v>0.8</v>
      </c>
      <c r="K41" s="109" t="n">
        <f aca="false">Inputs!F10</f>
        <v>0.9</v>
      </c>
      <c r="L41" s="109" t="n">
        <f aca="false">Inputs!D10</f>
        <v>0.7</v>
      </c>
      <c r="M41" s="109" t="n">
        <f aca="false">Inputs!E10</f>
        <v>0.8</v>
      </c>
      <c r="N41" s="109" t="n">
        <f aca="false">Inputs!F10</f>
        <v>0.9</v>
      </c>
      <c r="O41" s="109" t="n">
        <f aca="false">Inputs!D10</f>
        <v>0.7</v>
      </c>
      <c r="P41" s="109" t="n">
        <f aca="false">Inputs!E10</f>
        <v>0.8</v>
      </c>
      <c r="Q41" s="109" t="n">
        <f aca="false">Inputs!F10</f>
        <v>0.9</v>
      </c>
    </row>
    <row r="42" customFormat="false" ht="15" hidden="false" customHeight="true" outlineLevel="0" collapsed="false">
      <c r="A42" s="19" t="s">
        <v>54</v>
      </c>
      <c r="B42" s="15" t="s">
        <v>55</v>
      </c>
      <c r="C42" s="118" t="n">
        <f aca="false">Inputs!D11</f>
        <v>0.06</v>
      </c>
      <c r="D42" s="118" t="n">
        <f aca="false">Inputs!E11</f>
        <v>0.08</v>
      </c>
      <c r="E42" s="118" t="n">
        <f aca="false">Inputs!F11</f>
        <v>0.1</v>
      </c>
      <c r="F42" s="118" t="n">
        <f aca="false">Inputs!D11</f>
        <v>0.06</v>
      </c>
      <c r="G42" s="118" t="n">
        <f aca="false">Inputs!E11</f>
        <v>0.08</v>
      </c>
      <c r="H42" s="118" t="n">
        <f aca="false">Inputs!F11</f>
        <v>0.1</v>
      </c>
      <c r="I42" s="118" t="n">
        <f aca="false">Inputs!D11</f>
        <v>0.06</v>
      </c>
      <c r="J42" s="118" t="n">
        <f aca="false">Inputs!E11</f>
        <v>0.08</v>
      </c>
      <c r="K42" s="118" t="n">
        <f aca="false">Inputs!F11</f>
        <v>0.1</v>
      </c>
      <c r="L42" s="118" t="n">
        <f aca="false">Inputs!D11</f>
        <v>0.06</v>
      </c>
      <c r="M42" s="118" t="n">
        <f aca="false">Inputs!E11</f>
        <v>0.08</v>
      </c>
      <c r="N42" s="118" t="n">
        <f aca="false">Inputs!F11</f>
        <v>0.1</v>
      </c>
      <c r="O42" s="118" t="n">
        <f aca="false">Inputs!D11</f>
        <v>0.06</v>
      </c>
      <c r="P42" s="118" t="n">
        <f aca="false">Inputs!E11</f>
        <v>0.08</v>
      </c>
      <c r="Q42" s="118" t="n">
        <f aca="false">Inputs!F11</f>
        <v>0.1</v>
      </c>
    </row>
    <row r="43" customFormat="false" ht="15" hidden="false" customHeight="true" outlineLevel="0" collapsed="false">
      <c r="A43" s="19" t="s">
        <v>653</v>
      </c>
      <c r="B43" s="15" t="s">
        <v>634</v>
      </c>
      <c r="C43" s="114" t="n">
        <f aca="false">C8*1000*C41*C15*8760*C42/1000000000</f>
        <v>0.404712</v>
      </c>
      <c r="D43" s="114" t="n">
        <f aca="false">D8*1000*D41*D15*8760*D42/1000000000</f>
        <v>0.672768</v>
      </c>
      <c r="E43" s="114" t="n">
        <f aca="false">E8*1000*E41*E15*8760*E42/1000000000</f>
        <v>1.02492</v>
      </c>
      <c r="F43" s="114" t="n">
        <f aca="false">F8*1000*F41*F15*8760*F42/1000000000</f>
        <v>0.404712</v>
      </c>
      <c r="G43" s="114" t="n">
        <f aca="false">G8*1000*G41*G15*8760*G42/1000000000</f>
        <v>0.672768</v>
      </c>
      <c r="H43" s="114" t="n">
        <f aca="false">H8*1000*H41*H15*8760*H42/1000000000</f>
        <v>1.02492</v>
      </c>
      <c r="I43" s="114" t="n">
        <f aca="false">I8*1000*I41*I15*8760*I42/1000000000</f>
        <v>0.404712</v>
      </c>
      <c r="J43" s="114" t="n">
        <f aca="false">J8*1000*J41*J15*8760*J42/1000000000</f>
        <v>0.672768</v>
      </c>
      <c r="K43" s="114" t="n">
        <f aca="false">K8*1000*K41*K15*8760*K42/1000000000</f>
        <v>1.02492</v>
      </c>
      <c r="L43" s="114" t="n">
        <f aca="false">L8*1000*L41*L15*8760*L42/1000000000</f>
        <v>0.404712</v>
      </c>
      <c r="M43" s="114" t="n">
        <f aca="false">M8*1000*M41*M15*8760*M42/1000000000</f>
        <v>0.672768</v>
      </c>
      <c r="N43" s="114" t="n">
        <f aca="false">N8*1000*N41*N15*8760*N42/1000000000</f>
        <v>1.02492</v>
      </c>
      <c r="O43" s="114" t="n">
        <f aca="false">O8*1000*O41*O15*8760*O42/1000000000</f>
        <v>0.404712</v>
      </c>
      <c r="P43" s="114" t="n">
        <f aca="false">P8*1000*P41*P15*8760*P42/1000000000</f>
        <v>0.672768</v>
      </c>
      <c r="Q43" s="114" t="n">
        <f aca="false">Q8*1000*Q41*Q15*8760*Q42/1000000000</f>
        <v>1.02492</v>
      </c>
    </row>
    <row r="44" customFormat="false" ht="15" hidden="false" customHeight="true" outlineLevel="0" collapsed="false">
      <c r="A44" s="14" t="s">
        <v>91</v>
      </c>
      <c r="B44" s="15" t="s">
        <v>634</v>
      </c>
      <c r="C44" s="114" t="n">
        <f aca="false">C24*Inputs!D30</f>
        <v>0.428405388</v>
      </c>
      <c r="D44" s="114" t="n">
        <f aca="false">D24*Inputs!E30</f>
        <v>0.82530642</v>
      </c>
      <c r="E44" s="114" t="n">
        <f aca="false">E24*Inputs!F30</f>
        <v>1.364829736</v>
      </c>
      <c r="F44" s="114" t="n">
        <f aca="false">F24*Inputs!D30</f>
        <v>0.419125632</v>
      </c>
      <c r="G44" s="114" t="n">
        <f aca="false">G24*Inputs!E30</f>
        <v>0.73151688</v>
      </c>
      <c r="H44" s="114" t="n">
        <f aca="false">H24*Inputs!F30</f>
        <v>1.122989504</v>
      </c>
      <c r="I44" s="114" t="n">
        <f aca="false">I24*Inputs!D30</f>
        <v>0.56696088</v>
      </c>
      <c r="J44" s="114" t="n">
        <f aca="false">J24*Inputs!E30</f>
        <v>1.1152272</v>
      </c>
      <c r="K44" s="114" t="n">
        <f aca="false">K24*Inputs!F30</f>
        <v>2.02325636</v>
      </c>
      <c r="L44" s="114" t="n">
        <f aca="false">L24*Inputs!D30</f>
        <v>0.571866864</v>
      </c>
      <c r="M44" s="114" t="n">
        <f aca="false">M24*Inputs!E30</f>
        <v>1.04736096</v>
      </c>
      <c r="N44" s="114" t="n">
        <f aca="false">N24*Inputs!F30</f>
        <v>1.705503008</v>
      </c>
      <c r="O44" s="114" t="n">
        <f aca="false">O24*Inputs!D30</f>
        <v>0.754640712</v>
      </c>
      <c r="P44" s="114" t="n">
        <f aca="false">P24*Inputs!E30</f>
        <v>1.58168808</v>
      </c>
      <c r="Q44" s="114" t="n">
        <f aca="false">Q24*Inputs!F30</f>
        <v>2.757266064</v>
      </c>
    </row>
    <row r="45" customFormat="false" ht="15" hidden="false" customHeight="true" outlineLevel="0" collapsed="false">
      <c r="A45" s="19" t="s">
        <v>94</v>
      </c>
      <c r="B45" s="15" t="s">
        <v>634</v>
      </c>
      <c r="C45" s="114" t="n">
        <f aca="false">C32*Inputs!D31</f>
        <v>0.15318</v>
      </c>
      <c r="D45" s="114" t="n">
        <f aca="false">D32*Inputs!E31</f>
        <v>0.2534</v>
      </c>
      <c r="E45" s="114" t="n">
        <f aca="false">E32*Inputs!F31</f>
        <v>0.40465</v>
      </c>
      <c r="F45" s="114" t="n">
        <f aca="false">F32*Inputs!D31</f>
        <v>0.15318</v>
      </c>
      <c r="G45" s="114" t="n">
        <f aca="false">G32*Inputs!E31</f>
        <v>0.2534</v>
      </c>
      <c r="H45" s="114" t="n">
        <f aca="false">H32*Inputs!F31</f>
        <v>0.40465</v>
      </c>
      <c r="I45" s="114" t="n">
        <f aca="false">I32*Inputs!D31</f>
        <v>0.15318</v>
      </c>
      <c r="J45" s="114" t="n">
        <f aca="false">J32*Inputs!E31</f>
        <v>0.2534</v>
      </c>
      <c r="K45" s="114" t="n">
        <f aca="false">K32*Inputs!F31</f>
        <v>0.40465</v>
      </c>
      <c r="L45" s="114" t="n">
        <f aca="false">L32*Inputs!D31</f>
        <v>0.15318</v>
      </c>
      <c r="M45" s="114" t="n">
        <f aca="false">M32*Inputs!E31</f>
        <v>0.2534</v>
      </c>
      <c r="N45" s="114" t="n">
        <f aca="false">N32*Inputs!F31</f>
        <v>0.40465</v>
      </c>
      <c r="O45" s="114" t="n">
        <f aca="false">O32*Inputs!D31</f>
        <v>0.15318</v>
      </c>
      <c r="P45" s="114" t="n">
        <f aca="false">P32*Inputs!E31</f>
        <v>0.2534</v>
      </c>
      <c r="Q45" s="114" t="n">
        <f aca="false">Q32*Inputs!F31</f>
        <v>0.40465</v>
      </c>
    </row>
    <row r="46" customFormat="false" ht="15" hidden="false" customHeight="true" outlineLevel="0" collapsed="false">
      <c r="A46" s="19" t="s">
        <v>654</v>
      </c>
      <c r="B46" s="15" t="s">
        <v>634</v>
      </c>
      <c r="C46" s="114" t="n">
        <f aca="false">(Inputs!D32*C8/1000+Inputs!D33*C8/1000+Inputs!D34*C8)/1000</f>
        <v>0.24</v>
      </c>
      <c r="D46" s="114" t="n">
        <f aca="false">(Inputs!E32*D8/1000+Inputs!E33*D8/1000+Inputs!E34*D8)/1000</f>
        <v>0.325</v>
      </c>
      <c r="E46" s="114" t="n">
        <f aca="false">(Inputs!F32*E8/1000+Inputs!F33*E8/1000+Inputs!F34*E8)/1000</f>
        <v>0.41</v>
      </c>
      <c r="F46" s="114" t="n">
        <f aca="false">(Inputs!D32*F8/1000+Inputs!D33*F8/1000+Inputs!D34*F8)/1000</f>
        <v>0.24</v>
      </c>
      <c r="G46" s="114" t="n">
        <f aca="false">(Inputs!E32*G8/1000+Inputs!E33*G8/1000+Inputs!E34*G8)/1000</f>
        <v>0.325</v>
      </c>
      <c r="H46" s="114" t="n">
        <f aca="false">(Inputs!F32*H8/1000+Inputs!F33*H8/1000+Inputs!F34*H8)/1000</f>
        <v>0.41</v>
      </c>
      <c r="I46" s="114" t="n">
        <f aca="false">(Inputs!D32*I8/1000+Inputs!D33*I8/1000+Inputs!D34*I8)/1000</f>
        <v>0.24</v>
      </c>
      <c r="J46" s="114" t="n">
        <f aca="false">(Inputs!E32*J8/1000+Inputs!E33*J8/1000+Inputs!E34*J8)/1000</f>
        <v>0.325</v>
      </c>
      <c r="K46" s="114" t="n">
        <f aca="false">(Inputs!F32*K8/1000+Inputs!F33*K8/1000+Inputs!F34*K8)/1000</f>
        <v>0.41</v>
      </c>
      <c r="L46" s="114" t="n">
        <f aca="false">(Inputs!D32*L8/1000+Inputs!D33*L8/1000+Inputs!D34*L8)/1000</f>
        <v>0.24</v>
      </c>
      <c r="M46" s="114" t="n">
        <f aca="false">(Inputs!E32*M8/1000+Inputs!E33*M8/1000+Inputs!E34*M8)/1000</f>
        <v>0.325</v>
      </c>
      <c r="N46" s="114" t="n">
        <f aca="false">(Inputs!F32*N8/1000+Inputs!F33*N8/1000+Inputs!F34*N8)/1000</f>
        <v>0.41</v>
      </c>
      <c r="O46" s="114" t="n">
        <f aca="false">(Inputs!D32*O8/1000+Inputs!D33*O8/1000+Inputs!D34*O8)/1000</f>
        <v>0.24</v>
      </c>
      <c r="P46" s="114" t="n">
        <f aca="false">(Inputs!E32*P8/1000+Inputs!E33*P8/1000+Inputs!E34*P8)/1000</f>
        <v>0.325</v>
      </c>
      <c r="Q46" s="11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105</v>
      </c>
      <c r="B47" s="15" t="s">
        <v>634</v>
      </c>
      <c r="C47" s="114" t="n">
        <f aca="false">C33*Inputs!D35</f>
        <v>0.0948968082</v>
      </c>
      <c r="D47" s="114" t="n">
        <f aca="false">D33*Inputs!E35</f>
        <v>0.20090107</v>
      </c>
      <c r="E47" s="114" t="n">
        <f aca="false">E33*Inputs!F35</f>
        <v>0.4024539472</v>
      </c>
      <c r="F47" s="114" t="n">
        <f aca="false">F33*Inputs!D35</f>
        <v>0.0935048448</v>
      </c>
      <c r="G47" s="114" t="n">
        <f aca="false">G33*Inputs!E35</f>
        <v>0.18526948</v>
      </c>
      <c r="H47" s="114" t="n">
        <f aca="false">H33*Inputs!F35</f>
        <v>0.3540859008</v>
      </c>
      <c r="I47" s="114" t="n">
        <f aca="false">I33*Inputs!D35</f>
        <v>0.115680132</v>
      </c>
      <c r="J47" s="114" t="n">
        <f aca="false">J33*Inputs!E35</f>
        <v>0.2492212</v>
      </c>
      <c r="K47" s="114" t="n">
        <f aca="false">K33*Inputs!F35</f>
        <v>0.534139272</v>
      </c>
      <c r="L47" s="114" t="n">
        <f aca="false">L33*Inputs!D35</f>
        <v>0.1164160296</v>
      </c>
      <c r="M47" s="114" t="n">
        <f aca="false">M33*Inputs!E35</f>
        <v>0.23791016</v>
      </c>
      <c r="N47" s="114" t="n">
        <f aca="false">N33*Inputs!F35</f>
        <v>0.4705886016</v>
      </c>
      <c r="O47" s="114" t="n">
        <f aca="false">O33*Inputs!D35</f>
        <v>0.1438321068</v>
      </c>
      <c r="P47" s="114" t="n">
        <f aca="false">P33*Inputs!E35</f>
        <v>0.32696468</v>
      </c>
      <c r="Q47" s="114" t="n">
        <f aca="false">Q33*Inputs!F35</f>
        <v>0.6809412128</v>
      </c>
    </row>
    <row r="48" customFormat="false" ht="15" hidden="false" customHeight="true" outlineLevel="0" collapsed="false">
      <c r="A48" s="19" t="s">
        <v>655</v>
      </c>
      <c r="B48" s="15" t="s">
        <v>634</v>
      </c>
      <c r="C48" s="114" t="n">
        <f aca="false">C43+C44+C45+C46+C47</f>
        <v>1.3211941962</v>
      </c>
      <c r="D48" s="114" t="n">
        <f aca="false">D43+D44+D45+D46+D47</f>
        <v>2.27737549</v>
      </c>
      <c r="E48" s="114" t="n">
        <f aca="false">E43+E44+E45+E46+E47</f>
        <v>3.6068536832</v>
      </c>
      <c r="F48" s="114" t="n">
        <f aca="false">F43+F44+F45+F46+F47</f>
        <v>1.3105224768</v>
      </c>
      <c r="G48" s="114" t="n">
        <f aca="false">G43+G44+G45+G46+G47</f>
        <v>2.16795436</v>
      </c>
      <c r="H48" s="114" t="n">
        <f aca="false">H43+H44+H45+H46+H47</f>
        <v>3.3166454048</v>
      </c>
      <c r="I48" s="114" t="n">
        <f aca="false">I43+I44+I45+I46+I47</f>
        <v>1.480533012</v>
      </c>
      <c r="J48" s="114" t="n">
        <f aca="false">J43+J44+J45+J46+J47</f>
        <v>2.6156164</v>
      </c>
      <c r="K48" s="114" t="n">
        <f aca="false">K43+K44+K45+K46+K47</f>
        <v>4.396965632</v>
      </c>
      <c r="L48" s="114" t="n">
        <f aca="false">L43+L44+L45+L46+L47</f>
        <v>1.4861748936</v>
      </c>
      <c r="M48" s="114" t="n">
        <f aca="false">M43+M44+M45+M46+M47</f>
        <v>2.53643912</v>
      </c>
      <c r="N48" s="114" t="n">
        <f aca="false">N43+N44+N45+N46+N47</f>
        <v>4.0156616096</v>
      </c>
      <c r="O48" s="114" t="n">
        <f aca="false">O43+O44+O45+O46+O47</f>
        <v>1.6963648188</v>
      </c>
      <c r="P48" s="114" t="n">
        <f aca="false">P43+P44+P45+P46+P47</f>
        <v>3.15982076</v>
      </c>
      <c r="Q48" s="114" t="n">
        <f aca="false">Q43+Q44+Q45+Q46+Q47</f>
        <v>5.2777772768</v>
      </c>
    </row>
    <row r="49" customFormat="false" ht="15" hidden="false" customHeight="true" outlineLevel="0" collapsed="false">
      <c r="A49" s="19" t="s">
        <v>656</v>
      </c>
      <c r="B49" s="15" t="s">
        <v>634</v>
      </c>
      <c r="C49" s="115" t="n">
        <f aca="false">C39+C40+C48</f>
        <v>5.39897242953333</v>
      </c>
      <c r="D49" s="115" t="n">
        <f aca="false">D39+D40+D48</f>
        <v>7.49682782333333</v>
      </c>
      <c r="E49" s="115" t="n">
        <f aca="false">E39+E40+E48</f>
        <v>12.9492728665333</v>
      </c>
      <c r="F49" s="115" t="n">
        <f aca="false">F39+F40+F48</f>
        <v>5.31096941013333</v>
      </c>
      <c r="G49" s="115" t="n">
        <f aca="false">G39+G40+G48</f>
        <v>6.86635369333333</v>
      </c>
      <c r="H49" s="115" t="n">
        <f aca="false">H39+H40+H48</f>
        <v>11.1475631381333</v>
      </c>
      <c r="I49" s="115" t="n">
        <f aca="false">I39+I40+I48</f>
        <v>6.71294034533333</v>
      </c>
      <c r="J49" s="115" t="n">
        <f aca="false">J39+J40+J48</f>
        <v>9.44573973333333</v>
      </c>
      <c r="K49" s="115" t="n">
        <f aca="false">K39+K40+K48</f>
        <v>17.8545512153333</v>
      </c>
      <c r="L49" s="115" t="n">
        <f aca="false">L39+L40+L48</f>
        <v>6.75946542693333</v>
      </c>
      <c r="M49" s="115" t="n">
        <f aca="false">M39+M40+M48</f>
        <v>8.98952778666667</v>
      </c>
      <c r="N49" s="115" t="n">
        <f aca="false">N39+N40+N48</f>
        <v>15.4872887429333</v>
      </c>
      <c r="O49" s="115" t="n">
        <f aca="false">O39+O40+O48</f>
        <v>8.49277075213334</v>
      </c>
      <c r="P49" s="115" t="n">
        <f aca="false">P39+P40+P48</f>
        <v>12.5813934266667</v>
      </c>
      <c r="Q49" s="115" t="n">
        <f aca="false">Q39+Q40+Q48</f>
        <v>23.3229235101333</v>
      </c>
    </row>
    <row r="50" customFormat="false" ht="15" hidden="false" customHeight="true" outlineLevel="0" collapsed="false">
      <c r="A50" s="24" t="s">
        <v>657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658</v>
      </c>
      <c r="B51" s="15" t="s">
        <v>45</v>
      </c>
      <c r="C51" s="109" t="n">
        <f aca="false">Inputs!D28</f>
        <v>0.08</v>
      </c>
      <c r="D51" s="109" t="n">
        <f aca="false">Inputs!E28</f>
        <v>0.1</v>
      </c>
      <c r="E51" s="109" t="n">
        <f aca="false">Inputs!F28</f>
        <v>0.13</v>
      </c>
      <c r="F51" s="109" t="n">
        <f aca="false">Inputs!D28</f>
        <v>0.08</v>
      </c>
      <c r="G51" s="109" t="n">
        <f aca="false">Inputs!E28</f>
        <v>0.1</v>
      </c>
      <c r="H51" s="109" t="n">
        <f aca="false">Inputs!F28</f>
        <v>0.13</v>
      </c>
      <c r="I51" s="109" t="n">
        <f aca="false">Inputs!D28</f>
        <v>0.08</v>
      </c>
      <c r="J51" s="109" t="n">
        <f aca="false">Inputs!E28</f>
        <v>0.1</v>
      </c>
      <c r="K51" s="109" t="n">
        <f aca="false">Inputs!F28</f>
        <v>0.13</v>
      </c>
      <c r="L51" s="109" t="n">
        <f aca="false">Inputs!D28</f>
        <v>0.08</v>
      </c>
      <c r="M51" s="109" t="n">
        <f aca="false">Inputs!E28</f>
        <v>0.1</v>
      </c>
      <c r="N51" s="109" t="n">
        <f aca="false">Inputs!F28</f>
        <v>0.13</v>
      </c>
      <c r="O51" s="109" t="n">
        <f aca="false">Inputs!D28</f>
        <v>0.08</v>
      </c>
      <c r="P51" s="109" t="n">
        <f aca="false">Inputs!E28</f>
        <v>0.1</v>
      </c>
      <c r="Q51" s="109" t="n">
        <f aca="false">Inputs!F28</f>
        <v>0.13</v>
      </c>
    </row>
    <row r="52" customFormat="false" ht="15" hidden="false" customHeight="true" outlineLevel="0" collapsed="false">
      <c r="A52" s="14" t="s">
        <v>659</v>
      </c>
      <c r="B52" s="15" t="s">
        <v>49</v>
      </c>
      <c r="C52" s="119" t="n">
        <f aca="false">C51/(1-(1+C51)^(-C38))</f>
        <v>0.21631538622901</v>
      </c>
      <c r="D52" s="119" t="n">
        <f aca="false">D51/(1-(1+D51)^(-D38))</f>
        <v>0.229607380362667</v>
      </c>
      <c r="E52" s="119" t="n">
        <f aca="false">E51/(1-(1+E51)^(-E38))</f>
        <v>0.336194197406613</v>
      </c>
      <c r="F52" s="119" t="n">
        <f aca="false">F51/(1-(1+F51)^(-F38))</f>
        <v>0.21631538622901</v>
      </c>
      <c r="G52" s="119" t="n">
        <f aca="false">G51/(1-(1+G51)^(-G38))</f>
        <v>0.229607380362667</v>
      </c>
      <c r="H52" s="119" t="n">
        <f aca="false">H51/(1-(1+H51)^(-H38))</f>
        <v>0.336194197406613</v>
      </c>
      <c r="I52" s="119" t="n">
        <f aca="false">I51/(1-(1+I51)^(-I38))</f>
        <v>0.21631538622901</v>
      </c>
      <c r="J52" s="119" t="n">
        <f aca="false">J51/(1-(1+J51)^(-J38))</f>
        <v>0.229607380362667</v>
      </c>
      <c r="K52" s="119" t="n">
        <f aca="false">K51/(1-(1+K51)^(-K38))</f>
        <v>0.336194197406613</v>
      </c>
      <c r="L52" s="119" t="n">
        <f aca="false">L51/(1-(1+L51)^(-L38))</f>
        <v>0.21631538622901</v>
      </c>
      <c r="M52" s="119" t="n">
        <f aca="false">M51/(1-(1+M51)^(-M38))</f>
        <v>0.229607380362667</v>
      </c>
      <c r="N52" s="119" t="n">
        <f aca="false">N51/(1-(1+N51)^(-N38))</f>
        <v>0.336194197406613</v>
      </c>
      <c r="O52" s="119" t="n">
        <f aca="false">O51/(1-(1+O51)^(-O38))</f>
        <v>0.21631538622901</v>
      </c>
      <c r="P52" s="119" t="n">
        <f aca="false">P51/(1-(1+P51)^(-P38))</f>
        <v>0.229607380362667</v>
      </c>
      <c r="Q52" s="119" t="n">
        <f aca="false">Q51/(1-(1+Q51)^(-Q38))</f>
        <v>0.336194197406613</v>
      </c>
    </row>
    <row r="53" customFormat="false" ht="15" hidden="false" customHeight="true" outlineLevel="0" collapsed="false">
      <c r="A53" s="14" t="s">
        <v>660</v>
      </c>
      <c r="B53" s="15" t="s">
        <v>634</v>
      </c>
      <c r="C53" s="114" t="n">
        <f aca="false">C24*C52</f>
        <v>4.63353384839044</v>
      </c>
      <c r="D53" s="114" t="n">
        <f aca="false">D24*D52</f>
        <v>6.31654816975637</v>
      </c>
      <c r="E53" s="114" t="n">
        <f aca="false">E24*E52</f>
        <v>11.47119594228</v>
      </c>
      <c r="F53" s="114" t="n">
        <f aca="false">F24*F52</f>
        <v>4.53316614822789</v>
      </c>
      <c r="G53" s="114" t="n">
        <f aca="false">G24*G52</f>
        <v>5.59872248359572</v>
      </c>
      <c r="H53" s="114" t="n">
        <f aca="false">H24*H52</f>
        <v>9.43856387483327</v>
      </c>
      <c r="I53" s="114" t="n">
        <f aca="false">I24*I52</f>
        <v>6.13211808669696</v>
      </c>
      <c r="J53" s="114" t="n">
        <f aca="false">J24*J52</f>
        <v>8.53547986337308</v>
      </c>
      <c r="K53" s="114" t="n">
        <f aca="false">K24*K52</f>
        <v>17.0051762024507</v>
      </c>
      <c r="L53" s="114" t="n">
        <f aca="false">L24*L52</f>
        <v>6.18518007788663</v>
      </c>
      <c r="M53" s="114" t="n">
        <f aca="false">M24*M52</f>
        <v>8.01606021065761</v>
      </c>
      <c r="N53" s="114" t="n">
        <f aca="false">N24*N52</f>
        <v>14.3345053737281</v>
      </c>
      <c r="O53" s="114" t="n">
        <f aca="false">O24*O52</f>
        <v>8.16201985402074</v>
      </c>
      <c r="P53" s="114" t="n">
        <f aca="false">P24*P52</f>
        <v>12.1055752199886</v>
      </c>
      <c r="Q53" s="114" t="n">
        <f aca="false">Q24*Q52</f>
        <v>23.1744212855743</v>
      </c>
    </row>
    <row r="54" customFormat="false" ht="15" hidden="false" customHeight="true" outlineLevel="0" collapsed="false">
      <c r="A54" s="19" t="s">
        <v>661</v>
      </c>
      <c r="B54" s="15" t="s">
        <v>634</v>
      </c>
      <c r="C54" s="114" t="n">
        <f aca="false">(C26*C51/(1-(1+C51)^(-Inputs!D24))+C27*C51/(1-(1+C51)^(-Inputs!D25))+C28*C51/(1-(1+C51)^(-Inputs!D26))+C29*C51/(1-(1+C51)^(-Inputs!D27)))*(1+C30)+C25*C51</f>
        <v>1.04531526579147</v>
      </c>
      <c r="D54" s="114" t="n">
        <f aca="false">(D26*D51/(1-(1+D51)^(-Inputs!E24))+D27*D51/(1-(1+D51)^(-Inputs!E25))+D28*D51/(1-(1+D51)^(-Inputs!E26))+D29*D51/(1-(1+D51)^(-Inputs!E27)))*(1+D30)+D25*D51</f>
        <v>1.50187163616098</v>
      </c>
      <c r="E54" s="114" t="n">
        <f aca="false">(E26*E51/(1-(1+E51)^(-Inputs!F24))+E27*E51/(1-(1+E51)^(-Inputs!F25))+E28*E51/(1-(1+E51)^(-Inputs!F26))+E29*E51/(1-(1+E51)^(-Inputs!F27)))*(1+E30)+E25*E51</f>
        <v>2.32792243821144</v>
      </c>
      <c r="F54" s="114" t="n">
        <f aca="false">(F26*F51/(1-(1+F51)^(-Inputs!D24))+F27*F51/(1-(1+F51)^(-Inputs!D25))+F28*F51/(1-(1+F51)^(-Inputs!D26))+F29*F51/(1-(1+F51)^(-Inputs!D27)))*(1+F30)+F25*F51</f>
        <v>1.04531526579147</v>
      </c>
      <c r="G54" s="114" t="n">
        <f aca="false">(G26*G51/(1-(1+G51)^(-Inputs!E24))+G27*G51/(1-(1+G51)^(-Inputs!E25))+G28*G51/(1-(1+G51)^(-Inputs!E26))+G29*G51/(1-(1+G51)^(-Inputs!E27)))*(1+G30)+G25*G51</f>
        <v>1.50187163616098</v>
      </c>
      <c r="H54" s="114" t="n">
        <f aca="false">(H26*H51/(1-(1+H51)^(-Inputs!F24))+H27*H51/(1-(1+H51)^(-Inputs!F25))+H28*H51/(1-(1+H51)^(-Inputs!F26))+H29*H51/(1-(1+H51)^(-Inputs!F27)))*(1+H30)+H25*H51</f>
        <v>2.32792243821144</v>
      </c>
      <c r="I54" s="114" t="n">
        <f aca="false">(I26*I51/(1-(1+I51)^(-Inputs!D24))+I27*I51/(1-(1+I51)^(-Inputs!D25))+I28*I51/(1-(1+I51)^(-Inputs!D26))+I29*I51/(1-(1+I51)^(-Inputs!D27)))*(1+I30)+I25*I51</f>
        <v>1.04531526579147</v>
      </c>
      <c r="J54" s="114" t="n">
        <f aca="false">(J26*J51/(1-(1+J51)^(-Inputs!E24))+J27*J51/(1-(1+J51)^(-Inputs!E25))+J28*J51/(1-(1+J51)^(-Inputs!E26))+J29*J51/(1-(1+J51)^(-Inputs!E27)))*(1+J30)+J25*J51</f>
        <v>1.50187163616098</v>
      </c>
      <c r="K54" s="114" t="n">
        <f aca="false">(K26*K51/(1-(1+K51)^(-Inputs!F24))+K27*K51/(1-(1+K51)^(-Inputs!F25))+K28*K51/(1-(1+K51)^(-Inputs!F26))+K29*K51/(1-(1+K51)^(-Inputs!F27)))*(1+K30)+K25*K51</f>
        <v>2.32792243821144</v>
      </c>
      <c r="L54" s="114" t="n">
        <f aca="false">(L26*L51/(1-(1+L51)^(-Inputs!D24))+L27*L51/(1-(1+L51)^(-Inputs!D25))+L28*L51/(1-(1+L51)^(-Inputs!D26))+L29*L51/(1-(1+L51)^(-Inputs!D27)))*(1+L30)+L25*L51</f>
        <v>1.04531526579147</v>
      </c>
      <c r="M54" s="114" t="n">
        <f aca="false">(M26*M51/(1-(1+M51)^(-Inputs!E24))+M27*M51/(1-(1+M51)^(-Inputs!E25))+M28*M51/(1-(1+M51)^(-Inputs!E26))+M29*M51/(1-(1+M51)^(-Inputs!E27)))*(1+M30)+M25*M51</f>
        <v>1.50187163616098</v>
      </c>
      <c r="N54" s="114" t="n">
        <f aca="false">(N26*N51/(1-(1+N51)^(-Inputs!F24))+N27*N51/(1-(1+N51)^(-Inputs!F25))+N28*N51/(1-(1+N51)^(-Inputs!F26))+N29*N51/(1-(1+N51)^(-Inputs!F27)))*(1+N30)+N25*N51</f>
        <v>2.32792243821144</v>
      </c>
      <c r="O54" s="114" t="n">
        <f aca="false">(O26*O51/(1-(1+O51)^(-Inputs!D24))+O27*O51/(1-(1+O51)^(-Inputs!D25))+O28*O51/(1-(1+O51)^(-Inputs!D26))+O29*O51/(1-(1+O51)^(-Inputs!D27)))*(1+O30)+O25*O51</f>
        <v>1.04531526579147</v>
      </c>
      <c r="P54" s="114" t="n">
        <f aca="false">(P26*P51/(1-(1+P51)^(-Inputs!E24))+P27*P51/(1-(1+P51)^(-Inputs!E25))+P28*P51/(1-(1+P51)^(-Inputs!E26))+P29*P51/(1-(1+P51)^(-Inputs!E27)))*(1+P30)+P25*P51</f>
        <v>1.50187163616098</v>
      </c>
      <c r="Q54" s="11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662</v>
      </c>
      <c r="B55" s="15" t="s">
        <v>634</v>
      </c>
      <c r="C55" s="115" t="n">
        <f aca="false">C53+C54+C48</f>
        <v>7.0000433103819</v>
      </c>
      <c r="D55" s="115" t="n">
        <f aca="false">D53+D54+D48</f>
        <v>10.0957952959174</v>
      </c>
      <c r="E55" s="115" t="n">
        <f aca="false">E53+E54+E48</f>
        <v>17.4059720636914</v>
      </c>
      <c r="F55" s="115" t="n">
        <f aca="false">F53+F54+F48</f>
        <v>6.88900389081935</v>
      </c>
      <c r="G55" s="115" t="n">
        <f aca="false">G53+G54+G48</f>
        <v>9.2685484797567</v>
      </c>
      <c r="H55" s="115" t="n">
        <f aca="false">H53+H54+H48</f>
        <v>15.0831317178447</v>
      </c>
      <c r="I55" s="115" t="n">
        <f aca="false">I53+I54+I48</f>
        <v>8.65796636448843</v>
      </c>
      <c r="J55" s="115" t="n">
        <f aca="false">J53+J54+J48</f>
        <v>12.6529678995341</v>
      </c>
      <c r="K55" s="115" t="n">
        <f aca="false">K53+K54+K48</f>
        <v>23.7300642726621</v>
      </c>
      <c r="L55" s="115" t="n">
        <f aca="false">L53+L54+L48</f>
        <v>8.7166702372781</v>
      </c>
      <c r="M55" s="115" t="n">
        <f aca="false">M53+M54+M48</f>
        <v>12.0543709668186</v>
      </c>
      <c r="N55" s="115" t="n">
        <f aca="false">N53+N54+N48</f>
        <v>20.6780894215396</v>
      </c>
      <c r="O55" s="115" t="n">
        <f aca="false">O53+O54+O48</f>
        <v>10.9036999386122</v>
      </c>
      <c r="P55" s="115" t="n">
        <f aca="false">P53+P54+P48</f>
        <v>16.7672676161495</v>
      </c>
      <c r="Q55" s="115" t="n">
        <f aca="false">Q53+Q54+Q48</f>
        <v>30.7801210005857</v>
      </c>
    </row>
    <row r="56" customFormat="false" ht="15" hidden="false" customHeight="true" outlineLevel="0" collapsed="false">
      <c r="A56" s="24" t="s">
        <v>663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664</v>
      </c>
      <c r="B57" s="15" t="s">
        <v>607</v>
      </c>
      <c r="C57" s="114" t="n">
        <f aca="false">C49*1000000000/(C14*8760)</f>
        <v>0.858328487231628</v>
      </c>
      <c r="D57" s="114" t="n">
        <f aca="false">D49*1000000000/(D14*8760)</f>
        <v>1.19184547960247</v>
      </c>
      <c r="E57" s="114" t="n">
        <f aca="false">E49*1000000000/(E14*8760)</f>
        <v>2.058675041473</v>
      </c>
      <c r="F57" s="114" t="n">
        <f aca="false">F49*1000000000/(F14*8760)</f>
        <v>1.19000660844732</v>
      </c>
      <c r="G57" s="114" t="n">
        <f aca="false">G49*1000000000/(G14*8760)</f>
        <v>1.53851503181567</v>
      </c>
      <c r="H57" s="114" t="n">
        <f aca="false">H49*1000000000/(H14*8760)</f>
        <v>2.49778765005716</v>
      </c>
      <c r="I57" s="114" t="n">
        <f aca="false">I49*1000000000/(I14*8760)</f>
        <v>1.5850032907665</v>
      </c>
      <c r="J57" s="114" t="n">
        <f aca="false">J49*1000000000/(J14*8760)</f>
        <v>2.23024901025153</v>
      </c>
      <c r="K57" s="114" t="n">
        <f aca="false">K49*1000000000/(K14*8760)</f>
        <v>4.21566720031043</v>
      </c>
      <c r="L57" s="114" t="n">
        <f aca="false">L49*1000000000/(L14*8760)</f>
        <v>2.64488206576388</v>
      </c>
      <c r="M57" s="114" t="n">
        <f aca="false">M49*1000000000/(M14*8760)</f>
        <v>3.51747354574866</v>
      </c>
      <c r="N57" s="114" t="n">
        <f aca="false">N49*1000000000/(N14*8760)</f>
        <v>6.05995439820971</v>
      </c>
      <c r="O57" s="114" t="n">
        <f aca="false">O49*1000000000/(O14*8760)</f>
        <v>4.39178072269974</v>
      </c>
      <c r="P57" s="114" t="n">
        <f aca="false">P49*1000000000/(P14*8760)</f>
        <v>6.50608885234023</v>
      </c>
      <c r="Q57" s="114" t="n">
        <f aca="false">Q49*1000000000/(Q14*8760)</f>
        <v>12.0607477651595</v>
      </c>
    </row>
    <row r="58" customFormat="false" ht="15" hidden="false" customHeight="true" outlineLevel="0" collapsed="false">
      <c r="A58" s="19" t="s">
        <v>665</v>
      </c>
      <c r="B58" s="15" t="s">
        <v>607</v>
      </c>
      <c r="C58" s="115" t="n">
        <f aca="false">C55*1000000000/(C14*8760)</f>
        <v>1.11286669150028</v>
      </c>
      <c r="D58" s="115" t="n">
        <f aca="false">D55*1000000000/(D14*8760)</f>
        <v>1.60502925637165</v>
      </c>
      <c r="E58" s="115" t="n">
        <f aca="false">E55*1000000000/(E14*8760)</f>
        <v>2.76720095633376</v>
      </c>
      <c r="F58" s="115" t="n">
        <f aca="false">F55*1000000000/(F14*8760)</f>
        <v>1.54359016643037</v>
      </c>
      <c r="G58" s="115" t="n">
        <f aca="false">G55*1000000000/(G14*8760)</f>
        <v>2.07676472784428</v>
      </c>
      <c r="H58" s="115" t="n">
        <f aca="false">H55*1000000000/(H14*8760)</f>
        <v>3.37961397142862</v>
      </c>
      <c r="I58" s="115" t="n">
        <f aca="false">I55*1000000000/(I14*8760)</f>
        <v>2.04424655562441</v>
      </c>
      <c r="J58" s="115" t="n">
        <f aca="false">J55*1000000000/(J14*8760)</f>
        <v>2.98751288214055</v>
      </c>
      <c r="K58" s="115" t="n">
        <f aca="false">K55*1000000000/(K14*8760)</f>
        <v>5.6029441686335</v>
      </c>
      <c r="L58" s="115" t="n">
        <f aca="false">L55*1000000000/(L14*8760)</f>
        <v>3.41070829238845</v>
      </c>
      <c r="M58" s="115" t="n">
        <f aca="false">M55*1000000000/(M14*8760)</f>
        <v>4.71670281161092</v>
      </c>
      <c r="N58" s="115" t="n">
        <f aca="false">N55*1000000000/(N14*8760)</f>
        <v>8.09104040200768</v>
      </c>
      <c r="O58" s="115" t="n">
        <f aca="false">O55*1000000000/(O14*8760)</f>
        <v>5.63852017134344</v>
      </c>
      <c r="P58" s="115" t="n">
        <f aca="false">P55*1000000000/(P14*8760)</f>
        <v>8.6706876752155</v>
      </c>
      <c r="Q58" s="115" t="n">
        <f aca="false">Q55*1000000000/(Q14*8760)</f>
        <v>15.9170129511363</v>
      </c>
    </row>
    <row r="59" customFormat="false" ht="15" hidden="false" customHeight="true" outlineLevel="0" collapsed="false">
      <c r="A59" s="19" t="s">
        <v>666</v>
      </c>
      <c r="B59" s="15" t="s">
        <v>667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111.138491982987</v>
      </c>
      <c r="G59" s="16" t="n">
        <f aca="false">G55*1000000000/(G12*8760)</f>
        <v>149.527060404788</v>
      </c>
      <c r="H59" s="16" t="n">
        <f aca="false">H55*1000000000/(H12*8760)</f>
        <v>243.33220594286</v>
      </c>
      <c r="I59" s="16" t="n">
        <f aca="false">I55*1000000000/(I12*8760)</f>
        <v>147.185752004958</v>
      </c>
      <c r="J59" s="16" t="n">
        <f aca="false">J55*1000000000/(J12*8760)</f>
        <v>215.10092751412</v>
      </c>
      <c r="K59" s="16" t="n">
        <f aca="false">K55*1000000000/(K12*8760)</f>
        <v>403.411980141612</v>
      </c>
      <c r="L59" s="16" t="n">
        <f aca="false">L55*1000000000/(L12*8760)</f>
        <v>245.570997051969</v>
      </c>
      <c r="M59" s="16" t="n">
        <f aca="false">M55*1000000000/(M12*8760)</f>
        <v>339.602602435986</v>
      </c>
      <c r="N59" s="16" t="n">
        <f aca="false">N55*1000000000/(N12*8760)</f>
        <v>582.554908944553</v>
      </c>
      <c r="O59" s="16" t="n">
        <f aca="false">O55*1000000000/(O12*8760)</f>
        <v>811.946904673456</v>
      </c>
      <c r="P59" s="16" t="n">
        <f aca="false">P55*1000000000/(P12*8760)</f>
        <v>1248.57902523103</v>
      </c>
      <c r="Q59" s="16" t="n">
        <f aca="false">Q55*1000000000/(Q12*8760)</f>
        <v>2292.04986496363</v>
      </c>
    </row>
    <row r="60" customFormat="false" ht="15" hidden="false" customHeight="true" outlineLevel="0" collapsed="false">
      <c r="A60" s="19" t="s">
        <v>668</v>
      </c>
      <c r="B60" s="15" t="s">
        <v>669</v>
      </c>
      <c r="C60" s="114" t="n">
        <f aca="false">C8*C41*C15*8760/1000000</f>
        <v>6.7452</v>
      </c>
      <c r="D60" s="114" t="n">
        <f aca="false">D8*D41*D15*8760/1000000</f>
        <v>8.4096</v>
      </c>
      <c r="E60" s="114" t="n">
        <f aca="false">E8*E41*E15*8760/1000000</f>
        <v>10.2492</v>
      </c>
      <c r="F60" s="114" t="n">
        <f aca="false">F8*F41*F15*8760/1000000</f>
        <v>6.7452</v>
      </c>
      <c r="G60" s="114" t="n">
        <f aca="false">G8*G41*G15*8760/1000000</f>
        <v>8.4096</v>
      </c>
      <c r="H60" s="114" t="n">
        <f aca="false">H8*H41*H15*8760/1000000</f>
        <v>10.2492</v>
      </c>
      <c r="I60" s="114" t="n">
        <f aca="false">I8*I41*I15*8760/1000000</f>
        <v>6.7452</v>
      </c>
      <c r="J60" s="114" t="n">
        <f aca="false">J8*J41*J15*8760/1000000</f>
        <v>8.4096</v>
      </c>
      <c r="K60" s="114" t="n">
        <f aca="false">K8*K41*K15*8760/1000000</f>
        <v>10.2492</v>
      </c>
      <c r="L60" s="114" t="n">
        <f aca="false">L8*L41*L15*8760/1000000</f>
        <v>6.7452</v>
      </c>
      <c r="M60" s="114" t="n">
        <f aca="false">M8*M41*M15*8760/1000000</f>
        <v>8.4096</v>
      </c>
      <c r="N60" s="114" t="n">
        <f aca="false">N8*N41*N15*8760/1000000</f>
        <v>10.2492</v>
      </c>
      <c r="O60" s="114" t="n">
        <f aca="false">O8*O41*O15*8760/1000000</f>
        <v>6.7452</v>
      </c>
      <c r="P60" s="114" t="n">
        <f aca="false">P8*P41*P15*8760/1000000</f>
        <v>8.4096</v>
      </c>
      <c r="Q60" s="114" t="n">
        <f aca="false">Q8*Q41*Q15*8760/1000000</f>
        <v>10.2492</v>
      </c>
    </row>
    <row r="61" customFormat="false" ht="15" hidden="false" customHeight="true" outlineLevel="0" collapsed="false">
      <c r="A61" s="19" t="s">
        <v>670</v>
      </c>
      <c r="B61" s="15" t="s">
        <v>45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671</v>
      </c>
      <c r="B62" s="15" t="s">
        <v>45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672</v>
      </c>
    </row>
    <row r="2" customFormat="false" ht="15" hidden="false" customHeight="true" outlineLevel="0" collapsed="false">
      <c r="A2" s="3" t="s">
        <v>673</v>
      </c>
    </row>
    <row r="4" customFormat="false" ht="15" hidden="false" customHeight="true" outlineLevel="0" collapsed="false">
      <c r="A4" s="19" t="s">
        <v>674</v>
      </c>
      <c r="B4" s="19" t="s">
        <v>29</v>
      </c>
      <c r="C4" s="108" t="str">
        <f aca="false">Spec_Rack!C4</f>
        <v>Hopper H100</v>
      </c>
      <c r="D4" s="108" t="str">
        <f aca="false">Spec_Rack!C4</f>
        <v>Hopper H100</v>
      </c>
      <c r="E4" s="108" t="str">
        <f aca="false">Spec_Rack!C4</f>
        <v>Hopper H100</v>
      </c>
      <c r="F4" s="108" t="str">
        <f aca="false">Spec_Rack!D4</f>
        <v>GB200 NVL72</v>
      </c>
      <c r="G4" s="108" t="str">
        <f aca="false">Spec_Rack!D4</f>
        <v>GB200 NVL72</v>
      </c>
      <c r="H4" s="108" t="str">
        <f aca="false">Spec_Rack!D4</f>
        <v>GB200 NVL72</v>
      </c>
      <c r="I4" s="108" t="str">
        <f aca="false">Spec_Rack!E4</f>
        <v>GB300 NVL72</v>
      </c>
      <c r="J4" s="108" t="str">
        <f aca="false">Spec_Rack!E4</f>
        <v>GB300 NVL72</v>
      </c>
      <c r="K4" s="108" t="str">
        <f aca="false">Spec_Rack!E4</f>
        <v>GB300 NVL72</v>
      </c>
      <c r="L4" s="108" t="str">
        <f aca="false">Spec_Rack!F4</f>
        <v>VR200 NVL72</v>
      </c>
      <c r="M4" s="108" t="str">
        <f aca="false">Spec_Rack!F4</f>
        <v>VR200 NVL72</v>
      </c>
      <c r="N4" s="108" t="str">
        <f aca="false">Spec_Rack!F4</f>
        <v>VR200 NVL72</v>
      </c>
      <c r="O4" s="108" t="str">
        <f aca="false">Spec_Rack!G4</f>
        <v>Rubin Ultra NVL576</v>
      </c>
      <c r="P4" s="108" t="str">
        <f aca="false">Spec_Rack!G4</f>
        <v>Rubin Ultra NVL576</v>
      </c>
      <c r="Q4" s="108" t="str">
        <f aca="false">Spec_Rack!G4</f>
        <v>Rubin Ultra NVL576</v>
      </c>
    </row>
    <row r="5" customFormat="false" ht="15" hidden="false" customHeight="true" outlineLevel="0" collapsed="false">
      <c r="A5" s="19" t="s">
        <v>12</v>
      </c>
      <c r="C5" s="25" t="s">
        <v>30</v>
      </c>
      <c r="D5" s="25" t="s">
        <v>31</v>
      </c>
      <c r="E5" s="25" t="s">
        <v>32</v>
      </c>
      <c r="F5" s="25" t="s">
        <v>30</v>
      </c>
      <c r="G5" s="25" t="s">
        <v>31</v>
      </c>
      <c r="H5" s="25" t="s">
        <v>32</v>
      </c>
      <c r="I5" s="25" t="s">
        <v>30</v>
      </c>
      <c r="J5" s="25" t="s">
        <v>31</v>
      </c>
      <c r="K5" s="25" t="s">
        <v>32</v>
      </c>
      <c r="L5" s="25" t="s">
        <v>30</v>
      </c>
      <c r="M5" s="25" t="s">
        <v>31</v>
      </c>
      <c r="N5" s="25" t="s">
        <v>32</v>
      </c>
      <c r="O5" s="25" t="s">
        <v>30</v>
      </c>
      <c r="P5" s="25" t="s">
        <v>31</v>
      </c>
      <c r="Q5" s="25" t="s">
        <v>32</v>
      </c>
    </row>
    <row r="6" customFormat="false" ht="15" hidden="false" customHeight="true" outlineLevel="0" collapsed="false">
      <c r="A6" s="19" t="s">
        <v>627</v>
      </c>
      <c r="B6" s="20" t="s">
        <v>497</v>
      </c>
      <c r="C6" s="110" t="n">
        <f aca="false">DC_Cost!C12</f>
        <v>22439</v>
      </c>
      <c r="D6" s="120" t="n">
        <f aca="false">DC_Cost!D12</f>
        <v>22439</v>
      </c>
      <c r="E6" s="110" t="n">
        <f aca="false">DC_Cost!E12</f>
        <v>22439</v>
      </c>
      <c r="F6" s="110" t="n">
        <f aca="false">DC_Cost!F12</f>
        <v>7076</v>
      </c>
      <c r="G6" s="120" t="n">
        <f aca="false">DC_Cost!G12</f>
        <v>7076</v>
      </c>
      <c r="H6" s="110" t="n">
        <f aca="false">DC_Cost!H12</f>
        <v>7076</v>
      </c>
      <c r="I6" s="110" t="n">
        <f aca="false">DC_Cost!I12</f>
        <v>6715</v>
      </c>
      <c r="J6" s="120" t="n">
        <f aca="false">DC_Cost!J12</f>
        <v>6715</v>
      </c>
      <c r="K6" s="110" t="n">
        <f aca="false">DC_Cost!K12</f>
        <v>6715</v>
      </c>
      <c r="L6" s="110" t="n">
        <f aca="false">DC_Cost!L12</f>
        <v>4052</v>
      </c>
      <c r="M6" s="120" t="n">
        <f aca="false">DC_Cost!M12</f>
        <v>4052</v>
      </c>
      <c r="N6" s="110" t="n">
        <f aca="false">DC_Cost!N12</f>
        <v>4052</v>
      </c>
      <c r="O6" s="110" t="n">
        <f aca="false">DC_Cost!O12</f>
        <v>1533</v>
      </c>
      <c r="P6" s="120" t="n">
        <f aca="false">DC_Cost!P12</f>
        <v>1533</v>
      </c>
      <c r="Q6" s="110" t="n">
        <f aca="false">DC_Cost!Q12</f>
        <v>1533</v>
      </c>
    </row>
    <row r="7" customFormat="false" ht="15" hidden="false" customHeight="true" outlineLevel="0" collapsed="false">
      <c r="A7" s="19" t="s">
        <v>628</v>
      </c>
      <c r="B7" s="20" t="s">
        <v>491</v>
      </c>
      <c r="C7" s="110" t="n">
        <f aca="false">DC_Cost!C14</f>
        <v>718048</v>
      </c>
      <c r="D7" s="120" t="n">
        <f aca="false">DC_Cost!D14</f>
        <v>718048</v>
      </c>
      <c r="E7" s="110" t="n">
        <f aca="false">DC_Cost!E14</f>
        <v>718048</v>
      </c>
      <c r="F7" s="110" t="n">
        <f aca="false">DC_Cost!F14</f>
        <v>509472</v>
      </c>
      <c r="G7" s="120" t="n">
        <f aca="false">DC_Cost!G14</f>
        <v>509472</v>
      </c>
      <c r="H7" s="110" t="n">
        <f aca="false">DC_Cost!H14</f>
        <v>509472</v>
      </c>
      <c r="I7" s="110" t="n">
        <f aca="false">DC_Cost!I14</f>
        <v>483480</v>
      </c>
      <c r="J7" s="120" t="n">
        <f aca="false">DC_Cost!J14</f>
        <v>483480</v>
      </c>
      <c r="K7" s="110" t="n">
        <f aca="false">DC_Cost!K14</f>
        <v>483480</v>
      </c>
      <c r="L7" s="110" t="n">
        <f aca="false">DC_Cost!L14</f>
        <v>291744</v>
      </c>
      <c r="M7" s="120" t="n">
        <f aca="false">DC_Cost!M14</f>
        <v>291744</v>
      </c>
      <c r="N7" s="110" t="n">
        <f aca="false">DC_Cost!N14</f>
        <v>291744</v>
      </c>
      <c r="O7" s="110" t="n">
        <f aca="false">DC_Cost!O14</f>
        <v>220752</v>
      </c>
      <c r="P7" s="120" t="n">
        <f aca="false">DC_Cost!P14</f>
        <v>220752</v>
      </c>
      <c r="Q7" s="110" t="n">
        <f aca="false">DC_Cost!Q14</f>
        <v>220752</v>
      </c>
    </row>
    <row r="8" customFormat="false" ht="15" hidden="false" customHeight="true" outlineLevel="0" collapsed="false">
      <c r="A8" s="19" t="s">
        <v>675</v>
      </c>
      <c r="B8" s="15" t="s">
        <v>37</v>
      </c>
      <c r="C8" s="112" t="n">
        <f aca="false">DC_Cost!C16/1000</f>
        <v>1.1</v>
      </c>
      <c r="D8" s="121" t="n">
        <f aca="false">DC_Cost!D16/1000</f>
        <v>1.2</v>
      </c>
      <c r="E8" s="112" t="n">
        <f aca="false">DC_Cost!E16/1000</f>
        <v>1.3</v>
      </c>
      <c r="F8" s="112" t="n">
        <f aca="false">DC_Cost!F16/1000</f>
        <v>1.1</v>
      </c>
      <c r="G8" s="121" t="n">
        <f aca="false">DC_Cost!G16/1000</f>
        <v>1.2</v>
      </c>
      <c r="H8" s="112" t="n">
        <f aca="false">DC_Cost!H16/1000</f>
        <v>1.3</v>
      </c>
      <c r="I8" s="112" t="n">
        <f aca="false">DC_Cost!I16/1000</f>
        <v>1.1</v>
      </c>
      <c r="J8" s="121" t="n">
        <f aca="false">DC_Cost!J16/1000</f>
        <v>1.2</v>
      </c>
      <c r="K8" s="112" t="n">
        <f aca="false">DC_Cost!K16/1000</f>
        <v>1.3</v>
      </c>
      <c r="L8" s="112" t="n">
        <f aca="false">DC_Cost!L16/1000</f>
        <v>1.1</v>
      </c>
      <c r="M8" s="121" t="n">
        <f aca="false">DC_Cost!M16/1000</f>
        <v>1.2</v>
      </c>
      <c r="N8" s="112" t="n">
        <f aca="false">DC_Cost!N16/1000</f>
        <v>1.3</v>
      </c>
      <c r="O8" s="112" t="n">
        <f aca="false">DC_Cost!O16/1000</f>
        <v>1.1</v>
      </c>
      <c r="P8" s="121" t="n">
        <f aca="false">DC_Cost!P16/1000</f>
        <v>1.2</v>
      </c>
      <c r="Q8" s="112" t="n">
        <f aca="false">DC_Cost!Q16/1000</f>
        <v>1.3</v>
      </c>
    </row>
    <row r="9" customFormat="false" ht="15" hidden="false" customHeight="true" outlineLevel="0" collapsed="false">
      <c r="A9" s="19" t="s">
        <v>676</v>
      </c>
      <c r="B9" s="15" t="s">
        <v>634</v>
      </c>
      <c r="C9" s="113" t="n">
        <f aca="false">DC_Cost!C24</f>
        <v>21.4202694</v>
      </c>
      <c r="D9" s="122" t="n">
        <f aca="false">DC_Cost!D24</f>
        <v>27.510214</v>
      </c>
      <c r="E9" s="113" t="n">
        <f aca="false">DC_Cost!E24</f>
        <v>34.1207434</v>
      </c>
      <c r="F9" s="113" t="n">
        <f aca="false">DC_Cost!F24</f>
        <v>20.9562816</v>
      </c>
      <c r="G9" s="122" t="n">
        <f aca="false">DC_Cost!G24</f>
        <v>24.383896</v>
      </c>
      <c r="H9" s="113" t="n">
        <f aca="false">DC_Cost!H24</f>
        <v>28.0747376</v>
      </c>
      <c r="I9" s="113" t="n">
        <f aca="false">DC_Cost!I24</f>
        <v>28.348044</v>
      </c>
      <c r="J9" s="122" t="n">
        <f aca="false">DC_Cost!J24</f>
        <v>37.17424</v>
      </c>
      <c r="K9" s="113" t="n">
        <f aca="false">DC_Cost!K24</f>
        <v>50.581409</v>
      </c>
      <c r="L9" s="113" t="n">
        <f aca="false">DC_Cost!L24</f>
        <v>28.5933432</v>
      </c>
      <c r="M9" s="122" t="n">
        <f aca="false">DC_Cost!M24</f>
        <v>34.912032</v>
      </c>
      <c r="N9" s="113" t="n">
        <f aca="false">DC_Cost!N24</f>
        <v>42.6375752</v>
      </c>
      <c r="O9" s="113" t="n">
        <f aca="false">DC_Cost!O24</f>
        <v>37.7320356</v>
      </c>
      <c r="P9" s="122" t="n">
        <f aca="false">DC_Cost!P24</f>
        <v>52.722936</v>
      </c>
      <c r="Q9" s="113" t="n">
        <f aca="false">DC_Cost!Q24</f>
        <v>68.9316516</v>
      </c>
    </row>
    <row r="10" customFormat="false" ht="15" hidden="false" customHeight="true" outlineLevel="0" collapsed="false">
      <c r="A10" s="19" t="s">
        <v>677</v>
      </c>
      <c r="B10" s="15" t="s">
        <v>634</v>
      </c>
      <c r="C10" s="113" t="n">
        <f aca="false">DC_Cost!C32</f>
        <v>10.212</v>
      </c>
      <c r="D10" s="122" t="n">
        <f aca="false">DC_Cost!D32</f>
        <v>12.67</v>
      </c>
      <c r="E10" s="113" t="n">
        <f aca="false">DC_Cost!E32</f>
        <v>16.186</v>
      </c>
      <c r="F10" s="113" t="n">
        <f aca="false">DC_Cost!F32</f>
        <v>10.212</v>
      </c>
      <c r="G10" s="122" t="n">
        <f aca="false">DC_Cost!G32</f>
        <v>12.67</v>
      </c>
      <c r="H10" s="113" t="n">
        <f aca="false">DC_Cost!H32</f>
        <v>16.186</v>
      </c>
      <c r="I10" s="113" t="n">
        <f aca="false">DC_Cost!I32</f>
        <v>10.212</v>
      </c>
      <c r="J10" s="122" t="n">
        <f aca="false">DC_Cost!J32</f>
        <v>12.67</v>
      </c>
      <c r="K10" s="113" t="n">
        <f aca="false">DC_Cost!K32</f>
        <v>16.186</v>
      </c>
      <c r="L10" s="113" t="n">
        <f aca="false">DC_Cost!L32</f>
        <v>10.212</v>
      </c>
      <c r="M10" s="122" t="n">
        <f aca="false">DC_Cost!M32</f>
        <v>12.67</v>
      </c>
      <c r="N10" s="113" t="n">
        <f aca="false">DC_Cost!N32</f>
        <v>16.186</v>
      </c>
      <c r="O10" s="113" t="n">
        <f aca="false">DC_Cost!O32</f>
        <v>10.212</v>
      </c>
      <c r="P10" s="122" t="n">
        <f aca="false">DC_Cost!P32</f>
        <v>12.67</v>
      </c>
      <c r="Q10" s="113" t="n">
        <f aca="false">DC_Cost!Q32</f>
        <v>16.186</v>
      </c>
    </row>
    <row r="11" customFormat="false" ht="15" hidden="false" customHeight="true" outlineLevel="0" collapsed="false">
      <c r="A11" s="19" t="s">
        <v>678</v>
      </c>
      <c r="B11" s="15" t="s">
        <v>634</v>
      </c>
      <c r="C11" s="113" t="n">
        <f aca="false">DC_Cost!C33</f>
        <v>31.6322694</v>
      </c>
      <c r="D11" s="122" t="n">
        <f aca="false">DC_Cost!D33</f>
        <v>40.180214</v>
      </c>
      <c r="E11" s="113" t="n">
        <f aca="false">DC_Cost!E33</f>
        <v>50.3067434</v>
      </c>
      <c r="F11" s="113" t="n">
        <f aca="false">DC_Cost!F33</f>
        <v>31.1682816</v>
      </c>
      <c r="G11" s="122" t="n">
        <f aca="false">DC_Cost!G33</f>
        <v>37.053896</v>
      </c>
      <c r="H11" s="113" t="n">
        <f aca="false">DC_Cost!H33</f>
        <v>44.2607376</v>
      </c>
      <c r="I11" s="113" t="n">
        <f aca="false">DC_Cost!I33</f>
        <v>38.560044</v>
      </c>
      <c r="J11" s="122" t="n">
        <f aca="false">DC_Cost!J33</f>
        <v>49.84424</v>
      </c>
      <c r="K11" s="113" t="n">
        <f aca="false">DC_Cost!K33</f>
        <v>66.767409</v>
      </c>
      <c r="L11" s="113" t="n">
        <f aca="false">DC_Cost!L33</f>
        <v>38.8053432</v>
      </c>
      <c r="M11" s="122" t="n">
        <f aca="false">DC_Cost!M33</f>
        <v>47.582032</v>
      </c>
      <c r="N11" s="113" t="n">
        <f aca="false">DC_Cost!N33</f>
        <v>58.8235752</v>
      </c>
      <c r="O11" s="113" t="n">
        <f aca="false">DC_Cost!O33</f>
        <v>47.9440356</v>
      </c>
      <c r="P11" s="122" t="n">
        <f aca="false">DC_Cost!P33</f>
        <v>65.392936</v>
      </c>
      <c r="Q11" s="113" t="n">
        <f aca="false">DC_Cost!Q33</f>
        <v>85.1176516</v>
      </c>
    </row>
    <row r="12" customFormat="false" ht="15" hidden="false" customHeight="true" outlineLevel="0" collapsed="false">
      <c r="A12" s="19" t="s">
        <v>679</v>
      </c>
      <c r="B12" s="15" t="s">
        <v>680</v>
      </c>
      <c r="C12" s="123" t="n">
        <f aca="false">DC_Cost!C49</f>
        <v>5.39897242953333</v>
      </c>
      <c r="D12" s="124" t="n">
        <f aca="false">DC_Cost!D49</f>
        <v>7.49682782333333</v>
      </c>
      <c r="E12" s="123" t="n">
        <f aca="false">DC_Cost!E49</f>
        <v>12.9492728665333</v>
      </c>
      <c r="F12" s="123" t="n">
        <f aca="false">DC_Cost!F49</f>
        <v>5.31096941013333</v>
      </c>
      <c r="G12" s="124" t="n">
        <f aca="false">DC_Cost!G49</f>
        <v>6.86635369333333</v>
      </c>
      <c r="H12" s="123" t="n">
        <f aca="false">DC_Cost!H49</f>
        <v>11.1475631381333</v>
      </c>
      <c r="I12" s="123" t="n">
        <f aca="false">DC_Cost!I49</f>
        <v>6.71294034533333</v>
      </c>
      <c r="J12" s="124" t="n">
        <f aca="false">DC_Cost!J49</f>
        <v>9.44573973333333</v>
      </c>
      <c r="K12" s="123" t="n">
        <f aca="false">DC_Cost!K49</f>
        <v>17.8545512153333</v>
      </c>
      <c r="L12" s="123" t="n">
        <f aca="false">DC_Cost!L49</f>
        <v>6.75946542693333</v>
      </c>
      <c r="M12" s="124" t="n">
        <f aca="false">DC_Cost!M49</f>
        <v>8.98952778666667</v>
      </c>
      <c r="N12" s="123" t="n">
        <f aca="false">DC_Cost!N49</f>
        <v>15.4872887429333</v>
      </c>
      <c r="O12" s="123" t="n">
        <f aca="false">DC_Cost!O49</f>
        <v>8.49277075213334</v>
      </c>
      <c r="P12" s="124" t="n">
        <f aca="false">DC_Cost!P49</f>
        <v>12.5813934266667</v>
      </c>
      <c r="Q12" s="123" t="n">
        <f aca="false">DC_Cost!Q49</f>
        <v>23.3229235101333</v>
      </c>
    </row>
    <row r="13" customFormat="false" ht="15" hidden="false" customHeight="true" outlineLevel="0" collapsed="false">
      <c r="A13" s="19" t="s">
        <v>681</v>
      </c>
      <c r="B13" s="15" t="s">
        <v>680</v>
      </c>
      <c r="C13" s="123" t="n">
        <f aca="false">DC_Cost!C55</f>
        <v>7.0000433103819</v>
      </c>
      <c r="D13" s="124" t="n">
        <f aca="false">DC_Cost!D55</f>
        <v>10.0957952959174</v>
      </c>
      <c r="E13" s="123" t="n">
        <f aca="false">DC_Cost!E55</f>
        <v>17.4059720636914</v>
      </c>
      <c r="F13" s="123" t="n">
        <f aca="false">DC_Cost!F55</f>
        <v>6.88900389081935</v>
      </c>
      <c r="G13" s="124" t="n">
        <f aca="false">DC_Cost!G55</f>
        <v>9.2685484797567</v>
      </c>
      <c r="H13" s="123" t="n">
        <f aca="false">DC_Cost!H55</f>
        <v>15.0831317178447</v>
      </c>
      <c r="I13" s="123" t="n">
        <f aca="false">DC_Cost!I55</f>
        <v>8.65796636448843</v>
      </c>
      <c r="J13" s="124" t="n">
        <f aca="false">DC_Cost!J55</f>
        <v>12.6529678995341</v>
      </c>
      <c r="K13" s="123" t="n">
        <f aca="false">DC_Cost!K55</f>
        <v>23.7300642726621</v>
      </c>
      <c r="L13" s="123" t="n">
        <f aca="false">DC_Cost!L55</f>
        <v>8.7166702372781</v>
      </c>
      <c r="M13" s="124" t="n">
        <f aca="false">DC_Cost!M55</f>
        <v>12.0543709668186</v>
      </c>
      <c r="N13" s="123" t="n">
        <f aca="false">DC_Cost!N55</f>
        <v>20.6780894215396</v>
      </c>
      <c r="O13" s="123" t="n">
        <f aca="false">DC_Cost!O55</f>
        <v>10.9036999386122</v>
      </c>
      <c r="P13" s="124" t="n">
        <f aca="false">DC_Cost!P55</f>
        <v>16.7672676161495</v>
      </c>
      <c r="Q13" s="123" t="n">
        <f aca="false">DC_Cost!Q55</f>
        <v>30.7801210005857</v>
      </c>
    </row>
    <row r="14" customFormat="false" ht="15" hidden="false" customHeight="true" outlineLevel="0" collapsed="false">
      <c r="A14" s="19" t="s">
        <v>665</v>
      </c>
      <c r="B14" s="15" t="s">
        <v>607</v>
      </c>
      <c r="C14" s="123" t="n">
        <f aca="false">DC_Cost!C58</f>
        <v>1.11286669150028</v>
      </c>
      <c r="D14" s="124" t="n">
        <f aca="false">DC_Cost!D58</f>
        <v>1.60502925637165</v>
      </c>
      <c r="E14" s="123" t="n">
        <f aca="false">DC_Cost!E58</f>
        <v>2.76720095633376</v>
      </c>
      <c r="F14" s="123" t="n">
        <f aca="false">DC_Cost!F58</f>
        <v>1.54359016643037</v>
      </c>
      <c r="G14" s="124" t="n">
        <f aca="false">DC_Cost!G58</f>
        <v>2.07676472784428</v>
      </c>
      <c r="H14" s="123" t="n">
        <f aca="false">DC_Cost!H58</f>
        <v>3.37961397142862</v>
      </c>
      <c r="I14" s="123" t="n">
        <f aca="false">DC_Cost!I58</f>
        <v>2.04424655562441</v>
      </c>
      <c r="J14" s="124" t="n">
        <f aca="false">DC_Cost!J58</f>
        <v>2.98751288214055</v>
      </c>
      <c r="K14" s="123" t="n">
        <f aca="false">DC_Cost!K58</f>
        <v>5.6029441686335</v>
      </c>
      <c r="L14" s="123" t="n">
        <f aca="false">DC_Cost!L58</f>
        <v>3.41070829238845</v>
      </c>
      <c r="M14" s="124" t="n">
        <f aca="false">DC_Cost!M58</f>
        <v>4.71670281161092</v>
      </c>
      <c r="N14" s="123" t="n">
        <f aca="false">DC_Cost!N58</f>
        <v>8.09104040200768</v>
      </c>
      <c r="O14" s="123" t="n">
        <f aca="false">DC_Cost!O58</f>
        <v>5.63852017134344</v>
      </c>
      <c r="P14" s="124" t="n">
        <f aca="false">DC_Cost!P58</f>
        <v>8.6706876752155</v>
      </c>
      <c r="Q14" s="123" t="n">
        <f aca="false">DC_Cost!Q58</f>
        <v>15.9170129511363</v>
      </c>
    </row>
    <row r="15" customFormat="false" ht="15" hidden="false" customHeight="true" outlineLevel="0" collapsed="false">
      <c r="A15" s="19" t="s">
        <v>682</v>
      </c>
      <c r="B15" s="15" t="s">
        <v>680</v>
      </c>
      <c r="C15" s="123" t="n">
        <f aca="false">DC_Cost!C43</f>
        <v>0.404712</v>
      </c>
      <c r="D15" s="124" t="n">
        <f aca="false">DC_Cost!D43</f>
        <v>0.672768</v>
      </c>
      <c r="E15" s="123" t="n">
        <f aca="false">DC_Cost!E43</f>
        <v>1.02492</v>
      </c>
      <c r="F15" s="123" t="n">
        <f aca="false">DC_Cost!F43</f>
        <v>0.404712</v>
      </c>
      <c r="G15" s="124" t="n">
        <f aca="false">DC_Cost!G43</f>
        <v>0.672768</v>
      </c>
      <c r="H15" s="123" t="n">
        <f aca="false">DC_Cost!H43</f>
        <v>1.02492</v>
      </c>
      <c r="I15" s="123" t="n">
        <f aca="false">DC_Cost!I43</f>
        <v>0.404712</v>
      </c>
      <c r="J15" s="124" t="n">
        <f aca="false">DC_Cost!J43</f>
        <v>0.672768</v>
      </c>
      <c r="K15" s="123" t="n">
        <f aca="false">DC_Cost!K43</f>
        <v>1.02492</v>
      </c>
      <c r="L15" s="123" t="n">
        <f aca="false">DC_Cost!L43</f>
        <v>0.404712</v>
      </c>
      <c r="M15" s="124" t="n">
        <f aca="false">DC_Cost!M43</f>
        <v>0.672768</v>
      </c>
      <c r="N15" s="123" t="n">
        <f aca="false">DC_Cost!N43</f>
        <v>1.02492</v>
      </c>
      <c r="O15" s="123" t="n">
        <f aca="false">DC_Cost!O43</f>
        <v>0.404712</v>
      </c>
      <c r="P15" s="124" t="n">
        <f aca="false">DC_Cost!P43</f>
        <v>0.672768</v>
      </c>
      <c r="Q15" s="123" t="n">
        <f aca="false">DC_Cost!Q43</f>
        <v>1.02492</v>
      </c>
    </row>
    <row r="17" customFormat="false" ht="15" hidden="false" customHeight="true" outlineLevel="0" collapsed="false">
      <c r="A17" s="125" t="s">
        <v>683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185</v>
      </c>
      <c r="C18" s="10"/>
    </row>
    <row r="19" customFormat="false" ht="15" hidden="false" customHeight="true" outlineLevel="0" collapsed="false">
      <c r="A19" s="126" t="s">
        <v>684</v>
      </c>
      <c r="B19" s="31" t="s">
        <v>281</v>
      </c>
      <c r="C19" s="110" t="n">
        <f aca="false">INDEX(Perf!$C$91:$Q$91,3*(Unit_Cost!C$6-1)+1)</f>
        <v>106483.5924981</v>
      </c>
      <c r="D19" s="127" t="n">
        <f aca="false">INDEX(Perf!$C$91:$Q$91,3*(Unit_Cost!D$6-1)+1)</f>
        <v>106483.5924981</v>
      </c>
      <c r="E19" s="127" t="n">
        <f aca="false">INDEX(Perf!$C$91:$Q$91,3*(Unit_Cost!E$6-1)+1)</f>
        <v>106483.5924981</v>
      </c>
      <c r="F19" s="127" t="n">
        <f aca="false">INDEX(Perf!$C$91:$Q$91,3*(Unit_Cost!F$6-1)+1)</f>
        <v>1674189.23865346</v>
      </c>
      <c r="G19" s="127" t="n">
        <f aca="false">INDEX(Perf!$C$91:$Q$91,3*(Unit_Cost!G$6-1)+1)</f>
        <v>1674189.23865346</v>
      </c>
      <c r="H19" s="127" t="n">
        <f aca="false">INDEX(Perf!$C$91:$Q$91,3*(Unit_Cost!H$6-1)+1)</f>
        <v>1674189.23865346</v>
      </c>
      <c r="I19" s="127" t="n">
        <f aca="false">INDEX(Perf!$C$91:$Q$91,3*(Unit_Cost!I$6-1)+1)</f>
        <v>2511283.85798019</v>
      </c>
      <c r="J19" s="127" t="n">
        <f aca="false">INDEX(Perf!$C$91:$Q$91,3*(Unit_Cost!J$6-1)+1)</f>
        <v>2511283.85798019</v>
      </c>
      <c r="K19" s="127" t="n">
        <f aca="false">INDEX(Perf!$C$91:$Q$91,3*(Unit_Cost!K$6-1)+1)</f>
        <v>2511283.85798019</v>
      </c>
      <c r="L19" s="127" t="n">
        <f aca="false">INDEX(Perf!$C$91:$Q$91,3*(Unit_Cost!L$6-1)+1)</f>
        <v>6139828.53444362</v>
      </c>
      <c r="M19" s="127" t="n">
        <f aca="false">INDEX(Perf!$C$91:$Q$91,3*(Unit_Cost!M$6-1)+1)</f>
        <v>6139828.53444362</v>
      </c>
      <c r="N19" s="127" t="n">
        <f aca="false">INDEX(Perf!$C$91:$Q$91,3*(Unit_Cost!N$6-1)+1)</f>
        <v>6139828.53444362</v>
      </c>
      <c r="O19" s="127" t="n">
        <f aca="false">INDEX(Perf!$C$91:$Q$91,3*(Unit_Cost!O$6-1)+1)</f>
        <v>25922780.3335087</v>
      </c>
      <c r="P19" s="127" t="n">
        <f aca="false">INDEX(Perf!$C$91:$Q$91,3*(Unit_Cost!P$6-1)+1)</f>
        <v>25922780.3335087</v>
      </c>
      <c r="Q19" s="127" t="n">
        <f aca="false">INDEX(Perf!$C$91:$Q$91,3*(Unit_Cost!Q$6-1)+1)</f>
        <v>25922780.3335087</v>
      </c>
    </row>
    <row r="20" customFormat="false" ht="15" hidden="false" customHeight="true" outlineLevel="0" collapsed="false">
      <c r="A20" s="126" t="s">
        <v>685</v>
      </c>
      <c r="B20" s="31" t="s">
        <v>281</v>
      </c>
      <c r="C20" s="110" t="n">
        <f aca="false">INDEX(Perf!$C$92:$Q$92,3*(Unit_Cost!C$6-1)+1)</f>
        <v>11831.5102775667</v>
      </c>
      <c r="D20" s="127" t="n">
        <f aca="false">INDEX(Perf!$C$92:$Q$92,3*(Unit_Cost!D$6-1)+1)</f>
        <v>11831.5102775667</v>
      </c>
      <c r="E20" s="127" t="n">
        <f aca="false">INDEX(Perf!$C$92:$Q$92,3*(Unit_Cost!E$6-1)+1)</f>
        <v>11831.5102775667</v>
      </c>
      <c r="F20" s="127" t="n">
        <f aca="false">INDEX(Perf!$C$92:$Q$92,3*(Unit_Cost!F$6-1)+1)</f>
        <v>186021.026517051</v>
      </c>
      <c r="G20" s="127" t="n">
        <f aca="false">INDEX(Perf!$C$92:$Q$92,3*(Unit_Cost!G$6-1)+1)</f>
        <v>186021.026517051</v>
      </c>
      <c r="H20" s="127" t="n">
        <f aca="false">INDEX(Perf!$C$92:$Q$92,3*(Unit_Cost!H$6-1)+1)</f>
        <v>186021.026517051</v>
      </c>
      <c r="I20" s="127" t="n">
        <f aca="false">INDEX(Perf!$C$92:$Q$92,3*(Unit_Cost!I$6-1)+1)</f>
        <v>279031.539775577</v>
      </c>
      <c r="J20" s="127" t="n">
        <f aca="false">INDEX(Perf!$C$92:$Q$92,3*(Unit_Cost!J$6-1)+1)</f>
        <v>279031.539775577</v>
      </c>
      <c r="K20" s="127" t="n">
        <f aca="false">INDEX(Perf!$C$92:$Q$92,3*(Unit_Cost!K$6-1)+1)</f>
        <v>279031.539775577</v>
      </c>
      <c r="L20" s="127" t="n">
        <f aca="false">INDEX(Perf!$C$92:$Q$92,3*(Unit_Cost!L$6-1)+1)</f>
        <v>682203.170493735</v>
      </c>
      <c r="M20" s="127" t="n">
        <f aca="false">INDEX(Perf!$C$92:$Q$92,3*(Unit_Cost!M$6-1)+1)</f>
        <v>682203.170493735</v>
      </c>
      <c r="N20" s="127" t="n">
        <f aca="false">INDEX(Perf!$C$92:$Q$92,3*(Unit_Cost!N$6-1)+1)</f>
        <v>682203.170493735</v>
      </c>
      <c r="O20" s="127" t="n">
        <f aca="false">INDEX(Perf!$C$92:$Q$92,3*(Unit_Cost!O$6-1)+1)</f>
        <v>2880308.92594541</v>
      </c>
      <c r="P20" s="127" t="n">
        <f aca="false">INDEX(Perf!$C$92:$Q$92,3*(Unit_Cost!P$6-1)+1)</f>
        <v>2880308.92594541</v>
      </c>
      <c r="Q20" s="127" t="n">
        <f aca="false">INDEX(Perf!$C$92:$Q$92,3*(Unit_Cost!Q$6-1)+1)</f>
        <v>2880308.92594541</v>
      </c>
    </row>
    <row r="21" customFormat="false" ht="15" hidden="false" customHeight="true" outlineLevel="0" collapsed="false">
      <c r="A21" s="126" t="s">
        <v>686</v>
      </c>
      <c r="B21" s="31" t="s">
        <v>554</v>
      </c>
      <c r="C21" s="120" t="n">
        <f aca="false">INDEX(Perf!$C$94:$Q$94,3*(Unit_Cost!C$6-1)+1)</f>
        <v>75351655831.9979</v>
      </c>
      <c r="D21" s="128" t="n">
        <f aca="false">INDEX(Perf!$C$94:$Q$94,3*(Unit_Cost!D$6-1)+1)</f>
        <v>75351655831.9979</v>
      </c>
      <c r="E21" s="128" t="n">
        <f aca="false">INDEX(Perf!$C$94:$Q$94,3*(Unit_Cost!E$6-1)+1)</f>
        <v>75351655831.9979</v>
      </c>
      <c r="F21" s="128" t="n">
        <f aca="false">INDEX(Perf!$C$94:$Q$94,3*(Unit_Cost!F$6-1)+1)</f>
        <v>373593212430.323</v>
      </c>
      <c r="G21" s="128" t="n">
        <f aca="false">INDEX(Perf!$C$94:$Q$94,3*(Unit_Cost!G$6-1)+1)</f>
        <v>373593212430.323</v>
      </c>
      <c r="H21" s="128" t="n">
        <f aca="false">INDEX(Perf!$C$94:$Q$94,3*(Unit_Cost!H$6-1)+1)</f>
        <v>373593212430.323</v>
      </c>
      <c r="I21" s="128" t="n">
        <f aca="false">INDEX(Perf!$C$94:$Q$94,3*(Unit_Cost!I$6-1)+1)</f>
        <v>531800117609.444</v>
      </c>
      <c r="J21" s="128" t="n">
        <f aca="false">INDEX(Perf!$C$94:$Q$94,3*(Unit_Cost!J$6-1)+1)</f>
        <v>531800117609.444</v>
      </c>
      <c r="K21" s="128" t="n">
        <f aca="false">INDEX(Perf!$C$94:$Q$94,3*(Unit_Cost!K$6-1)+1)</f>
        <v>531800117609.444</v>
      </c>
      <c r="L21" s="128" t="n">
        <f aca="false">INDEX(Perf!$C$94:$Q$94,3*(Unit_Cost!L$6-1)+1)</f>
        <v>784571063547.291</v>
      </c>
      <c r="M21" s="128" t="n">
        <f aca="false">INDEX(Perf!$C$94:$Q$94,3*(Unit_Cost!M$6-1)+1)</f>
        <v>784571063547.291</v>
      </c>
      <c r="N21" s="128" t="n">
        <f aca="false">INDEX(Perf!$C$94:$Q$94,3*(Unit_Cost!N$6-1)+1)</f>
        <v>784571063547.291</v>
      </c>
      <c r="O21" s="128" t="n">
        <f aca="false">INDEX(Perf!$C$94:$Q$94,3*(Unit_Cost!O$6-1)+1)</f>
        <v>1253228727316.01</v>
      </c>
      <c r="P21" s="128" t="n">
        <f aca="false">INDEX(Perf!$C$94:$Q$94,3*(Unit_Cost!P$6-1)+1)</f>
        <v>1253228727316.01</v>
      </c>
      <c r="Q21" s="128" t="n">
        <f aca="false">INDEX(Perf!$C$94:$Q$94,3*(Unit_Cost!Q$6-1)+1)</f>
        <v>1253228727316.01</v>
      </c>
    </row>
    <row r="22" customFormat="false" ht="15" hidden="false" customHeight="true" outlineLevel="0" collapsed="false">
      <c r="A22" s="14" t="s">
        <v>687</v>
      </c>
      <c r="B22" s="31" t="s">
        <v>49</v>
      </c>
      <c r="C22" s="112" t="n">
        <f aca="false">INDEX(Perf!$C$116:$Q$116,3*(Unit_Cost!C$6-1)+1)</f>
        <v>0.0960418492766093</v>
      </c>
      <c r="D22" s="129" t="n">
        <f aca="false">INDEX(Perf!$C$116:$Q$116,3*(Unit_Cost!D$6-1)+1)</f>
        <v>0.0960418492766093</v>
      </c>
      <c r="E22" s="129" t="n">
        <f aca="false">INDEX(Perf!$C$116:$Q$116,3*(Unit_Cost!E$6-1)+1)</f>
        <v>0.0960418492766093</v>
      </c>
      <c r="F22" s="129" t="n">
        <f aca="false">INDEX(Perf!$C$116:$Q$116,3*(Unit_Cost!F$6-1)+1)</f>
        <v>0.476175109927189</v>
      </c>
      <c r="G22" s="129" t="n">
        <f aca="false">INDEX(Perf!$C$116:$Q$116,3*(Unit_Cost!G$6-1)+1)</f>
        <v>0.476175109927189</v>
      </c>
      <c r="H22" s="129" t="n">
        <f aca="false">INDEX(Perf!$C$116:$Q$116,3*(Unit_Cost!H$6-1)+1)</f>
        <v>0.476175109927189</v>
      </c>
      <c r="I22" s="129" t="n">
        <f aca="false">INDEX(Perf!$C$116:$Q$116,3*(Unit_Cost!I$6-1)+1)</f>
        <v>0.677822752224648</v>
      </c>
      <c r="J22" s="129" t="n">
        <f aca="false">INDEX(Perf!$C$116:$Q$116,3*(Unit_Cost!J$6-1)+1)</f>
        <v>0.677822752224648</v>
      </c>
      <c r="K22" s="129" t="n">
        <f aca="false">INDEX(Perf!$C$116:$Q$116,3*(Unit_Cost!K$6-1)+1)</f>
        <v>0.677822752224648</v>
      </c>
      <c r="L22" s="129" t="n">
        <f aca="false">INDEX(Perf!$C$116:$Q$116,3*(Unit_Cost!L$6-1)+1)</f>
        <v>1</v>
      </c>
      <c r="M22" s="129" t="n">
        <f aca="false">INDEX(Perf!$C$116:$Q$116,3*(Unit_Cost!M$6-1)+1)</f>
        <v>1</v>
      </c>
      <c r="N22" s="129" t="n">
        <f aca="false">INDEX(Perf!$C$116:$Q$116,3*(Unit_Cost!N$6-1)+1)</f>
        <v>1</v>
      </c>
      <c r="O22" s="129" t="n">
        <f aca="false">INDEX(Perf!$C$116:$Q$116,3*(Unit_Cost!O$6-1)+1)</f>
        <v>1.59734252962348</v>
      </c>
      <c r="P22" s="129" t="n">
        <f aca="false">INDEX(Perf!$C$116:$Q$116,3*(Unit_Cost!P$6-1)+1)</f>
        <v>1.59734252962348</v>
      </c>
      <c r="Q22" s="129" t="n">
        <f aca="false">INDEX(Perf!$C$116:$Q$116,3*(Unit_Cost!Q$6-1)+1)</f>
        <v>1.59734252962348</v>
      </c>
    </row>
    <row r="23" customFormat="false" ht="15" hidden="false" customHeight="true" outlineLevel="0" collapsed="false">
      <c r="A23" s="30" t="s">
        <v>688</v>
      </c>
      <c r="B23" s="31" t="s">
        <v>562</v>
      </c>
      <c r="C23" s="130" t="n">
        <f aca="false">Unit_Cost!C16</f>
        <v>0.0395852765654522</v>
      </c>
      <c r="D23" s="130" t="n">
        <f aca="false">Unit_Cost!D16</f>
        <v>0.0570917680386861</v>
      </c>
      <c r="E23" s="130" t="n">
        <f aca="false">Unit_Cost!E16</f>
        <v>0.098430850707718</v>
      </c>
      <c r="F23" s="130" t="n">
        <f aca="false">Unit_Cost!F16</f>
        <v>0.00543023762175232</v>
      </c>
      <c r="G23" s="130" t="n">
        <f aca="false">Unit_Cost!G16</f>
        <v>0.00730590684102865</v>
      </c>
      <c r="H23" s="130" t="n">
        <f aca="false">Unit_Cost!H16</f>
        <v>0.0118892354549599</v>
      </c>
      <c r="I23" s="130" t="n">
        <f aca="false">Unit_Cost!I16</f>
        <v>0.00479434018860947</v>
      </c>
      <c r="J23" s="130" t="n">
        <f aca="false">Unit_Cost!J16</f>
        <v>0.00700656828083046</v>
      </c>
      <c r="K23" s="130" t="n">
        <f aca="false">Unit_Cost!K16</f>
        <v>0.0131404992848378</v>
      </c>
      <c r="L23" s="130" t="n">
        <f aca="false">Unit_Cost!L16</f>
        <v>0.00342817800234057</v>
      </c>
      <c r="M23" s="130" t="n">
        <f aca="false">Unit_Cost!M16</f>
        <v>0.00474086184926097</v>
      </c>
      <c r="N23" s="130" t="n">
        <f aca="false">Unit_Cost!N16</f>
        <v>0.00813248285821226</v>
      </c>
      <c r="O23" s="130" t="n">
        <f aca="false">Unit_Cost!O16</f>
        <v>0.00271724694657648</v>
      </c>
      <c r="P23" s="130" t="n">
        <f aca="false">Unit_Cost!P16</f>
        <v>0.0041784721689812</v>
      </c>
      <c r="Q23" s="130" t="n">
        <f aca="false">Unit_Cost!Q16</f>
        <v>0.00767053296357873</v>
      </c>
    </row>
    <row r="24" customFormat="false" ht="15" hidden="false" customHeight="true" outlineLevel="0" collapsed="false">
      <c r="A24" s="30" t="s">
        <v>689</v>
      </c>
      <c r="B24" s="31" t="s">
        <v>562</v>
      </c>
      <c r="C24" s="131" t="n">
        <f aca="false">Unit_Cost!C17</f>
        <v>8.64017334095354E-006</v>
      </c>
      <c r="D24" s="131" t="n">
        <f aca="false">Unit_Cost!D17</f>
        <v>1.24612688098854E-005</v>
      </c>
      <c r="E24" s="131" t="n">
        <f aca="false">Unit_Cost!E17</f>
        <v>2.14842407582024E-005</v>
      </c>
      <c r="F24" s="131" t="n">
        <f aca="false">Unit_Cost!F17</f>
        <v>1.19842625421469E-005</v>
      </c>
      <c r="G24" s="131" t="n">
        <f aca="false">Unit_Cost!G17</f>
        <v>1.61237705953466E-005</v>
      </c>
      <c r="H24" s="131" t="n">
        <f aca="false">Unit_Cost!H17</f>
        <v>2.62389473615083E-005</v>
      </c>
      <c r="I24" s="131" t="n">
        <f aca="false">Unit_Cost!I17</f>
        <v>1.58713031193618E-005</v>
      </c>
      <c r="J24" s="131" t="n">
        <f aca="false">Unit_Cost!J17</f>
        <v>2.31947180710634E-005</v>
      </c>
      <c r="K24" s="131" t="n">
        <f aca="false">Unit_Cost!K17</f>
        <v>4.35006359759184E-005</v>
      </c>
      <c r="L24" s="131" t="n">
        <f aca="false">Unit_Cost!L17</f>
        <v>2.64803602145159E-005</v>
      </c>
      <c r="M24" s="131" t="n">
        <f aca="false">Unit_Cost!M17</f>
        <v>3.6619956551257E-005</v>
      </c>
      <c r="N24" s="131" t="n">
        <f aca="false">Unit_Cost!N17</f>
        <v>6.28179386766985E-005</v>
      </c>
      <c r="O24" s="131" t="n">
        <f aca="false">Unit_Cost!O17</f>
        <v>4.37768441080692E-005</v>
      </c>
      <c r="P24" s="131" t="n">
        <f aca="false">Unit_Cost!P17</f>
        <v>6.73182557006314E-005</v>
      </c>
      <c r="Q24" s="131" t="n">
        <f aca="false">Unit_Cost!Q17</f>
        <v>0.000123577919995628</v>
      </c>
    </row>
    <row r="25" customFormat="false" ht="15" hidden="false" customHeight="true" outlineLevel="0" collapsed="false">
      <c r="A25" s="31" t="s">
        <v>690</v>
      </c>
      <c r="B25" s="31" t="s">
        <v>562</v>
      </c>
      <c r="C25" s="39" t="n">
        <f aca="false">Unit_Cost!C18</f>
        <v>0.519402795799241</v>
      </c>
      <c r="D25" s="39" t="n">
        <f aca="false">Unit_Cost!D18</f>
        <v>0.749107408341193</v>
      </c>
      <c r="E25" s="39" t="n">
        <f aca="false">Unit_Cost!E18</f>
        <v>1.29152208816713</v>
      </c>
      <c r="F25" s="39" t="n">
        <f aca="false">Unit_Cost!F18</f>
        <v>0.122516775346788</v>
      </c>
      <c r="G25" s="39" t="n">
        <f aca="false">Unit_Cost!G18</f>
        <v>0.164835539343861</v>
      </c>
      <c r="H25" s="39" t="n">
        <f aca="false">Unit_Cost!H18</f>
        <v>0.268244392003298</v>
      </c>
      <c r="I25" s="39" t="n">
        <f aca="false">Unit_Cost!I18</f>
        <v>0.108169686252955</v>
      </c>
      <c r="J25" s="39" t="n">
        <f aca="false">Unit_Cost!J18</f>
        <v>0.15808187630239</v>
      </c>
      <c r="K25" s="39" t="n">
        <f aca="false">Unit_Cost!K18</f>
        <v>0.296475349877152</v>
      </c>
      <c r="L25" s="39" t="n">
        <f aca="false">Unit_Cost!L18</f>
        <v>0.0725655593101862</v>
      </c>
      <c r="M25" s="39" t="n">
        <f aca="false">Unit_Cost!M18</f>
        <v>0.1003516420294</v>
      </c>
      <c r="N25" s="39" t="n">
        <f aca="false">Unit_Cost!N18</f>
        <v>0.172143385432075</v>
      </c>
      <c r="O25" s="39" t="n">
        <f aca="false">Unit_Cost!O18</f>
        <v>0.0565664051908884</v>
      </c>
      <c r="P25" s="39" t="n">
        <f aca="false">Unit_Cost!P18</f>
        <v>0.0869855241119093</v>
      </c>
      <c r="Q25" s="39" t="n">
        <f aca="false">Unit_Cost!Q18</f>
        <v>0.159681649912067</v>
      </c>
    </row>
    <row r="26" customFormat="false" ht="15" hidden="false" customHeight="true" outlineLevel="0" collapsed="false">
      <c r="A26" s="31" t="s">
        <v>691</v>
      </c>
      <c r="B26" s="31" t="s">
        <v>562</v>
      </c>
      <c r="C26" s="130" t="n">
        <f aca="false">Unit_Cost!C22</f>
        <v>0.400603432007857</v>
      </c>
      <c r="D26" s="130" t="n">
        <f aca="false">Unit_Cost!D22</f>
        <v>0.556264177007275</v>
      </c>
      <c r="E26" s="130" t="n">
        <f aca="false">Unit_Cost!E22</f>
        <v>0.96083527375743</v>
      </c>
      <c r="F26" s="130" t="n">
        <f aca="false">Unit_Cost!F22</f>
        <v>0.0944523847579912</v>
      </c>
      <c r="G26" s="130" t="n">
        <f aca="false">Unit_Cost!G22</f>
        <v>0.122113955258291</v>
      </c>
      <c r="H26" s="130" t="n">
        <f aca="false">Unit_Cost!H22</f>
        <v>0.198252680692909</v>
      </c>
      <c r="I26" s="130" t="n">
        <f aca="false">Unit_Cost!I22</f>
        <v>0.083869192882042</v>
      </c>
      <c r="J26" s="130" t="n">
        <f aca="false">Unit_Cost!J22</f>
        <v>0.118011858716907</v>
      </c>
      <c r="K26" s="130" t="n">
        <f aca="false">Unit_Cost!K22</f>
        <v>0.223068688632408</v>
      </c>
      <c r="L26" s="130" t="n">
        <f aca="false">Unit_Cost!L22</f>
        <v>0.0562719910230825</v>
      </c>
      <c r="M26" s="130" t="n">
        <f aca="false">Unit_Cost!M22</f>
        <v>0.0748370758577218</v>
      </c>
      <c r="N26" s="130" t="n">
        <f aca="false">Unit_Cost!N22</f>
        <v>0.128930398791849</v>
      </c>
      <c r="O26" s="130" t="n">
        <f aca="false">Unit_Cost!O22</f>
        <v>0.0440589446025828</v>
      </c>
      <c r="P26" s="130" t="n">
        <f aca="false">Unit_Cost!P22</f>
        <v>0.0652699728024053</v>
      </c>
      <c r="Q26" s="130" t="n">
        <f aca="false">Unit_Cost!Q22</f>
        <v>0.120995070383257</v>
      </c>
    </row>
    <row r="27" customFormat="false" ht="15" hidden="false" customHeight="true" outlineLevel="0" collapsed="false">
      <c r="A27" s="31" t="s">
        <v>692</v>
      </c>
      <c r="B27" s="31" t="s">
        <v>578</v>
      </c>
      <c r="C27" s="132" t="n">
        <f aca="false">INDEX(Perf!$C$113:$Q$113,3*(Unit_Cost!C$6-1)+1)</f>
        <v>3.24645099079574</v>
      </c>
      <c r="D27" s="132" t="n">
        <f aca="false">INDEX(Perf!$C$113:$Q$113,3*(Unit_Cost!D$6-1)+1)</f>
        <v>3.24645099079574</v>
      </c>
      <c r="E27" s="132" t="n">
        <f aca="false">INDEX(Perf!$C$113:$Q$113,3*(Unit_Cost!E$6-1)+1)</f>
        <v>3.24645099079574</v>
      </c>
      <c r="F27" s="132" t="n">
        <f aca="false">INDEX(Perf!$C$113:$Q$113,3*(Unit_Cost!F$6-1)+1)</f>
        <v>16.097973448591</v>
      </c>
      <c r="G27" s="132" t="n">
        <f aca="false">INDEX(Perf!$C$113:$Q$113,3*(Unit_Cost!G$6-1)+1)</f>
        <v>16.097973448591</v>
      </c>
      <c r="H27" s="132" t="n">
        <f aca="false">INDEX(Perf!$C$113:$Q$113,3*(Unit_Cost!H$6-1)+1)</f>
        <v>16.097973448591</v>
      </c>
      <c r="I27" s="132" t="n">
        <f aca="false">INDEX(Perf!$C$113:$Q$113,3*(Unit_Cost!I$6-1)+1)</f>
        <v>22.9131738866806</v>
      </c>
      <c r="J27" s="132" t="n">
        <f aca="false">INDEX(Perf!$C$113:$Q$113,3*(Unit_Cost!J$6-1)+1)</f>
        <v>22.9131738866806</v>
      </c>
      <c r="K27" s="132" t="n">
        <f aca="false">INDEX(Perf!$C$113:$Q$113,3*(Unit_Cost!K$6-1)+1)</f>
        <v>22.9131738866806</v>
      </c>
      <c r="L27" s="132" t="n">
        <f aca="false">INDEX(Perf!$C$113:$Q$113,3*(Unit_Cost!L$6-1)+1)</f>
        <v>33.8096284936322</v>
      </c>
      <c r="M27" s="132" t="n">
        <f aca="false">INDEX(Perf!$C$113:$Q$113,3*(Unit_Cost!M$6-1)+1)</f>
        <v>33.8096284936322</v>
      </c>
      <c r="N27" s="132" t="n">
        <f aca="false">INDEX(Perf!$C$113:$Q$113,3*(Unit_Cost!N$6-1)+1)</f>
        <v>33.8096284936322</v>
      </c>
      <c r="O27" s="132" t="n">
        <f aca="false">INDEX(Perf!$C$113:$Q$113,3*(Unit_Cost!O$6-1)+1)</f>
        <v>54.0057923614764</v>
      </c>
      <c r="P27" s="132" t="n">
        <f aca="false">INDEX(Perf!$C$113:$Q$113,3*(Unit_Cost!P$6-1)+1)</f>
        <v>54.0057923614764</v>
      </c>
      <c r="Q27" s="132" t="n">
        <f aca="false">INDEX(Perf!$C$113:$Q$113,3*(Unit_Cost!Q$6-1)+1)</f>
        <v>54.0057923614764</v>
      </c>
    </row>
    <row r="28" customFormat="false" ht="15" hidden="false" customHeight="true" outlineLevel="0" collapsed="false">
      <c r="A28" s="133" t="s">
        <v>186</v>
      </c>
    </row>
    <row r="29" customFormat="false" ht="15" hidden="false" customHeight="true" outlineLevel="0" collapsed="false">
      <c r="A29" s="30" t="s">
        <v>693</v>
      </c>
      <c r="B29" s="31" t="s">
        <v>281</v>
      </c>
      <c r="C29" s="127" t="n">
        <f aca="false">INDEX(Perf!$C$91:$Q$91,3*(Unit_Cost!C$6-1)+2)</f>
        <v>30519.7952473432</v>
      </c>
      <c r="D29" s="127" t="n">
        <f aca="false">INDEX(Perf!$C$91:$Q$91,3*(Unit_Cost!D$6-1)+2)</f>
        <v>30519.7952473432</v>
      </c>
      <c r="E29" s="127" t="n">
        <f aca="false">INDEX(Perf!$C$91:$Q$91,3*(Unit_Cost!E$6-1)+2)</f>
        <v>30519.7952473432</v>
      </c>
      <c r="F29" s="127" t="n">
        <f aca="false">INDEX(Perf!$C$91:$Q$91,3*(Unit_Cost!F$6-1)+2)</f>
        <v>475684.230660434</v>
      </c>
      <c r="G29" s="127" t="n">
        <f aca="false">INDEX(Perf!$C$91:$Q$91,3*(Unit_Cost!G$6-1)+2)</f>
        <v>475684.230660434</v>
      </c>
      <c r="H29" s="127" t="n">
        <f aca="false">INDEX(Perf!$C$91:$Q$91,3*(Unit_Cost!H$6-1)+2)</f>
        <v>475684.230660434</v>
      </c>
      <c r="I29" s="127" t="n">
        <f aca="false">INDEX(Perf!$C$91:$Q$91,3*(Unit_Cost!I$6-1)+2)</f>
        <v>713526.345990651</v>
      </c>
      <c r="J29" s="127" t="n">
        <f aca="false">INDEX(Perf!$C$91:$Q$91,3*(Unit_Cost!J$6-1)+2)</f>
        <v>713526.345990651</v>
      </c>
      <c r="K29" s="127" t="n">
        <f aca="false">INDEX(Perf!$C$91:$Q$91,3*(Unit_Cost!K$6-1)+2)</f>
        <v>713526.345990651</v>
      </c>
      <c r="L29" s="127" t="n">
        <f aca="false">INDEX(Perf!$C$91:$Q$91,3*(Unit_Cost!L$6-1)+2)</f>
        <v>1863289.56275099</v>
      </c>
      <c r="M29" s="127" t="n">
        <f aca="false">INDEX(Perf!$C$91:$Q$91,3*(Unit_Cost!M$6-1)+2)</f>
        <v>1863289.56275099</v>
      </c>
      <c r="N29" s="127" t="n">
        <f aca="false">INDEX(Perf!$C$91:$Q$91,3*(Unit_Cost!N$6-1)+2)</f>
        <v>1863289.56275099</v>
      </c>
      <c r="O29" s="127" t="n">
        <f aca="false">INDEX(Perf!$C$91:$Q$91,3*(Unit_Cost!O$6-1)+2)</f>
        <v>8001333.61896495</v>
      </c>
      <c r="P29" s="127" t="n">
        <f aca="false">INDEX(Perf!$C$91:$Q$91,3*(Unit_Cost!P$6-1)+2)</f>
        <v>8001333.61896495</v>
      </c>
      <c r="Q29" s="127" t="n">
        <f aca="false">INDEX(Perf!$C$91:$Q$91,3*(Unit_Cost!Q$6-1)+2)</f>
        <v>8001333.61896495</v>
      </c>
    </row>
    <row r="30" customFormat="false" ht="15" hidden="false" customHeight="true" outlineLevel="0" collapsed="false">
      <c r="A30" s="30" t="s">
        <v>694</v>
      </c>
      <c r="B30" s="31" t="s">
        <v>281</v>
      </c>
      <c r="C30" s="127" t="n">
        <f aca="false">INDEX(Perf!$C$92:$Q$92,3*(Unit_Cost!C$6-1)+2)</f>
        <v>3391.08836081591</v>
      </c>
      <c r="D30" s="127" t="n">
        <f aca="false">INDEX(Perf!$C$92:$Q$92,3*(Unit_Cost!D$6-1)+2)</f>
        <v>3391.08836081591</v>
      </c>
      <c r="E30" s="127" t="n">
        <f aca="false">INDEX(Perf!$C$92:$Q$92,3*(Unit_Cost!E$6-1)+2)</f>
        <v>3391.08836081591</v>
      </c>
      <c r="F30" s="127" t="n">
        <f aca="false">INDEX(Perf!$C$92:$Q$92,3*(Unit_Cost!F$6-1)+2)</f>
        <v>52853.8034067149</v>
      </c>
      <c r="G30" s="127" t="n">
        <f aca="false">INDEX(Perf!$C$92:$Q$92,3*(Unit_Cost!G$6-1)+2)</f>
        <v>52853.8034067149</v>
      </c>
      <c r="H30" s="127" t="n">
        <f aca="false">INDEX(Perf!$C$92:$Q$92,3*(Unit_Cost!H$6-1)+2)</f>
        <v>52853.8034067149</v>
      </c>
      <c r="I30" s="127" t="n">
        <f aca="false">INDEX(Perf!$C$92:$Q$92,3*(Unit_Cost!I$6-1)+2)</f>
        <v>79280.7051100723</v>
      </c>
      <c r="J30" s="127" t="n">
        <f aca="false">INDEX(Perf!$C$92:$Q$92,3*(Unit_Cost!J$6-1)+2)</f>
        <v>79280.7051100723</v>
      </c>
      <c r="K30" s="127" t="n">
        <f aca="false">INDEX(Perf!$C$92:$Q$92,3*(Unit_Cost!K$6-1)+2)</f>
        <v>79280.7051100723</v>
      </c>
      <c r="L30" s="127" t="n">
        <f aca="false">INDEX(Perf!$C$92:$Q$92,3*(Unit_Cost!L$6-1)+2)</f>
        <v>207032.173638999</v>
      </c>
      <c r="M30" s="127" t="n">
        <f aca="false">INDEX(Perf!$C$92:$Q$92,3*(Unit_Cost!M$6-1)+2)</f>
        <v>207032.173638999</v>
      </c>
      <c r="N30" s="127" t="n">
        <f aca="false">INDEX(Perf!$C$92:$Q$92,3*(Unit_Cost!N$6-1)+2)</f>
        <v>207032.173638999</v>
      </c>
      <c r="O30" s="127" t="n">
        <f aca="false">INDEX(Perf!$C$92:$Q$92,3*(Unit_Cost!O$6-1)+2)</f>
        <v>889037.068773883</v>
      </c>
      <c r="P30" s="127" t="n">
        <f aca="false">INDEX(Perf!$C$92:$Q$92,3*(Unit_Cost!P$6-1)+2)</f>
        <v>889037.068773883</v>
      </c>
      <c r="Q30" s="127" t="n">
        <f aca="false">INDEX(Perf!$C$92:$Q$92,3*(Unit_Cost!Q$6-1)+2)</f>
        <v>889037.068773883</v>
      </c>
    </row>
    <row r="31" customFormat="false" ht="15" hidden="false" customHeight="true" outlineLevel="0" collapsed="false">
      <c r="A31" s="30" t="s">
        <v>695</v>
      </c>
      <c r="B31" s="31" t="s">
        <v>554</v>
      </c>
      <c r="C31" s="128" t="n">
        <f aca="false">INDEX(Perf!$C$94:$Q$94,3*(Unit_Cost!C$6-1)+2)</f>
        <v>21596915107.6667</v>
      </c>
      <c r="D31" s="128" t="n">
        <f aca="false">INDEX(Perf!$C$94:$Q$94,3*(Unit_Cost!D$6-1)+2)</f>
        <v>21596915107.6667</v>
      </c>
      <c r="E31" s="128" t="n">
        <f aca="false">INDEX(Perf!$C$94:$Q$94,3*(Unit_Cost!E$6-1)+2)</f>
        <v>21596915107.6667</v>
      </c>
      <c r="F31" s="128" t="n">
        <f aca="false">INDEX(Perf!$C$94:$Q$94,3*(Unit_Cost!F$6-1)+2)</f>
        <v>106148334807.008</v>
      </c>
      <c r="G31" s="128" t="n">
        <f aca="false">INDEX(Perf!$C$94:$Q$94,3*(Unit_Cost!G$6-1)+2)</f>
        <v>106148334807.008</v>
      </c>
      <c r="H31" s="128" t="n">
        <f aca="false">INDEX(Perf!$C$94:$Q$94,3*(Unit_Cost!H$6-1)+2)</f>
        <v>106148334807.008</v>
      </c>
      <c r="I31" s="128" t="n">
        <f aca="false">INDEX(Perf!$C$94:$Q$94,3*(Unit_Cost!I$6-1)+2)</f>
        <v>151099364378.687</v>
      </c>
      <c r="J31" s="128" t="n">
        <f aca="false">INDEX(Perf!$C$94:$Q$94,3*(Unit_Cost!J$6-1)+2)</f>
        <v>151099364378.687</v>
      </c>
      <c r="K31" s="128" t="n">
        <f aca="false">INDEX(Perf!$C$94:$Q$94,3*(Unit_Cost!K$6-1)+2)</f>
        <v>151099364378.687</v>
      </c>
      <c r="L31" s="128" t="n">
        <f aca="false">INDEX(Perf!$C$94:$Q$94,3*(Unit_Cost!L$6-1)+2)</f>
        <v>238098354985.508</v>
      </c>
      <c r="M31" s="128" t="n">
        <f aca="false">INDEX(Perf!$C$94:$Q$94,3*(Unit_Cost!M$6-1)+2)</f>
        <v>238098354985.508</v>
      </c>
      <c r="N31" s="128" t="n">
        <f aca="false">INDEX(Perf!$C$94:$Q$94,3*(Unit_Cost!N$6-1)+2)</f>
        <v>238098354985.508</v>
      </c>
      <c r="O31" s="128" t="n">
        <f aca="false">INDEX(Perf!$C$94:$Q$94,3*(Unit_Cost!O$6-1)+2)</f>
        <v>386821977392.771</v>
      </c>
      <c r="P31" s="128" t="n">
        <f aca="false">INDEX(Perf!$C$94:$Q$94,3*(Unit_Cost!P$6-1)+2)</f>
        <v>386821977392.771</v>
      </c>
      <c r="Q31" s="128" t="n">
        <f aca="false">INDEX(Perf!$C$94:$Q$94,3*(Unit_Cost!Q$6-1)+2)</f>
        <v>386821977392.771</v>
      </c>
    </row>
    <row r="32" customFormat="false" ht="15" hidden="false" customHeight="true" outlineLevel="0" collapsed="false">
      <c r="A32" s="31" t="s">
        <v>696</v>
      </c>
      <c r="B32" s="31" t="s">
        <v>49</v>
      </c>
      <c r="C32" s="129" t="n">
        <f aca="false">INDEX(Perf!$C$116:$Q$116,3*(Unit_Cost!C$6-1)+2)</f>
        <v>0.0907058560273597</v>
      </c>
      <c r="D32" s="129" t="n">
        <f aca="false">INDEX(Perf!$C$116:$Q$116,3*(Unit_Cost!D$6-1)+2)</f>
        <v>0.0907058560273597</v>
      </c>
      <c r="E32" s="129" t="n">
        <f aca="false">INDEX(Perf!$C$116:$Q$116,3*(Unit_Cost!E$6-1)+2)</f>
        <v>0.0907058560273597</v>
      </c>
      <c r="F32" s="129" t="n">
        <f aca="false">INDEX(Perf!$C$116:$Q$116,3*(Unit_Cost!F$6-1)+2)</f>
        <v>0.445817170023996</v>
      </c>
      <c r="G32" s="129" t="n">
        <f aca="false">INDEX(Perf!$C$116:$Q$116,3*(Unit_Cost!G$6-1)+2)</f>
        <v>0.445817170023996</v>
      </c>
      <c r="H32" s="129" t="n">
        <f aca="false">INDEX(Perf!$C$116:$Q$116,3*(Unit_Cost!H$6-1)+2)</f>
        <v>0.445817170023996</v>
      </c>
      <c r="I32" s="129" t="n">
        <f aca="false">INDEX(Perf!$C$116:$Q$116,3*(Unit_Cost!I$6-1)+2)</f>
        <v>0.634609022762394</v>
      </c>
      <c r="J32" s="129" t="n">
        <f aca="false">INDEX(Perf!$C$116:$Q$116,3*(Unit_Cost!J$6-1)+2)</f>
        <v>0.634609022762394</v>
      </c>
      <c r="K32" s="129" t="n">
        <f aca="false">INDEX(Perf!$C$116:$Q$116,3*(Unit_Cost!K$6-1)+2)</f>
        <v>0.634609022762394</v>
      </c>
      <c r="L32" s="129" t="n">
        <f aca="false">INDEX(Perf!$C$116:$Q$116,3*(Unit_Cost!L$6-1)+2)</f>
        <v>1</v>
      </c>
      <c r="M32" s="129" t="n">
        <f aca="false">INDEX(Perf!$C$116:$Q$116,3*(Unit_Cost!M$6-1)+2)</f>
        <v>1</v>
      </c>
      <c r="N32" s="129" t="n">
        <f aca="false">INDEX(Perf!$C$116:$Q$116,3*(Unit_Cost!N$6-1)+2)</f>
        <v>1</v>
      </c>
      <c r="O32" s="129" t="n">
        <f aca="false">INDEX(Perf!$C$116:$Q$116,3*(Unit_Cost!O$6-1)+2)</f>
        <v>1.62463103710362</v>
      </c>
      <c r="P32" s="129" t="n">
        <f aca="false">INDEX(Perf!$C$116:$Q$116,3*(Unit_Cost!P$6-1)+2)</f>
        <v>1.62463103710362</v>
      </c>
      <c r="Q32" s="129" t="n">
        <f aca="false">INDEX(Perf!$C$116:$Q$116,3*(Unit_Cost!Q$6-1)+2)</f>
        <v>1.62463103710362</v>
      </c>
    </row>
    <row r="33" customFormat="false" ht="15" hidden="false" customHeight="true" outlineLevel="0" collapsed="false">
      <c r="A33" s="30" t="s">
        <v>697</v>
      </c>
      <c r="B33" s="31" t="s">
        <v>562</v>
      </c>
      <c r="C33" s="130" t="n">
        <f aca="false">Unit_Cost!C29</f>
        <v>0.138892301052475</v>
      </c>
      <c r="D33" s="130" t="n">
        <f aca="false">Unit_Cost!D29</f>
        <v>0.200317080542208</v>
      </c>
      <c r="E33" s="130" t="n">
        <f aca="false">Unit_Cost!E29</f>
        <v>0.345362936311506</v>
      </c>
      <c r="F33" s="130" t="n">
        <f aca="false">Unit_Cost!F29</f>
        <v>0.0190529980837658</v>
      </c>
      <c r="G33" s="130" t="n">
        <f aca="false">Unit_Cost!G29</f>
        <v>0.0256341321942687</v>
      </c>
      <c r="H33" s="130" t="n">
        <f aca="false">Unit_Cost!H29</f>
        <v>0.041715592598265</v>
      </c>
      <c r="I33" s="130" t="n">
        <f aca="false">Unit_Cost!I29</f>
        <v>0.0168218337371801</v>
      </c>
      <c r="J33" s="130" t="n">
        <f aca="false">Unit_Cost!J29</f>
        <v>0.0245838472139196</v>
      </c>
      <c r="K33" s="130" t="n">
        <f aca="false">Unit_Cost!K29</f>
        <v>0.0461058843338328</v>
      </c>
      <c r="L33" s="130" t="n">
        <f aca="false">Unit_Cost!L29</f>
        <v>0.0120283997605846</v>
      </c>
      <c r="M33" s="130" t="n">
        <f aca="false">Unit_Cost!M29</f>
        <v>0.0166341950428717</v>
      </c>
      <c r="N33" s="130" t="n">
        <f aca="false">Unit_Cost!N29</f>
        <v>0.0285343277968332</v>
      </c>
      <c r="O33" s="130" t="n">
        <f aca="false">Unit_Cost!O29</f>
        <v>0.00953396600157135</v>
      </c>
      <c r="P33" s="130" t="n">
        <f aca="false">Unit_Cost!P29</f>
        <v>0.014660946311034</v>
      </c>
      <c r="Q33" s="130" t="n">
        <f aca="false">Unit_Cost!Q29</f>
        <v>0.0269134907229653</v>
      </c>
    </row>
    <row r="34" customFormat="false" ht="15" hidden="false" customHeight="true" outlineLevel="0" collapsed="false">
      <c r="A34" s="30" t="s">
        <v>698</v>
      </c>
      <c r="B34" s="31" t="s">
        <v>562</v>
      </c>
      <c r="C34" s="131" t="n">
        <f aca="false">Unit_Cost!C30</f>
        <v>1.22569900883294E-005</v>
      </c>
      <c r="D34" s="131" t="n">
        <f aca="false">Unit_Cost!D30</f>
        <v>1.76776138930933E-005</v>
      </c>
      <c r="E34" s="131" t="n">
        <f aca="false">Unit_Cost!E30</f>
        <v>3.04776438662871E-005</v>
      </c>
      <c r="F34" s="131" t="n">
        <f aca="false">Unit_Cost!F30</f>
        <v>1.70009305830457E-005</v>
      </c>
      <c r="G34" s="131" t="n">
        <f aca="false">Unit_Cost!G30</f>
        <v>2.28732559608405E-005</v>
      </c>
      <c r="H34" s="131" t="n">
        <f aca="false">Unit_Cost!H30</f>
        <v>3.72226927686513E-005</v>
      </c>
      <c r="I34" s="131" t="n">
        <f aca="false">Unit_Cost!I30</f>
        <v>2.25151044251411E-005</v>
      </c>
      <c r="J34" s="131" t="n">
        <f aca="false">Unit_Cost!J30</f>
        <v>3.29041349380202E-005</v>
      </c>
      <c r="K34" s="131" t="n">
        <f aca="false">Unit_Cost!K30</f>
        <v>6.17102045239773E-005</v>
      </c>
      <c r="L34" s="131" t="n">
        <f aca="false">Unit_Cost!L30</f>
        <v>3.75651621647784E-005</v>
      </c>
      <c r="M34" s="131" t="n">
        <f aca="false">Unit_Cost!M30</f>
        <v>5.19492406889925E-005</v>
      </c>
      <c r="N34" s="131" t="n">
        <f aca="false">Unit_Cost!N30</f>
        <v>8.91138199832235E-005</v>
      </c>
      <c r="O34" s="131" t="n">
        <f aca="false">Unit_Cost!O30</f>
        <v>6.21020346649354E-005</v>
      </c>
      <c r="P34" s="131" t="n">
        <f aca="false">Unit_Cost!P30</f>
        <v>9.54979906450818E-005</v>
      </c>
      <c r="Q34" s="131" t="n">
        <f aca="false">Unit_Cost!Q30</f>
        <v>0.000175308212086821</v>
      </c>
    </row>
    <row r="35" customFormat="false" ht="15" hidden="false" customHeight="true" outlineLevel="0" collapsed="false">
      <c r="A35" s="31" t="s">
        <v>699</v>
      </c>
      <c r="B35" s="31" t="s">
        <v>562</v>
      </c>
      <c r="C35" s="39" t="n">
        <f aca="false">Unit_Cost!C31</f>
        <v>1.80596292199532</v>
      </c>
      <c r="D35" s="39" t="n">
        <f aca="false">Unit_Cost!D31</f>
        <v>2.60464559489802</v>
      </c>
      <c r="E35" s="39" t="n">
        <f aca="false">Unit_Cost!E31</f>
        <v>4.49062081111584</v>
      </c>
      <c r="F35" s="39" t="n">
        <f aca="false">Unit_Cost!F31</f>
        <v>0.431674061993538</v>
      </c>
      <c r="G35" s="39" t="n">
        <f aca="false">Unit_Cost!G31</f>
        <v>0.580779461653743</v>
      </c>
      <c r="H35" s="39" t="n">
        <f aca="false">Unit_Cost!H31</f>
        <v>0.945128909696581</v>
      </c>
      <c r="I35" s="39" t="n">
        <f aca="false">Unit_Cost!I31</f>
        <v>0.381123709118288</v>
      </c>
      <c r="J35" s="39" t="n">
        <f aca="false">Unit_Cost!J31</f>
        <v>0.556983690420006</v>
      </c>
      <c r="K35" s="39" t="n">
        <f aca="false">Unit_Cost!K31</f>
        <v>1.04459751083206</v>
      </c>
      <c r="L35" s="39" t="n">
        <f aca="false">Unit_Cost!L31</f>
        <v>0.233258623605598</v>
      </c>
      <c r="M35" s="39" t="n">
        <f aca="false">Unit_Cost!M31</f>
        <v>0.32257569732607</v>
      </c>
      <c r="N35" s="39" t="n">
        <f aca="false">Unit_Cost!N31</f>
        <v>0.553346925599419</v>
      </c>
      <c r="O35" s="39" t="n">
        <f aca="false">Unit_Cost!O31</f>
        <v>0.177419388787309</v>
      </c>
      <c r="P35" s="39" t="n">
        <f aca="false">Unit_Cost!P31</f>
        <v>0.272828341649056</v>
      </c>
      <c r="Q35" s="39" t="n">
        <f aca="false">Unit_Cost!Q31</f>
        <v>0.50083827374824</v>
      </c>
    </row>
    <row r="36" customFormat="false" ht="15" hidden="false" customHeight="true" outlineLevel="0" collapsed="false">
      <c r="A36" s="31" t="s">
        <v>700</v>
      </c>
      <c r="B36" s="31" t="s">
        <v>562</v>
      </c>
      <c r="C36" s="130" t="n">
        <f aca="false">Unit_Cost!C35</f>
        <v>1.39289767109745</v>
      </c>
      <c r="D36" s="130" t="n">
        <f aca="false">Unit_Cost!D35</f>
        <v>1.93412990194546</v>
      </c>
      <c r="E36" s="130" t="n">
        <f aca="false">Unit_Cost!E35</f>
        <v>3.34082313877619</v>
      </c>
      <c r="F36" s="130" t="n">
        <f aca="false">Unit_Cost!F35</f>
        <v>0.33279234193073</v>
      </c>
      <c r="G36" s="130" t="n">
        <f aca="false">Unit_Cost!G35</f>
        <v>0.430254770771076</v>
      </c>
      <c r="H36" s="130" t="n">
        <f aca="false">Unit_Cost!H35</f>
        <v>0.698520996276446</v>
      </c>
      <c r="I36" s="130" t="n">
        <f aca="false">Unit_Cost!I35</f>
        <v>0.295503657070907</v>
      </c>
      <c r="J36" s="130" t="n">
        <f aca="false">Unit_Cost!J35</f>
        <v>0.415801495522061</v>
      </c>
      <c r="K36" s="130" t="n">
        <f aca="false">Unit_Cost!K35</f>
        <v>0.785957405856976</v>
      </c>
      <c r="L36" s="130" t="n">
        <f aca="false">Unit_Cost!L35</f>
        <v>0.18088370431327</v>
      </c>
      <c r="M36" s="130" t="n">
        <f aca="false">Unit_Cost!M35</f>
        <v>0.240560308156951</v>
      </c>
      <c r="N36" s="130" t="n">
        <f aca="false">Unit_Cost!N35</f>
        <v>0.41444078498112</v>
      </c>
      <c r="O36" s="130" t="n">
        <f aca="false">Unit_Cost!O35</f>
        <v>0.138189990960629</v>
      </c>
      <c r="P36" s="130" t="n">
        <f aca="false">Unit_Cost!P35</f>
        <v>0.204717953026867</v>
      </c>
      <c r="Q36" s="130" t="n">
        <f aca="false">Unit_Cost!Q35</f>
        <v>0.379498597466694</v>
      </c>
    </row>
    <row r="37" customFormat="false" ht="15" hidden="false" customHeight="true" outlineLevel="0" collapsed="false">
      <c r="A37" s="31" t="s">
        <v>701</v>
      </c>
      <c r="B37" s="31" t="s">
        <v>578</v>
      </c>
      <c r="C37" s="132" t="n">
        <f aca="false">INDEX(Perf!$C$113:$Q$113,3*(Unit_Cost!C$6-1)+2)</f>
        <v>0.930481562419</v>
      </c>
      <c r="D37" s="132" t="n">
        <f aca="false">INDEX(Perf!$C$113:$Q$113,3*(Unit_Cost!D$6-1)+2)</f>
        <v>0.930481562419</v>
      </c>
      <c r="E37" s="132" t="n">
        <f aca="false">INDEX(Perf!$C$113:$Q$113,3*(Unit_Cost!E$6-1)+2)</f>
        <v>0.930481562419</v>
      </c>
      <c r="F37" s="132" t="n">
        <f aca="false">INDEX(Perf!$C$113:$Q$113,3*(Unit_Cost!F$6-1)+2)</f>
        <v>4.5738868332734</v>
      </c>
      <c r="G37" s="132" t="n">
        <f aca="false">INDEX(Perf!$C$113:$Q$113,3*(Unit_Cost!G$6-1)+2)</f>
        <v>4.5738868332734</v>
      </c>
      <c r="H37" s="132" t="n">
        <f aca="false">INDEX(Perf!$C$113:$Q$113,3*(Unit_Cost!H$6-1)+2)</f>
        <v>4.5738868332734</v>
      </c>
      <c r="I37" s="132" t="n">
        <f aca="false">INDEX(Perf!$C$113:$Q$113,3*(Unit_Cost!I$6-1)+2)</f>
        <v>6.51027687947674</v>
      </c>
      <c r="J37" s="132" t="n">
        <f aca="false">INDEX(Perf!$C$113:$Q$113,3*(Unit_Cost!J$6-1)+2)</f>
        <v>6.51027687947674</v>
      </c>
      <c r="K37" s="132" t="n">
        <f aca="false">INDEX(Perf!$C$113:$Q$113,3*(Unit_Cost!K$6-1)+2)</f>
        <v>6.51027687947674</v>
      </c>
      <c r="L37" s="132" t="n">
        <f aca="false">INDEX(Perf!$C$113:$Q$113,3*(Unit_Cost!L$6-1)+2)</f>
        <v>10.2604050812279</v>
      </c>
      <c r="M37" s="132" t="n">
        <f aca="false">INDEX(Perf!$C$113:$Q$113,3*(Unit_Cost!M$6-1)+2)</f>
        <v>10.2604050812279</v>
      </c>
      <c r="N37" s="132" t="n">
        <f aca="false">INDEX(Perf!$C$113:$Q$113,3*(Unit_Cost!N$6-1)+2)</f>
        <v>10.2604050812279</v>
      </c>
      <c r="O37" s="132" t="n">
        <f aca="false">INDEX(Perf!$C$113:$Q$113,3*(Unit_Cost!O$6-1)+2)</f>
        <v>16.6694450395103</v>
      </c>
      <c r="P37" s="132" t="n">
        <f aca="false">INDEX(Perf!$C$113:$Q$113,3*(Unit_Cost!P$6-1)+2)</f>
        <v>16.6694450395103</v>
      </c>
      <c r="Q37" s="132" t="n">
        <f aca="false">INDEX(Perf!$C$113:$Q$113,3*(Unit_Cost!Q$6-1)+2)</f>
        <v>16.6694450395103</v>
      </c>
    </row>
    <row r="38" customFormat="false" ht="15" hidden="false" customHeight="true" outlineLevel="0" collapsed="false">
      <c r="A38" s="133" t="s">
        <v>187</v>
      </c>
    </row>
    <row r="39" customFormat="false" ht="15" hidden="false" customHeight="true" outlineLevel="0" collapsed="false">
      <c r="A39" s="30" t="s">
        <v>702</v>
      </c>
      <c r="B39" s="31" t="s">
        <v>281</v>
      </c>
      <c r="C39" s="127" t="n">
        <f aca="false">INDEX(Perf!$C$91:$Q$91,3*(Unit_Cost!C$6-1)+3)</f>
        <v>5576.45089807433</v>
      </c>
      <c r="D39" s="127" t="n">
        <f aca="false">INDEX(Perf!$C$91:$Q$91,3*(Unit_Cost!D$6-1)+3)</f>
        <v>5576.45089807433</v>
      </c>
      <c r="E39" s="127" t="n">
        <f aca="false">INDEX(Perf!$C$91:$Q$91,3*(Unit_Cost!E$6-1)+3)</f>
        <v>5576.45089807433</v>
      </c>
      <c r="F39" s="127" t="n">
        <f aca="false">INDEX(Perf!$C$91:$Q$91,3*(Unit_Cost!F$6-1)+3)</f>
        <v>92195.7410789118</v>
      </c>
      <c r="G39" s="127" t="n">
        <f aca="false">INDEX(Perf!$C$91:$Q$91,3*(Unit_Cost!G$6-1)+3)</f>
        <v>92195.7410789118</v>
      </c>
      <c r="H39" s="127" t="n">
        <f aca="false">INDEX(Perf!$C$91:$Q$91,3*(Unit_Cost!H$6-1)+3)</f>
        <v>92195.7410789118</v>
      </c>
      <c r="I39" s="127" t="n">
        <f aca="false">INDEX(Perf!$C$91:$Q$91,3*(Unit_Cost!I$6-1)+3)</f>
        <v>115025.957282061</v>
      </c>
      <c r="J39" s="127" t="n">
        <f aca="false">INDEX(Perf!$C$91:$Q$91,3*(Unit_Cost!J$6-1)+3)</f>
        <v>115025.957282061</v>
      </c>
      <c r="K39" s="127" t="n">
        <f aca="false">INDEX(Perf!$C$91:$Q$91,3*(Unit_Cost!K$6-1)+3)</f>
        <v>115025.957282061</v>
      </c>
      <c r="L39" s="127" t="n">
        <f aca="false">INDEX(Perf!$C$91:$Q$91,3*(Unit_Cost!L$6-1)+3)</f>
        <v>404208.12106271</v>
      </c>
      <c r="M39" s="127" t="n">
        <f aca="false">INDEX(Perf!$C$91:$Q$91,3*(Unit_Cost!M$6-1)+3)</f>
        <v>404208.12106271</v>
      </c>
      <c r="N39" s="127" t="n">
        <f aca="false">INDEX(Perf!$C$91:$Q$91,3*(Unit_Cost!N$6-1)+3)</f>
        <v>404208.12106271</v>
      </c>
      <c r="O39" s="127" t="n">
        <f aca="false">INDEX(Perf!$C$91:$Q$91,3*(Unit_Cost!O$6-1)+3)</f>
        <v>1835327.74127395</v>
      </c>
      <c r="P39" s="127" t="n">
        <f aca="false">INDEX(Perf!$C$91:$Q$91,3*(Unit_Cost!P$6-1)+3)</f>
        <v>1835327.74127395</v>
      </c>
      <c r="Q39" s="127" t="n">
        <f aca="false">INDEX(Perf!$C$91:$Q$91,3*(Unit_Cost!Q$6-1)+3)</f>
        <v>1835327.74127395</v>
      </c>
    </row>
    <row r="40" customFormat="false" ht="15" hidden="false" customHeight="true" outlineLevel="0" collapsed="false">
      <c r="A40" s="30" t="s">
        <v>703</v>
      </c>
      <c r="B40" s="31" t="s">
        <v>281</v>
      </c>
      <c r="C40" s="127" t="n">
        <f aca="false">INDEX(Perf!$C$92:$Q$92,3*(Unit_Cost!C$6-1)+3)</f>
        <v>619.605655341592</v>
      </c>
      <c r="D40" s="127" t="n">
        <f aca="false">INDEX(Perf!$C$92:$Q$92,3*(Unit_Cost!D$6-1)+3)</f>
        <v>619.605655341592</v>
      </c>
      <c r="E40" s="127" t="n">
        <f aca="false">INDEX(Perf!$C$92:$Q$92,3*(Unit_Cost!E$6-1)+3)</f>
        <v>619.605655341592</v>
      </c>
      <c r="F40" s="127" t="n">
        <f aca="false">INDEX(Perf!$C$92:$Q$92,3*(Unit_Cost!F$6-1)+3)</f>
        <v>10243.9712309902</v>
      </c>
      <c r="G40" s="127" t="n">
        <f aca="false">INDEX(Perf!$C$92:$Q$92,3*(Unit_Cost!G$6-1)+3)</f>
        <v>10243.9712309902</v>
      </c>
      <c r="H40" s="127" t="n">
        <f aca="false">INDEX(Perf!$C$92:$Q$92,3*(Unit_Cost!H$6-1)+3)</f>
        <v>10243.9712309902</v>
      </c>
      <c r="I40" s="127" t="n">
        <f aca="false">INDEX(Perf!$C$92:$Q$92,3*(Unit_Cost!I$6-1)+3)</f>
        <v>12780.661920229</v>
      </c>
      <c r="J40" s="127" t="n">
        <f aca="false">INDEX(Perf!$C$92:$Q$92,3*(Unit_Cost!J$6-1)+3)</f>
        <v>12780.661920229</v>
      </c>
      <c r="K40" s="127" t="n">
        <f aca="false">INDEX(Perf!$C$92:$Q$92,3*(Unit_Cost!K$6-1)+3)</f>
        <v>12780.661920229</v>
      </c>
      <c r="L40" s="127" t="n">
        <f aca="false">INDEX(Perf!$C$92:$Q$92,3*(Unit_Cost!L$6-1)+3)</f>
        <v>44912.0134514122</v>
      </c>
      <c r="M40" s="127" t="n">
        <f aca="false">INDEX(Perf!$C$92:$Q$92,3*(Unit_Cost!M$6-1)+3)</f>
        <v>44912.0134514122</v>
      </c>
      <c r="N40" s="127" t="n">
        <f aca="false">INDEX(Perf!$C$92:$Q$92,3*(Unit_Cost!N$6-1)+3)</f>
        <v>44912.0134514122</v>
      </c>
      <c r="O40" s="127" t="n">
        <f aca="false">INDEX(Perf!$C$92:$Q$92,3*(Unit_Cost!O$6-1)+3)</f>
        <v>203925.304585995</v>
      </c>
      <c r="P40" s="127" t="n">
        <f aca="false">INDEX(Perf!$C$92:$Q$92,3*(Unit_Cost!P$6-1)+3)</f>
        <v>203925.304585995</v>
      </c>
      <c r="Q40" s="127" t="n">
        <f aca="false">INDEX(Perf!$C$92:$Q$92,3*(Unit_Cost!Q$6-1)+3)</f>
        <v>203925.304585995</v>
      </c>
    </row>
    <row r="41" customFormat="false" ht="15" hidden="false" customHeight="true" outlineLevel="0" collapsed="false">
      <c r="A41" s="30" t="s">
        <v>704</v>
      </c>
      <c r="B41" s="31" t="s">
        <v>554</v>
      </c>
      <c r="C41" s="128" t="n">
        <f aca="false">INDEX(Perf!$C$94:$Q$94,3*(Unit_Cost!C$6-1)+3)</f>
        <v>3946099102.9508</v>
      </c>
      <c r="D41" s="128" t="n">
        <f aca="false">INDEX(Perf!$C$94:$Q$94,3*(Unit_Cost!D$6-1)+3)</f>
        <v>3946099102.9508</v>
      </c>
      <c r="E41" s="128" t="n">
        <f aca="false">INDEX(Perf!$C$94:$Q$94,3*(Unit_Cost!E$6-1)+3)</f>
        <v>3946099102.9508</v>
      </c>
      <c r="F41" s="128" t="n">
        <f aca="false">INDEX(Perf!$C$94:$Q$94,3*(Unit_Cost!F$6-1)+3)</f>
        <v>20573363086.3425</v>
      </c>
      <c r="G41" s="128" t="n">
        <f aca="false">INDEX(Perf!$C$94:$Q$94,3*(Unit_Cost!G$6-1)+3)</f>
        <v>20573363086.3425</v>
      </c>
      <c r="H41" s="128" t="n">
        <f aca="false">INDEX(Perf!$C$94:$Q$94,3*(Unit_Cost!H$6-1)+3)</f>
        <v>20573363086.3425</v>
      </c>
      <c r="I41" s="128" t="n">
        <f aca="false">INDEX(Perf!$C$94:$Q$94,3*(Unit_Cost!I$6-1)+3)</f>
        <v>24358384424.1081</v>
      </c>
      <c r="J41" s="128" t="n">
        <f aca="false">INDEX(Perf!$C$94:$Q$94,3*(Unit_Cost!J$6-1)+3)</f>
        <v>24358384424.1081</v>
      </c>
      <c r="K41" s="128" t="n">
        <f aca="false">INDEX(Perf!$C$94:$Q$94,3*(Unit_Cost!K$6-1)+3)</f>
        <v>24358384424.1081</v>
      </c>
      <c r="L41" s="128" t="n">
        <f aca="false">INDEX(Perf!$C$94:$Q$94,3*(Unit_Cost!L$6-1)+3)</f>
        <v>51651278803.2379</v>
      </c>
      <c r="M41" s="128" t="n">
        <f aca="false">INDEX(Perf!$C$94:$Q$94,3*(Unit_Cost!M$6-1)+3)</f>
        <v>51651278803.2379</v>
      </c>
      <c r="N41" s="128" t="n">
        <f aca="false">INDEX(Perf!$C$94:$Q$94,3*(Unit_Cost!N$6-1)+3)</f>
        <v>51651278803.2379</v>
      </c>
      <c r="O41" s="128" t="n">
        <f aca="false">INDEX(Perf!$C$94:$Q$94,3*(Unit_Cost!O$6-1)+3)</f>
        <v>88728347029.634</v>
      </c>
      <c r="P41" s="128" t="n">
        <f aca="false">INDEX(Perf!$C$94:$Q$94,3*(Unit_Cost!P$6-1)+3)</f>
        <v>88728347029.634</v>
      </c>
      <c r="Q41" s="128" t="n">
        <f aca="false">INDEX(Perf!$C$94:$Q$94,3*(Unit_Cost!Q$6-1)+3)</f>
        <v>88728347029.634</v>
      </c>
    </row>
    <row r="42" customFormat="false" ht="15" hidden="false" customHeight="true" outlineLevel="0" collapsed="false">
      <c r="A42" s="31" t="s">
        <v>705</v>
      </c>
      <c r="B42" s="31" t="s">
        <v>49</v>
      </c>
      <c r="C42" s="129" t="n">
        <f aca="false">INDEX(Perf!$C$116:$Q$116,3*(Unit_Cost!C$6-1)+3)</f>
        <v>0.0763988655146992</v>
      </c>
      <c r="D42" s="129" t="n">
        <f aca="false">INDEX(Perf!$C$116:$Q$116,3*(Unit_Cost!D$6-1)+3)</f>
        <v>0.0763988655146992</v>
      </c>
      <c r="E42" s="129" t="n">
        <f aca="false">INDEX(Perf!$C$116:$Q$116,3*(Unit_Cost!E$6-1)+3)</f>
        <v>0.0763988655146992</v>
      </c>
      <c r="F42" s="129" t="n">
        <f aca="false">INDEX(Perf!$C$116:$Q$116,3*(Unit_Cost!F$6-1)+3)</f>
        <v>0.398312753585741</v>
      </c>
      <c r="G42" s="129" t="n">
        <f aca="false">INDEX(Perf!$C$116:$Q$116,3*(Unit_Cost!G$6-1)+3)</f>
        <v>0.398312753585741</v>
      </c>
      <c r="H42" s="129" t="n">
        <f aca="false">INDEX(Perf!$C$116:$Q$116,3*(Unit_Cost!H$6-1)+3)</f>
        <v>0.398312753585741</v>
      </c>
      <c r="I42" s="129" t="n">
        <f aca="false">INDEX(Perf!$C$116:$Q$116,3*(Unit_Cost!I$6-1)+3)</f>
        <v>0.471593056135159</v>
      </c>
      <c r="J42" s="129" t="n">
        <f aca="false">INDEX(Perf!$C$116:$Q$116,3*(Unit_Cost!J$6-1)+3)</f>
        <v>0.471593056135159</v>
      </c>
      <c r="K42" s="129" t="n">
        <f aca="false">INDEX(Perf!$C$116:$Q$116,3*(Unit_Cost!K$6-1)+3)</f>
        <v>0.471593056135159</v>
      </c>
      <c r="L42" s="129" t="n">
        <f aca="false">INDEX(Perf!$C$116:$Q$116,3*(Unit_Cost!L$6-1)+3)</f>
        <v>1</v>
      </c>
      <c r="M42" s="129" t="n">
        <f aca="false">INDEX(Perf!$C$116:$Q$116,3*(Unit_Cost!M$6-1)+3)</f>
        <v>1</v>
      </c>
      <c r="N42" s="129" t="n">
        <f aca="false">INDEX(Perf!$C$116:$Q$116,3*(Unit_Cost!N$6-1)+3)</f>
        <v>1</v>
      </c>
      <c r="O42" s="129" t="n">
        <f aca="false">INDEX(Perf!$C$116:$Q$116,3*(Unit_Cost!O$6-1)+3)</f>
        <v>1.71783446771258</v>
      </c>
      <c r="P42" s="129" t="n">
        <f aca="false">INDEX(Perf!$C$116:$Q$116,3*(Unit_Cost!P$6-1)+3)</f>
        <v>1.71783446771258</v>
      </c>
      <c r="Q42" s="129" t="n">
        <f aca="false">INDEX(Perf!$C$116:$Q$116,3*(Unit_Cost!Q$6-1)+3)</f>
        <v>1.71783446771258</v>
      </c>
    </row>
    <row r="43" customFormat="false" ht="15" hidden="false" customHeight="true" outlineLevel="0" collapsed="false">
      <c r="A43" s="30" t="s">
        <v>706</v>
      </c>
      <c r="B43" s="31" t="s">
        <v>562</v>
      </c>
      <c r="C43" s="130" t="n">
        <f aca="false">Unit_Cost!C42</f>
        <v>0.458985762161673</v>
      </c>
      <c r="D43" s="130" t="n">
        <f aca="false">Unit_Cost!D42</f>
        <v>0.661971089757736</v>
      </c>
      <c r="E43" s="130" t="n">
        <f aca="false">Unit_Cost!E42</f>
        <v>1.14129198914661</v>
      </c>
      <c r="F43" s="130" t="n">
        <f aca="false">Unit_Cost!F42</f>
        <v>0.062962848053314</v>
      </c>
      <c r="G43" s="130" t="n">
        <f aca="false">Unit_Cost!G42</f>
        <v>0.0847109711149092</v>
      </c>
      <c r="H43" s="130" t="n">
        <f aca="false">Unit_Cost!H42</f>
        <v>0.137854027312188</v>
      </c>
      <c r="I43" s="130" t="n">
        <f aca="false">Unit_Cost!I42</f>
        <v>0.0555897059830512</v>
      </c>
      <c r="J43" s="130" t="n">
        <f aca="false">Unit_Cost!J42</f>
        <v>0.0812401822479987</v>
      </c>
      <c r="K43" s="130" t="n">
        <f aca="false">Unit_Cost!K42</f>
        <v>0.152362256948331</v>
      </c>
      <c r="L43" s="130" t="n">
        <f aca="false">Unit_Cost!L42</f>
        <v>0.0397492459255272</v>
      </c>
      <c r="M43" s="130" t="n">
        <f aca="false">Unit_Cost!M42</f>
        <v>0.054969632095114</v>
      </c>
      <c r="N43" s="130" t="n">
        <f aca="false">Unit_Cost!N42</f>
        <v>0.0942950047796553</v>
      </c>
      <c r="O43" s="130" t="n">
        <f aca="false">Unit_Cost!O42</f>
        <v>0.0315060994633634</v>
      </c>
      <c r="P43" s="130" t="n">
        <f aca="false">Unit_Cost!P42</f>
        <v>0.0484488021696676</v>
      </c>
      <c r="Q43" s="130" t="n">
        <f aca="false">Unit_Cost!Q42</f>
        <v>0.0889387601638498</v>
      </c>
    </row>
    <row r="44" customFormat="false" ht="15" hidden="false" customHeight="true" outlineLevel="0" collapsed="false">
      <c r="A44" s="30" t="s">
        <v>707</v>
      </c>
      <c r="B44" s="31" t="s">
        <v>562</v>
      </c>
      <c r="C44" s="131" t="n">
        <f aca="false">Unit_Cost!C43</f>
        <v>0.000178058670640044</v>
      </c>
      <c r="D44" s="131" t="n">
        <f aca="false">Unit_Cost!D43</f>
        <v>0.000256804681019464</v>
      </c>
      <c r="E44" s="131" t="n">
        <f aca="false">Unit_Cost!E43</f>
        <v>0.000442752153013402</v>
      </c>
      <c r="F44" s="131" t="n">
        <f aca="false">Unit_Cost!F43</f>
        <v>0.00024697442662886</v>
      </c>
      <c r="G44" s="131" t="n">
        <f aca="false">Unit_Cost!G43</f>
        <v>0.000332282356455085</v>
      </c>
      <c r="H44" s="131" t="n">
        <f aca="false">Unit_Cost!H43</f>
        <v>0.000540738235428579</v>
      </c>
      <c r="I44" s="131" t="n">
        <f aca="false">Unit_Cost!I43</f>
        <v>0.000327079448899906</v>
      </c>
      <c r="J44" s="131" t="n">
        <f aca="false">Unit_Cost!J43</f>
        <v>0.000478002061142488</v>
      </c>
      <c r="K44" s="131" t="n">
        <f aca="false">Unit_Cost!K43</f>
        <v>0.00089647106698136</v>
      </c>
      <c r="L44" s="131" t="n">
        <f aca="false">Unit_Cost!L43</f>
        <v>0.000545713326782153</v>
      </c>
      <c r="M44" s="131" t="n">
        <f aca="false">Unit_Cost!M43</f>
        <v>0.000754672449857747</v>
      </c>
      <c r="N44" s="131" t="n">
        <f aca="false">Unit_Cost!N43</f>
        <v>0.00129456646432123</v>
      </c>
      <c r="O44" s="131" t="n">
        <f aca="false">Unit_Cost!O43</f>
        <v>0.000902163227414951</v>
      </c>
      <c r="P44" s="131" t="n">
        <f aca="false">Unit_Cost!P43</f>
        <v>0.00138731002803448</v>
      </c>
      <c r="Q44" s="131" t="n">
        <f aca="false">Unit_Cost!Q43</f>
        <v>0.00254672207218181</v>
      </c>
    </row>
    <row r="45" customFormat="false" ht="15" hidden="false" customHeight="true" outlineLevel="0" collapsed="false">
      <c r="A45" s="31" t="s">
        <v>708</v>
      </c>
      <c r="B45" s="31" t="s">
        <v>562</v>
      </c>
      <c r="C45" s="39" t="n">
        <f aca="false">Unit_Cost!C44</f>
        <v>12.2933464399044</v>
      </c>
      <c r="D45" s="39" t="n">
        <f aca="false">Unit_Cost!D44</f>
        <v>17.7300487519838</v>
      </c>
      <c r="E45" s="39" t="n">
        <f aca="false">Unit_Cost!E44</f>
        <v>30.5680458269312</v>
      </c>
      <c r="F45" s="39" t="n">
        <f aca="false">Unit_Cost!F44</f>
        <v>2.50995301687188</v>
      </c>
      <c r="G45" s="39" t="n">
        <f aca="false">Unit_Cost!G44</f>
        <v>3.37692089995637</v>
      </c>
      <c r="H45" s="39" t="n">
        <f aca="false">Unit_Cost!H44</f>
        <v>5.49541741579386</v>
      </c>
      <c r="I45" s="39" t="n">
        <f aca="false">Unit_Cost!I44</f>
        <v>2.75425055641743</v>
      </c>
      <c r="J45" s="39" t="n">
        <f aca="false">Unit_Cost!J44</f>
        <v>4.02513043023155</v>
      </c>
      <c r="K45" s="39" t="n">
        <f aca="false">Unit_Cost!K44</f>
        <v>7.54894856081632</v>
      </c>
      <c r="L45" s="39" t="n">
        <f aca="false">Unit_Cost!L44</f>
        <v>1.20084610690165</v>
      </c>
      <c r="M45" s="39" t="n">
        <f aca="false">Unit_Cost!M44</f>
        <v>1.66066216257053</v>
      </c>
      <c r="N45" s="39" t="n">
        <f aca="false">Unit_Cost!N44</f>
        <v>2.84870283079263</v>
      </c>
      <c r="O45" s="39" t="n">
        <f aca="false">Unit_Cost!O44</f>
        <v>0.853948360024336</v>
      </c>
      <c r="P45" s="39" t="n">
        <f aca="false">Unit_Cost!P44</f>
        <v>1.31316716009359</v>
      </c>
      <c r="Q45" s="39" t="n">
        <f aca="false">Unit_Cost!Q44</f>
        <v>2.4106160292179</v>
      </c>
    </row>
    <row r="46" customFormat="false" ht="15" hidden="false" customHeight="true" outlineLevel="0" collapsed="false">
      <c r="A46" s="31" t="s">
        <v>709</v>
      </c>
      <c r="B46" s="31" t="s">
        <v>562</v>
      </c>
      <c r="C46" s="130" t="n">
        <f aca="false">Unit_Cost!C48</f>
        <v>9.48157540644197</v>
      </c>
      <c r="D46" s="130" t="n">
        <f aca="false">Unit_Cost!D48</f>
        <v>13.1657902024499</v>
      </c>
      <c r="E46" s="130" t="n">
        <f aca="false">Unit_Cost!E48</f>
        <v>22.7412732228457</v>
      </c>
      <c r="F46" s="130" t="n">
        <f aca="false">Unit_Cost!F48</f>
        <v>1.9350088786048</v>
      </c>
      <c r="G46" s="130" t="n">
        <f aca="false">Unit_Cost!G48</f>
        <v>2.50170060006188</v>
      </c>
      <c r="H46" s="130" t="n">
        <f aca="false">Unit_Cost!H48</f>
        <v>4.06152473895609</v>
      </c>
      <c r="I46" s="130" t="n">
        <f aca="false">Unit_Cost!I48</f>
        <v>2.13550375491945</v>
      </c>
      <c r="J46" s="130" t="n">
        <f aca="false">Unit_Cost!J48</f>
        <v>3.00485504575471</v>
      </c>
      <c r="K46" s="130" t="n">
        <f aca="false">Unit_Cost!K48</f>
        <v>5.6798450755267</v>
      </c>
      <c r="L46" s="130" t="n">
        <f aca="false">Unit_Cost!L48</f>
        <v>0.931213126310015</v>
      </c>
      <c r="M46" s="130" t="n">
        <f aca="false">Unit_Cost!M48</f>
        <v>1.23843614036657</v>
      </c>
      <c r="N46" s="130" t="n">
        <f aca="false">Unit_Cost!N48</f>
        <v>2.13359572946523</v>
      </c>
      <c r="O46" s="130" t="n">
        <f aca="false">Unit_Cost!O48</f>
        <v>0.665130891044125</v>
      </c>
      <c r="P46" s="130" t="n">
        <f aca="false">Unit_Cost!P48</f>
        <v>0.985340787440122</v>
      </c>
      <c r="Q46" s="130" t="n">
        <f aca="false">Unit_Cost!Q48</f>
        <v>1.82658844195838</v>
      </c>
    </row>
    <row r="47" customFormat="false" ht="15" hidden="false" customHeight="true" outlineLevel="0" collapsed="false">
      <c r="A47" s="31" t="s">
        <v>710</v>
      </c>
      <c r="B47" s="31" t="s">
        <v>578</v>
      </c>
      <c r="C47" s="132" t="n">
        <f aca="false">INDEX(Perf!$C$113:$Q$113,3*(Unit_Cost!C$6-1)+3)</f>
        <v>0.17001374689251</v>
      </c>
      <c r="D47" s="132" t="n">
        <f aca="false">INDEX(Perf!$C$113:$Q$113,3*(Unit_Cost!D$6-1)+3)</f>
        <v>0.17001374689251</v>
      </c>
      <c r="E47" s="132" t="n">
        <f aca="false">INDEX(Perf!$C$113:$Q$113,3*(Unit_Cost!E$6-1)+3)</f>
        <v>0.17001374689251</v>
      </c>
      <c r="F47" s="132" t="n">
        <f aca="false">INDEX(Perf!$C$113:$Q$113,3*(Unit_Cost!F$6-1)+3)</f>
        <v>0.886497510374152</v>
      </c>
      <c r="G47" s="132" t="n">
        <f aca="false">INDEX(Perf!$C$113:$Q$113,3*(Unit_Cost!G$6-1)+3)</f>
        <v>0.886497510374152</v>
      </c>
      <c r="H47" s="132" t="n">
        <f aca="false">INDEX(Perf!$C$113:$Q$113,3*(Unit_Cost!H$6-1)+3)</f>
        <v>0.886497510374152</v>
      </c>
      <c r="I47" s="132" t="n">
        <f aca="false">INDEX(Perf!$C$113:$Q$113,3*(Unit_Cost!I$6-1)+3)</f>
        <v>1.04950690950785</v>
      </c>
      <c r="J47" s="132" t="n">
        <f aca="false">INDEX(Perf!$C$113:$Q$113,3*(Unit_Cost!J$6-1)+3)</f>
        <v>1.04950690950785</v>
      </c>
      <c r="K47" s="132" t="n">
        <f aca="false">INDEX(Perf!$C$113:$Q$113,3*(Unit_Cost!K$6-1)+3)</f>
        <v>1.04950690950785</v>
      </c>
      <c r="L47" s="132" t="n">
        <f aca="false">INDEX(Perf!$C$113:$Q$113,3*(Unit_Cost!L$6-1)+3)</f>
        <v>2.22581564461845</v>
      </c>
      <c r="M47" s="132" t="n">
        <f aca="false">INDEX(Perf!$C$113:$Q$113,3*(Unit_Cost!M$6-1)+3)</f>
        <v>2.22581564461845</v>
      </c>
      <c r="N47" s="132" t="n">
        <f aca="false">INDEX(Perf!$C$113:$Q$113,3*(Unit_Cost!N$6-1)+3)</f>
        <v>2.22581564461845</v>
      </c>
      <c r="O47" s="132" t="n">
        <f aca="false">INDEX(Perf!$C$113:$Q$113,3*(Unit_Cost!O$6-1)+3)</f>
        <v>3.8235994609874</v>
      </c>
      <c r="P47" s="132" t="n">
        <f aca="false">INDEX(Perf!$C$113:$Q$113,3*(Unit_Cost!P$6-1)+3)</f>
        <v>3.8235994609874</v>
      </c>
      <c r="Q47" s="132" t="n">
        <f aca="false">INDEX(Perf!$C$113:$Q$113,3*(Unit_Cost!Q$6-1)+3)</f>
        <v>3.8235994609874</v>
      </c>
    </row>
    <row r="48" customFormat="false" ht="15" hidden="false" customHeight="true" outlineLevel="0" collapsed="false">
      <c r="A48" s="30" t="s">
        <v>711</v>
      </c>
      <c r="B48" s="31" t="s">
        <v>45</v>
      </c>
      <c r="C48" s="134" t="n">
        <f aca="false">Serving!$C$17</f>
        <v>0.6</v>
      </c>
    </row>
    <row r="50" customFormat="false" ht="15" hidden="false" customHeight="true" outlineLevel="0" collapsed="false">
      <c r="A50" s="30" t="s">
        <v>712</v>
      </c>
      <c r="C50" s="38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1" t="s">
        <v>714</v>
      </c>
    </row>
    <row r="2" customFormat="false" ht="15" hidden="false" customHeight="false" outlineLevel="0" collapsed="false">
      <c r="A2" s="54" t="s">
        <v>715</v>
      </c>
    </row>
    <row r="4" customFormat="false" ht="15" hidden="false" customHeight="false" outlineLevel="0" collapsed="false">
      <c r="A4" s="9" t="s">
        <v>716</v>
      </c>
    </row>
    <row r="5" customFormat="false" ht="15" hidden="false" customHeight="false" outlineLevel="0" collapsed="false">
      <c r="A5" s="45" t="s">
        <v>717</v>
      </c>
      <c r="B5" s="45" t="s">
        <v>45</v>
      </c>
      <c r="C5" s="47" t="n">
        <v>0.6</v>
      </c>
      <c r="F5" s="42" t="s">
        <v>718</v>
      </c>
    </row>
    <row r="6" customFormat="false" ht="15" hidden="false" customHeight="false" outlineLevel="0" collapsed="false">
      <c r="A6" s="45" t="s">
        <v>719</v>
      </c>
      <c r="B6" s="45" t="s">
        <v>720</v>
      </c>
      <c r="C6" s="48" t="n">
        <v>10</v>
      </c>
      <c r="F6" s="42" t="s">
        <v>721</v>
      </c>
    </row>
    <row r="7" customFormat="false" ht="15" hidden="false" customHeight="false" outlineLevel="0" collapsed="false">
      <c r="A7" s="45" t="s">
        <v>722</v>
      </c>
      <c r="B7" s="45" t="s">
        <v>720</v>
      </c>
      <c r="C7" s="48" t="n">
        <v>40</v>
      </c>
      <c r="F7" s="42" t="s">
        <v>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1" t="s">
        <v>724</v>
      </c>
    </row>
    <row r="2" customFormat="false" ht="15" hidden="false" customHeight="false" outlineLevel="0" collapsed="false">
      <c r="A2" s="54" t="s">
        <v>725</v>
      </c>
    </row>
    <row r="4" customFormat="false" ht="30" hidden="false" customHeight="true" outlineLevel="0" collapsed="false">
      <c r="A4" s="64" t="s">
        <v>726</v>
      </c>
      <c r="B4" s="64" t="s">
        <v>727</v>
      </c>
      <c r="C4" s="64" t="s">
        <v>728</v>
      </c>
      <c r="D4" s="64" t="s">
        <v>729</v>
      </c>
      <c r="E4" s="64" t="s">
        <v>730</v>
      </c>
      <c r="F4" s="64" t="s">
        <v>731</v>
      </c>
      <c r="G4" s="64" t="s">
        <v>732</v>
      </c>
      <c r="H4" s="64" t="s">
        <v>733</v>
      </c>
      <c r="I4" s="64" t="s">
        <v>734</v>
      </c>
      <c r="J4" s="64" t="s">
        <v>735</v>
      </c>
      <c r="K4" s="64" t="s">
        <v>33</v>
      </c>
      <c r="L4" s="64" t="s">
        <v>247</v>
      </c>
    </row>
    <row r="5" customFormat="false" ht="15" hidden="false" customHeight="false" outlineLevel="0" collapsed="false">
      <c r="A5" s="45" t="s">
        <v>736</v>
      </c>
      <c r="B5" s="59" t="n">
        <v>0.5</v>
      </c>
      <c r="C5" s="59" t="n">
        <v>0.7</v>
      </c>
      <c r="D5" s="59" t="n">
        <v>1</v>
      </c>
      <c r="E5" s="59" t="n">
        <v>0.8</v>
      </c>
      <c r="F5" s="59" t="n">
        <v>0.9</v>
      </c>
      <c r="G5" s="59" t="n">
        <v>1</v>
      </c>
      <c r="H5" s="88" t="n">
        <f aca="false">F5/C5</f>
        <v>1.28571428571429</v>
      </c>
      <c r="I5" s="57" t="n">
        <f aca="false">E5/D5</f>
        <v>0.8</v>
      </c>
      <c r="J5" s="57" t="n">
        <f aca="false">G5/B5</f>
        <v>2</v>
      </c>
      <c r="K5" s="42" t="s">
        <v>46</v>
      </c>
      <c r="L5" s="42" t="s">
        <v>737</v>
      </c>
    </row>
    <row r="6" customFormat="false" ht="15" hidden="false" customHeight="false" outlineLevel="0" collapsed="false">
      <c r="A6" s="45" t="s">
        <v>738</v>
      </c>
      <c r="B6" s="59" t="n">
        <v>0.6</v>
      </c>
      <c r="C6" s="59" t="n">
        <v>0.8</v>
      </c>
      <c r="D6" s="59" t="n">
        <v>1.1</v>
      </c>
      <c r="E6" s="59" t="n">
        <v>0.7</v>
      </c>
      <c r="F6" s="59" t="n">
        <v>0.8</v>
      </c>
      <c r="G6" s="59" t="n">
        <v>1</v>
      </c>
      <c r="H6" s="88" t="n">
        <f aca="false">F6/C6</f>
        <v>1</v>
      </c>
      <c r="I6" s="57" t="n">
        <f aca="false">E6/D6</f>
        <v>0.636363636363636</v>
      </c>
      <c r="J6" s="57" t="n">
        <f aca="false">G6/B6</f>
        <v>1.66666666666667</v>
      </c>
      <c r="K6" s="42" t="s">
        <v>46</v>
      </c>
      <c r="L6" s="54" t="s">
        <v>739</v>
      </c>
    </row>
    <row r="7" customFormat="false" ht="15" hidden="false" customHeight="false" outlineLevel="0" collapsed="false">
      <c r="A7" s="45" t="s">
        <v>740</v>
      </c>
      <c r="B7" s="59" t="n">
        <v>0.3</v>
      </c>
      <c r="C7" s="59" t="n">
        <v>0.5</v>
      </c>
      <c r="D7" s="59" t="n">
        <v>0.8</v>
      </c>
      <c r="E7" s="59" t="n">
        <v>0.6</v>
      </c>
      <c r="F7" s="59" t="n">
        <v>0.7</v>
      </c>
      <c r="G7" s="59" t="n">
        <v>0.9</v>
      </c>
      <c r="H7" s="88" t="n">
        <f aca="false">F7/C7</f>
        <v>1.4</v>
      </c>
      <c r="I7" s="57" t="n">
        <f aca="false">E7/D7</f>
        <v>0.75</v>
      </c>
      <c r="J7" s="57" t="n">
        <f aca="false">G7/B7</f>
        <v>3</v>
      </c>
      <c r="K7" s="42" t="s">
        <v>46</v>
      </c>
      <c r="L7" s="42" t="s">
        <v>741</v>
      </c>
    </row>
    <row r="8" customFormat="false" ht="15" hidden="false" customHeight="false" outlineLevel="0" collapsed="false">
      <c r="A8" s="45" t="s">
        <v>742</v>
      </c>
      <c r="B8" s="59" t="n">
        <v>0.2</v>
      </c>
      <c r="C8" s="59" t="n">
        <v>0.4</v>
      </c>
      <c r="D8" s="59" t="n">
        <v>0.8</v>
      </c>
      <c r="E8" s="59" t="n">
        <v>0.8</v>
      </c>
      <c r="F8" s="59" t="n">
        <v>1</v>
      </c>
      <c r="G8" s="59" t="n">
        <v>1.2</v>
      </c>
      <c r="H8" s="88" t="n">
        <f aca="false">F8/C8</f>
        <v>2.5</v>
      </c>
      <c r="I8" s="57" t="n">
        <f aca="false">E8/D8</f>
        <v>1</v>
      </c>
      <c r="J8" s="57" t="n">
        <f aca="false">G8/B8</f>
        <v>6</v>
      </c>
      <c r="K8" s="42" t="s">
        <v>46</v>
      </c>
      <c r="L8" s="54" t="s">
        <v>743</v>
      </c>
    </row>
    <row r="9" customFormat="false" ht="15" hidden="false" customHeight="false" outlineLevel="0" collapsed="false">
      <c r="A9" s="45" t="s">
        <v>744</v>
      </c>
      <c r="B9" s="59" t="n">
        <v>0.4</v>
      </c>
      <c r="C9" s="59" t="n">
        <v>0.6</v>
      </c>
      <c r="D9" s="59" t="n">
        <v>0.9</v>
      </c>
      <c r="E9" s="59" t="n">
        <v>0.7</v>
      </c>
      <c r="F9" s="59" t="n">
        <v>0.8</v>
      </c>
      <c r="G9" s="59" t="n">
        <v>1</v>
      </c>
      <c r="H9" s="88" t="n">
        <f aca="false">F9/C9</f>
        <v>1.33333333333333</v>
      </c>
      <c r="I9" s="57" t="n">
        <f aca="false">E9/D9</f>
        <v>0.777777777777778</v>
      </c>
      <c r="J9" s="57" t="n">
        <f aca="false">G9/B9</f>
        <v>2.5</v>
      </c>
      <c r="K9" s="42" t="s">
        <v>46</v>
      </c>
      <c r="L9" s="54" t="s">
        <v>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746</v>
      </c>
    </row>
    <row r="2" customFormat="false" ht="15" hidden="false" customHeight="true" outlineLevel="0" collapsed="false">
      <c r="A2" s="10" t="s">
        <v>747</v>
      </c>
    </row>
    <row r="4" customFormat="false" ht="30" hidden="false" customHeight="true" outlineLevel="0" collapsed="false">
      <c r="A4" s="19" t="s">
        <v>584</v>
      </c>
      <c r="C4" s="135" t="s">
        <v>31</v>
      </c>
      <c r="D4" s="135" t="s">
        <v>748</v>
      </c>
      <c r="E4" s="135" t="s">
        <v>749</v>
      </c>
      <c r="F4" s="135" t="s">
        <v>750</v>
      </c>
      <c r="G4" s="135" t="s">
        <v>751</v>
      </c>
      <c r="H4" s="135" t="s">
        <v>752</v>
      </c>
      <c r="I4" s="135" t="s">
        <v>753</v>
      </c>
      <c r="J4" s="135" t="s">
        <v>754</v>
      </c>
      <c r="K4" s="135" t="s">
        <v>755</v>
      </c>
      <c r="L4" s="135" t="s">
        <v>756</v>
      </c>
      <c r="M4" s="135" t="s">
        <v>757</v>
      </c>
      <c r="N4" s="136" t="s">
        <v>758</v>
      </c>
      <c r="O4" s="136" t="s">
        <v>759</v>
      </c>
      <c r="P4" s="136" t="s">
        <v>760</v>
      </c>
      <c r="Q4" s="136" t="s">
        <v>761</v>
      </c>
      <c r="R4" s="135" t="s">
        <v>762</v>
      </c>
      <c r="S4" s="135" t="s">
        <v>763</v>
      </c>
      <c r="T4" s="136" t="s">
        <v>764</v>
      </c>
      <c r="U4" s="136" t="s">
        <v>765</v>
      </c>
      <c r="V4" s="135" t="s">
        <v>766</v>
      </c>
      <c r="W4" s="135" t="s">
        <v>767</v>
      </c>
      <c r="X4" s="135" t="s">
        <v>768</v>
      </c>
      <c r="Y4" s="135" t="s">
        <v>769</v>
      </c>
    </row>
    <row r="6" customFormat="false" ht="15" hidden="false" customHeight="true" outlineLevel="0" collapsed="false">
      <c r="A6" s="24" t="s">
        <v>623</v>
      </c>
      <c r="B6" s="13"/>
      <c r="C6" s="13"/>
    </row>
    <row r="7" customFormat="false" ht="15" hidden="false" customHeight="true" outlineLevel="0" collapsed="false">
      <c r="A7" s="14" t="s">
        <v>624</v>
      </c>
      <c r="B7" s="15" t="s">
        <v>625</v>
      </c>
      <c r="C7" s="16" t="n">
        <f aca="false">Inputs!$E$5*1000</f>
        <v>1000</v>
      </c>
      <c r="D7" s="16" t="n">
        <f aca="false">Inputs!$E$5*1000</f>
        <v>1000</v>
      </c>
      <c r="E7" s="16" t="n">
        <f aca="false">Inputs!$E$5*1000</f>
        <v>1000</v>
      </c>
      <c r="F7" s="16" t="n">
        <f aca="false">Inputs!$E$5*1000</f>
        <v>1000</v>
      </c>
      <c r="G7" s="16" t="n">
        <f aca="false">Inputs!$E$5*1000</f>
        <v>1000</v>
      </c>
      <c r="H7" s="16" t="n">
        <f aca="false">Inputs!$E$5*1000</f>
        <v>1000</v>
      </c>
      <c r="I7" s="16" t="n">
        <f aca="false">Inputs!$E$5*1000</f>
        <v>1000</v>
      </c>
      <c r="J7" s="16" t="n">
        <f aca="false">Inputs!$E$5*1000</f>
        <v>1000</v>
      </c>
      <c r="K7" s="16" t="n">
        <f aca="false">Inputs!$E$5*1000</f>
        <v>1000</v>
      </c>
      <c r="L7" s="16" t="n">
        <f aca="false">Inputs!$E$5*1000</f>
        <v>1000</v>
      </c>
      <c r="M7" s="16" t="n">
        <f aca="false">Inputs!$E$5*1000</f>
        <v>1000</v>
      </c>
      <c r="N7" s="16" t="n">
        <f aca="false">Inputs!$E$5*1000</f>
        <v>1000</v>
      </c>
      <c r="O7" s="16" t="n">
        <f aca="false">Inputs!$E$5*1000</f>
        <v>1000</v>
      </c>
      <c r="P7" s="16" t="n">
        <f aca="false">Inputs!$E$5*1000</f>
        <v>1000</v>
      </c>
      <c r="Q7" s="16" t="n">
        <f aca="false">Inputs!$E$5*1000</f>
        <v>1000</v>
      </c>
      <c r="R7" s="16" t="n">
        <f aca="false">Inputs!$E$5*1000</f>
        <v>1000</v>
      </c>
      <c r="S7" s="16" t="n">
        <f aca="false">Inputs!$E$5*1000</f>
        <v>1000</v>
      </c>
      <c r="T7" s="16" t="n">
        <f aca="false">Inputs!$E$5*1000</f>
        <v>1000</v>
      </c>
      <c r="U7" s="16" t="n">
        <f aca="false">Inputs!$E$5*1000</f>
        <v>1000</v>
      </c>
      <c r="V7" s="16" t="n">
        <f aca="false">Inputs!$E$5*1000</f>
        <v>1000</v>
      </c>
      <c r="W7" s="16" t="n">
        <f aca="false">Inputs!$E$5*1000</f>
        <v>1000</v>
      </c>
      <c r="X7" s="16" t="n">
        <f aca="false">Inputs!$E$5*1000</f>
        <v>1000</v>
      </c>
      <c r="Y7" s="16" t="n">
        <f aca="false">Inputs!$E$5*1000</f>
        <v>1000</v>
      </c>
    </row>
    <row r="8" customFormat="false" ht="15" hidden="false" customHeight="true" outlineLevel="0" collapsed="false">
      <c r="A8" s="19" t="s">
        <v>44</v>
      </c>
      <c r="B8" s="15" t="s">
        <v>45</v>
      </c>
      <c r="C8" s="109" t="n">
        <f aca="false">Inputs!$E$8</f>
        <v>0.08</v>
      </c>
      <c r="D8" s="109" t="n">
        <f aca="false">Inputs!$E$8</f>
        <v>0.08</v>
      </c>
      <c r="E8" s="109" t="n">
        <f aca="false">Inputs!$E$8</f>
        <v>0.08</v>
      </c>
      <c r="F8" s="109" t="n">
        <f aca="false">Inputs!$E$8</f>
        <v>0.08</v>
      </c>
      <c r="G8" s="109" t="n">
        <f aca="false">Inputs!$E$8</f>
        <v>0.08</v>
      </c>
      <c r="H8" s="109" t="n">
        <f aca="false">Inputs!$E$8</f>
        <v>0.08</v>
      </c>
      <c r="I8" s="109" t="n">
        <f aca="false">Inputs!$E$8</f>
        <v>0.08</v>
      </c>
      <c r="J8" s="109" t="n">
        <f aca="false">Inputs!$E$8</f>
        <v>0.08</v>
      </c>
      <c r="K8" s="109" t="n">
        <f aca="false">Inputs!$E$8</f>
        <v>0.08</v>
      </c>
      <c r="L8" s="109" t="n">
        <f aca="false">Inputs!$E$8</f>
        <v>0.08</v>
      </c>
      <c r="M8" s="109" t="n">
        <f aca="false">Inputs!$E$8</f>
        <v>0.08</v>
      </c>
      <c r="N8" s="109" t="n">
        <f aca="false">Inputs!$E$8</f>
        <v>0.08</v>
      </c>
      <c r="O8" s="109" t="n">
        <f aca="false">Inputs!$E$8</f>
        <v>0.08</v>
      </c>
      <c r="P8" s="109" t="n">
        <f aca="false">Inputs!$E$8</f>
        <v>0.08</v>
      </c>
      <c r="Q8" s="109" t="n">
        <f aca="false">Inputs!$E$8</f>
        <v>0.08</v>
      </c>
      <c r="R8" s="109" t="n">
        <f aca="false">Inputs!$E$8</f>
        <v>0.08</v>
      </c>
      <c r="S8" s="109" t="n">
        <f aca="false">Inputs!$E$8</f>
        <v>0.08</v>
      </c>
      <c r="T8" s="109" t="n">
        <f aca="false">Inputs!$E$8</f>
        <v>0.08</v>
      </c>
      <c r="U8" s="109" t="n">
        <f aca="false">Inputs!$E$8</f>
        <v>0.08</v>
      </c>
      <c r="V8" s="109" t="n">
        <f aca="false">Inputs!$E$8</f>
        <v>0.08</v>
      </c>
      <c r="W8" s="109" t="n">
        <f aca="false">Inputs!$E$8</f>
        <v>0.08</v>
      </c>
      <c r="X8" s="21" t="n">
        <f aca="false">0.05</f>
        <v>0.05</v>
      </c>
      <c r="Y8" s="21" t="n">
        <f aca="false">0.12</f>
        <v>0.12</v>
      </c>
    </row>
    <row r="9" customFormat="false" ht="15" hidden="false" customHeight="true" outlineLevel="0" collapsed="false">
      <c r="A9" s="19" t="s">
        <v>626</v>
      </c>
      <c r="B9" s="15" t="s">
        <v>625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498</v>
      </c>
      <c r="B10" s="15" t="s">
        <v>499</v>
      </c>
      <c r="C10" s="110" t="n">
        <f aca="false">Spec_Rack!F9</f>
        <v>227</v>
      </c>
      <c r="D10" s="110" t="n">
        <f aca="false">Spec_Rack!F9</f>
        <v>227</v>
      </c>
      <c r="E10" s="110" t="n">
        <f aca="false">Spec_Rack!F9</f>
        <v>227</v>
      </c>
      <c r="F10" s="110" t="n">
        <f aca="false">Spec_Rack!F8</f>
        <v>190</v>
      </c>
      <c r="G10" s="110" t="n">
        <f aca="false">Spec_Rack!F10</f>
        <v>230</v>
      </c>
      <c r="H10" s="110" t="n">
        <f aca="false">Spec_Rack!F9</f>
        <v>227</v>
      </c>
      <c r="I10" s="110" t="n">
        <f aca="false">Spec_Rack!F9</f>
        <v>227</v>
      </c>
      <c r="J10" s="110" t="n">
        <f aca="false">Spec_Rack!F9</f>
        <v>227</v>
      </c>
      <c r="K10" s="110" t="n">
        <f aca="false">Spec_Rack!F9</f>
        <v>227</v>
      </c>
      <c r="L10" s="110" t="n">
        <f aca="false">Spec_Rack!F9</f>
        <v>227</v>
      </c>
      <c r="M10" s="110" t="n">
        <f aca="false">Spec_Rack!F9</f>
        <v>227</v>
      </c>
      <c r="N10" s="110" t="n">
        <f aca="false">Spec_Rack!F9</f>
        <v>227</v>
      </c>
      <c r="O10" s="110" t="n">
        <f aca="false">Spec_Rack!F9</f>
        <v>227</v>
      </c>
      <c r="P10" s="110" t="n">
        <f aca="false">Spec_Rack!F9</f>
        <v>227</v>
      </c>
      <c r="Q10" s="110" t="n">
        <f aca="false">Spec_Rack!F9</f>
        <v>227</v>
      </c>
      <c r="R10" s="110" t="n">
        <f aca="false">Spec_Rack!F9</f>
        <v>227</v>
      </c>
      <c r="S10" s="110" t="n">
        <f aca="false">Spec_Rack!F9</f>
        <v>227</v>
      </c>
      <c r="T10" s="110" t="n">
        <f aca="false">Spec_Rack!F9</f>
        <v>227</v>
      </c>
      <c r="U10" s="110" t="n">
        <f aca="false">Spec_Rack!F9</f>
        <v>227</v>
      </c>
      <c r="V10" s="110" t="n">
        <f aca="false">Spec_Rack!F9</f>
        <v>227</v>
      </c>
      <c r="W10" s="110" t="n">
        <f aca="false">Spec_Rack!F9</f>
        <v>227</v>
      </c>
      <c r="X10" s="110" t="n">
        <f aca="false">Spec_Rack!F9</f>
        <v>227</v>
      </c>
      <c r="Y10" s="110" t="n">
        <f aca="false">Spec_Rack!F9</f>
        <v>227</v>
      </c>
    </row>
    <row r="11" customFormat="false" ht="15" hidden="false" customHeight="true" outlineLevel="0" collapsed="false">
      <c r="A11" s="19" t="s">
        <v>627</v>
      </c>
      <c r="B11" s="20" t="s">
        <v>497</v>
      </c>
      <c r="C11" s="111" t="n">
        <f aca="false">FLOOR(C9*1000/C10,1)</f>
        <v>4052</v>
      </c>
      <c r="D11" s="111" t="n">
        <f aca="false">FLOOR(D9*1000/D10,1)</f>
        <v>4052</v>
      </c>
      <c r="E11" s="111" t="n">
        <f aca="false">FLOOR(E9*1000/E10,1)</f>
        <v>4052</v>
      </c>
      <c r="F11" s="111" t="n">
        <f aca="false">FLOOR(F9*1000/F10,1)</f>
        <v>4842</v>
      </c>
      <c r="G11" s="111" t="n">
        <f aca="false">FLOOR(G9*1000/G10,1)</f>
        <v>4000</v>
      </c>
      <c r="H11" s="111" t="n">
        <f aca="false">FLOOR(H9*1000/H10,1)</f>
        <v>4052</v>
      </c>
      <c r="I11" s="111" t="n">
        <f aca="false">FLOOR(I9*1000/I10,1)</f>
        <v>4052</v>
      </c>
      <c r="J11" s="111" t="n">
        <f aca="false">FLOOR(J9*1000/J10,1)</f>
        <v>4052</v>
      </c>
      <c r="K11" s="111" t="n">
        <f aca="false">FLOOR(K9*1000/K10,1)</f>
        <v>4052</v>
      </c>
      <c r="L11" s="111" t="n">
        <f aca="false">FLOOR(L9*1000/L10,1)</f>
        <v>4052</v>
      </c>
      <c r="M11" s="111" t="n">
        <f aca="false">FLOOR(M9*1000/M10,1)</f>
        <v>4052</v>
      </c>
      <c r="N11" s="111" t="n">
        <f aca="false">FLOOR(N9*1000/N10,1)</f>
        <v>4052</v>
      </c>
      <c r="O11" s="111" t="n">
        <f aca="false">FLOOR(O9*1000/O10,1)</f>
        <v>4052</v>
      </c>
      <c r="P11" s="111" t="n">
        <f aca="false">FLOOR(P9*1000/P10,1)</f>
        <v>4052</v>
      </c>
      <c r="Q11" s="111" t="n">
        <f aca="false">FLOOR(Q9*1000/Q10,1)</f>
        <v>4052</v>
      </c>
      <c r="R11" s="111" t="n">
        <f aca="false">FLOOR(R9*1000/R10,1)</f>
        <v>4052</v>
      </c>
      <c r="S11" s="111" t="n">
        <f aca="false">FLOOR(S9*1000/S10,1)</f>
        <v>4052</v>
      </c>
      <c r="T11" s="111" t="n">
        <f aca="false">FLOOR(T9*1000/T10,1)</f>
        <v>4052</v>
      </c>
      <c r="U11" s="111" t="n">
        <f aca="false">FLOOR(U9*1000/U10,1)</f>
        <v>4052</v>
      </c>
      <c r="V11" s="111" t="n">
        <f aca="false">FLOOR(V9*1000/V10,1)</f>
        <v>4052</v>
      </c>
      <c r="W11" s="111" t="n">
        <f aca="false">FLOOR(W9*1000/W10,1)</f>
        <v>4052</v>
      </c>
      <c r="X11" s="111" t="n">
        <f aca="false">FLOOR(X9*1000/X10,1)</f>
        <v>4185</v>
      </c>
      <c r="Y11" s="111" t="n">
        <f aca="false">FLOOR(Y9*1000/Y10,1)</f>
        <v>3876</v>
      </c>
    </row>
    <row r="12" customFormat="false" ht="15" hidden="false" customHeight="true" outlineLevel="0" collapsed="false">
      <c r="A12" s="14" t="s">
        <v>123</v>
      </c>
      <c r="B12" s="20" t="s">
        <v>491</v>
      </c>
      <c r="C12" s="110" t="n">
        <f aca="false">Spec_Rack!F6</f>
        <v>72</v>
      </c>
      <c r="D12" s="110" t="n">
        <f aca="false">Spec_Rack!F6</f>
        <v>72</v>
      </c>
      <c r="E12" s="110" t="n">
        <f aca="false">Spec_Rack!F6</f>
        <v>72</v>
      </c>
      <c r="F12" s="110" t="n">
        <f aca="false">Spec_Rack!F6</f>
        <v>72</v>
      </c>
      <c r="G12" s="110" t="n">
        <f aca="false">Spec_Rack!F6</f>
        <v>72</v>
      </c>
      <c r="H12" s="110" t="n">
        <f aca="false">Spec_Rack!F6</f>
        <v>72</v>
      </c>
      <c r="I12" s="110" t="n">
        <f aca="false">Spec_Rack!F6</f>
        <v>72</v>
      </c>
      <c r="J12" s="110" t="n">
        <f aca="false">Spec_Rack!F6</f>
        <v>72</v>
      </c>
      <c r="K12" s="110" t="n">
        <f aca="false">Spec_Rack!F6</f>
        <v>72</v>
      </c>
      <c r="L12" s="110" t="n">
        <f aca="false">Spec_Rack!F6</f>
        <v>72</v>
      </c>
      <c r="M12" s="110" t="n">
        <f aca="false">Spec_Rack!F6</f>
        <v>72</v>
      </c>
      <c r="N12" s="110" t="n">
        <f aca="false">Spec_Rack!F6</f>
        <v>72</v>
      </c>
      <c r="O12" s="110" t="n">
        <f aca="false">Spec_Rack!F6</f>
        <v>72</v>
      </c>
      <c r="P12" s="110" t="n">
        <f aca="false">Spec_Rack!F6</f>
        <v>72</v>
      </c>
      <c r="Q12" s="110" t="n">
        <f aca="false">Spec_Rack!F6</f>
        <v>72</v>
      </c>
      <c r="R12" s="110" t="n">
        <f aca="false">Spec_Rack!F6</f>
        <v>72</v>
      </c>
      <c r="S12" s="110" t="n">
        <f aca="false">Spec_Rack!F6</f>
        <v>72</v>
      </c>
      <c r="T12" s="110" t="n">
        <f aca="false">Spec_Rack!F6</f>
        <v>72</v>
      </c>
      <c r="U12" s="110" t="n">
        <f aca="false">Spec_Rack!F6</f>
        <v>72</v>
      </c>
      <c r="V12" s="110" t="n">
        <f aca="false">Spec_Rack!F6</f>
        <v>72</v>
      </c>
      <c r="W12" s="110" t="n">
        <f aca="false">Spec_Rack!F6</f>
        <v>72</v>
      </c>
      <c r="X12" s="110" t="n">
        <f aca="false">Spec_Rack!F6</f>
        <v>72</v>
      </c>
      <c r="Y12" s="110" t="n">
        <f aca="false">Spec_Rack!F6</f>
        <v>72</v>
      </c>
    </row>
    <row r="13" customFormat="false" ht="15" hidden="false" customHeight="true" outlineLevel="0" collapsed="false">
      <c r="A13" s="19" t="s">
        <v>628</v>
      </c>
      <c r="B13" s="20" t="s">
        <v>491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348624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48</v>
      </c>
      <c r="B14" s="15" t="s">
        <v>49</v>
      </c>
      <c r="C14" s="112" t="n">
        <f aca="false">Inputs!$E$9</f>
        <v>1.2</v>
      </c>
      <c r="D14" s="112" t="n">
        <f aca="false">Inputs!$E$9</f>
        <v>1.2</v>
      </c>
      <c r="E14" s="112" t="n">
        <f aca="false">Inputs!$E$9</f>
        <v>1.2</v>
      </c>
      <c r="F14" s="112" t="n">
        <f aca="false">Inputs!$E$9</f>
        <v>1.2</v>
      </c>
      <c r="G14" s="112" t="n">
        <f aca="false">Inputs!$E$9</f>
        <v>1.2</v>
      </c>
      <c r="H14" s="112" t="n">
        <f aca="false">Inputs!$E$9</f>
        <v>1.2</v>
      </c>
      <c r="I14" s="112" t="n">
        <f aca="false">Inputs!$E$9</f>
        <v>1.2</v>
      </c>
      <c r="J14" s="112" t="n">
        <f aca="false">Inputs!$E$9</f>
        <v>1.2</v>
      </c>
      <c r="K14" s="112" t="n">
        <f aca="false">Inputs!$E$9</f>
        <v>1.2</v>
      </c>
      <c r="L14" s="112" t="n">
        <f aca="false">Inputs!$E$9</f>
        <v>1.2</v>
      </c>
      <c r="M14" s="112" t="n">
        <f aca="false">Inputs!$E$9</f>
        <v>1.2</v>
      </c>
      <c r="N14" s="112" t="n">
        <f aca="false">Inputs!$E$9</f>
        <v>1.2</v>
      </c>
      <c r="O14" s="112" t="n">
        <f aca="false">Inputs!$E$9</f>
        <v>1.2</v>
      </c>
      <c r="P14" s="112" t="n">
        <f aca="false">Inputs!$E$9</f>
        <v>1.2</v>
      </c>
      <c r="Q14" s="112" t="n">
        <f aca="false">Inputs!$E$9</f>
        <v>1.2</v>
      </c>
      <c r="R14" s="112" t="n">
        <f aca="false">Inputs!$E$9</f>
        <v>1.2</v>
      </c>
      <c r="S14" s="112" t="n">
        <f aca="false">Inputs!$E$9</f>
        <v>1.2</v>
      </c>
      <c r="T14" s="112" t="n">
        <f aca="false">Inputs!$D$9</f>
        <v>1.1</v>
      </c>
      <c r="U14" s="112" t="n">
        <f aca="false">Inputs!$F$9</f>
        <v>1.3</v>
      </c>
      <c r="V14" s="112" t="n">
        <f aca="false">Inputs!$E$9</f>
        <v>1.2</v>
      </c>
      <c r="W14" s="112" t="n">
        <f aca="false">Inputs!$E$9</f>
        <v>1.2</v>
      </c>
      <c r="X14" s="112" t="n">
        <f aca="false">Inputs!$E$9</f>
        <v>1.2</v>
      </c>
      <c r="Y14" s="112" t="n">
        <f aca="false">Inputs!$E$9</f>
        <v>1.2</v>
      </c>
    </row>
    <row r="15" customFormat="false" ht="15" hidden="false" customHeight="true" outlineLevel="0" collapsed="false">
      <c r="A15" s="19" t="s">
        <v>629</v>
      </c>
      <c r="B15" s="15" t="s">
        <v>625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630</v>
      </c>
      <c r="B16" s="13"/>
      <c r="C16" s="13"/>
    </row>
    <row r="17" customFormat="false" ht="15" hidden="false" customHeight="true" outlineLevel="0" collapsed="false">
      <c r="A17" s="19" t="s">
        <v>631</v>
      </c>
      <c r="B17" s="15" t="s">
        <v>632</v>
      </c>
      <c r="C17" s="113" t="n">
        <f aca="false">Spec_Rack!F12</f>
        <v>7.8</v>
      </c>
      <c r="D17" s="113" t="n">
        <f aca="false">Spec_Rack!F11</f>
        <v>6.7</v>
      </c>
      <c r="E17" s="113" t="n">
        <f aca="false">Spec_Rack!F13</f>
        <v>9.1</v>
      </c>
      <c r="F17" s="113" t="n">
        <f aca="false">Spec_Rack!F12</f>
        <v>7.8</v>
      </c>
      <c r="G17" s="113" t="n">
        <f aca="false">Spec_Rack!F12</f>
        <v>7.8</v>
      </c>
      <c r="H17" s="113" t="n">
        <f aca="false">Spec_Rack!F12</f>
        <v>7.8</v>
      </c>
      <c r="I17" s="113" t="n">
        <f aca="false">Spec_Rack!F12</f>
        <v>7.8</v>
      </c>
      <c r="J17" s="113" t="n">
        <f aca="false">Spec_Rack!F12</f>
        <v>7.8</v>
      </c>
      <c r="K17" s="113" t="n">
        <f aca="false">Spec_Rack!F12</f>
        <v>7.8</v>
      </c>
      <c r="L17" s="113" t="n">
        <f aca="false">Spec_Rack!F12</f>
        <v>7.8</v>
      </c>
      <c r="M17" s="113" t="n">
        <f aca="false">Spec_Rack!F12</f>
        <v>7.8</v>
      </c>
      <c r="N17" s="113" t="n">
        <f aca="false">Spec_Rack!F12</f>
        <v>7.8</v>
      </c>
      <c r="O17" s="113" t="n">
        <f aca="false">Spec_Rack!F12</f>
        <v>7.8</v>
      </c>
      <c r="P17" s="113" t="n">
        <f aca="false">Spec_Rack!F12</f>
        <v>7.8</v>
      </c>
      <c r="Q17" s="113" t="n">
        <f aca="false">Spec_Rack!F12</f>
        <v>7.8</v>
      </c>
      <c r="R17" s="113" t="n">
        <f aca="false">Spec_Rack!F12</f>
        <v>7.8</v>
      </c>
      <c r="S17" s="113" t="n">
        <f aca="false">Spec_Rack!F12</f>
        <v>7.8</v>
      </c>
      <c r="T17" s="113" t="n">
        <f aca="false">Spec_Rack!F12</f>
        <v>7.8</v>
      </c>
      <c r="U17" s="113" t="n">
        <f aca="false">Spec_Rack!F12</f>
        <v>7.8</v>
      </c>
      <c r="V17" s="113" t="n">
        <f aca="false">Spec_Rack!F12</f>
        <v>7.8</v>
      </c>
      <c r="W17" s="113" t="n">
        <f aca="false">Spec_Rack!F12</f>
        <v>7.8</v>
      </c>
      <c r="X17" s="113" t="n">
        <f aca="false">Spec_Rack!F12</f>
        <v>7.8</v>
      </c>
      <c r="Y17" s="113" t="n">
        <f aca="false">Spec_Rack!F12</f>
        <v>7.8</v>
      </c>
    </row>
    <row r="18" customFormat="false" ht="15" hidden="false" customHeight="true" outlineLevel="0" collapsed="false">
      <c r="A18" s="19" t="s">
        <v>633</v>
      </c>
      <c r="B18" s="15" t="s">
        <v>634</v>
      </c>
      <c r="C18" s="114" t="n">
        <f aca="false">C11*C17/1000</f>
        <v>31.6056</v>
      </c>
      <c r="D18" s="114" t="n">
        <f aca="false">D11*D17/1000</f>
        <v>27.1484</v>
      </c>
      <c r="E18" s="114" t="n">
        <f aca="false">E11*E17/1000</f>
        <v>36.8732</v>
      </c>
      <c r="F18" s="114" t="n">
        <f aca="false">F11*F17/1000</f>
        <v>37.7676</v>
      </c>
      <c r="G18" s="114" t="n">
        <f aca="false">G11*G17/1000</f>
        <v>31.2</v>
      </c>
      <c r="H18" s="114" t="n">
        <f aca="false">H11*H17/1000</f>
        <v>31.6056</v>
      </c>
      <c r="I18" s="114" t="n">
        <f aca="false">I11*I17/1000</f>
        <v>31.6056</v>
      </c>
      <c r="J18" s="114" t="n">
        <f aca="false">J11*J17/1000</f>
        <v>31.6056</v>
      </c>
      <c r="K18" s="114" t="n">
        <f aca="false">K11*K17/1000</f>
        <v>31.6056</v>
      </c>
      <c r="L18" s="114" t="n">
        <f aca="false">L11*L17/1000</f>
        <v>31.6056</v>
      </c>
      <c r="M18" s="114" t="n">
        <f aca="false">M11*M17/1000</f>
        <v>31.6056</v>
      </c>
      <c r="N18" s="114" t="n">
        <f aca="false">N11*N17/1000</f>
        <v>31.6056</v>
      </c>
      <c r="O18" s="114" t="n">
        <f aca="false">O11*O17/1000</f>
        <v>31.6056</v>
      </c>
      <c r="P18" s="114" t="n">
        <f aca="false">P11*P17/1000</f>
        <v>31.6056</v>
      </c>
      <c r="Q18" s="114" t="n">
        <f aca="false">Q11*Q17/1000</f>
        <v>31.6056</v>
      </c>
      <c r="R18" s="114" t="n">
        <f aca="false">R11*R17/1000</f>
        <v>31.6056</v>
      </c>
      <c r="S18" s="114" t="n">
        <f aca="false">S11*S17/1000</f>
        <v>31.6056</v>
      </c>
      <c r="T18" s="114" t="n">
        <f aca="false">T11*T17/1000</f>
        <v>31.6056</v>
      </c>
      <c r="U18" s="114" t="n">
        <f aca="false">U11*U17/1000</f>
        <v>31.6056</v>
      </c>
      <c r="V18" s="114" t="n">
        <f aca="false">V11*V17/1000</f>
        <v>31.6056</v>
      </c>
      <c r="W18" s="114" t="n">
        <f aca="false">W11*W17/1000</f>
        <v>31.6056</v>
      </c>
      <c r="X18" s="114" t="n">
        <f aca="false">X11*X17/1000</f>
        <v>32.643</v>
      </c>
      <c r="Y18" s="114" t="n">
        <f aca="false">Y11*Y17/1000</f>
        <v>30.2328</v>
      </c>
    </row>
    <row r="19" customFormat="false" ht="15" hidden="false" customHeight="true" outlineLevel="0" collapsed="false">
      <c r="A19" s="14" t="s">
        <v>59</v>
      </c>
      <c r="B19" s="15" t="s">
        <v>45</v>
      </c>
      <c r="C19" s="109" t="n">
        <f aca="false">Inputs!$E$13</f>
        <v>0.1</v>
      </c>
      <c r="D19" s="109" t="n">
        <f aca="false">Inputs!$E$13</f>
        <v>0.1</v>
      </c>
      <c r="E19" s="109" t="n">
        <f aca="false">Inputs!$E$13</f>
        <v>0.1</v>
      </c>
      <c r="F19" s="109" t="n">
        <f aca="false">Inputs!$E$13</f>
        <v>0.1</v>
      </c>
      <c r="G19" s="109" t="n">
        <f aca="false">Inputs!$E$13</f>
        <v>0.1</v>
      </c>
      <c r="H19" s="109" t="n">
        <f aca="false">Inputs!$D$13</f>
        <v>0.05</v>
      </c>
      <c r="I19" s="109" t="n">
        <f aca="false">Inputs!$F$13</f>
        <v>0.15</v>
      </c>
      <c r="J19" s="109" t="n">
        <f aca="false">Inputs!$E$13</f>
        <v>0.1</v>
      </c>
      <c r="K19" s="109" t="n">
        <f aca="false">Inputs!$E$13</f>
        <v>0.1</v>
      </c>
      <c r="L19" s="109" t="n">
        <f aca="false">Inputs!$E$13</f>
        <v>0.1</v>
      </c>
      <c r="M19" s="109" t="n">
        <f aca="false">Inputs!$E$13</f>
        <v>0.1</v>
      </c>
      <c r="N19" s="109" t="n">
        <f aca="false">Inputs!$E$13</f>
        <v>0.1</v>
      </c>
      <c r="O19" s="109" t="n">
        <f aca="false">Inputs!$E$13</f>
        <v>0.1</v>
      </c>
      <c r="P19" s="109" t="n">
        <f aca="false">Inputs!$E$13</f>
        <v>0.1</v>
      </c>
      <c r="Q19" s="109" t="n">
        <f aca="false">Inputs!$E$13</f>
        <v>0.1</v>
      </c>
      <c r="R19" s="109" t="n">
        <f aca="false">Inputs!$E$13</f>
        <v>0.1</v>
      </c>
      <c r="S19" s="109" t="n">
        <f aca="false">Inputs!$E$13</f>
        <v>0.1</v>
      </c>
      <c r="T19" s="109" t="n">
        <f aca="false">Inputs!$E$13</f>
        <v>0.1</v>
      </c>
      <c r="U19" s="109" t="n">
        <f aca="false">Inputs!$E$13</f>
        <v>0.1</v>
      </c>
      <c r="V19" s="109" t="n">
        <f aca="false">Inputs!$E$13</f>
        <v>0.1</v>
      </c>
      <c r="W19" s="109" t="n">
        <f aca="false">Inputs!$E$13</f>
        <v>0.1</v>
      </c>
      <c r="X19" s="109" t="n">
        <f aca="false">Inputs!$E$13</f>
        <v>0.1</v>
      </c>
      <c r="Y19" s="109" t="n">
        <f aca="false">Inputs!$E$13</f>
        <v>0.1</v>
      </c>
    </row>
    <row r="20" customFormat="false" ht="15" hidden="false" customHeight="true" outlineLevel="0" collapsed="false">
      <c r="A20" s="14" t="s">
        <v>635</v>
      </c>
      <c r="B20" s="15" t="s">
        <v>634</v>
      </c>
      <c r="C20" s="114" t="n">
        <f aca="false">C18*C19</f>
        <v>3.16056</v>
      </c>
      <c r="D20" s="114" t="n">
        <f aca="false">D18*D19</f>
        <v>2.71484</v>
      </c>
      <c r="E20" s="114" t="n">
        <f aca="false">E18*E19</f>
        <v>3.68732</v>
      </c>
      <c r="F20" s="114" t="n">
        <f aca="false">F18*F19</f>
        <v>3.77676</v>
      </c>
      <c r="G20" s="114" t="n">
        <f aca="false">G18*G19</f>
        <v>3.12</v>
      </c>
      <c r="H20" s="114" t="n">
        <f aca="false">H18*H19</f>
        <v>1.58028</v>
      </c>
      <c r="I20" s="114" t="n">
        <f aca="false">I18*I19</f>
        <v>4.74084</v>
      </c>
      <c r="J20" s="114" t="n">
        <f aca="false">J18*J19</f>
        <v>3.16056</v>
      </c>
      <c r="K20" s="114" t="n">
        <f aca="false">K18*K19</f>
        <v>3.16056</v>
      </c>
      <c r="L20" s="114" t="n">
        <f aca="false">L18*L19</f>
        <v>3.16056</v>
      </c>
      <c r="M20" s="114" t="n">
        <f aca="false">M18*M19</f>
        <v>3.16056</v>
      </c>
      <c r="N20" s="114" t="n">
        <f aca="false">N18*N19</f>
        <v>3.16056</v>
      </c>
      <c r="O20" s="114" t="n">
        <f aca="false">O18*O19</f>
        <v>3.16056</v>
      </c>
      <c r="P20" s="114" t="n">
        <f aca="false">P18*P19</f>
        <v>3.16056</v>
      </c>
      <c r="Q20" s="114" t="n">
        <f aca="false">Q18*Q19</f>
        <v>3.16056</v>
      </c>
      <c r="R20" s="114" t="n">
        <f aca="false">R18*R19</f>
        <v>3.16056</v>
      </c>
      <c r="S20" s="114" t="n">
        <f aca="false">S18*S19</f>
        <v>3.16056</v>
      </c>
      <c r="T20" s="114" t="n">
        <f aca="false">T18*T19</f>
        <v>3.16056</v>
      </c>
      <c r="U20" s="114" t="n">
        <f aca="false">U18*U19</f>
        <v>3.16056</v>
      </c>
      <c r="V20" s="114" t="n">
        <f aca="false">V18*V19</f>
        <v>3.16056</v>
      </c>
      <c r="W20" s="114" t="n">
        <f aca="false">W18*W19</f>
        <v>3.16056</v>
      </c>
      <c r="X20" s="114" t="n">
        <f aca="false">X18*X19</f>
        <v>3.2643</v>
      </c>
      <c r="Y20" s="114" t="n">
        <f aca="false">Y18*Y19</f>
        <v>3.02328</v>
      </c>
    </row>
    <row r="21" customFormat="false" ht="15" hidden="false" customHeight="true" outlineLevel="0" collapsed="false">
      <c r="A21" s="19" t="s">
        <v>636</v>
      </c>
      <c r="B21" s="15" t="s">
        <v>62</v>
      </c>
      <c r="C21" s="110" t="n">
        <f aca="false">Inputs!$E$14</f>
        <v>500</v>
      </c>
      <c r="D21" s="110" t="n">
        <f aca="false">Inputs!$E$14</f>
        <v>500</v>
      </c>
      <c r="E21" s="110" t="n">
        <f aca="false">Inputs!$E$14</f>
        <v>500</v>
      </c>
      <c r="F21" s="110" t="n">
        <f aca="false">Inputs!$E$14</f>
        <v>500</v>
      </c>
      <c r="G21" s="110" t="n">
        <f aca="false">Inputs!$E$14</f>
        <v>500</v>
      </c>
      <c r="H21" s="110" t="n">
        <f aca="false">Inputs!$E$14</f>
        <v>500</v>
      </c>
      <c r="I21" s="110" t="n">
        <f aca="false">Inputs!$E$14</f>
        <v>500</v>
      </c>
      <c r="J21" s="110" t="n">
        <f aca="false">Inputs!$E$14</f>
        <v>500</v>
      </c>
      <c r="K21" s="110" t="n">
        <f aca="false">Inputs!$E$14</f>
        <v>500</v>
      </c>
      <c r="L21" s="110" t="n">
        <f aca="false">Inputs!$E$14</f>
        <v>500</v>
      </c>
      <c r="M21" s="110" t="n">
        <f aca="false">Inputs!$E$14</f>
        <v>500</v>
      </c>
      <c r="N21" s="110" t="n">
        <f aca="false">Inputs!$E$14</f>
        <v>500</v>
      </c>
      <c r="O21" s="110" t="n">
        <f aca="false">Inputs!$E$14</f>
        <v>500</v>
      </c>
      <c r="P21" s="110" t="n">
        <f aca="false">Inputs!$E$14</f>
        <v>500</v>
      </c>
      <c r="Q21" s="110" t="n">
        <f aca="false">Inputs!$E$14</f>
        <v>500</v>
      </c>
      <c r="R21" s="110" t="n">
        <f aca="false">Inputs!$E$14</f>
        <v>500</v>
      </c>
      <c r="S21" s="110" t="n">
        <f aca="false">Inputs!$E$14</f>
        <v>500</v>
      </c>
      <c r="T21" s="110" t="n">
        <f aca="false">Inputs!$E$14</f>
        <v>500</v>
      </c>
      <c r="U21" s="110" t="n">
        <f aca="false">Inputs!$E$14</f>
        <v>500</v>
      </c>
      <c r="V21" s="110" t="n">
        <f aca="false">Inputs!$E$14</f>
        <v>500</v>
      </c>
      <c r="W21" s="110" t="n">
        <f aca="false">Inputs!$E$14</f>
        <v>500</v>
      </c>
      <c r="X21" s="110" t="n">
        <f aca="false">Inputs!$E$14</f>
        <v>500</v>
      </c>
      <c r="Y21" s="110" t="n">
        <f aca="false">Inputs!$E$14</f>
        <v>500</v>
      </c>
    </row>
    <row r="22" customFormat="false" ht="15" hidden="false" customHeight="true" outlineLevel="0" collapsed="false">
      <c r="A22" s="19" t="s">
        <v>636</v>
      </c>
      <c r="B22" s="15" t="s">
        <v>634</v>
      </c>
      <c r="C22" s="114" t="n">
        <f aca="false">C13*C21/1000000000</f>
        <v>0.145872</v>
      </c>
      <c r="D22" s="114" t="n">
        <f aca="false">D13*D21/1000000000</f>
        <v>0.145872</v>
      </c>
      <c r="E22" s="114" t="n">
        <f aca="false">E13*E21/1000000000</f>
        <v>0.145872</v>
      </c>
      <c r="F22" s="114" t="n">
        <f aca="false">F13*F21/1000000000</f>
        <v>0.174312</v>
      </c>
      <c r="G22" s="114" t="n">
        <f aca="false">G13*G21/1000000000</f>
        <v>0.144</v>
      </c>
      <c r="H22" s="114" t="n">
        <f aca="false">H13*H21/1000000000</f>
        <v>0.145872</v>
      </c>
      <c r="I22" s="114" t="n">
        <f aca="false">I13*I21/1000000000</f>
        <v>0.145872</v>
      </c>
      <c r="J22" s="114" t="n">
        <f aca="false">J13*J21/1000000000</f>
        <v>0.145872</v>
      </c>
      <c r="K22" s="114" t="n">
        <f aca="false">K13*K21/1000000000</f>
        <v>0.145872</v>
      </c>
      <c r="L22" s="114" t="n">
        <f aca="false">L13*L21/1000000000</f>
        <v>0.145872</v>
      </c>
      <c r="M22" s="114" t="n">
        <f aca="false">M13*M21/1000000000</f>
        <v>0.145872</v>
      </c>
      <c r="N22" s="114" t="n">
        <f aca="false">N13*N21/1000000000</f>
        <v>0.145872</v>
      </c>
      <c r="O22" s="114" t="n">
        <f aca="false">O13*O21/1000000000</f>
        <v>0.145872</v>
      </c>
      <c r="P22" s="114" t="n">
        <f aca="false">P13*P21/1000000000</f>
        <v>0.145872</v>
      </c>
      <c r="Q22" s="114" t="n">
        <f aca="false">Q13*Q21/1000000000</f>
        <v>0.145872</v>
      </c>
      <c r="R22" s="114" t="n">
        <f aca="false">R13*R21/1000000000</f>
        <v>0.145872</v>
      </c>
      <c r="S22" s="114" t="n">
        <f aca="false">S13*S21/1000000000</f>
        <v>0.145872</v>
      </c>
      <c r="T22" s="114" t="n">
        <f aca="false">T13*T21/1000000000</f>
        <v>0.145872</v>
      </c>
      <c r="U22" s="114" t="n">
        <f aca="false">U13*U21/1000000000</f>
        <v>0.145872</v>
      </c>
      <c r="V22" s="114" t="n">
        <f aca="false">V13*V21/1000000000</f>
        <v>0.145872</v>
      </c>
      <c r="W22" s="114" t="n">
        <f aca="false">W13*W21/1000000000</f>
        <v>0.145872</v>
      </c>
      <c r="X22" s="114" t="n">
        <f aca="false">X13*X21/1000000000</f>
        <v>0.15066</v>
      </c>
      <c r="Y22" s="114" t="n">
        <f aca="false">Y13*Y21/1000000000</f>
        <v>0.139536</v>
      </c>
    </row>
    <row r="23" customFormat="false" ht="15" hidden="false" customHeight="true" outlineLevel="0" collapsed="false">
      <c r="A23" s="14" t="s">
        <v>637</v>
      </c>
      <c r="B23" s="15" t="s">
        <v>634</v>
      </c>
      <c r="C23" s="114" t="n">
        <f aca="false">C18+C20+C22</f>
        <v>34.912032</v>
      </c>
      <c r="D23" s="114" t="n">
        <f aca="false">D18+D20+D22</f>
        <v>30.009112</v>
      </c>
      <c r="E23" s="114" t="n">
        <f aca="false">E18+E20+E22</f>
        <v>40.706392</v>
      </c>
      <c r="F23" s="114" t="n">
        <f aca="false">F18+F20+F22</f>
        <v>41.718672</v>
      </c>
      <c r="G23" s="114" t="n">
        <f aca="false">G18+G20+G22</f>
        <v>34.464</v>
      </c>
      <c r="H23" s="114" t="n">
        <f aca="false">H18+H20+H22</f>
        <v>33.331752</v>
      </c>
      <c r="I23" s="114" t="n">
        <f aca="false">I18+I20+I22</f>
        <v>36.492312</v>
      </c>
      <c r="J23" s="114" t="n">
        <f aca="false">J18+J20+J22</f>
        <v>34.912032</v>
      </c>
      <c r="K23" s="114" t="n">
        <f aca="false">K18+K20+K22</f>
        <v>34.912032</v>
      </c>
      <c r="L23" s="114" t="n">
        <f aca="false">L18+L20+L22</f>
        <v>34.912032</v>
      </c>
      <c r="M23" s="114" t="n">
        <f aca="false">M18+M20+M22</f>
        <v>34.912032</v>
      </c>
      <c r="N23" s="114" t="n">
        <f aca="false">N18+N20+N22</f>
        <v>34.912032</v>
      </c>
      <c r="O23" s="114" t="n">
        <f aca="false">O18+O20+O22</f>
        <v>34.912032</v>
      </c>
      <c r="P23" s="114" t="n">
        <f aca="false">P18+P20+P22</f>
        <v>34.912032</v>
      </c>
      <c r="Q23" s="114" t="n">
        <f aca="false">Q18+Q20+Q22</f>
        <v>34.912032</v>
      </c>
      <c r="R23" s="114" t="n">
        <f aca="false">R18+R20+R22</f>
        <v>34.912032</v>
      </c>
      <c r="S23" s="114" t="n">
        <f aca="false">S18+S20+S22</f>
        <v>34.912032</v>
      </c>
      <c r="T23" s="114" t="n">
        <f aca="false">T18+T20+T22</f>
        <v>34.912032</v>
      </c>
      <c r="U23" s="114" t="n">
        <f aca="false">U18+U20+U22</f>
        <v>34.912032</v>
      </c>
      <c r="V23" s="114" t="n">
        <f aca="false">V18+V20+V22</f>
        <v>34.912032</v>
      </c>
      <c r="W23" s="114" t="n">
        <f aca="false">W18+W20+W22</f>
        <v>34.912032</v>
      </c>
      <c r="X23" s="114" t="n">
        <f aca="false">X18+X20+X22</f>
        <v>36.05796</v>
      </c>
      <c r="Y23" s="114" t="n">
        <f aca="false">Y18+Y20+Y22</f>
        <v>33.395616</v>
      </c>
    </row>
    <row r="24" customFormat="false" ht="15" hidden="false" customHeight="true" outlineLevel="0" collapsed="false">
      <c r="A24" s="19" t="s">
        <v>65</v>
      </c>
      <c r="B24" s="15" t="s">
        <v>634</v>
      </c>
      <c r="C24" s="114" t="n">
        <f aca="false">C7*Inputs!$E$16/1000</f>
        <v>0.02</v>
      </c>
      <c r="D24" s="114" t="n">
        <f aca="false">D7*Inputs!$E$16/1000</f>
        <v>0.02</v>
      </c>
      <c r="E24" s="114" t="n">
        <f aca="false">E7*Inputs!$E$16/1000</f>
        <v>0.02</v>
      </c>
      <c r="F24" s="114" t="n">
        <f aca="false">F7*Inputs!$E$16/1000</f>
        <v>0.02</v>
      </c>
      <c r="G24" s="114" t="n">
        <f aca="false">G7*Inputs!$E$16/1000</f>
        <v>0.02</v>
      </c>
      <c r="H24" s="114" t="n">
        <f aca="false">H7*Inputs!$E$16/1000</f>
        <v>0.02</v>
      </c>
      <c r="I24" s="114" t="n">
        <f aca="false">I7*Inputs!$E$16/1000</f>
        <v>0.02</v>
      </c>
      <c r="J24" s="114" t="n">
        <f aca="false">J7*Inputs!$E$16/1000</f>
        <v>0.02</v>
      </c>
      <c r="K24" s="114" t="n">
        <f aca="false">K7*Inputs!$E$16/1000</f>
        <v>0.02</v>
      </c>
      <c r="L24" s="114" t="n">
        <f aca="false">L7*Inputs!$E$16/1000</f>
        <v>0.02</v>
      </c>
      <c r="M24" s="114" t="n">
        <f aca="false">M7*Inputs!$E$16/1000</f>
        <v>0.02</v>
      </c>
      <c r="N24" s="114" t="n">
        <f aca="false">N7*Inputs!$E$16/1000</f>
        <v>0.02</v>
      </c>
      <c r="O24" s="114" t="n">
        <f aca="false">O7*Inputs!$E$16/1000</f>
        <v>0.02</v>
      </c>
      <c r="P24" s="114" t="n">
        <f aca="false">P7*Inputs!$E$16/1000</f>
        <v>0.02</v>
      </c>
      <c r="Q24" s="114" t="n">
        <f aca="false">Q7*Inputs!$E$16/1000</f>
        <v>0.02</v>
      </c>
      <c r="R24" s="114" t="n">
        <f aca="false">R7*Inputs!$E$16/1000</f>
        <v>0.02</v>
      </c>
      <c r="S24" s="114" t="n">
        <f aca="false">S7*Inputs!$E$16/1000</f>
        <v>0.02</v>
      </c>
      <c r="T24" s="114" t="n">
        <f aca="false">T7*Inputs!$E$16/1000</f>
        <v>0.02</v>
      </c>
      <c r="U24" s="114" t="n">
        <f aca="false">U7*Inputs!$E$16/1000</f>
        <v>0.02</v>
      </c>
      <c r="V24" s="114" t="n">
        <f aca="false">V7*Inputs!$E$16/1000</f>
        <v>0.02</v>
      </c>
      <c r="W24" s="114" t="n">
        <f aca="false">W7*Inputs!$E$16/1000</f>
        <v>0.02</v>
      </c>
      <c r="X24" s="114" t="n">
        <f aca="false">X7*Inputs!$E$16/1000</f>
        <v>0.02</v>
      </c>
      <c r="Y24" s="114" t="n">
        <f aca="false">Y7*Inputs!$E$16/1000</f>
        <v>0.02</v>
      </c>
    </row>
    <row r="25" customFormat="false" ht="15" hidden="false" customHeight="true" outlineLevel="0" collapsed="false">
      <c r="A25" s="19" t="s">
        <v>638</v>
      </c>
      <c r="B25" s="15" t="s">
        <v>634</v>
      </c>
      <c r="C25" s="114" t="n">
        <f aca="false">C7*Inputs!$E$17/1000</f>
        <v>3.6</v>
      </c>
      <c r="D25" s="114" t="n">
        <f aca="false">D7*Inputs!$E$17/1000</f>
        <v>3.6</v>
      </c>
      <c r="E25" s="114" t="n">
        <f aca="false">E7*Inputs!$E$17/1000</f>
        <v>3.6</v>
      </c>
      <c r="F25" s="114" t="n">
        <f aca="false">F7*Inputs!$E$17/1000</f>
        <v>3.6</v>
      </c>
      <c r="G25" s="114" t="n">
        <f aca="false">G7*Inputs!$E$17/1000</f>
        <v>3.6</v>
      </c>
      <c r="H25" s="114" t="n">
        <f aca="false">H7*Inputs!$E$17/1000</f>
        <v>3.6</v>
      </c>
      <c r="I25" s="114" t="n">
        <f aca="false">I7*Inputs!$E$17/1000</f>
        <v>3.6</v>
      </c>
      <c r="J25" s="114" t="n">
        <f aca="false">J7*Inputs!$D$17/1000</f>
        <v>3</v>
      </c>
      <c r="K25" s="114" t="n">
        <f aca="false">K7*Inputs!$F$17/1000</f>
        <v>4.5</v>
      </c>
      <c r="L25" s="114" t="n">
        <f aca="false">L7*Inputs!$E$17/1000</f>
        <v>3.6</v>
      </c>
      <c r="M25" s="114" t="n">
        <f aca="false">M7*Inputs!$E$17/1000</f>
        <v>3.6</v>
      </c>
      <c r="N25" s="114" t="n">
        <f aca="false">N7*Inputs!$E$17/1000</f>
        <v>3.6</v>
      </c>
      <c r="O25" s="114" t="n">
        <f aca="false">O7*Inputs!$E$17/1000</f>
        <v>3.6</v>
      </c>
      <c r="P25" s="114" t="n">
        <f aca="false">P7*Inputs!$E$17/1000</f>
        <v>3.6</v>
      </c>
      <c r="Q25" s="114" t="n">
        <f aca="false">Q7*Inputs!$E$17/1000</f>
        <v>3.6</v>
      </c>
      <c r="R25" s="114" t="n">
        <f aca="false">R7*Inputs!$E$17/1000</f>
        <v>3.6</v>
      </c>
      <c r="S25" s="114" t="n">
        <f aca="false">S7*Inputs!$E$17/1000</f>
        <v>3.6</v>
      </c>
      <c r="T25" s="114" t="n">
        <f aca="false">T7*Inputs!$E$17/1000</f>
        <v>3.6</v>
      </c>
      <c r="U25" s="114" t="n">
        <f aca="false">U7*Inputs!$E$17/1000</f>
        <v>3.6</v>
      </c>
      <c r="V25" s="114" t="n">
        <f aca="false">V7*Inputs!$E$17/1000</f>
        <v>3.6</v>
      </c>
      <c r="W25" s="114" t="n">
        <f aca="false">W7*Inputs!$E$17/1000</f>
        <v>3.6</v>
      </c>
      <c r="X25" s="114" t="n">
        <f aca="false">X7*Inputs!$E$17/1000</f>
        <v>3.6</v>
      </c>
      <c r="Y25" s="114" t="n">
        <f aca="false">Y7*Inputs!$E$17/1000</f>
        <v>3.6</v>
      </c>
    </row>
    <row r="26" customFormat="false" ht="15" hidden="false" customHeight="true" outlineLevel="0" collapsed="false">
      <c r="A26" s="19" t="s">
        <v>639</v>
      </c>
      <c r="B26" s="15" t="s">
        <v>634</v>
      </c>
      <c r="C26" s="114" t="n">
        <f aca="false">C7*Inputs!$E$18/1000</f>
        <v>4.5</v>
      </c>
      <c r="D26" s="114" t="n">
        <f aca="false">D7*Inputs!$E$18/1000</f>
        <v>4.5</v>
      </c>
      <c r="E26" s="114" t="n">
        <f aca="false">E7*Inputs!$E$18/1000</f>
        <v>4.5</v>
      </c>
      <c r="F26" s="114" t="n">
        <f aca="false">F7*Inputs!$E$18/1000</f>
        <v>4.5</v>
      </c>
      <c r="G26" s="114" t="n">
        <f aca="false">G7*Inputs!$E$18/1000</f>
        <v>4.5</v>
      </c>
      <c r="H26" s="114" t="n">
        <f aca="false">H7*Inputs!$E$18/1000</f>
        <v>4.5</v>
      </c>
      <c r="I26" s="114" t="n">
        <f aca="false">I7*Inputs!$E$18/1000</f>
        <v>4.5</v>
      </c>
      <c r="J26" s="114" t="n">
        <f aca="false">J7*Inputs!$E$18/1000</f>
        <v>4.5</v>
      </c>
      <c r="K26" s="114" t="n">
        <f aca="false">K7*Inputs!$E$18/1000</f>
        <v>4.5</v>
      </c>
      <c r="L26" s="114" t="n">
        <f aca="false">L7*Inputs!$D$18/1000</f>
        <v>3.8</v>
      </c>
      <c r="M26" s="114" t="n">
        <f aca="false">M7*Inputs!$F$18/1000</f>
        <v>5.5</v>
      </c>
      <c r="N26" s="114" t="n">
        <f aca="false">N7*Inputs!$E$18/1000</f>
        <v>4.5</v>
      </c>
      <c r="O26" s="114" t="n">
        <f aca="false">O7*Inputs!$E$18/1000</f>
        <v>4.5</v>
      </c>
      <c r="P26" s="114" t="n">
        <f aca="false">P7*Inputs!$E$18/1000</f>
        <v>4.5</v>
      </c>
      <c r="Q26" s="114" t="n">
        <f aca="false">Q7*Inputs!$E$18/1000</f>
        <v>4.5</v>
      </c>
      <c r="R26" s="114" t="n">
        <f aca="false">R7*Inputs!$E$18/1000</f>
        <v>4.5</v>
      </c>
      <c r="S26" s="114" t="n">
        <f aca="false">S7*Inputs!$E$18/1000</f>
        <v>4.5</v>
      </c>
      <c r="T26" s="114" t="n">
        <f aca="false">T7*Inputs!$E$18/1000</f>
        <v>4.5</v>
      </c>
      <c r="U26" s="114" t="n">
        <f aca="false">U7*Inputs!$E$18/1000</f>
        <v>4.5</v>
      </c>
      <c r="V26" s="114" t="n">
        <f aca="false">V7*Inputs!$E$18/1000</f>
        <v>4.5</v>
      </c>
      <c r="W26" s="114" t="n">
        <f aca="false">W7*Inputs!$E$18/1000</f>
        <v>4.5</v>
      </c>
      <c r="X26" s="114" t="n">
        <f aca="false">X7*Inputs!$E$18/1000</f>
        <v>4.5</v>
      </c>
      <c r="Y26" s="114" t="n">
        <f aca="false">Y7*Inputs!$E$18/1000</f>
        <v>4.5</v>
      </c>
    </row>
    <row r="27" customFormat="false" ht="15" hidden="false" customHeight="true" outlineLevel="0" collapsed="false">
      <c r="A27" s="19" t="s">
        <v>640</v>
      </c>
      <c r="B27" s="15" t="s">
        <v>634</v>
      </c>
      <c r="C27" s="114" t="n">
        <f aca="false">C7*Inputs!$E$19/1000</f>
        <v>2.5</v>
      </c>
      <c r="D27" s="114" t="n">
        <f aca="false">D7*Inputs!$E$19/1000</f>
        <v>2.5</v>
      </c>
      <c r="E27" s="114" t="n">
        <f aca="false">E7*Inputs!$E$19/1000</f>
        <v>2.5</v>
      </c>
      <c r="F27" s="114" t="n">
        <f aca="false">F7*Inputs!$E$19/1000</f>
        <v>2.5</v>
      </c>
      <c r="G27" s="114" t="n">
        <f aca="false">G7*Inputs!$E$19/1000</f>
        <v>2.5</v>
      </c>
      <c r="H27" s="114" t="n">
        <f aca="false">H7*Inputs!$E$19/1000</f>
        <v>2.5</v>
      </c>
      <c r="I27" s="114" t="n">
        <f aca="false">I7*Inputs!$E$19/1000</f>
        <v>2.5</v>
      </c>
      <c r="J27" s="114" t="n">
        <f aca="false">J7*Inputs!$E$19/1000</f>
        <v>2.5</v>
      </c>
      <c r="K27" s="114" t="n">
        <f aca="false">K7*Inputs!$E$19/1000</f>
        <v>2.5</v>
      </c>
      <c r="L27" s="114" t="n">
        <f aca="false">L7*Inputs!$E$19/1000</f>
        <v>2.5</v>
      </c>
      <c r="M27" s="114" t="n">
        <f aca="false">M7*Inputs!$E$19/1000</f>
        <v>2.5</v>
      </c>
      <c r="N27" s="114" t="n">
        <f aca="false">N7*Inputs!$E$19/1000</f>
        <v>2.5</v>
      </c>
      <c r="O27" s="114" t="n">
        <f aca="false">O7*Inputs!$E$19/1000</f>
        <v>2.5</v>
      </c>
      <c r="P27" s="114" t="n">
        <f aca="false">P7*Inputs!$E$19/1000</f>
        <v>2.5</v>
      </c>
      <c r="Q27" s="114" t="n">
        <f aca="false">Q7*Inputs!$E$19/1000</f>
        <v>2.5</v>
      </c>
      <c r="R27" s="114" t="n">
        <f aca="false">R7*Inputs!$E$19/1000</f>
        <v>2.5</v>
      </c>
      <c r="S27" s="114" t="n">
        <f aca="false">S7*Inputs!$E$19/1000</f>
        <v>2.5</v>
      </c>
      <c r="T27" s="114" t="n">
        <f aca="false">T7*Inputs!$E$19/1000</f>
        <v>2.5</v>
      </c>
      <c r="U27" s="114" t="n">
        <f aca="false">U7*Inputs!$E$19/1000</f>
        <v>2.5</v>
      </c>
      <c r="V27" s="114" t="n">
        <f aca="false">V7*Inputs!$E$19/1000</f>
        <v>2.5</v>
      </c>
      <c r="W27" s="114" t="n">
        <f aca="false">W7*Inputs!$E$19/1000</f>
        <v>2.5</v>
      </c>
      <c r="X27" s="114" t="n">
        <f aca="false">X7*Inputs!$E$19/1000</f>
        <v>2.5</v>
      </c>
      <c r="Y27" s="114" t="n">
        <f aca="false">Y7*Inputs!$E$19/1000</f>
        <v>2.5</v>
      </c>
    </row>
    <row r="28" customFormat="false" ht="15" hidden="false" customHeight="true" outlineLevel="0" collapsed="false">
      <c r="A28" s="19" t="s">
        <v>641</v>
      </c>
      <c r="B28" s="15" t="s">
        <v>634</v>
      </c>
      <c r="C28" s="114" t="n">
        <f aca="false">C7*Inputs!$E$20/1000</f>
        <v>0.4</v>
      </c>
      <c r="D28" s="114" t="n">
        <f aca="false">D7*Inputs!$E$20/1000</f>
        <v>0.4</v>
      </c>
      <c r="E28" s="114" t="n">
        <f aca="false">E7*Inputs!$E$20/1000</f>
        <v>0.4</v>
      </c>
      <c r="F28" s="114" t="n">
        <f aca="false">F7*Inputs!$E$20/1000</f>
        <v>0.4</v>
      </c>
      <c r="G28" s="114" t="n">
        <f aca="false">G7*Inputs!$E$20/1000</f>
        <v>0.4</v>
      </c>
      <c r="H28" s="114" t="n">
        <f aca="false">H7*Inputs!$E$20/1000</f>
        <v>0.4</v>
      </c>
      <c r="I28" s="114" t="n">
        <f aca="false">I7*Inputs!$E$20/1000</f>
        <v>0.4</v>
      </c>
      <c r="J28" s="114" t="n">
        <f aca="false">J7*Inputs!$E$20/1000</f>
        <v>0.4</v>
      </c>
      <c r="K28" s="114" t="n">
        <f aca="false">K7*Inputs!$E$20/1000</f>
        <v>0.4</v>
      </c>
      <c r="L28" s="114" t="n">
        <f aca="false">L7*Inputs!$E$20/1000</f>
        <v>0.4</v>
      </c>
      <c r="M28" s="114" t="n">
        <f aca="false">M7*Inputs!$E$20/1000</f>
        <v>0.4</v>
      </c>
      <c r="N28" s="114" t="n">
        <f aca="false">N7*Inputs!$E$20/1000</f>
        <v>0.4</v>
      </c>
      <c r="O28" s="114" t="n">
        <f aca="false">O7*Inputs!$E$20/1000</f>
        <v>0.4</v>
      </c>
      <c r="P28" s="114" t="n">
        <f aca="false">P7*Inputs!$E$20/1000</f>
        <v>0.4</v>
      </c>
      <c r="Q28" s="114" t="n">
        <f aca="false">Q7*Inputs!$E$20/1000</f>
        <v>0.4</v>
      </c>
      <c r="R28" s="114" t="n">
        <f aca="false">R7*Inputs!$E$20/1000</f>
        <v>0.4</v>
      </c>
      <c r="S28" s="114" t="n">
        <f aca="false">S7*Inputs!$E$20/1000</f>
        <v>0.4</v>
      </c>
      <c r="T28" s="114" t="n">
        <f aca="false">T7*Inputs!$E$20/1000</f>
        <v>0.4</v>
      </c>
      <c r="U28" s="114" t="n">
        <f aca="false">U7*Inputs!$E$20/1000</f>
        <v>0.4</v>
      </c>
      <c r="V28" s="114" t="n">
        <f aca="false">V7*Inputs!$E$20/1000</f>
        <v>0.4</v>
      </c>
      <c r="W28" s="114" t="n">
        <f aca="false">W7*Inputs!$E$20/1000</f>
        <v>0.4</v>
      </c>
      <c r="X28" s="114" t="n">
        <f aca="false">X7*Inputs!$E$20/1000</f>
        <v>0.4</v>
      </c>
      <c r="Y28" s="114" t="n">
        <f aca="false">Y7*Inputs!$E$20/1000</f>
        <v>0.4</v>
      </c>
    </row>
    <row r="29" customFormat="false" ht="15" hidden="false" customHeight="true" outlineLevel="0" collapsed="false">
      <c r="A29" s="19" t="s">
        <v>642</v>
      </c>
      <c r="B29" s="15" t="s">
        <v>45</v>
      </c>
      <c r="C29" s="109" t="n">
        <f aca="false">Inputs!$E$21</f>
        <v>0.15</v>
      </c>
      <c r="D29" s="109" t="n">
        <f aca="false">Inputs!$E$21</f>
        <v>0.15</v>
      </c>
      <c r="E29" s="109" t="n">
        <f aca="false">Inputs!$E$21</f>
        <v>0.15</v>
      </c>
      <c r="F29" s="109" t="n">
        <f aca="false">Inputs!$E$21</f>
        <v>0.15</v>
      </c>
      <c r="G29" s="109" t="n">
        <f aca="false">Inputs!$E$21</f>
        <v>0.15</v>
      </c>
      <c r="H29" s="109" t="n">
        <f aca="false">Inputs!$E$21</f>
        <v>0.15</v>
      </c>
      <c r="I29" s="109" t="n">
        <f aca="false">Inputs!$E$21</f>
        <v>0.15</v>
      </c>
      <c r="J29" s="109" t="n">
        <f aca="false">Inputs!$E$21</f>
        <v>0.15</v>
      </c>
      <c r="K29" s="109" t="n">
        <f aca="false">Inputs!$E$21</f>
        <v>0.15</v>
      </c>
      <c r="L29" s="109" t="n">
        <f aca="false">Inputs!$E$21</f>
        <v>0.15</v>
      </c>
      <c r="M29" s="109" t="n">
        <f aca="false">Inputs!$E$21</f>
        <v>0.15</v>
      </c>
      <c r="N29" s="109" t="n">
        <f aca="false">Inputs!$E$21</f>
        <v>0.15</v>
      </c>
      <c r="O29" s="109" t="n">
        <f aca="false">Inputs!$E$21</f>
        <v>0.15</v>
      </c>
      <c r="P29" s="109" t="n">
        <f aca="false">Inputs!$E$21</f>
        <v>0.15</v>
      </c>
      <c r="Q29" s="109" t="n">
        <f aca="false">Inputs!$E$21</f>
        <v>0.15</v>
      </c>
      <c r="R29" s="109" t="n">
        <f aca="false">Inputs!$E$21</f>
        <v>0.15</v>
      </c>
      <c r="S29" s="109" t="n">
        <f aca="false">Inputs!$E$21</f>
        <v>0.15</v>
      </c>
      <c r="T29" s="109" t="n">
        <f aca="false">Inputs!$E$21</f>
        <v>0.15</v>
      </c>
      <c r="U29" s="109" t="n">
        <f aca="false">Inputs!$E$21</f>
        <v>0.15</v>
      </c>
      <c r="V29" s="109" t="n">
        <f aca="false">Inputs!$E$21</f>
        <v>0.15</v>
      </c>
      <c r="W29" s="109" t="n">
        <f aca="false">Inputs!$E$21</f>
        <v>0.15</v>
      </c>
      <c r="X29" s="109" t="n">
        <f aca="false">Inputs!$E$21</f>
        <v>0.15</v>
      </c>
      <c r="Y29" s="109" t="n">
        <f aca="false">Inputs!$E$21</f>
        <v>0.15</v>
      </c>
    </row>
    <row r="30" customFormat="false" ht="15" hidden="false" customHeight="true" outlineLevel="0" collapsed="false">
      <c r="A30" s="19" t="s">
        <v>75</v>
      </c>
      <c r="B30" s="15" t="s">
        <v>634</v>
      </c>
      <c r="C30" s="114" t="n">
        <f aca="false">(C25+C26+C27+C28)*C29</f>
        <v>1.65</v>
      </c>
      <c r="D30" s="114" t="n">
        <f aca="false">(D25+D26+D27+D28)*D29</f>
        <v>1.65</v>
      </c>
      <c r="E30" s="114" t="n">
        <f aca="false">(E25+E26+E27+E28)*E29</f>
        <v>1.65</v>
      </c>
      <c r="F30" s="114" t="n">
        <f aca="false">(F25+F26+F27+F28)*F29</f>
        <v>1.65</v>
      </c>
      <c r="G30" s="114" t="n">
        <f aca="false">(G25+G26+G27+G28)*G29</f>
        <v>1.65</v>
      </c>
      <c r="H30" s="114" t="n">
        <f aca="false">(H25+H26+H27+H28)*H29</f>
        <v>1.65</v>
      </c>
      <c r="I30" s="114" t="n">
        <f aca="false">(I25+I26+I27+I28)*I29</f>
        <v>1.65</v>
      </c>
      <c r="J30" s="114" t="n">
        <f aca="false">(J25+J26+J27+J28)*J29</f>
        <v>1.56</v>
      </c>
      <c r="K30" s="114" t="n">
        <f aca="false">(K25+K26+K27+K28)*K29</f>
        <v>1.785</v>
      </c>
      <c r="L30" s="114" t="n">
        <f aca="false">(L25+L26+L27+L28)*L29</f>
        <v>1.545</v>
      </c>
      <c r="M30" s="114" t="n">
        <f aca="false">(M25+M26+M27+M28)*M29</f>
        <v>1.8</v>
      </c>
      <c r="N30" s="114" t="n">
        <f aca="false">(N25+N26+N27+N28)*N29</f>
        <v>1.65</v>
      </c>
      <c r="O30" s="114" t="n">
        <f aca="false">(O25+O26+O27+O28)*O29</f>
        <v>1.65</v>
      </c>
      <c r="P30" s="114" t="n">
        <f aca="false">(P25+P26+P27+P28)*P29</f>
        <v>1.65</v>
      </c>
      <c r="Q30" s="114" t="n">
        <f aca="false">(Q25+Q26+Q27+Q28)*Q29</f>
        <v>1.65</v>
      </c>
      <c r="R30" s="114" t="n">
        <f aca="false">(R25+R26+R27+R28)*R29</f>
        <v>1.65</v>
      </c>
      <c r="S30" s="114" t="n">
        <f aca="false">(S25+S26+S27+S28)*S29</f>
        <v>1.65</v>
      </c>
      <c r="T30" s="114" t="n">
        <f aca="false">(T25+T26+T27+T28)*T29</f>
        <v>1.65</v>
      </c>
      <c r="U30" s="114" t="n">
        <f aca="false">(U25+U26+U27+U28)*U29</f>
        <v>1.65</v>
      </c>
      <c r="V30" s="114" t="n">
        <f aca="false">(V25+V26+V27+V28)*V29</f>
        <v>1.65</v>
      </c>
      <c r="W30" s="114" t="n">
        <f aca="false">(W25+W26+W27+W28)*W29</f>
        <v>1.65</v>
      </c>
      <c r="X30" s="114" t="n">
        <f aca="false">(X25+X26+X27+X28)*X29</f>
        <v>1.65</v>
      </c>
      <c r="Y30" s="114" t="n">
        <f aca="false">(Y25+Y26+Y27+Y28)*Y29</f>
        <v>1.65</v>
      </c>
    </row>
    <row r="31" customFormat="false" ht="15" hidden="false" customHeight="true" outlineLevel="0" collapsed="false">
      <c r="A31" s="19" t="s">
        <v>643</v>
      </c>
      <c r="B31" s="15" t="s">
        <v>634</v>
      </c>
      <c r="C31" s="114" t="n">
        <f aca="false">C24+C25+C26+C27+C28+C30</f>
        <v>12.67</v>
      </c>
      <c r="D31" s="114" t="n">
        <f aca="false">D24+D25+D26+D27+D28+D30</f>
        <v>12.67</v>
      </c>
      <c r="E31" s="114" t="n">
        <f aca="false">E24+E25+E26+E27+E28+E30</f>
        <v>12.67</v>
      </c>
      <c r="F31" s="114" t="n">
        <f aca="false">F24+F25+F26+F27+F28+F30</f>
        <v>12.67</v>
      </c>
      <c r="G31" s="114" t="n">
        <f aca="false">G24+G25+G26+G27+G28+G30</f>
        <v>12.67</v>
      </c>
      <c r="H31" s="114" t="n">
        <f aca="false">H24+H25+H26+H27+H28+H30</f>
        <v>12.67</v>
      </c>
      <c r="I31" s="114" t="n">
        <f aca="false">I24+I25+I26+I27+I28+I30</f>
        <v>12.67</v>
      </c>
      <c r="J31" s="114" t="n">
        <f aca="false">J24+J25+J26+J27+J28+J30</f>
        <v>11.98</v>
      </c>
      <c r="K31" s="114" t="n">
        <f aca="false">K24+K25+K26+K27+K28+K30</f>
        <v>13.705</v>
      </c>
      <c r="L31" s="114" t="n">
        <f aca="false">L24+L25+L26+L27+L28+L30</f>
        <v>11.865</v>
      </c>
      <c r="M31" s="114" t="n">
        <f aca="false">M24+M25+M26+M27+M28+M30</f>
        <v>13.82</v>
      </c>
      <c r="N31" s="114" t="n">
        <f aca="false">N24+N25+N26+N27+N28+N30</f>
        <v>12.67</v>
      </c>
      <c r="O31" s="114" t="n">
        <f aca="false">O24+O25+O26+O27+O28+O30</f>
        <v>12.67</v>
      </c>
      <c r="P31" s="114" t="n">
        <f aca="false">P24+P25+P26+P27+P28+P30</f>
        <v>12.67</v>
      </c>
      <c r="Q31" s="114" t="n">
        <f aca="false">Q24+Q25+Q26+Q27+Q28+Q30</f>
        <v>12.67</v>
      </c>
      <c r="R31" s="114" t="n">
        <f aca="false">R24+R25+R26+R27+R28+R30</f>
        <v>12.67</v>
      </c>
      <c r="S31" s="114" t="n">
        <f aca="false">S24+S25+S26+S27+S28+S30</f>
        <v>12.67</v>
      </c>
      <c r="T31" s="114" t="n">
        <f aca="false">T24+T25+T26+T27+T28+T30</f>
        <v>12.67</v>
      </c>
      <c r="U31" s="114" t="n">
        <f aca="false">U24+U25+U26+U27+U28+U30</f>
        <v>12.67</v>
      </c>
      <c r="V31" s="114" t="n">
        <f aca="false">V24+V25+V26+V27+V28+V30</f>
        <v>12.67</v>
      </c>
      <c r="W31" s="114" t="n">
        <f aca="false">W24+W25+W26+W27+W28+W30</f>
        <v>12.67</v>
      </c>
      <c r="X31" s="114" t="n">
        <f aca="false">X24+X25+X26+X27+X28+X30</f>
        <v>12.67</v>
      </c>
      <c r="Y31" s="114" t="n">
        <f aca="false">Y24+Y25+Y26+Y27+Y28+Y30</f>
        <v>12.67</v>
      </c>
    </row>
    <row r="32" customFormat="false" ht="15" hidden="false" customHeight="true" outlineLevel="0" collapsed="false">
      <c r="A32" s="19" t="s">
        <v>644</v>
      </c>
      <c r="B32" s="15" t="s">
        <v>634</v>
      </c>
      <c r="C32" s="115" t="n">
        <f aca="false">C23+C31</f>
        <v>47.582032</v>
      </c>
      <c r="D32" s="115" t="n">
        <f aca="false">D23+D31</f>
        <v>42.679112</v>
      </c>
      <c r="E32" s="115" t="n">
        <f aca="false">E23+E31</f>
        <v>53.376392</v>
      </c>
      <c r="F32" s="115" t="n">
        <f aca="false">F23+F31</f>
        <v>54.388672</v>
      </c>
      <c r="G32" s="115" t="n">
        <f aca="false">G23+G31</f>
        <v>47.134</v>
      </c>
      <c r="H32" s="115" t="n">
        <f aca="false">H23+H31</f>
        <v>46.001752</v>
      </c>
      <c r="I32" s="115" t="n">
        <f aca="false">I23+I31</f>
        <v>49.162312</v>
      </c>
      <c r="J32" s="115" t="n">
        <f aca="false">J23+J31</f>
        <v>46.892032</v>
      </c>
      <c r="K32" s="115" t="n">
        <f aca="false">K23+K31</f>
        <v>48.617032</v>
      </c>
      <c r="L32" s="115" t="n">
        <f aca="false">L23+L31</f>
        <v>46.777032</v>
      </c>
      <c r="M32" s="115" t="n">
        <f aca="false">M23+M31</f>
        <v>48.732032</v>
      </c>
      <c r="N32" s="115" t="n">
        <f aca="false">N23+N31</f>
        <v>47.582032</v>
      </c>
      <c r="O32" s="115" t="n">
        <f aca="false">O23+O31</f>
        <v>47.582032</v>
      </c>
      <c r="P32" s="115" t="n">
        <f aca="false">P23+P31</f>
        <v>47.582032</v>
      </c>
      <c r="Q32" s="115" t="n">
        <f aca="false">Q23+Q31</f>
        <v>47.582032</v>
      </c>
      <c r="R32" s="115" t="n">
        <f aca="false">R23+R31</f>
        <v>47.582032</v>
      </c>
      <c r="S32" s="115" t="n">
        <f aca="false">S23+S31</f>
        <v>47.582032</v>
      </c>
      <c r="T32" s="115" t="n">
        <f aca="false">T23+T31</f>
        <v>47.582032</v>
      </c>
      <c r="U32" s="115" t="n">
        <f aca="false">U23+U31</f>
        <v>47.582032</v>
      </c>
      <c r="V32" s="115" t="n">
        <f aca="false">V23+V31</f>
        <v>47.582032</v>
      </c>
      <c r="W32" s="115" t="n">
        <f aca="false">W23+W31</f>
        <v>47.582032</v>
      </c>
      <c r="X32" s="115" t="n">
        <f aca="false">X23+X31</f>
        <v>48.72796</v>
      </c>
      <c r="Y32" s="115" t="n">
        <f aca="false">Y23+Y31</f>
        <v>46.065616</v>
      </c>
    </row>
    <row r="33" customFormat="false" ht="15" hidden="false" customHeight="true" outlineLevel="0" collapsed="false">
      <c r="A33" s="19" t="s">
        <v>645</v>
      </c>
      <c r="B33" s="15" t="s">
        <v>646</v>
      </c>
      <c r="C33" s="116" t="n">
        <f aca="false">C32*1000000/C13</f>
        <v>163.095151914007</v>
      </c>
      <c r="D33" s="116" t="n">
        <f aca="false">D32*1000000/D13</f>
        <v>146.289596358451</v>
      </c>
      <c r="E33" s="116" t="n">
        <f aca="false">E32*1000000/E13</f>
        <v>182.956263025118</v>
      </c>
      <c r="F33" s="116" t="n">
        <f aca="false">F32*1000000/F13</f>
        <v>156.009546101244</v>
      </c>
      <c r="G33" s="116" t="n">
        <f aca="false">G32*1000000/G13</f>
        <v>163.659722222222</v>
      </c>
      <c r="H33" s="116" t="n">
        <f aca="false">H32*1000000/H13</f>
        <v>157.67848524734</v>
      </c>
      <c r="I33" s="116" t="n">
        <f aca="false">I32*1000000/I13</f>
        <v>168.511818580673</v>
      </c>
      <c r="J33" s="116" t="n">
        <f aca="false">J32*1000000/J13</f>
        <v>160.73006471427</v>
      </c>
      <c r="K33" s="116" t="n">
        <f aca="false">K32*1000000/K13</f>
        <v>166.642782713612</v>
      </c>
      <c r="L33" s="116" t="n">
        <f aca="false">L32*1000000/L13</f>
        <v>160.335883514314</v>
      </c>
      <c r="M33" s="116" t="n">
        <f aca="false">M32*1000000/M13</f>
        <v>167.036963913568</v>
      </c>
      <c r="N33" s="116" t="n">
        <f aca="false">N32*1000000/N13</f>
        <v>163.095151914007</v>
      </c>
      <c r="O33" s="116" t="n">
        <f aca="false">O32*1000000/O13</f>
        <v>163.095151914007</v>
      </c>
      <c r="P33" s="116" t="n">
        <f aca="false">P32*1000000/P13</f>
        <v>163.095151914007</v>
      </c>
      <c r="Q33" s="116" t="n">
        <f aca="false">Q32*1000000/Q13</f>
        <v>163.095151914007</v>
      </c>
      <c r="R33" s="116" t="n">
        <f aca="false">R32*1000000/R13</f>
        <v>163.095151914007</v>
      </c>
      <c r="S33" s="116" t="n">
        <f aca="false">S32*1000000/S13</f>
        <v>163.095151914007</v>
      </c>
      <c r="T33" s="116" t="n">
        <f aca="false">T32*1000000/T13</f>
        <v>163.095151914007</v>
      </c>
      <c r="U33" s="116" t="n">
        <f aca="false">U32*1000000/U13</f>
        <v>163.095151914007</v>
      </c>
      <c r="V33" s="116" t="n">
        <f aca="false">V32*1000000/V13</f>
        <v>163.095151914007</v>
      </c>
      <c r="W33" s="116" t="n">
        <f aca="false">W32*1000000/W13</f>
        <v>163.095151914007</v>
      </c>
      <c r="X33" s="116" t="n">
        <f aca="false">X32*1000000/X13</f>
        <v>161.714987388823</v>
      </c>
      <c r="Y33" s="116" t="n">
        <f aca="false">Y32*1000000/Y13</f>
        <v>165.067136796239</v>
      </c>
    </row>
    <row r="34" customFormat="false" ht="15" hidden="false" customHeight="true" outlineLevel="0" collapsed="false">
      <c r="A34" s="19" t="s">
        <v>647</v>
      </c>
      <c r="B34" s="15" t="s">
        <v>632</v>
      </c>
      <c r="C34" s="116" t="n">
        <f aca="false">C32*1000/C7</f>
        <v>47.582032</v>
      </c>
      <c r="D34" s="116" t="n">
        <f aca="false">D32*1000/D7</f>
        <v>42.679112</v>
      </c>
      <c r="E34" s="116" t="n">
        <f aca="false">E32*1000/E7</f>
        <v>53.376392</v>
      </c>
      <c r="F34" s="116" t="n">
        <f aca="false">F32*1000/F7</f>
        <v>54.388672</v>
      </c>
      <c r="G34" s="116" t="n">
        <f aca="false">G32*1000/G7</f>
        <v>47.134</v>
      </c>
      <c r="H34" s="116" t="n">
        <f aca="false">H32*1000/H7</f>
        <v>46.001752</v>
      </c>
      <c r="I34" s="116" t="n">
        <f aca="false">I32*1000/I7</f>
        <v>49.162312</v>
      </c>
      <c r="J34" s="116" t="n">
        <f aca="false">J32*1000/J7</f>
        <v>46.892032</v>
      </c>
      <c r="K34" s="116" t="n">
        <f aca="false">K32*1000/K7</f>
        <v>48.617032</v>
      </c>
      <c r="L34" s="116" t="n">
        <f aca="false">L32*1000/L7</f>
        <v>46.777032</v>
      </c>
      <c r="M34" s="116" t="n">
        <f aca="false">M32*1000/M7</f>
        <v>48.732032</v>
      </c>
      <c r="N34" s="116" t="n">
        <f aca="false">N32*1000/N7</f>
        <v>47.582032</v>
      </c>
      <c r="O34" s="116" t="n">
        <f aca="false">O32*1000/O7</f>
        <v>47.582032</v>
      </c>
      <c r="P34" s="116" t="n">
        <f aca="false">P32*1000/P7</f>
        <v>47.582032</v>
      </c>
      <c r="Q34" s="116" t="n">
        <f aca="false">Q32*1000/Q7</f>
        <v>47.582032</v>
      </c>
      <c r="R34" s="116" t="n">
        <f aca="false">R32*1000/R7</f>
        <v>47.582032</v>
      </c>
      <c r="S34" s="116" t="n">
        <f aca="false">S32*1000/S7</f>
        <v>47.582032</v>
      </c>
      <c r="T34" s="116" t="n">
        <f aca="false">T32*1000/T7</f>
        <v>47.582032</v>
      </c>
      <c r="U34" s="116" t="n">
        <f aca="false">U32*1000/U7</f>
        <v>47.582032</v>
      </c>
      <c r="V34" s="116" t="n">
        <f aca="false">V32*1000/V7</f>
        <v>47.582032</v>
      </c>
      <c r="W34" s="116" t="n">
        <f aca="false">W32*1000/W7</f>
        <v>47.582032</v>
      </c>
      <c r="X34" s="116" t="n">
        <f aca="false">X32*1000/X7</f>
        <v>48.72796</v>
      </c>
      <c r="Y34" s="116" t="n">
        <f aca="false">Y32*1000/Y7</f>
        <v>46.065616</v>
      </c>
    </row>
    <row r="35" customFormat="false" ht="15" hidden="false" customHeight="true" outlineLevel="0" collapsed="false">
      <c r="A35" s="19" t="s">
        <v>648</v>
      </c>
      <c r="B35" s="15" t="s">
        <v>632</v>
      </c>
      <c r="C35" s="114" t="n">
        <f aca="false">C31*1000/C7</f>
        <v>12.67</v>
      </c>
      <c r="D35" s="114" t="n">
        <f aca="false">D31*1000/D7</f>
        <v>12.67</v>
      </c>
      <c r="E35" s="114" t="n">
        <f aca="false">E31*1000/E7</f>
        <v>12.67</v>
      </c>
      <c r="F35" s="114" t="n">
        <f aca="false">F31*1000/F7</f>
        <v>12.67</v>
      </c>
      <c r="G35" s="114" t="n">
        <f aca="false">G31*1000/G7</f>
        <v>12.67</v>
      </c>
      <c r="H35" s="114" t="n">
        <f aca="false">H31*1000/H7</f>
        <v>12.67</v>
      </c>
      <c r="I35" s="114" t="n">
        <f aca="false">I31*1000/I7</f>
        <v>12.67</v>
      </c>
      <c r="J35" s="114" t="n">
        <f aca="false">J31*1000/J7</f>
        <v>11.98</v>
      </c>
      <c r="K35" s="114" t="n">
        <f aca="false">K31*1000/K7</f>
        <v>13.705</v>
      </c>
      <c r="L35" s="114" t="n">
        <f aca="false">L31*1000/L7</f>
        <v>11.865</v>
      </c>
      <c r="M35" s="114" t="n">
        <f aca="false">M31*1000/M7</f>
        <v>13.82</v>
      </c>
      <c r="N35" s="114" t="n">
        <f aca="false">N31*1000/N7</f>
        <v>12.67</v>
      </c>
      <c r="O35" s="114" t="n">
        <f aca="false">O31*1000/O7</f>
        <v>12.67</v>
      </c>
      <c r="P35" s="114" t="n">
        <f aca="false">P31*1000/P7</f>
        <v>12.67</v>
      </c>
      <c r="Q35" s="114" t="n">
        <f aca="false">Q31*1000/Q7</f>
        <v>12.67</v>
      </c>
      <c r="R35" s="114" t="n">
        <f aca="false">R31*1000/R7</f>
        <v>12.67</v>
      </c>
      <c r="S35" s="114" t="n">
        <f aca="false">S31*1000/S7</f>
        <v>12.67</v>
      </c>
      <c r="T35" s="114" t="n">
        <f aca="false">T31*1000/T7</f>
        <v>12.67</v>
      </c>
      <c r="U35" s="114" t="n">
        <f aca="false">U31*1000/U7</f>
        <v>12.67</v>
      </c>
      <c r="V35" s="114" t="n">
        <f aca="false">V31*1000/V7</f>
        <v>12.67</v>
      </c>
      <c r="W35" s="114" t="n">
        <f aca="false">W31*1000/W7</f>
        <v>12.67</v>
      </c>
      <c r="X35" s="114" t="n">
        <f aca="false">X31*1000/X7</f>
        <v>12.67</v>
      </c>
      <c r="Y35" s="114" t="n">
        <f aca="false">Y31*1000/Y7</f>
        <v>12.67</v>
      </c>
    </row>
    <row r="36" customFormat="false" ht="15" hidden="false" customHeight="true" outlineLevel="0" collapsed="false">
      <c r="A36" s="24" t="s">
        <v>649</v>
      </c>
      <c r="B36" s="13"/>
      <c r="C36" s="13"/>
    </row>
    <row r="37" customFormat="false" ht="15" hidden="false" customHeight="true" outlineLevel="0" collapsed="false">
      <c r="A37" s="14" t="s">
        <v>650</v>
      </c>
      <c r="B37" s="20" t="s">
        <v>80</v>
      </c>
      <c r="C37" s="117" t="n">
        <f aca="false">Inputs!$E$23</f>
        <v>6</v>
      </c>
      <c r="D37" s="117" t="n">
        <f aca="false">Inputs!$E$23</f>
        <v>6</v>
      </c>
      <c r="E37" s="117" t="n">
        <f aca="false">Inputs!$E$23</f>
        <v>6</v>
      </c>
      <c r="F37" s="117" t="n">
        <f aca="false">Inputs!$E$23</f>
        <v>6</v>
      </c>
      <c r="G37" s="117" t="n">
        <f aca="false">Inputs!$E$23</f>
        <v>6</v>
      </c>
      <c r="H37" s="117" t="n">
        <f aca="false">Inputs!$E$23</f>
        <v>6</v>
      </c>
      <c r="I37" s="117" t="n">
        <f aca="false">Inputs!$E$23</f>
        <v>6</v>
      </c>
      <c r="J37" s="117" t="n">
        <f aca="false">Inputs!$E$23</f>
        <v>6</v>
      </c>
      <c r="K37" s="117" t="n">
        <f aca="false">Inputs!$E$23</f>
        <v>6</v>
      </c>
      <c r="L37" s="117" t="n">
        <f aca="false">Inputs!$E$23</f>
        <v>6</v>
      </c>
      <c r="M37" s="117" t="n">
        <f aca="false">Inputs!$E$23</f>
        <v>6</v>
      </c>
      <c r="N37" s="137" t="n">
        <f aca="false">7</f>
        <v>7</v>
      </c>
      <c r="O37" s="117" t="n">
        <f aca="false">Inputs!$F$23</f>
        <v>4</v>
      </c>
      <c r="P37" s="117" t="n">
        <f aca="false">Inputs!$E$23</f>
        <v>6</v>
      </c>
      <c r="Q37" s="117" t="n">
        <f aca="false">Inputs!$E$23</f>
        <v>6</v>
      </c>
      <c r="R37" s="117" t="n">
        <f aca="false">Inputs!$E$23</f>
        <v>6</v>
      </c>
      <c r="S37" s="117" t="n">
        <f aca="false">Inputs!$E$23</f>
        <v>6</v>
      </c>
      <c r="T37" s="117" t="n">
        <f aca="false">Inputs!$E$23</f>
        <v>6</v>
      </c>
      <c r="U37" s="117" t="n">
        <f aca="false">Inputs!$E$23</f>
        <v>6</v>
      </c>
      <c r="V37" s="117" t="n">
        <f aca="false">Inputs!$E$23</f>
        <v>6</v>
      </c>
      <c r="W37" s="117" t="n">
        <f aca="false">Inputs!$E$23</f>
        <v>6</v>
      </c>
      <c r="X37" s="117" t="n">
        <f aca="false">Inputs!$E$23</f>
        <v>6</v>
      </c>
      <c r="Y37" s="117" t="n">
        <f aca="false">Inputs!$E$23</f>
        <v>6</v>
      </c>
    </row>
    <row r="38" customFormat="false" ht="15" hidden="false" customHeight="true" outlineLevel="0" collapsed="false">
      <c r="A38" s="14" t="s">
        <v>651</v>
      </c>
      <c r="B38" s="15" t="s">
        <v>634</v>
      </c>
      <c r="C38" s="114" t="n">
        <f aca="false">C23/C37</f>
        <v>5.818672</v>
      </c>
      <c r="D38" s="114" t="n">
        <f aca="false">D23/D37</f>
        <v>5.00151866666667</v>
      </c>
      <c r="E38" s="114" t="n">
        <f aca="false">E23/E37</f>
        <v>6.78439866666667</v>
      </c>
      <c r="F38" s="114" t="n">
        <f aca="false">F23/F37</f>
        <v>6.953112</v>
      </c>
      <c r="G38" s="114" t="n">
        <f aca="false">G23/G37</f>
        <v>5.744</v>
      </c>
      <c r="H38" s="114" t="n">
        <f aca="false">H23/H37</f>
        <v>5.555292</v>
      </c>
      <c r="I38" s="114" t="n">
        <f aca="false">I23/I37</f>
        <v>6.082052</v>
      </c>
      <c r="J38" s="114" t="n">
        <f aca="false">J23/J37</f>
        <v>5.818672</v>
      </c>
      <c r="K38" s="114" t="n">
        <f aca="false">K23/K37</f>
        <v>5.818672</v>
      </c>
      <c r="L38" s="114" t="n">
        <f aca="false">L23/L37</f>
        <v>5.818672</v>
      </c>
      <c r="M38" s="114" t="n">
        <f aca="false">M23/M37</f>
        <v>5.818672</v>
      </c>
      <c r="N38" s="114" t="n">
        <f aca="false">N23/N37</f>
        <v>4.98743314285714</v>
      </c>
      <c r="O38" s="114" t="n">
        <f aca="false">O23/O37</f>
        <v>8.728008</v>
      </c>
      <c r="P38" s="114" t="n">
        <f aca="false">P23/P37</f>
        <v>5.818672</v>
      </c>
      <c r="Q38" s="114" t="n">
        <f aca="false">Q23/Q37</f>
        <v>5.818672</v>
      </c>
      <c r="R38" s="114" t="n">
        <f aca="false">R23/R37</f>
        <v>5.818672</v>
      </c>
      <c r="S38" s="114" t="n">
        <f aca="false">S23/S37</f>
        <v>5.818672</v>
      </c>
      <c r="T38" s="114" t="n">
        <f aca="false">T23/T37</f>
        <v>5.818672</v>
      </c>
      <c r="U38" s="114" t="n">
        <f aca="false">U23/U37</f>
        <v>5.818672</v>
      </c>
      <c r="V38" s="114" t="n">
        <f aca="false">V23/V37</f>
        <v>5.818672</v>
      </c>
      <c r="W38" s="114" t="n">
        <f aca="false">W23/W37</f>
        <v>5.818672</v>
      </c>
      <c r="X38" s="114" t="n">
        <f aca="false">X23/X37</f>
        <v>6.00966</v>
      </c>
      <c r="Y38" s="114" t="n">
        <f aca="false">Y23/Y37</f>
        <v>5.565936</v>
      </c>
    </row>
    <row r="39" customFormat="false" ht="15" hidden="false" customHeight="true" outlineLevel="0" collapsed="false">
      <c r="A39" s="19" t="s">
        <v>652</v>
      </c>
      <c r="B39" s="15" t="s">
        <v>634</v>
      </c>
      <c r="C39" s="114" t="n">
        <f aca="false">(C25/Inputs!$E$24+C26/Inputs!$E$25+C27/Inputs!$E$26+C28/Inputs!$E$27)*(1+C29)</f>
        <v>0.634416666666667</v>
      </c>
      <c r="D39" s="114" t="n">
        <f aca="false">(D25/Inputs!$E$24+D26/Inputs!$E$25+D27/Inputs!$E$26+D28/Inputs!$E$27)*(1+D29)</f>
        <v>0.634416666666667</v>
      </c>
      <c r="E39" s="114" t="n">
        <f aca="false">(E25/Inputs!$E$24+E26/Inputs!$E$25+E27/Inputs!$E$26+E28/Inputs!$E$27)*(1+E29)</f>
        <v>0.634416666666667</v>
      </c>
      <c r="F39" s="114" t="n">
        <f aca="false">(F25/Inputs!$E$24+F26/Inputs!$E$25+F27/Inputs!$E$26+F28/Inputs!$E$27)*(1+F29)</f>
        <v>0.634416666666667</v>
      </c>
      <c r="G39" s="114" t="n">
        <f aca="false">(G25/Inputs!$E$24+G26/Inputs!$E$25+G27/Inputs!$E$26+G28/Inputs!$E$27)*(1+G29)</f>
        <v>0.634416666666667</v>
      </c>
      <c r="H39" s="114" t="n">
        <f aca="false">(H25/Inputs!$E$24+H26/Inputs!$E$25+H27/Inputs!$E$26+H28/Inputs!$E$27)*(1+H29)</f>
        <v>0.634416666666667</v>
      </c>
      <c r="I39" s="114" t="n">
        <f aca="false">(I25/Inputs!$E$24+I26/Inputs!$E$25+I27/Inputs!$E$26+I28/Inputs!$E$27)*(1+I29)</f>
        <v>0.634416666666667</v>
      </c>
      <c r="J39" s="114" t="n">
        <f aca="false">(J25/Inputs!$E$24+J26/Inputs!$E$25+J27/Inputs!$E$26+J28/Inputs!$E$27)*(1+J29)</f>
        <v>0.611416666666667</v>
      </c>
      <c r="K39" s="114" t="n">
        <f aca="false">(K25/Inputs!$E$24+K26/Inputs!$E$25+K27/Inputs!$E$26+K28/Inputs!$E$27)*(1+K29)</f>
        <v>0.668916666666667</v>
      </c>
      <c r="L39" s="114" t="n">
        <f aca="false">(L25/Inputs!$E$24+L26/Inputs!$E$25+L27/Inputs!$E$26+L28/Inputs!$E$27)*(1+L29)</f>
        <v>0.594166666666667</v>
      </c>
      <c r="M39" s="114" t="n">
        <f aca="false">(M25/Inputs!$E$24+M26/Inputs!$E$25+M27/Inputs!$E$26+M28/Inputs!$E$27)*(1+M29)</f>
        <v>0.691916666666667</v>
      </c>
      <c r="N39" s="114" t="n">
        <f aca="false">(N25/Inputs!$E$24+N26/Inputs!$E$25+N27/Inputs!$E$26+N28/Inputs!$E$27)*(1+N29)</f>
        <v>0.634416666666667</v>
      </c>
      <c r="O39" s="114" t="n">
        <f aca="false">(O25/Inputs!$E$24+O26/Inputs!$E$25+O27/Inputs!$E$26+O28/Inputs!$E$27)*(1+O29)</f>
        <v>0.634416666666667</v>
      </c>
      <c r="P39" s="114" t="n">
        <f aca="false">(P25/Inputs!$E$24+P26/Inputs!$E$25+P27/Inputs!$E$26+P28/Inputs!$E$27)*(1+P29)</f>
        <v>0.634416666666667</v>
      </c>
      <c r="Q39" s="114" t="n">
        <f aca="false">(Q25/Inputs!$E$24+Q26/Inputs!$E$25+Q27/Inputs!$E$26+Q28/Inputs!$E$27)*(1+Q29)</f>
        <v>0.634416666666667</v>
      </c>
      <c r="R39" s="114" t="n">
        <f aca="false">(R25/Inputs!$E$24+R26/Inputs!$E$25+R27/Inputs!$E$26+R28/Inputs!$E$27)*(1+R29)</f>
        <v>0.634416666666667</v>
      </c>
      <c r="S39" s="114" t="n">
        <f aca="false">(S25/Inputs!$E$24+S26/Inputs!$E$25+S27/Inputs!$E$26+S28/Inputs!$E$27)*(1+S29)</f>
        <v>0.634416666666667</v>
      </c>
      <c r="T39" s="114" t="n">
        <f aca="false">(T25/Inputs!$E$24+T26/Inputs!$E$25+T27/Inputs!$E$26+T28/Inputs!$E$27)*(1+T29)</f>
        <v>0.634416666666667</v>
      </c>
      <c r="U39" s="114" t="n">
        <f aca="false">(U25/Inputs!$E$24+U26/Inputs!$E$25+U27/Inputs!$E$26+U28/Inputs!$E$27)*(1+U29)</f>
        <v>0.634416666666667</v>
      </c>
      <c r="V39" s="114" t="n">
        <f aca="false">(V25/Inputs!$E$24+V26/Inputs!$E$25+V27/Inputs!$E$26+V28/Inputs!$E$27)*(1+V29)</f>
        <v>0.634416666666667</v>
      </c>
      <c r="W39" s="114" t="n">
        <f aca="false">(W25/Inputs!$E$24+W26/Inputs!$E$25+W27/Inputs!$E$26+W28/Inputs!$E$27)*(1+W29)</f>
        <v>0.634416666666667</v>
      </c>
      <c r="X39" s="114" t="n">
        <f aca="false">(X25/Inputs!$E$24+X26/Inputs!$E$25+X27/Inputs!$E$26+X28/Inputs!$E$27)*(1+X29)</f>
        <v>0.634416666666667</v>
      </c>
      <c r="Y39" s="11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52</v>
      </c>
      <c r="B40" s="15" t="s">
        <v>45</v>
      </c>
      <c r="C40" s="109" t="n">
        <f aca="false">Inputs!$E$10</f>
        <v>0.8</v>
      </c>
      <c r="D40" s="109" t="n">
        <f aca="false">Inputs!$E$10</f>
        <v>0.8</v>
      </c>
      <c r="E40" s="109" t="n">
        <f aca="false">Inputs!$E$10</f>
        <v>0.8</v>
      </c>
      <c r="F40" s="109" t="n">
        <f aca="false">Inputs!$E$10</f>
        <v>0.8</v>
      </c>
      <c r="G40" s="109" t="n">
        <f aca="false">Inputs!$E$10</f>
        <v>0.8</v>
      </c>
      <c r="H40" s="109" t="n">
        <f aca="false">Inputs!$E$10</f>
        <v>0.8</v>
      </c>
      <c r="I40" s="109" t="n">
        <f aca="false">Inputs!$E$10</f>
        <v>0.8</v>
      </c>
      <c r="J40" s="109" t="n">
        <f aca="false">Inputs!$E$10</f>
        <v>0.8</v>
      </c>
      <c r="K40" s="109" t="n">
        <f aca="false">Inputs!$E$10</f>
        <v>0.8</v>
      </c>
      <c r="L40" s="109" t="n">
        <f aca="false">Inputs!$E$10</f>
        <v>0.8</v>
      </c>
      <c r="M40" s="109" t="n">
        <f aca="false">Inputs!$E$10</f>
        <v>0.8</v>
      </c>
      <c r="N40" s="109" t="n">
        <f aca="false">Inputs!$E$10</f>
        <v>0.8</v>
      </c>
      <c r="O40" s="109" t="n">
        <f aca="false">Inputs!$E$10</f>
        <v>0.8</v>
      </c>
      <c r="P40" s="109" t="n">
        <f aca="false">Inputs!$E$10</f>
        <v>0.8</v>
      </c>
      <c r="Q40" s="109" t="n">
        <f aca="false">Inputs!$E$10</f>
        <v>0.8</v>
      </c>
      <c r="R40" s="109" t="n">
        <f aca="false">Inputs!$E$10</f>
        <v>0.8</v>
      </c>
      <c r="S40" s="109" t="n">
        <f aca="false">Inputs!$E$10</f>
        <v>0.8</v>
      </c>
      <c r="T40" s="109" t="n">
        <f aca="false">Inputs!$E$10</f>
        <v>0.8</v>
      </c>
      <c r="U40" s="109" t="n">
        <f aca="false">Inputs!$E$10</f>
        <v>0.8</v>
      </c>
      <c r="V40" s="109" t="n">
        <f aca="false">Inputs!$D$10</f>
        <v>0.7</v>
      </c>
      <c r="W40" s="109" t="n">
        <f aca="false">Inputs!$F$10</f>
        <v>0.9</v>
      </c>
      <c r="X40" s="109" t="n">
        <f aca="false">Inputs!$E$10</f>
        <v>0.8</v>
      </c>
      <c r="Y40" s="109" t="n">
        <f aca="false">Inputs!$E$10</f>
        <v>0.8</v>
      </c>
    </row>
    <row r="41" customFormat="false" ht="15" hidden="false" customHeight="true" outlineLevel="0" collapsed="false">
      <c r="A41" s="19" t="s">
        <v>54</v>
      </c>
      <c r="B41" s="15" t="s">
        <v>55</v>
      </c>
      <c r="C41" s="118" t="n">
        <f aca="false">Inputs!$E$11</f>
        <v>0.08</v>
      </c>
      <c r="D41" s="118" t="n">
        <f aca="false">Inputs!$E$11</f>
        <v>0.08</v>
      </c>
      <c r="E41" s="118" t="n">
        <f aca="false">Inputs!$E$11</f>
        <v>0.08</v>
      </c>
      <c r="F41" s="118" t="n">
        <f aca="false">Inputs!$E$11</f>
        <v>0.08</v>
      </c>
      <c r="G41" s="118" t="n">
        <f aca="false">Inputs!$E$11</f>
        <v>0.08</v>
      </c>
      <c r="H41" s="118" t="n">
        <f aca="false">Inputs!$E$11</f>
        <v>0.08</v>
      </c>
      <c r="I41" s="118" t="n">
        <f aca="false">Inputs!$E$11</f>
        <v>0.08</v>
      </c>
      <c r="J41" s="118" t="n">
        <f aca="false">Inputs!$E$11</f>
        <v>0.08</v>
      </c>
      <c r="K41" s="118" t="n">
        <f aca="false">Inputs!$E$11</f>
        <v>0.08</v>
      </c>
      <c r="L41" s="118" t="n">
        <f aca="false">Inputs!$E$11</f>
        <v>0.08</v>
      </c>
      <c r="M41" s="118" t="n">
        <f aca="false">Inputs!$E$11</f>
        <v>0.08</v>
      </c>
      <c r="N41" s="118" t="n">
        <f aca="false">Inputs!$E$11</f>
        <v>0.08</v>
      </c>
      <c r="O41" s="118" t="n">
        <f aca="false">Inputs!$E$11</f>
        <v>0.08</v>
      </c>
      <c r="P41" s="118" t="n">
        <f aca="false">Inputs!$E$11</f>
        <v>0.08</v>
      </c>
      <c r="Q41" s="118" t="n">
        <f aca="false">Inputs!$E$11</f>
        <v>0.08</v>
      </c>
      <c r="R41" s="118" t="n">
        <f aca="false">Inputs!$D$11</f>
        <v>0.06</v>
      </c>
      <c r="S41" s="118" t="n">
        <f aca="false">Inputs!$F$11</f>
        <v>0.1</v>
      </c>
      <c r="T41" s="118" t="n">
        <f aca="false">Inputs!$E$11</f>
        <v>0.08</v>
      </c>
      <c r="U41" s="118" t="n">
        <f aca="false">Inputs!$E$11</f>
        <v>0.08</v>
      </c>
      <c r="V41" s="118" t="n">
        <f aca="false">Inputs!$E$11</f>
        <v>0.08</v>
      </c>
      <c r="W41" s="118" t="n">
        <f aca="false">Inputs!$E$11</f>
        <v>0.08</v>
      </c>
      <c r="X41" s="118" t="n">
        <f aca="false">Inputs!$E$11</f>
        <v>0.08</v>
      </c>
      <c r="Y41" s="118" t="n">
        <f aca="false">Inputs!$E$11</f>
        <v>0.08</v>
      </c>
    </row>
    <row r="42" customFormat="false" ht="15" hidden="false" customHeight="true" outlineLevel="0" collapsed="false">
      <c r="A42" s="19" t="s">
        <v>653</v>
      </c>
      <c r="B42" s="15" t="s">
        <v>634</v>
      </c>
      <c r="C42" s="114" t="n">
        <f aca="false">C7*1000*C40*C14*8760*C41/1000000000</f>
        <v>0.672768</v>
      </c>
      <c r="D42" s="114" t="n">
        <f aca="false">D7*1000*D40*D14*8760*D41/1000000000</f>
        <v>0.672768</v>
      </c>
      <c r="E42" s="114" t="n">
        <f aca="false">E7*1000*E40*E14*8760*E41/1000000000</f>
        <v>0.672768</v>
      </c>
      <c r="F42" s="114" t="n">
        <f aca="false">F7*1000*F40*F14*8760*F41/1000000000</f>
        <v>0.672768</v>
      </c>
      <c r="G42" s="114" t="n">
        <f aca="false">G7*1000*G40*G14*8760*G41/1000000000</f>
        <v>0.672768</v>
      </c>
      <c r="H42" s="114" t="n">
        <f aca="false">H7*1000*H40*H14*8760*H41/1000000000</f>
        <v>0.672768</v>
      </c>
      <c r="I42" s="114" t="n">
        <f aca="false">I7*1000*I40*I14*8760*I41/1000000000</f>
        <v>0.672768</v>
      </c>
      <c r="J42" s="114" t="n">
        <f aca="false">J7*1000*J40*J14*8760*J41/1000000000</f>
        <v>0.672768</v>
      </c>
      <c r="K42" s="114" t="n">
        <f aca="false">K7*1000*K40*K14*8760*K41/1000000000</f>
        <v>0.672768</v>
      </c>
      <c r="L42" s="114" t="n">
        <f aca="false">L7*1000*L40*L14*8760*L41/1000000000</f>
        <v>0.672768</v>
      </c>
      <c r="M42" s="114" t="n">
        <f aca="false">M7*1000*M40*M14*8760*M41/1000000000</f>
        <v>0.672768</v>
      </c>
      <c r="N42" s="114" t="n">
        <f aca="false">N7*1000*N40*N14*8760*N41/1000000000</f>
        <v>0.672768</v>
      </c>
      <c r="O42" s="114" t="n">
        <f aca="false">O7*1000*O40*O14*8760*O41/1000000000</f>
        <v>0.672768</v>
      </c>
      <c r="P42" s="114" t="n">
        <f aca="false">P7*1000*P40*P14*8760*P41/1000000000</f>
        <v>0.672768</v>
      </c>
      <c r="Q42" s="114" t="n">
        <f aca="false">Q7*1000*Q40*Q14*8760*Q41/1000000000</f>
        <v>0.672768</v>
      </c>
      <c r="R42" s="114" t="n">
        <f aca="false">R7*1000*R40*R14*8760*R41/1000000000</f>
        <v>0.504576</v>
      </c>
      <c r="S42" s="114" t="n">
        <f aca="false">S7*1000*S40*S14*8760*S41/1000000000</f>
        <v>0.84096</v>
      </c>
      <c r="T42" s="114" t="n">
        <f aca="false">T7*1000*T40*T14*8760*T41/1000000000</f>
        <v>0.616704</v>
      </c>
      <c r="U42" s="114" t="n">
        <f aca="false">U7*1000*U40*U14*8760*U41/1000000000</f>
        <v>0.728832</v>
      </c>
      <c r="V42" s="114" t="n">
        <f aca="false">V7*1000*V40*V14*8760*V41/1000000000</f>
        <v>0.588672</v>
      </c>
      <c r="W42" s="114" t="n">
        <f aca="false">W7*1000*W40*W14*8760*W41/1000000000</f>
        <v>0.756864</v>
      </c>
      <c r="X42" s="114" t="n">
        <f aca="false">X7*1000*X40*X14*8760*X41/1000000000</f>
        <v>0.672768</v>
      </c>
      <c r="Y42" s="114" t="n">
        <f aca="false">Y7*1000*Y40*Y14*8760*Y41/1000000000</f>
        <v>0.672768</v>
      </c>
    </row>
    <row r="43" customFormat="false" ht="15" hidden="false" customHeight="true" outlineLevel="0" collapsed="false">
      <c r="A43" s="14" t="s">
        <v>91</v>
      </c>
      <c r="B43" s="15" t="s">
        <v>634</v>
      </c>
      <c r="C43" s="114" t="n">
        <f aca="false">C23*Inputs!$E$30</f>
        <v>1.04736096</v>
      </c>
      <c r="D43" s="114" t="n">
        <f aca="false">D23*Inputs!$E$30</f>
        <v>0.90027336</v>
      </c>
      <c r="E43" s="114" t="n">
        <f aca="false">E23*Inputs!$E$30</f>
        <v>1.22119176</v>
      </c>
      <c r="F43" s="114" t="n">
        <f aca="false">F23*Inputs!$E$30</f>
        <v>1.25156016</v>
      </c>
      <c r="G43" s="114" t="n">
        <f aca="false">G23*Inputs!$E$30</f>
        <v>1.03392</v>
      </c>
      <c r="H43" s="114" t="n">
        <f aca="false">H23*Inputs!$E$30</f>
        <v>0.99995256</v>
      </c>
      <c r="I43" s="114" t="n">
        <f aca="false">I23*Inputs!$E$30</f>
        <v>1.09476936</v>
      </c>
      <c r="J43" s="114" t="n">
        <f aca="false">J23*Inputs!$E$30</f>
        <v>1.04736096</v>
      </c>
      <c r="K43" s="114" t="n">
        <f aca="false">K23*Inputs!$E$30</f>
        <v>1.04736096</v>
      </c>
      <c r="L43" s="114" t="n">
        <f aca="false">L23*Inputs!$E$30</f>
        <v>1.04736096</v>
      </c>
      <c r="M43" s="114" t="n">
        <f aca="false">M23*Inputs!$E$30</f>
        <v>1.04736096</v>
      </c>
      <c r="N43" s="114" t="n">
        <f aca="false">N23*Inputs!$E$30</f>
        <v>1.04736096</v>
      </c>
      <c r="O43" s="114" t="n">
        <f aca="false">O23*Inputs!$E$30</f>
        <v>1.04736096</v>
      </c>
      <c r="P43" s="114" t="n">
        <f aca="false">P23*Inputs!$E$30</f>
        <v>1.04736096</v>
      </c>
      <c r="Q43" s="114" t="n">
        <f aca="false">Q23*Inputs!$E$30</f>
        <v>1.04736096</v>
      </c>
      <c r="R43" s="114" t="n">
        <f aca="false">R23*Inputs!$E$30</f>
        <v>1.04736096</v>
      </c>
      <c r="S43" s="114" t="n">
        <f aca="false">S23*Inputs!$E$30</f>
        <v>1.04736096</v>
      </c>
      <c r="T43" s="114" t="n">
        <f aca="false">T23*Inputs!$E$30</f>
        <v>1.04736096</v>
      </c>
      <c r="U43" s="114" t="n">
        <f aca="false">U23*Inputs!$E$30</f>
        <v>1.04736096</v>
      </c>
      <c r="V43" s="114" t="n">
        <f aca="false">V23*Inputs!$E$30</f>
        <v>1.04736096</v>
      </c>
      <c r="W43" s="114" t="n">
        <f aca="false">W23*Inputs!$E$30</f>
        <v>1.04736096</v>
      </c>
      <c r="X43" s="114" t="n">
        <f aca="false">X23*Inputs!$E$30</f>
        <v>1.0817388</v>
      </c>
      <c r="Y43" s="114" t="n">
        <f aca="false">Y23*Inputs!$E$30</f>
        <v>1.00186848</v>
      </c>
    </row>
    <row r="44" customFormat="false" ht="15" hidden="false" customHeight="true" outlineLevel="0" collapsed="false">
      <c r="A44" s="19" t="s">
        <v>94</v>
      </c>
      <c r="B44" s="15" t="s">
        <v>634</v>
      </c>
      <c r="C44" s="114" t="n">
        <f aca="false">C31*Inputs!$E$31</f>
        <v>0.2534</v>
      </c>
      <c r="D44" s="114" t="n">
        <f aca="false">D31*Inputs!$E$31</f>
        <v>0.2534</v>
      </c>
      <c r="E44" s="114" t="n">
        <f aca="false">E31*Inputs!$E$31</f>
        <v>0.2534</v>
      </c>
      <c r="F44" s="114" t="n">
        <f aca="false">F31*Inputs!$E$31</f>
        <v>0.2534</v>
      </c>
      <c r="G44" s="114" t="n">
        <f aca="false">G31*Inputs!$E$31</f>
        <v>0.2534</v>
      </c>
      <c r="H44" s="114" t="n">
        <f aca="false">H31*Inputs!$E$31</f>
        <v>0.2534</v>
      </c>
      <c r="I44" s="114" t="n">
        <f aca="false">I31*Inputs!$E$31</f>
        <v>0.2534</v>
      </c>
      <c r="J44" s="114" t="n">
        <f aca="false">J31*Inputs!$E$31</f>
        <v>0.2396</v>
      </c>
      <c r="K44" s="114" t="n">
        <f aca="false">K31*Inputs!$E$31</f>
        <v>0.2741</v>
      </c>
      <c r="L44" s="114" t="n">
        <f aca="false">L31*Inputs!$E$31</f>
        <v>0.2373</v>
      </c>
      <c r="M44" s="114" t="n">
        <f aca="false">M31*Inputs!$E$31</f>
        <v>0.2764</v>
      </c>
      <c r="N44" s="114" t="n">
        <f aca="false">N31*Inputs!$E$31</f>
        <v>0.2534</v>
      </c>
      <c r="O44" s="114" t="n">
        <f aca="false">O31*Inputs!$E$31</f>
        <v>0.2534</v>
      </c>
      <c r="P44" s="114" t="n">
        <f aca="false">P31*Inputs!$E$31</f>
        <v>0.2534</v>
      </c>
      <c r="Q44" s="114" t="n">
        <f aca="false">Q31*Inputs!$E$31</f>
        <v>0.2534</v>
      </c>
      <c r="R44" s="114" t="n">
        <f aca="false">R31*Inputs!$E$31</f>
        <v>0.2534</v>
      </c>
      <c r="S44" s="114" t="n">
        <f aca="false">S31*Inputs!$E$31</f>
        <v>0.2534</v>
      </c>
      <c r="T44" s="114" t="n">
        <f aca="false">T31*Inputs!$E$31</f>
        <v>0.2534</v>
      </c>
      <c r="U44" s="114" t="n">
        <f aca="false">U31*Inputs!$E$31</f>
        <v>0.2534</v>
      </c>
      <c r="V44" s="114" t="n">
        <f aca="false">V31*Inputs!$E$31</f>
        <v>0.2534</v>
      </c>
      <c r="W44" s="114" t="n">
        <f aca="false">W31*Inputs!$E$31</f>
        <v>0.2534</v>
      </c>
      <c r="X44" s="114" t="n">
        <f aca="false">X31*Inputs!$E$31</f>
        <v>0.2534</v>
      </c>
      <c r="Y44" s="114" t="n">
        <f aca="false">Y31*Inputs!$E$31</f>
        <v>0.2534</v>
      </c>
    </row>
    <row r="45" customFormat="false" ht="15" hidden="false" customHeight="true" outlineLevel="0" collapsed="false">
      <c r="A45" s="19" t="s">
        <v>654</v>
      </c>
      <c r="B45" s="15" t="s">
        <v>634</v>
      </c>
      <c r="C45" s="114" t="n">
        <f aca="false">(Inputs!$E$32*C7/1000+Inputs!$E$33*C7/1000+Inputs!$E$34*C7)/1000</f>
        <v>0.325</v>
      </c>
      <c r="D45" s="114" t="n">
        <f aca="false">(Inputs!$E$32*D7/1000+Inputs!$E$33*D7/1000+Inputs!$E$34*D7)/1000</f>
        <v>0.325</v>
      </c>
      <c r="E45" s="114" t="n">
        <f aca="false">(Inputs!$E$32*E7/1000+Inputs!$E$33*E7/1000+Inputs!$E$34*E7)/1000</f>
        <v>0.325</v>
      </c>
      <c r="F45" s="114" t="n">
        <f aca="false">(Inputs!$E$32*F7/1000+Inputs!$E$33*F7/1000+Inputs!$E$34*F7)/1000</f>
        <v>0.325</v>
      </c>
      <c r="G45" s="114" t="n">
        <f aca="false">(Inputs!$E$32*G7/1000+Inputs!$E$33*G7/1000+Inputs!$E$34*G7)/1000</f>
        <v>0.325</v>
      </c>
      <c r="H45" s="114" t="n">
        <f aca="false">(Inputs!$E$32*H7/1000+Inputs!$E$33*H7/1000+Inputs!$E$34*H7)/1000</f>
        <v>0.325</v>
      </c>
      <c r="I45" s="114" t="n">
        <f aca="false">(Inputs!$E$32*I7/1000+Inputs!$E$33*I7/1000+Inputs!$E$34*I7)/1000</f>
        <v>0.325</v>
      </c>
      <c r="J45" s="114" t="n">
        <f aca="false">(Inputs!$E$32*J7/1000+Inputs!$E$33*J7/1000+Inputs!$E$34*J7)/1000</f>
        <v>0.325</v>
      </c>
      <c r="K45" s="114" t="n">
        <f aca="false">(Inputs!$E$32*K7/1000+Inputs!$E$33*K7/1000+Inputs!$E$34*K7)/1000</f>
        <v>0.325</v>
      </c>
      <c r="L45" s="114" t="n">
        <f aca="false">(Inputs!$E$32*L7/1000+Inputs!$E$33*L7/1000+Inputs!$E$34*L7)/1000</f>
        <v>0.325</v>
      </c>
      <c r="M45" s="114" t="n">
        <f aca="false">(Inputs!$E$32*M7/1000+Inputs!$E$33*M7/1000+Inputs!$E$34*M7)/1000</f>
        <v>0.325</v>
      </c>
      <c r="N45" s="114" t="n">
        <f aca="false">(Inputs!$E$32*N7/1000+Inputs!$E$33*N7/1000+Inputs!$E$34*N7)/1000</f>
        <v>0.325</v>
      </c>
      <c r="O45" s="114" t="n">
        <f aca="false">(Inputs!$E$32*O7/1000+Inputs!$E$33*O7/1000+Inputs!$E$34*O7)/1000</f>
        <v>0.325</v>
      </c>
      <c r="P45" s="114" t="n">
        <f aca="false">(Inputs!$E$32*P7/1000+Inputs!$E$33*P7/1000+Inputs!$E$34*P7)/1000</f>
        <v>0.325</v>
      </c>
      <c r="Q45" s="114" t="n">
        <f aca="false">(Inputs!$E$32*Q7/1000+Inputs!$E$33*Q7/1000+Inputs!$E$34*Q7)/1000</f>
        <v>0.325</v>
      </c>
      <c r="R45" s="114" t="n">
        <f aca="false">(Inputs!$E$32*R7/1000+Inputs!$E$33*R7/1000+Inputs!$E$34*R7)/1000</f>
        <v>0.325</v>
      </c>
      <c r="S45" s="114" t="n">
        <f aca="false">(Inputs!$E$32*S7/1000+Inputs!$E$33*S7/1000+Inputs!$E$34*S7)/1000</f>
        <v>0.325</v>
      </c>
      <c r="T45" s="114" t="n">
        <f aca="false">(Inputs!$E$32*T7/1000+Inputs!$E$33*T7/1000+Inputs!$E$34*T7)/1000</f>
        <v>0.325</v>
      </c>
      <c r="U45" s="114" t="n">
        <f aca="false">(Inputs!$E$32*U7/1000+Inputs!$E$33*U7/1000+Inputs!$E$34*U7)/1000</f>
        <v>0.325</v>
      </c>
      <c r="V45" s="114" t="n">
        <f aca="false">(Inputs!$E$32*V7/1000+Inputs!$E$33*V7/1000+Inputs!$E$34*V7)/1000</f>
        <v>0.325</v>
      </c>
      <c r="W45" s="114" t="n">
        <f aca="false">(Inputs!$E$32*W7/1000+Inputs!$E$33*W7/1000+Inputs!$E$34*W7)/1000</f>
        <v>0.325</v>
      </c>
      <c r="X45" s="114" t="n">
        <f aca="false">(Inputs!$E$32*X7/1000+Inputs!$E$33*X7/1000+Inputs!$E$34*X7)/1000</f>
        <v>0.325</v>
      </c>
      <c r="Y45" s="11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105</v>
      </c>
      <c r="B46" s="15" t="s">
        <v>634</v>
      </c>
      <c r="C46" s="114" t="n">
        <f aca="false">C32*Inputs!$E$35</f>
        <v>0.23791016</v>
      </c>
      <c r="D46" s="114" t="n">
        <f aca="false">D32*Inputs!$E$35</f>
        <v>0.21339556</v>
      </c>
      <c r="E46" s="114" t="n">
        <f aca="false">E32*Inputs!$E$35</f>
        <v>0.26688196</v>
      </c>
      <c r="F46" s="114" t="n">
        <f aca="false">F32*Inputs!$E$35</f>
        <v>0.27194336</v>
      </c>
      <c r="G46" s="114" t="n">
        <f aca="false">G32*Inputs!$E$35</f>
        <v>0.23567</v>
      </c>
      <c r="H46" s="114" t="n">
        <f aca="false">H32*Inputs!$E$35</f>
        <v>0.23000876</v>
      </c>
      <c r="I46" s="114" t="n">
        <f aca="false">I32*Inputs!$E$35</f>
        <v>0.24581156</v>
      </c>
      <c r="J46" s="114" t="n">
        <f aca="false">J32*Inputs!$E$35</f>
        <v>0.23446016</v>
      </c>
      <c r="K46" s="114" t="n">
        <f aca="false">K32*Inputs!$E$35</f>
        <v>0.24308516</v>
      </c>
      <c r="L46" s="114" t="n">
        <f aca="false">L32*Inputs!$E$35</f>
        <v>0.23388516</v>
      </c>
      <c r="M46" s="114" t="n">
        <f aca="false">M32*Inputs!$E$35</f>
        <v>0.24366016</v>
      </c>
      <c r="N46" s="114" t="n">
        <f aca="false">N32*Inputs!$E$35</f>
        <v>0.23791016</v>
      </c>
      <c r="O46" s="114" t="n">
        <f aca="false">O32*Inputs!$E$35</f>
        <v>0.23791016</v>
      </c>
      <c r="P46" s="114" t="n">
        <f aca="false">P32*Inputs!$E$35</f>
        <v>0.23791016</v>
      </c>
      <c r="Q46" s="114" t="n">
        <f aca="false">Q32*Inputs!$E$35</f>
        <v>0.23791016</v>
      </c>
      <c r="R46" s="114" t="n">
        <f aca="false">R32*Inputs!$E$35</f>
        <v>0.23791016</v>
      </c>
      <c r="S46" s="114" t="n">
        <f aca="false">S32*Inputs!$E$35</f>
        <v>0.23791016</v>
      </c>
      <c r="T46" s="114" t="n">
        <f aca="false">T32*Inputs!$E$35</f>
        <v>0.23791016</v>
      </c>
      <c r="U46" s="114" t="n">
        <f aca="false">U32*Inputs!$E$35</f>
        <v>0.23791016</v>
      </c>
      <c r="V46" s="114" t="n">
        <f aca="false">V32*Inputs!$E$35</f>
        <v>0.23791016</v>
      </c>
      <c r="W46" s="114" t="n">
        <f aca="false">W32*Inputs!$E$35</f>
        <v>0.23791016</v>
      </c>
      <c r="X46" s="114" t="n">
        <f aca="false">X32*Inputs!$E$35</f>
        <v>0.2436398</v>
      </c>
      <c r="Y46" s="114" t="n">
        <f aca="false">Y32*Inputs!$E$35</f>
        <v>0.23032808</v>
      </c>
    </row>
    <row r="47" customFormat="false" ht="15" hidden="false" customHeight="true" outlineLevel="0" collapsed="false">
      <c r="A47" s="19" t="s">
        <v>655</v>
      </c>
      <c r="B47" s="15" t="s">
        <v>634</v>
      </c>
      <c r="C47" s="114" t="n">
        <f aca="false">C42+C43+C44+C45+C46</f>
        <v>2.53643912</v>
      </c>
      <c r="D47" s="114" t="n">
        <f aca="false">D42+D43+D44+D45+D46</f>
        <v>2.36483692</v>
      </c>
      <c r="E47" s="114" t="n">
        <f aca="false">E42+E43+E44+E45+E46</f>
        <v>2.73924172</v>
      </c>
      <c r="F47" s="114" t="n">
        <f aca="false">F42+F43+F44+F45+F46</f>
        <v>2.77467152</v>
      </c>
      <c r="G47" s="114" t="n">
        <f aca="false">G42+G43+G44+G45+G46</f>
        <v>2.520758</v>
      </c>
      <c r="H47" s="114" t="n">
        <f aca="false">H42+H43+H44+H45+H46</f>
        <v>2.48112932</v>
      </c>
      <c r="I47" s="114" t="n">
        <f aca="false">I42+I43+I44+I45+I46</f>
        <v>2.59174892</v>
      </c>
      <c r="J47" s="114" t="n">
        <f aca="false">J42+J43+J44+J45+J46</f>
        <v>2.51918912</v>
      </c>
      <c r="K47" s="114" t="n">
        <f aca="false">K42+K43+K44+K45+K46</f>
        <v>2.56231412</v>
      </c>
      <c r="L47" s="114" t="n">
        <f aca="false">L42+L43+L44+L45+L46</f>
        <v>2.51631412</v>
      </c>
      <c r="M47" s="114" t="n">
        <f aca="false">M42+M43+M44+M45+M46</f>
        <v>2.56518912</v>
      </c>
      <c r="N47" s="114" t="n">
        <f aca="false">N42+N43+N44+N45+N46</f>
        <v>2.53643912</v>
      </c>
      <c r="O47" s="114" t="n">
        <f aca="false">O42+O43+O44+O45+O46</f>
        <v>2.53643912</v>
      </c>
      <c r="P47" s="114" t="n">
        <f aca="false">P42+P43+P44+P45+P46</f>
        <v>2.53643912</v>
      </c>
      <c r="Q47" s="114" t="n">
        <f aca="false">Q42+Q43+Q44+Q45+Q46</f>
        <v>2.53643912</v>
      </c>
      <c r="R47" s="114" t="n">
        <f aca="false">R42+R43+R44+R45+R46</f>
        <v>2.36824712</v>
      </c>
      <c r="S47" s="114" t="n">
        <f aca="false">S42+S43+S44+S45+S46</f>
        <v>2.70463112</v>
      </c>
      <c r="T47" s="114" t="n">
        <f aca="false">T42+T43+T44+T45+T46</f>
        <v>2.48037512</v>
      </c>
      <c r="U47" s="114" t="n">
        <f aca="false">U42+U43+U44+U45+U46</f>
        <v>2.59250312</v>
      </c>
      <c r="V47" s="114" t="n">
        <f aca="false">V42+V43+V44+V45+V46</f>
        <v>2.45234312</v>
      </c>
      <c r="W47" s="114" t="n">
        <f aca="false">W42+W43+W44+W45+W46</f>
        <v>2.62053512</v>
      </c>
      <c r="X47" s="114" t="n">
        <f aca="false">X42+X43+X44+X45+X46</f>
        <v>2.5765466</v>
      </c>
      <c r="Y47" s="114" t="n">
        <f aca="false">Y42+Y43+Y44+Y45+Y46</f>
        <v>2.48336456</v>
      </c>
    </row>
    <row r="48" customFormat="false" ht="15" hidden="false" customHeight="true" outlineLevel="0" collapsed="false">
      <c r="A48" s="19" t="s">
        <v>656</v>
      </c>
      <c r="B48" s="15" t="s">
        <v>634</v>
      </c>
      <c r="C48" s="115" t="n">
        <f aca="false">C38+C39+C47</f>
        <v>8.98952778666667</v>
      </c>
      <c r="D48" s="115" t="n">
        <f aca="false">D38+D39+D47</f>
        <v>8.00077225333333</v>
      </c>
      <c r="E48" s="115" t="n">
        <f aca="false">E38+E39+E47</f>
        <v>10.1580570533333</v>
      </c>
      <c r="F48" s="115" t="n">
        <f aca="false">F38+F39+F47</f>
        <v>10.3622001866667</v>
      </c>
      <c r="G48" s="115" t="n">
        <f aca="false">G38+G39+G47</f>
        <v>8.89917466666667</v>
      </c>
      <c r="H48" s="115" t="n">
        <f aca="false">H38+H39+H47</f>
        <v>8.67083798666667</v>
      </c>
      <c r="I48" s="115" t="n">
        <f aca="false">I38+I39+I47</f>
        <v>9.30821758666667</v>
      </c>
      <c r="J48" s="115" t="n">
        <f aca="false">J38+J39+J47</f>
        <v>8.94927778666667</v>
      </c>
      <c r="K48" s="115" t="n">
        <f aca="false">K38+K39+K47</f>
        <v>9.04990278666667</v>
      </c>
      <c r="L48" s="115" t="n">
        <f aca="false">L38+L39+L47</f>
        <v>8.92915278666667</v>
      </c>
      <c r="M48" s="115" t="n">
        <f aca="false">M38+M39+M47</f>
        <v>9.07577778666667</v>
      </c>
      <c r="N48" s="115" t="n">
        <f aca="false">N38+N39+N47</f>
        <v>8.15828892952381</v>
      </c>
      <c r="O48" s="115" t="n">
        <f aca="false">O38+O39+O47</f>
        <v>11.8988637866667</v>
      </c>
      <c r="P48" s="115" t="n">
        <f aca="false">P38+P39+P47</f>
        <v>8.98952778666667</v>
      </c>
      <c r="Q48" s="115" t="n">
        <f aca="false">Q38+Q39+Q47</f>
        <v>8.98952778666667</v>
      </c>
      <c r="R48" s="115" t="n">
        <f aca="false">R38+R39+R47</f>
        <v>8.82133578666667</v>
      </c>
      <c r="S48" s="115" t="n">
        <f aca="false">S38+S39+S47</f>
        <v>9.15771978666667</v>
      </c>
      <c r="T48" s="115" t="n">
        <f aca="false">T38+T39+T47</f>
        <v>8.93346378666667</v>
      </c>
      <c r="U48" s="115" t="n">
        <f aca="false">U38+U39+U47</f>
        <v>9.04559178666667</v>
      </c>
      <c r="V48" s="115" t="n">
        <f aca="false">V38+V39+V47</f>
        <v>8.90543178666667</v>
      </c>
      <c r="W48" s="115" t="n">
        <f aca="false">W38+W39+W47</f>
        <v>9.07362378666667</v>
      </c>
      <c r="X48" s="115" t="n">
        <f aca="false">X38+X39+X47</f>
        <v>9.22062326666667</v>
      </c>
      <c r="Y48" s="115" t="n">
        <f aca="false">Y38+Y39+Y47</f>
        <v>8.68371722666667</v>
      </c>
    </row>
    <row r="49" customFormat="false" ht="15" hidden="false" customHeight="true" outlineLevel="0" collapsed="false">
      <c r="A49" s="24" t="s">
        <v>657</v>
      </c>
      <c r="B49" s="13"/>
      <c r="C49" s="13"/>
    </row>
    <row r="50" customFormat="false" ht="15" hidden="false" customHeight="true" outlineLevel="0" collapsed="false">
      <c r="A50" s="14" t="s">
        <v>658</v>
      </c>
      <c r="B50" s="15" t="s">
        <v>45</v>
      </c>
      <c r="C50" s="109" t="n">
        <f aca="false">Inputs!$E$28</f>
        <v>0.1</v>
      </c>
      <c r="D50" s="109" t="n">
        <f aca="false">Inputs!$E$28</f>
        <v>0.1</v>
      </c>
      <c r="E50" s="109" t="n">
        <f aca="false">Inputs!$E$28</f>
        <v>0.1</v>
      </c>
      <c r="F50" s="109" t="n">
        <f aca="false">Inputs!$E$28</f>
        <v>0.1</v>
      </c>
      <c r="G50" s="109" t="n">
        <f aca="false">Inputs!$E$28</f>
        <v>0.1</v>
      </c>
      <c r="H50" s="109" t="n">
        <f aca="false">Inputs!$E$28</f>
        <v>0.1</v>
      </c>
      <c r="I50" s="109" t="n">
        <f aca="false">Inputs!$E$28</f>
        <v>0.1</v>
      </c>
      <c r="J50" s="109" t="n">
        <f aca="false">Inputs!$E$28</f>
        <v>0.1</v>
      </c>
      <c r="K50" s="109" t="n">
        <f aca="false">Inputs!$E$28</f>
        <v>0.1</v>
      </c>
      <c r="L50" s="109" t="n">
        <f aca="false">Inputs!$E$28</f>
        <v>0.1</v>
      </c>
      <c r="M50" s="109" t="n">
        <f aca="false">Inputs!$E$28</f>
        <v>0.1</v>
      </c>
      <c r="N50" s="109" t="n">
        <f aca="false">Inputs!$E$28</f>
        <v>0.1</v>
      </c>
      <c r="O50" s="109" t="n">
        <f aca="false">Inputs!$E$28</f>
        <v>0.1</v>
      </c>
      <c r="P50" s="109" t="n">
        <f aca="false">Inputs!$D$28</f>
        <v>0.08</v>
      </c>
      <c r="Q50" s="109" t="n">
        <f aca="false">Inputs!$F$28</f>
        <v>0.13</v>
      </c>
      <c r="R50" s="109" t="n">
        <f aca="false">Inputs!$E$28</f>
        <v>0.1</v>
      </c>
      <c r="S50" s="109" t="n">
        <f aca="false">Inputs!$E$28</f>
        <v>0.1</v>
      </c>
      <c r="T50" s="109" t="n">
        <f aca="false">Inputs!$E$28</f>
        <v>0.1</v>
      </c>
      <c r="U50" s="109" t="n">
        <f aca="false">Inputs!$E$28</f>
        <v>0.1</v>
      </c>
      <c r="V50" s="109" t="n">
        <f aca="false">Inputs!$E$28</f>
        <v>0.1</v>
      </c>
      <c r="W50" s="109" t="n">
        <f aca="false">Inputs!$E$28</f>
        <v>0.1</v>
      </c>
      <c r="X50" s="109" t="n">
        <f aca="false">Inputs!$E$28</f>
        <v>0.1</v>
      </c>
      <c r="Y50" s="109" t="n">
        <f aca="false">Inputs!$E$28</f>
        <v>0.1</v>
      </c>
    </row>
    <row r="51" customFormat="false" ht="15" hidden="false" customHeight="true" outlineLevel="0" collapsed="false">
      <c r="A51" s="14" t="s">
        <v>659</v>
      </c>
      <c r="B51" s="15" t="s">
        <v>49</v>
      </c>
      <c r="C51" s="119" t="n">
        <f aca="false">C50/(1-(1+C50)^(-C37))</f>
        <v>0.229607380362667</v>
      </c>
      <c r="D51" s="119" t="n">
        <f aca="false">D50/(1-(1+D50)^(-D37))</f>
        <v>0.229607380362667</v>
      </c>
      <c r="E51" s="119" t="n">
        <f aca="false">E50/(1-(1+E50)^(-E37))</f>
        <v>0.229607380362667</v>
      </c>
      <c r="F51" s="119" t="n">
        <f aca="false">F50/(1-(1+F50)^(-F37))</f>
        <v>0.229607380362667</v>
      </c>
      <c r="G51" s="119" t="n">
        <f aca="false">G50/(1-(1+G50)^(-G37))</f>
        <v>0.229607380362667</v>
      </c>
      <c r="H51" s="119" t="n">
        <f aca="false">H50/(1-(1+H50)^(-H37))</f>
        <v>0.229607380362667</v>
      </c>
      <c r="I51" s="119" t="n">
        <f aca="false">I50/(1-(1+I50)^(-I37))</f>
        <v>0.229607380362667</v>
      </c>
      <c r="J51" s="119" t="n">
        <f aca="false">J50/(1-(1+J50)^(-J37))</f>
        <v>0.229607380362667</v>
      </c>
      <c r="K51" s="119" t="n">
        <f aca="false">K50/(1-(1+K50)^(-K37))</f>
        <v>0.229607380362667</v>
      </c>
      <c r="L51" s="119" t="n">
        <f aca="false">L50/(1-(1+L50)^(-L37))</f>
        <v>0.229607380362667</v>
      </c>
      <c r="M51" s="119" t="n">
        <f aca="false">M50/(1-(1+M50)^(-M37))</f>
        <v>0.229607380362667</v>
      </c>
      <c r="N51" s="119" t="n">
        <f aca="false">N50/(1-(1+N50)^(-N37))</f>
        <v>0.205405499700596</v>
      </c>
      <c r="O51" s="119" t="n">
        <f aca="false">O50/(1-(1+O50)^(-O37))</f>
        <v>0.315470803706098</v>
      </c>
      <c r="P51" s="119" t="n">
        <f aca="false">P50/(1-(1+P50)^(-P37))</f>
        <v>0.21631538622901</v>
      </c>
      <c r="Q51" s="119" t="n">
        <f aca="false">Q50/(1-(1+Q50)^(-Q37))</f>
        <v>0.250153232051725</v>
      </c>
      <c r="R51" s="119" t="n">
        <f aca="false">R50/(1-(1+R50)^(-R37))</f>
        <v>0.229607380362667</v>
      </c>
      <c r="S51" s="119" t="n">
        <f aca="false">S50/(1-(1+S50)^(-S37))</f>
        <v>0.229607380362667</v>
      </c>
      <c r="T51" s="119" t="n">
        <f aca="false">T50/(1-(1+T50)^(-T37))</f>
        <v>0.229607380362667</v>
      </c>
      <c r="U51" s="119" t="n">
        <f aca="false">U50/(1-(1+U50)^(-U37))</f>
        <v>0.229607380362667</v>
      </c>
      <c r="V51" s="119" t="n">
        <f aca="false">V50/(1-(1+V50)^(-V37))</f>
        <v>0.229607380362667</v>
      </c>
      <c r="W51" s="119" t="n">
        <f aca="false">W50/(1-(1+W50)^(-W37))</f>
        <v>0.229607380362667</v>
      </c>
      <c r="X51" s="119" t="n">
        <f aca="false">X50/(1-(1+X50)^(-X37))</f>
        <v>0.229607380362667</v>
      </c>
      <c r="Y51" s="119" t="n">
        <f aca="false">Y50/(1-(1+Y50)^(-Y37))</f>
        <v>0.229607380362667</v>
      </c>
    </row>
    <row r="52" customFormat="false" ht="15" hidden="false" customHeight="true" outlineLevel="0" collapsed="false">
      <c r="A52" s="14" t="s">
        <v>660</v>
      </c>
      <c r="B52" s="15" t="s">
        <v>634</v>
      </c>
      <c r="C52" s="114" t="n">
        <f aca="false">C23*C51</f>
        <v>8.01606021065761</v>
      </c>
      <c r="D52" s="114" t="n">
        <f aca="false">D23*D51</f>
        <v>6.89031359332988</v>
      </c>
      <c r="E52" s="114" t="n">
        <f aca="false">E23*E51</f>
        <v>9.34648803113583</v>
      </c>
      <c r="F52" s="114" t="n">
        <f aca="false">F23*F51</f>
        <v>9.57891499012936</v>
      </c>
      <c r="G52" s="114" t="n">
        <f aca="false">G23*G51</f>
        <v>7.91318875681896</v>
      </c>
      <c r="H52" s="114" t="n">
        <f aca="false">H23*H51</f>
        <v>7.65321625961809</v>
      </c>
      <c r="I52" s="114" t="n">
        <f aca="false">I23*I51</f>
        <v>8.37890416169712</v>
      </c>
      <c r="J52" s="114" t="n">
        <f aca="false">J23*J51</f>
        <v>8.01606021065761</v>
      </c>
      <c r="K52" s="114" t="n">
        <f aca="false">K23*K51</f>
        <v>8.01606021065761</v>
      </c>
      <c r="L52" s="114" t="n">
        <f aca="false">L23*L51</f>
        <v>8.01606021065761</v>
      </c>
      <c r="M52" s="114" t="n">
        <f aca="false">M23*M51</f>
        <v>8.01606021065761</v>
      </c>
      <c r="N52" s="114" t="n">
        <f aca="false">N23*N51</f>
        <v>7.17112337852318</v>
      </c>
      <c r="O52" s="114" t="n">
        <f aca="false">O23*O51</f>
        <v>11.013726794053</v>
      </c>
      <c r="P52" s="114" t="n">
        <f aca="false">P23*P51</f>
        <v>7.55200968611954</v>
      </c>
      <c r="Q52" s="114" t="n">
        <f aca="false">Q23*Q51</f>
        <v>8.73335764229326</v>
      </c>
      <c r="R52" s="114" t="n">
        <f aca="false">R23*R51</f>
        <v>8.01606021065761</v>
      </c>
      <c r="S52" s="114" t="n">
        <f aca="false">S23*S51</f>
        <v>8.01606021065761</v>
      </c>
      <c r="T52" s="114" t="n">
        <f aca="false">T23*T51</f>
        <v>8.01606021065761</v>
      </c>
      <c r="U52" s="114" t="n">
        <f aca="false">U23*U51</f>
        <v>8.01606021065761</v>
      </c>
      <c r="V52" s="114" t="n">
        <f aca="false">V23*V51</f>
        <v>8.01606021065761</v>
      </c>
      <c r="W52" s="114" t="n">
        <f aca="false">W23*W51</f>
        <v>8.01606021065761</v>
      </c>
      <c r="X52" s="114" t="n">
        <f aca="false">X23*X51</f>
        <v>8.27917373682184</v>
      </c>
      <c r="Y52" s="114" t="n">
        <f aca="false">Y23*Y51</f>
        <v>7.66787990535758</v>
      </c>
    </row>
    <row r="53" customFormat="false" ht="15" hidden="false" customHeight="true" outlineLevel="0" collapsed="false">
      <c r="A53" s="19" t="s">
        <v>661</v>
      </c>
      <c r="B53" s="15" t="s">
        <v>634</v>
      </c>
      <c r="C53" s="114" t="n">
        <f aca="false">(C25*C50/(1-(1+C50)^(-Inputs!$E$24))+C26*C50/(1-(1+C50)^(-Inputs!$E$25))+C27*C50/(1-(1+C50)^(-Inputs!$E$26))+C28*C50/(1-(1+C50)^(-Inputs!$E$27)))*(1+C29)+C24*C50</f>
        <v>1.50187163616098</v>
      </c>
      <c r="D53" s="114" t="n">
        <f aca="false">(D25*D50/(1-(1+D50)^(-Inputs!$E$24))+D26*D50/(1-(1+D50)^(-Inputs!$E$25))+D27*D50/(1-(1+D50)^(-Inputs!$E$26))+D28*D50/(1-(1+D50)^(-Inputs!$E$27)))*(1+D29)+D24*D50</f>
        <v>1.50187163616098</v>
      </c>
      <c r="E53" s="114" t="n">
        <f aca="false">(E25*E50/(1-(1+E50)^(-Inputs!$E$24))+E26*E50/(1-(1+E50)^(-Inputs!$E$25))+E27*E50/(1-(1+E50)^(-Inputs!$E$26))+E28*E50/(1-(1+E50)^(-Inputs!$E$27)))*(1+E29)+E24*E50</f>
        <v>1.50187163616098</v>
      </c>
      <c r="F53" s="114" t="n">
        <f aca="false">(F25*F50/(1-(1+F50)^(-Inputs!$E$24))+F26*F50/(1-(1+F50)^(-Inputs!$E$25))+F27*F50/(1-(1+F50)^(-Inputs!$E$26))+F28*F50/(1-(1+F50)^(-Inputs!$E$27)))*(1+F29)+F24*F50</f>
        <v>1.50187163616098</v>
      </c>
      <c r="G53" s="114" t="n">
        <f aca="false">(G25*G50/(1-(1+G50)^(-Inputs!$E$24))+G26*G50/(1-(1+G50)^(-Inputs!$E$25))+G27*G50/(1-(1+G50)^(-Inputs!$E$26))+G28*G50/(1-(1+G50)^(-Inputs!$E$27)))*(1+G29)+G24*G50</f>
        <v>1.50187163616098</v>
      </c>
      <c r="H53" s="114" t="n">
        <f aca="false">(H25*H50/(1-(1+H50)^(-Inputs!$E$24))+H26*H50/(1-(1+H50)^(-Inputs!$E$25))+H27*H50/(1-(1+H50)^(-Inputs!$E$26))+H28*H50/(1-(1+H50)^(-Inputs!$E$27)))*(1+H29)+H24*H50</f>
        <v>1.50187163616098</v>
      </c>
      <c r="I53" s="114" t="n">
        <f aca="false">(I25*I50/(1-(1+I50)^(-Inputs!$E$24))+I26*I50/(1-(1+I50)^(-Inputs!$E$25))+I27*I50/(1-(1+I50)^(-Inputs!$E$26))+I28*I50/(1-(1+I50)^(-Inputs!$E$27)))*(1+I29)+I24*I50</f>
        <v>1.50187163616098</v>
      </c>
      <c r="J53" s="114" t="n">
        <f aca="false">(J25*J50/(1-(1+J50)^(-Inputs!$E$24))+J26*J50/(1-(1+J50)^(-Inputs!$E$25))+J27*J50/(1-(1+J50)^(-Inputs!$E$26))+J28*J50/(1-(1+J50)^(-Inputs!$E$27)))*(1+J29)+J24*J50</f>
        <v>1.42867695486666</v>
      </c>
      <c r="K53" s="114" t="n">
        <f aca="false">(K25*K50/(1-(1+K50)^(-Inputs!$E$24))+K26*K50/(1-(1+K50)^(-Inputs!$E$25))+K27*K50/(1-(1+K50)^(-Inputs!$E$26))+K28*K50/(1-(1+K50)^(-Inputs!$E$27)))*(1+K29)+K24*K50</f>
        <v>1.61166365810245</v>
      </c>
      <c r="L53" s="114" t="n">
        <f aca="false">(L25*L50/(1-(1+L50)^(-Inputs!$E$24))+L26*L50/(1-(1+L50)^(-Inputs!$E$25))+L27*L50/(1-(1+L50)^(-Inputs!$E$26))+L28*L50/(1-(1+L50)^(-Inputs!$E$27)))*(1+L29)+L24*L50</f>
        <v>1.40731663821908</v>
      </c>
      <c r="M53" s="114" t="n">
        <f aca="false">(M25*M50/(1-(1+M50)^(-Inputs!$E$24))+M26*M50/(1-(1+M50)^(-Inputs!$E$25))+M27*M50/(1-(1+M50)^(-Inputs!$E$26))+M28*M50/(1-(1+M50)^(-Inputs!$E$27)))*(1+M29)+M24*M50</f>
        <v>1.63695020464941</v>
      </c>
      <c r="N53" s="114" t="n">
        <f aca="false">(N25*N50/(1-(1+N50)^(-Inputs!$E$24))+N26*N50/(1-(1+N50)^(-Inputs!$E$25))+N27*N50/(1-(1+N50)^(-Inputs!$E$26))+N28*N50/(1-(1+N50)^(-Inputs!$E$27)))*(1+N29)+N24*N50</f>
        <v>1.50187163616098</v>
      </c>
      <c r="O53" s="114" t="n">
        <f aca="false">(O25*O50/(1-(1+O50)^(-Inputs!$E$24))+O26*O50/(1-(1+O50)^(-Inputs!$E$25))+O27*O50/(1-(1+O50)^(-Inputs!$E$26))+O28*O50/(1-(1+O50)^(-Inputs!$E$27)))*(1+O29)+O24*O50</f>
        <v>1.50187163616098</v>
      </c>
      <c r="P53" s="114" t="n">
        <f aca="false">(P25*P50/(1-(1+P50)^(-Inputs!$E$24))+P26*P50/(1-(1+P50)^(-Inputs!$E$25))+P27*P50/(1-(1+P50)^(-Inputs!$E$26))+P28*P50/(1-(1+P50)^(-Inputs!$E$27)))*(1+P29)+P24*P50</f>
        <v>1.30086926137482</v>
      </c>
      <c r="Q53" s="114" t="n">
        <f aca="false">(Q25*Q50/(1-(1+Q50)^(-Inputs!$E$24))+Q26*Q50/(1-(1+Q50)^(-Inputs!$E$25))+Q27*Q50/(1-(1+Q50)^(-Inputs!$E$26))+Q28*Q50/(1-(1+Q50)^(-Inputs!$E$27)))*(1+Q29)+Q24*Q50</f>
        <v>1.82125675978435</v>
      </c>
      <c r="R53" s="114" t="n">
        <f aca="false">(R25*R50/(1-(1+R50)^(-Inputs!$E$24))+R26*R50/(1-(1+R50)^(-Inputs!$E$25))+R27*R50/(1-(1+R50)^(-Inputs!$E$26))+R28*R50/(1-(1+R50)^(-Inputs!$E$27)))*(1+R29)+R24*R50</f>
        <v>1.50187163616098</v>
      </c>
      <c r="S53" s="114" t="n">
        <f aca="false">(S25*S50/(1-(1+S50)^(-Inputs!$E$24))+S26*S50/(1-(1+S50)^(-Inputs!$E$25))+S27*S50/(1-(1+S50)^(-Inputs!$E$26))+S28*S50/(1-(1+S50)^(-Inputs!$E$27)))*(1+S29)+S24*S50</f>
        <v>1.50187163616098</v>
      </c>
      <c r="T53" s="114" t="n">
        <f aca="false">(T25*T50/(1-(1+T50)^(-Inputs!$E$24))+T26*T50/(1-(1+T50)^(-Inputs!$E$25))+T27*T50/(1-(1+T50)^(-Inputs!$E$26))+T28*T50/(1-(1+T50)^(-Inputs!$E$27)))*(1+T29)+T24*T50</f>
        <v>1.50187163616098</v>
      </c>
      <c r="U53" s="114" t="n">
        <f aca="false">(U25*U50/(1-(1+U50)^(-Inputs!$E$24))+U26*U50/(1-(1+U50)^(-Inputs!$E$25))+U27*U50/(1-(1+U50)^(-Inputs!$E$26))+U28*U50/(1-(1+U50)^(-Inputs!$E$27)))*(1+U29)+U24*U50</f>
        <v>1.50187163616098</v>
      </c>
      <c r="V53" s="114" t="n">
        <f aca="false">(V25*V50/(1-(1+V50)^(-Inputs!$E$24))+V26*V50/(1-(1+V50)^(-Inputs!$E$25))+V27*V50/(1-(1+V50)^(-Inputs!$E$26))+V28*V50/(1-(1+V50)^(-Inputs!$E$27)))*(1+V29)+V24*V50</f>
        <v>1.50187163616098</v>
      </c>
      <c r="W53" s="114" t="n">
        <f aca="false">(W25*W50/(1-(1+W50)^(-Inputs!$E$24))+W26*W50/(1-(1+W50)^(-Inputs!$E$25))+W27*W50/(1-(1+W50)^(-Inputs!$E$26))+W28*W50/(1-(1+W50)^(-Inputs!$E$27)))*(1+W29)+W24*W50</f>
        <v>1.50187163616098</v>
      </c>
      <c r="X53" s="114" t="n">
        <f aca="false">(X25*X50/(1-(1+X50)^(-Inputs!$E$24))+X26*X50/(1-(1+X50)^(-Inputs!$E$25))+X27*X50/(1-(1+X50)^(-Inputs!$E$26))+X28*X50/(1-(1+X50)^(-Inputs!$E$27)))*(1+X29)+X24*X50</f>
        <v>1.50187163616098</v>
      </c>
      <c r="Y53" s="11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662</v>
      </c>
      <c r="B54" s="15" t="s">
        <v>634</v>
      </c>
      <c r="C54" s="115" t="n">
        <f aca="false">C52+C53+C47</f>
        <v>12.0543709668186</v>
      </c>
      <c r="D54" s="115" t="n">
        <f aca="false">D52+D53+D47</f>
        <v>10.7570221494909</v>
      </c>
      <c r="E54" s="115" t="n">
        <f aca="false">E52+E53+E47</f>
        <v>13.5876013872968</v>
      </c>
      <c r="F54" s="115" t="n">
        <f aca="false">F52+F53+F47</f>
        <v>13.8554581462903</v>
      </c>
      <c r="G54" s="115" t="n">
        <f aca="false">G52+G53+G47</f>
        <v>11.9358183929799</v>
      </c>
      <c r="H54" s="115" t="n">
        <f aca="false">H52+H53+H47</f>
        <v>11.6362172157791</v>
      </c>
      <c r="I54" s="115" t="n">
        <f aca="false">I52+I53+I47</f>
        <v>12.4725247178581</v>
      </c>
      <c r="J54" s="115" t="n">
        <f aca="false">J52+J53+J47</f>
        <v>11.9639262855243</v>
      </c>
      <c r="K54" s="115" t="n">
        <f aca="false">K52+K53+K47</f>
        <v>12.1900379887601</v>
      </c>
      <c r="L54" s="115" t="n">
        <f aca="false">L52+L53+L47</f>
        <v>11.9396909688767</v>
      </c>
      <c r="M54" s="115" t="n">
        <f aca="false">M52+M53+M47</f>
        <v>12.218199535307</v>
      </c>
      <c r="N54" s="115" t="n">
        <f aca="false">N52+N53+N47</f>
        <v>11.2094341346842</v>
      </c>
      <c r="O54" s="115" t="n">
        <f aca="false">O52+O53+O47</f>
        <v>15.052037550214</v>
      </c>
      <c r="P54" s="115" t="n">
        <f aca="false">P52+P53+P47</f>
        <v>11.3893180674944</v>
      </c>
      <c r="Q54" s="115" t="n">
        <f aca="false">Q52+Q53+Q47</f>
        <v>13.0910535220776</v>
      </c>
      <c r="R54" s="115" t="n">
        <f aca="false">R52+R53+R47</f>
        <v>11.8861789668186</v>
      </c>
      <c r="S54" s="115" t="n">
        <f aca="false">S52+S53+S47</f>
        <v>12.2225629668186</v>
      </c>
      <c r="T54" s="115" t="n">
        <f aca="false">T52+T53+T47</f>
        <v>11.9983069668186</v>
      </c>
      <c r="U54" s="115" t="n">
        <f aca="false">U52+U53+U47</f>
        <v>12.1104349668186</v>
      </c>
      <c r="V54" s="115" t="n">
        <f aca="false">V52+V53+V47</f>
        <v>11.9702749668186</v>
      </c>
      <c r="W54" s="115" t="n">
        <f aca="false">W52+W53+W47</f>
        <v>12.1384669668186</v>
      </c>
      <c r="X54" s="115" t="n">
        <f aca="false">X52+X53+X47</f>
        <v>12.3575919729828</v>
      </c>
      <c r="Y54" s="115" t="n">
        <f aca="false">Y52+Y53+Y47</f>
        <v>11.6531161015186</v>
      </c>
    </row>
    <row r="55" customFormat="false" ht="15" hidden="false" customHeight="true" outlineLevel="0" collapsed="false">
      <c r="A55" s="24" t="s">
        <v>663</v>
      </c>
      <c r="B55" s="13"/>
      <c r="C55" s="13"/>
    </row>
    <row r="56" customFormat="false" ht="15" hidden="false" customHeight="true" outlineLevel="0" collapsed="false">
      <c r="A56" s="19" t="s">
        <v>664</v>
      </c>
      <c r="B56" s="15" t="s">
        <v>607</v>
      </c>
      <c r="C56" s="114" t="n">
        <f aca="false">C48*1000000000/(C13*8760)</f>
        <v>3.51747354574866</v>
      </c>
      <c r="D56" s="114" t="n">
        <f aca="false">D48*1000000000/(D13*8760)</f>
        <v>3.13058765872008</v>
      </c>
      <c r="E56" s="114" t="n">
        <f aca="false">E48*1000000000/(E13*8760)</f>
        <v>3.9747023213279</v>
      </c>
      <c r="F56" s="114" t="n">
        <f aca="false">F48*1000000000/(F13*8760)</f>
        <v>3.393052585846</v>
      </c>
      <c r="G56" s="114" t="n">
        <f aca="false">G48*1000000000/(G13*8760)</f>
        <v>3.52738721883985</v>
      </c>
      <c r="H56" s="114" t="n">
        <f aca="false">H48*1000000000/(H13*8760)</f>
        <v>3.39277478877251</v>
      </c>
      <c r="I56" s="114" t="n">
        <f aca="false">I48*1000000000/(I13*8760)</f>
        <v>3.64217230272482</v>
      </c>
      <c r="J56" s="114" t="n">
        <f aca="false">J48*1000000000/(J13*8760)</f>
        <v>3.50172429689197</v>
      </c>
      <c r="K56" s="114" t="n">
        <f aca="false">K48*1000000000/(K13*8760)</f>
        <v>3.54109741903371</v>
      </c>
      <c r="L56" s="114" t="n">
        <f aca="false">L48*1000000000/(L13*8760)</f>
        <v>3.49384967246362</v>
      </c>
      <c r="M56" s="114" t="n">
        <f aca="false">M48*1000000000/(M13*8760)</f>
        <v>3.55122193615587</v>
      </c>
      <c r="N56" s="114" t="n">
        <f aca="false">N48*1000000000/(N13*8760)</f>
        <v>3.19222167940091</v>
      </c>
      <c r="O56" s="114" t="n">
        <f aca="false">O48*1000000000/(O13*8760)</f>
        <v>4.65585507796581</v>
      </c>
      <c r="P56" s="114" t="n">
        <f aca="false">P48*1000000000/(P13*8760)</f>
        <v>3.51747354574866</v>
      </c>
      <c r="Q56" s="114" t="n">
        <f aca="false">Q48*1000000000/(Q13*8760)</f>
        <v>3.51747354574866</v>
      </c>
      <c r="R56" s="114" t="n">
        <f aca="false">R48*1000000000/(R13*8760)</f>
        <v>3.45166242366903</v>
      </c>
      <c r="S56" s="114" t="n">
        <f aca="false">S48*1000000000/(S13*8760)</f>
        <v>3.58328466782829</v>
      </c>
      <c r="T56" s="114" t="n">
        <f aca="false">T48*1000000000/(T13*8760)</f>
        <v>3.49553650505545</v>
      </c>
      <c r="U56" s="114" t="n">
        <f aca="false">U48*1000000000/(U13*8760)</f>
        <v>3.53941058644187</v>
      </c>
      <c r="V56" s="114" t="n">
        <f aca="false">V48*1000000000/(V13*8760)</f>
        <v>3.48456798470885</v>
      </c>
      <c r="W56" s="114" t="n">
        <f aca="false">W48*1000000000/(W13*8760)</f>
        <v>3.55037910678848</v>
      </c>
      <c r="X56" s="114" t="n">
        <f aca="false">X48*1000000000/(X13*8760)</f>
        <v>3.49323830043799</v>
      </c>
      <c r="Y56" s="114" t="n">
        <f aca="false">Y48*1000000000/(Y13*8760)</f>
        <v>3.55210096624656</v>
      </c>
    </row>
    <row r="57" customFormat="false" ht="15" hidden="false" customHeight="true" outlineLevel="0" collapsed="false">
      <c r="A57" s="19" t="s">
        <v>665</v>
      </c>
      <c r="B57" s="15" t="s">
        <v>607</v>
      </c>
      <c r="C57" s="115" t="n">
        <f aca="false">C54*1000000000/(C13*8760)</f>
        <v>4.71670281161092</v>
      </c>
      <c r="D57" s="115" t="n">
        <f aca="false">D54*1000000000/(D13*8760)</f>
        <v>4.20906878979644</v>
      </c>
      <c r="E57" s="115" t="n">
        <f aca="false">E54*1000000000/(E13*8760)</f>
        <v>5.31663392830075</v>
      </c>
      <c r="F57" s="115" t="n">
        <f aca="false">F54*1000000000/(F13*8760)</f>
        <v>4.53690309436827</v>
      </c>
      <c r="G57" s="115" t="n">
        <f aca="false">G54*1000000000/(G13*8760)</f>
        <v>4.73102897996732</v>
      </c>
      <c r="H57" s="115" t="n">
        <f aca="false">H54*1000000000/(H13*8760)</f>
        <v>4.55308523433187</v>
      </c>
      <c r="I57" s="115" t="n">
        <f aca="false">I54*1000000000/(I13*8760)</f>
        <v>4.88032038888996</v>
      </c>
      <c r="J57" s="115" t="n">
        <f aca="false">J54*1000000000/(J13*8760)</f>
        <v>4.68131310245642</v>
      </c>
      <c r="K57" s="115" t="n">
        <f aca="false">K54*1000000000/(K13*8760)</f>
        <v>4.76978737534267</v>
      </c>
      <c r="L57" s="115" t="n">
        <f aca="false">L54*1000000000/(L13*8760)</f>
        <v>4.67183016995943</v>
      </c>
      <c r="M57" s="115" t="n">
        <f aca="false">M54*1000000000/(M13*8760)</f>
        <v>4.78080658539875</v>
      </c>
      <c r="N57" s="115" t="n">
        <f aca="false">N54*1000000000/(N13*8760)</f>
        <v>4.38609112372341</v>
      </c>
      <c r="O57" s="115" t="n">
        <f aca="false">O54*1000000000/(O13*8760)</f>
        <v>5.88964683673616</v>
      </c>
      <c r="P57" s="115" t="n">
        <f aca="false">P54*1000000000/(P13*8760)</f>
        <v>4.45647713175195</v>
      </c>
      <c r="Q57" s="115" t="n">
        <f aca="false">Q54*1000000000/(Q13*8760)</f>
        <v>5.1223418562859</v>
      </c>
      <c r="R57" s="115" t="n">
        <f aca="false">R54*1000000000/(R13*8760)</f>
        <v>4.65089168953128</v>
      </c>
      <c r="S57" s="115" t="n">
        <f aca="false">S54*1000000000/(S13*8760)</f>
        <v>4.78251393369055</v>
      </c>
      <c r="T57" s="115" t="n">
        <f aca="false">T54*1000000000/(T13*8760)</f>
        <v>4.69476577091771</v>
      </c>
      <c r="U57" s="115" t="n">
        <f aca="false">U54*1000000000/(U13*8760)</f>
        <v>4.73863985230413</v>
      </c>
      <c r="V57" s="115" t="n">
        <f aca="false">V54*1000000000/(V13*8760)</f>
        <v>4.6837972505711</v>
      </c>
      <c r="W57" s="115" t="n">
        <f aca="false">W54*1000000000/(W13*8760)</f>
        <v>4.74960837265073</v>
      </c>
      <c r="X57" s="115" t="n">
        <f aca="false">X54*1000000000/(X13*8760)</f>
        <v>4.68168065571714</v>
      </c>
      <c r="Y57" s="115" t="n">
        <f aca="false">Y54*1000000000/(Y13*8760)</f>
        <v>4.76674261534844</v>
      </c>
    </row>
    <row r="58" customFormat="false" ht="15" hidden="false" customHeight="true" outlineLevel="0" collapsed="false">
      <c r="A58" s="19" t="s">
        <v>666</v>
      </c>
      <c r="B58" s="15" t="s">
        <v>667</v>
      </c>
      <c r="C58" s="16" t="n">
        <f aca="false">C54*1000000000/(C11*8760)</f>
        <v>339.602602435986</v>
      </c>
      <c r="D58" s="16" t="n">
        <f aca="false">D54*1000000000/(D11*8760)</f>
        <v>303.052952865344</v>
      </c>
      <c r="E58" s="16" t="n">
        <f aca="false">E54*1000000000/(E11*8760)</f>
        <v>382.797642837654</v>
      </c>
      <c r="F58" s="16" t="n">
        <f aca="false">F54*1000000000/(F11*8760)</f>
        <v>326.657022794515</v>
      </c>
      <c r="G58" s="16" t="n">
        <f aca="false">G54*1000000000/(G11*8760)</f>
        <v>340.634086557647</v>
      </c>
      <c r="H58" s="16" t="n">
        <f aca="false">H54*1000000000/(H11*8760)</f>
        <v>327.822136871895</v>
      </c>
      <c r="I58" s="16" t="n">
        <f aca="false">I54*1000000000/(I11*8760)</f>
        <v>351.383068000077</v>
      </c>
      <c r="J58" s="16" t="n">
        <f aca="false">J54*1000000000/(J11*8760)</f>
        <v>337.054543376862</v>
      </c>
      <c r="K58" s="16" t="n">
        <f aca="false">K54*1000000000/(K11*8760)</f>
        <v>343.424691024672</v>
      </c>
      <c r="L58" s="16" t="n">
        <f aca="false">L54*1000000000/(L11*8760)</f>
        <v>336.371772237079</v>
      </c>
      <c r="M58" s="16" t="n">
        <f aca="false">M54*1000000000/(M11*8760)</f>
        <v>344.21807414871</v>
      </c>
      <c r="N58" s="16" t="n">
        <f aca="false">N54*1000000000/(N11*8760)</f>
        <v>315.798560908085</v>
      </c>
      <c r="O58" s="16" t="n">
        <f aca="false">O54*1000000000/(O11*8760)</f>
        <v>424.054572245004</v>
      </c>
      <c r="P58" s="16" t="n">
        <f aca="false">P54*1000000000/(P11*8760)</f>
        <v>320.866353486141</v>
      </c>
      <c r="Q58" s="16" t="n">
        <f aca="false">Q54*1000000000/(Q11*8760)</f>
        <v>368.808613652585</v>
      </c>
      <c r="R58" s="16" t="n">
        <f aca="false">R54*1000000000/(R11*8760)</f>
        <v>334.864201646252</v>
      </c>
      <c r="S58" s="16" t="n">
        <f aca="false">S54*1000000000/(S11*8760)</f>
        <v>344.341003225719</v>
      </c>
      <c r="T58" s="16" t="n">
        <f aca="false">T54*1000000000/(T11*8760)</f>
        <v>338.023135506075</v>
      </c>
      <c r="U58" s="16" t="n">
        <f aca="false">U54*1000000000/(U11*8760)</f>
        <v>341.182069365897</v>
      </c>
      <c r="V58" s="16" t="n">
        <f aca="false">V54*1000000000/(V11*8760)</f>
        <v>337.233402041119</v>
      </c>
      <c r="W58" s="16" t="n">
        <f aca="false">W54*1000000000/(W11*8760)</f>
        <v>341.971802830853</v>
      </c>
      <c r="X58" s="16" t="n">
        <f aca="false">X54*1000000000/(X11*8760)</f>
        <v>337.081007211634</v>
      </c>
      <c r="Y58" s="16" t="n">
        <f aca="false">Y54*1000000000/(Y11*8760)</f>
        <v>343.205468305088</v>
      </c>
    </row>
    <row r="59" customFormat="false" ht="15" hidden="false" customHeight="true" outlineLevel="0" collapsed="false">
      <c r="A59" s="19" t="s">
        <v>668</v>
      </c>
      <c r="B59" s="15" t="s">
        <v>669</v>
      </c>
      <c r="C59" s="114" t="n">
        <f aca="false">C7*C40*C14*8760/1000000</f>
        <v>8.4096</v>
      </c>
      <c r="D59" s="114" t="n">
        <f aca="false">D7*D40*D14*8760/1000000</f>
        <v>8.4096</v>
      </c>
      <c r="E59" s="114" t="n">
        <f aca="false">E7*E40*E14*8760/1000000</f>
        <v>8.4096</v>
      </c>
      <c r="F59" s="114" t="n">
        <f aca="false">F7*F40*F14*8760/1000000</f>
        <v>8.4096</v>
      </c>
      <c r="G59" s="114" t="n">
        <f aca="false">G7*G40*G14*8760/1000000</f>
        <v>8.4096</v>
      </c>
      <c r="H59" s="114" t="n">
        <f aca="false">H7*H40*H14*8760/1000000</f>
        <v>8.4096</v>
      </c>
      <c r="I59" s="114" t="n">
        <f aca="false">I7*I40*I14*8760/1000000</f>
        <v>8.4096</v>
      </c>
      <c r="J59" s="114" t="n">
        <f aca="false">J7*J40*J14*8760/1000000</f>
        <v>8.4096</v>
      </c>
      <c r="K59" s="114" t="n">
        <f aca="false">K7*K40*K14*8760/1000000</f>
        <v>8.4096</v>
      </c>
      <c r="L59" s="114" t="n">
        <f aca="false">L7*L40*L14*8760/1000000</f>
        <v>8.4096</v>
      </c>
      <c r="M59" s="114" t="n">
        <f aca="false">M7*M40*M14*8760/1000000</f>
        <v>8.4096</v>
      </c>
      <c r="N59" s="114" t="n">
        <f aca="false">N7*N40*N14*8760/1000000</f>
        <v>8.4096</v>
      </c>
      <c r="O59" s="114" t="n">
        <f aca="false">O7*O40*O14*8760/1000000</f>
        <v>8.4096</v>
      </c>
      <c r="P59" s="114" t="n">
        <f aca="false">P7*P40*P14*8760/1000000</f>
        <v>8.4096</v>
      </c>
      <c r="Q59" s="114" t="n">
        <f aca="false">Q7*Q40*Q14*8760/1000000</f>
        <v>8.4096</v>
      </c>
      <c r="R59" s="114" t="n">
        <f aca="false">R7*R40*R14*8760/1000000</f>
        <v>8.4096</v>
      </c>
      <c r="S59" s="114" t="n">
        <f aca="false">S7*S40*S14*8760/1000000</f>
        <v>8.4096</v>
      </c>
      <c r="T59" s="114" t="n">
        <f aca="false">T7*T40*T14*8760/1000000</f>
        <v>7.7088</v>
      </c>
      <c r="U59" s="114" t="n">
        <f aca="false">U7*U40*U14*8760/1000000</f>
        <v>9.1104</v>
      </c>
      <c r="V59" s="114" t="n">
        <f aca="false">V7*V40*V14*8760/1000000</f>
        <v>7.3584</v>
      </c>
      <c r="W59" s="114" t="n">
        <f aca="false">W7*W40*W14*8760/1000000</f>
        <v>9.4608</v>
      </c>
      <c r="X59" s="114" t="n">
        <f aca="false">X7*X40*X14*8760/1000000</f>
        <v>8.4096</v>
      </c>
      <c r="Y59" s="114" t="n">
        <f aca="false">Y7*Y40*Y14*8760/1000000</f>
        <v>8.4096</v>
      </c>
    </row>
    <row r="60" customFormat="false" ht="15" hidden="false" customHeight="true" outlineLevel="0" collapsed="false">
      <c r="A60" s="19" t="s">
        <v>670</v>
      </c>
      <c r="B60" s="15" t="s">
        <v>45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671</v>
      </c>
      <c r="B61" s="15" t="s">
        <v>45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2" t="s">
        <v>770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5" t="s">
        <v>771</v>
      </c>
      <c r="B65" s="25"/>
      <c r="C65" s="25" t="s">
        <v>772</v>
      </c>
      <c r="D65" s="25" t="s">
        <v>773</v>
      </c>
      <c r="E65" s="25" t="s">
        <v>774</v>
      </c>
      <c r="F65" s="25" t="s">
        <v>775</v>
      </c>
      <c r="G65" s="25" t="s">
        <v>776</v>
      </c>
      <c r="H65" s="25" t="s">
        <v>777</v>
      </c>
      <c r="I65" s="138" t="s">
        <v>778</v>
      </c>
      <c r="J65" s="138" t="s">
        <v>779</v>
      </c>
    </row>
    <row r="66" customFormat="false" ht="15" hidden="false" customHeight="true" outlineLevel="0" collapsed="false">
      <c r="A66" s="19" t="s">
        <v>31</v>
      </c>
      <c r="C66" s="116" t="n">
        <f aca="false">C32</f>
        <v>47.582032</v>
      </c>
      <c r="F66" s="114" t="n">
        <f aca="false">C54</f>
        <v>12.0543709668186</v>
      </c>
      <c r="I66" s="114" t="n">
        <f aca="false">C57</f>
        <v>4.71670281161092</v>
      </c>
    </row>
    <row r="67" customFormat="false" ht="15" hidden="false" customHeight="true" outlineLevel="0" collapsed="false">
      <c r="A67" s="19" t="s">
        <v>780</v>
      </c>
      <c r="C67" s="116" t="n">
        <f aca="false">D32</f>
        <v>42.679112</v>
      </c>
      <c r="D67" s="116" t="n">
        <f aca="false">E32</f>
        <v>53.376392</v>
      </c>
      <c r="E67" s="139" t="n">
        <f aca="false">ABS(D67-C67)</f>
        <v>10.69728</v>
      </c>
      <c r="F67" s="114" t="n">
        <f aca="false">D54</f>
        <v>10.7570221494909</v>
      </c>
      <c r="G67" s="114" t="n">
        <f aca="false">E54</f>
        <v>13.5876013872968</v>
      </c>
      <c r="H67" s="115" t="n">
        <f aca="false">ABS(G67-F67)</f>
        <v>2.83057923780595</v>
      </c>
      <c r="I67" s="114" t="n">
        <f aca="false">D57</f>
        <v>4.20906878979644</v>
      </c>
      <c r="J67" s="114" t="n">
        <f aca="false">E57</f>
        <v>5.31663392830075</v>
      </c>
    </row>
    <row r="68" customFormat="false" ht="15" hidden="false" customHeight="true" outlineLevel="0" collapsed="false">
      <c r="A68" s="19" t="s">
        <v>781</v>
      </c>
      <c r="C68" s="116" t="n">
        <f aca="false">F32</f>
        <v>54.388672</v>
      </c>
      <c r="D68" s="116" t="n">
        <f aca="false">G32</f>
        <v>47.134</v>
      </c>
      <c r="E68" s="139" t="n">
        <f aca="false">ABS(D68-C68)</f>
        <v>7.25467200000001</v>
      </c>
      <c r="F68" s="114" t="n">
        <f aca="false">F54</f>
        <v>13.8554581462903</v>
      </c>
      <c r="G68" s="114" t="n">
        <f aca="false">G54</f>
        <v>11.9358183929799</v>
      </c>
      <c r="H68" s="115" t="n">
        <f aca="false">ABS(G68-F68)</f>
        <v>1.9196397533104</v>
      </c>
      <c r="I68" s="114" t="n">
        <f aca="false">F57</f>
        <v>4.53690309436827</v>
      </c>
      <c r="J68" s="114" t="n">
        <f aca="false">G57</f>
        <v>4.73102897996732</v>
      </c>
    </row>
    <row r="69" customFormat="false" ht="15" hidden="false" customHeight="true" outlineLevel="0" collapsed="false">
      <c r="A69" s="19" t="s">
        <v>782</v>
      </c>
      <c r="C69" s="116" t="n">
        <f aca="false">H32</f>
        <v>46.001752</v>
      </c>
      <c r="D69" s="116" t="n">
        <f aca="false">I32</f>
        <v>49.162312</v>
      </c>
      <c r="E69" s="139" t="n">
        <f aca="false">ABS(D69-C69)</f>
        <v>3.16056</v>
      </c>
      <c r="F69" s="114" t="n">
        <f aca="false">H54</f>
        <v>11.6362172157791</v>
      </c>
      <c r="G69" s="114" t="n">
        <f aca="false">I54</f>
        <v>12.4725247178581</v>
      </c>
      <c r="H69" s="115" t="n">
        <f aca="false">ABS(G69-F69)</f>
        <v>0.836307502079034</v>
      </c>
      <c r="I69" s="114" t="n">
        <f aca="false">H57</f>
        <v>4.55308523433187</v>
      </c>
      <c r="J69" s="114" t="n">
        <f aca="false">I57</f>
        <v>4.88032038888996</v>
      </c>
    </row>
    <row r="70" customFormat="false" ht="15" hidden="false" customHeight="true" outlineLevel="0" collapsed="false">
      <c r="A70" s="19" t="s">
        <v>783</v>
      </c>
      <c r="C70" s="116" t="n">
        <f aca="false">J32</f>
        <v>46.892032</v>
      </c>
      <c r="D70" s="116" t="n">
        <f aca="false">K32</f>
        <v>48.617032</v>
      </c>
      <c r="E70" s="139" t="n">
        <f aca="false">ABS(D70-C70)</f>
        <v>1.72499999999999</v>
      </c>
      <c r="F70" s="114" t="n">
        <f aca="false">J54</f>
        <v>11.9639262855243</v>
      </c>
      <c r="G70" s="114" t="n">
        <f aca="false">K54</f>
        <v>12.1900379887601</v>
      </c>
      <c r="H70" s="115" t="n">
        <f aca="false">ABS(G70-F70)</f>
        <v>0.226111703235793</v>
      </c>
      <c r="I70" s="114" t="n">
        <f aca="false">J57</f>
        <v>4.68131310245642</v>
      </c>
      <c r="J70" s="114" t="n">
        <f aca="false">K57</f>
        <v>4.76978737534267</v>
      </c>
    </row>
    <row r="71" customFormat="false" ht="15" hidden="false" customHeight="true" outlineLevel="0" collapsed="false">
      <c r="A71" s="19" t="s">
        <v>784</v>
      </c>
      <c r="C71" s="116" t="n">
        <f aca="false">L32</f>
        <v>46.777032</v>
      </c>
      <c r="D71" s="116" t="n">
        <f aca="false">M32</f>
        <v>48.732032</v>
      </c>
      <c r="E71" s="139" t="n">
        <f aca="false">ABS(D71-C71)</f>
        <v>1.955</v>
      </c>
      <c r="F71" s="114" t="n">
        <f aca="false">L54</f>
        <v>11.9396909688767</v>
      </c>
      <c r="G71" s="114" t="n">
        <f aca="false">M54</f>
        <v>12.218199535307</v>
      </c>
      <c r="H71" s="115" t="n">
        <f aca="false">ABS(G71-F71)</f>
        <v>0.278508566430327</v>
      </c>
      <c r="I71" s="114" t="n">
        <f aca="false">L57</f>
        <v>4.67183016995943</v>
      </c>
      <c r="J71" s="114" t="n">
        <f aca="false">M57</f>
        <v>4.78080658539875</v>
      </c>
    </row>
    <row r="72" customFormat="false" ht="15" hidden="false" customHeight="true" outlineLevel="0" collapsed="false">
      <c r="A72" s="14" t="s">
        <v>785</v>
      </c>
      <c r="C72" s="116" t="n">
        <f aca="false">N32</f>
        <v>47.582032</v>
      </c>
      <c r="D72" s="116" t="n">
        <f aca="false">O32</f>
        <v>47.582032</v>
      </c>
      <c r="E72" s="139" t="n">
        <f aca="false">ABS(D72-C72)</f>
        <v>0</v>
      </c>
      <c r="F72" s="114" t="n">
        <f aca="false">N54</f>
        <v>11.2094341346842</v>
      </c>
      <c r="G72" s="114" t="n">
        <f aca="false">O54</f>
        <v>15.052037550214</v>
      </c>
      <c r="H72" s="115" t="n">
        <f aca="false">ABS(G72-F72)</f>
        <v>3.84260341552982</v>
      </c>
      <c r="I72" s="114" t="n">
        <f aca="false">N57</f>
        <v>4.38609112372341</v>
      </c>
      <c r="J72" s="114" t="n">
        <f aca="false">O57</f>
        <v>5.88964683673616</v>
      </c>
    </row>
    <row r="73" customFormat="false" ht="15" hidden="false" customHeight="true" outlineLevel="0" collapsed="false">
      <c r="A73" s="14" t="s">
        <v>658</v>
      </c>
      <c r="C73" s="116" t="n">
        <f aca="false">P32</f>
        <v>47.582032</v>
      </c>
      <c r="D73" s="116" t="n">
        <f aca="false">Q32</f>
        <v>47.582032</v>
      </c>
      <c r="E73" s="139" t="n">
        <f aca="false">ABS(D73-C73)</f>
        <v>0</v>
      </c>
      <c r="F73" s="114" t="n">
        <f aca="false">P54</f>
        <v>11.3893180674944</v>
      </c>
      <c r="G73" s="114" t="n">
        <f aca="false">Q54</f>
        <v>13.0910535220776</v>
      </c>
      <c r="H73" s="115" t="n">
        <f aca="false">ABS(G73-F73)</f>
        <v>1.70173545458324</v>
      </c>
      <c r="I73" s="114" t="n">
        <f aca="false">P57</f>
        <v>4.45647713175195</v>
      </c>
      <c r="J73" s="114" t="n">
        <f aca="false">Q57</f>
        <v>5.1223418562859</v>
      </c>
    </row>
    <row r="74" customFormat="false" ht="15" hidden="false" customHeight="true" outlineLevel="0" collapsed="false">
      <c r="A74" s="19" t="s">
        <v>54</v>
      </c>
      <c r="C74" s="116" t="n">
        <f aca="false">R32</f>
        <v>47.582032</v>
      </c>
      <c r="D74" s="116" t="n">
        <f aca="false">S32</f>
        <v>47.582032</v>
      </c>
      <c r="E74" s="139" t="n">
        <f aca="false">ABS(D74-C74)</f>
        <v>0</v>
      </c>
      <c r="F74" s="114" t="n">
        <f aca="false">R54</f>
        <v>11.8861789668186</v>
      </c>
      <c r="G74" s="114" t="n">
        <f aca="false">S54</f>
        <v>12.2225629668186</v>
      </c>
      <c r="H74" s="115" t="n">
        <f aca="false">ABS(G74-F74)</f>
        <v>0.336384000000001</v>
      </c>
      <c r="I74" s="114" t="n">
        <f aca="false">R57</f>
        <v>4.65089168953128</v>
      </c>
      <c r="J74" s="114" t="n">
        <f aca="false">S57</f>
        <v>4.78251393369055</v>
      </c>
    </row>
    <row r="75" customFormat="false" ht="15" hidden="false" customHeight="true" outlineLevel="0" collapsed="false">
      <c r="A75" s="14" t="s">
        <v>48</v>
      </c>
      <c r="C75" s="116" t="n">
        <f aca="false">T32</f>
        <v>47.582032</v>
      </c>
      <c r="D75" s="116" t="n">
        <f aca="false">U32</f>
        <v>47.582032</v>
      </c>
      <c r="E75" s="139" t="n">
        <f aca="false">ABS(D75-C75)</f>
        <v>0</v>
      </c>
      <c r="F75" s="114" t="n">
        <f aca="false">T54</f>
        <v>11.9983069668186</v>
      </c>
      <c r="G75" s="114" t="n">
        <f aca="false">U54</f>
        <v>12.1104349668186</v>
      </c>
      <c r="H75" s="115" t="n">
        <f aca="false">ABS(G75-F75)</f>
        <v>0.112128</v>
      </c>
      <c r="I75" s="114" t="n">
        <f aca="false">T57</f>
        <v>4.69476577091771</v>
      </c>
      <c r="J75" s="114" t="n">
        <f aca="false">U57</f>
        <v>4.73863985230413</v>
      </c>
    </row>
    <row r="76" customFormat="false" ht="15" hidden="false" customHeight="true" outlineLevel="0" collapsed="false">
      <c r="A76" s="19" t="s">
        <v>786</v>
      </c>
      <c r="C76" s="116" t="n">
        <f aca="false">V32</f>
        <v>47.582032</v>
      </c>
      <c r="D76" s="116" t="n">
        <f aca="false">W32</f>
        <v>47.582032</v>
      </c>
      <c r="E76" s="139" t="n">
        <f aca="false">ABS(D76-C76)</f>
        <v>0</v>
      </c>
      <c r="F76" s="114" t="n">
        <f aca="false">V54</f>
        <v>11.9702749668186</v>
      </c>
      <c r="G76" s="114" t="n">
        <f aca="false">W54</f>
        <v>12.1384669668186</v>
      </c>
      <c r="H76" s="115" t="n">
        <f aca="false">ABS(G76-F76)</f>
        <v>0.168191999999999</v>
      </c>
      <c r="I76" s="114" t="n">
        <f aca="false">V57</f>
        <v>4.6837972505711</v>
      </c>
      <c r="J76" s="114" t="n">
        <f aca="false">W57</f>
        <v>4.74960837265073</v>
      </c>
    </row>
    <row r="77" customFormat="false" ht="15" hidden="false" customHeight="true" outlineLevel="0" collapsed="false">
      <c r="A77" s="19" t="s">
        <v>787</v>
      </c>
      <c r="C77" s="116" t="n">
        <f aca="false">X32</f>
        <v>48.72796</v>
      </c>
      <c r="D77" s="116" t="n">
        <f aca="false">Y32</f>
        <v>46.065616</v>
      </c>
      <c r="E77" s="139" t="n">
        <f aca="false">ABS(D77-C77)</f>
        <v>2.662344</v>
      </c>
      <c r="F77" s="114" t="n">
        <f aca="false">X54</f>
        <v>12.3575919729828</v>
      </c>
      <c r="G77" s="114" t="n">
        <f aca="false">Y54</f>
        <v>11.6531161015186</v>
      </c>
      <c r="H77" s="115" t="n">
        <f aca="false">ABS(G77-F77)</f>
        <v>0.704475871464265</v>
      </c>
      <c r="I77" s="114" t="n">
        <f aca="false">X57</f>
        <v>4.68168065571714</v>
      </c>
      <c r="J77" s="114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788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279</v>
      </c>
      <c r="B3" s="11" t="s">
        <v>789</v>
      </c>
      <c r="C3" s="11" t="s">
        <v>790</v>
      </c>
      <c r="D3" s="11" t="s">
        <v>29</v>
      </c>
      <c r="E3" s="11" t="s">
        <v>434</v>
      </c>
      <c r="F3" s="11" t="s">
        <v>360</v>
      </c>
    </row>
    <row r="4" customFormat="false" ht="15" hidden="false" customHeight="true" outlineLevel="0" collapsed="false">
      <c r="A4" s="14" t="s">
        <v>791</v>
      </c>
      <c r="B4" s="123" t="n">
        <f aca="false">DC_Cost!M33</f>
        <v>47.582032</v>
      </c>
      <c r="C4" s="140" t="s">
        <v>792</v>
      </c>
      <c r="D4" s="15" t="s">
        <v>793</v>
      </c>
      <c r="E4" s="19" t="str">
        <f aca="false">IF(AND(B4&gt;=50,B4&lt;=60),"落在區間",IF(B4&lt;50,"低於參照","高於參照"))</f>
        <v>低於參照</v>
      </c>
      <c r="F4" s="18" t="s">
        <v>794</v>
      </c>
    </row>
    <row r="5" customFormat="false" ht="15" hidden="false" customHeight="true" outlineLevel="0" collapsed="false">
      <c r="A5" s="14" t="s">
        <v>795</v>
      </c>
      <c r="B5" s="123" t="n">
        <f aca="false">DC_Cost!M19</f>
        <v>31.6056</v>
      </c>
      <c r="C5" s="141" t="s">
        <v>796</v>
      </c>
      <c r="D5" s="15" t="s">
        <v>793</v>
      </c>
      <c r="E5" s="19" t="str">
        <f aca="false">IF(ABS(B5-35)/35&lt;=0.2,"±20% 內","差距 &gt;20%")</f>
        <v>±20% 內</v>
      </c>
      <c r="F5" s="18" t="s">
        <v>797</v>
      </c>
    </row>
    <row r="6" customFormat="false" ht="15" hidden="false" customHeight="true" outlineLevel="0" collapsed="false">
      <c r="A6" s="19" t="s">
        <v>648</v>
      </c>
      <c r="B6" s="123" t="n">
        <f aca="false">DC_Cost!M36</f>
        <v>12.67</v>
      </c>
      <c r="C6" s="140" t="s">
        <v>798</v>
      </c>
      <c r="D6" s="15" t="s">
        <v>66</v>
      </c>
      <c r="E6" s="19" t="str">
        <f aca="false">IF(AND(B6&gt;=11.3*1.07*0.9,B6&lt;=11.3*1.1*1.3),"合理區間","需檢查")</f>
        <v>合理區間</v>
      </c>
      <c r="F6" s="6" t="s">
        <v>799</v>
      </c>
    </row>
    <row r="7" customFormat="false" ht="15" hidden="false" customHeight="true" outlineLevel="0" collapsed="false">
      <c r="A7" s="14" t="s">
        <v>800</v>
      </c>
      <c r="B7" s="123" t="n">
        <f aca="false">DC_Cost!G58</f>
        <v>2.07676472784428</v>
      </c>
      <c r="C7" s="140" t="s">
        <v>801</v>
      </c>
      <c r="D7" s="15" t="s">
        <v>607</v>
      </c>
      <c r="E7" s="19" t="str">
        <f aca="false">IF(B7&gt;2.21,"高於參照（參照假設未知）","低於參照")</f>
        <v>低於參照</v>
      </c>
      <c r="F7" s="6" t="s">
        <v>802</v>
      </c>
    </row>
    <row r="8" customFormat="false" ht="15" hidden="false" customHeight="true" outlineLevel="0" collapsed="false">
      <c r="A8" s="14" t="s">
        <v>803</v>
      </c>
      <c r="B8" s="123" t="n">
        <f aca="false">DC_Cost!J58</f>
        <v>2.98751288214055</v>
      </c>
      <c r="C8" s="140" t="s">
        <v>804</v>
      </c>
      <c r="D8" s="15" t="s">
        <v>607</v>
      </c>
      <c r="E8" s="19" t="str">
        <f aca="false">IF(B8&gt;2.65,"高於參照（參照假設未知）","低於參照")</f>
        <v>高於參照（參照假設未知）</v>
      </c>
      <c r="F8" s="18" t="s">
        <v>71</v>
      </c>
    </row>
    <row r="9" customFormat="false" ht="15" hidden="false" customHeight="true" outlineLevel="0" collapsed="false">
      <c r="A9" s="14" t="s">
        <v>805</v>
      </c>
      <c r="B9" s="123" t="n">
        <f aca="false">DC_Cost!G58</f>
        <v>2.07676472784428</v>
      </c>
      <c r="C9" s="140" t="s">
        <v>806</v>
      </c>
      <c r="D9" s="15" t="s">
        <v>607</v>
      </c>
      <c r="E9" s="19" t="str">
        <f aca="false">"牌價 ÷ 持有成本＝"&amp;TEXT(10.5/B9,"0.0")&amp;" 倍"</f>
        <v>牌價 ÷ 持有成本＝5.1 倍</v>
      </c>
      <c r="F9" s="6" t="s">
        <v>807</v>
      </c>
    </row>
    <row r="10" customFormat="false" ht="15" hidden="false" customHeight="true" outlineLevel="0" collapsed="false">
      <c r="A10" s="19" t="s">
        <v>808</v>
      </c>
      <c r="B10" s="123" t="n">
        <f aca="false">DC_Cost!J58</f>
        <v>2.98751288214055</v>
      </c>
      <c r="C10" s="140" t="s">
        <v>809</v>
      </c>
      <c r="D10" s="15" t="s">
        <v>607</v>
      </c>
      <c r="E10" s="19" t="str">
        <f aca="false">"參照 ÷ 本模型＝"&amp;TEXT(3.57/B10,"0.00")</f>
        <v>參照 ÷ 本模型＝1.19</v>
      </c>
      <c r="F10" s="18" t="s">
        <v>810</v>
      </c>
    </row>
    <row r="12" customFormat="false" ht="15" hidden="false" customHeight="true" outlineLevel="0" collapsed="false">
      <c r="A12" s="29" t="s">
        <v>811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8" t="s">
        <v>279</v>
      </c>
      <c r="B13" s="8" t="s">
        <v>812</v>
      </c>
      <c r="C13" s="8" t="s">
        <v>790</v>
      </c>
      <c r="D13" s="8" t="s">
        <v>29</v>
      </c>
      <c r="E13" s="8" t="s">
        <v>434</v>
      </c>
      <c r="F13" s="8" t="s">
        <v>360</v>
      </c>
    </row>
    <row r="14" customFormat="false" ht="15" hidden="false" customHeight="true" outlineLevel="0" collapsed="false">
      <c r="A14" s="5" t="s">
        <v>813</v>
      </c>
      <c r="B14" s="142" t="n">
        <f aca="false">Calib!C84</f>
        <v>1</v>
      </c>
      <c r="C14" s="31" t="s">
        <v>814</v>
      </c>
      <c r="D14" s="31" t="s">
        <v>49</v>
      </c>
      <c r="E14" s="74" t="s">
        <v>815</v>
      </c>
      <c r="F14" s="32" t="s">
        <v>816</v>
      </c>
    </row>
    <row r="15" customFormat="false" ht="26.25" hidden="false" customHeight="true" outlineLevel="0" collapsed="false">
      <c r="A15" s="5" t="s">
        <v>817</v>
      </c>
      <c r="B15" s="142" t="n">
        <f aca="false">Calib!E84</f>
        <v>0.994092131160915</v>
      </c>
      <c r="C15" s="31" t="s">
        <v>818</v>
      </c>
      <c r="D15" s="30" t="s">
        <v>819</v>
      </c>
      <c r="E15" s="66" t="s">
        <v>820</v>
      </c>
      <c r="F15" s="32" t="s">
        <v>362</v>
      </c>
    </row>
    <row r="16" customFormat="false" ht="26.25" hidden="false" customHeight="true" outlineLevel="0" collapsed="false">
      <c r="A16" s="5" t="s">
        <v>821</v>
      </c>
      <c r="B16" s="142" t="n">
        <f aca="false">Calib!F84</f>
        <v>2.19089327273002</v>
      </c>
      <c r="C16" s="31" t="s">
        <v>822</v>
      </c>
      <c r="D16" s="30" t="s">
        <v>819</v>
      </c>
      <c r="E16" s="74" t="s">
        <v>823</v>
      </c>
      <c r="F16" s="32" t="s">
        <v>363</v>
      </c>
    </row>
    <row r="17" customFormat="false" ht="26.25" hidden="false" customHeight="true" outlineLevel="0" collapsed="false">
      <c r="A17" s="5" t="s">
        <v>824</v>
      </c>
      <c r="B17" s="142" t="n">
        <f aca="false">Calib!G84</f>
        <v>4.12489788701598</v>
      </c>
      <c r="C17" s="31" t="s">
        <v>825</v>
      </c>
      <c r="D17" s="30" t="s">
        <v>819</v>
      </c>
      <c r="E17" s="74" t="s">
        <v>826</v>
      </c>
      <c r="F17" s="32" t="s">
        <v>363</v>
      </c>
    </row>
    <row r="18" customFormat="false" ht="15" hidden="false" customHeight="true" outlineLevel="0" collapsed="false">
      <c r="A18" s="5" t="s">
        <v>827</v>
      </c>
      <c r="B18" s="142" t="n">
        <f aca="false">Calib!H84</f>
        <v>1.0128861126286</v>
      </c>
      <c r="C18" s="31" t="s">
        <v>828</v>
      </c>
      <c r="D18" s="30" t="s">
        <v>819</v>
      </c>
      <c r="E18" s="74" t="s">
        <v>829</v>
      </c>
      <c r="F18" s="32" t="s">
        <v>364</v>
      </c>
    </row>
    <row r="19" customFormat="false" ht="29.25" hidden="false" customHeight="true" outlineLevel="0" collapsed="false">
      <c r="A19" s="6" t="s">
        <v>830</v>
      </c>
      <c r="B19" s="142" t="n">
        <f aca="false">DC_Cost!J58/(Calib!C17*3600)*1000000</f>
        <v>0.0884302341634506</v>
      </c>
      <c r="C19" s="31" t="s">
        <v>831</v>
      </c>
      <c r="D19" s="31" t="s">
        <v>832</v>
      </c>
      <c r="E19" s="74" t="s">
        <v>833</v>
      </c>
      <c r="F19" s="32" t="s">
        <v>361</v>
      </c>
    </row>
    <row r="20" customFormat="false" ht="39" hidden="false" customHeight="true" outlineLevel="0" collapsed="false">
      <c r="A20" s="6" t="s">
        <v>834</v>
      </c>
      <c r="B20" s="142" t="n">
        <f aca="false">Sens_Perf!C116</f>
        <v>1.57577337247285</v>
      </c>
      <c r="C20" s="143" t="n">
        <f aca="false">DC_Cost!M55/DC_Cost!J55</f>
        <v>0.95269118380222</v>
      </c>
      <c r="D20" s="31" t="s">
        <v>49</v>
      </c>
      <c r="E20" s="74" t="s">
        <v>835</v>
      </c>
      <c r="F20" s="32" t="s">
        <v>836</v>
      </c>
    </row>
    <row r="21" customFormat="false" ht="39" hidden="false" customHeight="true" outlineLevel="0" collapsed="false">
      <c r="A21" s="6" t="s">
        <v>837</v>
      </c>
      <c r="B21" s="142" t="n">
        <f aca="false">DC_Cost!J11*Inputs!$E$10/72</f>
        <v>1.52222222222222</v>
      </c>
      <c r="C21" s="31" t="s">
        <v>838</v>
      </c>
      <c r="D21" s="31" t="s">
        <v>839</v>
      </c>
      <c r="E21" s="66" t="s">
        <v>840</v>
      </c>
      <c r="F21" s="32" t="s">
        <v>361</v>
      </c>
    </row>
    <row r="22" customFormat="false" ht="29.25" hidden="false" customHeight="true" outlineLevel="0" collapsed="false">
      <c r="A22" s="6" t="s">
        <v>841</v>
      </c>
      <c r="B22" s="142" t="n">
        <f aca="false">Sens_Perf!C117</f>
        <v>0.57914747392841</v>
      </c>
      <c r="C22" s="31" t="s">
        <v>842</v>
      </c>
      <c r="D22" s="31" t="s">
        <v>49</v>
      </c>
      <c r="E22" s="74"/>
      <c r="F22" s="32" t="s">
        <v>836</v>
      </c>
    </row>
    <row r="23" customFormat="false" ht="15" hidden="false" customHeight="true" outlineLevel="0" collapsed="false">
      <c r="A23" s="5" t="s">
        <v>843</v>
      </c>
      <c r="B23" s="142" t="n">
        <f aca="false">Calib!C144</f>
        <v>0.710059996402918</v>
      </c>
      <c r="C23" s="31" t="s">
        <v>814</v>
      </c>
      <c r="D23" s="31" t="s">
        <v>49</v>
      </c>
      <c r="E23" s="66" t="s">
        <v>844</v>
      </c>
      <c r="F23" s="32" t="s">
        <v>845</v>
      </c>
    </row>
    <row r="24" customFormat="false" ht="15" hidden="false" customHeight="true" outlineLevel="0" collapsed="false">
      <c r="A24" s="5" t="s">
        <v>846</v>
      </c>
      <c r="B24" s="142" t="n">
        <f aca="false">Calib!C145</f>
        <v>2.52465448004212</v>
      </c>
      <c r="C24" s="129" t="n">
        <f aca="false">Calib!C146</f>
        <v>2.5748897461993</v>
      </c>
      <c r="D24" s="31" t="s">
        <v>49</v>
      </c>
      <c r="E24" s="74" t="s">
        <v>847</v>
      </c>
      <c r="F24" s="32" t="s">
        <v>848</v>
      </c>
    </row>
    <row r="25" customFormat="false" ht="39" hidden="false" customHeight="true" outlineLevel="0" collapsed="false">
      <c r="A25" s="5" t="s">
        <v>849</v>
      </c>
      <c r="B25" s="142" t="n">
        <f aca="false">Calib!C147</f>
        <v>1.5</v>
      </c>
      <c r="C25" s="129" t="n">
        <f aca="false">Calib!D147</f>
        <v>1.05487728759394</v>
      </c>
      <c r="D25" s="31" t="s">
        <v>49</v>
      </c>
      <c r="E25" s="66" t="s">
        <v>850</v>
      </c>
      <c r="F25" s="32" t="s">
        <v>851</v>
      </c>
    </row>
    <row r="26" customFormat="false" ht="15" hidden="false" customHeight="false" outlineLevel="0" collapsed="false">
      <c r="A26" s="5" t="s">
        <v>852</v>
      </c>
      <c r="B26" s="144" t="n">
        <f aca="false">MAX(Perf!C112:Q112)</f>
        <v>0.0744820017206733</v>
      </c>
      <c r="C26" s="45" t="s">
        <v>853</v>
      </c>
      <c r="D26" s="45" t="s">
        <v>45</v>
      </c>
      <c r="E26" s="74" t="s">
        <v>854</v>
      </c>
      <c r="F26" s="42" t="s">
        <v>855</v>
      </c>
    </row>
    <row r="27" customFormat="false" ht="15" hidden="false" customHeight="false" outlineLevel="0" collapsed="false">
      <c r="A27" s="6" t="s">
        <v>856</v>
      </c>
      <c r="B27" s="145" t="n">
        <f aca="false">COUNTIF(Perf!C86:Q86,"SLO 不可達")</f>
        <v>0</v>
      </c>
      <c r="C27" s="45" t="s">
        <v>857</v>
      </c>
      <c r="D27" s="44" t="s">
        <v>858</v>
      </c>
      <c r="E27" s="66" t="s">
        <v>859</v>
      </c>
      <c r="F27" s="42" t="s">
        <v>860</v>
      </c>
    </row>
    <row r="28" customFormat="false" ht="39.55" hidden="false" customHeight="false" outlineLevel="0" collapsed="false">
      <c r="A28" s="5" t="s">
        <v>861</v>
      </c>
      <c r="B28" s="145" t="n">
        <f aca="false">((8*1.32+3.96)/9)/((8*Unit_Cost!J32+Unit_Cost!J34)/9)</f>
        <v>11.5596740527537</v>
      </c>
      <c r="C28" s="45" t="s">
        <v>857</v>
      </c>
      <c r="D28" s="45" t="s">
        <v>49</v>
      </c>
      <c r="E28" s="66" t="s">
        <v>862</v>
      </c>
      <c r="F28" s="42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864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46" t="s">
        <v>865</v>
      </c>
      <c r="B3" s="11" t="s">
        <v>279</v>
      </c>
      <c r="C3" s="11" t="s">
        <v>866</v>
      </c>
      <c r="D3" s="11" t="s">
        <v>33</v>
      </c>
      <c r="E3" s="11" t="s">
        <v>867</v>
      </c>
      <c r="F3" s="11" t="s">
        <v>360</v>
      </c>
      <c r="G3" s="11" t="s">
        <v>868</v>
      </c>
    </row>
    <row r="4" customFormat="false" ht="29.25" hidden="false" customHeight="true" outlineLevel="0" collapsed="false">
      <c r="A4" s="14" t="s">
        <v>869</v>
      </c>
      <c r="B4" s="14" t="s">
        <v>870</v>
      </c>
      <c r="C4" s="18" t="s">
        <v>871</v>
      </c>
      <c r="D4" s="14" t="s">
        <v>81</v>
      </c>
      <c r="E4" s="14" t="s">
        <v>872</v>
      </c>
      <c r="F4" s="6" t="s">
        <v>873</v>
      </c>
      <c r="G4" s="19" t="s">
        <v>874</v>
      </c>
    </row>
    <row r="5" customFormat="false" ht="15" hidden="false" customHeight="true" outlineLevel="0" collapsed="false">
      <c r="A5" s="14" t="s">
        <v>875</v>
      </c>
      <c r="B5" s="14" t="s">
        <v>876</v>
      </c>
      <c r="C5" s="18" t="s">
        <v>877</v>
      </c>
      <c r="D5" s="14" t="s">
        <v>50</v>
      </c>
      <c r="E5" s="14" t="s">
        <v>878</v>
      </c>
      <c r="F5" s="6" t="s">
        <v>879</v>
      </c>
      <c r="G5" s="19" t="s">
        <v>874</v>
      </c>
    </row>
    <row r="6" customFormat="false" ht="15" hidden="false" customHeight="true" outlineLevel="0" collapsed="false">
      <c r="A6" s="14" t="s">
        <v>880</v>
      </c>
      <c r="B6" s="14" t="s">
        <v>881</v>
      </c>
      <c r="C6" s="6" t="s">
        <v>882</v>
      </c>
      <c r="D6" s="14" t="s">
        <v>151</v>
      </c>
      <c r="E6" s="14" t="s">
        <v>883</v>
      </c>
      <c r="F6" s="6" t="s">
        <v>884</v>
      </c>
      <c r="G6" s="19" t="s">
        <v>874</v>
      </c>
    </row>
    <row r="7" customFormat="false" ht="15" hidden="false" customHeight="true" outlineLevel="0" collapsed="false">
      <c r="A7" s="14" t="s">
        <v>885</v>
      </c>
      <c r="B7" s="14" t="s">
        <v>886</v>
      </c>
      <c r="C7" s="6" t="s">
        <v>887</v>
      </c>
      <c r="D7" s="14" t="s">
        <v>151</v>
      </c>
      <c r="E7" s="14" t="s">
        <v>888</v>
      </c>
      <c r="F7" s="6" t="s">
        <v>889</v>
      </c>
      <c r="G7" s="19" t="s">
        <v>874</v>
      </c>
    </row>
    <row r="8" customFormat="false" ht="15" hidden="false" customHeight="true" outlineLevel="0" collapsed="false">
      <c r="A8" s="14" t="s">
        <v>890</v>
      </c>
      <c r="B8" s="14" t="s">
        <v>891</v>
      </c>
      <c r="C8" s="6" t="s">
        <v>892</v>
      </c>
      <c r="D8" s="14" t="s">
        <v>151</v>
      </c>
      <c r="E8" s="14" t="s">
        <v>893</v>
      </c>
      <c r="F8" s="6" t="s">
        <v>894</v>
      </c>
      <c r="G8" s="19" t="s">
        <v>874</v>
      </c>
    </row>
    <row r="9" customFormat="false" ht="15" hidden="false" customHeight="true" outlineLevel="0" collapsed="false">
      <c r="A9" s="14" t="s">
        <v>895</v>
      </c>
      <c r="B9" s="14" t="s">
        <v>896</v>
      </c>
      <c r="C9" s="6" t="s">
        <v>897</v>
      </c>
      <c r="D9" s="14" t="s">
        <v>151</v>
      </c>
      <c r="E9" s="14" t="s">
        <v>893</v>
      </c>
      <c r="F9" s="6" t="s">
        <v>898</v>
      </c>
      <c r="G9" s="19" t="s">
        <v>874</v>
      </c>
    </row>
    <row r="10" customFormat="false" ht="29.25" hidden="false" customHeight="true" outlineLevel="0" collapsed="false">
      <c r="A10" s="14" t="s">
        <v>899</v>
      </c>
      <c r="B10" s="14" t="s">
        <v>900</v>
      </c>
      <c r="C10" s="6" t="s">
        <v>901</v>
      </c>
      <c r="D10" s="14" t="s">
        <v>151</v>
      </c>
      <c r="E10" s="14" t="s">
        <v>878</v>
      </c>
      <c r="F10" s="6" t="s">
        <v>902</v>
      </c>
      <c r="G10" s="19" t="s">
        <v>874</v>
      </c>
    </row>
    <row r="11" customFormat="false" ht="15" hidden="false" customHeight="true" outlineLevel="0" collapsed="false">
      <c r="A11" s="14" t="s">
        <v>903</v>
      </c>
      <c r="B11" s="14" t="s">
        <v>904</v>
      </c>
      <c r="C11" s="6" t="s">
        <v>905</v>
      </c>
      <c r="D11" s="14" t="s">
        <v>151</v>
      </c>
      <c r="E11" s="14" t="s">
        <v>906</v>
      </c>
      <c r="F11" s="6" t="s">
        <v>907</v>
      </c>
      <c r="G11" s="19" t="s">
        <v>874</v>
      </c>
    </row>
    <row r="12" customFormat="false" ht="15" hidden="false" customHeight="true" outlineLevel="0" collapsed="false">
      <c r="A12" s="14" t="s">
        <v>908</v>
      </c>
      <c r="B12" s="14" t="s">
        <v>909</v>
      </c>
      <c r="C12" s="6" t="s">
        <v>910</v>
      </c>
      <c r="D12" s="14" t="s">
        <v>151</v>
      </c>
      <c r="E12" s="14" t="s">
        <v>911</v>
      </c>
      <c r="F12" s="6" t="s">
        <v>912</v>
      </c>
      <c r="G12" s="19" t="s">
        <v>874</v>
      </c>
    </row>
    <row r="13" customFormat="false" ht="15" hidden="false" customHeight="true" outlineLevel="0" collapsed="false">
      <c r="A13" s="14" t="s">
        <v>913</v>
      </c>
      <c r="B13" s="19" t="s">
        <v>914</v>
      </c>
      <c r="C13" s="6" t="s">
        <v>915</v>
      </c>
      <c r="D13" s="14" t="s">
        <v>50</v>
      </c>
      <c r="E13" s="14" t="s">
        <v>878</v>
      </c>
      <c r="F13" s="6" t="s">
        <v>916</v>
      </c>
      <c r="G13" s="19" t="s">
        <v>874</v>
      </c>
    </row>
    <row r="14" customFormat="false" ht="15" hidden="false" customHeight="true" outlineLevel="0" collapsed="false">
      <c r="A14" s="14" t="s">
        <v>917</v>
      </c>
      <c r="B14" s="14" t="s">
        <v>918</v>
      </c>
      <c r="C14" s="18" t="s">
        <v>919</v>
      </c>
      <c r="D14" s="14" t="s">
        <v>151</v>
      </c>
      <c r="E14" s="14" t="s">
        <v>878</v>
      </c>
      <c r="F14" s="6" t="s">
        <v>920</v>
      </c>
      <c r="G14" s="19" t="s">
        <v>921</v>
      </c>
    </row>
    <row r="15" customFormat="false" ht="29.25" hidden="false" customHeight="true" outlineLevel="0" collapsed="false">
      <c r="A15" s="14" t="s">
        <v>922</v>
      </c>
      <c r="B15" s="19" t="s">
        <v>923</v>
      </c>
      <c r="C15" s="6" t="s">
        <v>924</v>
      </c>
      <c r="D15" s="14" t="s">
        <v>50</v>
      </c>
      <c r="E15" s="14" t="s">
        <v>878</v>
      </c>
      <c r="F15" s="6" t="s">
        <v>925</v>
      </c>
      <c r="G15" s="19" t="s">
        <v>874</v>
      </c>
    </row>
    <row r="16" customFormat="false" ht="26.25" hidden="false" customHeight="true" outlineLevel="0" collapsed="false">
      <c r="A16" s="14" t="s">
        <v>926</v>
      </c>
      <c r="B16" s="19" t="s">
        <v>927</v>
      </c>
      <c r="C16" s="6" t="s">
        <v>928</v>
      </c>
      <c r="D16" s="14" t="s">
        <v>81</v>
      </c>
      <c r="E16" s="14" t="s">
        <v>929</v>
      </c>
      <c r="F16" s="6" t="s">
        <v>930</v>
      </c>
      <c r="G16" s="19" t="s">
        <v>931</v>
      </c>
    </row>
    <row r="17" customFormat="false" ht="15" hidden="false" customHeight="true" outlineLevel="0" collapsed="false">
      <c r="A17" s="14" t="s">
        <v>932</v>
      </c>
      <c r="B17" s="14" t="s">
        <v>48</v>
      </c>
      <c r="C17" s="18" t="s">
        <v>933</v>
      </c>
      <c r="D17" s="14" t="s">
        <v>50</v>
      </c>
      <c r="E17" s="14" t="s">
        <v>857</v>
      </c>
      <c r="F17" s="6" t="s">
        <v>934</v>
      </c>
      <c r="G17" s="19" t="s">
        <v>874</v>
      </c>
    </row>
    <row r="18" customFormat="false" ht="29.25" hidden="false" customHeight="true" outlineLevel="0" collapsed="false">
      <c r="A18" s="14" t="s">
        <v>935</v>
      </c>
      <c r="B18" s="14" t="s">
        <v>936</v>
      </c>
      <c r="C18" s="6" t="s">
        <v>937</v>
      </c>
      <c r="D18" s="14" t="s">
        <v>81</v>
      </c>
      <c r="E18" s="14" t="s">
        <v>938</v>
      </c>
      <c r="F18" s="6" t="s">
        <v>939</v>
      </c>
      <c r="G18" s="19" t="s">
        <v>940</v>
      </c>
    </row>
    <row r="19" customFormat="false" ht="15" hidden="false" customHeight="true" outlineLevel="0" collapsed="false">
      <c r="A19" s="14" t="s">
        <v>941</v>
      </c>
      <c r="B19" s="19" t="s">
        <v>942</v>
      </c>
      <c r="C19" s="18" t="s">
        <v>943</v>
      </c>
      <c r="D19" s="14" t="s">
        <v>151</v>
      </c>
      <c r="E19" s="14" t="s">
        <v>944</v>
      </c>
      <c r="F19" s="6" t="s">
        <v>945</v>
      </c>
      <c r="G19" s="19" t="s">
        <v>946</v>
      </c>
    </row>
    <row r="20" customFormat="false" ht="15" hidden="false" customHeight="true" outlineLevel="0" collapsed="false">
      <c r="A20" s="14" t="s">
        <v>947</v>
      </c>
      <c r="B20" s="14" t="s">
        <v>948</v>
      </c>
      <c r="C20" s="6" t="s">
        <v>949</v>
      </c>
      <c r="D20" s="14" t="s">
        <v>151</v>
      </c>
      <c r="E20" s="14" t="s">
        <v>929</v>
      </c>
      <c r="F20" s="6" t="s">
        <v>950</v>
      </c>
      <c r="G20" s="19" t="s">
        <v>951</v>
      </c>
    </row>
    <row r="21" customFormat="false" ht="15" hidden="false" customHeight="true" outlineLevel="0" collapsed="false">
      <c r="A21" s="14" t="s">
        <v>952</v>
      </c>
      <c r="B21" s="14" t="s">
        <v>953</v>
      </c>
      <c r="C21" s="6" t="s">
        <v>954</v>
      </c>
      <c r="D21" s="14" t="s">
        <v>81</v>
      </c>
      <c r="E21" s="14" t="s">
        <v>929</v>
      </c>
      <c r="F21" s="6" t="s">
        <v>955</v>
      </c>
      <c r="G21" s="19" t="s">
        <v>874</v>
      </c>
    </row>
    <row r="22" customFormat="false" ht="15" hidden="false" customHeight="true" outlineLevel="0" collapsed="false">
      <c r="A22" s="14" t="s">
        <v>956</v>
      </c>
      <c r="B22" s="19" t="s">
        <v>957</v>
      </c>
      <c r="C22" s="6" t="s">
        <v>958</v>
      </c>
      <c r="D22" s="14" t="s">
        <v>218</v>
      </c>
      <c r="E22" s="14" t="s">
        <v>906</v>
      </c>
      <c r="F22" s="6" t="s">
        <v>959</v>
      </c>
      <c r="G22" s="19" t="s">
        <v>960</v>
      </c>
    </row>
    <row r="23" customFormat="false" ht="54.75" hidden="false" customHeight="true" outlineLevel="0" collapsed="false">
      <c r="A23" s="6" t="s">
        <v>363</v>
      </c>
      <c r="B23" s="6" t="s">
        <v>961</v>
      </c>
      <c r="C23" s="6" t="s">
        <v>962</v>
      </c>
      <c r="D23" s="6" t="s">
        <v>963</v>
      </c>
      <c r="E23" s="6" t="s">
        <v>929</v>
      </c>
      <c r="F23" s="6" t="s">
        <v>964</v>
      </c>
      <c r="G23" s="5" t="s">
        <v>965</v>
      </c>
    </row>
    <row r="24" customFormat="false" ht="43.5" hidden="false" customHeight="true" outlineLevel="0" collapsed="false">
      <c r="A24" s="6" t="s">
        <v>362</v>
      </c>
      <c r="B24" s="6" t="s">
        <v>966</v>
      </c>
      <c r="C24" s="6" t="s">
        <v>967</v>
      </c>
      <c r="D24" s="6" t="s">
        <v>968</v>
      </c>
      <c r="E24" s="6" t="s">
        <v>969</v>
      </c>
      <c r="F24" s="6" t="s">
        <v>970</v>
      </c>
      <c r="G24" s="5" t="s">
        <v>971</v>
      </c>
    </row>
    <row r="25" customFormat="false" ht="29.25" hidden="false" customHeight="true" outlineLevel="0" collapsed="false">
      <c r="A25" s="6" t="s">
        <v>361</v>
      </c>
      <c r="B25" s="6" t="s">
        <v>972</v>
      </c>
      <c r="C25" s="6" t="s">
        <v>973</v>
      </c>
      <c r="D25" s="6" t="s">
        <v>974</v>
      </c>
      <c r="E25" s="5" t="s">
        <v>975</v>
      </c>
      <c r="F25" s="6" t="s">
        <v>976</v>
      </c>
      <c r="G25" s="5" t="s">
        <v>977</v>
      </c>
    </row>
    <row r="26" customFormat="false" ht="29.25" hidden="false" customHeight="true" outlineLevel="0" collapsed="false">
      <c r="A26" s="6" t="s">
        <v>364</v>
      </c>
      <c r="B26" s="6" t="s">
        <v>978</v>
      </c>
      <c r="C26" s="6" t="s">
        <v>979</v>
      </c>
      <c r="D26" s="6" t="s">
        <v>980</v>
      </c>
      <c r="E26" s="6" t="s">
        <v>981</v>
      </c>
      <c r="F26" s="6" t="s">
        <v>982</v>
      </c>
      <c r="G26" s="5" t="s">
        <v>983</v>
      </c>
    </row>
    <row r="27" customFormat="false" ht="29.25" hidden="false" customHeight="true" outlineLevel="0" collapsed="false">
      <c r="A27" s="6" t="s">
        <v>984</v>
      </c>
      <c r="B27" s="6" t="s">
        <v>985</v>
      </c>
      <c r="C27" s="6" t="s">
        <v>986</v>
      </c>
      <c r="D27" s="6" t="s">
        <v>980</v>
      </c>
      <c r="E27" s="6" t="s">
        <v>893</v>
      </c>
      <c r="F27" s="6" t="s">
        <v>987</v>
      </c>
      <c r="G27" s="5" t="s">
        <v>988</v>
      </c>
    </row>
    <row r="28" customFormat="false" ht="29.25" hidden="false" customHeight="true" outlineLevel="0" collapsed="false">
      <c r="A28" s="6" t="s">
        <v>989</v>
      </c>
      <c r="B28" s="6" t="s">
        <v>990</v>
      </c>
      <c r="C28" s="6" t="s">
        <v>991</v>
      </c>
      <c r="D28" s="6" t="s">
        <v>992</v>
      </c>
      <c r="E28" s="6" t="s">
        <v>993</v>
      </c>
      <c r="F28" s="6" t="s">
        <v>994</v>
      </c>
      <c r="G28" s="5" t="s">
        <v>995</v>
      </c>
    </row>
    <row r="29" customFormat="false" ht="54.75" hidden="false" customHeight="true" outlineLevel="0" collapsed="false">
      <c r="A29" s="6" t="s">
        <v>996</v>
      </c>
      <c r="B29" s="6" t="s">
        <v>997</v>
      </c>
      <c r="C29" s="6" t="s">
        <v>998</v>
      </c>
      <c r="D29" s="6" t="s">
        <v>999</v>
      </c>
      <c r="E29" s="6" t="s">
        <v>906</v>
      </c>
      <c r="F29" s="6" t="s">
        <v>1000</v>
      </c>
      <c r="G29" s="5" t="s">
        <v>1001</v>
      </c>
    </row>
    <row r="30" customFormat="false" ht="29.25" hidden="false" customHeight="true" outlineLevel="0" collapsed="false">
      <c r="A30" s="6" t="s">
        <v>1002</v>
      </c>
      <c r="B30" s="6" t="s">
        <v>1003</v>
      </c>
      <c r="C30" s="6" t="s">
        <v>1004</v>
      </c>
      <c r="D30" s="6" t="s">
        <v>81</v>
      </c>
      <c r="E30" s="6" t="s">
        <v>878</v>
      </c>
      <c r="F30" s="6" t="s">
        <v>1005</v>
      </c>
      <c r="G30" s="5" t="s">
        <v>1006</v>
      </c>
    </row>
    <row r="31" customFormat="false" ht="43.5" hidden="false" customHeight="true" outlineLevel="0" collapsed="false">
      <c r="A31" s="6" t="s">
        <v>1007</v>
      </c>
      <c r="B31" s="6" t="s">
        <v>1008</v>
      </c>
      <c r="C31" s="6" t="s">
        <v>1009</v>
      </c>
      <c r="D31" s="6" t="s">
        <v>1010</v>
      </c>
      <c r="E31" s="6" t="s">
        <v>938</v>
      </c>
      <c r="F31" s="5" t="s">
        <v>1011</v>
      </c>
      <c r="G31" s="5" t="s">
        <v>1012</v>
      </c>
    </row>
    <row r="32" customFormat="false" ht="15" hidden="false" customHeight="true" outlineLevel="0" collapsed="false">
      <c r="A32" s="6" t="s">
        <v>1013</v>
      </c>
      <c r="B32" s="5" t="s">
        <v>1014</v>
      </c>
      <c r="C32" s="6" t="s">
        <v>1015</v>
      </c>
      <c r="D32" s="6" t="s">
        <v>50</v>
      </c>
      <c r="E32" s="6" t="s">
        <v>857</v>
      </c>
      <c r="F32" s="5" t="s">
        <v>1016</v>
      </c>
      <c r="G32" s="5" t="s">
        <v>874</v>
      </c>
    </row>
    <row r="33" customFormat="false" ht="29.25" hidden="false" customHeight="true" outlineLevel="0" collapsed="false">
      <c r="A33" s="6" t="s">
        <v>1017</v>
      </c>
      <c r="B33" s="6" t="s">
        <v>1018</v>
      </c>
      <c r="C33" s="6" t="s">
        <v>1019</v>
      </c>
      <c r="D33" s="6" t="s">
        <v>1020</v>
      </c>
      <c r="E33" s="6" t="s">
        <v>1021</v>
      </c>
      <c r="F33" s="6" t="s">
        <v>1022</v>
      </c>
      <c r="G33" s="5" t="s">
        <v>995</v>
      </c>
    </row>
    <row r="34" customFormat="false" ht="69.4" hidden="false" customHeight="false" outlineLevel="0" collapsed="false">
      <c r="A34" s="6" t="s">
        <v>848</v>
      </c>
      <c r="B34" s="6" t="s">
        <v>1023</v>
      </c>
      <c r="C34" s="6" t="s">
        <v>1024</v>
      </c>
      <c r="D34" s="6" t="s">
        <v>1025</v>
      </c>
      <c r="E34" s="6" t="s">
        <v>1026</v>
      </c>
      <c r="F34" s="6" t="s">
        <v>1027</v>
      </c>
      <c r="G34" s="5" t="s">
        <v>1028</v>
      </c>
    </row>
    <row r="35" customFormat="false" ht="29.85" hidden="false" customHeight="false" outlineLevel="0" collapsed="false">
      <c r="A35" s="6" t="s">
        <v>1029</v>
      </c>
      <c r="B35" s="6" t="s">
        <v>1030</v>
      </c>
      <c r="C35" s="5" t="s">
        <v>1031</v>
      </c>
      <c r="D35" s="6" t="s">
        <v>81</v>
      </c>
      <c r="E35" s="6" t="s">
        <v>1032</v>
      </c>
      <c r="F35" s="6" t="s">
        <v>1033</v>
      </c>
      <c r="G35" s="5" t="s">
        <v>1001</v>
      </c>
    </row>
    <row r="36" customFormat="false" ht="29.85" hidden="false" customHeight="false" outlineLevel="0" collapsed="false">
      <c r="A36" s="6" t="s">
        <v>1034</v>
      </c>
      <c r="B36" s="6" t="s">
        <v>1035</v>
      </c>
      <c r="C36" s="6" t="s">
        <v>1036</v>
      </c>
      <c r="D36" s="6" t="s">
        <v>1037</v>
      </c>
      <c r="E36" s="6" t="s">
        <v>888</v>
      </c>
      <c r="F36" s="6" t="s">
        <v>1038</v>
      </c>
      <c r="G36" s="5" t="s">
        <v>1039</v>
      </c>
    </row>
    <row r="37" customFormat="false" ht="29.85" hidden="false" customHeight="false" outlineLevel="0" collapsed="false">
      <c r="A37" s="6" t="s">
        <v>1040</v>
      </c>
      <c r="B37" s="6" t="s">
        <v>1041</v>
      </c>
      <c r="C37" s="6" t="s">
        <v>1042</v>
      </c>
      <c r="D37" s="6" t="s">
        <v>1043</v>
      </c>
      <c r="E37" s="6" t="s">
        <v>1044</v>
      </c>
      <c r="F37" s="6" t="s">
        <v>1045</v>
      </c>
      <c r="G37" s="5" t="s">
        <v>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2026-09-30T10:49:58Z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