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K 拆解" sheetId="1" state="visible" r:id="rId3"/>
    <sheet name="外部價格換算" sheetId="2" state="visible" r:id="rId4"/>
    <sheet name="對帳" sheetId="3" state="visible" r:id="rId5"/>
    <sheet name="證據" sheetId="4" state="visible" r:id="rId6"/>
    <sheet name="待判斷" sheetId="5" state="visible" r:id="rId7"/>
    <sheet name="B 段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<sst xmlns="http://schemas.openxmlformats.org/spreadsheetml/2006/main" count="1391" uniqueCount="989">
  <si>
    <r>
      <rPr>
        <b val="true"/>
        <sz val="13"/>
        <rFont val="Cambria"/>
        <family val="0"/>
        <charset val="1"/>
      </rPr>
      <t xml:space="preserve">Tokenomics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Cambria"/>
        <family val="0"/>
        <charset val="1"/>
      </rPr>
      <t xml:space="preserve">IT-GW·</t>
    </r>
    <r>
      <rPr>
        <b val="true"/>
        <sz val="13"/>
        <rFont val="WenQuanYi Zen Hei"/>
        <family val="2"/>
      </rPr>
      <t xml:space="preserve">年 經濟口徑持有成本拆解（</t>
    </r>
    <r>
      <rPr>
        <b val="true"/>
        <sz val="13"/>
        <rFont val="Cambria"/>
        <family val="0"/>
        <charset val="1"/>
      </rPr>
      <t xml:space="preserve">$B/GW·</t>
    </r>
    <r>
      <rPr>
        <b val="true"/>
        <sz val="13"/>
        <rFont val="WenQuanYi Zen Hei"/>
        <family val="2"/>
      </rPr>
      <t xml:space="preserve">年）</t>
    </r>
  </si>
  <si>
    <t xml:space="preserve">來源活頁簿：model/20261023_Tokenomics_v20.1.xlsx（model/CURRENT）。藍字＝自模型讀入的輸入（附儲存格位置）；黑字＝本頁公式重算；「模型值」列為 DC_Cost!第55列，差列應為 0。GW 口徑＝IT 關鍵電力（CLAUDE.md 第 7 節）。</t>
  </si>
  <si>
    <t xml:space="preserve">項目</t>
  </si>
  <si>
    <t xml:space="preserve">單位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</si>
  <si>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</si>
  <si>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</si>
  <si>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</si>
  <si>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</si>
  <si>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機隊組合（</t>
    </r>
    <r>
      <rPr>
        <b val="true"/>
        <sz val="11"/>
        <rFont val="Cambria"/>
        <family val="0"/>
        <charset val="1"/>
      </rPr>
      <t xml:space="preserve">0.6/0.4</t>
    </r>
    <r>
      <rPr>
        <b val="true"/>
        <sz val="11"/>
        <rFont val="WenQuanYi Zen Hei"/>
        <family val="2"/>
      </rPr>
      <t xml:space="preserve">）</t>
    </r>
  </si>
  <si>
    <t xml:space="preserve">模型儲存格位置</t>
  </si>
  <si>
    <t xml:space="preserve">標記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</si>
  <si>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</si>
  <si>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輸入（自模型讀入）</t>
    </r>
  </si>
  <si>
    <t xml:space="preserve">服務世代組合（2025 全年平均）</t>
  </si>
  <si>
    <t xml:space="preserve">%</t>
  </si>
  <si>
    <t xml:space="preserve">Alloc_In!C9:C12</t>
  </si>
  <si>
    <t xml:space="preserve">Derived</t>
  </si>
  <si>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WenQuanYi Zen Hei"/>
        <family val="2"/>
      </rPr>
      <t xml:space="preserve">查證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線性爬升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</si>
  <si>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電力</t>
    </r>
  </si>
  <si>
    <t xml:space="preserve">MW</t>
  </si>
  <si>
    <t xml:space="preserve">Inputs!E5×1000</t>
  </si>
  <si>
    <t xml:space="preserve">Decision</t>
  </si>
  <si>
    <t xml:space="preserve">機架外 IT 電力占比</t>
  </si>
  <si>
    <t xml:space="preserve">Inputs!E8</t>
  </si>
  <si>
    <t xml:space="preserve">Assumed</t>
  </si>
  <si>
    <t xml:space="preserve">PUE</t>
  </si>
  <si>
    <t xml:space="preserve">x</t>
  </si>
  <si>
    <t xml:space="preserve">Inputs!E9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</si>
  <si>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WenQuanYi Zen Hei"/>
        <family val="2"/>
      </rPr>
      <t xml:space="preserve">）</t>
    </r>
  </si>
  <si>
    <t xml:space="preserve">WACC</t>
  </si>
  <si>
    <t xml:space="preserve">Inputs!E28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</si>
  <si>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8–13%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</si>
  <si>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折舊年限</t>
    </r>
  </si>
  <si>
    <t xml:space="preserve">年</t>
  </si>
  <si>
    <t xml:space="preserve">Inputs!E23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</si>
  <si>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WenQuanYi Zen Hei"/>
        <family val="2"/>
      </rPr>
      <t xml:space="preserve">）</t>
    </r>
  </si>
  <si>
    <t xml:space="preserve">每架配電設計功率（基準）</t>
  </si>
  <si>
    <t xml:space="preserve">kW</t>
  </si>
  <si>
    <t xml:space="preserve">Spec_Rack!C9:F9</t>
  </si>
  <si>
    <t xml:space="preserve">Verified/Analogy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</si>
  <si>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封裝／架</t>
    </r>
  </si>
  <si>
    <t xml:space="preserve">顆</t>
  </si>
  <si>
    <t xml:space="preserve">Spec_Rack!C6:F6</t>
  </si>
  <si>
    <t xml:space="preserve">Verified</t>
  </si>
  <si>
    <t xml:space="preserve">機架單價（基準）</t>
  </si>
  <si>
    <t xml:space="preserve">$M</t>
  </si>
  <si>
    <t xml:space="preserve">Spec_Rack!C12:F12</t>
  </si>
  <si>
    <t xml:space="preserve">Analogy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</si>
  <si>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機架價格</t>
    </r>
  </si>
  <si>
    <t xml:space="preserve">Inputs!E13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</si>
  <si>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5–15%</t>
    </r>
    <r>
      <rPr>
        <sz val="11"/>
        <color theme="1"/>
        <rFont val="WenQuanYi Zen Hei"/>
        <family val="2"/>
      </rPr>
      <t xml:space="preserve">）</t>
    </r>
  </si>
  <si>
    <t xml:space="preserve">儲存與管理</t>
  </si>
  <si>
    <t xml:space="preserve">$/GPU</t>
  </si>
  <si>
    <t xml:space="preserve">Inputs!E14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</si>
  <si>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300–800</t>
    </r>
    <r>
      <rPr>
        <sz val="11"/>
        <color theme="1"/>
        <rFont val="WenQuanYi Zen Hei"/>
        <family val="2"/>
      </rPr>
      <t xml:space="preserve">）</t>
    </r>
  </si>
  <si>
    <t xml:space="preserve">平均用電 ÷ 配電設計功率</t>
  </si>
  <si>
    <t xml:space="preserve">Inputs!E10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</si>
  <si>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0.7–0.9</t>
    </r>
    <r>
      <rPr>
        <sz val="11"/>
        <color theme="1"/>
        <rFont val="WenQuanYi Zen Hei"/>
        <family val="2"/>
      </rPr>
      <t xml:space="preserve">）</t>
    </r>
  </si>
  <si>
    <t xml:space="preserve">電價</t>
  </si>
  <si>
    <t xml:space="preserve">$/kWh</t>
  </si>
  <si>
    <t xml:space="preserve">Inputs!E11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</si>
  <si>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維護費率（壽命期等值）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</si>
  <si>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</si>
  <si>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t xml:space="preserve">Inputs!E30</t>
  </si>
  <si>
    <r>
      <rPr>
        <sz val="11"/>
        <color theme="1"/>
        <rFont val="Calibri"/>
        <family val="2"/>
        <charset val="1"/>
      </rPr>
      <t xml:space="preserve">0.5% </t>
    </r>
    <r>
      <rPr>
        <sz val="11"/>
        <color theme="1"/>
        <rFont val="WenQuanYi Zen Hei"/>
        <family val="2"/>
      </rPr>
      <t xml:space="preserve">保固期內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WenQuanYi Zen Hei"/>
        <family val="2"/>
      </rPr>
      <t xml:space="preserve">保固後；以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折現成單一費率</t>
    </r>
  </si>
  <si>
    <t xml:space="preserve">廠房維護率</t>
  </si>
  <si>
    <t xml:space="preserve">Inputs!E31</t>
  </si>
  <si>
    <t xml:space="preserve">站點營運（人員＋軟體＋水耗材）</t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</si>
  <si>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WenQuanYi Zen Hei"/>
        <family val="2"/>
      </rPr>
      <t xml:space="preserve">年</t>
    </r>
  </si>
  <si>
    <t xml:space="preserve">Inputs!E32:E34</t>
  </si>
  <si>
    <t xml:space="preserve">人員 75＋軟體 200＋水耗材 50 $M/GW·年</t>
  </si>
  <si>
    <t xml:space="preserve">財產稅與保險率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</si>
  <si>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年（總資本）</t>
    </r>
  </si>
  <si>
    <t xml:space="preserve">Inputs!E35</t>
  </si>
  <si>
    <t xml:space="preserve">土地</t>
  </si>
  <si>
    <t xml:space="preserve">$M/MW</t>
  </si>
  <si>
    <t xml:space="preserve">Inputs!E16</t>
  </si>
  <si>
    <t xml:space="preserve">建物與基地</t>
  </si>
  <si>
    <t xml:space="preserve">Inputs!E17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</si>
  <si>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WenQuanYi Zen Hei"/>
        <family val="2"/>
      </rPr>
      <t xml:space="preserve">校準）</t>
    </r>
  </si>
  <si>
    <t xml:space="preserve">電力設施</t>
  </si>
  <si>
    <t xml:space="preserve">Inputs!E18</t>
  </si>
  <si>
    <t xml:space="preserve">機械與散熱</t>
  </si>
  <si>
    <t xml:space="preserve">Inputs!E19</t>
  </si>
  <si>
    <t xml:space="preserve">光纖、佈線、保全</t>
  </si>
  <si>
    <t xml:space="preserve">Inputs!E20</t>
  </si>
  <si>
    <t xml:space="preserve">設計、管理與預備費率</t>
  </si>
  <si>
    <t xml:space="preserve">Inputs!E21</t>
  </si>
  <si>
    <t xml:space="preserve">建物年限</t>
  </si>
  <si>
    <t xml:space="preserve">Inputs!E24</t>
  </si>
  <si>
    <t xml:space="preserve">電力設施年限</t>
  </si>
  <si>
    <t xml:space="preserve">Inputs!E25</t>
  </si>
  <si>
    <t xml:space="preserve">機械與散熱年限</t>
  </si>
  <si>
    <t xml:space="preserve">Inputs!E26</t>
  </si>
  <si>
    <t xml:space="preserve">光纖與保全年限</t>
  </si>
  <si>
    <t xml:space="preserve">Inputs!E27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</si>
  <si>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規模與資本支出（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 IT</t>
    </r>
    <r>
      <rPr>
        <b val="true"/>
        <sz val="11"/>
        <rFont val="WenQuanYi Zen Hei"/>
        <family val="2"/>
      </rPr>
      <t xml:space="preserve">）</t>
    </r>
  </si>
  <si>
    <t xml:space="preserve">機架數</t>
  </si>
  <si>
    <t xml:space="preserve">架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</si>
  <si>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</si>
  <si>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</si>
  <si>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列</t>
    </r>
  </si>
  <si>
    <t xml:space="preserve">外部價格換算頁用此數把「每 GPU 小時」轉成「每 GW」</t>
  </si>
  <si>
    <t xml:space="preserve">機架 capex</t>
  </si>
  <si>
    <t xml:space="preserve">$B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</si>
  <si>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</si>
  <si>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</si>
  <si>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列</t>
    </r>
  </si>
  <si>
    <t xml:space="preserve">儲存與管理 capex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</si>
  <si>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</si>
  <si>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小計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</si>
  <si>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</si>
  <si>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</si>
  <si>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</si>
  <si>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</si>
  <si>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列</t>
    </r>
  </si>
  <si>
    <t xml:space="preserve">光纖與保全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</si>
  <si>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列</t>
    </r>
  </si>
  <si>
    <t xml:space="preserve">設計、管理與預備費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</si>
  <si>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列</t>
    </r>
  </si>
  <si>
    <t xml:space="preserve">廠房 capex 小計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</si>
  <si>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列</t>
    </r>
  </si>
  <si>
    <t xml:space="preserve">總 capex（IT＋廠房）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</si>
  <si>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WenQuanYi Zen Hei"/>
        <family val="2"/>
      </rPr>
      <t xml:space="preserve">列</t>
    </r>
  </si>
  <si>
    <t xml:space="preserve">每 MW IT 總 capex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</si>
  <si>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列</t>
    </r>
  </si>
  <si>
    <t xml:space="preserve">對照 Epoch Abilene 資本成本 15.9B／421 MW IT ＝ 37.8 $M/MW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</si>
  <si>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年持有成本（經濟口徑；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 IT·</t>
    </r>
    <r>
      <rPr>
        <b val="true"/>
        <sz val="11"/>
        <rFont val="WenQuanYi Zen Hei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</si>
  <si>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資本回收（年金）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</si>
  <si>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WenQuanYi Zen Hei"/>
        <family val="2"/>
      </rPr>
      <t xml:space="preserve">列</t>
    </r>
  </si>
  <si>
    <t xml:space="preserve">  其中機架</t>
  </si>
  <si>
    <t xml:space="preserve">  其中網路</t>
  </si>
  <si>
    <t xml:space="preserve">  其中儲存</t>
  </si>
  <si>
    <t xml:space="preserve">廠房資本回收（年金；土地按 WACC）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</si>
  <si>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WenQuanYi Zen Hei"/>
        <family val="2"/>
      </rPr>
      <t xml:space="preserve">列</t>
    </r>
  </si>
  <si>
    <t xml:space="preserve">  其中建物（含預備費）</t>
  </si>
  <si>
    <t xml:space="preserve">  其中電力設施（含預備費）</t>
  </si>
  <si>
    <t xml:space="preserve">  其中機械散熱（含預備費）</t>
  </si>
  <si>
    <t xml:space="preserve">  其中光纖保全（含預備費）</t>
  </si>
  <si>
    <t xml:space="preserve">  其中土地（機會成本）</t>
  </si>
  <si>
    <t xml:space="preserve">電費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</si>
  <si>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WenQuanYi Zen Hei"/>
        <family val="2"/>
      </rPr>
      <t xml:space="preserve">列</t>
    </r>
  </si>
  <si>
    <t xml:space="preserve">設施電力＝IT×PUE；平均負載 80%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</si>
  <si>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維護</t>
    </r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</si>
  <si>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WenQuanYi Zen Hei"/>
        <family val="2"/>
      </rPr>
      <t xml:space="preserve">列</t>
    </r>
  </si>
  <si>
    <t xml:space="preserve">廠房維護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</si>
  <si>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WenQuanYi Zen Hei"/>
        <family val="2"/>
      </rPr>
      <t xml:space="preserve">列</t>
    </r>
  </si>
  <si>
    <t xml:space="preserve">站點營運（人員、軟體、水、耗材）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</si>
  <si>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WenQuanYi Zen Hei"/>
        <family val="2"/>
      </rPr>
      <t xml:space="preserve">列</t>
    </r>
  </si>
  <si>
    <t xml:space="preserve">財產稅與保險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</si>
  <si>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WenQuanYi Zen Hei"/>
        <family val="2"/>
      </rPr>
      <t xml:space="preserve">列</t>
    </r>
  </si>
  <si>
    <t xml:space="preserve">營運費用小計（不含折舊）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</si>
  <si>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WenQuanYi Zen Hei"/>
        <family val="2"/>
      </rPr>
      <t xml:space="preserve">列</t>
    </r>
  </si>
  <si>
    <t xml:space="preserve">年持有成本（經濟口徑）＝IT 年金＋廠房年金＋營運</t>
  </si>
  <si>
    <r>
      <rPr>
        <sz val="11"/>
        <color theme="1"/>
        <rFont val="Calibri"/>
        <family val="2"/>
        <charset val="1"/>
      </rPr>
      <t xml:space="preserve">DC_Cost!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列；組合＝</t>
    </r>
    <r>
      <rPr>
        <sz val="11"/>
        <color theme="1"/>
        <rFont val="Calibri"/>
        <family val="2"/>
        <charset val="1"/>
      </rPr>
      <t xml:space="preserve">Alloc!C157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AL_FleetHold</t>
    </r>
    <r>
      <rPr>
        <sz val="11"/>
        <color theme="1"/>
        <rFont val="WenQuanYi Zen Hei"/>
        <family val="2"/>
      </rPr>
      <t xml:space="preserve">）</t>
    </r>
  </si>
  <si>
    <t xml:space="preserve">模型值（DC_Cost 第55列；G 欄＝Alloc!C157）</t>
  </si>
  <si>
    <r>
      <rPr>
        <sz val="11"/>
        <color theme="1"/>
        <rFont val="Calibri"/>
        <family val="2"/>
        <charset val="1"/>
      </rPr>
      <t xml:space="preserve">DC_Cost!D55,G55,J55,M55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Alloc!C157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</si>
  <si>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（模型快取值）</t>
    </r>
  </si>
  <si>
    <t xml:space="preserve">差（本頁公式 − 模型值）</t>
  </si>
  <si>
    <t xml:space="preserve">應為 0（浮點誤差內）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</si>
  <si>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結構占比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</si>
  <si>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資本回收占比</t>
    </r>
  </si>
  <si>
    <t xml:space="preserve">廠房資本回收占比</t>
  </si>
  <si>
    <t xml:space="preserve">電費占比</t>
  </si>
  <si>
    <t xml:space="preserve">維護（IT＋廠房）占比</t>
  </si>
  <si>
    <t xml:space="preserve">其他營運（站點＋稅保）占比</t>
  </si>
  <si>
    <t xml:space="preserve">資本回收合計占比</t>
  </si>
  <si>
    <t xml:space="preserve">每 GPU 小時持有成本（經濟）</t>
  </si>
  <si>
    <t xml:space="preserve">$/GPU-hr</t>
  </si>
  <si>
    <t xml:space="preserve">組合欄＝加權成本 ÷ 加權 GPU 數（總成本 ÷ 總 GPU 小時；非 $/hr 直接加權 1.729）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</si>
  <si>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敏感度：同一資本結構下，持有成本隨 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年限的變化（營運費用固定；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維護率不隨 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WenQuanYi Zen Hei"/>
        <family val="2"/>
      </rPr>
      <t xml:space="preserve">重算）</t>
    </r>
  </si>
  <si>
    <t xml:space="preserve">情境</t>
  </si>
  <si>
    <t xml:space="preserve">Hopper</t>
  </si>
  <si>
    <t xml:space="preserve">GB200</t>
  </si>
  <si>
    <t xml:space="preserve">GB300</t>
  </si>
  <si>
    <t xml:space="preserve">VR200</t>
  </si>
  <si>
    <t xml:space="preserve">組合 0.6/0.4</t>
  </si>
  <si>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年限</t>
    </r>
  </si>
  <si>
    <r>
      <rPr>
        <sz val="11"/>
        <color theme="1"/>
        <rFont val="Calibri"/>
        <family val="2"/>
        <charset val="1"/>
      </rPr>
      <t xml:space="preserve">WACC 3.31%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GPU </t>
    </r>
    <r>
      <rPr>
        <sz val="11"/>
        <color theme="1"/>
        <rFont val="WenQuanYi Zen Hei"/>
        <family val="2"/>
      </rPr>
      <t xml:space="preserve">融資平均成本）</t>
    </r>
  </si>
  <si>
    <t xml:space="preserve">WACC 5%</t>
  </si>
  <si>
    <r>
      <rPr>
        <sz val="11"/>
        <color theme="1"/>
        <rFont val="Calibri"/>
        <family val="2"/>
        <charset val="1"/>
      </rPr>
      <t xml:space="preserve">WACC 8%</t>
    </r>
    <r>
      <rPr>
        <sz val="11"/>
        <color theme="1"/>
        <rFont val="WenQuanYi Zen Hei"/>
        <family val="2"/>
      </rPr>
      <t xml:space="preserve">（模型低端）</t>
    </r>
  </si>
  <si>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WenQuanYi Zen Hei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</si>
  <si>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WACC 13%</t>
    </r>
    <r>
      <rPr>
        <sz val="11"/>
        <color theme="1"/>
        <rFont val="WenQuanYi Zen Hei"/>
        <family val="2"/>
      </rPr>
      <t xml:space="preserve">（模型高端）</t>
    </r>
  </si>
  <si>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年（對齊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年合約）</t>
    </r>
  </si>
  <si>
    <r>
      <rPr>
        <sz val="11"/>
        <color theme="1"/>
        <rFont val="Calibri"/>
        <family val="2"/>
        <charset val="1"/>
      </rPr>
      <t xml:space="preserve">WACC 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</si>
  <si>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WACC 3.31%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</t>
    </r>
  </si>
  <si>
    <t xml:space="preserve">外部價格 → 每 IT-GW·年（$B）換算，及其包含／不包含的項目</t>
  </si>
  <si>
    <t xml:space="preserve">藍字＝外部證據輸入（出處見「證據」頁 ID）；黑字＝公式。倍數＝外部價 ÷ TK 同口徑持有成本（分母指定於「對照 TK」欄）。</t>
  </si>
  <si>
    <t xml:space="preserve">ID</t>
  </si>
  <si>
    <t xml:space="preserve">總額／數值</t>
  </si>
  <si>
    <t xml:space="preserve">年數／係數</t>
  </si>
  <si>
    <t xml:space="preserve">容量（GW）</t>
  </si>
  <si>
    <t xml:space="preserve">容量口徑</t>
  </si>
  <si>
    <t xml:space="preserve">→ 每年 $B</t>
  </si>
  <si>
    <t xml:space="preserve">→ 每 IT-GW·年 $B（點估）</t>
  </si>
  <si>
    <t xml:space="preserve">低</t>
  </si>
  <si>
    <t xml:space="preserve">高</t>
  </si>
  <si>
    <t xml:space="preserve">對照 TK 項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</si>
  <si>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值</t>
    </r>
  </si>
  <si>
    <t xml:space="preserve">倍數（點估）</t>
  </si>
  <si>
    <t xml:space="preserve">倍數 低</t>
  </si>
  <si>
    <t xml:space="preserve">倍數 高</t>
  </si>
  <si>
    <t xml:space="preserve">廠房</t>
  </si>
  <si>
    <t xml:space="preserve">網路／儲存</t>
  </si>
  <si>
    <t xml:space="preserve">維運</t>
  </si>
  <si>
    <t xml:space="preserve">出租方利潤／毛利</t>
  </si>
  <si>
    <t xml:space="preserve">利用率／付款假設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</si>
  <si>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世代</t>
    </r>
  </si>
  <si>
    <t xml:space="preserve">品質與限制</t>
  </si>
  <si>
    <t xml:space="preserve">證據 ID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</si>
  <si>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合約／財報營收型（已是每年金額，除以容量）</t>
    </r>
  </si>
  <si>
    <t xml:space="preserve">X1</t>
  </si>
  <si>
    <r>
      <rPr>
        <sz val="11"/>
        <color theme="1"/>
        <rFont val="Calibri"/>
        <family val="2"/>
        <charset val="1"/>
      </rPr>
      <t xml:space="preserve">IREN–Microsoft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</si>
  <si>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合約總額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</si>
  <si>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200MW critical IT load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</si>
  <si>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</t>
    </r>
  </si>
  <si>
    <t xml:space="preserve">含：EBITDA 85% 定義為扣除電力、維修與直接營運成本，故電費由 IREN 負擔（公司估計）</t>
  </si>
  <si>
    <t xml:space="preserve">含：IREN 自建 Childress Horizon 1–4（含電力、冷卻）</t>
  </si>
  <si>
    <t xml:space="preserve">含：GPU 與輔助設備（Dell 約 $5.8B）</t>
  </si>
  <si>
    <t xml:space="preserve">含</t>
  </si>
  <si>
    <t xml:space="preserve">含；公司估計專案 EBITDA 85%（資本前）；20% 預付款於第 3–5 年抵扣（現金時點，非降價）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</si>
  <si>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年固定期限；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可因延遲交付終止；未披露保證利用率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</si>
  <si>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／新聞稿）；利害關係：賣方</t>
    </r>
  </si>
  <si>
    <t xml:space="preserve">高：IT 口徑明確、單一原始來源（各媒體轉述同一份公告）。5 年合約短於 GPU 經濟壽命，殘值歸出租方。</t>
  </si>
  <si>
    <t xml:space="preserve">E1–E3</t>
  </si>
  <si>
    <t xml:space="preserve">X2a</t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</si>
  <si>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WenQuanYi Zen Hei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WenQuanYi Zen Hei"/>
        <family val="2"/>
      </rPr>
      <t xml:space="preserve">（照字面當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</si>
  <si>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季營收</t>
    </r>
  </si>
  <si>
    <t xml:space="preserve">不明（active power 定義未找到）；590 為由「+260 → &gt;850」反推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</si>
  <si>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0.6/0.4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WenQuanYi Zen Hei"/>
        <family val="2"/>
      </rPr>
      <t xml:space="preserve">欄）</t>
    </r>
  </si>
  <si>
    <t xml:space="preserve">含（CoreWeave 自租／自建混合，租賃費用在其成本內）</t>
  </si>
  <si>
    <t xml:space="preserve">含；Q4 調整後營業利益率 6%、GAAP 營業虧損 $89M</t>
  </si>
  <si>
    <t xml:space="preserve">包含新容量爬坡期（電已通但尚未計費）→ 營收偏低；承諾使用量不明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</si>
  <si>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為主＋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爬坡（推測，未揭露）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</si>
  <si>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（營收、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為公司揭露）；平均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Derived</t>
    </r>
  </si>
  <si>
    <t xml:space="preserve">中低：全公司彙總、混合世代、MW 為期初期末平均</t>
  </si>
  <si>
    <t xml:space="preserve">E4–E5</t>
  </si>
  <si>
    <t xml:space="preserve">X2b</t>
  </si>
  <si>
    <t xml:space="preserve">同上，若 active power 為設施口徑，換成 IT（÷PUE 1.2）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</si>
  <si>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（由設施換算；假設）</t>
    </r>
  </si>
  <si>
    <t xml:space="preserve">同 X2a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</si>
  <si>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（口徑假設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</si>
  <si>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中低：僅用於區間上端</t>
  </si>
  <si>
    <t xml:space="preserve">X3</t>
  </si>
  <si>
    <r>
      <rPr>
        <sz val="11"/>
        <color theme="1"/>
        <rFont val="Calibri"/>
        <family val="2"/>
        <charset val="1"/>
      </rPr>
      <t xml:space="preserve">Nebius–Microsoft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年；基本 </t>
    </r>
    <r>
      <rPr>
        <sz val="11"/>
        <color theme="1"/>
        <rFont val="Calibri"/>
        <family val="2"/>
        <charset val="1"/>
      </rPr>
      <t xml:space="preserve">$17.4B</t>
    </r>
    <r>
      <rPr>
        <sz val="11"/>
        <color theme="1"/>
        <rFont val="WenQuanYi Zen Hei"/>
        <family val="2"/>
      </rPr>
      <t xml:space="preserve">，含選擇權 </t>
    </r>
    <r>
      <rPr>
        <sz val="11"/>
        <color theme="1"/>
        <rFont val="Calibri"/>
        <family val="2"/>
        <charset val="1"/>
      </rPr>
      <t xml:space="preserve">$19.4B</t>
    </r>
    <r>
      <rPr>
        <sz val="11"/>
        <color theme="1"/>
        <rFont val="WenQuanYi Zen Hei"/>
        <family val="2"/>
      </rPr>
      <t xml:space="preserve">）— 下界</t>
    </r>
  </si>
  <si>
    <t xml:space="preserve">未明（Vineland 目標 300MW，單一來源 GCN）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</si>
  <si>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欄；世代未揭露）</t>
    </r>
  </si>
  <si>
    <t xml:space="preserve">不明</t>
  </si>
  <si>
    <t xml:space="preserve">不明（專屬 GPU 容量）</t>
  </si>
  <si>
    <t xml:space="preserve">分階段 2025–2026 上線，分子含未上線期間</t>
  </si>
  <si>
    <t xml:space="preserve">未揭露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</si>
  <si>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公告／媒體）</t>
    </r>
  </si>
  <si>
    <t xml:space="preserve">只是下界：合約容量 ≤ 300MW 且未計爬坡；300MW 只見單一來源。不進分布。</t>
  </si>
  <si>
    <t xml:space="preserve">E6</t>
  </si>
  <si>
    <t xml:space="preserve">X4a</t>
  </si>
  <si>
    <r>
      <rPr>
        <sz val="11"/>
        <color theme="1"/>
        <rFont val="Calibri"/>
        <family val="2"/>
        <charset val="1"/>
      </rPr>
      <t xml:space="preserve">Nebius 2026Q2 </t>
    </r>
    <r>
      <rPr>
        <sz val="11"/>
        <color theme="1"/>
        <rFont val="WenQuanYi Zen Hei"/>
        <family val="2"/>
      </rPr>
      <t xml:space="preserve">新簽四筆合約收益率（營收認列基礎）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</si>
  <si>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WenQuanYi Zen Hei"/>
        <family val="2"/>
      </rPr>
      <t xml:space="preserve">年</t>
    </r>
  </si>
  <si>
    <t xml:space="preserve">未明（每 MW 未說 IT 或設施）</t>
  </si>
  <si>
    <t xml:space="preserve">不明（全含雲服務）</t>
  </si>
  <si>
    <t xml:space="preserve">不明；客戶為 Reflection、Cohere 等非 hyperscaler，信用風險溢價</t>
  </si>
  <si>
    <t xml:space="preserve">預付款涵蓋 capex 50–60%（不計入營收認列）</t>
  </si>
  <si>
    <t xml:space="preserve">未揭露（2026 簽）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</si>
  <si>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（管理層電話會議；二手轉述）</t>
    </r>
  </si>
  <si>
    <t xml:space="preserve">不可直接比：2026 年定價、非投資級客戶、含預付款融資。顯示 2026 年定價已高於 2025 年合約。</t>
  </si>
  <si>
    <t xml:space="preserve">E7</t>
  </si>
  <si>
    <t xml:space="preserve">X4b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</si>
  <si>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短期（≤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個月）議價中的收益率</t>
    </r>
  </si>
  <si>
    <t xml:space="preserve">未明</t>
  </si>
  <si>
    <t xml:space="preserve">短約，非 take-or-pay 長約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</si>
  <si>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（管理層；「議價中」非已簽）</t>
    </r>
  </si>
  <si>
    <t xml:space="preserve">僅作現貨端參考；非合約價。</t>
  </si>
  <si>
    <t xml:space="preserve">X5a</t>
  </si>
  <si>
    <r>
      <rPr>
        <sz val="11"/>
        <color theme="1"/>
        <rFont val="Calibri"/>
        <family val="2"/>
        <charset val="1"/>
      </rPr>
      <t xml:space="preserve">Oracle–OpenAI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WenQuanYi Zen Hei"/>
        <family val="2"/>
      </rPr>
      <t xml:space="preserve">轉述：約 </t>
    </r>
    <r>
      <rPr>
        <sz val="11"/>
        <color theme="1"/>
        <rFont val="Calibri"/>
        <family val="2"/>
        <charset val="1"/>
      </rPr>
      <t xml:space="preserve">$300B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起）— 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當設施口徑，換 </t>
    </r>
    <r>
      <rPr>
        <sz val="11"/>
        <color theme="1"/>
        <rFont val="Calibri"/>
        <family val="2"/>
        <charset val="1"/>
      </rPr>
      <t xml:space="preserve">IT</t>
    </r>
  </si>
  <si>
    <t xml:space="preserve">設施 4.5GW ÷ PUE 1.2 ＝ IT</t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</si>
  <si>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起交付世代，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</si>
  <si>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含（Oracle 轉租整套設施）</t>
  </si>
  <si>
    <t xml:space="preserve">含；Oracle AI 雲毛利「極薄」（2020 年代報導 ≈ 16%，單一轉述，見 20261020 筆記）</t>
  </si>
  <si>
    <t xml:space="preserve">合約總額含爬坡與選擇權不明；非 SEC 具約束揭露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</si>
  <si>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起；世代未揭露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</si>
  <si>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（匿名消息；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未逐項確認）</t>
    </r>
  </si>
  <si>
    <t xml:space="preserve">低：口徑（IT／設施）與爬坡未明；$60B／年是除法，非揭露數字。</t>
  </si>
  <si>
    <t xml:space="preserve">E8</t>
  </si>
  <si>
    <t xml:space="preserve">X5b</t>
  </si>
  <si>
    <t xml:space="preserve">同上，4.5GW 當 IT 口徑</t>
  </si>
  <si>
    <t xml:space="preserve">IT</t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</si>
  <si>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欄）</t>
    </r>
  </si>
  <si>
    <t xml:space="preserve">同 X5a</t>
  </si>
  <si>
    <t xml:space="preserve">Interested-party</t>
  </si>
  <si>
    <t xml:space="preserve">X5c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</si>
  <si>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WenQuanYi Zen Hei"/>
        <family val="2"/>
      </rPr>
      <t xml:space="preserve">早期報導：年約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X5a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／年互相矛盾，未解）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</si>
  <si>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／年</t>
    </r>
  </si>
  <si>
    <t xml:space="preserve">設施 ÷ PUE ＝ IT</t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</si>
  <si>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欄；與規格一致，世代實際未揭露）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</si>
  <si>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為主（推測）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</si>
  <si>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（匿名消息）</t>
    </r>
  </si>
  <si>
    <t xml:space="preserve">低：與 X5a 差一倍，哪個為真未知；列出僅為完整。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</si>
  <si>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支出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機隊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WenQuanYi Zen Hei"/>
        <family val="2"/>
      </rPr>
      <t xml:space="preserve">型（不是價格）</t>
    </r>
  </si>
  <si>
    <t xml:space="preserve">X6a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</si>
  <si>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雲端算力支出 </t>
    </r>
    <r>
      <rPr>
        <sz val="11"/>
        <color theme="1"/>
        <rFont val="Calibri"/>
        <family val="2"/>
        <charset val="1"/>
      </rPr>
      <t xml:space="preserve">$16.3B ÷ 1.25GW</t>
    </r>
    <r>
      <rPr>
        <sz val="11"/>
        <color theme="1"/>
        <rFont val="WenQuanYi Zen Hei"/>
        <family val="2"/>
      </rPr>
      <t xml:space="preserve">（分子取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方法頁 </t>
    </r>
    <r>
      <rPr>
        <sz val="11"/>
        <color theme="1"/>
        <rFont val="Calibri"/>
        <family val="2"/>
        <charset val="1"/>
      </rPr>
      <t xml:space="preserve">16.3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記錄的約值 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12.8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1.37</t>
    </r>
    <r>
      <rPr>
        <sz val="11"/>
        <color theme="1"/>
        <rFont val="WenQuanYi Zen Hei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1.25GW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(0.6+1.9)/2 </t>
    </r>
    <r>
      <rPr>
        <sz val="11"/>
        <color theme="1"/>
        <rFont val="WenQuanYi Zen Hei"/>
        <family val="2"/>
      </rPr>
      <t xml:space="preserve">線性內插，見證據 </t>
    </r>
    <r>
      <rPr>
        <sz val="11"/>
        <color theme="1"/>
        <rFont val="Calibri"/>
        <family val="2"/>
        <charset val="1"/>
      </rPr>
      <t xml:space="preserve">E20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</si>
  <si>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／年（研究＋訓練＋推論）</t>
    </r>
  </si>
  <si>
    <t xml:space="preserve">未明（Epoch 資料集口徑未確認）</t>
  </si>
  <si>
    <t xml:space="preserve">視供應商</t>
  </si>
  <si>
    <t xml:space="preserve">視供應商；含 Microsoft 授予的非現金 Azure 額度（The Register 提醒）</t>
  </si>
  <si>
    <t xml:space="preserve">支出不等於已用容量；含預留與預付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</si>
  <si>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</si>
  <si>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（二手；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內部文件轉述）</t>
    </r>
  </si>
  <si>
    <t xml:space="preserve">低：這是「花多少」÷「平均多少 GW」，不是單價；分母與分子時間窗不一定一致。低／高欄為分母 1.5／1.0GW 的敏感度（Assumed）。</t>
  </si>
  <si>
    <t xml:space="preserve">E9</t>
  </si>
  <si>
    <t xml:space="preserve">X6b</t>
  </si>
  <si>
    <t xml:space="preserve">同上，分母改用模型 AL_FleetGW25（2025 平均上線 GW，指數內插 0.6→1.9）</t>
  </si>
  <si>
    <t xml:space="preserve">模型 Cap_In!C331（Derived）</t>
  </si>
  <si>
    <t xml:space="preserve">同 X6a</t>
  </si>
  <si>
    <t xml:space="preserve">低：與 X6a 同。</t>
  </si>
  <si>
    <t xml:space="preserve">X6c</t>
  </si>
  <si>
    <t xml:space="preserve">（對照，不是價格）Epoch Abilene 資本成本 $15.9B ÷ 421MW IT → $M／MW IT</t>
  </si>
  <si>
    <r>
      <rPr>
        <sz val="11"/>
        <color theme="1"/>
        <rFont val="Calibri"/>
        <family val="2"/>
        <charset val="1"/>
      </rPr>
      <t xml:space="preserve">$B </t>
    </r>
    <r>
      <rPr>
        <sz val="11"/>
        <color theme="1"/>
        <rFont val="WenQuanYi Zen Hei"/>
        <family val="2"/>
      </rPr>
      <t xml:space="preserve">資本成本（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</si>
  <si>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頁面未精確定義 </t>
    </r>
    <r>
      <rPr>
        <sz val="11"/>
        <color theme="1"/>
        <rFont val="Calibri"/>
        <family val="2"/>
        <charset val="1"/>
      </rPr>
      <t xml:space="preserve">IT power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</si>
  <si>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GB200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WenQuanYi Zen Hei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）</t>
    </r>
  </si>
  <si>
    <t xml:space="preserve">—</t>
  </si>
  <si>
    <t xml:space="preserve">含（Epoch 資本成本口徑未詳）</t>
  </si>
  <si>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</si>
  <si>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（衛星影像＋冷卻模型的估計）</t>
    </r>
  </si>
  <si>
    <t xml:space="preserve">此列單位是 $M／MW 的 capex，不是年價；用來檢查 TK 資本支出，不進價格倍數。⚠ 與 X6a 的 $16B 是兩個不同的量。</t>
  </si>
  <si>
    <t xml:space="preserve">E10</t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</si>
  <si>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WenQuanYi Zen Hei"/>
        <family val="2"/>
      </rPr>
      <t xml:space="preserve">小時價 → 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年（價格 </t>
    </r>
    <r>
      <rPr>
        <b val="true"/>
        <sz val="11"/>
        <rFont val="Cambria"/>
        <family val="0"/>
        <charset val="1"/>
      </rPr>
      <t xml:space="preserve">× TK </t>
    </r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GPU </t>
    </r>
    <r>
      <rPr>
        <b val="true"/>
        <sz val="11"/>
        <rFont val="WenQuanYi Zen Hei"/>
        <family val="2"/>
      </rPr>
      <t xml:space="preserve">數 </t>
    </r>
    <r>
      <rPr>
        <b val="true"/>
        <sz val="11"/>
        <rFont val="Cambria"/>
        <family val="0"/>
        <charset val="1"/>
      </rPr>
      <t xml:space="preserve">× 8760 ×</t>
    </r>
    <r>
      <rPr>
        <b val="true"/>
        <sz val="11"/>
        <rFont val="WenQuanYi Zen Hei"/>
        <family val="2"/>
      </rPr>
      <t xml:space="preserve">利用率）</t>
    </r>
  </si>
  <si>
    <t xml:space="preserve">X7a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</si>
  <si>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WenQuanYi Zen Hei"/>
        <family val="2"/>
      </rPr>
      <t xml:space="preserve">新雲指數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</si>
  <si>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IT-GW GPU </t>
    </r>
    <r>
      <rPr>
        <sz val="11"/>
        <color theme="1"/>
        <rFont val="WenQuanYi Zen Hei"/>
        <family val="2"/>
      </rPr>
      <t xml:space="preserve">數（見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拆解第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</si>
  <si>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欄）</t>
    </r>
  </si>
  <si>
    <t xml:space="preserve">不明（零售／指數價）</t>
  </si>
  <si>
    <t xml:space="preserve">含出租方利潤</t>
  </si>
  <si>
    <t xml:space="preserve">低／高＝利用率 0.7／1.0（Assumed）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</si>
  <si>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（指數商）</t>
    </r>
  </si>
  <si>
    <t xml:space="preserve">中：跨供應商標準化現貨型指數，2026 年 10 月；2025 年同期較低（報導 2025-10→2026-03 漲約 40%）</t>
  </si>
  <si>
    <t xml:space="preserve">E11</t>
  </si>
  <si>
    <t xml:space="preserve">X7b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</si>
  <si>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Ornn OCPI </t>
    </r>
    <r>
      <rPr>
        <sz val="11"/>
        <color theme="1"/>
        <rFont val="WenQuanYi Zen Hei"/>
        <family val="2"/>
      </rPr>
      <t xml:space="preserve">成交結算價 </t>
    </r>
    <r>
      <rPr>
        <sz val="11"/>
        <color theme="1"/>
        <rFont val="Calibri"/>
        <family val="2"/>
        <charset val="1"/>
      </rPr>
      <t xml:space="preserve">2026-10-22</t>
    </r>
  </si>
  <si>
    <t xml:space="preserve">中：成交價，但單日、短約</t>
  </si>
  <si>
    <t xml:space="preserve">X7c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</si>
  <si>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公開牌價 </t>
    </r>
    <r>
      <rPr>
        <sz val="11"/>
        <color theme="1"/>
        <rFont val="Calibri"/>
        <family val="2"/>
        <charset val="1"/>
      </rPr>
      <t xml:space="preserve">HGX H100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</si>
  <si>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（賣方牌價）</t>
    </r>
  </si>
  <si>
    <t xml:space="preserve">低：牌價；大客戶多簽多年約，不付牌價</t>
  </si>
  <si>
    <t xml:space="preserve">E12</t>
  </si>
  <si>
    <t xml:space="preserve">X7d</t>
  </si>
  <si>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WenQuanYi Zen Hei"/>
        <family val="2"/>
      </rPr>
      <t xml:space="preserve">隨選</t>
    </r>
  </si>
  <si>
    <t xml:space="preserve">低：牌價（另一來源 $3.99）</t>
  </si>
  <si>
    <t xml:space="preserve">X7e</t>
  </si>
  <si>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$42/4 GPU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</si>
  <si>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欄）</t>
    </r>
  </si>
  <si>
    <t xml:space="preserve">低：牌價</t>
  </si>
  <si>
    <t xml:space="preserve">X7f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</si>
  <si>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Bitdeer 3 </t>
    </r>
    <r>
      <rPr>
        <sz val="11"/>
        <color theme="1"/>
        <rFont val="WenQuanYi Zen Hei"/>
        <family val="2"/>
      </rPr>
      <t xml:space="preserve">年預留（彙整站列價）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</si>
  <si>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（彙整站，未對照原頁）</t>
    </r>
  </si>
  <si>
    <t xml:space="preserve">低：單一彙整站列價</t>
  </si>
  <si>
    <t xml:space="preserve">E13</t>
  </si>
  <si>
    <t xml:space="preserve">X7g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</si>
  <si>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Nscale–Microsoft Narvik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$6.2B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年／</t>
    </r>
    <r>
      <rPr>
        <sz val="11"/>
        <color theme="1"/>
        <rFont val="Calibri"/>
        <family val="2"/>
        <charset val="1"/>
      </rPr>
      <t xml:space="preserve">52,000 GPU</t>
    </r>
    <r>
      <rPr>
        <sz val="11"/>
        <color theme="1"/>
        <rFont val="WenQuanYi Zen Hei"/>
        <family val="2"/>
      </rPr>
      <t xml:space="preserve">（第三方推算）</t>
    </r>
  </si>
  <si>
    <t xml:space="preserve">不明；含 Microsoft 長約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</si>
  <si>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CV Research Substack </t>
    </r>
    <r>
      <rPr>
        <sz val="11"/>
        <color theme="1"/>
        <rFont val="WenQuanYi Zen Hei"/>
        <family val="2"/>
      </rPr>
      <t xml:space="preserve">推算；合約價非原文）</t>
    </r>
  </si>
  <si>
    <t xml:space="preserve">低中：單一第二手；用 TK 每 GW GPU 數換算，若 Nscale 實際 kW／GPU 不同則偏</t>
  </si>
  <si>
    <t xml:space="preserve">E14</t>
  </si>
  <si>
    <t xml:space="preserve">X7h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</si>
  <si>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STN 3 </t>
    </r>
    <r>
      <rPr>
        <sz val="11"/>
        <color theme="1"/>
        <rFont val="WenQuanYi Zen Hei"/>
        <family val="2"/>
      </rPr>
      <t xml:space="preserve">年預留（彙整站列價）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</si>
  <si>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（彙整站）</t>
    </r>
  </si>
  <si>
    <t xml:space="preserve">註：B200／B300 單卡價（Silicon Data 5.93／6.71、Ornn 9.32）未換算，因 TK 世代欄位為 NVL72 機架且 B200 HGX 的每 GW GPU 數不同（缺 B200 HGX 的 kW／機架輸入）。</t>
  </si>
  <si>
    <t xml:space="preserve">註：X7 列的「低／高」＝利用率 0.7／1.0。長約 take-or-pay 以 1.0 為宜；隨選／現貨應打折。</t>
  </si>
  <si>
    <t xml:space="preserve">X5d</t>
  </si>
  <si>
    <t xml:space="preserve">Oracle–OpenAI（The Register 轉述 WSJ：$300B／5 年／5GW）— 5GW 當 IT 口徑（=Andy 的 12.0）</t>
  </si>
  <si>
    <t xml:space="preserve">低：5GW 版本（The Register 轉述 WSJ，供給側查證.md 第59列）；口徑未明</t>
  </si>
  <si>
    <t xml:space="preserve">E19</t>
  </si>
  <si>
    <t xml:space="preserve">X5e</t>
  </si>
  <si>
    <r>
      <rPr>
        <sz val="11"/>
        <color theme="1"/>
        <rFont val="WenQuanYi Zen Hei"/>
        <family val="2"/>
      </rPr>
      <t xml:space="preserve">同上，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當設施口徑，換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÷PUE</t>
    </r>
    <r>
      <rPr>
        <sz val="11"/>
        <color theme="1"/>
        <rFont val="WenQuanYi Zen Hei"/>
        <family val="2"/>
      </rPr>
      <t xml:space="preserve">）</t>
    </r>
  </si>
  <si>
    <t xml:space="preserve">設施 5GW ÷ PUE 1.2 ＝ IT</t>
  </si>
  <si>
    <t xml:space="preserve">對帳：TK 拆解項 × 外部價格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</si>
  <si>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唯一可逐項拆開的外部價格：</t>
    </r>
    <r>
      <rPr>
        <b val="true"/>
        <sz val="11"/>
        <rFont val="Cambria"/>
        <family val="0"/>
        <charset val="1"/>
      </rPr>
      <t xml:space="preserve">IREN–Microsoft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GB300</t>
    </r>
    <r>
      <rPr>
        <b val="true"/>
        <sz val="11"/>
        <rFont val="WenQuanYi Zen Hei"/>
        <family val="2"/>
      </rPr>
      <t xml:space="preserve">）對 </t>
    </r>
    <r>
      <rPr>
        <b val="true"/>
        <sz val="11"/>
        <rFont val="Cambria"/>
        <family val="0"/>
        <charset val="1"/>
      </rPr>
      <t xml:space="preserve">TK GB300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$B/GW IT·</t>
    </r>
    <r>
      <rPr>
        <b val="true"/>
        <sz val="11"/>
        <rFont val="WenQuanYi Zen Hei"/>
        <family val="2"/>
      </rPr>
      <t xml:space="preserve">年）</t>
    </r>
  </si>
  <si>
    <t xml:space="preserve">TK GB300</t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</si>
  <si>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隱含</t>
    </r>
  </si>
  <si>
    <t xml:space="preserve">差（IREN − TK）</t>
  </si>
  <si>
    <t xml:space="preserve">比（IREN ÷ TK）</t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</si>
  <si>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輸入／推導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</si>
  <si>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年租金（每 </t>
    </r>
    <r>
      <rPr>
        <sz val="11"/>
        <color theme="1"/>
        <rFont val="Calibri"/>
        <family val="2"/>
        <charset val="1"/>
      </rPr>
      <t xml:space="preserve">IT-GW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</si>
  <si>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</si>
  <si>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$5.8B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＋輔助設備）</t>
    </r>
    <r>
      <rPr>
        <sz val="11"/>
        <color theme="1"/>
        <rFont val="Calibri"/>
        <family val="2"/>
        <charset val="1"/>
      </rPr>
      <t xml:space="preserve">÷ 0.2 GW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</si>
  <si>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（公司公告）</t>
    </r>
  </si>
  <si>
    <t xml:space="preserve">IREN 不含 GPU 的全部 capex（$B/GW；本體 9–11＋叢集部署 3＋加速 2）對 TK 廠房 capex</t>
  </si>
  <si>
    <t xml:space="preserve">原文：每 MW 14–16 百萬美元（取 15）＝資料中心本體 9–11＋叢集部署 3＋加速 2；TK 廠房不含叢集部署與網路。like-for-like（對本體 9–11 或 12–14）見「B 段」頁第3節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</si>
  <si>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WenQuanYi Zen Hei"/>
        <family val="2"/>
      </rPr>
      <t xml:space="preserve">原文）；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</si>
  <si>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B 段更正：此列比值 1.18 是「全包 vs TK 廠房」，不是 like-for-like。對本體 9–11，TK 廠房偏高 15–41%；本體加叢集部署（12–14）則持平。「TK 廠房可能偏低」撤回。</t>
  </si>
  <si>
    <t xml:space="preserve">總 capex（$B/GW）</t>
  </si>
  <si>
    <t xml:space="preserve">營運費用（不含資本）</t>
  </si>
  <si>
    <t xml:space="preserve">營收 ×(1−85%)；85%＝公司估計專案 EBITDA 率（扣電力、維修、直接營運成本，未扣公司管理費與融資）</t>
  </si>
  <si>
    <t xml:space="preserve">是下界：15%×9.70；原文確認扣電費、維修、其他直接營運費，不含企業管理費、財務費用、非現金項目。</t>
  </si>
  <si>
    <t xml:space="preserve">資本回收（租金 − 營運）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</si>
  <si>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隱含＝租金 − 營運費用</t>
    </r>
  </si>
  <si>
    <t xml:space="preserve">租金差額拆解：營運費用貢獻</t>
  </si>
  <si>
    <t xml:space="preserve">負值＝IREN 隱含營運費用低於 TK；占總差額比例見右欄</t>
  </si>
  <si>
    <t xml:space="preserve">租金差額拆解：資本回收貢獻</t>
  </si>
  <si>
    <t xml:space="preserve">檢查：兩項貢獻合計 − 總差額（應為 0）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</si>
  <si>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資本回收口徑：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年租金是否足以回收其 </t>
    </r>
    <r>
      <rPr>
        <b val="true"/>
        <sz val="11"/>
        <rFont val="Cambria"/>
        <family val="0"/>
        <charset val="1"/>
      </rPr>
      <t xml:space="preserve">capex</t>
    </r>
    <r>
      <rPr>
        <b val="true"/>
        <sz val="11"/>
        <rFont val="WenQuanYi Zen Hei"/>
        <family val="2"/>
      </rPr>
      <t xml:space="preserve">？（以 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隱含資本回收與總 </t>
    </r>
    <r>
      <rPr>
        <b val="true"/>
        <sz val="11"/>
        <rFont val="Cambria"/>
        <family val="0"/>
        <charset val="1"/>
      </rPr>
      <t xml:space="preserve">capex </t>
    </r>
    <r>
      <rPr>
        <b val="true"/>
        <sz val="11"/>
        <rFont val="WenQuanYi Zen Hei"/>
        <family val="2"/>
      </rPr>
      <t xml:space="preserve">估算）</t>
    </r>
  </si>
  <si>
    <t xml:space="preserve">折現率</t>
  </si>
  <si>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年淨租金現值 </t>
    </r>
    <r>
      <rPr>
        <b val="true"/>
        <sz val="11"/>
        <rFont val="Cambria"/>
        <family val="0"/>
        <charset val="1"/>
      </rPr>
      <t xml:space="preserve">($B/GW)</t>
    </r>
  </si>
  <si>
    <t xml:space="preserve">總 capex ($B/GW)</t>
  </si>
  <si>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年末所需殘值／重新出租價值現值之外 </t>
    </r>
    <r>
      <rPr>
        <b val="true"/>
        <sz val="11"/>
        <rFont val="Cambria"/>
        <family val="0"/>
        <charset val="1"/>
      </rPr>
      <t xml:space="preserve">($B</t>
    </r>
    <r>
      <rPr>
        <b val="true"/>
        <sz val="11"/>
        <rFont val="WenQuanYi Zen Hei"/>
        <family val="2"/>
      </rPr>
      <t xml:space="preserve">，年末價值</t>
    </r>
    <r>
      <rPr>
        <b val="true"/>
        <sz val="11"/>
        <rFont val="Cambria"/>
        <family val="0"/>
        <charset val="1"/>
      </rPr>
      <t xml:space="preserve">)</t>
    </r>
  </si>
  <si>
    <t xml:space="preserve">殘值占總 capex</t>
  </si>
  <si>
    <r>
      <rPr>
        <sz val="11"/>
        <color theme="1"/>
        <rFont val="Calibri"/>
        <family val="2"/>
        <charset val="1"/>
      </rPr>
      <t xml:space="preserve">3.31%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IREN GPU </t>
    </r>
    <r>
      <rPr>
        <sz val="11"/>
        <color theme="1"/>
        <rFont val="WenQuanYi Zen Hei"/>
        <family val="2"/>
      </rPr>
      <t xml:space="preserve">融資平均成本）</t>
    </r>
  </si>
  <si>
    <t xml:space="preserve">殘值＝第 5 年末資產仍須有的價值（含續約租金或轉售），才能在該折現率下回本。</t>
  </si>
  <si>
    <t xml:space="preserve">廠房取 14／16 時（10%）所需殘值 18.9／22.1；（3.31%）6.6／8.9 $B/GW。</t>
  </si>
  <si>
    <t xml:space="preserve">6%</t>
  </si>
  <si>
    <t xml:space="preserve">8%</t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</si>
  <si>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WACC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</si>
  <si>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修正（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段第二輪）：先前稱「租金低於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主要是出租方折現率較低」不成立。以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自己的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與營運下界反推，隱含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9–10%</t>
    </r>
    <r>
      <rPr>
        <sz val="11"/>
        <color theme="1"/>
        <rFont val="WenQuanYi Zen Hei"/>
        <family val="2"/>
      </rPr>
      <t xml:space="preserve">；差額主要來自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設備單價與營運費用（見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IREN 3.31% </t>
    </r>
    <r>
      <rPr>
        <sz val="11"/>
        <color theme="1"/>
        <rFont val="WenQuanYi Zen Hei"/>
        <family val="2"/>
      </rPr>
      <t xml:space="preserve">融資只是個案，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債務 </t>
    </r>
    <r>
      <rPr>
        <sz val="11"/>
        <color theme="1"/>
        <rFont val="Calibri"/>
        <family val="2"/>
        <charset val="1"/>
      </rPr>
      <t xml:space="preserve">9.6–9.9%</t>
    </r>
    <r>
      <rPr>
        <sz val="11"/>
        <color theme="1"/>
        <rFont val="WenQuanYi Zen Hei"/>
        <family val="2"/>
      </rPr>
      <t xml:space="preserve">。</t>
    </r>
  </si>
  <si>
    <t xml:space="preserve">13%</t>
  </si>
  <si>
    <t xml:space="preserve">隱含 WACC（使 TK GB300 持有成本＝IREN 租金 9.70；Derived）：</t>
  </si>
  <si>
    <t xml:space="preserve">依序：IT 6 年＋TK 營運費；IT 5 年＋TK 營運費；IT 6 年＋IREN 隱含營運費；IT 5 年＋IREN 隱含營運費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</si>
  <si>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其他外部價格：能對到哪一項、差額多少、不可分離之處</t>
    </r>
  </si>
  <si>
    <t xml:space="preserve">外部價格</t>
  </si>
  <si>
    <t xml:space="preserve">每 IT-GW·年（點估）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</si>
  <si>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對照（同世代）</t>
    </r>
  </si>
  <si>
    <t xml:space="preserve">差額 $B（外部−TK）</t>
  </si>
  <si>
    <t xml:space="preserve">倍數</t>
  </si>
  <si>
    <t xml:space="preserve">可歸因到的 TK 拆解項</t>
  </si>
  <si>
    <t xml:space="preserve">不可分離的部分</t>
  </si>
  <si>
    <t xml:space="preserve">缺哪個輸入</t>
  </si>
  <si>
    <r>
      <rPr>
        <sz val="11"/>
        <color theme="1"/>
        <rFont val="Calibri"/>
        <family val="2"/>
        <charset val="1"/>
      </rPr>
      <t xml:space="preserve">X2a CoreWeave 2025Q4 </t>
    </r>
    <r>
      <rPr>
        <sz val="11"/>
        <color theme="1"/>
        <rFont val="WenQuanYi Zen Hei"/>
        <family val="2"/>
      </rPr>
      <t xml:space="preserve">彙總</t>
    </r>
  </si>
  <si>
    <t xml:space="preserve">無法歸因到單項。可知：CoreWeave 調整後營業利益率 6%（Q4），表示營收約等於含折舊與利息前的成本；但折舊、利息、租賃費沒有在搜尋摘要中。</t>
  </si>
  <si>
    <t xml:space="preserve">世代組合、active power 是 IT 或設施、爬坡中容量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</si>
  <si>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／折舊／租賃費；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定義；分世代營收</t>
    </r>
  </si>
  <si>
    <r>
      <rPr>
        <sz val="11"/>
        <color theme="1"/>
        <rFont val="Calibri"/>
        <family val="2"/>
        <charset val="1"/>
      </rPr>
      <t xml:space="preserve">X3 Nebius–Microsoft</t>
    </r>
    <r>
      <rPr>
        <sz val="11"/>
        <color theme="1"/>
        <rFont val="WenQuanYi Zen Hei"/>
        <family val="2"/>
      </rPr>
      <t xml:space="preserve">（下界）</t>
    </r>
  </si>
  <si>
    <t xml:space="preserve">只能說 ≥ 此值；若容量全用上，倍數 ≥ 1.07（對 GB300）。</t>
  </si>
  <si>
    <t xml:space="preserve">容量實際分配、爬坡、世代、MW 口徑</t>
  </si>
  <si>
    <t xml:space="preserve">合約 MW、各階段上線日、GPU 世代</t>
  </si>
  <si>
    <r>
      <rPr>
        <sz val="11"/>
        <color theme="1"/>
        <rFont val="Calibri"/>
        <family val="2"/>
        <charset val="1"/>
      </rPr>
      <t xml:space="preserve">X4a Nebius 2026Q2 </t>
    </r>
    <r>
      <rPr>
        <sz val="11"/>
        <color theme="1"/>
        <rFont val="WenQuanYi Zen Hei"/>
        <family val="2"/>
      </rPr>
      <t xml:space="preserve">新約（低）</t>
    </r>
  </si>
  <si>
    <t xml:space="preserve">不可分離：2026 定價、信用溢價、預付融資三者疊加。</t>
  </si>
  <si>
    <t xml:space="preserve">定價趨勢 vs 客戶信用 vs 預付款</t>
  </si>
  <si>
    <t xml:space="preserve">每筆合約的 MW 口徑、世代、年期、預付金額</t>
  </si>
  <si>
    <r>
      <rPr>
        <sz val="11"/>
        <color theme="1"/>
        <rFont val="Calibri"/>
        <family val="2"/>
        <charset val="1"/>
      </rPr>
      <t xml:space="preserve">X5a Oracle</t>
    </r>
    <r>
      <rPr>
        <sz val="11"/>
        <color theme="1"/>
        <rFont val="WenQuanYi Zen Hei"/>
        <family val="2"/>
      </rPr>
      <t xml:space="preserve">（設施→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</si>
  <si>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t xml:space="preserve">與 VR200 持有成本相比差距小（見倍數）；差額可能來自爬坡平均、選擇權與 Oracle 毛利。</t>
  </si>
  <si>
    <t xml:space="preserve">爬坡與選擇權、毛利、世代</t>
  </si>
  <si>
    <t xml:space="preserve">合約逐年 GW 與金額、Oracle 該合約毛利</t>
  </si>
  <si>
    <r>
      <rPr>
        <sz val="11"/>
        <color theme="1"/>
        <rFont val="Calibri"/>
        <family val="2"/>
        <charset val="1"/>
      </rPr>
      <t xml:space="preserve">X5b Oracle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口徑）</t>
    </r>
  </si>
  <si>
    <t xml:space="preserve">同上</t>
  </si>
  <si>
    <r>
      <rPr>
        <sz val="11"/>
        <color theme="1"/>
        <rFont val="Calibri"/>
        <family val="2"/>
        <charset val="1"/>
      </rPr>
      <t xml:space="preserve">X6b </t>
    </r>
    <r>
      <rPr>
        <sz val="11"/>
        <color theme="1"/>
        <rFont val="WenQuanYi Zen Hei"/>
        <family val="2"/>
      </rPr>
      <t xml:space="preserve">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</si>
  <si>
    <t xml:space="preserve">不可分離：分子為 OpenAI 全部雲端支出（含研究、訓練、預留與非現金額度），分母為模型內插值。</t>
  </si>
  <si>
    <t xml:space="preserve">訓練／研究／推論用量、額度、預付、機隊 GW 時間序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</si>
  <si>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GPU-hour </t>
    </r>
    <r>
      <rPr>
        <sz val="11"/>
        <color theme="1"/>
        <rFont val="WenQuanYi Zen Hei"/>
        <family val="2"/>
      </rPr>
      <t xml:space="preserve">或各供應商實際上線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的月度序列</t>
    </r>
  </si>
  <si>
    <r>
      <rPr>
        <sz val="11"/>
        <color theme="1"/>
        <rFont val="Calibri"/>
        <family val="2"/>
        <charset val="1"/>
      </rPr>
      <t xml:space="preserve">X7a H100 Silicon Data </t>
    </r>
    <r>
      <rPr>
        <sz val="11"/>
        <color theme="1"/>
        <rFont val="WenQuanYi Zen Hei"/>
        <family val="2"/>
      </rPr>
      <t xml:space="preserve">現貨型（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</si>
  <si>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t xml:space="preserve">現貨價高於 2025 長約價；TK Hopper 持有成本代表「持有」，不含出租方利潤與稀缺租金。</t>
  </si>
  <si>
    <t xml:space="preserve">出租方利潤、稀缺租金、2026 與 2025 差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</si>
  <si>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年同口徑現貨序列、利用率</t>
    </r>
  </si>
  <si>
    <r>
      <rPr>
        <sz val="11"/>
        <color theme="1"/>
        <rFont val="Calibri"/>
        <family val="2"/>
        <charset val="1"/>
      </rPr>
      <t xml:space="preserve">X7g Nscale 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</si>
  <si>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t xml:space="preserve">隱含 $2.7／GPU-hr，與 IREN 隱含值同量級。</t>
  </si>
  <si>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</si>
  <si>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sz val="11"/>
        <color theme="1"/>
        <rFont val="Calibri"/>
        <family val="2"/>
        <charset val="1"/>
      </rPr>
      <t xml:space="preserve">Nscale Narvik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</si>
  <si>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世代對齊：同一個外部價，分別除以不同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世代（說明「</t>
    </r>
    <r>
      <rPr>
        <b val="true"/>
        <sz val="11"/>
        <rFont val="Cambria"/>
        <family val="0"/>
        <charset val="1"/>
      </rPr>
      <t xml:space="preserve">12–12.8 </t>
    </r>
    <r>
      <rPr>
        <b val="true"/>
        <sz val="11"/>
        <rFont val="WenQuanYi Zen Hei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9.35</t>
    </r>
    <r>
      <rPr>
        <b val="true"/>
        <sz val="11"/>
        <rFont val="WenQuanYi Zen Hei"/>
        <family val="2"/>
      </rPr>
      <t xml:space="preserve">」與「</t>
    </r>
    <r>
      <rPr>
        <b val="true"/>
        <sz val="11"/>
        <rFont val="Cambria"/>
        <family val="0"/>
        <charset val="1"/>
      </rPr>
      <t xml:space="preserve">0.9 </t>
    </r>
    <r>
      <rPr>
        <b val="true"/>
        <sz val="11"/>
        <rFont val="WenQuanYi Zen Hei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10.89</t>
    </r>
    <r>
      <rPr>
        <b val="true"/>
        <sz val="11"/>
        <rFont val="WenQuanYi Zen Hei"/>
        <family val="2"/>
      </rPr>
      <t xml:space="preserve">」為何方向相反）</t>
    </r>
  </si>
  <si>
    <t xml:space="preserve">每 IT-GW·年</t>
  </si>
  <si>
    <t xml:space="preserve">÷ Hopper</t>
  </si>
  <si>
    <t xml:space="preserve">÷ GB200</t>
  </si>
  <si>
    <t xml:space="preserve">÷ GB300</t>
  </si>
  <si>
    <t xml:space="preserve">÷ VR200</t>
  </si>
  <si>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WenQuanYi Zen Hei"/>
        <family val="2"/>
      </rPr>
      <t xml:space="preserve">組合 </t>
    </r>
    <r>
      <rPr>
        <b val="true"/>
        <sz val="11"/>
        <rFont val="Cambria"/>
        <family val="0"/>
        <charset val="1"/>
      </rPr>
      <t xml:space="preserve">0.6/0.4</t>
    </r>
  </si>
  <si>
    <r>
      <rPr>
        <sz val="11"/>
        <color theme="1"/>
        <rFont val="Calibri"/>
        <family val="2"/>
        <charset val="1"/>
      </rPr>
      <t xml:space="preserve">X1 IREN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實簽）</t>
    </r>
  </si>
  <si>
    <t xml:space="preserve">對 GB300 0.89；對 2025 組合 1.04（因組合偏 Hopper／GB200，持有成本較低）。</t>
  </si>
  <si>
    <r>
      <rPr>
        <sz val="11"/>
        <color theme="1"/>
        <rFont val="Calibri"/>
        <family val="2"/>
        <charset val="1"/>
      </rPr>
      <t xml:space="preserve">X5a Oracle </t>
    </r>
    <r>
      <rPr>
        <sz val="11"/>
        <color theme="1"/>
        <rFont val="WenQuanYi Zen Hei"/>
        <family val="2"/>
      </rPr>
      <t xml:space="preserve">設施→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</si>
  <si>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Oracle 2027 </t>
    </r>
    <r>
      <rPr>
        <sz val="11"/>
        <color theme="1"/>
        <rFont val="WenQuanYi Zen Hei"/>
        <family val="2"/>
      </rPr>
      <t xml:space="preserve">起的合約若交付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世代，倍數 </t>
    </r>
    <r>
      <rPr>
        <sz val="11"/>
        <color theme="1"/>
        <rFont val="Calibri"/>
        <family val="2"/>
        <charset val="1"/>
      </rPr>
      <t xml:space="preserve">1.1–1.5</t>
    </r>
    <r>
      <rPr>
        <sz val="11"/>
        <color theme="1"/>
        <rFont val="WenQuanYi Zen Hei"/>
        <family val="2"/>
      </rPr>
      <t xml:space="preserve">；拿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當分母會被放大到 </t>
    </r>
    <r>
      <rPr>
        <sz val="11"/>
        <color theme="1"/>
        <rFont val="Calibri"/>
        <family val="2"/>
        <charset val="1"/>
      </rPr>
      <t xml:space="preserve">1.4–1.7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</si>
  <si>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X5b Oracle IT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</si>
  <si>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支出 </t>
    </r>
    <r>
      <rPr>
        <sz val="11"/>
        <color theme="1"/>
        <rFont val="Calibri"/>
        <family val="2"/>
        <charset val="1"/>
      </rPr>
      <t xml:space="preserve">16.3÷1.25GW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版＝</t>
    </r>
    <r>
      <rPr>
        <sz val="11"/>
        <color theme="1"/>
        <rFont val="Calibri"/>
        <family val="2"/>
        <charset val="1"/>
      </rPr>
      <t xml:space="preserve">12.8</t>
    </r>
    <r>
      <rPr>
        <sz val="11"/>
        <color theme="1"/>
        <rFont val="WenQuanYi Zen Hei"/>
        <family val="2"/>
      </rPr>
      <t xml:space="preserve">）</t>
    </r>
  </si>
  <si>
    <t xml:space="preserve">分母 9.35 是 2025 年舊世代組合；若同一支出對應的是更新世代，倍數降低。</t>
  </si>
  <si>
    <r>
      <rPr>
        <sz val="11"/>
        <color theme="1"/>
        <rFont val="Calibri"/>
        <family val="2"/>
        <charset val="1"/>
      </rPr>
      <t xml:space="preserve">X6b </t>
    </r>
    <r>
      <rPr>
        <sz val="11"/>
        <color theme="1"/>
        <rFont val="WenQuanYi Zen 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GW</t>
    </r>
  </si>
  <si>
    <t xml:space="preserve">X2a CoreWeave 2025Q4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</si>
  <si>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結論用區間（同口徑＝外部價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同世代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持有成本；公式引用上方各列）</t>
    </r>
  </si>
  <si>
    <t xml:space="preserve">類別</t>
  </si>
  <si>
    <t xml:space="preserve">納入項目</t>
  </si>
  <si>
    <t xml:space="preserve">是否同口徑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</si>
  <si>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已簽長約、已上線資產（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年份）</t>
    </r>
  </si>
  <si>
    <r>
      <rPr>
        <sz val="11"/>
        <color theme="1"/>
        <rFont val="Calibri"/>
        <family val="2"/>
        <charset val="1"/>
      </rPr>
      <t xml:space="preserve">X1 IREN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X2a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CoreWeave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X7g Nscale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u=1</t>
    </r>
    <r>
      <rPr>
        <sz val="11"/>
        <color theme="1"/>
        <rFont val="WenQuanYi Zen Hei"/>
        <family val="2"/>
      </rPr>
      <t xml:space="preserve">）</t>
    </r>
  </si>
  <si>
    <t xml:space="preserve">是（IT GW；世代對齊）</t>
  </si>
  <si>
    <t xml:space="preserve">同口徑長約倍數集中在 0.9–1.1，與 TK 10% WACC 的持有成本大致相符，不支持「市場價 ≈ 1.3 倍 TK」。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</si>
  <si>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遠期大合約（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起，世代未揭露）對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</si>
  <si>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X5a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X5d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Oracle</t>
    </r>
  </si>
  <si>
    <t xml:space="preserve">部分（口徑與世代均為假設）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</si>
  <si>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現貨／短約（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WenQuanYi Zen Hei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</si>
  <si>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X7a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 0.7–1.0</t>
    </r>
    <r>
      <rPr>
        <sz val="11"/>
        <color theme="1"/>
        <rFont val="WenQuanYi Zen Hei"/>
        <family val="2"/>
      </rPr>
      <t xml:space="preserve">）</t>
    </r>
  </si>
  <si>
    <t xml:space="preserve">否（時點、期限不同）</t>
  </si>
  <si>
    <t xml:space="preserve">現貨與 2026 年新約高於長約是時點與稀缺性，不等於 2025 年持有成本偏低。</t>
  </si>
  <si>
    <r>
      <rPr>
        <sz val="11"/>
        <color theme="1"/>
        <rFont val="Calibri"/>
        <family val="2"/>
        <charset val="1"/>
      </rPr>
      <t xml:space="preserve">4 2026 </t>
    </r>
    <r>
      <rPr>
        <sz val="11"/>
        <color theme="1"/>
        <rFont val="WenQuanYi Zen Hei"/>
        <family val="2"/>
      </rPr>
      <t xml:space="preserve">年新簽（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WenQuanYi Zen Hei"/>
        <family val="2"/>
      </rPr>
      <t xml:space="preserve">）對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</si>
  <si>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X4a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</si>
  <si>
    <t xml:space="preserve">否（MW 口徑未明）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</si>
  <si>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支出</t>
    </r>
    <r>
      <rPr>
        <sz val="11"/>
        <color theme="1"/>
        <rFont val="Calibri"/>
        <family val="2"/>
        <charset val="1"/>
      </rPr>
      <t xml:space="preserve">÷GW</t>
    </r>
    <r>
      <rPr>
        <sz val="11"/>
        <color theme="1"/>
        <rFont val="WenQuanYi Zen Hei"/>
        <family val="2"/>
      </rPr>
      <t xml:space="preserve">（非價格）</t>
    </r>
  </si>
  <si>
    <r>
      <rPr>
        <sz val="11"/>
        <color theme="1"/>
        <rFont val="Calibri"/>
        <family val="2"/>
        <charset val="1"/>
      </rPr>
      <t xml:space="preserve">X6a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</si>
  <si>
    <t xml:space="preserve">否</t>
  </si>
  <si>
    <t xml:space="preserve">「12–13」型數字（16.0 版 12.8，倍數 1.37／1.52；16.3 版 13.04，倍數 1.39／1.55）屬第 5 類或第 2 類；它們用 2025 組合 9.35 當分母才顯得高。</t>
  </si>
  <si>
    <t xml:space="preserve">事實（含原文／數字）</t>
  </si>
  <si>
    <t xml:space="preserve">來源 URL</t>
  </si>
  <si>
    <t xml:space="preserve">日期／存取</t>
  </si>
  <si>
    <t xml:space="preserve">搜尋狀態</t>
  </si>
  <si>
    <t xml:space="preserve">限制</t>
  </si>
  <si>
    <t xml:space="preserve">E1</t>
  </si>
  <si>
    <r>
      <rPr>
        <sz val="11"/>
        <color theme="1"/>
        <rFont val="Calibri"/>
        <family val="2"/>
        <charset val="1"/>
      </rPr>
      <t xml:space="preserve">IREN–Microsoft </t>
    </r>
    <r>
      <rPr>
        <sz val="11"/>
        <color theme="1"/>
        <rFont val="WenQuanYi Zen Hei"/>
        <family val="2"/>
      </rPr>
      <t xml:space="preserve">條款</t>
    </r>
  </si>
  <si>
    <t xml:space="preserve">總額約 $9.7B、5 年（至 2031）、20% 預付款於各批交付前支付並於第 3–5 年抵扣；GB300 裝於 Childress Horizon 1–4，合計約 200MW IT load，2026 年交付；IREN 向 Dell 購買 GPU 與輔助設備約 $5.8B。</t>
  </si>
  <si>
    <t xml:space="preserve">https://www.sec.gov/Archives/edgar/data/1878848/000114036125040072/ef20058139_8k.htm</t>
  </si>
  <si>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WenQuanYi Zen Hei"/>
        <family val="2"/>
      </rPr>
      <t xml:space="preserve">；搜尋摘要（本環境直接抓取被擋）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</si>
  <si>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／新聞稿）；賣方＝利害關係人</t>
    </r>
  </si>
  <si>
    <t xml:space="preserve">已找到（摘要）；原文未直接讀</t>
  </si>
  <si>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網站在本環境 </t>
    </r>
    <r>
      <rPr>
        <sz val="11"/>
        <color theme="1"/>
        <rFont val="Calibri"/>
        <family val="2"/>
        <charset val="1"/>
      </rPr>
      <t xml:space="preserve">ENOTFOUND</t>
    </r>
    <r>
      <rPr>
        <sz val="11"/>
        <color theme="1"/>
        <rFont val="WenQuanYi Zen Hei"/>
        <family val="2"/>
      </rPr>
      <t xml:space="preserve">，只能引用搜尋摘要。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顆數搜尋未找到（「</t>
    </r>
    <r>
      <rPr>
        <sz val="11"/>
        <color theme="1"/>
        <rFont val="Calibri"/>
        <family val="2"/>
        <charset val="1"/>
      </rPr>
      <t xml:space="preserve">76,000</t>
    </r>
    <r>
      <rPr>
        <sz val="11"/>
        <color theme="1"/>
        <rFont val="WenQuanYi Zen Hei"/>
        <family val="2"/>
      </rPr>
      <t xml:space="preserve">」查無來源）。</t>
    </r>
  </si>
  <si>
    <t xml:space="preserve">E2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</si>
  <si>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專案經濟</t>
    </r>
  </si>
  <si>
    <t xml:space="preserve">預期年化營收 $1.94B；公司估計專案 EBITDA 率 85%（扣電力、維修、直接營運成本；未扣公司管理費與融資）；資料中心基礎設施約 $14–16M/MW IT（簡報，二手轉述）；GPU 融資：$3.65B 投資級設施（約占 $5.81B GPU capex 的 62.8%）加客戶預付款，合計融資 $5.59B（約 96%），平均成本 3.31%。</t>
  </si>
  <si>
    <t xml:space="preserve">https://iren.gcs-web.com/static-files/a421bb34-0156-4687-be7d-19f53a5236e5</t>
  </si>
  <si>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WenQuanYi Zen Hei"/>
        <family val="2"/>
      </rPr>
      <t xml:space="preserve">融資新聞</t>
    </r>
  </si>
  <si>
    <t xml:space="preserve">已找到（搜尋摘要）</t>
  </si>
  <si>
    <r>
      <rPr>
        <sz val="11"/>
        <color theme="1"/>
        <rFont val="Calibri"/>
        <family val="2"/>
        <charset val="1"/>
      </rPr>
      <t xml:space="preserve">$14–16M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$9–11M </t>
    </r>
    <r>
      <rPr>
        <sz val="11"/>
        <color theme="1"/>
        <rFont val="WenQuanYi Zen Hei"/>
        <family val="2"/>
      </rPr>
      <t xml:space="preserve">兩個數字在摘要中口徑混在一起；以 </t>
    </r>
    <r>
      <rPr>
        <sz val="11"/>
        <color theme="1"/>
        <rFont val="Calibri"/>
        <family val="2"/>
        <charset val="1"/>
      </rPr>
      <t xml:space="preserve">$14–16M×200MW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$2.8–3.2B </t>
    </r>
    <r>
      <rPr>
        <sz val="11"/>
        <color theme="1"/>
        <rFont val="WenQuanYi Zen Hei"/>
        <family val="2"/>
      </rPr>
      <t xml:space="preserve">與第三方估計吻合而採用。｜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段更正：原文顯示 </t>
    </r>
    <r>
      <rPr>
        <sz val="11"/>
        <color theme="1"/>
        <rFont val="Calibri"/>
        <family val="2"/>
        <charset val="1"/>
      </rPr>
      <t xml:space="preserve">$14–16M/MW </t>
    </r>
    <r>
      <rPr>
        <sz val="11"/>
        <color theme="1"/>
        <rFont val="WenQuanYi Zen Hei"/>
        <family val="2"/>
      </rPr>
      <t xml:space="preserve">為「全部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口徑）」＝本體 </t>
    </r>
    <r>
      <rPr>
        <sz val="11"/>
        <color theme="1"/>
        <rFont val="Calibri"/>
        <family val="2"/>
        <charset val="1"/>
      </rPr>
      <t xml:space="preserve">9–11</t>
    </r>
    <r>
      <rPr>
        <sz val="11"/>
        <color theme="1"/>
        <rFont val="WenQuanYi Zen Hei"/>
        <family val="2"/>
      </rPr>
      <t xml:space="preserve">＋叢集部署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＋加速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，不是資料中心本體。</t>
    </r>
  </si>
  <si>
    <t xml:space="preserve">E3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</si>
  <si>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交付進度</t>
    </r>
  </si>
  <si>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50MW critical IT</t>
    </r>
    <r>
      <rPr>
        <sz val="11"/>
        <color theme="1"/>
        <rFont val="WenQuanYi Zen Hei"/>
        <family val="2"/>
      </rPr>
      <t xml:space="preserve">）已交付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WenQuanYi Zen Hei"/>
        <family val="2"/>
      </rPr>
      <t xml:space="preserve">，共四個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年交付。</t>
    </r>
  </si>
  <si>
    <t xml:space="preserve">https://finance.yahoo.com/technology/ai/articles/iren-delivers-first-50mw-microsoft-133130586.html</t>
  </si>
  <si>
    <t xml:space="preserve">2026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</si>
  <si>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（二手轉述公司公告）</t>
    </r>
  </si>
  <si>
    <t xml:space="preserve">已找到</t>
  </si>
  <si>
    <t xml:space="preserve">E4</t>
  </si>
  <si>
    <r>
      <rPr>
        <sz val="11"/>
        <color theme="1"/>
        <rFont val="Calibri"/>
        <family val="2"/>
        <charset val="1"/>
      </rPr>
      <t xml:space="preserve">CoreWeave 2025Q4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active power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</si>
  <si>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$1,572M</t>
    </r>
    <r>
      <rPr>
        <sz val="11"/>
        <color theme="1"/>
        <rFont val="WenQuanYi Zen Hei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110%</t>
    </r>
    <r>
      <rPr>
        <sz val="11"/>
        <color theme="1"/>
        <rFont val="WenQuanYi Zen Hei"/>
        <family val="2"/>
      </rPr>
      <t xml:space="preserve">）；調整後營業利益 </t>
    </r>
    <r>
      <rPr>
        <sz val="11"/>
        <color theme="1"/>
        <rFont val="Calibri"/>
        <family val="2"/>
        <charset val="1"/>
      </rPr>
      <t xml:space="preserve">$88M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營業虧損 </t>
    </r>
    <r>
      <rPr>
        <sz val="11"/>
        <color theme="1"/>
        <rFont val="Calibri"/>
        <family val="2"/>
        <charset val="1"/>
      </rPr>
      <t xml:space="preserve">$89M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新增約 </t>
    </r>
    <r>
      <rPr>
        <sz val="11"/>
        <color theme="1"/>
        <rFont val="Calibri"/>
        <family val="2"/>
        <charset val="1"/>
      </rPr>
      <t xml:space="preserve">260MW active power</t>
    </r>
    <r>
      <rPr>
        <sz val="11"/>
        <color theme="1"/>
        <rFont val="WenQuanYi Zen Hei"/>
        <family val="2"/>
      </rPr>
      <t xml:space="preserve">，期末 </t>
    </r>
    <r>
      <rPr>
        <sz val="11"/>
        <color theme="1"/>
        <rFont val="Calibri"/>
        <family val="2"/>
        <charset val="1"/>
      </rPr>
      <t xml:space="preserve">&gt;850MW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contracted power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backlog $66.8B</t>
    </r>
    <r>
      <rPr>
        <sz val="11"/>
        <color theme="1"/>
        <rFont val="WenQuanYi Zen Hei"/>
        <family val="2"/>
      </rPr>
      <t xml:space="preserve">。</t>
    </r>
  </si>
  <si>
    <t xml:space="preserve">https://www.businesswire.com/news/home/20260226281661/en/CoreWeave-Reports-Strong-Fourth-Quarter-and-Fiscal-Year-2025-Results</t>
  </si>
  <si>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WenQuanYi Zen Hei"/>
        <family val="2"/>
      </rPr>
      <t xml:space="preserve">；搜尋摘要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</si>
  <si>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（公司揭露）</t>
    </r>
  </si>
  <si>
    <t xml:space="preserve">已找到（摘要）</t>
  </si>
  <si>
    <t xml:space="preserve">期初 590MW 由 850−260 反推（Derived）。cost of revenue、折舊、租賃費未找到。</t>
  </si>
  <si>
    <t xml:space="preserve">E5</t>
  </si>
  <si>
    <r>
      <rPr>
        <sz val="11"/>
        <color theme="1"/>
        <rFont val="Calibri"/>
        <family val="2"/>
        <charset val="1"/>
      </rPr>
      <t xml:space="preserve">CoreWeave active power </t>
    </r>
    <r>
      <rPr>
        <sz val="11"/>
        <color theme="1"/>
        <rFont val="WenQuanYi Zen Hei"/>
        <family val="2"/>
      </rPr>
      <t xml:space="preserve">定義</t>
    </r>
  </si>
  <si>
    <t xml:space="preserve">公司正式定義未找到；第三方描述為「已通電、可跑營收工作負載的資料中心電力容量」，是 IT 或設施未明。State of AI 報告指出 active 與 contracted 重疊、非 GPU 數。</t>
  </si>
  <si>
    <t xml:space="preserve">https://www.stateof.ai/2026-explore/data/compute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</si>
  <si>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／二手</t>
    </r>
  </si>
  <si>
    <t xml:space="preserve">已搜尋，未找到（一手定義）</t>
  </si>
  <si>
    <t xml:space="preserve">這決定 X2a／X2b 差 20%。</t>
  </si>
  <si>
    <t xml:space="preserve">Nebius–Microsoft</t>
  </si>
  <si>
    <t xml:space="preserve">基本 $17.4B、5 年（至 2031），選擇權可至約 $19.4B；Vineland NJ，分階段 2025–2026；300MW 僅 GCN 一處提及（引 6-K 為 Nebius 目標）。</t>
  </si>
  <si>
    <t xml:space="preserve">https://www.verdict.co.uk/nebius-agreement-microsoft-gpu-services/</t>
  </si>
  <si>
    <t xml:space="preserve">2025-09</t>
  </si>
  <si>
    <t xml:space="preserve">已找到；容量單一來源</t>
  </si>
  <si>
    <t xml:space="preserve">容量實際分配未揭露，只用於下界。</t>
  </si>
  <si>
    <r>
      <rPr>
        <sz val="11"/>
        <color theme="1"/>
        <rFont val="Calibri"/>
        <family val="2"/>
        <charset val="1"/>
      </rPr>
      <t xml:space="preserve">Nebius 2026Q2 </t>
    </r>
    <r>
      <rPr>
        <sz val="11"/>
        <color theme="1"/>
        <rFont val="WenQuanYi Zen Hei"/>
        <family val="2"/>
      </rPr>
      <t xml:space="preserve">電話會議</t>
    </r>
  </si>
  <si>
    <t xml:space="preserve">四筆新 AI 雲合約平均 &gt;$1B，收益率 $20–25M/MW（營收認列基礎，不含預付款），預付款涵蓋 capex 50–60%；短約（≤6 個月）議價 $40–50M/MW；Q2 營收約 $582M，ARR $3B（6 月底）；2026 capex $20–25B；contracted power 目標 5GW；connected 800MW–1GW。</t>
  </si>
  <si>
    <t xml:space="preserve">https://www.marketbeat.com/instant-alerts/nebius-group-q2-earnings-call-highlights-2026-08-12/</t>
  </si>
  <si>
    <t xml:space="preserve">2026-08-12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</si>
  <si>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（管理層）</t>
    </r>
  </si>
  <si>
    <t xml:space="preserve">已找到（二手摘要）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</si>
  <si>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還是設施、世代皆未說明。</t>
    </r>
  </si>
  <si>
    <t xml:space="preserve">Oracle–OpenAI</t>
  </si>
  <si>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$300B</t>
    </r>
    <r>
      <rPr>
        <sz val="11"/>
        <color theme="1"/>
        <rFont val="WenQuanYi Zen Hei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年、需約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$60B</t>
    </r>
    <r>
      <rPr>
        <sz val="11"/>
        <color theme="1"/>
        <rFont val="WenQuanYi Zen Hei"/>
        <family val="2"/>
      </rPr>
      <t xml:space="preserve">／年是除法。較早（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WenQuanYi Zen Hei"/>
        <family val="2"/>
      </rPr>
      <t xml:space="preserve">）報導「年約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WenQuanYi Zen Hei"/>
        <family val="2"/>
      </rPr>
      <t xml:space="preserve">」。均為匿名消息，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未逐項確認；</t>
    </r>
    <r>
      <rPr>
        <sz val="11"/>
        <color theme="1"/>
        <rFont val="Calibri"/>
        <family val="2"/>
        <charset val="1"/>
      </rPr>
      <t xml:space="preserve">Gartner </t>
    </r>
    <r>
      <rPr>
        <sz val="11"/>
        <color theme="1"/>
        <rFont val="WenQuanYi Zen Hei"/>
        <family val="2"/>
      </rPr>
      <t xml:space="preserve">稱「非鐵板釘釘的第一天數字」。</t>
    </r>
    <r>
      <rPr>
        <sz val="11"/>
        <color theme="1"/>
        <rFont val="Calibri"/>
        <family val="2"/>
        <charset val="1"/>
      </rPr>
      <t xml:space="preserve">Oracle RPO $664B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WenQuanYi Zen Hei"/>
        <family val="2"/>
      </rPr>
      <t xml:space="preserve">底）。</t>
    </r>
  </si>
  <si>
    <t xml:space="preserve">https://www.techmeme.com/250910/p43</t>
  </si>
  <si>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</si>
  <si>
    <t xml:space="preserve">已找到；口徑（IT／設施）未找到</t>
  </si>
  <si>
    <t xml:space="preserve">A 段僅用 4.5GW 版本（13.3；設施換 IT 為 16.0）。B 段補：5GW 版本（E19）12.0＝300÷5÷5（5GW 當設施換 IT 為 14.4）；四種讀法並列於外部價格換算 X5a–X5e 與 B 段頁。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</si>
  <si>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雲端算力支出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</si>
  <si>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方法頁引用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雲端算力支出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$6.8B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$16.3B</t>
    </r>
    <r>
      <rPr>
        <sz val="11"/>
        <color theme="1"/>
        <rFont val="WenQuanYi Zen Hei"/>
        <family val="2"/>
      </rPr>
      <t xml:space="preserve">（亦有「</t>
    </r>
    <r>
      <rPr>
        <sz val="11"/>
        <color theme="1"/>
        <rFont val="Calibri"/>
        <family val="2"/>
        <charset val="1"/>
      </rPr>
      <t xml:space="preserve">&gt;$15B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$16B</t>
    </r>
    <r>
      <rPr>
        <sz val="11"/>
        <color theme="1"/>
        <rFont val="WenQuanYi Zen Hei"/>
        <family val="2"/>
      </rPr>
      <t xml:space="preserve">」不同說法）；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$8.4B</t>
    </r>
    <r>
      <rPr>
        <sz val="11"/>
        <color theme="1"/>
        <rFont val="WenQuanYi Zen Hei"/>
        <family val="2"/>
      </rPr>
      <t xml:space="preserve">。</t>
    </r>
  </si>
  <si>
    <t xml:space="preserve">https://epoch.ai/data/ai-chip-users-documentation/methodology</t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</si>
  <si>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WenQuanYi Zen Hei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</si>
  <si>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／二手</t>
    </r>
  </si>
  <si>
    <t xml:space="preserve">這是「全部雲端支出」，不是 GW 單價；「1.25GW」＝(0.6+1.9)/2 線性內插（見 E20，供給側查證.md 第27–31列）。分子 16.3（方法頁）與約值 16.0 並存，見 B 段頁。</t>
  </si>
  <si>
    <r>
      <rPr>
        <sz val="11"/>
        <color theme="1"/>
        <rFont val="Calibri"/>
        <family val="2"/>
        <charset val="1"/>
      </rPr>
      <t xml:space="preserve">Epoch Abilene </t>
    </r>
    <r>
      <rPr>
        <sz val="11"/>
        <color theme="1"/>
        <rFont val="WenQuanYi Zen Hei"/>
        <family val="2"/>
      </rPr>
      <t xml:space="preserve">資本成本</t>
    </r>
  </si>
  <si>
    <t xml:space="preserve">現況（2026-07）：IT power 421MW、H100e 509k、資本成本 $15.9B；預計 2026Q4：843MW、$31.9B。估計值，IT power 未精確定義；晶片估為 B200／B300，Oracle 自 2025-06 交付 GB200。</t>
  </si>
  <si>
    <t xml:space="preserve">https://epoch.ai/data/data-centers/satellite-explorer/OpenAIStargateAbilene</t>
  </si>
  <si>
    <t xml:space="preserve">2026-07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</si>
  <si>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估計）</t>
    </r>
  </si>
  <si>
    <t xml:space="preserve">已找到（原頁讀到）</t>
  </si>
  <si>
    <r>
      <rPr>
        <sz val="11"/>
        <color theme="1"/>
        <rFont val="Calibri"/>
        <family val="2"/>
        <charset val="1"/>
      </rPr>
      <t xml:space="preserve">$15.9B </t>
    </r>
    <r>
      <rPr>
        <sz val="11"/>
        <color theme="1"/>
        <rFont val="WenQuanYi Zen Hei"/>
        <family val="2"/>
      </rPr>
      <t xml:space="preserve">是資本成本，不是年租；與 </t>
    </r>
    <r>
      <rPr>
        <sz val="11"/>
        <color theme="1"/>
        <rFont val="Calibri"/>
        <family val="2"/>
        <charset val="1"/>
      </rPr>
      <t xml:space="preserve">X6a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$16.3B </t>
    </r>
    <r>
      <rPr>
        <sz val="11"/>
        <color theme="1"/>
        <rFont val="WenQuanYi Zen Hei"/>
        <family val="2"/>
      </rPr>
      <t xml:space="preserve">是不同的量，兩者數字相近，需防混淆。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</si>
  <si>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WenQuanYi Zen Hei"/>
        <family val="2"/>
      </rPr>
      <t xml:space="preserve">租價指數</t>
    </r>
  </si>
  <si>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WenQuanYi Zen Hei"/>
        <family val="2"/>
      </rPr>
      <t xml:space="preserve">新雲指數 </t>
    </r>
    <r>
      <rPr>
        <sz val="11"/>
        <color theme="1"/>
        <rFont val="Calibri"/>
        <family val="2"/>
        <charset val="1"/>
      </rPr>
      <t xml:space="preserve">$2.53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；另報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$2.81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Ornn OCPI </t>
    </r>
    <r>
      <rPr>
        <sz val="11"/>
        <color theme="1"/>
        <rFont val="WenQuanYi Zen Hei"/>
        <family val="2"/>
      </rPr>
      <t xml:space="preserve">成交結算 </t>
    </r>
    <r>
      <rPr>
        <sz val="11"/>
        <color theme="1"/>
        <rFont val="Calibri"/>
        <family val="2"/>
        <charset val="1"/>
      </rPr>
      <t xml:space="preserve">H100 SXM $3.15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B200 $9.32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）。報導稱 </t>
    </r>
    <r>
      <rPr>
        <sz val="11"/>
        <color theme="1"/>
        <rFont val="Calibri"/>
        <family val="2"/>
        <charset val="1"/>
      </rPr>
      <t xml:space="preserve">2025-10→2026-03 </t>
    </r>
    <r>
      <rPr>
        <sz val="11"/>
        <color theme="1"/>
        <rFont val="WenQuanYi Zen Hei"/>
        <family val="2"/>
      </rPr>
      <t xml:space="preserve">租價漲約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$1.70→$2.35</t>
    </r>
    <r>
      <rPr>
        <sz val="11"/>
        <color theme="1"/>
        <rFont val="WenQuanYi Zen Hei"/>
        <family val="2"/>
      </rPr>
      <t xml:space="preserve">）。</t>
    </r>
  </si>
  <si>
    <t xml:space="preserve">https://www.silicondata.com/products/silicon-index/h100</t>
  </si>
  <si>
    <t xml:space="preserve">2026-10-22</t>
  </si>
  <si>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價格儀表板未採用（付費牆、且不得為單一來源）。</t>
    </r>
  </si>
  <si>
    <t xml:space="preserve">賣方牌價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</si>
  <si>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HGX H100 $6.16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H200 $6.31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B200 $8.60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NVL72 $10.50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$42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GPU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Lambda H100 $3.29–3.99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B200 $6.69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卡）。</t>
    </r>
  </si>
  <si>
    <t xml:space="preserve">https://www.spheron.network/blog/coreweave-gpu-pricing-2026/</t>
  </si>
  <si>
    <t xml:space="preserve">已找到（彙整部落格）</t>
  </si>
  <si>
    <t xml:space="preserve">牌價非實付價；大客戶多年約不付牌價。</t>
  </si>
  <si>
    <t xml:space="preserve">預留價彙整</t>
  </si>
  <si>
    <r>
      <rPr>
        <sz val="11"/>
        <color theme="1"/>
        <rFont val="Calibri"/>
        <family val="2"/>
        <charset val="1"/>
      </rPr>
      <t xml:space="preserve">Bitdeer GB200 3 </t>
    </r>
    <r>
      <rPr>
        <sz val="11"/>
        <color theme="1"/>
        <rFont val="WenQuanYi Zen Hei"/>
        <family val="2"/>
      </rPr>
      <t xml:space="preserve">年預留從 </t>
    </r>
    <r>
      <rPr>
        <sz val="11"/>
        <color theme="1"/>
        <rFont val="Calibri"/>
        <family val="2"/>
        <charset val="1"/>
      </rPr>
      <t xml:space="preserve">$5.00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$6.04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STN GB300 3 </t>
    </r>
    <r>
      <rPr>
        <sz val="11"/>
        <color theme="1"/>
        <rFont val="WenQuanYi Zen Hei"/>
        <family val="2"/>
      </rPr>
      <t xml:space="preserve">年預留從 </t>
    </r>
    <r>
      <rPr>
        <sz val="11"/>
        <color theme="1"/>
        <rFont val="Calibri"/>
        <family val="2"/>
        <charset val="1"/>
      </rPr>
      <t xml:space="preserve">$7.15</t>
    </r>
    <r>
      <rPr>
        <sz val="11"/>
        <color theme="1"/>
        <rFont val="WenQuanYi Zen Hei"/>
        <family val="2"/>
      </rPr>
      <t xml:space="preserve">；彙整站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雲價從 </t>
    </r>
    <r>
      <rPr>
        <sz val="11"/>
        <color theme="1"/>
        <rFont val="Calibri"/>
        <family val="2"/>
        <charset val="1"/>
      </rPr>
      <t xml:space="preserve">$6.50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Oct 2026</t>
    </r>
    <r>
      <rPr>
        <sz val="11"/>
        <color theme="1"/>
        <rFont val="WenQuanYi Zen Hei"/>
        <family val="2"/>
      </rPr>
      <t xml:space="preserve">）。</t>
    </r>
  </si>
  <si>
    <t xml:space="preserve">https://www.amcompute.com/gpu-cloud-prices/gb200</t>
  </si>
  <si>
    <t xml:space="preserve">2026-10</t>
  </si>
  <si>
    <t xml:space="preserve">已找到（單一彙整站）</t>
  </si>
  <si>
    <t xml:space="preserve">與 IREN／Nscale 隱含的 $2.3–2.7 差 2–3 倍：零售與批發不同層。</t>
  </si>
  <si>
    <r>
      <rPr>
        <sz val="11"/>
        <color theme="1"/>
        <rFont val="Calibri"/>
        <family val="2"/>
        <charset val="1"/>
      </rPr>
      <t xml:space="preserve">Nscale–Microsoft Narvik </t>
    </r>
    <r>
      <rPr>
        <sz val="11"/>
        <color theme="1"/>
        <rFont val="WenQuanYi Zen Hei"/>
        <family val="2"/>
      </rPr>
      <t xml:space="preserve">隱含價</t>
    </r>
  </si>
  <si>
    <r>
      <rPr>
        <sz val="11"/>
        <color theme="1"/>
        <rFont val="Calibri"/>
        <family val="2"/>
        <charset val="1"/>
      </rPr>
      <t xml:space="preserve">$6.2B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年／約 </t>
    </r>
    <r>
      <rPr>
        <sz val="11"/>
        <color theme="1"/>
        <rFont val="Calibri"/>
        <family val="2"/>
        <charset val="1"/>
      </rPr>
      <t xml:space="preserve">52,000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 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$2.72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（第三方推算）。</t>
    </r>
  </si>
  <si>
    <t xml:space="preserve">https://cvresearch.substack.com/p/nscale-deep-dive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</si>
  <si>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（單一第二手）</t>
    </r>
  </si>
  <si>
    <t xml:space="preserve">不入分布，僅作旁證。</t>
  </si>
  <si>
    <t xml:space="preserve">E15</t>
  </si>
  <si>
    <t xml:space="preserve">未找到：OpenAI 向 Microsoft 的每 GPU 小時實付價</t>
  </si>
  <si>
    <t xml:space="preserve">已搜尋（沿用 20261020_回本側證據A段 筆記），未找到公開報導。≠ 不存在。</t>
  </si>
  <si>
    <r>
      <rPr>
        <sz val="11"/>
        <color theme="1"/>
        <rFont val="Calibri"/>
        <family val="2"/>
        <charset val="1"/>
      </rPr>
      <t xml:space="preserve">docs/reports/20261020_</t>
    </r>
    <r>
      <rPr>
        <sz val="11"/>
        <color theme="1"/>
        <rFont val="WenQuanYi Zen Hei"/>
        <family val="2"/>
      </rPr>
      <t xml:space="preserve">回本側證據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查證筆記</t>
    </r>
    <r>
      <rPr>
        <sz val="11"/>
        <color theme="1"/>
        <rFont val="Calibri"/>
        <family val="2"/>
        <charset val="1"/>
      </rPr>
      <t xml:space="preserve">.md</t>
    </r>
  </si>
  <si>
    <t xml:space="preserve">2026-10-20</t>
  </si>
  <si>
    <t xml:space="preserve">已搜尋，未找到</t>
  </si>
  <si>
    <t xml:space="preserve">E16</t>
  </si>
  <si>
    <t xml:space="preserve">未找到：Hopper／GB200 世代的容量與金額同時揭露的合約</t>
  </si>
  <si>
    <t xml:space="preserve">沿用 20261020 筆記：找不到。</t>
  </si>
  <si>
    <t xml:space="preserve">E17</t>
  </si>
  <si>
    <t xml:space="preserve">未找到：Epoch「160 億 ÷ 1.25GW」的原始出處</t>
  </si>
  <si>
    <t xml:space="preserve">原本未找到「1.25GW」出處。B 段已由 chat 端提供：1.25＝OpenAI 財務長揭露 2024、2025 年底上線 GW（0.6、1.9）的線性內插，見 E20。</t>
  </si>
  <si>
    <t xml:space="preserve">2026-10-23</t>
  </si>
  <si>
    <t xml:space="preserve">已解決（B 段）：1.25＝(0.6+1.9)/2 內插，見 E20</t>
  </si>
  <si>
    <t xml:space="preserve">已解決</t>
  </si>
  <si>
    <t xml:space="preserve">E18</t>
  </si>
  <si>
    <t xml:space="preserve">環境限制</t>
  </si>
  <si>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businesswire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網站、</t>
    </r>
    <r>
      <rPr>
        <sz val="11"/>
        <color theme="1"/>
        <rFont val="Calibri"/>
        <family val="2"/>
        <charset val="1"/>
      </rPr>
      <t xml:space="preserve">rcrwireless </t>
    </r>
    <r>
      <rPr>
        <sz val="11"/>
        <color theme="1"/>
        <rFont val="WenQuanYi Zen Hei"/>
        <family val="2"/>
      </rPr>
      <t xml:space="preserve">等直接抓取 </t>
    </r>
    <r>
      <rPr>
        <sz val="11"/>
        <color theme="1"/>
        <rFont val="Calibri"/>
        <family val="2"/>
        <charset val="1"/>
      </rPr>
      <t xml:space="preserve">ENOTFOUND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proxy</t>
    </r>
    <r>
      <rPr>
        <sz val="11"/>
        <color theme="1"/>
        <rFont val="WenQuanYi Zen Hei"/>
        <family val="2"/>
      </rPr>
      <t xml:space="preserve">）；僅 </t>
    </r>
    <r>
      <rPr>
        <sz val="11"/>
        <color theme="1"/>
        <rFont val="Calibri"/>
        <family val="2"/>
        <charset val="1"/>
      </rPr>
      <t xml:space="preserve">epoch.ai </t>
    </r>
    <r>
      <rPr>
        <sz val="11"/>
        <color theme="1"/>
        <rFont val="WenQuanYi Zen Hei"/>
        <family val="2"/>
      </rPr>
      <t xml:space="preserve">可抓。所有其他數字來自搜尋摘要，建議人工開原頁複核關鍵數字（</t>
    </r>
    <r>
      <rPr>
        <sz val="11"/>
        <color theme="1"/>
        <rFont val="Calibri"/>
        <family val="2"/>
        <charset val="1"/>
      </rPr>
      <t xml:space="preserve">E1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E7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</si>
  <si>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Oracle–OpenAI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版本）</t>
    </r>
  </si>
  <si>
    <r>
      <rPr>
        <sz val="11"/>
        <color theme="1"/>
        <rFont val="Calibri"/>
        <family val="2"/>
        <charset val="1"/>
      </rPr>
      <t xml:space="preserve">The Register 2025-09-11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"$300 billion ... five gigawatts ... over the course of five years ... begin in 2027"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口徑未明。</t>
    </r>
  </si>
  <si>
    <t xml:space="preserve">https://www.theregister.com/2025/09/11/openai_reportedly_on_the_hook/</t>
  </si>
  <si>
    <r>
      <rPr>
        <sz val="11"/>
        <color theme="1"/>
        <rFont val="Calibri"/>
        <family val="2"/>
        <charset val="1"/>
      </rPr>
      <t xml:space="preserve">2025-09-11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端提供）</t>
    </r>
  </si>
  <si>
    <r>
      <rPr>
        <sz val="11"/>
        <color theme="1"/>
        <rFont val="WenQuanYi Zen Hei"/>
        <family val="2"/>
      </rPr>
      <t xml:space="preserve">已找到（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端）</t>
    </r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</si>
  <si>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E8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版本並列於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</t>
    </r>
  </si>
  <si>
    <t xml:space="preserve">E20</t>
  </si>
  <si>
    <r>
      <rPr>
        <sz val="11"/>
        <color theme="1"/>
        <rFont val="Calibri"/>
        <family val="2"/>
        <charset val="1"/>
      </rPr>
      <t xml:space="preserve">Epoch 12.8 </t>
    </r>
    <r>
      <rPr>
        <sz val="11"/>
        <color theme="1"/>
        <rFont val="WenQuanYi Zen Hei"/>
        <family val="2"/>
      </rPr>
      <t xml:space="preserve">的算式</t>
    </r>
  </si>
  <si>
    <r>
      <rPr>
        <sz val="11"/>
        <color theme="1"/>
        <rFont val="Calibri"/>
        <family val="2"/>
        <charset val="1"/>
      </rPr>
      <t xml:space="preserve">$16.0B</t>
    </r>
    <r>
      <rPr>
        <sz val="11"/>
        <color theme="1"/>
        <rFont val="WenQuanYi Zen Hei"/>
        <family val="2"/>
      </rPr>
      <t xml:space="preserve">（約值；方法頁為 </t>
    </r>
    <r>
      <rPr>
        <sz val="11"/>
        <color theme="1"/>
        <rFont val="Calibri"/>
        <family val="2"/>
        <charset val="1"/>
      </rPr>
      <t xml:space="preserve">16.3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÷ 1.25 GW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(0.6+1.9)/2</t>
    </r>
    <r>
      <rPr>
        <sz val="11"/>
        <color theme="1"/>
        <rFont val="WenQuanYi Zen Hei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財務長揭露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的線性內插；指數內插 </t>
    </r>
    <r>
      <rPr>
        <sz val="11"/>
        <color theme="1"/>
        <rFont val="Calibri"/>
        <family val="2"/>
        <charset val="1"/>
      </rPr>
      <t xml:space="preserve">1.13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</si>
  <si>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docs/evidence/20261021_token</t>
    </r>
    <r>
      <rPr>
        <sz val="11"/>
        <color theme="1"/>
        <rFont val="WenQuanYi Zen Hei"/>
        <family val="2"/>
      </rPr>
      <t xml:space="preserve">帳閉合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供給側查證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WenQuanYi Zen Hei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27–31</t>
    </r>
    <r>
      <rPr>
        <sz val="11"/>
        <color theme="1"/>
        <rFont val="WenQuanYi Zen Hei"/>
        <family val="2"/>
      </rPr>
      <t xml:space="preserve">列）</t>
    </r>
  </si>
  <si>
    <t xml:space="preserve">2026-10-21</t>
  </si>
  <si>
    <r>
      <rPr>
        <sz val="11"/>
        <color theme="1"/>
        <rFont val="WenQuanYi Zen Hei"/>
        <family val="2"/>
      </rPr>
      <t xml:space="preserve">官方（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端點）＋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</si>
  <si>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揭露的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，是內插值；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段「出處未知」更正為此</t>
    </r>
  </si>
  <si>
    <t xml:space="preserve">E21</t>
  </si>
  <si>
    <r>
      <rPr>
        <sz val="11"/>
        <color theme="1"/>
        <rFont val="Calibri"/>
        <family val="2"/>
        <charset val="1"/>
      </rPr>
      <t xml:space="preserve">IREN 8-K </t>
    </r>
    <r>
      <rPr>
        <sz val="11"/>
        <color theme="1"/>
        <rFont val="WenQuanYi Zen Hei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99-1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99-2</t>
    </r>
    <r>
      <rPr>
        <sz val="11"/>
        <color theme="1"/>
        <rFont val="WenQuanYi Zen Hei"/>
        <family val="2"/>
      </rPr>
      <t xml:space="preserve">（原文）</t>
    </r>
  </si>
  <si>
    <r>
      <rPr>
        <sz val="11"/>
        <color theme="1"/>
        <rFont val="Calibri"/>
        <family val="2"/>
        <charset val="1"/>
      </rPr>
      <t xml:space="preserve">$9.7B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預付款（抵第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WenQuanYi Zen Hei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200MW critical IT load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與周邊 </t>
    </r>
    <r>
      <rPr>
        <sz val="11"/>
        <color theme="1"/>
        <rFont val="Calibri"/>
        <family val="2"/>
        <charset val="1"/>
      </rPr>
      <t xml:space="preserve">capex $5.8B</t>
    </r>
    <r>
      <rPr>
        <sz val="11"/>
        <color theme="1"/>
        <rFont val="WenQuanYi Zen Hei"/>
        <family val="2"/>
      </rPr>
      <t xml:space="preserve">（含部署、伺服器、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WenQuanYi Zen Hei"/>
        <family val="2"/>
      </rPr>
      <t xml:space="preserve">、線材、軟體授權）；每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capex $14–16M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口徑）＝資料中心本體 </t>
    </r>
    <r>
      <rPr>
        <sz val="11"/>
        <color theme="1"/>
        <rFont val="Calibri"/>
        <family val="2"/>
        <charset val="1"/>
      </rPr>
      <t xml:space="preserve">9–11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WenQuanYi Zen Hei"/>
        <family val="2"/>
      </rPr>
      <t xml:space="preserve">超級叢集架構部署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＋加速費用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；年化營收 </t>
    </r>
    <r>
      <rPr>
        <sz val="11"/>
        <color theme="1"/>
        <rFont val="Calibri"/>
        <family val="2"/>
        <charset val="1"/>
      </rPr>
      <t xml:space="preserve">$1.94B</t>
    </r>
    <r>
      <rPr>
        <sz val="11"/>
        <color theme="1"/>
        <rFont val="WenQuanYi Zen Hei"/>
        <family val="2"/>
      </rPr>
      <t xml:space="preserve">；專案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WenQuanYi Zen Hei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WenQuanYi Zen Hei"/>
        <family val="2"/>
      </rPr>
      <t xml:space="preserve">（扣電費、維修、其他直接營運費後；扣企業管理費、財務費用、非現金項目前）。</t>
    </r>
  </si>
  <si>
    <r>
      <rPr>
        <sz val="11"/>
        <color theme="1"/>
        <rFont val="Calibri"/>
        <family val="2"/>
        <charset val="1"/>
      </rPr>
      <t xml:space="preserve">sec.gov/Archives/edgar/data/1878848/000114036125040072/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ex99-1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ex99-2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</si>
  <si>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</si>
  <si>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（原文）；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</si>
  <si>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已找到（原文）</t>
  </si>
  <si>
    <r>
      <rPr>
        <sz val="11"/>
        <color theme="1"/>
        <rFont val="WenQuanYi Zen Hei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E2 </t>
    </r>
    <r>
      <rPr>
        <sz val="11"/>
        <color theme="1"/>
        <rFont val="WenQuanYi Zen Hei"/>
        <family val="2"/>
      </rPr>
      <t xml:space="preserve">的二手摘要；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段把 </t>
    </r>
    <r>
      <rPr>
        <sz val="11"/>
        <color theme="1"/>
        <rFont val="Calibri"/>
        <family val="2"/>
        <charset val="1"/>
      </rPr>
      <t xml:space="preserve">14–16 </t>
    </r>
    <r>
      <rPr>
        <sz val="11"/>
        <color theme="1"/>
        <rFont val="WenQuanYi Zen Hei"/>
        <family val="2"/>
      </rPr>
      <t xml:space="preserve">當「資料中心基礎設施」是誤讀，見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節</t>
    </r>
  </si>
  <si>
    <t xml:space="preserve">E22</t>
  </si>
  <si>
    <r>
      <rPr>
        <sz val="11"/>
        <color theme="1"/>
        <rFont val="Calibri"/>
        <family val="2"/>
        <charset val="1"/>
      </rPr>
      <t xml:space="preserve">CoreWeave 2026Q2 10-Q</t>
    </r>
    <r>
      <rPr>
        <sz val="11"/>
        <color theme="1"/>
        <rFont val="WenQuanYi Zen Hei"/>
        <family val="2"/>
      </rPr>
      <t xml:space="preserve">（部分）</t>
    </r>
  </si>
  <si>
    <r>
      <rPr>
        <sz val="11"/>
        <color theme="1"/>
        <rFont val="WenQuanYi Zen Hei"/>
        <family val="2"/>
      </rPr>
      <t xml:space="preserve">季營收 </t>
    </r>
    <r>
      <rPr>
        <sz val="11"/>
        <color theme="1"/>
        <rFont val="Calibri"/>
        <family val="2"/>
        <charset val="1"/>
      </rPr>
      <t xml:space="preserve">2,575</t>
    </r>
    <r>
      <rPr>
        <sz val="11"/>
        <color theme="1"/>
        <rFont val="WenQuanYi Zen Hei"/>
        <family val="2"/>
      </rPr>
      <t xml:space="preserve">、營業成本 </t>
    </r>
    <r>
      <rPr>
        <sz val="11"/>
        <color theme="1"/>
        <rFont val="Calibri"/>
        <family val="2"/>
        <charset val="1"/>
      </rPr>
      <t xml:space="preserve">879</t>
    </r>
    <r>
      <rPr>
        <sz val="11"/>
        <color theme="1"/>
        <rFont val="WenQuanYi Zen Hei"/>
        <family val="2"/>
      </rPr>
      <t xml:space="preserve">、技術與基礎設施 </t>
    </r>
    <r>
      <rPr>
        <sz val="11"/>
        <color theme="1"/>
        <rFont val="Calibri"/>
        <family val="2"/>
        <charset val="1"/>
      </rPr>
      <t xml:space="preserve">1,507</t>
    </r>
    <r>
      <rPr>
        <sz val="11"/>
        <color theme="1"/>
        <rFont val="WenQuanYi Zen Hei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WenQuanYi Zen Hei"/>
        <family val="2"/>
      </rPr>
      <t xml:space="preserve">（百萬美元）；</t>
    </r>
    <r>
      <rPr>
        <sz val="11"/>
        <color theme="1"/>
        <rFont val="Calibri"/>
        <family val="2"/>
        <charset val="1"/>
      </rPr>
      <t xml:space="preserve">RPO 1,037 </t>
    </r>
    <r>
      <rPr>
        <sz val="11"/>
        <color theme="1"/>
        <rFont val="WenQuanYi Zen Hei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41%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個月內認列。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</si>
  <si>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端提供（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部分）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</si>
  <si>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（公司申報）</t>
    </r>
  </si>
  <si>
    <t xml:space="preserve">部分</t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</si>
  <si>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耐用年限、債務利率待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全文（</t>
    </r>
    <r>
      <rPr>
        <sz val="11"/>
        <color theme="1"/>
        <rFont val="Calibri"/>
        <family val="2"/>
        <charset val="1"/>
      </rPr>
      <t xml:space="preserve">Drive inbox</t>
    </r>
    <r>
      <rPr>
        <sz val="11"/>
        <color theme="1"/>
        <rFont val="WenQuanYi Zen Hei"/>
        <family val="2"/>
      </rPr>
      <t xml:space="preserve">）｜已補：</t>
    </r>
    <r>
      <rPr>
        <sz val="11"/>
        <color theme="1"/>
        <rFont val="Calibri"/>
        <family val="2"/>
        <charset val="1"/>
      </rPr>
      <t xml:space="preserve">E26</t>
    </r>
    <r>
      <rPr>
        <sz val="11"/>
        <color theme="1"/>
        <rFont val="WenQuanYi Zen Hei"/>
        <family val="2"/>
      </rPr>
      <t xml:space="preserve">（債務、損益、客戶）；仍缺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只讀前約 </t>
    </r>
    <r>
      <rPr>
        <sz val="11"/>
        <color theme="1"/>
        <rFont val="Calibri"/>
        <family val="2"/>
        <charset val="1"/>
      </rPr>
      <t xml:space="preserve">80/181 </t>
    </r>
    <r>
      <rPr>
        <sz val="11"/>
        <color theme="1"/>
        <rFont val="WenQuanYi Zen Hei"/>
        <family val="2"/>
      </rPr>
      <t xml:space="preserve">頁）</t>
    </r>
  </si>
  <si>
    <t xml:space="preserve">E23</t>
  </si>
  <si>
    <t xml:space="preserve">Nebius 2026Q2 6-K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</si>
  <si>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582.3</t>
    </r>
    <r>
      <rPr>
        <sz val="11"/>
        <color theme="1"/>
        <rFont val="WenQuanYi Zen Hei"/>
        <family val="2"/>
      </rPr>
      <t xml:space="preserve">、營業成本 </t>
    </r>
    <r>
      <rPr>
        <sz val="11"/>
        <color theme="1"/>
        <rFont val="Calibri"/>
        <family val="2"/>
        <charset val="1"/>
      </rPr>
      <t xml:space="preserve">133.6</t>
    </r>
    <r>
      <rPr>
        <sz val="11"/>
        <color theme="1"/>
        <rFont val="WenQuanYi Zen Hei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259.7</t>
    </r>
    <r>
      <rPr>
        <sz val="11"/>
        <color theme="1"/>
        <rFont val="WenQuanYi Zen Hei"/>
        <family val="2"/>
      </rPr>
      <t xml:space="preserve">（百萬美元）；伺服器與網路設備耐用年限 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WenQuanYi Zen Hei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4→5 </t>
    </r>
    <r>
      <rPr>
        <sz val="11"/>
        <color theme="1"/>
        <rFont val="WenQuanYi Zen Hei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定義未揭露。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</si>
  <si>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端提供</t>
    </r>
  </si>
  <si>
    <r>
      <rPr>
        <sz val="11"/>
        <color theme="1"/>
        <rFont val="WenQuanYi Zen Hei"/>
        <family val="2"/>
      </rPr>
      <t xml:space="preserve">已找到；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定義已搜尋，未找到</t>
    </r>
  </si>
  <si>
    <t xml:space="preserve">E24</t>
  </si>
  <si>
    <r>
      <rPr>
        <sz val="11"/>
        <color theme="1"/>
        <rFont val="Calibri"/>
        <family val="2"/>
        <charset val="1"/>
      </rPr>
      <t xml:space="preserve">CoreWeave active power 2026Q1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</si>
  <si>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：營收約 </t>
    </r>
    <r>
      <rPr>
        <sz val="11"/>
        <color theme="1"/>
        <rFont val="Calibri"/>
        <family val="2"/>
        <charset val="1"/>
      </rPr>
      <t xml:space="preserve">$2.08B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突破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 &gt;3.5GW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增近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月底）、</t>
    </r>
    <r>
      <rPr>
        <sz val="11"/>
        <color theme="1"/>
        <rFont val="Calibri"/>
        <family val="2"/>
        <charset val="1"/>
      </rPr>
      <t xml:space="preserve">4.2GW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backlog $104.2B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</si>
  <si>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https://www.businesswire.com/news/home/20260507558197/en/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新聞稿（搜尋摘要）</t>
    </r>
  </si>
  <si>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08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</si>
  <si>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（公司揭露，二手摘要）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</si>
  <si>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WenQuanYi Zen Hei"/>
        <family val="2"/>
      </rPr>
      <t xml:space="preserve">是反推；口徑未明</t>
    </r>
  </si>
  <si>
    <t xml:space="preserve">E25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</si>
  <si>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營業成本與推論數字</t>
    </r>
  </si>
  <si>
    <r>
      <rPr>
        <sz val="11"/>
        <color theme="1"/>
        <rFont val="WenQuanYi Zen Hei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億；推論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WenQuanYi Zen Hei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轉述，另 </t>
    </r>
    <r>
      <rPr>
        <sz val="11"/>
        <color theme="1"/>
        <rFont val="Calibri"/>
        <family val="2"/>
        <charset val="1"/>
      </rPr>
      <t xml:space="preserve">Sacra</t>
    </r>
    <r>
      <rPr>
        <sz val="11"/>
        <color theme="1"/>
        <rFont val="WenQuanYi Zen Hei"/>
        <family val="2"/>
      </rPr>
      <t xml:space="preserve">）；兩者不可能同口徑。</t>
    </r>
  </si>
  <si>
    <r>
      <rPr>
        <sz val="11"/>
        <color theme="1"/>
        <rFont val="Calibri"/>
        <family val="2"/>
        <charset val="1"/>
      </rPr>
      <t xml:space="preserve">docs/reports/20261020_</t>
    </r>
    <r>
      <rPr>
        <sz val="11"/>
        <color theme="1"/>
        <rFont val="WenQuanYi Zen Hei"/>
        <family val="2"/>
      </rPr>
      <t xml:space="preserve">回本側證據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查證筆記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WenQuanYi Zen Hei"/>
        <family val="2"/>
      </rPr>
      <t xml:space="preserve">（任務</t>
    </r>
    <r>
      <rPr>
        <sz val="11"/>
        <color theme="1"/>
        <rFont val="Calibri"/>
        <family val="2"/>
        <charset val="1"/>
      </rPr>
      <t xml:space="preserve">2 §2.1–2.2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</si>
  <si>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引自既有筆記；來源為 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WenQuanYi Zen Hei"/>
        <family val="2"/>
      </rPr>
      <t xml:space="preserve">取得文件與 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轉述</t>
    </r>
  </si>
  <si>
    <t xml:space="preserve">E26</t>
  </si>
  <si>
    <r>
      <rPr>
        <sz val="11"/>
        <color theme="1"/>
        <rFont val="Calibri"/>
        <family val="2"/>
        <charset val="1"/>
      </rPr>
      <t xml:space="preserve">CoreWeave 2026Q2 10-Q </t>
    </r>
    <r>
      <rPr>
        <sz val="11"/>
        <color theme="1"/>
        <rFont val="WenQuanYi Zen Hei"/>
        <family val="2"/>
      </rPr>
      <t xml:space="preserve">續（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端由 </t>
    </r>
    <r>
      <rPr>
        <sz val="11"/>
        <color theme="1"/>
        <rFont val="Calibri"/>
        <family val="2"/>
        <charset val="1"/>
      </rPr>
      <t xml:space="preserve">Drive PDF </t>
    </r>
    <r>
      <rPr>
        <sz val="11"/>
        <color theme="1"/>
        <rFont val="WenQuanYi Zen Hei"/>
        <family val="2"/>
      </rPr>
      <t xml:space="preserve">讀取；僅讀前約 </t>
    </r>
    <r>
      <rPr>
        <sz val="11"/>
        <color theme="1"/>
        <rFont val="Calibri"/>
        <family val="2"/>
        <charset val="1"/>
      </rPr>
      <t xml:space="preserve">80/181 </t>
    </r>
    <r>
      <rPr>
        <sz val="11"/>
        <color theme="1"/>
        <rFont val="WenQuanYi Zen Hei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</si>
  <si>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(1) active power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contracted power </t>
    </r>
    <r>
      <rPr>
        <sz val="11"/>
        <color theme="1"/>
        <rFont val="WenQuanYi Zen Hei"/>
        <family val="2"/>
      </rPr>
      <t xml:space="preserve">在已讀範圍內未找到定義與數值；租約附註只有站點電力：</t>
    </r>
    <r>
      <rPr>
        <sz val="11"/>
        <color theme="1"/>
        <rFont val="Calibri"/>
        <family val="2"/>
        <charset val="1"/>
      </rPr>
      <t xml:space="preserve">393MW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355MW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交付）、</t>
    </r>
    <r>
      <rPr>
        <sz val="11"/>
        <color theme="1"/>
        <rFont val="Calibri"/>
        <family val="2"/>
        <charset val="1"/>
      </rPr>
      <t xml:space="preserve">DCSP </t>
    </r>
    <r>
      <rPr>
        <sz val="11"/>
        <color theme="1"/>
        <rFont val="WenQuanYi Zen Hei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78MW</t>
    </r>
    <r>
      <rPr>
        <sz val="11"/>
        <color theme="1"/>
        <rFont val="WenQuanYi Zen Hei"/>
        <family val="2"/>
      </rPr>
      <t xml:space="preserve">，只寫 </t>
    </r>
    <r>
      <rPr>
        <sz val="11"/>
        <color theme="1"/>
        <rFont val="Calibri"/>
        <family val="2"/>
        <charset val="1"/>
      </rPr>
      <t xml:space="preserve">electrical power</t>
    </r>
    <r>
      <rPr>
        <sz val="11"/>
        <color theme="1"/>
        <rFont val="WenQuanYi Zen Hei"/>
        <family val="2"/>
      </rPr>
      <t xml:space="preserve">，未標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gross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GPU </t>
    </r>
    <r>
      <rPr>
        <sz val="11"/>
        <color theme="1"/>
        <rFont val="WenQuanYi Zen Hei"/>
        <family val="2"/>
      </rPr>
      <t xml:space="preserve">耐用年限未找到（附註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空白）。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6/30/26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12/31/25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Technology equipment 33,823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20,903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center equipment &amp; leasehold 5,997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CIP 11,918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9,376</t>
    </r>
    <r>
      <rPr>
        <sz val="11"/>
        <color theme="1"/>
        <rFont val="WenQuanYi Zen Hei"/>
        <family val="2"/>
      </rPr>
      <t xml:space="preserve">；淨額 </t>
    </r>
    <r>
      <rPr>
        <sz val="11"/>
        <color theme="1"/>
        <rFont val="Calibri"/>
        <family val="2"/>
        <charset val="1"/>
      </rPr>
      <t xml:space="preserve">46,736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30,557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$1.4B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WenQuanYi Zen Hei"/>
        <family val="2"/>
      </rPr>
      <t xml:space="preserve">債務 </t>
    </r>
    <r>
      <rPr>
        <sz val="11"/>
        <color theme="1"/>
        <rFont val="Calibri"/>
        <family val="2"/>
        <charset val="1"/>
      </rPr>
      <t xml:space="preserve">Note 10 </t>
    </r>
    <r>
      <rPr>
        <sz val="11"/>
        <color theme="1"/>
        <rFont val="WenQuanYi Zen Hei"/>
        <family val="2"/>
      </rPr>
      <t xml:space="preserve">有效利率與餘額：見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列；原文唯一加權平均：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WenQuanYi Zen Hei"/>
        <family val="2"/>
      </rPr>
      <t xml:space="preserve">短期工具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DDTL 4.0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SOFR+2.25%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Treasury+2.00%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DDTL 5.0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SOFR+4.50%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WenQuanYi Zen Hei"/>
        <family val="2"/>
      </rPr>
      <t xml:space="preserve">損益：營收 </t>
    </r>
    <r>
      <rPr>
        <sz val="11"/>
        <color theme="1"/>
        <rFont val="Calibri"/>
        <family val="2"/>
        <charset val="1"/>
      </rPr>
      <t xml:space="preserve">2,575</t>
    </r>
    <r>
      <rPr>
        <sz val="11"/>
        <color theme="1"/>
        <rFont val="WenQuanYi Zen Hei"/>
        <family val="2"/>
      </rPr>
      <t xml:space="preserve">；營業成本 </t>
    </r>
    <r>
      <rPr>
        <sz val="11"/>
        <color theme="1"/>
        <rFont val="Calibri"/>
        <family val="2"/>
        <charset val="1"/>
      </rPr>
      <t xml:space="preserve">879</t>
    </r>
    <r>
      <rPr>
        <sz val="11"/>
        <color theme="1"/>
        <rFont val="WenQuanYi Zen Hei"/>
        <family val="2"/>
      </rPr>
      <t xml:space="preserve">（含資料中心租金、電力、電力系統折舊；增加額中租金約 </t>
    </r>
    <r>
      <rPr>
        <sz val="11"/>
        <color theme="1"/>
        <rFont val="Calibri"/>
        <family val="2"/>
        <charset val="1"/>
      </rPr>
      <t xml:space="preserve">+335</t>
    </r>
    <r>
      <rPr>
        <sz val="11"/>
        <color theme="1"/>
        <rFont val="WenQuanYi Zen Hei"/>
        <family val="2"/>
      </rPr>
      <t xml:space="preserve">、電力約 </t>
    </r>
    <r>
      <rPr>
        <sz val="11"/>
        <color theme="1"/>
        <rFont val="Calibri"/>
        <family val="2"/>
        <charset val="1"/>
      </rPr>
      <t xml:space="preserve">+87</t>
    </r>
    <r>
      <rPr>
        <sz val="11"/>
        <color theme="1"/>
        <rFont val="WenQuanYi Zen Hei"/>
        <family val="2"/>
      </rPr>
      <t xml:space="preserve">、電力系統折舊約 </t>
    </r>
    <r>
      <rPr>
        <sz val="11"/>
        <color theme="1"/>
        <rFont val="Calibri"/>
        <family val="2"/>
        <charset val="1"/>
      </rPr>
      <t xml:space="preserve">+79</t>
    </r>
    <r>
      <rPr>
        <sz val="11"/>
        <color theme="1"/>
        <rFont val="WenQuanYi Zen Hei"/>
        <family val="2"/>
      </rPr>
      <t xml:space="preserve">）；技術與基礎設施 </t>
    </r>
    <r>
      <rPr>
        <sz val="11"/>
        <color theme="1"/>
        <rFont val="Calibri"/>
        <family val="2"/>
        <charset val="1"/>
      </rPr>
      <t xml:space="preserve">1,507</t>
    </r>
    <r>
      <rPr>
        <sz val="11"/>
        <color theme="1"/>
        <rFont val="WenQuanYi Zen Hei"/>
        <family val="2"/>
      </rPr>
      <t xml:space="preserve">（折舊約 </t>
    </r>
    <r>
      <rPr>
        <sz val="11"/>
        <color theme="1"/>
        <rFont val="Calibri"/>
        <family val="2"/>
        <charset val="1"/>
      </rPr>
      <t xml:space="preserve">1,300</t>
    </r>
    <r>
      <rPr>
        <sz val="11"/>
        <color theme="1"/>
        <rFont val="WenQuanYi Zen Hei"/>
        <family val="2"/>
      </rPr>
      <t xml:space="preserve">）；營業損失 </t>
    </r>
    <r>
      <rPr>
        <sz val="11"/>
        <color theme="1"/>
        <rFont val="Calibri"/>
        <family val="2"/>
        <charset val="1"/>
      </rPr>
      <t xml:space="preserve">(49)</t>
    </r>
    <r>
      <rPr>
        <sz val="11"/>
        <color theme="1"/>
        <rFont val="WenQuanYi Zen Hei"/>
        <family val="2"/>
      </rPr>
      <t xml:space="preserve">；利息費用淨額 </t>
    </r>
    <r>
      <rPr>
        <sz val="11"/>
        <color theme="1"/>
        <rFont val="Calibri"/>
        <family val="2"/>
        <charset val="1"/>
      </rPr>
      <t xml:space="preserve">(640)</t>
    </r>
    <r>
      <rPr>
        <sz val="11"/>
        <color theme="1"/>
        <rFont val="WenQuanYi Zen Hei"/>
        <family val="2"/>
      </rPr>
      <t xml:space="preserve">；淨損 </t>
    </r>
    <r>
      <rPr>
        <sz val="11"/>
        <color theme="1"/>
        <rFont val="Calibri"/>
        <family val="2"/>
        <charset val="1"/>
      </rPr>
      <t xml:space="preserve">(626)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WenQuanYi Zen Hei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A 36%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98% </t>
    </r>
    <r>
      <rPr>
        <sz val="11"/>
        <color theme="1"/>
        <rFont val="WenQuanYi Zen Hei"/>
        <family val="2"/>
      </rPr>
      <t xml:space="preserve">營收來自承諾合約；</t>
    </r>
    <r>
      <rPr>
        <sz val="11"/>
        <color theme="1"/>
        <rFont val="Calibri"/>
        <family val="2"/>
        <charset val="1"/>
      </rPr>
      <t xml:space="preserve">RPO $103.7B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41%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個月內、</t>
    </r>
    <r>
      <rPr>
        <sz val="11"/>
        <color theme="1"/>
        <rFont val="Calibri"/>
        <family val="2"/>
        <charset val="1"/>
      </rPr>
      <t xml:space="preserve">39%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25–48 </t>
    </r>
    <r>
      <rPr>
        <sz val="11"/>
        <color theme="1"/>
        <rFont val="WenQuanYi Zen Hei"/>
        <family val="2"/>
      </rPr>
      <t xml:space="preserve">個月）；加權平均合約期間未找到；資料中心租約期 </t>
    </r>
    <r>
      <rPr>
        <sz val="11"/>
        <color theme="1"/>
        <rFont val="Calibri"/>
        <family val="2"/>
        <charset val="1"/>
      </rPr>
      <t xml:space="preserve">5–15 </t>
    </r>
    <r>
      <rPr>
        <sz val="11"/>
        <color theme="1"/>
        <rFont val="WenQuanYi Zen Hei"/>
        <family val="2"/>
      </rPr>
      <t xml:space="preserve">年。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</si>
  <si>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WenQuanYi Zen Hei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/Tokenomics/inbox/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PDF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</si>
  <si>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（公司申報）；加權平均為 </t>
    </r>
    <r>
      <rPr>
        <sz val="11"/>
        <color theme="1"/>
        <rFont val="Calibri"/>
        <family val="2"/>
        <charset val="1"/>
      </rPr>
      <t xml:space="preserve">Derived</t>
    </r>
  </si>
  <si>
    <t xml:space="preserve">部分（後半未讀到）</t>
  </si>
  <si>
    <r>
      <rPr>
        <sz val="11"/>
        <color theme="1"/>
        <rFont val="WenQuanYi Zen Hei"/>
        <family val="2"/>
      </rPr>
      <t xml:space="preserve">加權平均利率為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WenQuanYi Zen Hei"/>
        <family val="2"/>
      </rPr>
      <t xml:space="preserve">端按餘額加權：全部 </t>
    </r>
    <r>
      <rPr>
        <sz val="11"/>
        <color theme="1"/>
        <rFont val="Calibri"/>
        <family val="2"/>
        <charset val="1"/>
      </rPr>
      <t xml:space="preserve">8.4%</t>
    </r>
    <r>
      <rPr>
        <sz val="11"/>
        <color theme="1"/>
        <rFont val="WenQuanYi Zen Hei"/>
        <family val="2"/>
      </rPr>
      <t xml:space="preserve">、不含可轉債 </t>
    </r>
    <r>
      <rPr>
        <sz val="11"/>
        <color theme="1"/>
        <rFont val="Calibri"/>
        <family val="2"/>
        <charset val="1"/>
      </rPr>
      <t xml:space="preserve">9.9%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DDTL 9.6%</t>
    </r>
    <r>
      <rPr>
        <sz val="11"/>
        <color theme="1"/>
        <rFont val="WenQuanYi Zen Hei"/>
        <family val="2"/>
      </rPr>
      <t xml:space="preserve">；本檔重算一致</t>
    </r>
  </si>
  <si>
    <t xml:space="preserve">#</t>
  </si>
  <si>
    <t xml:space="preserve">問題</t>
  </si>
  <si>
    <t xml:space="preserve">預設（建議）</t>
  </si>
  <si>
    <t xml:space="preserve">替代</t>
  </si>
  <si>
    <t xml:space="preserve">影響</t>
  </si>
  <si>
    <t xml:space="preserve">依據</t>
  </si>
  <si>
    <r>
      <rPr>
        <b val="true"/>
        <sz val="11"/>
        <rFont val="WenQuanYi Zen Hei"/>
        <family val="2"/>
      </rPr>
      <t xml:space="preserve">決定／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WenQuanYi Zen Hei"/>
        <family val="2"/>
      </rPr>
      <t xml:space="preserve">段狀態</t>
    </r>
  </si>
  <si>
    <t xml:space="preserve">「計價倍數」的基準：以 IT 口徑、同世代對比，還是用 2025 機隊組合 9.35 當通用分母？</t>
  </si>
  <si>
    <t xml:space="preserve">同世代對比（IREN→GB300、Oracle→VR200）；機隊層級才用 9.35</t>
  </si>
  <si>
    <t xml:space="preserve">一律用 9.35</t>
  </si>
  <si>
    <t xml:space="preserve">使用 9.35 時，Oracle／支出÷GW 的倍數相對同世代分母虛高約 1.16–1.31 倍（÷GB300 對 ÷組合 1.16；÷VR200 對 ÷組合 1.31；見對帳 D 節）</t>
  </si>
  <si>
    <t xml:space="preserve">對帳 D 節</t>
  </si>
  <si>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WenQuanYi Zen Hei"/>
        <family val="2"/>
      </rPr>
      <t xml:space="preserve">）：同世代對比；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只用於機隊層級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</si>
  <si>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WenQuanYi Zen Hei"/>
        <family val="2"/>
      </rPr>
      <t xml:space="preserve">是否應下調或分「持有者」？</t>
    </r>
  </si>
  <si>
    <t xml:space="preserve">不改模型。TK 以 10% 為基準；出租方資金成本依公司分列：IREN 3.31%（Microsoft 擔保＋預付款，個案）、CoreWeave 債務 9.6–9.9%。先前「出租方 3–8%」只適用 IREN 個案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</si>
  <si>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</si>
  <si>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拆解敏感度：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WACC 8% </t>
    </r>
    <r>
      <rPr>
        <sz val="11"/>
        <color theme="1"/>
        <rFont val="WenQuanYi Zen Hei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0.63</t>
    </r>
    <r>
      <rPr>
        <sz val="11"/>
        <color theme="1"/>
        <rFont val="WenQuanYi Zen Hei"/>
        <family val="2"/>
      </rPr>
      <t xml:space="preserve">；在 </t>
    </r>
    <r>
      <rPr>
        <sz val="11"/>
        <color theme="1"/>
        <rFont val="Calibri"/>
        <family val="2"/>
        <charset val="1"/>
      </rPr>
      <t xml:space="preserve">3.31% </t>
    </r>
    <r>
      <rPr>
        <sz val="11"/>
        <color theme="1"/>
        <rFont val="WenQuanYi Zen Hei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2.01</t>
    </r>
    <r>
      <rPr>
        <sz val="11"/>
        <color theme="1"/>
        <rFont val="WenQuanYi Zen Hei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拆解第</t>
    </r>
    <r>
      <rPr>
        <sz val="11"/>
        <color theme="1"/>
        <rFont val="Calibri"/>
        <family val="2"/>
        <charset val="1"/>
      </rPr>
      <t xml:space="preserve">79</t>
    </r>
    <r>
      <rPr>
        <sz val="11"/>
        <color theme="1"/>
        <rFont val="WenQuanYi Zen Hei"/>
        <family val="2"/>
      </rPr>
      <t xml:space="preserve">列起，營運費用固定）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</si>
  <si>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融資成本 </t>
    </r>
    <r>
      <rPr>
        <sz val="11"/>
        <color theme="1"/>
        <rFont val="Calibri"/>
        <family val="2"/>
        <charset val="1"/>
      </rPr>
      <t xml:space="preserve">3.31%</t>
    </r>
  </si>
  <si>
    <r>
      <rPr>
        <sz val="11"/>
        <color theme="1"/>
        <rFont val="WenQuanYi Zen Hei"/>
        <family val="2"/>
      </rPr>
      <t xml:space="preserve">決定：不改模型；同列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與出租方 </t>
    </r>
    <r>
      <rPr>
        <sz val="11"/>
        <color theme="1"/>
        <rFont val="Calibri"/>
        <family val="2"/>
        <charset val="1"/>
      </rPr>
      <t xml:space="preserve">3–8%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</si>
  <si>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隱含營運費用（≥</t>
    </r>
    <r>
      <rPr>
        <sz val="11"/>
        <color theme="1"/>
        <rFont val="Calibri"/>
        <family val="2"/>
        <charset val="1"/>
      </rPr>
      <t xml:space="preserve">1.46</t>
    </r>
    <r>
      <rPr>
        <sz val="11"/>
        <color theme="1"/>
        <rFont val="WenQuanYi Zen Hei"/>
        <family val="2"/>
      </rPr>
      <t xml:space="preserve">，下界）低於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1.98</t>
    </r>
    <r>
      <rPr>
        <sz val="11"/>
        <color theme="1"/>
        <rFont val="WenQuanYi Zen Hei"/>
        <family val="2"/>
      </rPr>
      <t xml:space="preserve">）：以誰為準？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</si>
  <si>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不動；列入待查，要求取得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的分項營運費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</si>
  <si>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營運費下調 </t>
    </r>
    <r>
      <rPr>
        <sz val="11"/>
        <color theme="1"/>
        <rFont val="Calibri"/>
        <family val="2"/>
        <charset val="1"/>
      </rPr>
      <t xml:space="preserve">0.3–0.5</t>
    </r>
  </si>
  <si>
    <t xml:space="preserve">影響約 −0.5 $B/GW（約 5%）</t>
  </si>
  <si>
    <t xml:space="preserve">對帳 A 節</t>
  </si>
  <si>
    <r>
      <rPr>
        <sz val="11"/>
        <color theme="1"/>
        <rFont val="WenQuanYi Zen Hei"/>
        <family val="2"/>
      </rPr>
      <t xml:space="preserve">決定：先不改；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段原文已取得：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營運下界 </t>
    </r>
    <r>
      <rPr>
        <sz val="11"/>
        <color theme="1"/>
        <rFont val="Calibri"/>
        <family val="2"/>
        <charset val="1"/>
      </rPr>
      <t xml:space="preserve">1.455 </t>
    </r>
    <r>
      <rPr>
        <sz val="11"/>
        <color theme="1"/>
        <rFont val="WenQuanYi Zen Hei"/>
        <family val="2"/>
      </rPr>
      <t xml:space="preserve">有依據</t>
    </r>
  </si>
  <si>
    <t xml:space="preserve">廠房 capex：TK 12.67 $M/MW 相對 IREN 原文如何？（原問題誤以 14–16 為資料中心本體）</t>
  </si>
  <si>
    <t xml:space="preserve">不改。B 段撤回「偏低」：對 IREN 本體 9–11，TK 偏高；加叢集部署 12–14 則持平</t>
  </si>
  <si>
    <t xml:space="preserve">廠房改為 IREN 值</t>
  </si>
  <si>
    <t xml:space="preserve">每 +1 $M/MW（＝+1 $B/GW）約 +0.1436 $B/GW·年＝廠房資本回收 1.5019＋廠房維護 0.2534＋財產稅 0.0634（0.5% 總資本）÷ 廠房 capex 12.67（GB300；含土地年金與預備費攤銷）。廠房取 10／13／15 $M/MW（本體中點／含叢集中點／全包）→ −0.38／+0.05／+0.33</t>
  </si>
  <si>
    <r>
      <rPr>
        <sz val="11"/>
        <color theme="1"/>
        <rFont val="WenQuanYi Zen Hei"/>
        <family val="2"/>
      </rPr>
      <t xml:space="preserve">決定：先不改；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段原文：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9–11</t>
    </r>
    <r>
      <rPr>
        <sz val="11"/>
        <color theme="1"/>
        <rFont val="WenQuanYi Zen Hei"/>
        <family val="2"/>
      </rPr>
      <t xml:space="preserve">、含叢集 </t>
    </r>
    <r>
      <rPr>
        <sz val="11"/>
        <color theme="1"/>
        <rFont val="Calibri"/>
        <family val="2"/>
        <charset val="1"/>
      </rPr>
      <t xml:space="preserve">12–14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 12.67 </t>
    </r>
    <r>
      <rPr>
        <sz val="11"/>
        <color theme="1"/>
        <rFont val="WenQuanYi Zen Hei"/>
        <family val="2"/>
      </rPr>
      <t xml:space="preserve">不含叢集部署，結論見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節（廠房偏低的說法撤回）</t>
    </r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</si>
  <si>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WenQuanYi Zen Hei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1.25GW</t>
    </r>
    <r>
      <rPr>
        <sz val="11"/>
        <color theme="1"/>
        <rFont val="WenQuanYi Zen Hei"/>
        <family val="2"/>
      </rPr>
      <t xml:space="preserve">」是否採用為市場價？</t>
    </r>
  </si>
  <si>
    <t xml:space="preserve">保留作機隊層級對照，不當價格；1.25GW 已確認為 (0.6+1.9)/2 線性內插</t>
  </si>
  <si>
    <t xml:space="preserve">採用並與 IREN 並列</t>
  </si>
  <si>
    <t xml:space="preserve">若採用，倍數 1.37–1.55（分子 16.0／16.3 × 線性／指數 GW），與同口徑長約相反</t>
  </si>
  <si>
    <t xml:space="preserve">證據 E9、E10、E17</t>
  </si>
  <si>
    <r>
      <rPr>
        <sz val="11"/>
        <color theme="1"/>
        <rFont val="WenQuanYi Zen Hei"/>
        <family val="2"/>
      </rPr>
      <t xml:space="preserve">決定：保留作機隊層級對照；算式 </t>
    </r>
    <r>
      <rPr>
        <sz val="11"/>
        <color theme="1"/>
        <rFont val="Calibri"/>
        <family val="2"/>
        <charset val="1"/>
      </rPr>
      <t xml:space="preserve">160÷1.25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WenQuanYi Zen Hei"/>
        <family val="2"/>
      </rPr>
      <t xml:space="preserve">為內插（</t>
    </r>
    <r>
      <rPr>
        <sz val="11"/>
        <color theme="1"/>
        <rFont val="Calibri"/>
        <family val="2"/>
        <charset val="1"/>
      </rPr>
      <t xml:space="preserve">E20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</si>
  <si>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WenQuanYi Zen Hei"/>
        <family val="2"/>
      </rPr>
      <t xml:space="preserve">算式：</t>
    </r>
    <r>
      <rPr>
        <sz val="11"/>
        <color theme="1"/>
        <rFont val="Calibri"/>
        <family val="2"/>
        <charset val="1"/>
      </rPr>
      <t xml:space="preserve">300÷5 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÷5GW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版本 </t>
    </r>
    <r>
      <rPr>
        <sz val="11"/>
        <color theme="1"/>
        <rFont val="Calibri"/>
        <family val="2"/>
        <charset val="1"/>
      </rPr>
      <t xml:space="preserve">13.3</t>
    </r>
  </si>
  <si>
    <t xml:space="preserve">並列 5GW（IT 12.0／設施 14.4）與 4.5GW（IT 13.3／設施 16.0），標明各自出處；不影響結論：對 VR200 為 0.98–1.31 倍</t>
  </si>
  <si>
    <t xml:space="preserve">只用單一 GW 版本</t>
  </si>
  <si>
    <t xml:space="preserve">對 VR200 倍數 0.98–1.31</t>
  </si>
  <si>
    <r>
      <rPr>
        <sz val="11"/>
        <color theme="1"/>
        <rFont val="WenQuanYi Zen Hei"/>
        <family val="2"/>
      </rPr>
      <t xml:space="preserve">決定：已有算式 </t>
    </r>
    <r>
      <rPr>
        <sz val="11"/>
        <color theme="1"/>
        <rFont val="Calibri"/>
        <family val="2"/>
        <charset val="1"/>
      </rPr>
      <t xml:space="preserve">300÷5÷5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段並列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4.5GW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</si>
  <si>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WenQuanYi Zen Hei"/>
        <family val="2"/>
      </rPr>
      <t xml:space="preserve">現貨與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新約高於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長約：是否視為「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年持有成本偏低」的證據？</t>
    </r>
  </si>
  <si>
    <t xml:space="preserve">否：屬 2026 年稀缺租金與期限差異；另取 2025 年同口徑現貨序列再議</t>
  </si>
  <si>
    <t xml:space="preserve">是</t>
  </si>
  <si>
    <t xml:space="preserve">若是，TK 持有成本應上調約 1.3–2 倍，與 IREN／CoreWeave 長約矛盾</t>
  </si>
  <si>
    <t xml:space="preserve">對帳 E 節</t>
  </si>
  <si>
    <r>
      <rPr>
        <sz val="11"/>
        <color theme="1"/>
        <rFont val="WenQuanYi Zen Hei"/>
        <family val="2"/>
      </rPr>
      <t xml:space="preserve">決定：不作為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年持有成本偏低的證據</t>
    </r>
  </si>
  <si>
    <t xml:space="preserve">下一步（B 段）是否取得原始文件（IREN 簡報、CoreWeave 10-Q、Nebius 6-K）？</t>
  </si>
  <si>
    <t xml:space="preserve">是：以可連線環境取原文，補 cost of revenue／折舊／租賃費、active power 定義</t>
  </si>
  <si>
    <t xml:space="preserve">維持二手摘要</t>
  </si>
  <si>
    <t xml:space="preserve">可把「不可分離」項減少至少 3 項</t>
  </si>
  <si>
    <t xml:space="preserve">證據 E18</t>
  </si>
  <si>
    <r>
      <rPr>
        <sz val="11"/>
        <color theme="1"/>
        <rFont val="WenQuanYi Zen Hei"/>
        <family val="2"/>
      </rPr>
      <t xml:space="preserve">決定：讀原文；已取得 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部分、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10-Q </t>
    </r>
    <r>
      <rPr>
        <sz val="11"/>
        <color theme="1"/>
        <rFont val="WenQuanYi Zen Hei"/>
        <family val="2"/>
      </rPr>
      <t xml:space="preserve">全文待 </t>
    </r>
    <r>
      <rPr>
        <sz val="11"/>
        <color theme="1"/>
        <rFont val="Calibri"/>
        <family val="2"/>
        <charset val="1"/>
      </rPr>
      <t xml:space="preserve">Drive inbox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</si>
  <si>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機隊對照的矛盾（</t>
    </r>
    <r>
      <rPr>
        <sz val="11"/>
        <color theme="1"/>
        <rFont val="Calibri"/>
        <family val="2"/>
        <charset val="1"/>
      </rPr>
      <t xml:space="preserve">1.37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0.89–0.93</t>
    </r>
    <r>
      <rPr>
        <sz val="11"/>
        <color theme="1"/>
        <rFont val="WenQuanYi Zen Hei"/>
        <family val="2"/>
      </rPr>
      <t xml:space="preserve">）要不要進一步拆？</t>
    </r>
  </si>
  <si>
    <r>
      <rPr>
        <sz val="11"/>
        <color theme="1"/>
        <rFont val="WenQuanYi Zen Hei"/>
        <family val="2"/>
      </rPr>
      <t xml:space="preserve">維持「不可分離」，並以「每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小時租金不隨世代變」作為最可能的解釋方向，列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</si>
  <si>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雲端帳單分項</t>
    </r>
  </si>
  <si>
    <r>
      <rPr>
        <sz val="11"/>
        <color theme="1"/>
        <rFont val="WenQuanYi Zen Hei"/>
        <family val="2"/>
      </rPr>
      <t xml:space="preserve">影響機隊層級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的使用方式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</si>
  <si>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</si>
  <si>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WenQuanYi Zen Hei"/>
        <family val="2"/>
      </rPr>
      <t xml:space="preserve">）：維持「不可分離」。補記：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揭露支出分項，或揭露對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的實付價，才能分開。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</si>
  <si>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全文後，是否用其債務利率與折舊年限回填「出租方折現率」？</t>
    </r>
  </si>
  <si>
    <r>
      <rPr>
        <sz val="11"/>
        <color theme="1"/>
        <rFont val="WenQuanYi Zen Hei"/>
        <family val="2"/>
      </rPr>
      <t xml:space="preserve">是（待 </t>
    </r>
    <r>
      <rPr>
        <sz val="11"/>
        <color theme="1"/>
        <rFont val="Calibri"/>
        <family val="2"/>
        <charset val="1"/>
      </rPr>
      <t xml:space="preserve">inbox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</si>
  <si>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3–8% </t>
    </r>
    <r>
      <rPr>
        <sz val="11"/>
        <color theme="1"/>
        <rFont val="WenQuanYi Zen Hei"/>
        <family val="2"/>
      </rPr>
      <t xml:space="preserve">區間</t>
    </r>
  </si>
  <si>
    <r>
      <rPr>
        <sz val="11"/>
        <color theme="1"/>
        <rFont val="WenQuanYi Zen Hei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差異從假設變成實值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</si>
  <si>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</si>
  <si>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WenQuanYi Zen Hei"/>
        <family val="2"/>
      </rPr>
      <t xml:space="preserve">）：要；只寫進查證檔，不改模型（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</si>
  <si>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叢集部署 </t>
    </r>
    <r>
      <rPr>
        <sz val="11"/>
        <color theme="1"/>
        <rFont val="Calibri"/>
        <family val="2"/>
        <charset val="1"/>
      </rPr>
      <t xml:space="preserve">3 $M/MW </t>
    </r>
    <r>
      <rPr>
        <sz val="11"/>
        <color theme="1"/>
        <rFont val="WenQuanYi Zen Hei"/>
        <family val="2"/>
      </rPr>
      <t xml:space="preserve">是否已在 </t>
    </r>
    <r>
      <rPr>
        <sz val="11"/>
        <color theme="1"/>
        <rFont val="Calibri"/>
        <family val="2"/>
        <charset val="1"/>
      </rPr>
      <t xml:space="preserve">5.8B </t>
    </r>
    <r>
      <rPr>
        <sz val="11"/>
        <color theme="1"/>
        <rFont val="WenQuanYi Zen Hei"/>
        <family val="2"/>
      </rPr>
      <t xml:space="preserve">內？</t>
    </r>
  </si>
  <si>
    <r>
      <rPr>
        <sz val="11"/>
        <color theme="1"/>
        <rFont val="WenQuanYi Zen Hei"/>
        <family val="2"/>
      </rPr>
      <t xml:space="preserve">原文未明，</t>
    </r>
    <r>
      <rPr>
        <sz val="11"/>
        <color theme="1"/>
        <rFont val="Calibri"/>
        <family val="2"/>
        <charset val="1"/>
      </rPr>
      <t xml:space="preserve">A/B </t>
    </r>
    <r>
      <rPr>
        <sz val="11"/>
        <color theme="1"/>
        <rFont val="WenQuanYi Zen Hei"/>
        <family val="2"/>
      </rPr>
      <t xml:space="preserve">兩配置並列</t>
    </r>
  </si>
  <si>
    <r>
      <rPr>
        <sz val="11"/>
        <color theme="1"/>
        <rFont val="WenQuanYi Zen Hei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簡報原頁確認</t>
    </r>
  </si>
  <si>
    <r>
      <rPr>
        <sz val="11"/>
        <color theme="1"/>
        <rFont val="WenQuanYi Zen Hei"/>
        <family val="2"/>
      </rPr>
      <t xml:space="preserve">不影響總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；影響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／廠房側拆分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</si>
  <si>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</si>
  <si>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兩種配置並列即可，不再追；影響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持有成本 −</t>
    </r>
    <r>
      <rPr>
        <sz val="11"/>
        <color theme="1"/>
        <rFont val="Calibri"/>
        <family val="2"/>
        <charset val="1"/>
      </rPr>
      <t xml:space="preserve">0.38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+0.33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±3%</t>
    </r>
    <r>
      <rPr>
        <sz val="11"/>
        <color theme="1"/>
        <rFont val="WenQuanYi Zen Hei"/>
        <family val="2"/>
      </rPr>
      <t xml:space="preserve">），不改結論。</t>
    </r>
  </si>
  <si>
    <r>
      <rPr>
        <sz val="11"/>
        <color theme="1"/>
        <rFont val="WenQuanYi Zen Hei"/>
        <family val="2"/>
      </rPr>
      <t xml:space="preserve">是否把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WenQuanYi Zen Hei"/>
        <family val="2"/>
      </rPr>
      <t xml:space="preserve">決定第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題的「出租方折現率 </t>
    </r>
    <r>
      <rPr>
        <sz val="11"/>
        <color theme="1"/>
        <rFont val="Calibri"/>
        <family val="2"/>
        <charset val="1"/>
      </rPr>
      <t xml:space="preserve">3–8%</t>
    </r>
    <r>
      <rPr>
        <sz val="11"/>
        <color theme="1"/>
        <rFont val="WenQuanYi Zen Hei"/>
        <family val="2"/>
      </rPr>
      <t xml:space="preserve">」改為依公司分列？</t>
    </r>
  </si>
  <si>
    <r>
      <rPr>
        <sz val="11"/>
        <color theme="1"/>
        <rFont val="WenQuanYi Zen Hei"/>
        <family val="2"/>
      </rPr>
      <t xml:space="preserve">是：</t>
    </r>
    <r>
      <rPr>
        <sz val="11"/>
        <color theme="1"/>
        <rFont val="Calibri"/>
        <family val="2"/>
        <charset val="1"/>
      </rPr>
      <t xml:space="preserve">IREN 3.31%</t>
    </r>
    <r>
      <rPr>
        <sz val="11"/>
        <color theme="1"/>
        <rFont val="WenQuanYi Zen Hei"/>
        <family val="2"/>
      </rPr>
      <t xml:space="preserve">（個案）、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債務 </t>
    </r>
    <r>
      <rPr>
        <sz val="11"/>
        <color theme="1"/>
        <rFont val="Calibri"/>
        <family val="2"/>
        <charset val="1"/>
      </rPr>
      <t xml:space="preserve">9.6–9.9%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已據此撤回「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是主因」</t>
    </r>
  </si>
  <si>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主因」結論被推翻：以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自己的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與營運反推，隱含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9–10%</t>
    </r>
    <r>
      <rPr>
        <sz val="11"/>
        <color theme="1"/>
        <rFont val="WenQuanYi Zen Hei"/>
        <family val="2"/>
      </rPr>
      <t xml:space="preserve">；差額主因為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設備單價與營運費用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</si>
  <si>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節；證據 </t>
    </r>
    <r>
      <rPr>
        <sz val="11"/>
        <color theme="1"/>
        <rFont val="Calibri"/>
        <family val="2"/>
        <charset val="1"/>
      </rPr>
      <t xml:space="preserve">E26</t>
    </r>
  </si>
  <si>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32.2 $B/GW</t>
    </r>
    <r>
      <rPr>
        <sz val="11"/>
        <color theme="1"/>
        <rFont val="WenQuanYi Zen Hei"/>
        <family val="2"/>
      </rPr>
      <t xml:space="preserve">）比 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WenQuanYi Zen Hei"/>
        <family val="2"/>
      </rPr>
      <t xml:space="preserve">，且營運費用高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WenQuanYi Zen Hei"/>
        <family val="2"/>
      </rPr>
      <t xml:space="preserve">：要查嗎？</t>
    </r>
  </si>
  <si>
    <r>
      <rPr>
        <sz val="11"/>
        <color theme="1"/>
        <rFont val="WenQuanYi Zen Hei"/>
        <family val="2"/>
      </rPr>
      <t xml:space="preserve">先不改模型；列為待查（機架單價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密度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WenQuanYi Zen Hei"/>
        <family val="2"/>
      </rPr>
      <t xml:space="preserve">大單折扣、營運範圍定義）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</si>
  <si>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下調</t>
    </r>
  </si>
  <si>
    <r>
      <rPr>
        <sz val="11"/>
        <color theme="1"/>
        <rFont val="WenQuanYi Zen Hei"/>
        <family val="2"/>
      </rPr>
      <t xml:space="preserve">兩項合計約 </t>
    </r>
    <r>
      <rPr>
        <sz val="11"/>
        <color theme="1"/>
        <rFont val="Calibri"/>
        <family val="2"/>
        <charset val="1"/>
      </rPr>
      <t xml:space="preserve">1.27 $B/GW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</si>
  <si>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段頁第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節</t>
    </r>
  </si>
  <si>
    <r>
      <rPr>
        <b val="true"/>
        <sz val="13"/>
        <rFont val="Cambria"/>
        <family val="0"/>
        <charset val="1"/>
      </rPr>
      <t xml:space="preserve">B </t>
    </r>
    <r>
      <rPr>
        <b val="true"/>
        <sz val="13"/>
        <rFont val="WenQuanYi Zen Hei"/>
        <family val="2"/>
      </rPr>
      <t xml:space="preserve">段補充：</t>
    </r>
    <r>
      <rPr>
        <b val="true"/>
        <sz val="13"/>
        <rFont val="Cambria"/>
        <family val="0"/>
        <charset val="1"/>
      </rPr>
      <t xml:space="preserve">Oracle </t>
    </r>
    <r>
      <rPr>
        <b val="true"/>
        <sz val="13"/>
        <rFont val="WenQuanYi Zen Hei"/>
        <family val="2"/>
      </rPr>
      <t xml:space="preserve">並列、</t>
    </r>
    <r>
      <rPr>
        <b val="true"/>
        <sz val="13"/>
        <rFont val="Cambria"/>
        <family val="0"/>
        <charset val="1"/>
      </rPr>
      <t xml:space="preserve">Epoch 12.8 </t>
    </r>
    <r>
      <rPr>
        <b val="true"/>
        <sz val="13"/>
        <rFont val="WenQuanYi Zen Hei"/>
        <family val="2"/>
      </rPr>
      <t xml:space="preserve">矛盾評估、</t>
    </r>
    <r>
      <rPr>
        <b val="true"/>
        <sz val="13"/>
        <rFont val="Cambria"/>
        <family val="0"/>
        <charset val="1"/>
      </rPr>
      <t xml:space="preserve">IREN </t>
    </r>
    <r>
      <rPr>
        <b val="true"/>
        <sz val="13"/>
        <rFont val="WenQuanYi Zen Hei"/>
        <family val="2"/>
      </rPr>
      <t xml:space="preserve">原文對帳、每 </t>
    </r>
    <r>
      <rPr>
        <b val="true"/>
        <sz val="13"/>
        <rFont val="Cambria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小時視角、</t>
    </r>
    <r>
      <rPr>
        <b val="true"/>
        <sz val="13"/>
        <rFont val="Cambria"/>
        <family val="0"/>
        <charset val="1"/>
      </rPr>
      <t xml:space="preserve">CoreWeave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Nebius </t>
    </r>
    <r>
      <rPr>
        <b val="true"/>
        <sz val="13"/>
        <rFont val="WenQuanYi Zen Hei"/>
        <family val="2"/>
      </rPr>
      <t xml:space="preserve">財報結構</t>
    </r>
  </si>
  <si>
    <r>
      <rPr>
        <sz val="11"/>
        <color theme="1"/>
        <rFont val="WenQuanYi Zen Hei"/>
        <family val="2"/>
      </rPr>
      <t xml:space="preserve">藍字＝外部輸入（出處見「證據」頁 </t>
    </r>
    <r>
      <rPr>
        <sz val="11"/>
        <color theme="1"/>
        <rFont val="Calibri"/>
        <family val="2"/>
        <charset val="1"/>
      </rPr>
      <t xml:space="preserve">E19 </t>
    </r>
    <r>
      <rPr>
        <sz val="11"/>
        <color theme="1"/>
        <rFont val="WenQuanYi Zen Hei"/>
        <family val="2"/>
      </rPr>
      <t xml:space="preserve">以後）；黑字＝公式。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值一律引用「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拆解」頁。</t>
    </r>
  </si>
  <si>
    <r>
      <rPr>
        <b val="true"/>
        <sz val="11"/>
        <rFont val="Cambria"/>
        <family val="0"/>
        <charset val="1"/>
      </rPr>
      <t xml:space="preserve">1. Oracle–OpenAI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5 GW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4.5 GW </t>
    </r>
    <r>
      <rPr>
        <b val="true"/>
        <sz val="11"/>
        <rFont val="WenQuanYi Zen Hei"/>
        <family val="2"/>
      </rPr>
      <t xml:space="preserve">並列（</t>
    </r>
    <r>
      <rPr>
        <b val="true"/>
        <sz val="11"/>
        <rFont val="Cambria"/>
        <family val="0"/>
        <charset val="1"/>
      </rPr>
      <t xml:space="preserve">$300B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WenQuanYi Zen Hei"/>
        <family val="2"/>
      </rPr>
      <t xml:space="preserve">年；匿名消息，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）</t>
    </r>
  </si>
  <si>
    <t xml:space="preserve">版本</t>
  </si>
  <si>
    <r>
      <rPr>
        <b val="true"/>
        <sz val="11"/>
        <rFont val="WenQuanYi Zen Hei"/>
        <family val="2"/>
      </rPr>
      <t xml:space="preserve">總額 </t>
    </r>
    <r>
      <rPr>
        <b val="true"/>
        <sz val="11"/>
        <rFont val="Cambria"/>
        <family val="0"/>
        <charset val="1"/>
      </rPr>
      <t xml:space="preserve">$B</t>
    </r>
  </si>
  <si>
    <t xml:space="preserve">年數</t>
  </si>
  <si>
    <t xml:space="preserve">GW</t>
  </si>
  <si>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WenQuanYi Zen Hei"/>
        <family val="2"/>
      </rPr>
      <t xml:space="preserve">口徑假設</t>
    </r>
  </si>
  <si>
    <r>
      <rPr>
        <b val="true"/>
        <sz val="11"/>
        <rFont val="WenQuanYi Zen Hei"/>
        <family val="2"/>
      </rPr>
      <t xml:space="preserve">每年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</si>
  <si>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IT-GW·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</si>
  <si>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÷VR200</t>
    </r>
  </si>
  <si>
    <r>
      <rPr>
        <b val="true"/>
        <sz val="11"/>
        <rFont val="WenQuanYi Zen Hei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÷GB300</t>
    </r>
  </si>
  <si>
    <r>
      <rPr>
        <b val="true"/>
        <sz val="11"/>
        <rFont val="WenQuanYi Zen Hei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組合 </t>
    </r>
    <r>
      <rPr>
        <b val="true"/>
        <sz val="11"/>
        <rFont val="Cambria"/>
        <family val="0"/>
        <charset val="1"/>
      </rPr>
      <t xml:space="preserve">9.35</t>
    </r>
  </si>
  <si>
    <t xml:space="preserve">出處</t>
  </si>
  <si>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</si>
  <si>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Register 2025-09-11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"$300 billion ... five gigawatts ... over the course of five years ... begin in 2027"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docs/evidence/20261021_token</t>
    </r>
    <r>
      <rPr>
        <sz val="11"/>
        <color theme="1"/>
        <rFont val="WenQuanYi Zen Hei"/>
        <family val="2"/>
      </rPr>
      <t xml:space="preserve">帳閉合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供給側查證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WenQuanYi Zen Hei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</si>
  <si>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當設施，換 </t>
    </r>
    <r>
      <rPr>
        <sz val="11"/>
        <color theme="1"/>
        <rFont val="Calibri"/>
        <family val="2"/>
        <charset val="1"/>
      </rPr>
      <t xml:space="preserve">IT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</si>
  <si>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</si>
  <si>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當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</si>
  <si>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段所用報導（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WenQuanYi Zen Hei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Techmeme 2025-09-10 </t>
    </r>
    <r>
      <rPr>
        <sz val="11"/>
        <color theme="1"/>
        <rFont val="WenQuanYi Zen Hei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"requiring 4.5 gigawatts"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https://www.techmeme.com/250910/p43</t>
    </r>
  </si>
  <si>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當設施，換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</si>
  <si>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WenQuanYi Zen Hei"/>
        <family val="2"/>
      </rPr>
      <t xml:space="preserve">兩份報導的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數不同（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WenQuanYi Zen Hei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／設施口徑均未明：每 </t>
    </r>
    <r>
      <rPr>
        <sz val="11"/>
        <color theme="1"/>
        <rFont val="Calibri"/>
        <family val="2"/>
        <charset val="1"/>
      </rPr>
      <t xml:space="preserve">IT-GW·</t>
    </r>
    <r>
      <rPr>
        <sz val="11"/>
        <color theme="1"/>
        <rFont val="WenQuanYi Zen Hei"/>
        <family val="2"/>
      </rPr>
      <t xml:space="preserve">年介於 </t>
    </r>
    <r>
      <rPr>
        <sz val="11"/>
        <color theme="1"/>
        <rFont val="Calibri"/>
        <family val="2"/>
        <charset val="1"/>
      </rPr>
      <t xml:space="preserve">12.0–16.0</t>
    </r>
    <r>
      <rPr>
        <sz val="11"/>
        <color theme="1"/>
        <rFont val="WenQuanYi Zen Hei"/>
        <family val="2"/>
      </rPr>
      <t xml:space="preserve">，對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0.98–1.31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段「複算不出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」是因我只用了 </t>
    </r>
    <r>
      <rPr>
        <sz val="11"/>
        <color theme="1"/>
        <rFont val="Calibri"/>
        <family val="2"/>
        <charset val="1"/>
      </rPr>
      <t xml:space="preserve">4.5GW </t>
    </r>
    <r>
      <rPr>
        <sz val="11"/>
        <color theme="1"/>
        <rFont val="WenQuanYi Zen Hei"/>
        <family val="2"/>
      </rPr>
      <t xml:space="preserve">的報導；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</si>
  <si>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2. Epoch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OpenAI 2025 </t>
    </r>
    <r>
      <rPr>
        <b val="true"/>
        <sz val="11"/>
        <rFont val="WenQuanYi Zen Hei"/>
        <family val="2"/>
      </rPr>
      <t xml:space="preserve">雲端支出 </t>
    </r>
    <r>
      <rPr>
        <b val="true"/>
        <sz val="11"/>
        <rFont val="Cambria"/>
        <family val="0"/>
        <charset val="1"/>
      </rPr>
      <t xml:space="preserve">÷ GW</t>
    </r>
    <r>
      <rPr>
        <b val="true"/>
        <sz val="11"/>
        <rFont val="WenQuanYi Zen Hei"/>
        <family val="2"/>
      </rPr>
      <t xml:space="preserve">（機隊層級對照；保留，不當單價）</t>
    </r>
  </si>
  <si>
    <r>
      <rPr>
        <b val="true"/>
        <sz val="11"/>
        <rFont val="Cambria"/>
        <family val="0"/>
        <charset val="1"/>
      </rPr>
      <t xml:space="preserve">16.3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WenQuanYi Zen Hei"/>
        <family val="2"/>
      </rPr>
      <t xml:space="preserve">方法頁，原文值）</t>
    </r>
  </si>
  <si>
    <r>
      <rPr>
        <b val="true"/>
        <sz val="11"/>
        <rFont val="Cambria"/>
        <family val="0"/>
        <charset val="1"/>
      </rPr>
      <t xml:space="preserve">16.0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10-21 </t>
    </r>
    <r>
      <rPr>
        <b val="true"/>
        <sz val="11"/>
        <rFont val="WenQuanYi Zen Hei"/>
        <family val="2"/>
      </rPr>
      <t xml:space="preserve">筆記約值；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WenQuanYi Zen Hei"/>
        <family val="2"/>
      </rPr>
      <t xml:space="preserve">記錄 </t>
    </r>
    <r>
      <rPr>
        <b val="true"/>
        <sz val="11"/>
        <rFont val="Cambria"/>
        <family val="0"/>
        <charset val="1"/>
      </rPr>
      <t xml:space="preserve">12.8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1.37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1.52</t>
    </r>
    <r>
      <rPr>
        <b val="true"/>
        <sz val="11"/>
        <rFont val="WenQuanYi Zen Hei"/>
        <family val="2"/>
      </rPr>
      <t xml:space="preserve">）</t>
    </r>
  </si>
  <si>
    <t xml:space="preserve">標記／來源</t>
  </si>
  <si>
    <r>
      <rPr>
        <sz val="11"/>
        <color theme="1"/>
        <rFont val="WenQuanYi Zen Hei"/>
        <family val="2"/>
      </rPr>
      <t xml:space="preserve">雲端算力支出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</si>
  <si>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；二手。兩個分子並列，全檔以 </t>
    </r>
    <r>
      <rPr>
        <sz val="11"/>
        <color theme="1"/>
        <rFont val="Calibri"/>
        <family val="2"/>
        <charset val="1"/>
      </rPr>
      <t xml:space="preserve">16.3 </t>
    </r>
    <r>
      <rPr>
        <sz val="11"/>
        <color theme="1"/>
        <rFont val="WenQuanYi Zen Hei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的記錄</t>
    </r>
  </si>
  <si>
    <r>
      <rPr>
        <sz val="11"/>
        <color theme="1"/>
        <rFont val="WenQuanYi Zen Hei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 2024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</si>
  <si>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WenQuanYi Zen Hei"/>
        <family val="2"/>
      </rPr>
      <t xml:space="preserve">官方（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財務長揭露，供給側查證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27–31</t>
    </r>
    <r>
      <rPr>
        <sz val="11"/>
        <color theme="1"/>
        <rFont val="WenQuanYi Zen Hei"/>
        <family val="2"/>
      </rPr>
      <t xml:space="preserve">列）</t>
    </r>
  </si>
  <si>
    <r>
      <rPr>
        <sz val="11"/>
        <color theme="1"/>
        <rFont val="WenQuanYi Zen Hei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 2025 </t>
    </r>
    <r>
      <rPr>
        <sz val="11"/>
        <color theme="1"/>
        <rFont val="WenQuanYi Zen Hei"/>
        <family val="2"/>
      </rPr>
      <t xml:space="preserve">年底</t>
    </r>
  </si>
  <si>
    <r>
      <rPr>
        <sz val="11"/>
        <color theme="1"/>
        <rFont val="WenQuanYi Zen Hei"/>
        <family val="2"/>
      </rPr>
      <t xml:space="preserve">全年平均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：線性內插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</si>
  <si>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=1.25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(0.6+1.9)/2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</si>
  <si>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全年平均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：指數內插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</si>
  <si>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=1.13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</si>
  <si>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WenQuanYi Zen Hei"/>
        <family val="2"/>
      </rPr>
      <t xml:space="preserve">年：線性（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</si>
  <si>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版＝</t>
    </r>
    <r>
      <rPr>
        <sz val="11"/>
        <color theme="1"/>
        <rFont val="Calibri"/>
        <family val="2"/>
        <charset val="1"/>
      </rPr>
      <t xml:space="preserve">12.8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</si>
  <si>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WenQuanYi Zen Hei"/>
        <family val="2"/>
      </rPr>
      <t xml:space="preserve">年：指數（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</si>
  <si>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版＝</t>
    </r>
    <r>
      <rPr>
        <sz val="11"/>
        <color theme="1"/>
        <rFont val="Calibri"/>
        <family val="2"/>
        <charset val="1"/>
      </rPr>
      <t xml:space="preserve">14.19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</si>
  <si>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</t>
    </r>
    <r>
      <rPr>
        <sz val="11"/>
        <color theme="1"/>
        <rFont val="WenQuanYi Zen Hei"/>
        <family val="2"/>
      </rPr>
      <t xml:space="preserve">：線性</t>
    </r>
  </si>
  <si>
    <r>
      <rPr>
        <sz val="11"/>
        <color theme="1"/>
        <rFont val="Calibri"/>
        <family val="2"/>
        <charset val="1"/>
      </rPr>
      <t xml:space="preserve">16.3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1.37</t>
    </r>
  </si>
  <si>
    <r>
      <rPr>
        <sz val="11"/>
        <color theme="1"/>
        <rFont val="WenQuanYi Zen Hei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</t>
    </r>
    <r>
      <rPr>
        <sz val="11"/>
        <color theme="1"/>
        <rFont val="WenQuanYi Zen Hei"/>
        <family val="2"/>
      </rPr>
      <t xml:space="preserve">：指數</t>
    </r>
  </si>
  <si>
    <r>
      <rPr>
        <sz val="11"/>
        <color theme="1"/>
        <rFont val="Calibri"/>
        <family val="2"/>
        <charset val="1"/>
      </rPr>
      <t xml:space="preserve">16.3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16.0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1.52</t>
    </r>
  </si>
  <si>
    <r>
      <rPr>
        <b val="true"/>
        <sz val="11"/>
        <rFont val="WenQuanYi Zen Hei"/>
        <family val="2"/>
      </rPr>
      <t xml:space="preserve">若要把倍數拉回 </t>
    </r>
    <r>
      <rPr>
        <b val="true"/>
        <sz val="11"/>
        <rFont val="Cambria"/>
        <family val="0"/>
        <charset val="1"/>
      </rPr>
      <t xml:space="preserve">0.93</t>
    </r>
    <r>
      <rPr>
        <b val="true"/>
        <sz val="11"/>
        <rFont val="WenQuanYi Zen Hei"/>
        <family val="2"/>
      </rPr>
      <t xml:space="preserve">，分子須為多少（「必須為真」是反推，不是證據）</t>
    </r>
  </si>
  <si>
    <t xml:space="preserve">反推項目</t>
  </si>
  <si>
    <r>
      <rPr>
        <b val="true"/>
        <sz val="11"/>
        <rFont val="Cambria"/>
        <family val="0"/>
        <charset val="1"/>
      </rPr>
      <t xml:space="preserve">16.3 </t>
    </r>
    <r>
      <rPr>
        <b val="true"/>
        <sz val="11"/>
        <rFont val="WenQuanYi Zen Hei"/>
        <family val="2"/>
      </rPr>
      <t xml:space="preserve">版</t>
    </r>
  </si>
  <si>
    <r>
      <rPr>
        <b val="true"/>
        <sz val="11"/>
        <rFont val="Cambria"/>
        <family val="0"/>
        <charset val="1"/>
      </rPr>
      <t xml:space="preserve">16.0 </t>
    </r>
    <r>
      <rPr>
        <b val="true"/>
        <sz val="11"/>
        <rFont val="WenQuanYi Zen Hei"/>
        <family val="2"/>
      </rPr>
      <t xml:space="preserve">版</t>
    </r>
  </si>
  <si>
    <r>
      <rPr>
        <sz val="11"/>
        <color theme="1"/>
        <rFont val="WenQuanYi Zen Hei"/>
        <family val="2"/>
      </rPr>
      <t xml:space="preserve">分子須為（線性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</si>
  <si>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t xml:space="preserve">同一個數，與分子版本無關</t>
  </si>
  <si>
    <r>
      <rPr>
        <sz val="11"/>
        <color theme="1"/>
        <rFont val="WenQuanYi Zen Hei"/>
        <family val="2"/>
      </rPr>
      <t xml:space="preserve">  須排除的支出（線性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</si>
  <si>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容量租金的部分</t>
    </r>
  </si>
  <si>
    <t xml:space="preserve">  占全年支出</t>
  </si>
  <si>
    <r>
      <rPr>
        <sz val="11"/>
        <color theme="1"/>
        <rFont val="WenQuanYi Zen Hei"/>
        <family val="2"/>
      </rPr>
      <t xml:space="preserve">分子須為（指數 </t>
    </r>
    <r>
      <rPr>
        <sz val="11"/>
        <color theme="1"/>
        <rFont val="Calibri"/>
        <family val="2"/>
        <charset val="1"/>
      </rPr>
      <t xml:space="preserve">GW 1.13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</si>
  <si>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須排除的支出（指數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</si>
  <si>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版＝</t>
    </r>
    <r>
      <rPr>
        <sz val="11"/>
        <color theme="1"/>
        <rFont val="Calibri"/>
        <family val="2"/>
        <charset val="1"/>
      </rPr>
      <t xml:space="preserve">6.19</t>
    </r>
  </si>
  <si>
    <r>
      <rPr>
        <b val="true"/>
        <sz val="11"/>
        <rFont val="WenQuanYi Zen Hei"/>
        <family val="2"/>
      </rPr>
      <t xml:space="preserve">與長約 </t>
    </r>
    <r>
      <rPr>
        <b val="true"/>
        <sz val="11"/>
        <rFont val="Cambria"/>
        <family val="0"/>
        <charset val="1"/>
      </rPr>
      <t xml:space="preserve">0.89–0.93 </t>
    </r>
    <r>
      <rPr>
        <b val="true"/>
        <sz val="11"/>
        <rFont val="WenQuanYi Zen Hei"/>
        <family val="2"/>
      </rPr>
      <t xml:space="preserve">矛盾的可能原因逐項評估</t>
    </r>
  </si>
  <si>
    <t xml:space="preserve">可能原因</t>
  </si>
  <si>
    <t xml:space="preserve">方向</t>
  </si>
  <si>
    <t xml:space="preserve">量級</t>
  </si>
  <si>
    <t xml:space="preserve">評估</t>
  </si>
  <si>
    <t xml:space="preserve">證據狀態</t>
  </si>
  <si>
    <t xml:space="preserve">能解決它的輸入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</si>
  <si>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雲端服務與研究實驗（儲存、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WenQuanYi Zen Hei"/>
        <family val="2"/>
      </rPr>
      <t xml:space="preserve">、網路出口、推論以外的雲端帳單）</t>
    </r>
  </si>
  <si>
    <t xml:space="preserve">降低倍數</t>
  </si>
  <si>
    <r>
      <rPr>
        <sz val="11"/>
        <color theme="1"/>
        <rFont val="WenQuanYi Zen Hei"/>
        <family val="2"/>
      </rPr>
      <t xml:space="preserve">須排除約 </t>
    </r>
    <r>
      <rPr>
        <sz val="11"/>
        <color theme="1"/>
        <rFont val="Calibri"/>
        <family val="2"/>
        <charset val="1"/>
      </rPr>
      <t xml:space="preserve">$5.1–6.5B</t>
    </r>
    <r>
      <rPr>
        <sz val="11"/>
        <color theme="1"/>
        <rFont val="WenQuanYi Zen Hei"/>
        <family val="2"/>
      </rPr>
      <t xml:space="preserve">（占 </t>
    </r>
    <r>
      <rPr>
        <sz val="11"/>
        <color theme="1"/>
        <rFont val="Calibri"/>
        <family val="2"/>
        <charset val="1"/>
      </rPr>
      <t xml:space="preserve">32–40%</t>
    </r>
    <r>
      <rPr>
        <sz val="11"/>
        <color theme="1"/>
        <rFont val="WenQuanYi Zen Hei"/>
        <family val="2"/>
      </rPr>
      <t xml:space="preserve">，見上表）</t>
    </r>
  </si>
  <si>
    <r>
      <rPr>
        <sz val="11"/>
        <color theme="1"/>
        <rFont val="WenQuanYi Zen Hei"/>
        <family val="2"/>
      </rPr>
      <t xml:space="preserve">合理但無數字：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WenQuanYi Zen Hei"/>
        <family val="2"/>
      </rPr>
      <t xml:space="preserve">億已顯示口徑不整齊（出處見證據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WenQuanYi Zen Hei"/>
        <family val="2"/>
      </rPr>
      <t xml:space="preserve">）；若這類占 </t>
    </r>
    <r>
      <rPr>
        <sz val="11"/>
        <color theme="1"/>
        <rFont val="Calibri"/>
        <family val="2"/>
        <charset val="1"/>
      </rPr>
      <t xml:space="preserve">30–40% </t>
    </r>
    <r>
      <rPr>
        <sz val="11"/>
        <color theme="1"/>
        <rFont val="WenQuanYi Zen Hei"/>
        <family val="2"/>
      </rPr>
      <t xml:space="preserve">即可解釋</t>
    </r>
  </si>
  <si>
    <t xml:space="preserve">搜尋未找到分項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</si>
  <si>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雲端帳單分項（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時數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其他服務）</t>
    </r>
  </si>
  <si>
    <r>
      <rPr>
        <sz val="11"/>
        <color theme="1"/>
        <rFont val="Calibri"/>
        <family val="2"/>
        <charset val="1"/>
      </rPr>
      <t xml:space="preserve">(b) 2025 </t>
    </r>
    <r>
      <rPr>
        <sz val="11"/>
        <color theme="1"/>
        <rFont val="WenQuanYi Zen Hei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舊約</t>
    </r>
  </si>
  <si>
    <r>
      <rPr>
        <sz val="11"/>
        <color theme="1"/>
        <rFont val="WenQuanYi Zen Hei"/>
        <family val="2"/>
      </rPr>
      <t xml:space="preserve">提高（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租金 </t>
    </r>
    <r>
      <rPr>
        <sz val="11"/>
        <color theme="1"/>
        <rFont val="Calibri"/>
        <family val="2"/>
        <charset val="1"/>
      </rPr>
      <t xml:space="preserve">&gt; TK Hopper </t>
    </r>
    <r>
      <rPr>
        <sz val="11"/>
        <color theme="1"/>
        <rFont val="WenQuanYi Zen Hei"/>
        <family val="2"/>
      </rPr>
      <t xml:space="preserve">持有成本）</t>
    </r>
  </si>
  <si>
    <r>
      <rPr>
        <sz val="11"/>
        <color theme="1"/>
        <rFont val="WenQuanYi Zen Hei"/>
        <family val="2"/>
      </rPr>
      <t xml:space="preserve">隱含每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小時 </t>
    </r>
    <r>
      <rPr>
        <sz val="11"/>
        <color theme="1"/>
        <rFont val="Calibri"/>
        <family val="2"/>
        <charset val="1"/>
      </rPr>
      <t xml:space="preserve">($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16.3 </t>
    </r>
    <r>
      <rPr>
        <sz val="11"/>
        <color theme="1"/>
        <rFont val="WenQuanYi Zen Hei"/>
        <family val="2"/>
      </rPr>
      <t xml:space="preserve">版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2025 Hopper </t>
    </r>
    <r>
      <rPr>
        <sz val="11"/>
        <color theme="1"/>
        <rFont val="WenQuanYi Zen Hei"/>
        <family val="2"/>
      </rPr>
      <t xml:space="preserve">約定價 </t>
    </r>
    <r>
      <rPr>
        <sz val="11"/>
        <color theme="1"/>
        <rFont val="Calibri"/>
        <family val="2"/>
        <charset val="1"/>
      </rPr>
      <t xml:space="preserve">$2.0–2.5 </t>
    </r>
    <r>
      <rPr>
        <sz val="11"/>
        <color theme="1"/>
        <rFont val="WenQuanYi Zen Hei"/>
        <family val="2"/>
      </rPr>
      <t xml:space="preserve">即與 </t>
    </r>
    <r>
      <rPr>
        <sz val="11"/>
        <color theme="1"/>
        <rFont val="Calibri"/>
        <family val="2"/>
        <charset val="1"/>
      </rPr>
      <t xml:space="preserve">13.0 </t>
    </r>
    <r>
      <rPr>
        <sz val="11"/>
        <color theme="1"/>
        <rFont val="WenQuanYi Zen Hei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長約隱含 </t>
    </r>
    <r>
      <rPr>
        <sz val="11"/>
        <color theme="1"/>
        <rFont val="Calibri"/>
        <family val="2"/>
        <charset val="1"/>
      </rPr>
      <t xml:space="preserve">$2.27</t>
    </r>
    <r>
      <rPr>
        <sz val="11"/>
        <color theme="1"/>
        <rFont val="WenQuanYi Zen Hei"/>
        <family val="2"/>
      </rPr>
      <t xml:space="preserve">，兩者同量級→租金不隨世代上升，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持有成本隨世代上升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</si>
  <si>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各供應商實付 </t>
    </r>
    <r>
      <rPr>
        <sz val="11"/>
        <color theme="1"/>
        <rFont val="Calibri"/>
        <family val="2"/>
        <charset val="1"/>
      </rPr>
      <t xml:space="preserve">$/GPU-hr</t>
    </r>
    <r>
      <rPr>
        <sz val="11"/>
        <color theme="1"/>
        <rFont val="WenQuanYi Zen Hei"/>
        <family val="2"/>
      </rPr>
      <t xml:space="preserve">（已搜尋，未找到）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</si>
  <si>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WenQuanYi Zen Hei"/>
        <family val="2"/>
      </rPr>
      <t xml:space="preserve">雲端商加價（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轉售）</t>
    </r>
  </si>
  <si>
    <t xml:space="preserve">提高</t>
  </si>
  <si>
    <r>
      <rPr>
        <sz val="11"/>
        <color theme="1"/>
        <rFont val="WenQuanYi Zen Hei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×(1+</t>
    </r>
    <r>
      <rPr>
        <sz val="11"/>
        <color theme="1"/>
        <rFont val="WenQuanYi Zen Hei"/>
        <family val="2"/>
      </rPr>
      <t xml:space="preserve">加價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1.0–1.3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</si>
  <si>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賣給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是批發價；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轉給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若加價 </t>
    </r>
    <r>
      <rPr>
        <sz val="11"/>
        <color theme="1"/>
        <rFont val="Calibri"/>
        <family val="2"/>
        <charset val="1"/>
      </rPr>
      <t xml:space="preserve">20% → 0.89×1.2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Microsoft–OpenAI </t>
    </r>
    <r>
      <rPr>
        <sz val="11"/>
        <color theme="1"/>
        <rFont val="WenQuanYi Zen Hei"/>
        <family val="2"/>
      </rPr>
      <t xml:space="preserve">關係（持股、額度）交織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</si>
  <si>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的實付價（找不到）</t>
    </r>
  </si>
  <si>
    <r>
      <rPr>
        <sz val="11"/>
        <color theme="1"/>
        <rFont val="Calibri"/>
        <family val="2"/>
        <charset val="1"/>
      </rPr>
      <t xml:space="preserve">(d) GW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</si>
  <si>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WenQuanYi Zen Hei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WenQuanYi Zen Hei"/>
        <family val="2"/>
      </rPr>
      <t xml:space="preserve">為設施口徑 →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WenQuanYi Zen Hei"/>
        <family val="2"/>
      </rPr>
      <t xml:space="preserve">較小（</t>
    </r>
    <r>
      <rPr>
        <sz val="11"/>
        <color theme="1"/>
        <rFont val="Calibri"/>
        <family val="2"/>
        <charset val="1"/>
      </rPr>
      <t xml:space="preserve">÷PUE</t>
    </r>
    <r>
      <rPr>
        <sz val="11"/>
        <color theme="1"/>
        <rFont val="WenQuanYi Zen Hei"/>
        <family val="2"/>
      </rPr>
      <t xml:space="preserve">）→ 每 </t>
    </r>
    <r>
      <rPr>
        <sz val="11"/>
        <color theme="1"/>
        <rFont val="Calibri"/>
        <family val="2"/>
        <charset val="1"/>
      </rPr>
      <t xml:space="preserve">IT-GW </t>
    </r>
    <r>
      <rPr>
        <sz val="11"/>
        <color theme="1"/>
        <rFont val="WenQuanYi Zen Hei"/>
        <family val="2"/>
      </rPr>
      <t xml:space="preserve">支出較高 → 倍數更高；若為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口徑則維持</t>
    </r>
  </si>
  <si>
    <r>
      <rPr>
        <sz val="11"/>
        <color theme="1"/>
        <rFont val="WenQuanYi Zen Hei"/>
        <family val="2"/>
      </rPr>
      <t xml:space="preserve">設施口徑下每 </t>
    </r>
    <r>
      <rPr>
        <sz val="11"/>
        <color theme="1"/>
        <rFont val="Calibri"/>
        <family val="2"/>
        <charset val="1"/>
      </rPr>
      <t xml:space="preserve">IT-GW </t>
    </r>
    <r>
      <rPr>
        <sz val="11"/>
        <color theme="1"/>
        <rFont val="WenQuanYi Zen Hei"/>
        <family val="2"/>
      </rPr>
      <t xml:space="preserve">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16.3 </t>
    </r>
    <r>
      <rPr>
        <sz val="11"/>
        <color theme="1"/>
        <rFont val="WenQuanYi Zen Hei"/>
        <family val="2"/>
      </rPr>
      <t xml:space="preserve">版）；不能降低倍數，只會更高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</si>
  <si>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財務長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的定義（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或設施）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</si>
  <si>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WenQuanYi Zen Hei"/>
        <family val="2"/>
      </rPr>
      <t xml:space="preserve">非現金額度</t>
    </r>
  </si>
  <si>
    <t xml:space="preserve">降低現金口徑，但「支出」若含額度則提高</t>
  </si>
  <si>
    <t xml:space="preserve">無數字</t>
  </si>
  <si>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WenQuanYi Zen Hei"/>
        <family val="2"/>
      </rPr>
      <t xml:space="preserve">提醒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端數字可能含額度</t>
    </r>
  </si>
  <si>
    <t xml:space="preserve">二手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</si>
  <si>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現金支付表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</si>
  <si>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WenQuanYi Zen Hei"/>
        <family val="2"/>
      </rPr>
      <t xml:space="preserve">時間窗與預付</t>
    </r>
  </si>
  <si>
    <t xml:space="preserve">分子含預留未上線容量→提高</t>
  </si>
  <si>
    <r>
      <rPr>
        <sz val="11"/>
        <color theme="1"/>
        <rFont val="WenQuanYi Zen Hei"/>
        <family val="2"/>
      </rPr>
      <t xml:space="preserve">分母用年底上線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內插，未含「已付費但未上線」容量</t>
    </r>
  </si>
  <si>
    <t xml:space="preserve">各供應商合約生效與上線日</t>
  </si>
  <si>
    <t xml:space="preserve">綜合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</si>
  <si>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(b)(c)(d)(f) </t>
    </r>
    <r>
      <rPr>
        <sz val="11"/>
        <color theme="1"/>
        <rFont val="WenQuanYi Zen Hei"/>
        <family val="2"/>
      </rPr>
      <t xml:space="preserve">方向相反且量級都能到 </t>
    </r>
    <r>
      <rPr>
        <sz val="11"/>
        <color theme="1"/>
        <rFont val="Calibri"/>
        <family val="2"/>
        <charset val="1"/>
      </rPr>
      <t xml:space="preserve">±20–30%</t>
    </r>
    <r>
      <rPr>
        <sz val="11"/>
        <color theme="1"/>
        <rFont val="WenQuanYi Zen Hei"/>
        <family val="2"/>
      </rPr>
      <t xml:space="preserve">；現有資料無法分離 → 列為「不可分離」。補記：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揭露支出分項，或揭露對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的實付價，才能分開。</t>
    </r>
  </si>
  <si>
    <r>
      <rPr>
        <b val="true"/>
        <sz val="11"/>
        <rFont val="Cambria"/>
        <family val="0"/>
        <charset val="1"/>
      </rPr>
      <t xml:space="preserve">3. IREN </t>
    </r>
    <r>
      <rPr>
        <b val="true"/>
        <sz val="11"/>
        <rFont val="WenQuanYi Zen Hei"/>
        <family val="2"/>
      </rPr>
      <t xml:space="preserve">原文對帳（</t>
    </r>
    <r>
      <rPr>
        <b val="true"/>
        <sz val="11"/>
        <rFont val="Cambria"/>
        <family val="0"/>
        <charset val="1"/>
      </rPr>
      <t xml:space="preserve">sec.gov 8-K </t>
    </r>
    <r>
      <rPr>
        <b val="true"/>
        <sz val="11"/>
        <rFont val="WenQuanYi Zen Hei"/>
        <family val="2"/>
      </rPr>
      <t xml:space="preserve">附件 </t>
    </r>
    <r>
      <rPr>
        <b val="true"/>
        <sz val="11"/>
        <rFont val="Cambria"/>
        <family val="0"/>
        <charset val="1"/>
      </rPr>
      <t xml:space="preserve">99-1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99-2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chat </t>
    </r>
    <r>
      <rPr>
        <b val="true"/>
        <sz val="11"/>
        <rFont val="WenQuanYi Zen Hei"/>
        <family val="2"/>
      </rPr>
      <t xml:space="preserve">端 </t>
    </r>
    <r>
      <rPr>
        <b val="true"/>
        <sz val="11"/>
        <rFont val="Cambria"/>
        <family val="0"/>
        <charset val="1"/>
      </rPr>
      <t xml:space="preserve">WebFetch </t>
    </r>
    <r>
      <rPr>
        <b val="true"/>
        <sz val="11"/>
        <rFont val="WenQuanYi Zen Hei"/>
        <family val="2"/>
      </rPr>
      <t xml:space="preserve">取得，</t>
    </r>
    <r>
      <rPr>
        <b val="true"/>
        <sz val="11"/>
        <rFont val="Cambria"/>
        <family val="0"/>
        <charset val="1"/>
      </rPr>
      <t xml:space="preserve">[Verified]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</si>
  <si>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值</t>
    </r>
  </si>
  <si>
    <t xml:space="preserve">IREN ÷ TK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</si>
  <si>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與周邊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（含部署服務、伺服器、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WenQuanYi Zen Hei"/>
        <family val="2"/>
      </rPr>
      <t xml:space="preserve">、線材、軟體授權）</t>
    </r>
  </si>
  <si>
    <t xml:space="preserve">原文</t>
  </si>
  <si>
    <r>
      <rPr>
        <sz val="11"/>
        <color theme="1"/>
        <rFont val="WenQuanYi Zen Hei"/>
        <family val="2"/>
      </rPr>
      <t xml:space="preserve">容量（</t>
    </r>
    <r>
      <rPr>
        <sz val="11"/>
        <color theme="1"/>
        <rFont val="Calibri"/>
        <family val="2"/>
        <charset val="1"/>
      </rPr>
      <t xml:space="preserve">critical IT load</t>
    </r>
    <r>
      <rPr>
        <sz val="11"/>
        <color theme="1"/>
        <rFont val="WenQuanYi Zen Hei"/>
        <family val="2"/>
      </rPr>
      <t xml:space="preserve">）</t>
    </r>
  </si>
  <si>
    <t xml:space="preserve">GW IT</t>
  </si>
  <si>
    <r>
      <rPr>
        <sz val="11"/>
        <color theme="1"/>
        <rFont val="Calibri"/>
        <family val="2"/>
        <charset val="1"/>
      </rPr>
      <t xml:space="preserve">  GPU </t>
    </r>
    <r>
      <rPr>
        <sz val="11"/>
        <color theme="1"/>
        <rFont val="WenQuanYi Zen Hei"/>
        <family val="2"/>
      </rPr>
      <t xml:space="preserve">與周邊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IT-GW</t>
    </r>
  </si>
  <si>
    <t xml:space="preserve">$B/GW</t>
  </si>
  <si>
    <r>
      <rPr>
        <sz val="11"/>
        <color theme="1"/>
        <rFont val="Calibri"/>
        <family val="2"/>
        <charset val="1"/>
      </rPr>
      <t xml:space="preserve">TK GB300 IT </t>
    </r>
    <r>
      <rPr>
        <sz val="11"/>
        <color theme="1"/>
        <rFont val="WenQuanYi Zen Hei"/>
        <family val="2"/>
      </rPr>
      <t xml:space="preserve">設備（機架＋網路＋儲存）</t>
    </r>
  </si>
  <si>
    <t xml:space="preserve">資料中心本體 低</t>
  </si>
  <si>
    <r>
      <rPr>
        <sz val="11"/>
        <color theme="1"/>
        <rFont val="Calibri"/>
        <family val="2"/>
        <charset val="1"/>
      </rPr>
      <t xml:space="preserve">Tier III </t>
    </r>
    <r>
      <rPr>
        <sz val="11"/>
        <color theme="1"/>
        <rFont val="WenQuanYi Zen Hei"/>
        <family val="2"/>
      </rPr>
      <t xml:space="preserve">同級；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12.67</t>
    </r>
    <r>
      <rPr>
        <sz val="11"/>
        <color theme="1"/>
        <rFont val="WenQuanYi Zen Hei"/>
        <family val="2"/>
      </rPr>
      <t xml:space="preserve">（土地、建物、電力、機械、光纖保全、預備費）</t>
    </r>
  </si>
  <si>
    <t xml:space="preserve">資料中心本體 高</t>
  </si>
  <si>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WenQuanYi Zen Hei"/>
        <family val="2"/>
      </rPr>
      <t xml:space="preserve">超級叢集架構部署</t>
    </r>
  </si>
  <si>
    <r>
      <rPr>
        <sz val="11"/>
        <color theme="1"/>
        <rFont val="WenQuanYi Zen Hei"/>
        <family val="2"/>
      </rPr>
      <t xml:space="preserve">是否已含在 </t>
    </r>
    <r>
      <rPr>
        <sz val="11"/>
        <color theme="1"/>
        <rFont val="Calibri"/>
        <family val="2"/>
        <charset val="1"/>
      </rPr>
      <t xml:space="preserve">5.8B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周邊內：原文未明（不可分離）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</si>
  <si>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年交付 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WenQuanYi Zen Hei"/>
        <family val="2"/>
      </rPr>
      <t xml:space="preserve">的加速費用</t>
    </r>
  </si>
  <si>
    <t xml:space="preserve">一次性，非穩態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</si>
  <si>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）：低／高</t>
    </r>
  </si>
  <si>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，與原文一致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</si>
  <si>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是否含網路與叢集部署？—不含。</t>
    </r>
    <r>
      <rPr>
        <sz val="11"/>
        <color theme="1"/>
        <rFont val="Calibri"/>
        <family val="2"/>
        <charset val="1"/>
      </rPr>
      <t xml:space="preserve">DC_Cost </t>
    </r>
    <r>
      <rPr>
        <sz val="11"/>
        <color theme="1"/>
        <rFont val="WenQuanYi Zen Hei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25–31</t>
    </r>
    <r>
      <rPr>
        <sz val="11"/>
        <color theme="1"/>
        <rFont val="WenQuanYi Zen Hei"/>
        <family val="2"/>
      </rPr>
      <t xml:space="preserve">列只有土地、建物、電力設施、機械散熱、光纖保全、預備費；網路在第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列（機架價 </t>
    </r>
    <r>
      <rPr>
        <sz val="11"/>
        <color theme="1"/>
        <rFont val="Calibri"/>
        <family val="2"/>
        <charset val="1"/>
      </rPr>
      <t xml:space="preserve">×10%</t>
    </r>
    <r>
      <rPr>
        <sz val="11"/>
        <color theme="1"/>
        <rFont val="WenQuanYi Zen Hei"/>
        <family val="2"/>
      </rPr>
      <t xml:space="preserve">）、儲存在第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列，都屬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設備；機架價含機架內冷卻。</t>
    </r>
  </si>
  <si>
    <t xml:space="preserve">配置方式（資本支出配置有兩種讀法）</t>
  </si>
  <si>
    <r>
      <rPr>
        <b val="true"/>
        <sz val="11"/>
        <rFont val="Cambria"/>
        <family val="0"/>
        <charset val="1"/>
      </rPr>
      <t xml:space="preserve">IREN IT </t>
    </r>
    <r>
      <rPr>
        <b val="true"/>
        <sz val="11"/>
        <rFont val="WenQuanYi Zen Hei"/>
        <family val="2"/>
      </rPr>
      <t xml:space="preserve">側 </t>
    </r>
    <r>
      <rPr>
        <b val="true"/>
        <sz val="11"/>
        <rFont val="Cambria"/>
        <family val="0"/>
        <charset val="1"/>
      </rPr>
      <t xml:space="preserve">$B/GW</t>
    </r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</si>
  <si>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廠房側 </t>
    </r>
    <r>
      <rPr>
        <b val="true"/>
        <sz val="11"/>
        <rFont val="Cambria"/>
        <family val="0"/>
        <charset val="1"/>
      </rPr>
      <t xml:space="preserve">$B/GW</t>
    </r>
  </si>
  <si>
    <t xml:space="preserve">TK IT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</si>
  <si>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廠房</t>
    </r>
  </si>
  <si>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比</t>
    </r>
  </si>
  <si>
    <t xml:space="preserve">廠房比</t>
  </si>
  <si>
    <r>
      <rPr>
        <b val="true"/>
        <sz val="11"/>
        <rFont val="WenQuanYi Zen Hei"/>
        <family val="2"/>
      </rPr>
      <t xml:space="preserve">廠房 </t>
    </r>
    <r>
      <rPr>
        <b val="true"/>
        <sz val="11"/>
        <rFont val="Cambria"/>
        <family val="0"/>
        <charset val="1"/>
      </rPr>
      <t xml:space="preserve">capex </t>
    </r>
    <r>
      <rPr>
        <b val="true"/>
        <sz val="11"/>
        <rFont val="WenQuanYi Zen Hei"/>
        <family val="2"/>
      </rPr>
      <t xml:space="preserve">若改為 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值，</t>
    </r>
    <r>
      <rPr>
        <b val="true"/>
        <sz val="11"/>
        <rFont val="Cambria"/>
        <family val="0"/>
        <charset val="1"/>
      </rPr>
      <t xml:space="preserve">TK GB300 </t>
    </r>
    <r>
      <rPr>
        <b val="true"/>
        <sz val="11"/>
        <rFont val="WenQuanYi Zen Hei"/>
        <family val="2"/>
      </rPr>
      <t xml:space="preserve">持有成本變化 </t>
    </r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WenQuanYi Zen Hei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</si>
  <si>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A. </t>
    </r>
    <r>
      <rPr>
        <sz val="11"/>
        <color theme="1"/>
        <rFont val="WenQuanYi Zen Hei"/>
        <family val="2"/>
      </rPr>
      <t xml:space="preserve">叢集部署歸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側（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）；廠房＝本體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（中點）</t>
    </r>
  </si>
  <si>
    <r>
      <rPr>
        <sz val="11"/>
        <color theme="1"/>
        <rFont val="Calibri"/>
        <family val="2"/>
        <charset val="1"/>
      </rPr>
      <t xml:space="preserve">B. </t>
    </r>
    <r>
      <rPr>
        <sz val="11"/>
        <color theme="1"/>
        <rFont val="WenQuanYi Zen Hei"/>
        <family val="2"/>
      </rPr>
      <t xml:space="preserve">叢集部署歸廠房側（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</si>
  <si>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WenQuanYi Zen Hei"/>
        <family val="2"/>
      </rPr>
      <t xml:space="preserve">全包（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段用法）：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</si>
  <si>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設備與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配置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B/C </t>
    </r>
    <r>
      <rPr>
        <sz val="11"/>
        <color theme="1"/>
        <rFont val="WenQuanYi Zen Hei"/>
        <family val="2"/>
      </rPr>
      <t xml:space="preserve">配置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WenQuanYi Zen Hei"/>
        <family val="2"/>
      </rPr>
      <t xml:space="preserve">）；廠房本體 </t>
    </r>
    <r>
      <rPr>
        <sz val="11"/>
        <color theme="1"/>
        <rFont val="Calibri"/>
        <family val="2"/>
        <charset val="1"/>
      </rPr>
      <t xml:space="preserve">TK 12.67 </t>
    </r>
    <r>
      <rPr>
        <sz val="11"/>
        <color theme="1"/>
        <rFont val="WenQuanYi Zen Hei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IREN 9–11</t>
    </r>
    <r>
      <rPr>
        <sz val="11"/>
        <color theme="1"/>
        <rFont val="WenQuanYi Zen Hei"/>
        <family val="2"/>
      </rPr>
      <t xml:space="preserve">（高 </t>
    </r>
    <r>
      <rPr>
        <sz val="11"/>
        <color theme="1"/>
        <rFont val="Calibri"/>
        <family val="2"/>
        <charset val="1"/>
      </rPr>
      <t xml:space="preserve">15–41%</t>
    </r>
    <r>
      <rPr>
        <sz val="11"/>
        <color theme="1"/>
        <rFont val="WenQuanYi Zen Hei"/>
        <family val="2"/>
      </rPr>
      <t xml:space="preserve">），但加上叢集部署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後（</t>
    </r>
    <r>
      <rPr>
        <sz val="11"/>
        <color theme="1"/>
        <rFont val="Calibri"/>
        <family val="2"/>
        <charset val="1"/>
      </rPr>
      <t xml:space="preserve">12–14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落在區間內。→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段「廠房可能偏低」應撤回：以原文的本體 </t>
    </r>
    <r>
      <rPr>
        <sz val="11"/>
        <color theme="1"/>
        <rFont val="Calibri"/>
        <family val="2"/>
        <charset val="1"/>
      </rPr>
      <t xml:space="preserve">9–11 </t>
    </r>
    <r>
      <rPr>
        <sz val="11"/>
        <color theme="1"/>
        <rFont val="WenQuanYi Zen Hei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偏高；以含叢集部署比，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持平。總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配置（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44.0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0.98 </t>
    </r>
    <r>
      <rPr>
        <sz val="11"/>
        <color theme="1"/>
        <rFont val="WenQuanYi Zen Hei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配置（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42.0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0.935 </t>
    </r>
    <r>
      <rPr>
        <sz val="11"/>
        <color theme="1"/>
        <rFont val="WenQuanYi Zen Hei"/>
        <family val="2"/>
      </rPr>
      <t xml:space="preserve">倍（對 </t>
    </r>
    <r>
      <rPr>
        <sz val="11"/>
        <color theme="1"/>
        <rFont val="Calibri"/>
        <family val="2"/>
        <charset val="1"/>
      </rPr>
      <t xml:space="preserve">TK 44.9</t>
    </r>
    <r>
      <rPr>
        <sz val="11"/>
        <color theme="1"/>
        <rFont val="WenQuanYi Zen Hei"/>
        <family val="2"/>
      </rPr>
      <t xml:space="preserve">）。租金差額的分解方式不受影響。</t>
    </r>
  </si>
  <si>
    <t xml:space="preserve">營運費用下界</t>
  </si>
  <si>
    <r>
      <rPr>
        <sz val="11"/>
        <color theme="1"/>
        <rFont val="Calibri"/>
        <family val="2"/>
        <charset val="1"/>
      </rPr>
      <t xml:space="preserve">15%×9.70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1.455</t>
    </r>
    <r>
      <rPr>
        <sz val="11"/>
        <color theme="1"/>
        <rFont val="WenQuanYi Zen Hei"/>
        <family val="2"/>
      </rPr>
      <t xml:space="preserve">；扣電費、維修、其他直接營運費，不含企業管理費、財務費用、非現金項目 → 是下界（原文有依據）；</t>
    </r>
    <r>
      <rPr>
        <sz val="11"/>
        <color theme="1"/>
        <rFont val="Calibri"/>
        <family val="2"/>
        <charset val="1"/>
      </rPr>
      <t xml:space="preserve">TK 1.98 </t>
    </r>
    <r>
      <rPr>
        <sz val="11"/>
        <color theme="1"/>
        <rFont val="WenQuanYi Zen Hei"/>
        <family val="2"/>
      </rPr>
      <t xml:space="preserve">含站點營運與財產稅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</si>
  <si>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小時視角：長約租金是否不隨世代上升，而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持有成本隨世代上升？（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WenQuanYi Zen Hei"/>
        <family val="2"/>
      </rPr>
      <t xml:space="preserve">）</t>
    </r>
  </si>
  <si>
    <t xml:space="preserve">世代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</si>
  <si>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GPU </t>
    </r>
    <r>
      <rPr>
        <b val="true"/>
        <sz val="11"/>
        <rFont val="WenQuanYi Zen Hei"/>
        <family val="2"/>
      </rPr>
      <t xml:space="preserve">數</t>
    </r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</si>
  <si>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持有成本 </t>
    </r>
    <r>
      <rPr>
        <b val="true"/>
        <sz val="11"/>
        <rFont val="Cambria"/>
        <family val="0"/>
        <charset val="1"/>
      </rPr>
      <t xml:space="preserve">$/GPU-hr</t>
    </r>
  </si>
  <si>
    <r>
      <rPr>
        <b val="true"/>
        <sz val="11"/>
        <rFont val="WenQuanYi Zen Hei"/>
        <family val="2"/>
      </rPr>
      <t xml:space="preserve">外部租金 </t>
    </r>
    <r>
      <rPr>
        <b val="true"/>
        <sz val="11"/>
        <rFont val="Cambria"/>
        <family val="0"/>
        <charset val="1"/>
      </rPr>
      <t xml:space="preserve">$/GPU-hr</t>
    </r>
    <r>
      <rPr>
        <b val="true"/>
        <sz val="11"/>
        <rFont val="WenQuanYi Zen Hei"/>
        <family val="2"/>
      </rPr>
      <t xml:space="preserve">（隱含）</t>
    </r>
  </si>
  <si>
    <r>
      <rPr>
        <b val="true"/>
        <sz val="11"/>
        <rFont val="WenQuanYi Zen Hei"/>
        <family val="2"/>
      </rPr>
      <t xml:space="preserve">外部 </t>
    </r>
    <r>
      <rPr>
        <b val="true"/>
        <sz val="11"/>
        <rFont val="Cambria"/>
        <family val="0"/>
        <charset val="1"/>
      </rPr>
      <t xml:space="preserve">÷ TK</t>
    </r>
  </si>
  <si>
    <t xml:space="preserve">外部來源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</si>
  <si>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WenQuanYi Zen Hei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WenQuanYi Zen Hei"/>
        <family val="2"/>
      </rPr>
      <t xml:space="preserve">）</t>
    </r>
  </si>
  <si>
    <t xml:space="preserve">2.53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</si>
  <si>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Ornn H100 </t>
    </r>
    <r>
      <rPr>
        <sz val="11"/>
        <color theme="1"/>
        <rFont val="WenQuanYi Zen Hei"/>
        <family val="2"/>
      </rPr>
      <t xml:space="preserve">成交價（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WenQuanYi Zen Hei"/>
        <family val="2"/>
      </rPr>
      <t xml:space="preserve">）</t>
    </r>
  </si>
  <si>
    <t xml:space="preserve">3.15</t>
  </si>
  <si>
    <r>
      <rPr>
        <sz val="11"/>
        <color theme="1"/>
        <rFont val="WenQuanYi Zen Hei"/>
        <family val="2"/>
      </rPr>
      <t xml:space="preserve">機隊層級（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組合，含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16.3÷1.25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13.04 </t>
    </r>
    <r>
      <rPr>
        <sz val="11"/>
        <color theme="1"/>
        <rFont val="WenQuanYi Zen Hei"/>
        <family val="2"/>
      </rPr>
      <t xml:space="preserve">隱含（</t>
    </r>
    <r>
      <rPr>
        <sz val="11"/>
        <color theme="1"/>
        <rFont val="Calibri"/>
        <family val="2"/>
        <charset val="1"/>
      </rPr>
      <t xml:space="preserve">16.0 </t>
    </r>
    <r>
      <rPr>
        <sz val="11"/>
        <color theme="1"/>
        <rFont val="WenQuanYi Zen Hei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12.8 → $2.31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</si>
  <si>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：機隊層級，非單一世代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</si>
  <si>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IREN 9.70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</si>
  <si>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</si>
  <si>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Nscale Narvik</t>
    </r>
    <r>
      <rPr>
        <sz val="11"/>
        <color theme="1"/>
        <rFont val="WenQuanYi Zen Hei"/>
        <family val="2"/>
      </rPr>
      <t xml:space="preserve">（第三方推算）</t>
    </r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</si>
  <si>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Oracle 12.0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WenQuanYi Zen Hei"/>
        <family val="2"/>
      </rPr>
      <t xml:space="preserve">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</si>
  <si>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觀察：外部隱含租金約 </t>
    </r>
    <r>
      <rPr>
        <sz val="11"/>
        <color theme="1"/>
        <rFont val="Calibri"/>
        <family val="2"/>
        <charset val="1"/>
      </rPr>
      <t xml:space="preserve">$2.3–2.7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  <r>
      <rPr>
        <sz val="11"/>
        <color theme="1"/>
        <rFont val="WenQuanYi Zen Hei"/>
        <family val="2"/>
      </rPr>
      <t xml:space="preserve">，幾乎不隨世代變；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持有成本由 </t>
    </r>
    <r>
      <rPr>
        <sz val="11"/>
        <color theme="1"/>
        <rFont val="Calibri"/>
        <family val="2"/>
        <charset val="1"/>
      </rPr>
      <t xml:space="preserve">Hopper 1.54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VR200 4.78</t>
    </r>
    <r>
      <rPr>
        <sz val="11"/>
        <color theme="1"/>
        <rFont val="WenQuanYi Zen Hei"/>
        <family val="2"/>
      </rPr>
      <t xml:space="preserve">。→ 倍數隨世代由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、舊世代組合）降到 </t>
    </r>
    <r>
      <rPr>
        <sz val="11"/>
        <color theme="1"/>
        <rFont val="Calibri"/>
        <family val="2"/>
        <charset val="1"/>
      </rPr>
      <t xml:space="preserve">&lt;1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）。這同時解釋「機隊層級 </t>
    </r>
    <r>
      <rPr>
        <sz val="11"/>
        <color theme="1"/>
        <rFont val="Calibri"/>
        <family val="2"/>
        <charset val="1"/>
      </rPr>
      <t xml:space="preserve">1.37</t>
    </r>
    <r>
      <rPr>
        <sz val="11"/>
        <color theme="1"/>
        <rFont val="WenQuanYi Zen Hei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WenQuanYi Zen Hei"/>
        <family val="2"/>
      </rPr>
      <t xml:space="preserve">」，但依賴「租金不隨世代變」，且資料點少。反例：</t>
    </r>
    <r>
      <rPr>
        <sz val="11"/>
        <color theme="1"/>
        <rFont val="Calibri"/>
        <family val="2"/>
        <charset val="1"/>
      </rPr>
      <t xml:space="preserve">Oracle→VR200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$4.7</t>
    </r>
    <r>
      <rPr>
        <sz val="11"/>
        <color theme="1"/>
        <rFont val="WenQuanYi Zen Hei"/>
        <family val="2"/>
      </rPr>
      <t xml:space="preserve">（匿名消息、且假設交付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；若交付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則隱含約 </t>
    </r>
    <r>
      <rPr>
        <sz val="11"/>
        <color theme="1"/>
        <rFont val="Calibri"/>
        <family val="2"/>
        <charset val="1"/>
      </rPr>
      <t xml:space="preserve">$2.8</t>
    </r>
    <r>
      <rPr>
        <sz val="11"/>
        <color theme="1"/>
        <rFont val="WenQuanYi Zen Hei"/>
        <family val="2"/>
      </rPr>
      <t xml:space="preserve">，與「租金不隨世代變」一致）。</t>
    </r>
    <r>
      <rPr>
        <sz val="11"/>
        <color theme="1"/>
        <rFont val="Calibri"/>
        <family val="2"/>
        <charset val="1"/>
      </rPr>
      <t xml:space="preserve">CoreWeave 2026Q2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$1.5</t>
    </r>
    <r>
      <rPr>
        <sz val="11"/>
        <color theme="1"/>
        <rFont val="WenQuanYi Zen Hei"/>
        <family val="2"/>
      </rPr>
      <t xml:space="preserve">（見第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節）則低於此區間，與假設不合，原因不可分離。</t>
    </r>
  </si>
  <si>
    <r>
      <rPr>
        <b val="true"/>
        <sz val="11"/>
        <rFont val="Cambria"/>
        <family val="0"/>
        <charset val="1"/>
      </rPr>
      <t xml:space="preserve">5. CoreWeave 2026Q2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WenQuanYi Zen Hei"/>
        <family val="2"/>
      </rPr>
      <t xml:space="preserve">部分）與 </t>
    </r>
    <r>
      <rPr>
        <b val="true"/>
        <sz val="11"/>
        <rFont val="Cambria"/>
        <family val="0"/>
        <charset val="1"/>
      </rPr>
      <t xml:space="preserve">Nebius 2026Q2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6-K</t>
    </r>
    <r>
      <rPr>
        <b val="true"/>
        <sz val="11"/>
        <rFont val="WenQuanYi Zen Hei"/>
        <family val="2"/>
      </rPr>
      <t xml:space="preserve">）財報結構（百萬美元）</t>
    </r>
  </si>
  <si>
    <t xml:space="preserve">CoreWeave Q2 2026</t>
  </si>
  <si>
    <t xml:space="preserve">Nebius Q2 2026</t>
  </si>
  <si>
    <t xml:space="preserve">營收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</si>
  <si>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6-K</t>
    </r>
  </si>
  <si>
    <r>
      <rPr>
        <sz val="11"/>
        <color theme="1"/>
        <rFont val="WenQuanYi Zen Hei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cost of revenue</t>
    </r>
    <r>
      <rPr>
        <sz val="11"/>
        <color theme="1"/>
        <rFont val="WenQuanYi Zen Hei"/>
        <family val="2"/>
      </rPr>
      <t xml:space="preserve">）</t>
    </r>
  </si>
  <si>
    <t xml:space="preserve">技術與基礎設施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</si>
  <si>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項目</t>
    </r>
  </si>
  <si>
    <t xml:space="preserve">折舊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</si>
  <si>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WenQuanYi Zen Hei"/>
        <family val="2"/>
      </rPr>
      <t xml:space="preserve">：是否含在技術與基礎設施內，部分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未明（假設含）</t>
    </r>
  </si>
  <si>
    <r>
      <rPr>
        <sz val="11"/>
        <color theme="1"/>
        <rFont val="WenQuanYi Zen Hei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</si>
  <si>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</si>
  <si>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營收 − 營業成本 − 技術與基礎設施（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WenQuanYi Zen Hei"/>
        <family val="2"/>
      </rPr>
      <t xml:space="preserve">前）</t>
    </r>
  </si>
  <si>
    <t xml:space="preserve">若折舊含於技術與基礎設施：營業利益率</t>
  </si>
  <si>
    <r>
      <rPr>
        <sz val="11"/>
        <color theme="1"/>
        <rFont val="Calibri"/>
        <family val="2"/>
        <charset val="1"/>
      </rPr>
      <t xml:space="preserve"> 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</si>
  <si>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對照：廠房側成本占持有成本（廠房年金＋電費＋廠房維護＋站點營運＋廠房財產稅）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</si>
  <si>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營業成本含租賃機房與電力 → 與此對照（</t>
    </r>
    <r>
      <rPr>
        <sz val="11"/>
        <color theme="1"/>
        <rFont val="Calibri"/>
        <family val="2"/>
        <charset val="1"/>
      </rPr>
      <t xml:space="preserve">34% vs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），量級吻合；營業成本內容未逐項揭露（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）；分母不同（營收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持有成本）：</t>
    </r>
    <r>
      <rPr>
        <sz val="11"/>
        <color theme="1"/>
        <rFont val="Calibri"/>
        <family val="2"/>
        <charset val="1"/>
      </rPr>
      <t xml:space="preserve">34%×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8.24≈2.81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30%×</t>
    </r>
    <r>
      <rPr>
        <sz val="11"/>
        <color theme="1"/>
        <rFont val="WenQuanYi Zen Hei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9.35≈2.82</t>
    </r>
    <r>
      <rPr>
        <sz val="11"/>
        <color theme="1"/>
        <rFont val="WenQuanYi Zen Hei"/>
        <family val="2"/>
      </rPr>
      <t xml:space="preserve">，絕對值吻合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</si>
  <si>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帳面折舊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持有成本（組合）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</si>
  <si>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折舊占營收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折舊約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為營收）；差距可由新世代較貴、含租賃改良折舊解釋（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</si>
  <si>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 active power Q1 </t>
    </r>
    <r>
      <rPr>
        <sz val="11"/>
        <color theme="1"/>
        <rFont val="WenQuanYi Zen Hei"/>
        <family val="2"/>
      </rPr>
      <t xml:space="preserve">末（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</si>
  <si>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WenQuanYi Zen Hei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淨增近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WenQuanYi Zen Hei"/>
        <family val="2"/>
      </rPr>
      <t xml:space="preserve">」反推（與「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突破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WenQuanYi Zen Hei"/>
        <family val="2"/>
      </rPr>
      <t xml:space="preserve">」一致）；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或設施口徑未取得</t>
    </r>
  </si>
  <si>
    <r>
      <rPr>
        <sz val="11"/>
        <color theme="1"/>
        <rFont val="Calibri"/>
        <family val="2"/>
        <charset val="1"/>
      </rPr>
      <t xml:space="preserve">CoreWeave active power Q2 </t>
    </r>
    <r>
      <rPr>
        <sz val="11"/>
        <color theme="1"/>
        <rFont val="WenQuanYi Zen Hei"/>
        <family val="2"/>
      </rPr>
      <t xml:space="preserve">末（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</si>
  <si>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新聞稿（搜尋摘要，二手）</t>
    </r>
  </si>
  <si>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 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</si>
  <si>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WenQuanYi Zen Hei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</si>
  <si>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段）；新容量爬坡拉低比值</t>
    </r>
  </si>
  <si>
    <r>
      <rPr>
        <sz val="11"/>
        <color theme="1"/>
        <rFont val="Calibri"/>
        <family val="2"/>
        <charset val="1"/>
      </rPr>
      <t xml:space="preserve">  ÷ TK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</t>
    </r>
  </si>
  <si>
    <r>
      <rPr>
        <sz val="11"/>
        <color theme="1"/>
        <rFont val="WenQuanYi Zen Hei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$/GPU-hr</t>
    </r>
    <r>
      <rPr>
        <sz val="11"/>
        <color theme="1"/>
        <rFont val="WenQuanYi Zen Hei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組合每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數）</t>
    </r>
  </si>
  <si>
    <r>
      <rPr>
        <sz val="11"/>
        <color theme="1"/>
        <rFont val="WenQuanYi Zen Hei"/>
        <family val="2"/>
      </rPr>
      <t xml:space="preserve">明顯低於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WenQuanYi Zen Hei"/>
        <family val="2"/>
      </rPr>
      <t xml:space="preserve">指數 </t>
    </r>
    <r>
      <rPr>
        <sz val="11"/>
        <color theme="1"/>
        <rFont val="Calibri"/>
        <family val="2"/>
        <charset val="1"/>
      </rPr>
      <t xml:space="preserve">2.5–3.2</t>
    </r>
    <r>
      <rPr>
        <sz val="11"/>
        <color theme="1"/>
        <rFont val="WenQuanYi Zen Hei"/>
        <family val="2"/>
      </rPr>
      <t xml:space="preserve">：爬坡落差（電通但未計費）＋舊約低價＋口徑；不可分離</t>
    </r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</si>
  <si>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設備耐用年限</t>
    </r>
  </si>
  <si>
    <r>
      <rPr>
        <sz val="11"/>
        <color theme="1"/>
        <rFont val="Calibri"/>
        <family val="2"/>
        <charset val="1"/>
      </rPr>
      <t xml:space="preserve">4 → 5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</si>
  <si>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折舊率下降約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，抬高帳面利潤，不改現金成本；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WenQuanYi Zen Hei"/>
        <family val="2"/>
      </rPr>
      <t xml:space="preserve">定義未揭露</t>
    </r>
  </si>
  <si>
    <r>
      <rPr>
        <sz val="11"/>
        <color theme="1"/>
        <rFont val="WenQuanYi Zen Hei"/>
        <family val="2"/>
      </rPr>
      <t xml:space="preserve">未取得（待 </t>
    </r>
    <r>
      <rPr>
        <sz val="11"/>
        <color theme="1"/>
        <rFont val="Calibri"/>
        <family val="2"/>
        <charset val="1"/>
      </rPr>
      <t xml:space="preserve">Drive inbox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全文）</t>
    </r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</si>
  <si>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定義、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耐用年限、債務利率</t>
    </r>
  </si>
  <si>
    <r>
      <rPr>
        <sz val="11"/>
        <color theme="1"/>
        <rFont val="WenQuanYi Zen Hei"/>
        <family val="2"/>
      </rPr>
      <t xml:space="preserve">→ 有了債務利率才能把「出租方折現率 </t>
    </r>
    <r>
      <rPr>
        <sz val="11"/>
        <color theme="1"/>
        <rFont val="Calibri"/>
        <family val="2"/>
        <charset val="1"/>
      </rPr>
      <t xml:space="preserve">3–8%</t>
    </r>
    <r>
      <rPr>
        <sz val="11"/>
        <color theme="1"/>
        <rFont val="WenQuanYi Zen Hei"/>
        <family val="2"/>
      </rPr>
      <t xml:space="preserve">」落到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實值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</si>
  <si>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出租方資金成本依公司分列；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租金差額重新拆解（</t>
    </r>
    <r>
      <rPr>
        <b val="true"/>
        <sz val="11"/>
        <rFont val="Cambria"/>
        <family val="0"/>
        <charset val="1"/>
      </rPr>
      <t xml:space="preserve">CoreWeave 10-Q Note 10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IREN 8-K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</si>
  <si>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注意：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只讀到 </t>
    </r>
    <r>
      <rPr>
        <sz val="11"/>
        <color theme="1"/>
        <rFont val="Calibri"/>
        <family val="2"/>
        <charset val="1"/>
      </rPr>
      <t xml:space="preserve">181 </t>
    </r>
    <r>
      <rPr>
        <sz val="11"/>
        <color theme="1"/>
        <rFont val="WenQuanYi Zen Hei"/>
        <family val="2"/>
      </rPr>
      <t xml:space="preserve">頁中的前約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WenQuanYi Zen Hei"/>
        <family val="2"/>
      </rPr>
      <t xml:space="preserve">頁（財報本文、附註 </t>
    </r>
    <r>
      <rPr>
        <sz val="11"/>
        <color theme="1"/>
        <rFont val="Calibri"/>
        <family val="2"/>
        <charset val="1"/>
      </rPr>
      <t xml:space="preserve">1–15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WenQuanYi Zen Hei"/>
        <family val="2"/>
      </rPr>
      <t xml:space="preserve">前半）；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power </t>
    </r>
    <r>
      <rPr>
        <sz val="11"/>
        <color theme="1"/>
        <rFont val="WenQuanYi Zen Hei"/>
        <family val="2"/>
      </rPr>
      <t xml:space="preserve">定義、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耐用年限未找到。</t>
    </r>
  </si>
  <si>
    <r>
      <rPr>
        <b val="true"/>
        <sz val="11"/>
        <rFont val="Cambria"/>
        <family val="0"/>
        <charset val="1"/>
      </rPr>
      <t xml:space="preserve">CoreWeave </t>
    </r>
    <r>
      <rPr>
        <b val="true"/>
        <sz val="11"/>
        <rFont val="WenQuanYi Zen Hei"/>
        <family val="2"/>
      </rPr>
      <t xml:space="preserve">債務（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$M</t>
    </r>
    <r>
      <rPr>
        <b val="true"/>
        <sz val="11"/>
        <rFont val="WenQuanYi Zen Hei"/>
        <family val="2"/>
      </rPr>
      <t xml:space="preserve">）</t>
    </r>
  </si>
  <si>
    <t xml:space="preserve">有效利率</t>
  </si>
  <si>
    <r>
      <rPr>
        <b val="true"/>
        <sz val="11"/>
        <rFont val="WenQuanYi Zen Hei"/>
        <family val="2"/>
      </rPr>
      <t xml:space="preserve">餘額 </t>
    </r>
    <r>
      <rPr>
        <b val="true"/>
        <sz val="11"/>
        <rFont val="Cambria"/>
        <family val="0"/>
        <charset val="1"/>
      </rPr>
      <t xml:space="preserve">$M</t>
    </r>
  </si>
  <si>
    <t xml:space="preserve">DDTL 1.0</t>
  </si>
  <si>
    <t xml:space="preserve">DDTL</t>
  </si>
  <si>
    <r>
      <rPr>
        <sz val="11"/>
        <color theme="1"/>
        <rFont val="Calibri"/>
        <family val="2"/>
        <charset val="1"/>
      </rPr>
      <t xml:space="preserve">10-Q Note 10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Effective Interest Rates</t>
    </r>
    <r>
      <rPr>
        <sz val="11"/>
        <color theme="1"/>
        <rFont val="WenQuanYi Zen Hei"/>
        <family val="2"/>
      </rPr>
      <t xml:space="preserve">」</t>
    </r>
  </si>
  <si>
    <t xml:space="preserve">DDTL 2.0</t>
  </si>
  <si>
    <t xml:space="preserve">DDTL 2.1</t>
  </si>
  <si>
    <t xml:space="preserve">DDTL 3.0</t>
  </si>
  <si>
    <r>
      <rPr>
        <sz val="11"/>
        <color theme="1"/>
        <rFont val="Calibri"/>
        <family val="2"/>
        <charset val="1"/>
      </rPr>
      <t xml:space="preserve">DDTL 5.0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SOFR+4.50%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</si>
  <si>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non-recourse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SOFR+2.25%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Treasury+2.00%</t>
    </r>
    <r>
      <rPr>
        <sz val="11"/>
        <color theme="1"/>
        <rFont val="WenQuanYi Zen Hei"/>
        <family val="2"/>
      </rPr>
      <t xml:space="preserve">）</t>
    </r>
  </si>
  <si>
    <t xml:space="preserve">2030 Senior Notes</t>
  </si>
  <si>
    <t xml:space="preserve">其他</t>
  </si>
  <si>
    <t xml:space="preserve">2031 9.00% Notes</t>
  </si>
  <si>
    <t xml:space="preserve">2031 9.75% Notes</t>
  </si>
  <si>
    <t xml:space="preserve">2032 9.625% Notes</t>
  </si>
  <si>
    <t xml:space="preserve">2032 EUR Notes</t>
  </si>
  <si>
    <t xml:space="preserve">2031 Convertible</t>
  </si>
  <si>
    <t xml:space="preserve">可轉債</t>
  </si>
  <si>
    <t xml:space="preserve">2032 Convertible</t>
  </si>
  <si>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Software financing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recourse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</si>
  <si>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Software financing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non-recourse</t>
    </r>
    <r>
      <rPr>
        <sz val="11"/>
        <color theme="1"/>
        <rFont val="WenQuanYi Zen Hei"/>
        <family val="2"/>
      </rPr>
      <t xml:space="preserve">）</t>
    </r>
  </si>
  <si>
    <t xml:space="preserve">Magnetar Loan</t>
  </si>
  <si>
    <t xml:space="preserve">加權平均（全部，按餘額）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</si>
  <si>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無整體加權平均；原文只有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WenQuanYi Zen Hei"/>
        <family val="2"/>
      </rPr>
      <t xml:space="preserve">短期工具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WenQuanYi Zen Hei"/>
        <family val="2"/>
      </rPr>
      <t xml:space="preserve">）</t>
    </r>
  </si>
  <si>
    <t xml:space="preserve">加權平均（不含可轉債）</t>
  </si>
  <si>
    <r>
      <rPr>
        <sz val="11"/>
        <color theme="1"/>
        <rFont val="WenQuanYi Zen Hei"/>
        <family val="2"/>
      </rPr>
      <t xml:space="preserve">加權平均（</t>
    </r>
    <r>
      <rPr>
        <sz val="11"/>
        <color theme="1"/>
        <rFont val="Calibri"/>
        <family val="2"/>
        <charset val="1"/>
      </rPr>
      <t xml:space="preserve">DDTL </t>
    </r>
    <r>
      <rPr>
        <sz val="11"/>
        <color theme="1"/>
        <rFont val="WenQuanYi Zen Hei"/>
        <family val="2"/>
      </rPr>
      <t xml:space="preserve">系列，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擔保）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</si>
  <si>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利息費用淨額年化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債務餘額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</si>
  <si>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；利息費用 </t>
    </r>
    <r>
      <rPr>
        <sz val="11"/>
        <color theme="1"/>
        <rFont val="Calibri"/>
        <family val="2"/>
        <charset val="1"/>
      </rPr>
      <t xml:space="preserve">(640)</t>
    </r>
    <r>
      <rPr>
        <sz val="11"/>
        <color theme="1"/>
        <rFont val="WenQuanYi Zen Hei"/>
        <family val="2"/>
      </rPr>
      <t xml:space="preserve">，含資本化等影響</t>
    </r>
  </si>
  <si>
    <r>
      <rPr>
        <sz val="11"/>
        <color theme="1"/>
        <rFont val="Calibri"/>
        <family val="2"/>
        <charset val="1"/>
      </rPr>
      <t xml:space="preserve">IREN GPU </t>
    </r>
    <r>
      <rPr>
        <sz val="11"/>
        <color theme="1"/>
        <rFont val="WenQuanYi Zen Hei"/>
        <family val="2"/>
      </rPr>
      <t xml:space="preserve">融資平均成本</t>
    </r>
  </si>
  <si>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WenQuanYi Zen Hei"/>
        <family val="2"/>
      </rPr>
      <t xml:space="preserve">後續融資新聞：</t>
    </r>
    <r>
      <rPr>
        <sz val="11"/>
        <color theme="1"/>
        <rFont val="Calibri"/>
        <family val="2"/>
        <charset val="1"/>
      </rPr>
      <t xml:space="preserve">$3.65B </t>
    </r>
    <r>
      <rPr>
        <sz val="11"/>
        <color theme="1"/>
        <rFont val="WenQuanYi Zen Hei"/>
        <family val="2"/>
      </rPr>
      <t xml:space="preserve">投資級設施＋客戶預付款，涵蓋 </t>
    </r>
    <r>
      <rPr>
        <sz val="11"/>
        <color theme="1"/>
        <rFont val="Calibri"/>
        <family val="2"/>
        <charset val="1"/>
      </rPr>
      <t xml:space="preserve">$5.81B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WenQuanYi Zen Hei"/>
        <family val="2"/>
      </rPr>
      <t xml:space="preserve">；債務以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長約為擔保（個案）</t>
    </r>
  </si>
  <si>
    <r>
      <rPr>
        <sz val="11"/>
        <color theme="1"/>
        <rFont val="Calibri"/>
        <family val="2"/>
        <charset val="1"/>
      </rPr>
      <t xml:space="preserve">Tokenomics WACC</t>
    </r>
    <r>
      <rPr>
        <sz val="11"/>
        <color theme="1"/>
        <rFont val="WenQuanYi Zen Hei"/>
        <family val="2"/>
      </rPr>
      <t xml:space="preserve">（基準）</t>
    </r>
  </si>
  <si>
    <r>
      <rPr>
        <sz val="11"/>
        <color theme="1"/>
        <rFont val="WenQuanYi Zen Hei"/>
        <family val="2"/>
      </rPr>
      <t xml:space="preserve">讀法：出租方資金成本依公司而異——</t>
    </r>
    <r>
      <rPr>
        <sz val="11"/>
        <color theme="1"/>
        <rFont val="Calibri"/>
        <family val="2"/>
        <charset val="1"/>
      </rPr>
      <t xml:space="preserve">IREN 3.31%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擔保＋預付款）；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債務 </t>
    </r>
    <r>
      <rPr>
        <sz val="11"/>
        <color theme="1"/>
        <rFont val="Calibri"/>
        <family val="2"/>
        <charset val="1"/>
      </rPr>
      <t xml:space="preserve">9.6–9.9%</t>
    </r>
    <r>
      <rPr>
        <sz val="11"/>
        <color theme="1"/>
        <rFont val="WenQuanYi Zen Hei"/>
        <family val="2"/>
      </rPr>
      <t xml:space="preserve">，接近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。先前「出租方折現率 </t>
    </r>
    <r>
      <rPr>
        <sz val="11"/>
        <color theme="1"/>
        <rFont val="Calibri"/>
        <family val="2"/>
        <charset val="1"/>
      </rPr>
      <t xml:space="preserve">3–8%</t>
    </r>
    <r>
      <rPr>
        <sz val="11"/>
        <color theme="1"/>
        <rFont val="WenQuanYi Zen Hei"/>
        <family val="2"/>
      </rPr>
      <t xml:space="preserve">」只適用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個案，不能推廣為市場常態。</t>
    </r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</si>
  <si>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租金差額（</t>
    </r>
    <r>
      <rPr>
        <b val="true"/>
        <sz val="11"/>
        <rFont val="Cambria"/>
        <family val="0"/>
        <charset val="1"/>
      </rPr>
      <t xml:space="preserve">GB300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WenQuanYi Zen Hei"/>
        <family val="2"/>
      </rPr>
      <t xml:space="preserve">年）重新拆解</t>
    </r>
  </si>
  <si>
    <t xml:space="preserve">IREN IT capex</t>
  </si>
  <si>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廠房 </t>
    </r>
    <r>
      <rPr>
        <b val="true"/>
        <sz val="11"/>
        <rFont val="Cambria"/>
        <family val="0"/>
        <charset val="1"/>
      </rPr>
      <t xml:space="preserve">capex</t>
    </r>
  </si>
  <si>
    <r>
      <rPr>
        <b val="true"/>
        <sz val="11"/>
        <rFont val="Cambria"/>
        <family val="0"/>
        <charset val="1"/>
      </rPr>
      <t xml:space="preserve">IT capex </t>
    </r>
    <r>
      <rPr>
        <b val="true"/>
        <sz val="11"/>
        <rFont val="WenQuanYi Zen Hei"/>
        <family val="2"/>
      </rPr>
      <t xml:space="preserve">效果</t>
    </r>
  </si>
  <si>
    <r>
      <rPr>
        <b val="true"/>
        <sz val="11"/>
        <rFont val="WenQuanYi Zen Hei"/>
        <family val="2"/>
      </rPr>
      <t xml:space="preserve">廠房 </t>
    </r>
    <r>
      <rPr>
        <b val="true"/>
        <sz val="11"/>
        <rFont val="Cambria"/>
        <family val="0"/>
        <charset val="1"/>
      </rPr>
      <t xml:space="preserve">capex </t>
    </r>
    <r>
      <rPr>
        <b val="true"/>
        <sz val="11"/>
        <rFont val="WenQuanYi Zen Hei"/>
        <family val="2"/>
      </rPr>
      <t xml:space="preserve">效果</t>
    </r>
  </si>
  <si>
    <t xml:space="preserve">營運費用效果</t>
  </si>
  <si>
    <t xml:space="preserve">折現率與其他殘差</t>
  </si>
  <si>
    <r>
      <rPr>
        <b val="true"/>
        <sz val="11"/>
        <rFont val="WenQuanYi Zen Hei"/>
        <family val="2"/>
      </rPr>
      <t xml:space="preserve">租金差額（</t>
    </r>
    <r>
      <rPr>
        <b val="true"/>
        <sz val="11"/>
        <rFont val="Cambria"/>
        <family val="0"/>
        <charset val="1"/>
      </rPr>
      <t xml:space="preserve">IREN 9.70 − TK</t>
    </r>
    <r>
      <rPr>
        <b val="true"/>
        <sz val="11"/>
        <rFont val="WenQuanYi Zen Hei"/>
        <family val="2"/>
      </rPr>
      <t xml:space="preserve">）</t>
    </r>
  </si>
  <si>
    <t xml:space="preserve">殘差占差額</t>
  </si>
  <si>
    <r>
      <rPr>
        <sz val="11"/>
        <color theme="1"/>
        <rFont val="Calibri"/>
        <family val="2"/>
        <charset val="1"/>
      </rPr>
      <t xml:space="preserve">A. </t>
    </r>
    <r>
      <rPr>
        <sz val="11"/>
        <color theme="1"/>
        <rFont val="WenQuanYi Zen Hei"/>
        <family val="2"/>
      </rPr>
      <t xml:space="preserve">叢集部署歸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側（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WenQuanYi Zen Hei"/>
        <family val="2"/>
      </rPr>
      <t xml:space="preserve">）；廠房＝本體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</si>
  <si>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B. </t>
    </r>
    <r>
      <rPr>
        <sz val="11"/>
        <color theme="1"/>
        <rFont val="WenQuanYi Zen Hei"/>
        <family val="2"/>
      </rPr>
      <t xml:space="preserve">叢集部署歸廠房側（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；廠房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</si>
  <si>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WenQuanYi Zen Hei"/>
        <family val="2"/>
      </rPr>
      <t xml:space="preserve">全包（</t>
    </r>
    <r>
      <rPr>
        <sz val="11"/>
        <color theme="1"/>
        <rFont val="Calibri"/>
        <family val="2"/>
        <charset val="1"/>
      </rPr>
      <t xml:space="preserve">29.0</t>
    </r>
    <r>
      <rPr>
        <sz val="11"/>
        <color theme="1"/>
        <rFont val="WenQuanYi Zen Hei"/>
        <family val="2"/>
      </rPr>
      <t xml:space="preserve">；廠房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</si>
  <si>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效果＝以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WenQuanYi Zen Hei"/>
        <family val="2"/>
      </rPr>
      <t xml:space="preserve">年、廠房年金率計算「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」造成的年持有成本差；營運效果＝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營運下界 </t>
    </r>
    <r>
      <rPr>
        <sz val="11"/>
        <color theme="1"/>
        <rFont val="Calibri"/>
        <family val="2"/>
        <charset val="1"/>
      </rPr>
      <t xml:space="preserve">1.455 </t>
    </r>
    <r>
      <rPr>
        <sz val="11"/>
        <color theme="1"/>
        <rFont val="WenQuanYi Zen Hei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營運 </t>
    </r>
    <r>
      <rPr>
        <sz val="11"/>
        <color theme="1"/>
        <rFont val="Calibri"/>
        <family val="2"/>
        <charset val="1"/>
      </rPr>
      <t xml:space="preserve">1.98</t>
    </r>
    <r>
      <rPr>
        <sz val="11"/>
        <color theme="1"/>
        <rFont val="WenQuanYi Zen Hei"/>
        <family val="2"/>
      </rPr>
      <t xml:space="preserve">；殘差＝其餘（含折現率差與配置誤差）。結論：差額主要來自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配置約 −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WenQuanYi Zen Hei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WenQuanYi Zen Hei"/>
        <family val="2"/>
      </rPr>
      <t xml:space="preserve">）與營運費用（約 −</t>
    </r>
    <r>
      <rPr>
        <sz val="11"/>
        <color theme="1"/>
        <rFont val="Calibri"/>
        <family val="2"/>
        <charset val="1"/>
      </rPr>
      <t xml:space="preserve">0.53</t>
    </r>
    <r>
      <rPr>
        <sz val="11"/>
        <color theme="1"/>
        <rFont val="WenQuanYi Zen Hei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WenQuanYi Zen Hei"/>
        <family val="2"/>
      </rPr>
      <t xml:space="preserve">）；折現率與其他殘差只占 −</t>
    </r>
    <r>
      <rPr>
        <sz val="11"/>
        <color theme="1"/>
        <rFont val="Calibri"/>
        <family val="2"/>
        <charset val="1"/>
      </rPr>
      <t xml:space="preserve">4%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WenQuanYi Zen Hei"/>
        <family val="2"/>
      </rPr>
      <t xml:space="preserve">，隨叢集部署歸屬而變，不是主因。</t>
    </r>
  </si>
  <si>
    <r>
      <rPr>
        <b val="true"/>
        <sz val="11"/>
        <rFont val="WenQuanYi Zen Hei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WenQuanYi Zen Hei"/>
        <family val="2"/>
      </rPr>
      <t xml:space="preserve">（使年持有成本＝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租金 </t>
    </r>
    <r>
      <rPr>
        <b val="true"/>
        <sz val="11"/>
        <rFont val="Cambria"/>
        <family val="0"/>
        <charset val="1"/>
      </rPr>
      <t xml:space="preserve">9.70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WenQuanYi Zen Hei"/>
        <family val="2"/>
      </rPr>
      <t xml:space="preserve">，二分法）</t>
    </r>
  </si>
  <si>
    <r>
      <rPr>
        <b val="true"/>
        <sz val="11"/>
        <rFont val="WenQuanYi Zen Hei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IREN </t>
    </r>
    <r>
      <rPr>
        <b val="true"/>
        <sz val="11"/>
        <rFont val="WenQuanYi Zen Hei"/>
        <family val="2"/>
      </rPr>
      <t xml:space="preserve">營運 </t>
    </r>
    <r>
      <rPr>
        <b val="true"/>
        <sz val="11"/>
        <rFont val="Cambria"/>
        <family val="0"/>
        <charset val="1"/>
      </rPr>
      <t xml:space="preserve">1.455</t>
    </r>
  </si>
  <si>
    <r>
      <rPr>
        <b val="true"/>
        <sz val="11"/>
        <rFont val="WenQuanYi Zen Hei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WenQuanYi Zen Hei"/>
        <family val="2"/>
      </rPr>
      <t xml:space="preserve">營運 </t>
    </r>
    <r>
      <rPr>
        <b val="true"/>
        <sz val="11"/>
        <rFont val="Cambria"/>
        <family val="0"/>
        <charset val="1"/>
      </rPr>
      <t xml:space="preserve">1.98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</si>
  <si>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32.0</t>
    </r>
    <r>
      <rPr>
        <sz val="11"/>
        <color theme="1"/>
        <rFont val="WenQuanYi Zen Hei"/>
        <family val="2"/>
      </rPr>
      <t xml:space="preserve">；廠房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</si>
  <si>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廠房年金依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各分項年限比例縮放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</si>
  <si>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29.0</t>
    </r>
    <r>
      <rPr>
        <sz val="11"/>
        <color theme="1"/>
        <rFont val="WenQuanYi Zen Hei"/>
        <family val="2"/>
      </rPr>
      <t xml:space="preserve">；廠房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</si>
  <si>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29.0</t>
    </r>
    <r>
      <rPr>
        <sz val="11"/>
        <color theme="1"/>
        <rFont val="WenQuanYi Zen Hei"/>
        <family val="2"/>
      </rPr>
      <t xml:space="preserve">；廠房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</si>
  <si>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自己的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與營運下界計算，隱含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9–10%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相當。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0.89 </t>
    </r>
    <r>
      <rPr>
        <sz val="11"/>
        <color theme="1"/>
        <rFont val="WenQuanYi Zen Hei"/>
        <family val="2"/>
      </rPr>
      <t xml:space="preserve">倍不需要「低折現率」來解釋；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段「使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等於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WenQuanYi Zen Hei"/>
        <family val="2"/>
      </rPr>
      <t xml:space="preserve">租金需 </t>
    </r>
    <r>
      <rPr>
        <sz val="11"/>
        <color theme="1"/>
        <rFont val="Calibri"/>
        <family val="2"/>
        <charset val="1"/>
      </rPr>
      <t xml:space="preserve">WACC 6.2–7.9%</t>
    </r>
    <r>
      <rPr>
        <sz val="11"/>
        <color theme="1"/>
        <rFont val="WenQuanYi Zen Hei"/>
        <family val="2"/>
      </rPr>
      <t xml:space="preserve">」是在固定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與營運下求得，混入了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WenQuanYi Zen Hei"/>
        <family val="2"/>
      </rPr>
      <t xml:space="preserve">與營運差異。</t>
    </r>
  </si>
  <si>
    <r>
      <rPr>
        <b val="true"/>
        <sz val="11"/>
        <rFont val="Cambria"/>
        <family val="0"/>
        <charset val="1"/>
      </rPr>
      <t xml:space="preserve">CoreWeave 2026Q2 </t>
    </r>
    <r>
      <rPr>
        <b val="true"/>
        <sz val="11"/>
        <rFont val="WenQuanYi Zen Hei"/>
        <family val="2"/>
      </rPr>
      <t xml:space="preserve">觀察（單家、單季，待驗證）</t>
    </r>
  </si>
  <si>
    <t xml:space="preserve">值</t>
  </si>
  <si>
    <r>
      <rPr>
        <sz val="11"/>
        <color theme="1"/>
        <rFont val="WenQuanYi Zen Hei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WenQuanYi Zen Hei"/>
        <family val="2"/>
      </rPr>
      <t xml:space="preserve">（照字面當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</si>
  <si>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同第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節；分母為反推值（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WenQuanYi Zen Hei"/>
        <family val="2"/>
      </rPr>
      <t xml:space="preserve">的平均），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或設施口徑未取得</t>
    </r>
  </si>
  <si>
    <r>
      <rPr>
        <sz val="11"/>
        <color theme="1"/>
        <rFont val="WenQuanYi Zen Hei"/>
        <family val="2"/>
      </rPr>
      <t xml:space="preserve">  若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WenQuanYi Zen Hei"/>
        <family val="2"/>
      </rPr>
      <t xml:space="preserve">為設施口徑，換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×PUE</t>
    </r>
    <r>
      <rPr>
        <sz val="11"/>
        <color theme="1"/>
        <rFont val="WenQuanYi Zen Hei"/>
        <family val="2"/>
      </rPr>
      <t xml:space="preserve">）</t>
    </r>
  </si>
  <si>
    <t xml:space="preserve">未取得定義，此為上界情境</t>
  </si>
  <si>
    <r>
      <rPr>
        <sz val="11"/>
        <color theme="1"/>
        <rFont val="Calibri"/>
        <family val="2"/>
        <charset val="1"/>
      </rPr>
      <t xml:space="preserve">  ÷ TK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情境／設施情境</t>
    </r>
  </si>
  <si>
    <r>
      <rPr>
        <sz val="11"/>
        <color theme="1"/>
        <rFont val="WenQuanYi Zen Hei"/>
        <family val="2"/>
      </rPr>
      <t xml:space="preserve">  使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組合持有成本＝此營收的隱含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情境</t>
    </r>
  </si>
  <si>
    <r>
      <rPr>
        <sz val="11"/>
        <color theme="1"/>
        <rFont val="WenQuanYi Zen Hei"/>
        <family val="2"/>
      </rPr>
      <t xml:space="preserve">線性內插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拆解第</t>
    </r>
    <r>
      <rPr>
        <sz val="11"/>
        <color theme="1"/>
        <rFont val="Calibri"/>
        <family val="2"/>
        <charset val="1"/>
      </rPr>
      <t xml:space="preserve">80–81</t>
    </r>
    <r>
      <rPr>
        <sz val="11"/>
        <color theme="1"/>
        <rFont val="WenQuanYi Zen Hei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WenQuanYi Zen Hei"/>
        <family val="2"/>
      </rPr>
      <t xml:space="preserve">）；債務成本 </t>
    </r>
    <r>
      <rPr>
        <sz val="11"/>
        <color theme="1"/>
        <rFont val="Calibri"/>
        <family val="2"/>
        <charset val="1"/>
      </rPr>
      <t xml:space="preserve">9.6–9.9% → </t>
    </r>
    <r>
      <rPr>
        <sz val="11"/>
        <color theme="1"/>
        <rFont val="WenQuanYi Zen Hei"/>
        <family val="2"/>
      </rPr>
      <t xml:space="preserve">租金低於以該資金成本的全成本</t>
    </r>
  </si>
  <si>
    <t xml:space="preserve">  同上：設施情境</t>
  </si>
  <si>
    <r>
      <rPr>
        <sz val="11"/>
        <color theme="1"/>
        <rFont val="WenQuanYi Zen Hei"/>
        <family val="2"/>
      </rPr>
      <t xml:space="preserve">線性內插第</t>
    </r>
    <r>
      <rPr>
        <sz val="11"/>
        <color theme="1"/>
        <rFont val="Calibri"/>
        <family val="2"/>
        <charset val="1"/>
      </rPr>
      <t xml:space="preserve">82–83</t>
    </r>
    <r>
      <rPr>
        <sz val="11"/>
        <color theme="1"/>
        <rFont val="WenQuanYi Zen Hei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WenQuanYi Zen Hei"/>
        <family val="2"/>
      </rPr>
      <t xml:space="preserve">）</t>
    </r>
  </si>
  <si>
    <t xml:space="preserve">營收 − 營業成本 − 技術與基礎設施</t>
  </si>
  <si>
    <r>
      <rPr>
        <sz val="11"/>
        <color theme="1"/>
        <rFont val="WenQuanYi Zen Hei"/>
        <family val="2"/>
      </rPr>
      <t xml:space="preserve">  其他營業費用（反推）＝上列 − 營業損失 </t>
    </r>
    <r>
      <rPr>
        <sz val="11"/>
        <color theme="1"/>
        <rFont val="Calibri"/>
        <family val="2"/>
        <charset val="1"/>
      </rPr>
      <t xml:space="preserve">(49)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</si>
  <si>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；占營收（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WenQuanYi Zen Hei"/>
        <family val="2"/>
      </rPr>
      <t xml:space="preserve">等，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範圍不含平台研發與管理費）</t>
    </r>
  </si>
  <si>
    <r>
      <rPr>
        <sz val="11"/>
        <color theme="1"/>
        <rFont val="WenQuanYi Zen Hei"/>
        <family val="2"/>
      </rPr>
      <t xml:space="preserve">利息費用淨額 </t>
    </r>
    <r>
      <rPr>
        <sz val="11"/>
        <color theme="1"/>
        <rFont val="Calibri"/>
        <family val="2"/>
        <charset val="1"/>
      </rPr>
      <t xml:space="preserve">(640)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</si>
  <si>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營業損失 </t>
    </r>
    <r>
      <rPr>
        <sz val="11"/>
        <color theme="1"/>
        <rFont val="Calibri"/>
        <family val="2"/>
        <charset val="1"/>
      </rPr>
      <t xml:space="preserve">(49) </t>
    </r>
    <r>
      <rPr>
        <sz val="11"/>
        <color theme="1"/>
        <rFont val="WenQuanYi Zen Hei"/>
        <family val="2"/>
      </rPr>
      <t xml:space="preserve">之後再扣利息，淨損 </t>
    </r>
    <r>
      <rPr>
        <sz val="11"/>
        <color theme="1"/>
        <rFont val="Calibri"/>
        <family val="2"/>
        <charset val="1"/>
      </rPr>
      <t xml:space="preserve">(626)</t>
    </r>
  </si>
  <si>
    <r>
      <rPr>
        <sz val="11"/>
        <color theme="1"/>
        <rFont val="WenQuanYi Zen Hei"/>
        <family val="2"/>
      </rPr>
      <t xml:space="preserve">觀察（待驗證）：在資金成本相近的情況下，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8.24</t>
    </r>
    <r>
      <rPr>
        <sz val="11"/>
        <color theme="1"/>
        <rFont val="WenQuanYi Zen Hei"/>
        <family val="2"/>
      </rPr>
      <t xml:space="preserve">（為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9.35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0.88 </t>
    </r>
    <r>
      <rPr>
        <sz val="11"/>
        <color theme="1"/>
        <rFont val="WenQuanYi Zen Hei"/>
        <family val="2"/>
      </rPr>
      <t xml:space="preserve">倍）且營業損失，較符合「出租價格目前低於以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資金成本計的全成本」，而不是「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WenQuanYi Zen Hei"/>
        <family val="2"/>
      </rPr>
      <t xml:space="preserve">持有成本偏高」。保留：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WenQuanYi Zen Hei"/>
        <family val="2"/>
      </rPr>
      <t xml:space="preserve">營收含爬坡落差（電已通、尚未計費），分母偏大；</t>
    </r>
    <r>
      <rPr>
        <sz val="11"/>
        <color theme="1"/>
        <rFont val="Calibri"/>
        <family val="2"/>
        <charset val="1"/>
      </rPr>
      <t xml:space="preserve">(2) active power </t>
    </r>
    <r>
      <rPr>
        <sz val="11"/>
        <color theme="1"/>
        <rFont val="WenQuanYi Zen Hei"/>
        <family val="2"/>
      </rPr>
      <t xml:space="preserve">若為設施口徑，倍數變 </t>
    </r>
    <r>
      <rPr>
        <sz val="11"/>
        <color theme="1"/>
        <rFont val="Calibri"/>
        <family val="2"/>
        <charset val="1"/>
      </rPr>
      <t xml:space="preserve">1.06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WenQuanYi Zen Hei"/>
        <family val="2"/>
      </rPr>
      <t xml:space="preserve">營業損失含 </t>
    </r>
    <r>
      <rPr>
        <sz val="11"/>
        <color theme="1"/>
        <rFont val="Calibri"/>
        <family val="2"/>
        <charset val="1"/>
      </rPr>
      <t xml:space="preserve">SG&amp;A </t>
    </r>
    <r>
      <rPr>
        <sz val="11"/>
        <color theme="1"/>
        <rFont val="WenQuanYi Zen Hei"/>
        <family val="2"/>
      </rPr>
      <t xml:space="preserve">等不屬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WenQuanYi Zen Hei"/>
        <family val="2"/>
      </rPr>
      <t xml:space="preserve">範圍的費用（約占營收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WenQuanYi Zen Hei"/>
        <family val="2"/>
      </rPr>
      <t xml:space="preserve">只有一家公司、一季資料；</t>
    </r>
    <r>
      <rPr>
        <sz val="11"/>
        <color theme="1"/>
        <rFont val="Calibri"/>
        <family val="2"/>
        <charset val="1"/>
      </rPr>
      <t xml:space="preserve">(5) 98% </t>
    </r>
    <r>
      <rPr>
        <sz val="11"/>
        <color theme="1"/>
        <rFont val="WenQuanYi Zen Hei"/>
        <family val="2"/>
      </rPr>
      <t xml:space="preserve">營收來自承諾合約，客戶集中（</t>
    </r>
    <r>
      <rPr>
        <sz val="11"/>
        <color theme="1"/>
        <rFont val="Calibri"/>
        <family val="2"/>
        <charset val="1"/>
      </rPr>
      <t xml:space="preserve">A 36%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RPO $103.7B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41%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個月內），加權平均合約期未找到。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</si>
</sst>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"/>
    <numFmt numFmtId="167" formatCode="0.00%"/>
    <numFmt numFmtId="168" formatCode="0.0"/>
    <numFmt numFmtId="169" formatCode="0.000"/>
    <numFmt numFmtId="170" formatCode="0.0000%"/>
    <numFmt numFmtId="171" formatCode="#,##0"/>
    <numFmt numFmtId="172" formatCode="0.0000"/>
    <numFmt numFmtId="173" formatCode="0.0E+00"/>
    <numFmt numFmtId="174" formatCode="0.0%"/>
    <numFmt numFmtId="17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WenQuanYi Zen Hei"/>
      <family val="2"/>
    </font>
    <font>
      <sz val="11"/>
      <color theme="1"/>
      <name val="WenQuanYi Zen Hei"/>
      <family val="2"/>
      <charset val="1"/>
    </font>
    <font>
      <b val="true"/>
      <sz val="11"/>
      <name val="WenQuanYi Zen Hei"/>
      <family val="2"/>
      <charset val="1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color rgb="FF0000FF"/>
      <name val="Cambria"/>
      <family val="0"/>
      <charset val="1"/>
    </font>
    <font>
      <sz val="11"/>
      <color theme="1"/>
      <name val="WenQuanYi Zen Hei"/>
      <family val="2"/>
    </font>
    <font>
      <b val="true"/>
      <sz val="13"/>
      <name val="WenQuanYi Zen He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7" min="3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60"/>
  </cols>
  <sheetData>
    <row r="1" customFormat="false" ht="16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6" t="s">
        <v>12</v>
      </c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true" outlineLevel="0" collapsed="false">
      <c r="A6" s="3" t="s">
        <v>13</v>
      </c>
      <c r="B6" s="1" t="s">
        <v>14</v>
      </c>
      <c r="C6" s="8" t="n">
        <v>0.6</v>
      </c>
      <c r="D6" s="8" t="n">
        <v>0.4</v>
      </c>
      <c r="E6" s="8" t="n">
        <v>0</v>
      </c>
      <c r="F6" s="8" t="n">
        <v>0</v>
      </c>
      <c r="G6" s="1" t="n">
        <f aca="false">SUM(C6:F6)</f>
        <v>1</v>
      </c>
      <c r="H6" s="1" t="s">
        <v>15</v>
      </c>
      <c r="I6" s="1" t="s">
        <v>16</v>
      </c>
      <c r="J6" s="1" t="s">
        <v>17</v>
      </c>
    </row>
    <row r="7" customFormat="false" ht="15" hidden="false" customHeight="true" outlineLevel="0" collapsed="false">
      <c r="A7" s="1" t="s">
        <v>18</v>
      </c>
      <c r="B7" s="1" t="s">
        <v>19</v>
      </c>
      <c r="C7" s="9" t="n">
        <v>1000</v>
      </c>
      <c r="D7" s="10" t="n">
        <f aca="false">$C7</f>
        <v>1000</v>
      </c>
      <c r="E7" s="10" t="n">
        <f aca="false">$C7</f>
        <v>1000</v>
      </c>
      <c r="F7" s="10" t="n">
        <f aca="false">$C7</f>
        <v>1000</v>
      </c>
      <c r="H7" s="1" t="s">
        <v>20</v>
      </c>
      <c r="I7" s="1" t="s">
        <v>21</v>
      </c>
    </row>
    <row r="8" customFormat="false" ht="15" hidden="false" customHeight="true" outlineLevel="0" collapsed="false">
      <c r="A8" s="3" t="s">
        <v>22</v>
      </c>
      <c r="B8" s="1" t="s">
        <v>14</v>
      </c>
      <c r="C8" s="8" t="n">
        <v>0.08</v>
      </c>
      <c r="D8" s="11" t="n">
        <f aca="false">$C8</f>
        <v>0.08</v>
      </c>
      <c r="E8" s="11" t="n">
        <f aca="false">$C8</f>
        <v>0.08</v>
      </c>
      <c r="F8" s="11" t="n">
        <f aca="false">$C8</f>
        <v>0.08</v>
      </c>
      <c r="H8" s="1" t="s">
        <v>23</v>
      </c>
      <c r="I8" s="1" t="s">
        <v>24</v>
      </c>
    </row>
    <row r="9" customFormat="false" ht="15" hidden="false" customHeight="true" outlineLevel="0" collapsed="false">
      <c r="A9" s="1" t="s">
        <v>25</v>
      </c>
      <c r="B9" s="1" t="s">
        <v>26</v>
      </c>
      <c r="C9" s="8" t="n">
        <v>1.2</v>
      </c>
      <c r="D9" s="11" t="n">
        <f aca="false">$C9</f>
        <v>1.2</v>
      </c>
      <c r="E9" s="11" t="n">
        <f aca="false">$C9</f>
        <v>1.2</v>
      </c>
      <c r="F9" s="11" t="n">
        <f aca="false">$C9</f>
        <v>1.2</v>
      </c>
      <c r="H9" s="1" t="s">
        <v>27</v>
      </c>
      <c r="I9" s="1" t="s">
        <v>28</v>
      </c>
    </row>
    <row r="10" customFormat="false" ht="15" hidden="false" customHeight="true" outlineLevel="0" collapsed="false">
      <c r="A10" s="1" t="s">
        <v>29</v>
      </c>
      <c r="B10" s="1" t="s">
        <v>14</v>
      </c>
      <c r="C10" s="12" t="n">
        <v>0.1</v>
      </c>
      <c r="D10" s="13" t="n">
        <f aca="false">$C10</f>
        <v>0.1</v>
      </c>
      <c r="E10" s="13" t="n">
        <f aca="false">$C10</f>
        <v>0.1</v>
      </c>
      <c r="F10" s="13" t="n">
        <f aca="false">$C10</f>
        <v>0.1</v>
      </c>
      <c r="H10" s="1" t="s">
        <v>30</v>
      </c>
      <c r="I10" s="1" t="s">
        <v>31</v>
      </c>
    </row>
    <row r="11" customFormat="false" ht="15" hidden="false" customHeight="true" outlineLevel="0" collapsed="false">
      <c r="A11" s="1" t="s">
        <v>32</v>
      </c>
      <c r="B11" s="3" t="s">
        <v>33</v>
      </c>
      <c r="C11" s="9" t="n">
        <v>6</v>
      </c>
      <c r="D11" s="10" t="n">
        <f aca="false">$C11</f>
        <v>6</v>
      </c>
      <c r="E11" s="10" t="n">
        <f aca="false">$C11</f>
        <v>6</v>
      </c>
      <c r="F11" s="10" t="n">
        <f aca="false">$C11</f>
        <v>6</v>
      </c>
      <c r="H11" s="1" t="s">
        <v>34</v>
      </c>
      <c r="I11" s="1" t="s">
        <v>35</v>
      </c>
    </row>
    <row r="12" customFormat="false" ht="15" hidden="false" customHeight="true" outlineLevel="0" collapsed="false">
      <c r="A12" s="3" t="s">
        <v>36</v>
      </c>
      <c r="B12" s="1" t="s">
        <v>37</v>
      </c>
      <c r="C12" s="9" t="n">
        <v>41</v>
      </c>
      <c r="D12" s="9" t="n">
        <v>132</v>
      </c>
      <c r="E12" s="9" t="n">
        <v>136</v>
      </c>
      <c r="F12" s="9" t="n">
        <v>227</v>
      </c>
      <c r="H12" s="1" t="s">
        <v>38</v>
      </c>
      <c r="I12" s="1" t="s">
        <v>39</v>
      </c>
    </row>
    <row r="13" customFormat="false" ht="15" hidden="false" customHeight="true" outlineLevel="0" collapsed="false">
      <c r="A13" s="1" t="s">
        <v>40</v>
      </c>
      <c r="B13" s="3" t="s">
        <v>41</v>
      </c>
      <c r="C13" s="9" t="n">
        <v>32</v>
      </c>
      <c r="D13" s="9" t="n">
        <v>72</v>
      </c>
      <c r="E13" s="9" t="n">
        <v>72</v>
      </c>
      <c r="F13" s="9" t="n">
        <v>72</v>
      </c>
      <c r="H13" s="1" t="s">
        <v>42</v>
      </c>
      <c r="I13" s="1" t="s">
        <v>43</v>
      </c>
    </row>
    <row r="14" customFormat="false" ht="15" hidden="false" customHeight="true" outlineLevel="0" collapsed="false">
      <c r="A14" s="3" t="s">
        <v>44</v>
      </c>
      <c r="B14" s="1" t="s">
        <v>45</v>
      </c>
      <c r="C14" s="14" t="n">
        <v>1.1</v>
      </c>
      <c r="D14" s="14" t="n">
        <v>3.1</v>
      </c>
      <c r="E14" s="14" t="n">
        <v>4.3</v>
      </c>
      <c r="F14" s="14" t="n">
        <v>8.4</v>
      </c>
      <c r="H14" s="1" t="s">
        <v>46</v>
      </c>
      <c r="I14" s="1" t="s">
        <v>47</v>
      </c>
    </row>
    <row r="15" customFormat="false" ht="15" hidden="false" customHeight="true" outlineLevel="0" collapsed="false">
      <c r="A15" s="1" t="s">
        <v>48</v>
      </c>
      <c r="B15" s="1" t="s">
        <v>14</v>
      </c>
      <c r="C15" s="8" t="n">
        <v>0.1</v>
      </c>
      <c r="D15" s="11" t="n">
        <f aca="false">$C15</f>
        <v>0.1</v>
      </c>
      <c r="E15" s="11" t="n">
        <f aca="false">$C15</f>
        <v>0.1</v>
      </c>
      <c r="F15" s="11" t="n">
        <f aca="false">$C15</f>
        <v>0.1</v>
      </c>
      <c r="H15" s="1" t="s">
        <v>49</v>
      </c>
      <c r="I15" s="1" t="s">
        <v>50</v>
      </c>
    </row>
    <row r="16" customFormat="false" ht="15" hidden="false" customHeight="true" outlineLevel="0" collapsed="false">
      <c r="A16" s="3" t="s">
        <v>51</v>
      </c>
      <c r="B16" s="1" t="s">
        <v>52</v>
      </c>
      <c r="C16" s="9" t="n">
        <v>500</v>
      </c>
      <c r="D16" s="10" t="n">
        <f aca="false">$C16</f>
        <v>500</v>
      </c>
      <c r="E16" s="10" t="n">
        <f aca="false">$C16</f>
        <v>500</v>
      </c>
      <c r="F16" s="10" t="n">
        <f aca="false">$C16</f>
        <v>500</v>
      </c>
      <c r="H16" s="1" t="s">
        <v>53</v>
      </c>
      <c r="I16" s="1" t="s">
        <v>54</v>
      </c>
    </row>
    <row r="17" customFormat="false" ht="15" hidden="false" customHeight="true" outlineLevel="0" collapsed="false">
      <c r="A17" s="3" t="s">
        <v>55</v>
      </c>
      <c r="B17" s="1" t="s">
        <v>14</v>
      </c>
      <c r="C17" s="8" t="n">
        <v>0.8</v>
      </c>
      <c r="D17" s="11" t="n">
        <f aca="false">$C17</f>
        <v>0.8</v>
      </c>
      <c r="E17" s="11" t="n">
        <f aca="false">$C17</f>
        <v>0.8</v>
      </c>
      <c r="F17" s="11" t="n">
        <f aca="false">$C17</f>
        <v>0.8</v>
      </c>
      <c r="H17" s="1" t="s">
        <v>56</v>
      </c>
      <c r="I17" s="1" t="s">
        <v>57</v>
      </c>
    </row>
    <row r="18" customFormat="false" ht="15" hidden="false" customHeight="true" outlineLevel="0" collapsed="false">
      <c r="A18" s="3" t="s">
        <v>58</v>
      </c>
      <c r="B18" s="1" t="s">
        <v>59</v>
      </c>
      <c r="C18" s="15" t="n">
        <v>0.08</v>
      </c>
      <c r="D18" s="16" t="n">
        <f aca="false">$C18</f>
        <v>0.08</v>
      </c>
      <c r="E18" s="16" t="n">
        <f aca="false">$C18</f>
        <v>0.08</v>
      </c>
      <c r="F18" s="16" t="n">
        <f aca="false">$C18</f>
        <v>0.08</v>
      </c>
      <c r="H18" s="1" t="s">
        <v>60</v>
      </c>
      <c r="I18" s="1" t="s">
        <v>39</v>
      </c>
    </row>
    <row r="19" customFormat="false" ht="15" hidden="false" customHeight="true" outlineLevel="0" collapsed="false">
      <c r="A19" s="1" t="s">
        <v>61</v>
      </c>
      <c r="B19" s="1" t="s">
        <v>62</v>
      </c>
      <c r="C19" s="17" t="n">
        <v>0.0157250107250107</v>
      </c>
      <c r="D19" s="18" t="n">
        <f aca="false">$C19</f>
        <v>0.0157250107250107</v>
      </c>
      <c r="E19" s="18" t="n">
        <f aca="false">$C19</f>
        <v>0.0157250107250107</v>
      </c>
      <c r="F19" s="18" t="n">
        <f aca="false">$C19</f>
        <v>0.0157250107250107</v>
      </c>
      <c r="H19" s="1" t="s">
        <v>63</v>
      </c>
      <c r="I19" s="1" t="s">
        <v>16</v>
      </c>
      <c r="J19" s="1" t="s">
        <v>64</v>
      </c>
    </row>
    <row r="20" customFormat="false" ht="15" hidden="false" customHeight="true" outlineLevel="0" collapsed="false">
      <c r="A20" s="3" t="s">
        <v>65</v>
      </c>
      <c r="B20" s="1" t="s">
        <v>62</v>
      </c>
      <c r="C20" s="12" t="n">
        <v>0.02</v>
      </c>
      <c r="D20" s="13" t="n">
        <f aca="false">$C20</f>
        <v>0.02</v>
      </c>
      <c r="E20" s="13" t="n">
        <f aca="false">$C20</f>
        <v>0.02</v>
      </c>
      <c r="F20" s="13" t="n">
        <f aca="false">$C20</f>
        <v>0.02</v>
      </c>
      <c r="H20" s="1" t="s">
        <v>66</v>
      </c>
      <c r="I20" s="1" t="s">
        <v>47</v>
      </c>
    </row>
    <row r="21" customFormat="false" ht="15" hidden="false" customHeight="true" outlineLevel="0" collapsed="false">
      <c r="A21" s="3" t="s">
        <v>67</v>
      </c>
      <c r="B21" s="1" t="s">
        <v>68</v>
      </c>
      <c r="C21" s="15" t="n">
        <v>0.325</v>
      </c>
      <c r="D21" s="16" t="n">
        <f aca="false">$C21</f>
        <v>0.325</v>
      </c>
      <c r="E21" s="16" t="n">
        <f aca="false">$C21</f>
        <v>0.325</v>
      </c>
      <c r="F21" s="16" t="n">
        <f aca="false">$C21</f>
        <v>0.325</v>
      </c>
      <c r="H21" s="1" t="s">
        <v>69</v>
      </c>
      <c r="I21" s="1" t="s">
        <v>24</v>
      </c>
      <c r="J21" s="3" t="s">
        <v>70</v>
      </c>
    </row>
    <row r="22" customFormat="false" ht="15" hidden="false" customHeight="true" outlineLevel="0" collapsed="false">
      <c r="A22" s="3" t="s">
        <v>71</v>
      </c>
      <c r="B22" s="1" t="s">
        <v>72</v>
      </c>
      <c r="C22" s="12" t="n">
        <v>0.005</v>
      </c>
      <c r="D22" s="13" t="n">
        <f aca="false">$C22</f>
        <v>0.005</v>
      </c>
      <c r="E22" s="13" t="n">
        <f aca="false">$C22</f>
        <v>0.005</v>
      </c>
      <c r="F22" s="13" t="n">
        <f aca="false">$C22</f>
        <v>0.005</v>
      </c>
      <c r="H22" s="1" t="s">
        <v>73</v>
      </c>
      <c r="I22" s="1" t="s">
        <v>47</v>
      </c>
    </row>
    <row r="23" customFormat="false" ht="15" hidden="false" customHeight="true" outlineLevel="0" collapsed="false">
      <c r="A23" s="3" t="s">
        <v>74</v>
      </c>
      <c r="B23" s="1" t="s">
        <v>75</v>
      </c>
      <c r="C23" s="15" t="n">
        <v>0.02</v>
      </c>
      <c r="D23" s="16" t="n">
        <f aca="false">$C23</f>
        <v>0.02</v>
      </c>
      <c r="E23" s="16" t="n">
        <f aca="false">$C23</f>
        <v>0.02</v>
      </c>
      <c r="F23" s="16" t="n">
        <f aca="false">$C23</f>
        <v>0.02</v>
      </c>
      <c r="H23" s="1" t="s">
        <v>76</v>
      </c>
      <c r="I23" s="1" t="s">
        <v>24</v>
      </c>
    </row>
    <row r="24" customFormat="false" ht="15" hidden="false" customHeight="true" outlineLevel="0" collapsed="false">
      <c r="A24" s="3" t="s">
        <v>77</v>
      </c>
      <c r="B24" s="1" t="s">
        <v>75</v>
      </c>
      <c r="C24" s="8" t="n">
        <v>3.6</v>
      </c>
      <c r="D24" s="11" t="n">
        <f aca="false">$C24</f>
        <v>3.6</v>
      </c>
      <c r="E24" s="11" t="n">
        <f aca="false">$C24</f>
        <v>3.6</v>
      </c>
      <c r="F24" s="11" t="n">
        <f aca="false">$C24</f>
        <v>3.6</v>
      </c>
      <c r="H24" s="1" t="s">
        <v>78</v>
      </c>
      <c r="I24" s="1" t="s">
        <v>79</v>
      </c>
    </row>
    <row r="25" customFormat="false" ht="15" hidden="false" customHeight="true" outlineLevel="0" collapsed="false">
      <c r="A25" s="3" t="s">
        <v>80</v>
      </c>
      <c r="B25" s="1" t="s">
        <v>75</v>
      </c>
      <c r="C25" s="8" t="n">
        <v>4.5</v>
      </c>
      <c r="D25" s="11" t="n">
        <f aca="false">$C25</f>
        <v>4.5</v>
      </c>
      <c r="E25" s="11" t="n">
        <f aca="false">$C25</f>
        <v>4.5</v>
      </c>
      <c r="F25" s="11" t="n">
        <f aca="false">$C25</f>
        <v>4.5</v>
      </c>
      <c r="H25" s="1" t="s">
        <v>81</v>
      </c>
      <c r="I25" s="1" t="s">
        <v>24</v>
      </c>
    </row>
    <row r="26" customFormat="false" ht="15" hidden="false" customHeight="true" outlineLevel="0" collapsed="false">
      <c r="A26" s="3" t="s">
        <v>82</v>
      </c>
      <c r="B26" s="1" t="s">
        <v>75</v>
      </c>
      <c r="C26" s="8" t="n">
        <v>2.5</v>
      </c>
      <c r="D26" s="11" t="n">
        <f aca="false">$C26</f>
        <v>2.5</v>
      </c>
      <c r="E26" s="11" t="n">
        <f aca="false">$C26</f>
        <v>2.5</v>
      </c>
      <c r="F26" s="11" t="n">
        <f aca="false">$C26</f>
        <v>2.5</v>
      </c>
      <c r="H26" s="1" t="s">
        <v>83</v>
      </c>
      <c r="I26" s="1" t="s">
        <v>24</v>
      </c>
    </row>
    <row r="27" customFormat="false" ht="15" hidden="false" customHeight="true" outlineLevel="0" collapsed="false">
      <c r="A27" s="3" t="s">
        <v>84</v>
      </c>
      <c r="B27" s="1" t="s">
        <v>75</v>
      </c>
      <c r="C27" s="8" t="n">
        <v>0.4</v>
      </c>
      <c r="D27" s="11" t="n">
        <f aca="false">$C27</f>
        <v>0.4</v>
      </c>
      <c r="E27" s="11" t="n">
        <f aca="false">$C27</f>
        <v>0.4</v>
      </c>
      <c r="F27" s="11" t="n">
        <f aca="false">$C27</f>
        <v>0.4</v>
      </c>
      <c r="H27" s="1" t="s">
        <v>85</v>
      </c>
      <c r="I27" s="1" t="s">
        <v>24</v>
      </c>
    </row>
    <row r="28" customFormat="false" ht="15" hidden="false" customHeight="true" outlineLevel="0" collapsed="false">
      <c r="A28" s="3" t="s">
        <v>86</v>
      </c>
      <c r="B28" s="1" t="s">
        <v>14</v>
      </c>
      <c r="C28" s="8" t="n">
        <v>0.15</v>
      </c>
      <c r="D28" s="11" t="n">
        <f aca="false">$C28</f>
        <v>0.15</v>
      </c>
      <c r="E28" s="11" t="n">
        <f aca="false">$C28</f>
        <v>0.15</v>
      </c>
      <c r="F28" s="11" t="n">
        <f aca="false">$C28</f>
        <v>0.15</v>
      </c>
      <c r="H28" s="1" t="s">
        <v>87</v>
      </c>
      <c r="I28" s="1" t="s">
        <v>24</v>
      </c>
    </row>
    <row r="29" customFormat="false" ht="15" hidden="false" customHeight="true" outlineLevel="0" collapsed="false">
      <c r="A29" s="3" t="s">
        <v>88</v>
      </c>
      <c r="B29" s="3" t="s">
        <v>33</v>
      </c>
      <c r="C29" s="9" t="n">
        <v>30</v>
      </c>
      <c r="D29" s="10" t="n">
        <f aca="false">$C29</f>
        <v>30</v>
      </c>
      <c r="E29" s="10" t="n">
        <f aca="false">$C29</f>
        <v>30</v>
      </c>
      <c r="F29" s="10" t="n">
        <f aca="false">$C29</f>
        <v>30</v>
      </c>
      <c r="H29" s="1" t="s">
        <v>89</v>
      </c>
      <c r="I29" s="1" t="s">
        <v>47</v>
      </c>
    </row>
    <row r="30" customFormat="false" ht="15" hidden="false" customHeight="true" outlineLevel="0" collapsed="false">
      <c r="A30" s="3" t="s">
        <v>90</v>
      </c>
      <c r="B30" s="3" t="s">
        <v>33</v>
      </c>
      <c r="C30" s="9" t="n">
        <v>20</v>
      </c>
      <c r="D30" s="10" t="n">
        <f aca="false">$C30</f>
        <v>20</v>
      </c>
      <c r="E30" s="10" t="n">
        <f aca="false">$C30</f>
        <v>20</v>
      </c>
      <c r="F30" s="10" t="n">
        <f aca="false">$C30</f>
        <v>20</v>
      </c>
      <c r="H30" s="1" t="s">
        <v>91</v>
      </c>
      <c r="I30" s="1" t="s">
        <v>47</v>
      </c>
    </row>
    <row r="31" customFormat="false" ht="15" hidden="false" customHeight="true" outlineLevel="0" collapsed="false">
      <c r="A31" s="3" t="s">
        <v>92</v>
      </c>
      <c r="B31" s="3" t="s">
        <v>33</v>
      </c>
      <c r="C31" s="9" t="n">
        <v>15</v>
      </c>
      <c r="D31" s="10" t="n">
        <f aca="false">$C31</f>
        <v>15</v>
      </c>
      <c r="E31" s="10" t="n">
        <f aca="false">$C31</f>
        <v>15</v>
      </c>
      <c r="F31" s="10" t="n">
        <f aca="false">$C31</f>
        <v>15</v>
      </c>
      <c r="H31" s="1" t="s">
        <v>93</v>
      </c>
      <c r="I31" s="1" t="s">
        <v>47</v>
      </c>
    </row>
    <row r="32" customFormat="false" ht="15" hidden="false" customHeight="true" outlineLevel="0" collapsed="false">
      <c r="A32" s="3" t="s">
        <v>94</v>
      </c>
      <c r="B32" s="3" t="s">
        <v>33</v>
      </c>
      <c r="C32" s="9" t="n">
        <v>10</v>
      </c>
      <c r="D32" s="10" t="n">
        <f aca="false">$C32</f>
        <v>10</v>
      </c>
      <c r="E32" s="10" t="n">
        <f aca="false">$C32</f>
        <v>10</v>
      </c>
      <c r="F32" s="10" t="n">
        <f aca="false">$C32</f>
        <v>10</v>
      </c>
      <c r="H32" s="1" t="s">
        <v>95</v>
      </c>
      <c r="I32" s="1" t="s">
        <v>47</v>
      </c>
    </row>
    <row r="33" customFormat="false" ht="15" hidden="false" customHeight="true" outlineLevel="0" collapsed="false">
      <c r="A33" s="6" t="s">
        <v>96</v>
      </c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true" outlineLevel="0" collapsed="false">
      <c r="A34" s="3" t="s">
        <v>97</v>
      </c>
      <c r="B34" s="3" t="s">
        <v>98</v>
      </c>
      <c r="C34" s="19" t="n">
        <f aca="false">FLOOR(C7*(1-C8)*1000/C12,1)</f>
        <v>22439</v>
      </c>
      <c r="D34" s="19" t="n">
        <f aca="false">FLOOR(D7*(1-D8)*1000/D12,1)</f>
        <v>6969</v>
      </c>
      <c r="E34" s="19" t="n">
        <f aca="false">FLOOR(E7*(1-E8)*1000/E12,1)</f>
        <v>6764</v>
      </c>
      <c r="F34" s="19" t="n">
        <f aca="false">FLOOR(F7*(1-F8)*1000/F12,1)</f>
        <v>4052</v>
      </c>
      <c r="G34" s="19" t="n">
        <f aca="false">SUMPRODUCT($C$6:$F$6,C34:F34)</f>
        <v>16251</v>
      </c>
      <c r="H34" s="1" t="s">
        <v>99</v>
      </c>
    </row>
    <row r="35" customFormat="false" ht="15" hidden="false" customHeight="true" outlineLevel="0" collapsed="false">
      <c r="A35" s="1" t="s">
        <v>100</v>
      </c>
      <c r="B35" s="3" t="s">
        <v>41</v>
      </c>
      <c r="C35" s="19" t="n">
        <f aca="false">C34*C13</f>
        <v>718048</v>
      </c>
      <c r="D35" s="19" t="n">
        <f aca="false">D34*D13</f>
        <v>501768</v>
      </c>
      <c r="E35" s="19" t="n">
        <f aca="false">E34*E13</f>
        <v>487008</v>
      </c>
      <c r="F35" s="19" t="n">
        <f aca="false">F34*F13</f>
        <v>291744</v>
      </c>
      <c r="G35" s="19" t="n">
        <f aca="false">SUMPRODUCT($C$6:$F$6,C35:F35)</f>
        <v>631536</v>
      </c>
      <c r="H35" s="1" t="s">
        <v>101</v>
      </c>
      <c r="J35" s="3" t="s">
        <v>102</v>
      </c>
    </row>
    <row r="36" customFormat="false" ht="15" hidden="false" customHeight="true" outlineLevel="0" collapsed="false">
      <c r="A36" s="3" t="s">
        <v>103</v>
      </c>
      <c r="B36" s="1" t="s">
        <v>104</v>
      </c>
      <c r="C36" s="20" t="n">
        <f aca="false">C34*C14/1000</f>
        <v>24.6829</v>
      </c>
      <c r="D36" s="20" t="n">
        <f aca="false">D34*D14/1000</f>
        <v>21.6039</v>
      </c>
      <c r="E36" s="20" t="n">
        <f aca="false">E34*E14/1000</f>
        <v>29.0852</v>
      </c>
      <c r="F36" s="20" t="n">
        <f aca="false">F34*F14/1000</f>
        <v>34.0368</v>
      </c>
      <c r="G36" s="20" t="n">
        <f aca="false">SUMPRODUCT($C$6:$F$6,C36:F36)</f>
        <v>23.4513</v>
      </c>
      <c r="H36" s="1" t="s">
        <v>105</v>
      </c>
    </row>
    <row r="37" customFormat="false" ht="15" hidden="false" customHeight="true" outlineLevel="0" collapsed="false">
      <c r="A37" s="1" t="s">
        <v>106</v>
      </c>
      <c r="B37" s="1" t="s">
        <v>104</v>
      </c>
      <c r="C37" s="20" t="n">
        <f aca="false">C36*C15</f>
        <v>2.46829</v>
      </c>
      <c r="D37" s="20" t="n">
        <f aca="false">D36*D15</f>
        <v>2.16039</v>
      </c>
      <c r="E37" s="20" t="n">
        <f aca="false">E36*E15</f>
        <v>2.90852</v>
      </c>
      <c r="F37" s="20" t="n">
        <f aca="false">F36*F15</f>
        <v>3.40368</v>
      </c>
      <c r="G37" s="20" t="n">
        <f aca="false">SUMPRODUCT($C$6:$F$6,C37:F37)</f>
        <v>2.34513</v>
      </c>
      <c r="H37" s="1" t="s">
        <v>107</v>
      </c>
    </row>
    <row r="38" customFormat="false" ht="15" hidden="false" customHeight="true" outlineLevel="0" collapsed="false">
      <c r="A38" s="3" t="s">
        <v>108</v>
      </c>
      <c r="B38" s="1" t="s">
        <v>104</v>
      </c>
      <c r="C38" s="20" t="n">
        <f aca="false">C35*C16/1000000000</f>
        <v>0.359024</v>
      </c>
      <c r="D38" s="20" t="n">
        <f aca="false">D35*D16/1000000000</f>
        <v>0.250884</v>
      </c>
      <c r="E38" s="20" t="n">
        <f aca="false">E35*E16/1000000000</f>
        <v>0.243504</v>
      </c>
      <c r="F38" s="20" t="n">
        <f aca="false">F35*F16/1000000000</f>
        <v>0.145872</v>
      </c>
      <c r="G38" s="20" t="n">
        <f aca="false">SUMPRODUCT($C$6:$F$6,C38:F38)</f>
        <v>0.315768</v>
      </c>
      <c r="H38" s="1" t="s">
        <v>109</v>
      </c>
    </row>
    <row r="39" customFormat="false" ht="15" hidden="false" customHeight="true" outlineLevel="0" collapsed="false">
      <c r="A39" s="1" t="s">
        <v>110</v>
      </c>
      <c r="B39" s="1" t="s">
        <v>104</v>
      </c>
      <c r="C39" s="20" t="n">
        <f aca="false">C36+C37+C38</f>
        <v>27.510214</v>
      </c>
      <c r="D39" s="20" t="n">
        <f aca="false">D36+D37+D38</f>
        <v>24.015174</v>
      </c>
      <c r="E39" s="20" t="n">
        <f aca="false">E36+E37+E38</f>
        <v>32.237224</v>
      </c>
      <c r="F39" s="20" t="n">
        <f aca="false">F36+F37+F38</f>
        <v>37.586352</v>
      </c>
      <c r="G39" s="20" t="n">
        <f aca="false">SUMPRODUCT($C$6:$F$6,C39:F39)</f>
        <v>26.112198</v>
      </c>
      <c r="H39" s="1" t="s">
        <v>111</v>
      </c>
    </row>
    <row r="40" customFormat="false" ht="15" hidden="false" customHeight="true" outlineLevel="0" collapsed="false">
      <c r="A40" s="3" t="s">
        <v>74</v>
      </c>
      <c r="B40" s="1" t="s">
        <v>104</v>
      </c>
      <c r="C40" s="20" t="n">
        <f aca="false">C7*C23/1000</f>
        <v>0.02</v>
      </c>
      <c r="D40" s="20" t="n">
        <f aca="false">D7*D23/1000</f>
        <v>0.02</v>
      </c>
      <c r="E40" s="20" t="n">
        <f aca="false">E7*E23/1000</f>
        <v>0.02</v>
      </c>
      <c r="F40" s="20" t="n">
        <f aca="false">F7*F23/1000</f>
        <v>0.02</v>
      </c>
      <c r="G40" s="20" t="n">
        <f aca="false">SUMPRODUCT($C$6:$F$6,C40:F40)</f>
        <v>0.02</v>
      </c>
      <c r="H40" s="1" t="s">
        <v>112</v>
      </c>
    </row>
    <row r="41" customFormat="false" ht="15" hidden="false" customHeight="true" outlineLevel="0" collapsed="false">
      <c r="A41" s="3" t="s">
        <v>77</v>
      </c>
      <c r="B41" s="1" t="s">
        <v>104</v>
      </c>
      <c r="C41" s="20" t="n">
        <f aca="false">C7*C24/1000</f>
        <v>3.6</v>
      </c>
      <c r="D41" s="20" t="n">
        <f aca="false">D7*D24/1000</f>
        <v>3.6</v>
      </c>
      <c r="E41" s="20" t="n">
        <f aca="false">E7*E24/1000</f>
        <v>3.6</v>
      </c>
      <c r="F41" s="20" t="n">
        <f aca="false">F7*F24/1000</f>
        <v>3.6</v>
      </c>
      <c r="G41" s="20" t="n">
        <f aca="false">SUMPRODUCT($C$6:$F$6,C41:F41)</f>
        <v>3.6</v>
      </c>
      <c r="H41" s="1" t="s">
        <v>113</v>
      </c>
    </row>
    <row r="42" customFormat="false" ht="15" hidden="false" customHeight="true" outlineLevel="0" collapsed="false">
      <c r="A42" s="3" t="s">
        <v>80</v>
      </c>
      <c r="B42" s="1" t="s">
        <v>104</v>
      </c>
      <c r="C42" s="20" t="n">
        <f aca="false">C7*C25/1000</f>
        <v>4.5</v>
      </c>
      <c r="D42" s="20" t="n">
        <f aca="false">D7*D25/1000</f>
        <v>4.5</v>
      </c>
      <c r="E42" s="20" t="n">
        <f aca="false">E7*E25/1000</f>
        <v>4.5</v>
      </c>
      <c r="F42" s="20" t="n">
        <f aca="false">F7*F25/1000</f>
        <v>4.5</v>
      </c>
      <c r="G42" s="20" t="n">
        <f aca="false">SUMPRODUCT($C$6:$F$6,C42:F42)</f>
        <v>4.5</v>
      </c>
      <c r="H42" s="1" t="s">
        <v>114</v>
      </c>
    </row>
    <row r="43" customFormat="false" ht="15" hidden="false" customHeight="true" outlineLevel="0" collapsed="false">
      <c r="A43" s="3" t="s">
        <v>82</v>
      </c>
      <c r="B43" s="1" t="s">
        <v>104</v>
      </c>
      <c r="C43" s="20" t="n">
        <f aca="false">C7*C26/1000</f>
        <v>2.5</v>
      </c>
      <c r="D43" s="20" t="n">
        <f aca="false">D7*D26/1000</f>
        <v>2.5</v>
      </c>
      <c r="E43" s="20" t="n">
        <f aca="false">E7*E26/1000</f>
        <v>2.5</v>
      </c>
      <c r="F43" s="20" t="n">
        <f aca="false">F7*F26/1000</f>
        <v>2.5</v>
      </c>
      <c r="G43" s="20" t="n">
        <f aca="false">SUMPRODUCT($C$6:$F$6,C43:F43)</f>
        <v>2.5</v>
      </c>
      <c r="H43" s="1" t="s">
        <v>115</v>
      </c>
    </row>
    <row r="44" customFormat="false" ht="15" hidden="false" customHeight="true" outlineLevel="0" collapsed="false">
      <c r="A44" s="3" t="s">
        <v>116</v>
      </c>
      <c r="B44" s="1" t="s">
        <v>104</v>
      </c>
      <c r="C44" s="20" t="n">
        <f aca="false">C7*C27/1000</f>
        <v>0.4</v>
      </c>
      <c r="D44" s="20" t="n">
        <f aca="false">D7*D27/1000</f>
        <v>0.4</v>
      </c>
      <c r="E44" s="20" t="n">
        <f aca="false">E7*E27/1000</f>
        <v>0.4</v>
      </c>
      <c r="F44" s="20" t="n">
        <f aca="false">F7*F27/1000</f>
        <v>0.4</v>
      </c>
      <c r="G44" s="20" t="n">
        <f aca="false">SUMPRODUCT($C$6:$F$6,C44:F44)</f>
        <v>0.4</v>
      </c>
      <c r="H44" s="1" t="s">
        <v>117</v>
      </c>
    </row>
    <row r="45" customFormat="false" ht="15" hidden="false" customHeight="true" outlineLevel="0" collapsed="false">
      <c r="A45" s="3" t="s">
        <v>118</v>
      </c>
      <c r="B45" s="1" t="s">
        <v>104</v>
      </c>
      <c r="C45" s="20" t="n">
        <f aca="false">(C41+C42+C43+C44)*C28</f>
        <v>1.65</v>
      </c>
      <c r="D45" s="20" t="n">
        <f aca="false">(D41+D42+D43+D44)*D28</f>
        <v>1.65</v>
      </c>
      <c r="E45" s="20" t="n">
        <f aca="false">(E41+E42+E43+E44)*E28</f>
        <v>1.65</v>
      </c>
      <c r="F45" s="20" t="n">
        <f aca="false">(F41+F42+F43+F44)*F28</f>
        <v>1.65</v>
      </c>
      <c r="G45" s="20" t="n">
        <f aca="false">SUMPRODUCT($C$6:$F$6,C45:F45)</f>
        <v>1.65</v>
      </c>
      <c r="H45" s="1" t="s">
        <v>119</v>
      </c>
    </row>
    <row r="46" customFormat="false" ht="15" hidden="false" customHeight="true" outlineLevel="0" collapsed="false">
      <c r="A46" s="3" t="s">
        <v>120</v>
      </c>
      <c r="B46" s="1" t="s">
        <v>104</v>
      </c>
      <c r="C46" s="20" t="n">
        <f aca="false">SUM(C40:C45)</f>
        <v>12.67</v>
      </c>
      <c r="D46" s="20" t="n">
        <f aca="false">SUM(D40:D45)</f>
        <v>12.67</v>
      </c>
      <c r="E46" s="20" t="n">
        <f aca="false">SUM(E40:E45)</f>
        <v>12.67</v>
      </c>
      <c r="F46" s="20" t="n">
        <f aca="false">SUM(F40:F45)</f>
        <v>12.67</v>
      </c>
      <c r="G46" s="20" t="n">
        <f aca="false">SUMPRODUCT($C$6:$F$6,C46:F46)</f>
        <v>12.67</v>
      </c>
      <c r="H46" s="1" t="s">
        <v>121</v>
      </c>
    </row>
    <row r="47" customFormat="false" ht="15" hidden="false" customHeight="true" outlineLevel="0" collapsed="false">
      <c r="A47" s="3" t="s">
        <v>122</v>
      </c>
      <c r="B47" s="1" t="s">
        <v>104</v>
      </c>
      <c r="C47" s="20" t="n">
        <f aca="false">C39+C46</f>
        <v>40.180214</v>
      </c>
      <c r="D47" s="20" t="n">
        <f aca="false">D39+D46</f>
        <v>36.685174</v>
      </c>
      <c r="E47" s="20" t="n">
        <f aca="false">E39+E46</f>
        <v>44.907224</v>
      </c>
      <c r="F47" s="20" t="n">
        <f aca="false">F39+F46</f>
        <v>50.256352</v>
      </c>
      <c r="G47" s="20" t="n">
        <f aca="false">SUMPRODUCT($C$6:$F$6,C47:F47)</f>
        <v>38.782198</v>
      </c>
      <c r="H47" s="1" t="s">
        <v>123</v>
      </c>
    </row>
    <row r="48" customFormat="false" ht="15" hidden="false" customHeight="true" outlineLevel="0" collapsed="false">
      <c r="A48" s="3" t="s">
        <v>124</v>
      </c>
      <c r="B48" s="1" t="s">
        <v>75</v>
      </c>
      <c r="C48" s="11" t="n">
        <f aca="false">C47*1000/C7</f>
        <v>40.180214</v>
      </c>
      <c r="D48" s="11" t="n">
        <f aca="false">D47*1000/D7</f>
        <v>36.685174</v>
      </c>
      <c r="E48" s="11" t="n">
        <f aca="false">E47*1000/E7</f>
        <v>44.907224</v>
      </c>
      <c r="F48" s="11" t="n">
        <f aca="false">F47*1000/F7</f>
        <v>50.256352</v>
      </c>
      <c r="G48" s="11" t="n">
        <f aca="false">SUMPRODUCT($C$6:$F$6,C48:F48)</f>
        <v>38.782198</v>
      </c>
      <c r="H48" s="1" t="s">
        <v>125</v>
      </c>
      <c r="J48" s="3" t="s">
        <v>126</v>
      </c>
    </row>
    <row r="49" customFormat="false" ht="15" hidden="false" customHeight="true" outlineLevel="0" collapsed="false">
      <c r="A49" s="6" t="s">
        <v>127</v>
      </c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A50" s="1" t="s">
        <v>128</v>
      </c>
      <c r="B50" s="1" t="s">
        <v>104</v>
      </c>
      <c r="C50" s="20" t="n">
        <f aca="false">C39*C10/(1-(1+C10)^(-C11))</f>
        <v>6.31654816975637</v>
      </c>
      <c r="D50" s="20" t="n">
        <f aca="false">D39*D10/(1-(1+D10)^(-D11))</f>
        <v>5.51406119109364</v>
      </c>
      <c r="E50" s="20" t="n">
        <f aca="false">E39*E10/(1-(1+E10)^(-E11))</f>
        <v>7.4019045528045</v>
      </c>
      <c r="F50" s="20" t="n">
        <f aca="false">F39*F10/(1-(1+F10)^(-F11))</f>
        <v>8.6301038201091</v>
      </c>
      <c r="G50" s="20" t="n">
        <f aca="false">SUMPRODUCT($C$6:$F$6,C50:F50)</f>
        <v>5.99555337829128</v>
      </c>
      <c r="H50" s="1" t="s">
        <v>129</v>
      </c>
    </row>
    <row r="51" customFormat="false" ht="15" hidden="false" customHeight="true" outlineLevel="0" collapsed="false">
      <c r="A51" s="3" t="s">
        <v>130</v>
      </c>
      <c r="B51" s="1" t="s">
        <v>104</v>
      </c>
      <c r="C51" s="20" t="n">
        <f aca="false">C36*C10/(1-(1+C10)^(-C11))</f>
        <v>5.66737600875368</v>
      </c>
      <c r="D51" s="20" t="n">
        <f aca="false">D36*D10/(1-(1+D10)^(-D11))</f>
        <v>4.96041488461703</v>
      </c>
      <c r="E51" s="20" t="n">
        <f aca="false">E36*E10/(1-(1+E10)^(-E11))</f>
        <v>6.67817657932425</v>
      </c>
      <c r="F51" s="20" t="n">
        <f aca="false">F36*F10/(1-(1+F10)^(-F11))</f>
        <v>7.81510048392803</v>
      </c>
      <c r="G51" s="20" t="n">
        <f aca="false">SUMPRODUCT($C$6:$F$6,C51:F51)</f>
        <v>5.38459155909902</v>
      </c>
    </row>
    <row r="52" customFormat="false" ht="15" hidden="false" customHeight="true" outlineLevel="0" collapsed="false">
      <c r="A52" s="3" t="s">
        <v>131</v>
      </c>
      <c r="B52" s="1" t="s">
        <v>104</v>
      </c>
      <c r="C52" s="20" t="n">
        <f aca="false">C37*C10/(1-(1+C10)^(-C11))</f>
        <v>0.566737600875368</v>
      </c>
      <c r="D52" s="20" t="n">
        <f aca="false">D37*D10/(1-(1+D10)^(-D11))</f>
        <v>0.496041488461703</v>
      </c>
      <c r="E52" s="20" t="n">
        <f aca="false">E37*E10/(1-(1+E10)^(-E11))</f>
        <v>0.667817657932425</v>
      </c>
      <c r="F52" s="20" t="n">
        <f aca="false">F37*F10/(1-(1+F10)^(-F11))</f>
        <v>0.781510048392803</v>
      </c>
      <c r="G52" s="20" t="n">
        <f aca="false">SUMPRODUCT($C$6:$F$6,C52:F52)</f>
        <v>0.538459155909902</v>
      </c>
    </row>
    <row r="53" customFormat="false" ht="15" hidden="false" customHeight="true" outlineLevel="0" collapsed="false">
      <c r="A53" s="3" t="s">
        <v>132</v>
      </c>
      <c r="B53" s="1" t="s">
        <v>104</v>
      </c>
      <c r="C53" s="20" t="n">
        <f aca="false">C38*C10/(1-(1+C10)^(-C11))</f>
        <v>0.0824345601273262</v>
      </c>
      <c r="D53" s="20" t="n">
        <f aca="false">D38*D10/(1-(1+D10)^(-D11))</f>
        <v>0.0576048180149074</v>
      </c>
      <c r="E53" s="20" t="n">
        <f aca="false">E38*E10/(1-(1+E10)^(-E11))</f>
        <v>0.0559103155478309</v>
      </c>
      <c r="F53" s="20" t="n">
        <f aca="false">F38*F10/(1-(1+F10)^(-F11))</f>
        <v>0.033493287788263</v>
      </c>
      <c r="G53" s="20" t="n">
        <f aca="false">SUMPRODUCT($C$6:$F$6,C53:F53)</f>
        <v>0.0725026632823587</v>
      </c>
    </row>
    <row r="54" customFormat="false" ht="15" hidden="false" customHeight="true" outlineLevel="0" collapsed="false">
      <c r="A54" s="3" t="s">
        <v>133</v>
      </c>
      <c r="B54" s="1" t="s">
        <v>104</v>
      </c>
      <c r="C54" s="20" t="n">
        <f aca="false">C41*C10/(1-(1+C10)^(-C29))*(1+C28)+C42*C10/(1-(1+C10)^(-C30))*(1+C28)+C43*C10/(1-(1+C10)^(-C31))*(1+C28)+C44*C10/(1-(1+C10)^(-C32))*(1+C28)+C40*C10</f>
        <v>1.50187163616098</v>
      </c>
      <c r="D54" s="20" t="n">
        <f aca="false">D41*D10/(1-(1+D10)^(-D29))*(1+D28)+D42*D10/(1-(1+D10)^(-D30))*(1+D28)+D43*D10/(1-(1+D10)^(-D31))*(1+D28)+D44*D10/(1-(1+D10)^(-D32))*(1+D28)+D40*D10</f>
        <v>1.50187163616098</v>
      </c>
      <c r="E54" s="20" t="n">
        <f aca="false">E41*E10/(1-(1+E10)^(-E29))*(1+E28)+E42*E10/(1-(1+E10)^(-E30))*(1+E28)+E43*E10/(1-(1+E10)^(-E31))*(1+E28)+E44*E10/(1-(1+E10)^(-E32))*(1+E28)+E40*E10</f>
        <v>1.50187163616098</v>
      </c>
      <c r="F54" s="20" t="n">
        <f aca="false">F41*F10/(1-(1+F10)^(-F29))*(1+F28)+F42*F10/(1-(1+F10)^(-F30))*(1+F28)+F43*F10/(1-(1+F10)^(-F31))*(1+F28)+F44*F10/(1-(1+F10)^(-F32))*(1+F28)+F40*F10</f>
        <v>1.50187163616098</v>
      </c>
      <c r="G54" s="20" t="n">
        <f aca="false">SUMPRODUCT($C$6:$F$6,C54:F54)</f>
        <v>1.50187163616098</v>
      </c>
      <c r="H54" s="1" t="s">
        <v>134</v>
      </c>
    </row>
    <row r="55" customFormat="false" ht="15" hidden="false" customHeight="true" outlineLevel="0" collapsed="false">
      <c r="A55" s="3" t="s">
        <v>135</v>
      </c>
      <c r="B55" s="1" t="s">
        <v>104</v>
      </c>
      <c r="C55" s="20" t="n">
        <f aca="false">C41*C10/(1-(1+C10)^(-C29))*(1+C28)</f>
        <v>0.439168087765904</v>
      </c>
      <c r="D55" s="20" t="n">
        <f aca="false">D41*D10/(1-(1+D10)^(-D29))*(1+D28)</f>
        <v>0.439168087765904</v>
      </c>
      <c r="E55" s="20" t="n">
        <f aca="false">E41*E10/(1-(1+E10)^(-E29))*(1+E28)</f>
        <v>0.439168087765904</v>
      </c>
      <c r="F55" s="20" t="n">
        <f aca="false">F41*F10/(1-(1+F10)^(-F29))*(1+F28)</f>
        <v>0.439168087765904</v>
      </c>
      <c r="G55" s="20" t="n">
        <f aca="false">SUMPRODUCT($C$6:$F$6,C55:F55)</f>
        <v>0.439168087765904</v>
      </c>
    </row>
    <row r="56" customFormat="false" ht="15" hidden="false" customHeight="true" outlineLevel="0" collapsed="false">
      <c r="A56" s="3" t="s">
        <v>136</v>
      </c>
      <c r="B56" s="1" t="s">
        <v>104</v>
      </c>
      <c r="C56" s="20" t="n">
        <f aca="false">C42*C10/(1-(1+C10)^(-C30))*(1+C28)</f>
        <v>0.607853558197924</v>
      </c>
      <c r="D56" s="20" t="n">
        <f aca="false">D42*D10/(1-(1+D10)^(-D30))*(1+D28)</f>
        <v>0.607853558197924</v>
      </c>
      <c r="E56" s="20" t="n">
        <f aca="false">E42*E10/(1-(1+E10)^(-E30))*(1+E28)</f>
        <v>0.607853558197924</v>
      </c>
      <c r="F56" s="20" t="n">
        <f aca="false">F42*F10/(1-(1+F10)^(-F30))*(1+F28)</f>
        <v>0.607853558197924</v>
      </c>
      <c r="G56" s="20" t="n">
        <f aca="false">SUMPRODUCT($C$6:$F$6,C56:F56)</f>
        <v>0.607853558197924</v>
      </c>
    </row>
    <row r="57" customFormat="false" ht="15" hidden="false" customHeight="true" outlineLevel="0" collapsed="false">
      <c r="A57" s="3" t="s">
        <v>137</v>
      </c>
      <c r="B57" s="1" t="s">
        <v>104</v>
      </c>
      <c r="C57" s="20" t="n">
        <f aca="false">C43*C10/(1-(1+C10)^(-C31))*(1+C28)</f>
        <v>0.377987108551195</v>
      </c>
      <c r="D57" s="20" t="n">
        <f aca="false">D43*D10/(1-(1+D10)^(-D31))*(1+D28)</f>
        <v>0.377987108551195</v>
      </c>
      <c r="E57" s="20" t="n">
        <f aca="false">E43*E10/(1-(1+E10)^(-E31))*(1+E28)</f>
        <v>0.377987108551195</v>
      </c>
      <c r="F57" s="20" t="n">
        <f aca="false">F43*F10/(1-(1+F10)^(-F31))*(1+F28)</f>
        <v>0.377987108551195</v>
      </c>
      <c r="G57" s="20" t="n">
        <f aca="false">SUMPRODUCT($C$6:$F$6,C57:F57)</f>
        <v>0.377987108551195</v>
      </c>
    </row>
    <row r="58" customFormat="false" ht="15" hidden="false" customHeight="true" outlineLevel="0" collapsed="false">
      <c r="A58" s="3" t="s">
        <v>138</v>
      </c>
      <c r="B58" s="1" t="s">
        <v>104</v>
      </c>
      <c r="C58" s="20" t="n">
        <f aca="false">C44*C10/(1-(1+C10)^(-C32))*(1+C28)</f>
        <v>0.0748628816459553</v>
      </c>
      <c r="D58" s="20" t="n">
        <f aca="false">D44*D10/(1-(1+D10)^(-D32))*(1+D28)</f>
        <v>0.0748628816459553</v>
      </c>
      <c r="E58" s="20" t="n">
        <f aca="false">E44*E10/(1-(1+E10)^(-E32))*(1+E28)</f>
        <v>0.0748628816459553</v>
      </c>
      <c r="F58" s="20" t="n">
        <f aca="false">F44*F10/(1-(1+F10)^(-F32))*(1+F28)</f>
        <v>0.0748628816459553</v>
      </c>
      <c r="G58" s="20" t="n">
        <f aca="false">SUMPRODUCT($C$6:$F$6,C58:F58)</f>
        <v>0.0748628816459553</v>
      </c>
    </row>
    <row r="59" customFormat="false" ht="15" hidden="false" customHeight="true" outlineLevel="0" collapsed="false">
      <c r="A59" s="3" t="s">
        <v>139</v>
      </c>
      <c r="B59" s="1" t="s">
        <v>104</v>
      </c>
      <c r="C59" s="20" t="n">
        <f aca="false">C40*C10</f>
        <v>0.002</v>
      </c>
      <c r="D59" s="20" t="n">
        <f aca="false">D40*D10</f>
        <v>0.002</v>
      </c>
      <c r="E59" s="20" t="n">
        <f aca="false">E40*E10</f>
        <v>0.002</v>
      </c>
      <c r="F59" s="20" t="n">
        <f aca="false">F40*F10</f>
        <v>0.002</v>
      </c>
      <c r="G59" s="20" t="n">
        <f aca="false">SUMPRODUCT($C$6:$F$6,C59:F59)</f>
        <v>0.002</v>
      </c>
    </row>
    <row r="60" customFormat="false" ht="15" hidden="false" customHeight="true" outlineLevel="0" collapsed="false">
      <c r="A60" s="3" t="s">
        <v>140</v>
      </c>
      <c r="B60" s="1" t="s">
        <v>104</v>
      </c>
      <c r="C60" s="20" t="n">
        <f aca="false">C7*1000*C17*C9*8760*C18/1000000000</f>
        <v>0.672768</v>
      </c>
      <c r="D60" s="20" t="n">
        <f aca="false">D7*1000*D17*D9*8760*D18/1000000000</f>
        <v>0.672768</v>
      </c>
      <c r="E60" s="20" t="n">
        <f aca="false">E7*1000*E17*E9*8760*E18/1000000000</f>
        <v>0.672768</v>
      </c>
      <c r="F60" s="20" t="n">
        <f aca="false">F7*1000*F17*F9*8760*F18/1000000000</f>
        <v>0.672768</v>
      </c>
      <c r="G60" s="20" t="n">
        <f aca="false">SUMPRODUCT($C$6:$F$6,C60:F60)</f>
        <v>0.672768</v>
      </c>
      <c r="H60" s="1" t="s">
        <v>141</v>
      </c>
      <c r="J60" s="3" t="s">
        <v>142</v>
      </c>
    </row>
    <row r="61" customFormat="false" ht="15" hidden="false" customHeight="true" outlineLevel="0" collapsed="false">
      <c r="A61" s="1" t="s">
        <v>143</v>
      </c>
      <c r="B61" s="1" t="s">
        <v>104</v>
      </c>
      <c r="C61" s="20" t="n">
        <f aca="false">C39*C19</f>
        <v>0.432598410197339</v>
      </c>
      <c r="D61" s="20" t="n">
        <f aca="false">D39*D19</f>
        <v>0.377638868712998</v>
      </c>
      <c r="E61" s="20" t="n">
        <f aca="false">E39*E19</f>
        <v>0.506930693144572</v>
      </c>
      <c r="F61" s="20" t="n">
        <f aca="false">F39*F19</f>
        <v>0.591045788314027</v>
      </c>
      <c r="G61" s="20" t="n">
        <f aca="false">SUMPRODUCT($C$6:$F$6,C61:F61)</f>
        <v>0.410614593603603</v>
      </c>
      <c r="H61" s="1" t="s">
        <v>144</v>
      </c>
    </row>
    <row r="62" customFormat="false" ht="15" hidden="false" customHeight="true" outlineLevel="0" collapsed="false">
      <c r="A62" s="3" t="s">
        <v>145</v>
      </c>
      <c r="B62" s="1" t="s">
        <v>104</v>
      </c>
      <c r="C62" s="20" t="n">
        <f aca="false">C46*C20</f>
        <v>0.2534</v>
      </c>
      <c r="D62" s="20" t="n">
        <f aca="false">D46*D20</f>
        <v>0.2534</v>
      </c>
      <c r="E62" s="20" t="n">
        <f aca="false">E46*E20</f>
        <v>0.2534</v>
      </c>
      <c r="F62" s="20" t="n">
        <f aca="false">F46*F20</f>
        <v>0.2534</v>
      </c>
      <c r="G62" s="20" t="n">
        <f aca="false">SUMPRODUCT($C$6:$F$6,C62:F62)</f>
        <v>0.2534</v>
      </c>
      <c r="H62" s="1" t="s">
        <v>146</v>
      </c>
    </row>
    <row r="63" customFormat="false" ht="15" hidden="false" customHeight="true" outlineLevel="0" collapsed="false">
      <c r="A63" s="3" t="s">
        <v>147</v>
      </c>
      <c r="B63" s="1" t="s">
        <v>104</v>
      </c>
      <c r="C63" s="20" t="n">
        <f aca="false">C21</f>
        <v>0.325</v>
      </c>
      <c r="D63" s="20" t="n">
        <f aca="false">D21</f>
        <v>0.325</v>
      </c>
      <c r="E63" s="20" t="n">
        <f aca="false">E21</f>
        <v>0.325</v>
      </c>
      <c r="F63" s="20" t="n">
        <f aca="false">F21</f>
        <v>0.325</v>
      </c>
      <c r="G63" s="20" t="n">
        <f aca="false">SUMPRODUCT($C$6:$F$6,C63:F63)</f>
        <v>0.325</v>
      </c>
      <c r="H63" s="1" t="s">
        <v>148</v>
      </c>
    </row>
    <row r="64" customFormat="false" ht="15" hidden="false" customHeight="true" outlineLevel="0" collapsed="false">
      <c r="A64" s="3" t="s">
        <v>149</v>
      </c>
      <c r="B64" s="1" t="s">
        <v>104</v>
      </c>
      <c r="C64" s="20" t="n">
        <f aca="false">C47*C22</f>
        <v>0.20090107</v>
      </c>
      <c r="D64" s="20" t="n">
        <f aca="false">D47*D22</f>
        <v>0.18342587</v>
      </c>
      <c r="E64" s="20" t="n">
        <f aca="false">E47*E22</f>
        <v>0.22453612</v>
      </c>
      <c r="F64" s="20" t="n">
        <f aca="false">F47*F22</f>
        <v>0.25128176</v>
      </c>
      <c r="G64" s="20" t="n">
        <f aca="false">SUMPRODUCT($C$6:$F$6,C64:F64)</f>
        <v>0.19391099</v>
      </c>
      <c r="H64" s="1" t="s">
        <v>150</v>
      </c>
    </row>
    <row r="65" customFormat="false" ht="15" hidden="false" customHeight="true" outlineLevel="0" collapsed="false">
      <c r="A65" s="3" t="s">
        <v>151</v>
      </c>
      <c r="B65" s="1" t="s">
        <v>104</v>
      </c>
      <c r="C65" s="20" t="n">
        <f aca="false">SUM(C60:C64)</f>
        <v>1.88466748019734</v>
      </c>
      <c r="D65" s="20" t="n">
        <f aca="false">SUM(D60:D64)</f>
        <v>1.812232738713</v>
      </c>
      <c r="E65" s="20" t="n">
        <f aca="false">SUM(E60:E64)</f>
        <v>1.98263481314457</v>
      </c>
      <c r="F65" s="20" t="n">
        <f aca="false">SUM(F60:F64)</f>
        <v>2.09349554831403</v>
      </c>
      <c r="G65" s="20" t="n">
        <f aca="false">SUMPRODUCT($C$6:$F$6,C65:F65)</f>
        <v>1.8556935836036</v>
      </c>
      <c r="H65" s="1" t="s">
        <v>152</v>
      </c>
    </row>
    <row r="66" customFormat="false" ht="15" hidden="false" customHeight="true" outlineLevel="0" collapsed="false">
      <c r="A66" s="3" t="s">
        <v>153</v>
      </c>
      <c r="B66" s="1" t="s">
        <v>68</v>
      </c>
      <c r="C66" s="21" t="n">
        <f aca="false">C50+C54+C65</f>
        <v>9.70308728611469</v>
      </c>
      <c r="D66" s="21" t="n">
        <f aca="false">D50+D54+D65</f>
        <v>8.82816556596761</v>
      </c>
      <c r="E66" s="21" t="n">
        <f aca="false">E50+E54+E65</f>
        <v>10.8864110021101</v>
      </c>
      <c r="F66" s="21" t="n">
        <f aca="false">F50+F54+F65</f>
        <v>12.2254710045841</v>
      </c>
      <c r="G66" s="21" t="n">
        <f aca="false">SUMPRODUCT($C$6:$F$6,C66:F66)</f>
        <v>9.35311859805586</v>
      </c>
      <c r="H66" s="1" t="s">
        <v>154</v>
      </c>
    </row>
    <row r="67" customFormat="false" ht="15" hidden="false" customHeight="true" outlineLevel="0" collapsed="false">
      <c r="A67" s="3" t="s">
        <v>155</v>
      </c>
      <c r="B67" s="1" t="s">
        <v>68</v>
      </c>
      <c r="C67" s="22" t="n">
        <v>9.70308728611469</v>
      </c>
      <c r="D67" s="22" t="n">
        <v>8.82816556596761</v>
      </c>
      <c r="E67" s="22" t="n">
        <v>10.8864110021101</v>
      </c>
      <c r="F67" s="22" t="n">
        <v>12.2254710045841</v>
      </c>
      <c r="G67" s="22" t="n">
        <v>9.35311859805586</v>
      </c>
      <c r="H67" s="1" t="s">
        <v>156</v>
      </c>
      <c r="I67" s="1" t="s">
        <v>157</v>
      </c>
    </row>
    <row r="68" customFormat="false" ht="15" hidden="false" customHeight="true" outlineLevel="0" collapsed="false">
      <c r="A68" s="3" t="s">
        <v>158</v>
      </c>
      <c r="B68" s="1" t="s">
        <v>104</v>
      </c>
      <c r="C68" s="23" t="n">
        <f aca="false">C66-C67</f>
        <v>0</v>
      </c>
      <c r="D68" s="23" t="n">
        <f aca="false">D66-D67</f>
        <v>0</v>
      </c>
      <c r="E68" s="23" t="n">
        <f aca="false">E66-E67</f>
        <v>-4.44089209850063E-014</v>
      </c>
      <c r="F68" s="23" t="n">
        <f aca="false">F66-F67</f>
        <v>0</v>
      </c>
      <c r="G68" s="23" t="n">
        <f aca="false">G66-G67</f>
        <v>0</v>
      </c>
      <c r="J68" s="3" t="s">
        <v>159</v>
      </c>
    </row>
    <row r="69" customFormat="false" ht="15" hidden="false" customHeight="true" outlineLevel="0" collapsed="false">
      <c r="A69" s="6" t="s">
        <v>160</v>
      </c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5" hidden="false" customHeight="true" outlineLevel="0" collapsed="false">
      <c r="A70" s="1" t="s">
        <v>161</v>
      </c>
      <c r="B70" s="1" t="s">
        <v>14</v>
      </c>
      <c r="C70" s="24" t="n">
        <f aca="false">C50/C66</f>
        <v>0.650983339992775</v>
      </c>
      <c r="D70" s="24" t="n">
        <f aca="false">D50/D66</f>
        <v>0.624598751562864</v>
      </c>
      <c r="E70" s="24" t="n">
        <f aca="false">E50/E66</f>
        <v>0.679921468275434</v>
      </c>
      <c r="F70" s="24" t="n">
        <f aca="false">F50/F66</f>
        <v>0.705911765434078</v>
      </c>
      <c r="G70" s="24" t="n">
        <f aca="false">G50/G66</f>
        <v>0.641021849069412</v>
      </c>
    </row>
    <row r="71" customFormat="false" ht="15" hidden="false" customHeight="true" outlineLevel="0" collapsed="false">
      <c r="A71" s="3" t="s">
        <v>162</v>
      </c>
      <c r="B71" s="1" t="s">
        <v>14</v>
      </c>
      <c r="C71" s="24" t="n">
        <f aca="false">C54/C66</f>
        <v>0.154782863626321</v>
      </c>
      <c r="D71" s="24" t="n">
        <f aca="false">D54/D66</f>
        <v>0.170122731040598</v>
      </c>
      <c r="E71" s="24" t="n">
        <f aca="false">E54/E66</f>
        <v>0.137958380945739</v>
      </c>
      <c r="F71" s="24" t="n">
        <f aca="false">F54/F66</f>
        <v>0.122847752499501</v>
      </c>
      <c r="G71" s="24" t="n">
        <f aca="false">G54/G66</f>
        <v>0.160574424499777</v>
      </c>
    </row>
    <row r="72" customFormat="false" ht="15" hidden="false" customHeight="true" outlineLevel="0" collapsed="false">
      <c r="A72" s="3" t="s">
        <v>163</v>
      </c>
      <c r="B72" s="1" t="s">
        <v>14</v>
      </c>
      <c r="C72" s="24" t="n">
        <f aca="false">C60/C66</f>
        <v>0.0693354578972761</v>
      </c>
      <c r="D72" s="24" t="n">
        <f aca="false">D60/D66</f>
        <v>0.0762069984950788</v>
      </c>
      <c r="E72" s="24" t="n">
        <f aca="false">E60/E66</f>
        <v>0.0617988793432106</v>
      </c>
      <c r="F72" s="24" t="n">
        <f aca="false">F60/F66</f>
        <v>0.0550300270433537</v>
      </c>
      <c r="G72" s="24" t="n">
        <f aca="false">G60/G66</f>
        <v>0.0719298053314369</v>
      </c>
    </row>
    <row r="73" customFormat="false" ht="15" hidden="false" customHeight="true" outlineLevel="0" collapsed="false">
      <c r="A73" s="3" t="s">
        <v>164</v>
      </c>
      <c r="B73" s="1" t="s">
        <v>14</v>
      </c>
      <c r="C73" s="24" t="n">
        <f aca="false">(C61+C62)/C66</f>
        <v>0.0706989837326329</v>
      </c>
      <c r="D73" s="24" t="n">
        <f aca="false">(D61+D62)/D66</f>
        <v>0.0714801805649907</v>
      </c>
      <c r="E73" s="24" t="n">
        <f aca="false">(E61+E62)/E66</f>
        <v>0.0698421815047403</v>
      </c>
      <c r="F73" s="24" t="n">
        <f aca="false">(F61+F62)/F66</f>
        <v>0.0690726588773055</v>
      </c>
      <c r="G73" s="24" t="n">
        <f aca="false">(G61+G62)/G66</f>
        <v>0.0709939242876301</v>
      </c>
    </row>
    <row r="74" customFormat="false" ht="15" hidden="false" customHeight="true" outlineLevel="0" collapsed="false">
      <c r="A74" s="3" t="s">
        <v>165</v>
      </c>
      <c r="B74" s="1" t="s">
        <v>14</v>
      </c>
      <c r="C74" s="24" t="n">
        <f aca="false">(C63+C64)/C66</f>
        <v>0.054199354750995</v>
      </c>
      <c r="D74" s="24" t="n">
        <f aca="false">(D63+D64)/D66</f>
        <v>0.0575913383364683</v>
      </c>
      <c r="E74" s="24" t="n">
        <f aca="false">(E63+E64)/E66</f>
        <v>0.0504790899308768</v>
      </c>
      <c r="F74" s="24" t="n">
        <f aca="false">(F63+F64)/F66</f>
        <v>0.0471377961457612</v>
      </c>
      <c r="G74" s="24" t="n">
        <f aca="false">(G63+G64)/G66</f>
        <v>0.0554799968117437</v>
      </c>
    </row>
    <row r="75" customFormat="false" ht="15" hidden="false" customHeight="true" outlineLevel="0" collapsed="false">
      <c r="A75" s="3" t="s">
        <v>166</v>
      </c>
      <c r="B75" s="1" t="s">
        <v>14</v>
      </c>
      <c r="C75" s="24" t="n">
        <f aca="false">(C50+C54)/C66</f>
        <v>0.805766203619096</v>
      </c>
      <c r="D75" s="24" t="n">
        <f aca="false">(D50+D54)/D66</f>
        <v>0.794721482603462</v>
      </c>
      <c r="E75" s="24" t="n">
        <f aca="false">(E50+E54)/E66</f>
        <v>0.817879849221172</v>
      </c>
      <c r="F75" s="24" t="n">
        <f aca="false">(F50+F54)/F66</f>
        <v>0.82875951793358</v>
      </c>
      <c r="G75" s="24" t="n">
        <f aca="false">(G50+G54)/G66</f>
        <v>0.801596273569189</v>
      </c>
    </row>
    <row r="76" customFormat="false" ht="15" hidden="false" customHeight="true" outlineLevel="0" collapsed="false">
      <c r="A76" s="3" t="s">
        <v>167</v>
      </c>
      <c r="B76" s="1" t="s">
        <v>168</v>
      </c>
      <c r="C76" s="16" t="n">
        <f aca="false">C66*1000000000/(C35*8760)</f>
        <v>1.54259654785589</v>
      </c>
      <c r="D76" s="16" t="n">
        <f aca="false">D66*1000000000/(D35*8760)</f>
        <v>2.00846099652078</v>
      </c>
      <c r="E76" s="16" t="n">
        <f aca="false">E66*1000000000/(E35*8760)</f>
        <v>2.55178761329595</v>
      </c>
      <c r="F76" s="16" t="n">
        <f aca="false">F66*1000000000/(F35*8760)</f>
        <v>4.78365180724219</v>
      </c>
      <c r="G76" s="16" t="n">
        <f aca="false">G66*1000000000/(G35*8760)</f>
        <v>1.69065200165595</v>
      </c>
      <c r="J76" s="3" t="s">
        <v>169</v>
      </c>
    </row>
    <row r="77" customFormat="false" ht="15" hidden="false" customHeight="true" outlineLevel="0" collapsed="false">
      <c r="A77" s="6" t="s">
        <v>170</v>
      </c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5" hidden="false" customHeight="true" outlineLevel="0" collapsed="false">
      <c r="A78" s="4" t="s">
        <v>171</v>
      </c>
      <c r="B78" s="4"/>
      <c r="C78" s="5" t="s">
        <v>172</v>
      </c>
      <c r="D78" s="5" t="s">
        <v>173</v>
      </c>
      <c r="E78" s="5" t="s">
        <v>174</v>
      </c>
      <c r="F78" s="5" t="s">
        <v>175</v>
      </c>
      <c r="G78" s="4" t="s">
        <v>176</v>
      </c>
      <c r="H78" s="4"/>
      <c r="I78" s="5" t="s">
        <v>29</v>
      </c>
      <c r="J78" s="5" t="s">
        <v>177</v>
      </c>
    </row>
    <row r="79" customFormat="false" ht="15" hidden="false" customHeight="true" outlineLevel="0" collapsed="false">
      <c r="A79" s="1" t="s">
        <v>178</v>
      </c>
      <c r="B79" s="1" t="s">
        <v>68</v>
      </c>
      <c r="C79" s="16" t="n">
        <f aca="false">C39*$I79/(1-(1+$I79)^(-$J79))+C41*$I79/(1-(1+$I79)^(-C29))*(1+C28)+C42*$I79/(1-(1+$I79)^(-C30))*(1+C28)+C43*$I79/(1-(1+$I79)^(-C31))*(1+C28)+C44*$I79/(1-(1+$I79)^(-C32))*(1+C28)+C40*$I79+C65</f>
        <v>7.89464794089206</v>
      </c>
      <c r="D79" s="16" t="n">
        <f aca="false">D39*$I79/(1-(1+$I79)^(-$J79))+D41*$I79/(1-(1+$I79)^(-D29))*(1+D28)+D42*$I79/(1-(1+$I79)^(-D30))*(1+D28)+D43*$I79/(1-(1+$I79)^(-D31))*(1+D28)+D44*$I79/(1-(1+$I79)^(-D32))*(1+D28)+D40*$I79+D65</f>
        <v>7.17039305788348</v>
      </c>
      <c r="E79" s="16" t="n">
        <f aca="false">E39*$I79/(1-(1+$I79)^(-$J79))+E41*$I79/(1-(1+$I79)^(-E29))*(1+E28)+E42*$I79/(1-(1+$I79)^(-E30))*(1+E28)+E43*$I79/(1-(1+$I79)^(-E31))*(1+E28)+E44*$I79/(1-(1+$I79)^(-E32))*(1+E28)+E40*$I79+E65</f>
        <v>8.87419612189441</v>
      </c>
      <c r="F79" s="16" t="n">
        <f aca="false">F39*$I79/(1-(1+$I79)^(-$J79))+F41*$I79/(1-(1+$I79)^(-F29))*(1+F28)+F42*$I79/(1-(1+$I79)^(-F30))*(1+F28)+F43*$I79/(1-(1+$I79)^(-F31))*(1+F28)+F44*$I79/(1-(1+$I79)^(-F32))*(1+F28)+F40*$I79+F65</f>
        <v>9.98266185442907</v>
      </c>
      <c r="G79" s="16" t="n">
        <f aca="false">SUMPRODUCT($C$6:$F$6,C79:F79)</f>
        <v>7.60494598768863</v>
      </c>
      <c r="I79" s="12" t="n">
        <v>0.0331</v>
      </c>
      <c r="J79" s="25" t="n">
        <v>6</v>
      </c>
    </row>
    <row r="80" customFormat="false" ht="15" hidden="false" customHeight="true" outlineLevel="0" collapsed="false">
      <c r="A80" s="1" t="s">
        <v>179</v>
      </c>
      <c r="B80" s="1" t="s">
        <v>68</v>
      </c>
      <c r="C80" s="16" t="n">
        <f aca="false">C39*$I80/(1-(1+$I80)^(-$J80))+C41*$I80/(1-(1+$I80)^(-C29))*(1+C28)+C42*$I80/(1-(1+$I80)^(-C30))*(1+C28)+C43*$I80/(1-(1+$I80)^(-C31))*(1+C28)+C44*$I80/(1-(1+$I80)^(-C32))*(1+C28)+C40*$I80+C65</f>
        <v>8.32678470095165</v>
      </c>
      <c r="D80" s="16" t="n">
        <f aca="false">D39*$I80/(1-(1+$I80)^(-$J80))+D41*$I80/(1-(1+$I80)^(-D29))*(1+D28)+D42*$I80/(1-(1+$I80)^(-D30))*(1+D28)+D43*$I80/(1-(1+$I80)^(-D31))*(1+D28)+D44*$I80/(1-(1+$I80)^(-D32))*(1+D28)+D40*$I80+D65</f>
        <v>7.56576602772348</v>
      </c>
      <c r="E80" s="16" t="n">
        <f aca="false">E39*$I80/(1-(1+$I80)^(-$J80))+E41*$I80/(1-(1+$I80)^(-E29))*(1+E28)+E42*$I80/(1-(1+$I80)^(-E30))*(1+E28)+E43*$I80/(1-(1+$I80)^(-E31))*(1+E28)+E44*$I80/(1-(1+$I80)^(-E32))*(1+E28)+E40*$I80+E65</f>
        <v>9.35605557583043</v>
      </c>
      <c r="F80" s="16" t="n">
        <f aca="false">F39*$I80/(1-(1+$I80)^(-$J80))+F41*$I80/(1-(1+$I80)^(-F29))*(1+F28)+F42*$I80/(1-(1+$I80)^(-F30))*(1+F28)+F43*$I80/(1-(1+$I80)^(-F31))*(1+F28)+F44*$I80/(1-(1+$I80)^(-F32))*(1+F28)+F40*$I80+F65</f>
        <v>10.5207879661572</v>
      </c>
      <c r="G80" s="16" t="n">
        <f aca="false">SUMPRODUCT($C$6:$F$6,C80:F80)</f>
        <v>8.02237723166038</v>
      </c>
      <c r="I80" s="12" t="n">
        <v>0.05</v>
      </c>
      <c r="J80" s="25" t="n">
        <v>6</v>
      </c>
    </row>
    <row r="81" customFormat="false" ht="15" hidden="false" customHeight="true" outlineLevel="0" collapsed="false">
      <c r="A81" s="1" t="s">
        <v>180</v>
      </c>
      <c r="B81" s="1" t="s">
        <v>68</v>
      </c>
      <c r="C81" s="16" t="n">
        <f aca="false">C39*$I81/(1-(1+$I81)^(-$J81))+C41*$I81/(1-(1+$I81)^(-C29))*(1+C28)+C42*$I81/(1-(1+$I81)^(-C30))*(1+C28)+C43*$I81/(1-(1+$I81)^(-C31))*(1+C28)+C44*$I81/(1-(1+$I81)^(-C32))*(1+C28)+C40*$I81+C65</f>
        <v>9.13641930822487</v>
      </c>
      <c r="D81" s="16" t="n">
        <f aca="false">D39*$I81/(1-(1+$I81)^(-$J81))+D41*$I81/(1-(1+$I81)^(-D29))*(1+D28)+D42*$I81/(1-(1+$I81)^(-D30))*(1+D28)+D43*$I81/(1-(1+$I81)^(-D31))*(1+D28)+D44*$I81/(1-(1+$I81)^(-D32))*(1+D28)+D40*$I81+D65</f>
        <v>8.30795363925469</v>
      </c>
      <c r="E81" s="16" t="n">
        <f aca="false">E39*$I81/(1-(1+$I81)^(-$J81))+E41*$I81/(1-(1+$I81)^(-E29))*(1+E28)+E42*$I81/(1-(1+$I81)^(-E30))*(1+E28)+E43*$I81/(1-(1+$I81)^(-E31))*(1+E28)+E44*$I81/(1-(1+$I81)^(-E32))*(1+E28)+E40*$I81+E65</f>
        <v>10.2569116350305</v>
      </c>
      <c r="F81" s="16" t="n">
        <f aca="false">F39*$I81/(1-(1+$I81)^(-$J81))+F41*$I81/(1-(1+$I81)^(-F29))*(1+F28)+F42*$I81/(1-(1+$I81)^(-F30))*(1+F28)+F43*$I81/(1-(1+$I81)^(-F31))*(1+F28)+F44*$I81/(1-(1+$I81)^(-F32))*(1+F28)+F40*$I81+F65</f>
        <v>11.5248710595084</v>
      </c>
      <c r="G81" s="16" t="n">
        <f aca="false">SUMPRODUCT($C$6:$F$6,C81:F81)</f>
        <v>8.8050330406368</v>
      </c>
      <c r="I81" s="12" t="n">
        <v>0.08</v>
      </c>
      <c r="J81" s="25" t="n">
        <v>6</v>
      </c>
    </row>
    <row r="82" customFormat="false" ht="15" hidden="false" customHeight="true" outlineLevel="0" collapsed="false">
      <c r="A82" s="1" t="s">
        <v>181</v>
      </c>
      <c r="B82" s="1" t="s">
        <v>68</v>
      </c>
      <c r="C82" s="16" t="n">
        <f aca="false">C39*$I82/(1-(1+$I82)^(-$J82))+C41*$I82/(1-(1+$I82)^(-C29))*(1+C28)+C42*$I82/(1-(1+$I82)^(-C30))*(1+C28)+C43*$I82/(1-(1+$I82)^(-C31))*(1+C28)+C44*$I82/(1-(1+$I82)^(-C32))*(1+C28)+C40*$I82+C65</f>
        <v>9.70308728611469</v>
      </c>
      <c r="D82" s="16" t="n">
        <f aca="false">D39*$I82/(1-(1+$I82)^(-$J82))+D41*$I82/(1-(1+$I82)^(-D29))*(1+D28)+D42*$I82/(1-(1+$I82)^(-D30))*(1+D28)+D43*$I82/(1-(1+$I82)^(-D31))*(1+D28)+D44*$I82/(1-(1+$I82)^(-D32))*(1+D28)+D40*$I82+D65</f>
        <v>8.82816556596761</v>
      </c>
      <c r="E82" s="16" t="n">
        <f aca="false">E39*$I82/(1-(1+$I82)^(-$J82))+E41*$I82/(1-(1+$I82)^(-E29))*(1+E28)+E42*$I82/(1-(1+$I82)^(-E30))*(1+E28)+E43*$I82/(1-(1+$I82)^(-E31))*(1+E28)+E44*$I82/(1-(1+$I82)^(-E32))*(1+E28)+E40*$I82+E65</f>
        <v>10.8864110021101</v>
      </c>
      <c r="F82" s="16" t="n">
        <f aca="false">F39*$I82/(1-(1+$I82)^(-$J82))+F41*$I82/(1-(1+$I82)^(-F29))*(1+F28)+F42*$I82/(1-(1+$I82)^(-F30))*(1+F28)+F43*$I82/(1-(1+$I82)^(-F31))*(1+F28)+F44*$I82/(1-(1+$I82)^(-F32))*(1+F28)+F40*$I82+F65</f>
        <v>12.2254710045841</v>
      </c>
      <c r="G82" s="16" t="n">
        <f aca="false">SUMPRODUCT($C$6:$F$6,C82:F82)</f>
        <v>9.35311859805586</v>
      </c>
      <c r="I82" s="12" t="n">
        <v>0.1</v>
      </c>
      <c r="J82" s="25" t="n">
        <v>6</v>
      </c>
    </row>
    <row r="83" customFormat="false" ht="15" hidden="false" customHeight="true" outlineLevel="0" collapsed="false">
      <c r="A83" s="1" t="s">
        <v>182</v>
      </c>
      <c r="B83" s="1" t="s">
        <v>68</v>
      </c>
      <c r="C83" s="16" t="n">
        <f aca="false">C39*$I83/(1-(1+$I83)^(-$J83))+C41*$I83/(1-(1+$I83)^(-C29))*(1+C28)+C42*$I83/(1-(1+$I83)^(-C30))*(1+C28)+C43*$I83/(1-(1+$I83)^(-C31))*(1+C28)+C44*$I83/(1-(1+$I83)^(-C32))*(1+C28)+C40*$I83+C65</f>
        <v>10.5876931865163</v>
      </c>
      <c r="D83" s="16" t="n">
        <f aca="false">D39*$I83/(1-(1+$I83)^(-$J83))+D41*$I83/(1-(1+$I83)^(-D29))*(1+D28)+D42*$I83/(1-(1+$I83)^(-D30))*(1+D28)+D43*$I83/(1-(1+$I83)^(-D31))*(1+D28)+D44*$I83/(1-(1+$I83)^(-D32))*(1+D28)+D40*$I83+D65</f>
        <v>9.64096289288191</v>
      </c>
      <c r="E83" s="16" t="n">
        <f aca="false">E39*$I83/(1-(1+$I83)^(-$J83))+E41*$I83/(1-(1+$I83)^(-E29))*(1+E28)+E42*$I83/(1-(1+$I83)^(-E30))*(1+E28)+E43*$I83/(1-(1+$I83)^(-E31))*(1+E28)+E44*$I83/(1-(1+$I83)^(-E32))*(1+E28)+E40*$I83+E65</f>
        <v>11.8681373489044</v>
      </c>
      <c r="F83" s="16" t="n">
        <f aca="false">F39*$I83/(1-(1+$I83)^(-$J83))+F41*$I83/(1-(1+$I83)^(-F29))*(1+F28)+F42*$I83/(1-(1+$I83)^(-F30))*(1+F28)+F43*$I83/(1-(1+$I83)^(-F31))*(1+F28)+F44*$I83/(1-(1+$I83)^(-F32))*(1+F28)+F40*$I83+F65</f>
        <v>13.3170997419322</v>
      </c>
      <c r="G83" s="16" t="n">
        <f aca="false">SUMPRODUCT($C$6:$F$6,C83:F83)</f>
        <v>10.2090010690626</v>
      </c>
      <c r="I83" s="12" t="n">
        <v>0.13</v>
      </c>
      <c r="J83" s="25" t="n">
        <v>6</v>
      </c>
    </row>
    <row r="84" customFormat="false" ht="15" hidden="false" customHeight="true" outlineLevel="0" collapsed="false">
      <c r="A84" s="1" t="s">
        <v>183</v>
      </c>
      <c r="B84" s="1" t="s">
        <v>68</v>
      </c>
      <c r="C84" s="16" t="n">
        <f aca="false">C39*$I84/(1-(1+$I84)^(-$J84))+C41*$I84/(1-(1+$I84)^(-C29))*(1+C28)+C42*$I84/(1-(1+$I84)^(-C30))*(1+C28)+C43*$I84/(1-(1+$I84)^(-C31))*(1+C28)+C44*$I84/(1-(1+$I84)^(-C32))*(1+C28)+C40*$I84+C65</f>
        <v>10.6436642656827</v>
      </c>
      <c r="D84" s="16" t="n">
        <f aca="false">D39*$I84/(1-(1+$I84)^(-$J84))+D41*$I84/(1-(1+$I84)^(-D29))*(1+D28)+D42*$I84/(1-(1+$I84)^(-D30))*(1+D28)+D43*$I84/(1-(1+$I84)^(-D31))*(1+D28)+D44*$I84/(1-(1+$I84)^(-D32))*(1+D28)+D40*$I84+D65</f>
        <v>9.64924677692144</v>
      </c>
      <c r="E84" s="16" t="n">
        <f aca="false">E39*$I84/(1-(1+$I84)^(-$J84))+E41*$I84/(1-(1+$I84)^(-E29))*(1+E28)+E42*$I84/(1-(1+$I84)^(-E30))*(1+E28)+E43*$I84/(1-(1+$I84)^(-E31))*(1+E28)+E44*$I84/(1-(1+$I84)^(-E32))*(1+E28)+E40*$I84+E65</f>
        <v>11.9886049283215</v>
      </c>
      <c r="F84" s="16" t="n">
        <f aca="false">F39*$I84/(1-(1+$I84)^(-$J84))+F41*$I84/(1-(1+$I84)^(-F29))*(1+F28)+F42*$I84/(1-(1+$I84)^(-F30))*(1+F28)+F43*$I84/(1-(1+$I84)^(-F31))*(1+F28)+F44*$I84/(1-(1+$I84)^(-F32))*(1+F28)+F40*$I84+F65</f>
        <v>13.5105521543395</v>
      </c>
      <c r="G84" s="16" t="n">
        <f aca="false">SUMPRODUCT($C$6:$F$6,C84:F84)</f>
        <v>10.2458972701782</v>
      </c>
      <c r="I84" s="12" t="n">
        <v>0.1</v>
      </c>
      <c r="J84" s="25" t="n">
        <v>5</v>
      </c>
    </row>
    <row r="85" customFormat="false" ht="15" hidden="false" customHeight="true" outlineLevel="0" collapsed="false">
      <c r="A85" s="1" t="s">
        <v>184</v>
      </c>
      <c r="B85" s="1" t="s">
        <v>68</v>
      </c>
      <c r="C85" s="16" t="n">
        <f aca="false">C39*$I85/(1-(1+$I85)^(-$J85))+C41*$I85/(1-(1+$I85)^(-C29))*(1+C28)+C42*$I85/(1-(1+$I85)^(-C30))*(1+C28)+C43*$I85/(1-(1+$I85)^(-C31))*(1+C28)+C44*$I85/(1-(1+$I85)^(-C32))*(1+C28)+C40*$I85+C65</f>
        <v>10.0756474043871</v>
      </c>
      <c r="D85" s="16" t="n">
        <f aca="false">D39*$I85/(1-(1+$I85)^(-$J85))+D41*$I85/(1-(1+$I85)^(-D29))*(1+D28)+D42*$I85/(1-(1+$I85)^(-D30))*(1+D28)+D43*$I85/(1-(1+$I85)^(-D31))*(1+D28)+D44*$I85/(1-(1+$I85)^(-D32))*(1+D28)+D40*$I85+D65</f>
        <v>9.1278573359335</v>
      </c>
      <c r="E85" s="16" t="n">
        <f aca="false">E39*$I85/(1-(1+$I85)^(-$J85))+E41*$I85/(1-(1+$I85)^(-E29))*(1+E28)+E42*$I85/(1-(1+$I85)^(-E30))*(1+E28)+E43*$I85/(1-(1+$I85)^(-E31))*(1+E28)+E44*$I85/(1-(1+$I85)^(-E32))*(1+E28)+E40*$I85+E65</f>
        <v>11.3575249026363</v>
      </c>
      <c r="F85" s="16" t="n">
        <f aca="false">F39*$I85/(1-(1+$I85)^(-$J85))+F41*$I85/(1-(1+$I85)^(-F29))*(1+F28)+F42*$I85/(1-(1+$I85)^(-F30))*(1+F28)+F43*$I85/(1-(1+$I85)^(-F31))*(1+F28)+F44*$I85/(1-(1+$I85)^(-F32))*(1+F28)+F40*$I85+F65</f>
        <v>12.80810927171</v>
      </c>
      <c r="G85" s="16" t="n">
        <f aca="false">SUMPRODUCT($C$6:$F$6,C85:F85)</f>
        <v>9.69653137700566</v>
      </c>
      <c r="I85" s="12" t="n">
        <v>0.08</v>
      </c>
      <c r="J85" s="25" t="n">
        <v>5</v>
      </c>
    </row>
    <row r="86" customFormat="false" ht="15" hidden="false" customHeight="true" outlineLevel="0" collapsed="false">
      <c r="A86" s="1" t="s">
        <v>185</v>
      </c>
      <c r="B86" s="1" t="s">
        <v>68</v>
      </c>
      <c r="C86" s="16" t="n">
        <f aca="false">C39*$I86/(1-(1+$I86)^(-$J86))+C41*$I86/(1-(1+$I86)^(-C29))*(1+C28)+C42*$I86/(1-(1+$I86)^(-C30))*(1+C28)+C43*$I86/(1-(1+$I86)^(-C31))*(1+C28)+C44*$I86/(1-(1+$I86)^(-C32))*(1+C28)+C40*$I86+C65</f>
        <v>8.82428211319624</v>
      </c>
      <c r="D86" s="16" t="n">
        <f aca="false">D39*$I86/(1-(1+$I86)^(-$J86))+D41*$I86/(1-(1+$I86)^(-D29))*(1+D28)+D42*$I86/(1-(1+$I86)^(-D30))*(1+D28)+D43*$I86/(1-(1+$I86)^(-D31))*(1+D28)+D44*$I86/(1-(1+$I86)^(-D32))*(1+D28)+D40*$I86+D65</f>
        <v>7.98192169245646</v>
      </c>
      <c r="E86" s="16" t="n">
        <f aca="false">E39*$I86/(1-(1+$I86)^(-$J86))+E41*$I86/(1-(1+$I86)^(-E29))*(1+E28)+E42*$I86/(1-(1+$I86)^(-E30))*(1+E28)+E43*$I86/(1-(1+$I86)^(-E31))*(1+E28)+E44*$I86/(1-(1+$I86)^(-E32))*(1+E28)+E40*$I86+E65</f>
        <v>9.96356696614244</v>
      </c>
      <c r="F86" s="16" t="n">
        <f aca="false">F39*$I86/(1-(1+$I86)^(-$J86))+F41*$I86/(1-(1+$I86)^(-F29))*(1+F28)+F42*$I86/(1-(1+$I86)^(-F30))*(1+F28)+F43*$I86/(1-(1+$I86)^(-F31))*(1+F28)+F44*$I86/(1-(1+$I86)^(-F32))*(1+F28)+F40*$I86+F65</f>
        <v>11.2527921860744</v>
      </c>
      <c r="G86" s="16" t="n">
        <f aca="false">SUMPRODUCT($C$6:$F$6,C86:F86)</f>
        <v>8.48733794490033</v>
      </c>
      <c r="I86" s="12" t="n">
        <v>0.0331</v>
      </c>
      <c r="J86" s="2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28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8"/>
    <col collapsed="false" customWidth="true" hidden="false" outlineLevel="0" max="12" min="12" style="1" width="24"/>
    <col collapsed="false" customWidth="true" hidden="false" outlineLevel="0" max="13" min="13" style="1" width="9"/>
    <col collapsed="false" customWidth="true" hidden="false" outlineLevel="0" max="14" min="14" style="1" width="10"/>
    <col collapsed="false" customWidth="true" hidden="false" outlineLevel="0" max="16" min="15" style="1" width="9"/>
    <col collapsed="false" customWidth="true" hidden="false" outlineLevel="0" max="18" min="17" style="1" width="34"/>
    <col collapsed="false" customWidth="true" hidden="false" outlineLevel="0" max="19" min="19" style="1" width="26"/>
    <col collapsed="false" customWidth="true" hidden="false" outlineLevel="0" max="20" min="20" style="1" width="12"/>
    <col collapsed="false" customWidth="true" hidden="false" outlineLevel="0" max="21" min="21" style="1" width="34"/>
    <col collapsed="false" customWidth="true" hidden="false" outlineLevel="0" max="22" min="22" style="1" width="30"/>
    <col collapsed="false" customWidth="true" hidden="false" outlineLevel="0" max="23" min="23" style="1" width="18"/>
    <col collapsed="false" customWidth="true" hidden="false" outlineLevel="0" max="24" min="24" style="1" width="22"/>
    <col collapsed="false" customWidth="true" hidden="false" outlineLevel="0" max="25" min="25" style="1" width="44"/>
    <col collapsed="false" customWidth="true" hidden="false" outlineLevel="0" max="26" min="26" style="1" width="8"/>
  </cols>
  <sheetData>
    <row r="1" customFormat="false" ht="16.5" hidden="false" customHeight="true" outlineLevel="0" collapsed="false">
      <c r="A1" s="26" t="s">
        <v>186</v>
      </c>
    </row>
    <row r="2" customFormat="false" ht="15" hidden="false" customHeight="true" outlineLevel="0" collapsed="false">
      <c r="A2" s="3" t="s">
        <v>187</v>
      </c>
    </row>
    <row r="4" customFormat="false" ht="41.25" hidden="false" customHeight="true" outlineLevel="0" collapsed="false">
      <c r="A4" s="5" t="s">
        <v>188</v>
      </c>
      <c r="B4" s="4" t="s">
        <v>2</v>
      </c>
      <c r="C4" s="4" t="s">
        <v>189</v>
      </c>
      <c r="D4" s="4" t="s">
        <v>3</v>
      </c>
      <c r="E4" s="4" t="s">
        <v>190</v>
      </c>
      <c r="F4" s="4" t="s">
        <v>191</v>
      </c>
      <c r="G4" s="4" t="s">
        <v>192</v>
      </c>
      <c r="H4" s="4" t="s">
        <v>193</v>
      </c>
      <c r="I4" s="4" t="s">
        <v>194</v>
      </c>
      <c r="J4" s="4" t="s">
        <v>195</v>
      </c>
      <c r="K4" s="4" t="s">
        <v>196</v>
      </c>
      <c r="L4" s="4" t="s">
        <v>197</v>
      </c>
      <c r="M4" s="5" t="s">
        <v>198</v>
      </c>
      <c r="N4" s="4" t="s">
        <v>199</v>
      </c>
      <c r="O4" s="4" t="s">
        <v>200</v>
      </c>
      <c r="P4" s="4" t="s">
        <v>201</v>
      </c>
      <c r="Q4" s="4" t="s">
        <v>140</v>
      </c>
      <c r="R4" s="4" t="s">
        <v>202</v>
      </c>
      <c r="S4" s="4" t="s">
        <v>203</v>
      </c>
      <c r="T4" s="4" t="s">
        <v>204</v>
      </c>
      <c r="U4" s="4" t="s">
        <v>205</v>
      </c>
      <c r="V4" s="4" t="s">
        <v>206</v>
      </c>
      <c r="W4" s="5" t="s">
        <v>207</v>
      </c>
      <c r="X4" s="4" t="s">
        <v>10</v>
      </c>
      <c r="Y4" s="4" t="s">
        <v>208</v>
      </c>
      <c r="Z4" s="4" t="s">
        <v>209</v>
      </c>
    </row>
    <row r="5" customFormat="false" ht="15" hidden="false" customHeight="true" outlineLevel="0" collapsed="false">
      <c r="A5" s="6" t="s">
        <v>210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41.25" hidden="false" customHeight="true" outlineLevel="0" collapsed="false">
      <c r="A6" s="27" t="s">
        <v>211</v>
      </c>
      <c r="B6" s="27" t="s">
        <v>212</v>
      </c>
      <c r="C6" s="28" t="n">
        <v>9.7</v>
      </c>
      <c r="D6" s="27" t="s">
        <v>213</v>
      </c>
      <c r="E6" s="28" t="n">
        <v>5</v>
      </c>
      <c r="F6" s="28" t="n">
        <v>0.2</v>
      </c>
      <c r="G6" s="27" t="s">
        <v>214</v>
      </c>
      <c r="H6" s="29" t="n">
        <f aca="false">C6/E6</f>
        <v>1.94</v>
      </c>
      <c r="I6" s="29" t="n">
        <f aca="false">H6/F6</f>
        <v>9.7</v>
      </c>
      <c r="J6" s="29" t="n">
        <f aca="false">I6</f>
        <v>9.7</v>
      </c>
      <c r="K6" s="29" t="n">
        <f aca="false">I6</f>
        <v>9.7</v>
      </c>
      <c r="L6" s="27" t="s">
        <v>215</v>
      </c>
      <c r="M6" s="29" t="n">
        <f aca="false">'TK 拆解'!E66</f>
        <v>10.8864110021101</v>
      </c>
      <c r="N6" s="29" t="n">
        <f aca="false">I6/M6</f>
        <v>0.891019087752603</v>
      </c>
      <c r="O6" s="29" t="n">
        <f aca="false">J6/M6</f>
        <v>0.891019087752603</v>
      </c>
      <c r="P6" s="29" t="n">
        <f aca="false">K6/M6</f>
        <v>0.891019087752603</v>
      </c>
      <c r="Q6" s="30" t="s">
        <v>216</v>
      </c>
      <c r="R6" s="30" t="s">
        <v>217</v>
      </c>
      <c r="S6" s="30" t="s">
        <v>218</v>
      </c>
      <c r="T6" s="30" t="s">
        <v>219</v>
      </c>
      <c r="U6" s="30" t="s">
        <v>220</v>
      </c>
      <c r="V6" s="27" t="s">
        <v>221</v>
      </c>
      <c r="W6" s="27" t="s">
        <v>174</v>
      </c>
      <c r="X6" s="27" t="s">
        <v>222</v>
      </c>
      <c r="Y6" s="30" t="s">
        <v>223</v>
      </c>
      <c r="Z6" s="27" t="s">
        <v>224</v>
      </c>
    </row>
    <row r="7" customFormat="false" ht="41.25" hidden="false" customHeight="true" outlineLevel="0" collapsed="false">
      <c r="A7" s="27" t="s">
        <v>225</v>
      </c>
      <c r="B7" s="27" t="s">
        <v>226</v>
      </c>
      <c r="C7" s="28" t="n">
        <v>1.572</v>
      </c>
      <c r="D7" s="27" t="s">
        <v>227</v>
      </c>
      <c r="E7" s="28" t="n">
        <v>4</v>
      </c>
      <c r="F7" s="27" t="n">
        <f aca="false">(590+850)/2/1000</f>
        <v>0.72</v>
      </c>
      <c r="G7" s="30" t="s">
        <v>228</v>
      </c>
      <c r="H7" s="29" t="n">
        <f aca="false">C7*E7</f>
        <v>6.288</v>
      </c>
      <c r="I7" s="29" t="n">
        <f aca="false">H7/F7</f>
        <v>8.73333333333333</v>
      </c>
      <c r="J7" s="29" t="n">
        <f aca="false">I7</f>
        <v>8.73333333333333</v>
      </c>
      <c r="K7" s="29" t="n">
        <f aca="false">I7</f>
        <v>8.73333333333333</v>
      </c>
      <c r="L7" s="27" t="s">
        <v>229</v>
      </c>
      <c r="M7" s="29" t="n">
        <f aca="false">'TK 拆解'!G66</f>
        <v>9.35311859805586</v>
      </c>
      <c r="N7" s="29" t="n">
        <f aca="false">I7/M7</f>
        <v>0.933734907964136</v>
      </c>
      <c r="O7" s="29" t="n">
        <f aca="false">J7/M7</f>
        <v>0.933734907964136</v>
      </c>
      <c r="P7" s="29" t="n">
        <f aca="false">K7/M7</f>
        <v>0.933734907964136</v>
      </c>
      <c r="Q7" s="30" t="s">
        <v>219</v>
      </c>
      <c r="R7" s="30" t="s">
        <v>230</v>
      </c>
      <c r="S7" s="30" t="s">
        <v>219</v>
      </c>
      <c r="T7" s="30" t="s">
        <v>219</v>
      </c>
      <c r="U7" s="30" t="s">
        <v>231</v>
      </c>
      <c r="V7" s="30" t="s">
        <v>232</v>
      </c>
      <c r="W7" s="27" t="s">
        <v>233</v>
      </c>
      <c r="X7" s="27" t="s">
        <v>234</v>
      </c>
      <c r="Y7" s="30" t="s">
        <v>235</v>
      </c>
      <c r="Z7" s="27" t="s">
        <v>236</v>
      </c>
    </row>
    <row r="8" customFormat="false" ht="27.75" hidden="false" customHeight="true" outlineLevel="0" collapsed="false">
      <c r="A8" s="27" t="s">
        <v>237</v>
      </c>
      <c r="B8" s="30" t="s">
        <v>238</v>
      </c>
      <c r="C8" s="28" t="n">
        <v>1.572</v>
      </c>
      <c r="D8" s="27" t="s">
        <v>227</v>
      </c>
      <c r="E8" s="28" t="n">
        <v>4</v>
      </c>
      <c r="F8" s="27" t="n">
        <f aca="false">(590+850)/2/1000/'TK 拆解'!C9</f>
        <v>0.6</v>
      </c>
      <c r="G8" s="27" t="s">
        <v>239</v>
      </c>
      <c r="H8" s="29" t="n">
        <f aca="false">C8*E8</f>
        <v>6.288</v>
      </c>
      <c r="I8" s="29" t="n">
        <f aca="false">H8/F8</f>
        <v>10.48</v>
      </c>
      <c r="J8" s="29" t="n">
        <f aca="false">I8</f>
        <v>10.48</v>
      </c>
      <c r="K8" s="29" t="n">
        <f aca="false">I8</f>
        <v>10.48</v>
      </c>
      <c r="L8" s="27" t="s">
        <v>229</v>
      </c>
      <c r="M8" s="29" t="n">
        <f aca="false">'TK 拆解'!G66</f>
        <v>9.35311859805586</v>
      </c>
      <c r="N8" s="29" t="n">
        <f aca="false">I8/M8</f>
        <v>1.12048188955696</v>
      </c>
      <c r="O8" s="29" t="n">
        <f aca="false">J8/M8</f>
        <v>1.12048188955696</v>
      </c>
      <c r="P8" s="29" t="n">
        <f aca="false">K8/M8</f>
        <v>1.12048188955696</v>
      </c>
      <c r="Q8" s="30" t="s">
        <v>240</v>
      </c>
      <c r="R8" s="30" t="s">
        <v>240</v>
      </c>
      <c r="S8" s="30" t="s">
        <v>240</v>
      </c>
      <c r="T8" s="30" t="s">
        <v>240</v>
      </c>
      <c r="U8" s="30" t="s">
        <v>240</v>
      </c>
      <c r="V8" s="30" t="s">
        <v>240</v>
      </c>
      <c r="W8" s="30" t="s">
        <v>240</v>
      </c>
      <c r="X8" s="27" t="s">
        <v>241</v>
      </c>
      <c r="Y8" s="30" t="s">
        <v>242</v>
      </c>
      <c r="Z8" s="27" t="s">
        <v>236</v>
      </c>
    </row>
    <row r="9" customFormat="false" ht="41.25" hidden="false" customHeight="true" outlineLevel="0" collapsed="false">
      <c r="A9" s="27" t="s">
        <v>243</v>
      </c>
      <c r="B9" s="27" t="s">
        <v>244</v>
      </c>
      <c r="C9" s="28" t="n">
        <v>17.4</v>
      </c>
      <c r="D9" s="27" t="s">
        <v>213</v>
      </c>
      <c r="E9" s="28" t="n">
        <v>5</v>
      </c>
      <c r="F9" s="28" t="n">
        <v>0.3</v>
      </c>
      <c r="G9" s="30" t="s">
        <v>245</v>
      </c>
      <c r="H9" s="29" t="n">
        <f aca="false">C9/E9</f>
        <v>3.48</v>
      </c>
      <c r="I9" s="29" t="n">
        <f aca="false">H9/F9</f>
        <v>11.6</v>
      </c>
      <c r="J9" s="29" t="n">
        <f aca="false">I9</f>
        <v>11.6</v>
      </c>
      <c r="K9" s="29" t="n">
        <f aca="false">I9*19.4/17.4</f>
        <v>12.9333333333333</v>
      </c>
      <c r="L9" s="27" t="s">
        <v>246</v>
      </c>
      <c r="M9" s="29" t="n">
        <f aca="false">'TK 拆解'!E66</f>
        <v>10.8864110021101</v>
      </c>
      <c r="N9" s="29" t="n">
        <f aca="false">I9/M9</f>
        <v>1.06554859978662</v>
      </c>
      <c r="O9" s="29" t="n">
        <f aca="false">J9/M9</f>
        <v>1.06554859978662</v>
      </c>
      <c r="P9" s="29" t="n">
        <f aca="false">K9/M9</f>
        <v>1.1880254503368</v>
      </c>
      <c r="Q9" s="30" t="s">
        <v>247</v>
      </c>
      <c r="R9" s="30" t="s">
        <v>247</v>
      </c>
      <c r="S9" s="30" t="s">
        <v>248</v>
      </c>
      <c r="T9" s="30" t="s">
        <v>247</v>
      </c>
      <c r="U9" s="30" t="s">
        <v>247</v>
      </c>
      <c r="V9" s="30" t="s">
        <v>249</v>
      </c>
      <c r="W9" s="30" t="s">
        <v>250</v>
      </c>
      <c r="X9" s="27" t="s">
        <v>251</v>
      </c>
      <c r="Y9" s="30" t="s">
        <v>252</v>
      </c>
      <c r="Z9" s="27" t="s">
        <v>253</v>
      </c>
    </row>
    <row r="10" customFormat="false" ht="41.25" hidden="false" customHeight="true" outlineLevel="0" collapsed="false">
      <c r="A10" s="27" t="s">
        <v>254</v>
      </c>
      <c r="B10" s="27" t="s">
        <v>255</v>
      </c>
      <c r="C10" s="28" t="n">
        <v>20</v>
      </c>
      <c r="D10" s="27" t="s">
        <v>256</v>
      </c>
      <c r="E10" s="28" t="n">
        <v>1</v>
      </c>
      <c r="F10" s="28" t="n">
        <v>0.001</v>
      </c>
      <c r="G10" s="30" t="s">
        <v>257</v>
      </c>
      <c r="H10" s="29" t="n">
        <f aca="false">C10*E10/1000</f>
        <v>0.02</v>
      </c>
      <c r="I10" s="29" t="n">
        <f aca="false">H10/F10</f>
        <v>20</v>
      </c>
      <c r="J10" s="29" t="n">
        <f aca="false">C10</f>
        <v>20</v>
      </c>
      <c r="K10" s="29" t="n">
        <f aca="false">25</f>
        <v>25</v>
      </c>
      <c r="L10" s="27" t="s">
        <v>215</v>
      </c>
      <c r="M10" s="29" t="n">
        <f aca="false">'TK 拆解'!E66</f>
        <v>10.8864110021101</v>
      </c>
      <c r="N10" s="29" t="n">
        <f aca="false">I10/M10</f>
        <v>1.83715275825279</v>
      </c>
      <c r="O10" s="29" t="n">
        <f aca="false">J10/M10</f>
        <v>1.83715275825279</v>
      </c>
      <c r="P10" s="29" t="n">
        <f aca="false">K10/M10</f>
        <v>2.29644094781599</v>
      </c>
      <c r="Q10" s="30" t="s">
        <v>247</v>
      </c>
      <c r="R10" s="30" t="s">
        <v>247</v>
      </c>
      <c r="S10" s="30" t="s">
        <v>258</v>
      </c>
      <c r="T10" s="30" t="s">
        <v>247</v>
      </c>
      <c r="U10" s="30" t="s">
        <v>259</v>
      </c>
      <c r="V10" s="30" t="s">
        <v>260</v>
      </c>
      <c r="W10" s="30" t="s">
        <v>261</v>
      </c>
      <c r="X10" s="27" t="s">
        <v>262</v>
      </c>
      <c r="Y10" s="30" t="s">
        <v>263</v>
      </c>
      <c r="Z10" s="27" t="s">
        <v>264</v>
      </c>
    </row>
    <row r="11" customFormat="false" ht="41.25" hidden="false" customHeight="true" outlineLevel="0" collapsed="false">
      <c r="A11" s="27" t="s">
        <v>265</v>
      </c>
      <c r="B11" s="27" t="s">
        <v>266</v>
      </c>
      <c r="C11" s="28" t="n">
        <v>40</v>
      </c>
      <c r="D11" s="27" t="s">
        <v>256</v>
      </c>
      <c r="E11" s="28" t="n">
        <v>1</v>
      </c>
      <c r="F11" s="28" t="n">
        <v>0.001</v>
      </c>
      <c r="G11" s="30" t="s">
        <v>267</v>
      </c>
      <c r="H11" s="29" t="n">
        <f aca="false">C11*E11/1000</f>
        <v>0.04</v>
      </c>
      <c r="I11" s="29" t="n">
        <f aca="false">H11/F11</f>
        <v>40</v>
      </c>
      <c r="J11" s="29" t="n">
        <f aca="false">C11</f>
        <v>40</v>
      </c>
      <c r="K11" s="29" t="n">
        <f aca="false">50</f>
        <v>50</v>
      </c>
      <c r="L11" s="27" t="s">
        <v>215</v>
      </c>
      <c r="M11" s="29" t="n">
        <f aca="false">'TK 拆解'!E66</f>
        <v>10.8864110021101</v>
      </c>
      <c r="N11" s="29" t="n">
        <f aca="false">I11/M11</f>
        <v>3.67430551650558</v>
      </c>
      <c r="O11" s="29" t="n">
        <f aca="false">J11/M11</f>
        <v>3.67430551650558</v>
      </c>
      <c r="P11" s="29" t="n">
        <f aca="false">K11/M11</f>
        <v>4.59288189563197</v>
      </c>
      <c r="Q11" s="30" t="s">
        <v>247</v>
      </c>
      <c r="R11" s="30" t="s">
        <v>247</v>
      </c>
      <c r="S11" s="30" t="s">
        <v>247</v>
      </c>
      <c r="T11" s="30" t="s">
        <v>247</v>
      </c>
      <c r="U11" s="30" t="s">
        <v>247</v>
      </c>
      <c r="V11" s="30" t="s">
        <v>268</v>
      </c>
      <c r="W11" s="30" t="s">
        <v>250</v>
      </c>
      <c r="X11" s="27" t="s">
        <v>269</v>
      </c>
      <c r="Y11" s="30" t="s">
        <v>270</v>
      </c>
      <c r="Z11" s="27" t="s">
        <v>264</v>
      </c>
    </row>
    <row r="12" customFormat="false" ht="41.25" hidden="false" customHeight="true" outlineLevel="0" collapsed="false">
      <c r="A12" s="27" t="s">
        <v>271</v>
      </c>
      <c r="B12" s="27" t="s">
        <v>272</v>
      </c>
      <c r="C12" s="28" t="n">
        <v>300</v>
      </c>
      <c r="D12" s="27" t="s">
        <v>213</v>
      </c>
      <c r="E12" s="28" t="n">
        <v>5</v>
      </c>
      <c r="F12" s="27" t="n">
        <f aca="false">4.5/'TK 拆解'!C9</f>
        <v>3.75</v>
      </c>
      <c r="G12" s="30" t="s">
        <v>273</v>
      </c>
      <c r="H12" s="29" t="n">
        <f aca="false">C12/E12</f>
        <v>60</v>
      </c>
      <c r="I12" s="29" t="n">
        <f aca="false">H12/F12</f>
        <v>16</v>
      </c>
      <c r="J12" s="29" t="n">
        <f aca="false">C12/E12/4.5</f>
        <v>13.3333333333333</v>
      </c>
      <c r="K12" s="29" t="n">
        <f aca="false">I12</f>
        <v>16</v>
      </c>
      <c r="L12" s="27" t="s">
        <v>274</v>
      </c>
      <c r="M12" s="29" t="n">
        <f aca="false">'TK 拆解'!F66</f>
        <v>12.2254710045841</v>
      </c>
      <c r="N12" s="29" t="n">
        <f aca="false">I12/M12</f>
        <v>1.30874303280426</v>
      </c>
      <c r="O12" s="29" t="n">
        <f aca="false">J12/M12</f>
        <v>1.09061919400355</v>
      </c>
      <c r="P12" s="29" t="n">
        <f aca="false">K12/M12</f>
        <v>1.30874303280426</v>
      </c>
      <c r="Q12" s="30" t="s">
        <v>275</v>
      </c>
      <c r="R12" s="30" t="s">
        <v>219</v>
      </c>
      <c r="S12" s="30" t="s">
        <v>219</v>
      </c>
      <c r="T12" s="30" t="s">
        <v>219</v>
      </c>
      <c r="U12" s="30" t="s">
        <v>276</v>
      </c>
      <c r="V12" s="30" t="s">
        <v>277</v>
      </c>
      <c r="W12" s="27" t="s">
        <v>278</v>
      </c>
      <c r="X12" s="27" t="s">
        <v>279</v>
      </c>
      <c r="Y12" s="30" t="s">
        <v>280</v>
      </c>
      <c r="Z12" s="27" t="s">
        <v>281</v>
      </c>
    </row>
    <row r="13" customFormat="false" ht="15" hidden="false" customHeight="true" outlineLevel="0" collapsed="false">
      <c r="A13" s="27" t="s">
        <v>282</v>
      </c>
      <c r="B13" s="30" t="s">
        <v>283</v>
      </c>
      <c r="C13" s="28" t="n">
        <v>300</v>
      </c>
      <c r="D13" s="27" t="s">
        <v>213</v>
      </c>
      <c r="E13" s="28" t="n">
        <v>5</v>
      </c>
      <c r="F13" s="28" t="n">
        <v>4.5</v>
      </c>
      <c r="G13" s="27" t="s">
        <v>284</v>
      </c>
      <c r="H13" s="29" t="n">
        <f aca="false">C13/E13</f>
        <v>60</v>
      </c>
      <c r="I13" s="29" t="n">
        <f aca="false">H13/F13</f>
        <v>13.3333333333333</v>
      </c>
      <c r="J13" s="29" t="n">
        <f aca="false">I13</f>
        <v>13.3333333333333</v>
      </c>
      <c r="K13" s="29" t="n">
        <f aca="false">I13</f>
        <v>13.3333333333333</v>
      </c>
      <c r="L13" s="27" t="s">
        <v>285</v>
      </c>
      <c r="M13" s="29" t="n">
        <f aca="false">'TK 拆解'!F66</f>
        <v>12.2254710045841</v>
      </c>
      <c r="N13" s="29" t="n">
        <f aca="false">I13/M13</f>
        <v>1.09061919400355</v>
      </c>
      <c r="O13" s="29" t="n">
        <f aca="false">J13/M13</f>
        <v>1.09061919400355</v>
      </c>
      <c r="P13" s="29" t="n">
        <f aca="false">K13/M13</f>
        <v>1.09061919400355</v>
      </c>
      <c r="Q13" s="30" t="s">
        <v>286</v>
      </c>
      <c r="R13" s="30" t="s">
        <v>286</v>
      </c>
      <c r="S13" s="30" t="s">
        <v>286</v>
      </c>
      <c r="T13" s="30" t="s">
        <v>286</v>
      </c>
      <c r="U13" s="30" t="s">
        <v>286</v>
      </c>
      <c r="V13" s="30" t="s">
        <v>286</v>
      </c>
      <c r="W13" s="30" t="s">
        <v>286</v>
      </c>
      <c r="X13" s="27" t="s">
        <v>287</v>
      </c>
      <c r="Y13" s="30" t="s">
        <v>195</v>
      </c>
      <c r="Z13" s="27" t="s">
        <v>281</v>
      </c>
    </row>
    <row r="14" customFormat="false" ht="27.75" hidden="false" customHeight="true" outlineLevel="0" collapsed="false">
      <c r="A14" s="27" t="s">
        <v>288</v>
      </c>
      <c r="B14" s="27" t="s">
        <v>289</v>
      </c>
      <c r="C14" s="28" t="n">
        <v>30</v>
      </c>
      <c r="D14" s="27" t="s">
        <v>290</v>
      </c>
      <c r="E14" s="28" t="n">
        <v>1</v>
      </c>
      <c r="F14" s="27" t="n">
        <f aca="false">4.5/'TK 拆解'!C9</f>
        <v>3.75</v>
      </c>
      <c r="G14" s="30" t="s">
        <v>291</v>
      </c>
      <c r="H14" s="29" t="n">
        <f aca="false">C14/E14</f>
        <v>30</v>
      </c>
      <c r="I14" s="29" t="n">
        <f aca="false">H14/F14</f>
        <v>8</v>
      </c>
      <c r="J14" s="29" t="n">
        <f aca="false">C14/4.5</f>
        <v>6.66666666666667</v>
      </c>
      <c r="K14" s="29" t="n">
        <f aca="false">H14/F14</f>
        <v>8</v>
      </c>
      <c r="L14" s="27" t="s">
        <v>292</v>
      </c>
      <c r="M14" s="29" t="n">
        <f aca="false">'TK 拆解'!F66</f>
        <v>12.2254710045841</v>
      </c>
      <c r="N14" s="29" t="n">
        <f aca="false">I14/M14</f>
        <v>0.654371516402132</v>
      </c>
      <c r="O14" s="29" t="n">
        <f aca="false">J14/M14</f>
        <v>0.545309597001777</v>
      </c>
      <c r="P14" s="29" t="n">
        <f aca="false">K14/M14</f>
        <v>0.654371516402132</v>
      </c>
      <c r="Q14" s="30" t="s">
        <v>219</v>
      </c>
      <c r="R14" s="30" t="s">
        <v>219</v>
      </c>
      <c r="S14" s="30" t="s">
        <v>219</v>
      </c>
      <c r="T14" s="30" t="s">
        <v>219</v>
      </c>
      <c r="U14" s="30" t="s">
        <v>219</v>
      </c>
      <c r="V14" s="30" t="s">
        <v>286</v>
      </c>
      <c r="W14" s="27" t="s">
        <v>293</v>
      </c>
      <c r="X14" s="27" t="s">
        <v>294</v>
      </c>
      <c r="Y14" s="30" t="s">
        <v>295</v>
      </c>
      <c r="Z14" s="27" t="s">
        <v>281</v>
      </c>
    </row>
    <row r="15" customFormat="false" ht="15" hidden="false" customHeight="true" outlineLevel="0" collapsed="false">
      <c r="A15" s="6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41.25" hidden="false" customHeight="true" outlineLevel="0" collapsed="false">
      <c r="A16" s="27" t="s">
        <v>297</v>
      </c>
      <c r="B16" s="27" t="s">
        <v>298</v>
      </c>
      <c r="C16" s="28" t="n">
        <v>16.3</v>
      </c>
      <c r="D16" s="27" t="s">
        <v>299</v>
      </c>
      <c r="E16" s="28" t="n">
        <v>1</v>
      </c>
      <c r="F16" s="28" t="n">
        <v>1.25</v>
      </c>
      <c r="G16" s="30" t="s">
        <v>300</v>
      </c>
      <c r="H16" s="29" t="n">
        <f aca="false">C16/E16</f>
        <v>16.3</v>
      </c>
      <c r="I16" s="29" t="n">
        <f aca="false">H16/F16</f>
        <v>13.04</v>
      </c>
      <c r="J16" s="29" t="n">
        <f aca="false">H16/1.5</f>
        <v>10.8666666666667</v>
      </c>
      <c r="K16" s="29" t="n">
        <f aca="false">H16/1</f>
        <v>16.3</v>
      </c>
      <c r="L16" s="27" t="s">
        <v>229</v>
      </c>
      <c r="M16" s="29" t="n">
        <f aca="false">'TK 拆解'!G66</f>
        <v>9.35311859805586</v>
      </c>
      <c r="N16" s="29" t="n">
        <f aca="false">I16/M16</f>
        <v>1.39418738929607</v>
      </c>
      <c r="O16" s="29" t="n">
        <f aca="false">J16/M16</f>
        <v>1.16182282441339</v>
      </c>
      <c r="P16" s="29" t="n">
        <f aca="false">K16/M16</f>
        <v>1.74273423662009</v>
      </c>
      <c r="Q16" s="30" t="s">
        <v>301</v>
      </c>
      <c r="R16" s="30" t="s">
        <v>301</v>
      </c>
      <c r="S16" s="30" t="s">
        <v>301</v>
      </c>
      <c r="T16" s="30" t="s">
        <v>301</v>
      </c>
      <c r="U16" s="30" t="s">
        <v>302</v>
      </c>
      <c r="V16" s="30" t="s">
        <v>303</v>
      </c>
      <c r="W16" s="27" t="s">
        <v>304</v>
      </c>
      <c r="X16" s="27" t="s">
        <v>305</v>
      </c>
      <c r="Y16" s="30" t="s">
        <v>306</v>
      </c>
      <c r="Z16" s="27" t="s">
        <v>307</v>
      </c>
    </row>
    <row r="17" customFormat="false" ht="27.75" hidden="false" customHeight="true" outlineLevel="0" collapsed="false">
      <c r="A17" s="27" t="s">
        <v>308</v>
      </c>
      <c r="B17" s="30" t="s">
        <v>309</v>
      </c>
      <c r="C17" s="28" t="n">
        <v>16.3</v>
      </c>
      <c r="D17" s="27" t="s">
        <v>290</v>
      </c>
      <c r="E17" s="28" t="n">
        <v>1</v>
      </c>
      <c r="F17" s="28" t="n">
        <v>1.12780698259266</v>
      </c>
      <c r="G17" s="30" t="s">
        <v>310</v>
      </c>
      <c r="H17" s="29" t="n">
        <f aca="false">C17/E17</f>
        <v>16.3</v>
      </c>
      <c r="I17" s="29" t="n">
        <f aca="false">H17/F17</f>
        <v>14.4528277015352</v>
      </c>
      <c r="J17" s="29" t="n">
        <f aca="false">I17</f>
        <v>14.4528277015352</v>
      </c>
      <c r="K17" s="29" t="n">
        <f aca="false">I17</f>
        <v>14.4528277015352</v>
      </c>
      <c r="L17" s="27" t="s">
        <v>229</v>
      </c>
      <c r="M17" s="29" t="n">
        <f aca="false">'TK 拆解'!G66</f>
        <v>9.35311859805586</v>
      </c>
      <c r="N17" s="29" t="n">
        <f aca="false">I17/M17</f>
        <v>1.54524157370776</v>
      </c>
      <c r="O17" s="29" t="n">
        <f aca="false">J17/M17</f>
        <v>1.54524157370776</v>
      </c>
      <c r="P17" s="29" t="n">
        <f aca="false">K17/M17</f>
        <v>1.54524157370776</v>
      </c>
      <c r="Q17" s="30" t="s">
        <v>311</v>
      </c>
      <c r="R17" s="30" t="s">
        <v>311</v>
      </c>
      <c r="S17" s="30" t="s">
        <v>311</v>
      </c>
      <c r="T17" s="30" t="s">
        <v>311</v>
      </c>
      <c r="U17" s="30" t="s">
        <v>311</v>
      </c>
      <c r="V17" s="30" t="s">
        <v>311</v>
      </c>
      <c r="W17" s="30" t="s">
        <v>311</v>
      </c>
      <c r="X17" s="27" t="s">
        <v>16</v>
      </c>
      <c r="Y17" s="30" t="s">
        <v>312</v>
      </c>
      <c r="Z17" s="27" t="s">
        <v>307</v>
      </c>
    </row>
    <row r="18" customFormat="false" ht="41.25" hidden="false" customHeight="true" outlineLevel="0" collapsed="false">
      <c r="A18" s="27" t="s">
        <v>313</v>
      </c>
      <c r="B18" s="30" t="s">
        <v>314</v>
      </c>
      <c r="C18" s="28" t="n">
        <v>15.9</v>
      </c>
      <c r="D18" s="27" t="s">
        <v>315</v>
      </c>
      <c r="E18" s="28" t="n">
        <v>1</v>
      </c>
      <c r="F18" s="28" t="n">
        <v>0.421</v>
      </c>
      <c r="G18" s="27" t="s">
        <v>316</v>
      </c>
      <c r="H18" s="29" t="n">
        <f aca="false">C18/E18</f>
        <v>15.9</v>
      </c>
      <c r="I18" s="29" t="n">
        <f aca="false">H18/F18</f>
        <v>37.7672209026128</v>
      </c>
      <c r="J18" s="29" t="n">
        <f aca="false">I18</f>
        <v>37.7672209026128</v>
      </c>
      <c r="K18" s="29" t="n">
        <f aca="false">I18</f>
        <v>37.7672209026128</v>
      </c>
      <c r="L18" s="27" t="s">
        <v>317</v>
      </c>
      <c r="M18" s="29" t="n">
        <f aca="false">'TK 拆解'!D48</f>
        <v>36.685174</v>
      </c>
      <c r="N18" s="29" t="n">
        <f aca="false">I18/M18</f>
        <v>1.02949548236061</v>
      </c>
      <c r="O18" s="29" t="n">
        <f aca="false">J18/M18</f>
        <v>1.02949548236061</v>
      </c>
      <c r="P18" s="29" t="n">
        <f aca="false">K18/M18</f>
        <v>1.02949548236061</v>
      </c>
      <c r="Q18" s="27" t="s">
        <v>318</v>
      </c>
      <c r="R18" s="30" t="s">
        <v>319</v>
      </c>
      <c r="S18" s="30" t="s">
        <v>219</v>
      </c>
      <c r="T18" s="27" t="s">
        <v>318</v>
      </c>
      <c r="U18" s="27" t="s">
        <v>318</v>
      </c>
      <c r="V18" s="27" t="s">
        <v>318</v>
      </c>
      <c r="W18" s="27" t="s">
        <v>320</v>
      </c>
      <c r="X18" s="27" t="s">
        <v>321</v>
      </c>
      <c r="Y18" s="30" t="s">
        <v>322</v>
      </c>
      <c r="Z18" s="27" t="s">
        <v>323</v>
      </c>
    </row>
    <row r="19" customFormat="false" ht="15" hidden="false" customHeight="true" outlineLevel="0" collapsed="false">
      <c r="A19" s="6" t="s">
        <v>324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41.25" hidden="false" customHeight="true" outlineLevel="0" collapsed="false">
      <c r="A20" s="27" t="s">
        <v>325</v>
      </c>
      <c r="B20" s="27" t="s">
        <v>326</v>
      </c>
      <c r="C20" s="28" t="n">
        <v>2.53</v>
      </c>
      <c r="D20" s="27" t="s">
        <v>168</v>
      </c>
      <c r="E20" s="28" t="n">
        <v>8760</v>
      </c>
      <c r="F20" s="31" t="n">
        <f aca="false">'TK 拆解'!C35/1000000000</f>
        <v>0.000718048</v>
      </c>
      <c r="G20" s="27" t="s">
        <v>327</v>
      </c>
      <c r="H20" s="29" t="n">
        <f aca="false">C20*E20*F20</f>
        <v>15.9139542144</v>
      </c>
      <c r="I20" s="29" t="n">
        <f aca="false">H20*1</f>
        <v>15.9139542144</v>
      </c>
      <c r="J20" s="29" t="n">
        <f aca="false">H20*0.7</f>
        <v>11.13976795008</v>
      </c>
      <c r="K20" s="29" t="n">
        <f aca="false">H20*1</f>
        <v>15.9139542144</v>
      </c>
      <c r="L20" s="27" t="s">
        <v>328</v>
      </c>
      <c r="M20" s="29" t="n">
        <f aca="false">'TK 拆解'!C66</f>
        <v>9.70308728611469</v>
      </c>
      <c r="N20" s="29" t="n">
        <f aca="false">I20/M20</f>
        <v>1.64009183316048</v>
      </c>
      <c r="O20" s="29" t="n">
        <f aca="false">J20/M20</f>
        <v>1.14806428321234</v>
      </c>
      <c r="P20" s="29" t="n">
        <f aca="false">K20/M20</f>
        <v>1.64009183316048</v>
      </c>
      <c r="Q20" s="30" t="s">
        <v>329</v>
      </c>
      <c r="R20" s="30" t="s">
        <v>329</v>
      </c>
      <c r="S20" s="30" t="s">
        <v>329</v>
      </c>
      <c r="T20" s="30" t="s">
        <v>329</v>
      </c>
      <c r="U20" s="30" t="s">
        <v>330</v>
      </c>
      <c r="V20" s="30" t="s">
        <v>331</v>
      </c>
      <c r="W20" s="27"/>
      <c r="X20" s="27" t="s">
        <v>332</v>
      </c>
      <c r="Y20" s="30" t="s">
        <v>333</v>
      </c>
      <c r="Z20" s="27" t="s">
        <v>334</v>
      </c>
    </row>
    <row r="21" customFormat="false" ht="27.75" hidden="false" customHeight="true" outlineLevel="0" collapsed="false">
      <c r="A21" s="27" t="s">
        <v>335</v>
      </c>
      <c r="B21" s="27" t="s">
        <v>336</v>
      </c>
      <c r="C21" s="28" t="n">
        <v>3.15</v>
      </c>
      <c r="D21" s="27" t="s">
        <v>168</v>
      </c>
      <c r="E21" s="28" t="n">
        <v>8760</v>
      </c>
      <c r="F21" s="31" t="n">
        <f aca="false">'TK 拆解'!C35/1000000000</f>
        <v>0.000718048</v>
      </c>
      <c r="G21" s="27" t="s">
        <v>327</v>
      </c>
      <c r="H21" s="29" t="n">
        <f aca="false">C21*E21*F21</f>
        <v>19.813816512</v>
      </c>
      <c r="I21" s="29" t="n">
        <f aca="false">H21*1</f>
        <v>19.813816512</v>
      </c>
      <c r="J21" s="29" t="n">
        <f aca="false">H21*0.7</f>
        <v>13.8696715584</v>
      </c>
      <c r="K21" s="29" t="n">
        <f aca="false">H21*1</f>
        <v>19.813816512</v>
      </c>
      <c r="L21" s="27" t="s">
        <v>328</v>
      </c>
      <c r="M21" s="29" t="n">
        <f aca="false">'TK 拆解'!C66</f>
        <v>9.70308728611469</v>
      </c>
      <c r="N21" s="29" t="n">
        <f aca="false">I21/M21</f>
        <v>2.04201157093103</v>
      </c>
      <c r="O21" s="29" t="n">
        <f aca="false">J21/M21</f>
        <v>1.42940809965172</v>
      </c>
      <c r="P21" s="29" t="n">
        <f aca="false">K21/M21</f>
        <v>2.04201157093103</v>
      </c>
      <c r="Q21" s="30" t="s">
        <v>329</v>
      </c>
      <c r="R21" s="30" t="s">
        <v>329</v>
      </c>
      <c r="S21" s="30" t="s">
        <v>329</v>
      </c>
      <c r="T21" s="30" t="s">
        <v>329</v>
      </c>
      <c r="U21" s="30" t="s">
        <v>330</v>
      </c>
      <c r="V21" s="30" t="s">
        <v>331</v>
      </c>
      <c r="W21" s="27"/>
      <c r="X21" s="27" t="s">
        <v>332</v>
      </c>
      <c r="Y21" s="30" t="s">
        <v>337</v>
      </c>
      <c r="Z21" s="27" t="s">
        <v>334</v>
      </c>
    </row>
    <row r="22" customFormat="false" ht="27.75" hidden="false" customHeight="true" outlineLevel="0" collapsed="false">
      <c r="A22" s="27" t="s">
        <v>338</v>
      </c>
      <c r="B22" s="27" t="s">
        <v>339</v>
      </c>
      <c r="C22" s="28" t="n">
        <v>6.16</v>
      </c>
      <c r="D22" s="27" t="s">
        <v>168</v>
      </c>
      <c r="E22" s="28" t="n">
        <v>8760</v>
      </c>
      <c r="F22" s="31" t="n">
        <f aca="false">'TK 拆解'!C35/1000000000</f>
        <v>0.000718048</v>
      </c>
      <c r="G22" s="27" t="s">
        <v>327</v>
      </c>
      <c r="H22" s="29" t="n">
        <f aca="false">C22*E22*F22</f>
        <v>38.7470189568</v>
      </c>
      <c r="I22" s="29" t="n">
        <f aca="false">H22*1</f>
        <v>38.7470189568</v>
      </c>
      <c r="J22" s="29" t="n">
        <f aca="false">H22*0.7</f>
        <v>27.12291326976</v>
      </c>
      <c r="K22" s="29" t="n">
        <f aca="false">H22*1</f>
        <v>38.7470189568</v>
      </c>
      <c r="L22" s="27" t="s">
        <v>328</v>
      </c>
      <c r="M22" s="29" t="n">
        <f aca="false">'TK 拆解'!C66</f>
        <v>9.70308728611469</v>
      </c>
      <c r="N22" s="29" t="n">
        <f aca="false">I22/M22</f>
        <v>3.99326707204291</v>
      </c>
      <c r="O22" s="29" t="n">
        <f aca="false">J22/M22</f>
        <v>2.79528695043004</v>
      </c>
      <c r="P22" s="29" t="n">
        <f aca="false">K22/M22</f>
        <v>3.99326707204291</v>
      </c>
      <c r="Q22" s="30" t="s">
        <v>329</v>
      </c>
      <c r="R22" s="30" t="s">
        <v>329</v>
      </c>
      <c r="S22" s="30" t="s">
        <v>329</v>
      </c>
      <c r="T22" s="30" t="s">
        <v>329</v>
      </c>
      <c r="U22" s="30" t="s">
        <v>330</v>
      </c>
      <c r="V22" s="30" t="s">
        <v>331</v>
      </c>
      <c r="W22" s="27"/>
      <c r="X22" s="27" t="s">
        <v>340</v>
      </c>
      <c r="Y22" s="30" t="s">
        <v>341</v>
      </c>
      <c r="Z22" s="27" t="s">
        <v>342</v>
      </c>
    </row>
    <row r="23" customFormat="false" ht="27.75" hidden="false" customHeight="true" outlineLevel="0" collapsed="false">
      <c r="A23" s="27" t="s">
        <v>343</v>
      </c>
      <c r="B23" s="27" t="s">
        <v>344</v>
      </c>
      <c r="C23" s="28" t="n">
        <v>3.29</v>
      </c>
      <c r="D23" s="27" t="s">
        <v>168</v>
      </c>
      <c r="E23" s="28" t="n">
        <v>8760</v>
      </c>
      <c r="F23" s="31" t="n">
        <f aca="false">'TK 拆解'!C35/1000000000</f>
        <v>0.000718048</v>
      </c>
      <c r="G23" s="27" t="s">
        <v>327</v>
      </c>
      <c r="H23" s="29" t="n">
        <f aca="false">C23*E23*F23</f>
        <v>20.6944305792</v>
      </c>
      <c r="I23" s="29" t="n">
        <f aca="false">H23*1</f>
        <v>20.6944305792</v>
      </c>
      <c r="J23" s="29" t="n">
        <f aca="false">H23*0.7</f>
        <v>14.48610140544</v>
      </c>
      <c r="K23" s="29" t="n">
        <f aca="false">H23*1</f>
        <v>20.6944305792</v>
      </c>
      <c r="L23" s="27" t="s">
        <v>328</v>
      </c>
      <c r="M23" s="29" t="n">
        <f aca="false">'TK 拆解'!C66</f>
        <v>9.70308728611469</v>
      </c>
      <c r="N23" s="29" t="n">
        <f aca="false">I23/M23</f>
        <v>2.13276764075019</v>
      </c>
      <c r="O23" s="29" t="n">
        <f aca="false">J23/M23</f>
        <v>1.49293734852513</v>
      </c>
      <c r="P23" s="29" t="n">
        <f aca="false">K23/M23</f>
        <v>2.13276764075019</v>
      </c>
      <c r="Q23" s="30" t="s">
        <v>329</v>
      </c>
      <c r="R23" s="30" t="s">
        <v>329</v>
      </c>
      <c r="S23" s="30" t="s">
        <v>329</v>
      </c>
      <c r="T23" s="30" t="s">
        <v>329</v>
      </c>
      <c r="U23" s="30" t="s">
        <v>330</v>
      </c>
      <c r="V23" s="30" t="s">
        <v>331</v>
      </c>
      <c r="W23" s="27"/>
      <c r="X23" s="27" t="s">
        <v>340</v>
      </c>
      <c r="Y23" s="30" t="s">
        <v>345</v>
      </c>
      <c r="Z23" s="27" t="s">
        <v>342</v>
      </c>
    </row>
    <row r="24" customFormat="false" ht="27.75" hidden="false" customHeight="true" outlineLevel="0" collapsed="false">
      <c r="A24" s="27" t="s">
        <v>346</v>
      </c>
      <c r="B24" s="27" t="s">
        <v>347</v>
      </c>
      <c r="C24" s="28" t="n">
        <v>10.5</v>
      </c>
      <c r="D24" s="27" t="s">
        <v>168</v>
      </c>
      <c r="E24" s="28" t="n">
        <v>8760</v>
      </c>
      <c r="F24" s="31" t="n">
        <f aca="false">'TK 拆解'!D35/1000000000</f>
        <v>0.000501768</v>
      </c>
      <c r="G24" s="27" t="s">
        <v>327</v>
      </c>
      <c r="H24" s="29" t="n">
        <f aca="false">C24*E24*F24</f>
        <v>46.15262064</v>
      </c>
      <c r="I24" s="29" t="n">
        <f aca="false">H24*1</f>
        <v>46.15262064</v>
      </c>
      <c r="J24" s="29" t="n">
        <f aca="false">H24*0.7</f>
        <v>32.306834448</v>
      </c>
      <c r="K24" s="29" t="n">
        <f aca="false">H24*1</f>
        <v>46.15262064</v>
      </c>
      <c r="L24" s="27" t="s">
        <v>348</v>
      </c>
      <c r="M24" s="29" t="n">
        <f aca="false">'TK 拆解'!D66</f>
        <v>8.82816556596761</v>
      </c>
      <c r="N24" s="29" t="n">
        <f aca="false">I24/M24</f>
        <v>5.22788344816701</v>
      </c>
      <c r="O24" s="29" t="n">
        <f aca="false">J24/M24</f>
        <v>3.6595184137169</v>
      </c>
      <c r="P24" s="29" t="n">
        <f aca="false">K24/M24</f>
        <v>5.22788344816701</v>
      </c>
      <c r="Q24" s="30" t="s">
        <v>329</v>
      </c>
      <c r="R24" s="30" t="s">
        <v>329</v>
      </c>
      <c r="S24" s="30" t="s">
        <v>329</v>
      </c>
      <c r="T24" s="30" t="s">
        <v>329</v>
      </c>
      <c r="U24" s="30" t="s">
        <v>330</v>
      </c>
      <c r="V24" s="30" t="s">
        <v>331</v>
      </c>
      <c r="W24" s="27"/>
      <c r="X24" s="27" t="s">
        <v>340</v>
      </c>
      <c r="Y24" s="30" t="s">
        <v>349</v>
      </c>
      <c r="Z24" s="27" t="s">
        <v>342</v>
      </c>
    </row>
    <row r="25" customFormat="false" ht="27.75" hidden="false" customHeight="true" outlineLevel="0" collapsed="false">
      <c r="A25" s="27" t="s">
        <v>350</v>
      </c>
      <c r="B25" s="27" t="s">
        <v>351</v>
      </c>
      <c r="C25" s="28" t="n">
        <v>5</v>
      </c>
      <c r="D25" s="27" t="s">
        <v>168</v>
      </c>
      <c r="E25" s="28" t="n">
        <v>8760</v>
      </c>
      <c r="F25" s="31" t="n">
        <f aca="false">'TK 拆解'!D35/1000000000</f>
        <v>0.000501768</v>
      </c>
      <c r="G25" s="27" t="s">
        <v>327</v>
      </c>
      <c r="H25" s="29" t="n">
        <f aca="false">C25*E25*F25</f>
        <v>21.9774384</v>
      </c>
      <c r="I25" s="29" t="n">
        <f aca="false">H25*1</f>
        <v>21.9774384</v>
      </c>
      <c r="J25" s="29" t="n">
        <f aca="false">H25*0.7</f>
        <v>15.38420688</v>
      </c>
      <c r="K25" s="29" t="n">
        <f aca="false">H25*1</f>
        <v>21.9774384</v>
      </c>
      <c r="L25" s="27" t="s">
        <v>348</v>
      </c>
      <c r="M25" s="29" t="n">
        <f aca="false">'TK 拆解'!D66</f>
        <v>8.82816556596761</v>
      </c>
      <c r="N25" s="29" t="n">
        <f aca="false">I25/M25</f>
        <v>2.48946830865096</v>
      </c>
      <c r="O25" s="29" t="n">
        <f aca="false">J25/M25</f>
        <v>1.74262781605567</v>
      </c>
      <c r="P25" s="29" t="n">
        <f aca="false">K25/M25</f>
        <v>2.48946830865096</v>
      </c>
      <c r="Q25" s="30" t="s">
        <v>329</v>
      </c>
      <c r="R25" s="30" t="s">
        <v>329</v>
      </c>
      <c r="S25" s="30" t="s">
        <v>329</v>
      </c>
      <c r="T25" s="30" t="s">
        <v>329</v>
      </c>
      <c r="U25" s="30" t="s">
        <v>330</v>
      </c>
      <c r="V25" s="30" t="s">
        <v>331</v>
      </c>
      <c r="W25" s="27"/>
      <c r="X25" s="27" t="s">
        <v>352</v>
      </c>
      <c r="Y25" s="30" t="s">
        <v>353</v>
      </c>
      <c r="Z25" s="27" t="s">
        <v>354</v>
      </c>
    </row>
    <row r="26" customFormat="false" ht="41.25" hidden="false" customHeight="true" outlineLevel="0" collapsed="false">
      <c r="A26" s="27" t="s">
        <v>355</v>
      </c>
      <c r="B26" s="27" t="s">
        <v>356</v>
      </c>
      <c r="C26" s="27" t="n">
        <f aca="false">6200000000/5/52000/8760</f>
        <v>2.72216368106779</v>
      </c>
      <c r="D26" s="27" t="s">
        <v>168</v>
      </c>
      <c r="E26" s="28" t="n">
        <v>8760</v>
      </c>
      <c r="F26" s="31" t="n">
        <f aca="false">'TK 拆解'!E35/1000000000</f>
        <v>0.000487008</v>
      </c>
      <c r="G26" s="27" t="s">
        <v>327</v>
      </c>
      <c r="H26" s="29" t="n">
        <f aca="false">C26*E26*F26</f>
        <v>11.6132676923077</v>
      </c>
      <c r="I26" s="29" t="n">
        <f aca="false">H26*1</f>
        <v>11.6132676923077</v>
      </c>
      <c r="J26" s="29" t="n">
        <f aca="false">H26*0.7</f>
        <v>8.12928738461539</v>
      </c>
      <c r="K26" s="29" t="n">
        <f aca="false">H26*1</f>
        <v>11.6132676923077</v>
      </c>
      <c r="L26" s="27" t="s">
        <v>215</v>
      </c>
      <c r="M26" s="29" t="n">
        <f aca="false">'TK 拆解'!E66</f>
        <v>10.8864110021101</v>
      </c>
      <c r="N26" s="29" t="n">
        <f aca="false">I26/M26</f>
        <v>1.06676733866255</v>
      </c>
      <c r="O26" s="29" t="n">
        <f aca="false">J26/M26</f>
        <v>0.746737137063788</v>
      </c>
      <c r="P26" s="29" t="n">
        <f aca="false">K26/M26</f>
        <v>1.06676733866255</v>
      </c>
      <c r="Q26" s="30" t="s">
        <v>357</v>
      </c>
      <c r="R26" s="30" t="s">
        <v>357</v>
      </c>
      <c r="S26" s="30" t="s">
        <v>357</v>
      </c>
      <c r="T26" s="30" t="s">
        <v>357</v>
      </c>
      <c r="U26" s="30" t="s">
        <v>330</v>
      </c>
      <c r="V26" s="30" t="s">
        <v>331</v>
      </c>
      <c r="W26" s="27"/>
      <c r="X26" s="27" t="s">
        <v>358</v>
      </c>
      <c r="Y26" s="30" t="s">
        <v>359</v>
      </c>
      <c r="Z26" s="27" t="s">
        <v>360</v>
      </c>
    </row>
    <row r="27" customFormat="false" ht="27.75" hidden="false" customHeight="true" outlineLevel="0" collapsed="false">
      <c r="A27" s="27" t="s">
        <v>361</v>
      </c>
      <c r="B27" s="27" t="s">
        <v>362</v>
      </c>
      <c r="C27" s="28" t="n">
        <v>7.15</v>
      </c>
      <c r="D27" s="27" t="s">
        <v>168</v>
      </c>
      <c r="E27" s="28" t="n">
        <v>8760</v>
      </c>
      <c r="F27" s="31" t="n">
        <f aca="false">'TK 拆解'!E35/1000000000</f>
        <v>0.000487008</v>
      </c>
      <c r="G27" s="27" t="s">
        <v>327</v>
      </c>
      <c r="H27" s="29" t="n">
        <f aca="false">C27*E27*F27</f>
        <v>30.503259072</v>
      </c>
      <c r="I27" s="29" t="n">
        <f aca="false">H27*1</f>
        <v>30.503259072</v>
      </c>
      <c r="J27" s="29" t="n">
        <f aca="false">H27*0.7</f>
        <v>21.3522813504</v>
      </c>
      <c r="K27" s="29" t="n">
        <f aca="false">H27*1</f>
        <v>30.503259072</v>
      </c>
      <c r="L27" s="27" t="s">
        <v>215</v>
      </c>
      <c r="M27" s="29" t="n">
        <f aca="false">'TK 拆解'!E66</f>
        <v>10.8864110021101</v>
      </c>
      <c r="N27" s="29" t="n">
        <f aca="false">I27/M27</f>
        <v>2.80195732699121</v>
      </c>
      <c r="O27" s="29" t="n">
        <f aca="false">J27/M27</f>
        <v>1.96137012889385</v>
      </c>
      <c r="P27" s="29" t="n">
        <f aca="false">K27/M27</f>
        <v>2.80195732699121</v>
      </c>
      <c r="Q27" s="30" t="s">
        <v>329</v>
      </c>
      <c r="R27" s="30" t="s">
        <v>329</v>
      </c>
      <c r="S27" s="30" t="s">
        <v>329</v>
      </c>
      <c r="T27" s="30" t="s">
        <v>329</v>
      </c>
      <c r="U27" s="30" t="s">
        <v>330</v>
      </c>
      <c r="V27" s="30" t="s">
        <v>331</v>
      </c>
      <c r="W27" s="27"/>
      <c r="X27" s="27" t="s">
        <v>363</v>
      </c>
      <c r="Y27" s="30" t="s">
        <v>195</v>
      </c>
      <c r="Z27" s="27" t="s">
        <v>354</v>
      </c>
    </row>
    <row r="29" customFormat="false" ht="15" hidden="false" customHeight="true" outlineLevel="0" collapsed="false">
      <c r="A29" s="3" t="s">
        <v>364</v>
      </c>
    </row>
    <row r="30" customFormat="false" ht="15" hidden="false" customHeight="true" outlineLevel="0" collapsed="false">
      <c r="A30" s="3" t="s">
        <v>365</v>
      </c>
    </row>
    <row r="31" customFormat="false" ht="28.35" hidden="false" customHeight="false" outlineLevel="0" collapsed="false">
      <c r="A31" s="27" t="s">
        <v>366</v>
      </c>
      <c r="B31" s="30" t="s">
        <v>367</v>
      </c>
      <c r="C31" s="28" t="n">
        <v>300</v>
      </c>
      <c r="D31" s="27" t="s">
        <v>213</v>
      </c>
      <c r="E31" s="28" t="n">
        <v>5</v>
      </c>
      <c r="F31" s="28" t="n">
        <v>5</v>
      </c>
      <c r="G31" s="27" t="s">
        <v>284</v>
      </c>
      <c r="H31" s="29" t="n">
        <f aca="false">C31/E31</f>
        <v>60</v>
      </c>
      <c r="I31" s="29" t="n">
        <f aca="false">H31/F31</f>
        <v>12</v>
      </c>
      <c r="J31" s="29" t="n">
        <f aca="false">I31</f>
        <v>12</v>
      </c>
      <c r="K31" s="29" t="n">
        <f aca="false">I31</f>
        <v>12</v>
      </c>
      <c r="L31" s="27" t="s">
        <v>285</v>
      </c>
      <c r="M31" s="29" t="n">
        <f aca="false">'TK 拆解'!F66</f>
        <v>12.2254710045841</v>
      </c>
      <c r="N31" s="29" t="n">
        <f aca="false">I31/M31</f>
        <v>0.981557274603198</v>
      </c>
      <c r="O31" s="29" t="n">
        <f aca="false">J31/M31</f>
        <v>0.981557274603198</v>
      </c>
      <c r="P31" s="29" t="n">
        <f aca="false">K31/M31</f>
        <v>0.981557274603198</v>
      </c>
      <c r="Q31" s="30" t="s">
        <v>286</v>
      </c>
      <c r="R31" s="30" t="s">
        <v>286</v>
      </c>
      <c r="S31" s="30" t="s">
        <v>286</v>
      </c>
      <c r="T31" s="30" t="s">
        <v>286</v>
      </c>
      <c r="U31" s="30" t="s">
        <v>286</v>
      </c>
      <c r="V31" s="30" t="s">
        <v>286</v>
      </c>
      <c r="W31" s="30" t="s">
        <v>286</v>
      </c>
      <c r="X31" s="27" t="s">
        <v>287</v>
      </c>
      <c r="Y31" s="30" t="s">
        <v>368</v>
      </c>
      <c r="Z31" s="27" t="s">
        <v>369</v>
      </c>
    </row>
    <row r="32" customFormat="false" ht="41.75" hidden="false" customHeight="false" outlineLevel="0" collapsed="false">
      <c r="A32" s="27" t="s">
        <v>370</v>
      </c>
      <c r="B32" s="32" t="s">
        <v>371</v>
      </c>
      <c r="C32" s="28" t="n">
        <v>300</v>
      </c>
      <c r="D32" s="27" t="s">
        <v>213</v>
      </c>
      <c r="E32" s="28" t="n">
        <v>5</v>
      </c>
      <c r="F32" s="27" t="n">
        <f aca="false">5/'TK 拆解'!C9</f>
        <v>4.16666666666667</v>
      </c>
      <c r="G32" s="30" t="s">
        <v>372</v>
      </c>
      <c r="H32" s="29" t="n">
        <f aca="false">C32/E32</f>
        <v>60</v>
      </c>
      <c r="I32" s="29" t="n">
        <f aca="false">H32/F32</f>
        <v>14.4</v>
      </c>
      <c r="J32" s="29" t="n">
        <f aca="false">C32/E32/5</f>
        <v>12</v>
      </c>
      <c r="K32" s="29" t="n">
        <f aca="false">I32</f>
        <v>14.4</v>
      </c>
      <c r="L32" s="27" t="s">
        <v>274</v>
      </c>
      <c r="M32" s="29" t="n">
        <f aca="false">'TK 拆解'!F66</f>
        <v>12.2254710045841</v>
      </c>
      <c r="N32" s="29" t="n">
        <f aca="false">I32/M32</f>
        <v>1.17786872952384</v>
      </c>
      <c r="O32" s="29" t="n">
        <f aca="false">J32/M32</f>
        <v>0.981557274603198</v>
      </c>
      <c r="P32" s="29" t="n">
        <f aca="false">K32/M32</f>
        <v>1.17786872952384</v>
      </c>
      <c r="Q32" s="30" t="s">
        <v>275</v>
      </c>
      <c r="R32" s="30" t="s">
        <v>219</v>
      </c>
      <c r="S32" s="30" t="s">
        <v>219</v>
      </c>
      <c r="T32" s="30" t="s">
        <v>219</v>
      </c>
      <c r="U32" s="30" t="s">
        <v>276</v>
      </c>
      <c r="V32" s="30" t="s">
        <v>277</v>
      </c>
      <c r="W32" s="27" t="s">
        <v>278</v>
      </c>
      <c r="X32" s="27" t="s">
        <v>279</v>
      </c>
      <c r="Y32" s="30" t="s">
        <v>368</v>
      </c>
      <c r="Z32" s="27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6"/>
    <col collapsed="false" customWidth="true" hidden="false" outlineLevel="0" max="6" min="6" style="1" width="60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16.5" hidden="false" customHeight="true" outlineLevel="0" collapsed="false">
      <c r="A1" s="26" t="s">
        <v>373</v>
      </c>
    </row>
    <row r="3" customFormat="false" ht="15" hidden="false" customHeight="true" outlineLevel="0" collapsed="false">
      <c r="A3" s="6" t="s">
        <v>374</v>
      </c>
      <c r="B3" s="7"/>
      <c r="C3" s="7"/>
      <c r="D3" s="7"/>
      <c r="E3" s="7"/>
      <c r="F3" s="7"/>
      <c r="G3" s="7"/>
      <c r="H3" s="7"/>
    </row>
    <row r="4" customFormat="false" ht="27.75" hidden="false" customHeight="true" outlineLevel="0" collapsed="false">
      <c r="A4" s="4" t="s">
        <v>2</v>
      </c>
      <c r="B4" s="5" t="s">
        <v>375</v>
      </c>
      <c r="C4" s="5" t="s">
        <v>376</v>
      </c>
      <c r="D4" s="4" t="s">
        <v>377</v>
      </c>
      <c r="E4" s="4" t="s">
        <v>378</v>
      </c>
      <c r="F4" s="5" t="s">
        <v>379</v>
      </c>
      <c r="G4" s="4" t="s">
        <v>10</v>
      </c>
      <c r="H4" s="4" t="s">
        <v>11</v>
      </c>
    </row>
    <row r="5" customFormat="false" ht="15" hidden="false" customHeight="true" outlineLevel="0" collapsed="false">
      <c r="A5" s="1" t="s">
        <v>380</v>
      </c>
      <c r="B5" s="11" t="n">
        <f aca="false">'TK 拆解'!E66</f>
        <v>10.8864110021101</v>
      </c>
      <c r="C5" s="11" t="n">
        <f aca="false">外部價格換算!I6</f>
        <v>9.7</v>
      </c>
      <c r="D5" s="11" t="n">
        <f aca="false">C5-B5</f>
        <v>-1.18641100211006</v>
      </c>
      <c r="E5" s="11" t="n">
        <f aca="false">C5/B5</f>
        <v>0.891019087752603</v>
      </c>
    </row>
    <row r="6" customFormat="false" ht="15" hidden="false" customHeight="true" outlineLevel="0" collapsed="false">
      <c r="A6" s="1" t="s">
        <v>381</v>
      </c>
      <c r="B6" s="11" t="n">
        <f aca="false">'TK 拆解'!E39</f>
        <v>32.237224</v>
      </c>
      <c r="C6" s="11" t="n">
        <f aca="false">5.8/0.2</f>
        <v>29</v>
      </c>
      <c r="D6" s="11" t="n">
        <f aca="false">C6-B6</f>
        <v>-3.237224</v>
      </c>
      <c r="E6" s="11" t="n">
        <f aca="false">C6/B6</f>
        <v>0.899581179818709</v>
      </c>
      <c r="F6" s="1" t="s">
        <v>382</v>
      </c>
      <c r="G6" s="1" t="s">
        <v>383</v>
      </c>
    </row>
    <row r="7" customFormat="false" ht="15" hidden="false" customHeight="true" outlineLevel="0" collapsed="false">
      <c r="A7" s="3" t="s">
        <v>384</v>
      </c>
      <c r="B7" s="11" t="n">
        <f aca="false">'TK 拆解'!E46</f>
        <v>12.67</v>
      </c>
      <c r="C7" s="11" t="n">
        <v>15</v>
      </c>
      <c r="D7" s="11" t="n">
        <f aca="false">C7-B7</f>
        <v>2.33</v>
      </c>
      <c r="E7" s="11" t="n">
        <f aca="false">C7/B7</f>
        <v>1.18389897395422</v>
      </c>
      <c r="F7" s="3" t="s">
        <v>385</v>
      </c>
      <c r="G7" s="1" t="s">
        <v>386</v>
      </c>
      <c r="H7" s="3" t="s">
        <v>387</v>
      </c>
    </row>
    <row r="8" customFormat="false" ht="15" hidden="false" customHeight="true" outlineLevel="0" collapsed="false">
      <c r="A8" s="3" t="s">
        <v>388</v>
      </c>
      <c r="B8" s="11" t="n">
        <f aca="false">'TK 拆解'!E47</f>
        <v>44.907224</v>
      </c>
      <c r="C8" s="11" t="n">
        <f aca="false">C6+C7</f>
        <v>44</v>
      </c>
      <c r="D8" s="11" t="n">
        <f aca="false">C8-B8</f>
        <v>-0.907223999999999</v>
      </c>
      <c r="E8" s="11" t="n">
        <f aca="false">C8/B8</f>
        <v>0.979797816048483</v>
      </c>
    </row>
    <row r="9" customFormat="false" ht="15" hidden="false" customHeight="true" outlineLevel="0" collapsed="false">
      <c r="A9" s="3" t="s">
        <v>389</v>
      </c>
      <c r="B9" s="11" t="n">
        <f aca="false">'TK 拆解'!E65</f>
        <v>1.98263481314457</v>
      </c>
      <c r="C9" s="11" t="n">
        <f aca="false">(1-0.85)*C5</f>
        <v>1.455</v>
      </c>
      <c r="D9" s="11" t="n">
        <f aca="false">C9-B9</f>
        <v>-0.527634813144572</v>
      </c>
      <c r="E9" s="11" t="n">
        <f aca="false">C9/B9</f>
        <v>0.733871911435009</v>
      </c>
      <c r="F9" s="3" t="s">
        <v>390</v>
      </c>
      <c r="G9" s="1" t="s">
        <v>287</v>
      </c>
      <c r="H9" s="3" t="s">
        <v>391</v>
      </c>
    </row>
    <row r="10" customFormat="false" ht="15" hidden="false" customHeight="true" outlineLevel="0" collapsed="false">
      <c r="A10" s="3" t="s">
        <v>392</v>
      </c>
      <c r="B10" s="11" t="n">
        <f aca="false">'TK 拆解'!E50+'TK 拆解'!E54</f>
        <v>8.90377618896548</v>
      </c>
      <c r="C10" s="11" t="n">
        <f aca="false">C5-C9</f>
        <v>8.245</v>
      </c>
      <c r="D10" s="11" t="n">
        <f aca="false">C10-B10</f>
        <v>-0.658776188965483</v>
      </c>
      <c r="E10" s="11" t="n">
        <f aca="false">C10/B10</f>
        <v>0.926011596093138</v>
      </c>
      <c r="F10" s="1" t="s">
        <v>393</v>
      </c>
      <c r="G10" s="1" t="s">
        <v>16</v>
      </c>
    </row>
    <row r="11" customFormat="false" ht="15" hidden="false" customHeight="true" outlineLevel="0" collapsed="false">
      <c r="A11" s="3" t="s">
        <v>394</v>
      </c>
      <c r="D11" s="11" t="n">
        <f aca="false">C9-B9</f>
        <v>-0.527634813144572</v>
      </c>
      <c r="E11" s="33" t="n">
        <f aca="false">D11/D5</f>
        <v>0.444731894938738</v>
      </c>
      <c r="H11" s="3" t="s">
        <v>395</v>
      </c>
    </row>
    <row r="12" customFormat="false" ht="15" hidden="false" customHeight="true" outlineLevel="0" collapsed="false">
      <c r="A12" s="3" t="s">
        <v>396</v>
      </c>
      <c r="D12" s="11" t="n">
        <f aca="false">C10-B10</f>
        <v>-0.658776188965483</v>
      </c>
      <c r="E12" s="33" t="n">
        <f aca="false">D12/D5</f>
        <v>0.555268105061261</v>
      </c>
    </row>
    <row r="13" customFormat="false" ht="15" hidden="false" customHeight="true" outlineLevel="0" collapsed="false">
      <c r="A13" s="3" t="s">
        <v>397</v>
      </c>
      <c r="D13" s="23" t="n">
        <f aca="false">D11+D12-D5</f>
        <v>0</v>
      </c>
    </row>
    <row r="15" customFormat="false" ht="15" hidden="false" customHeight="true" outlineLevel="0" collapsed="false">
      <c r="A15" s="6" t="s">
        <v>398</v>
      </c>
      <c r="B15" s="7"/>
      <c r="C15" s="7"/>
      <c r="D15" s="7"/>
      <c r="E15" s="7"/>
      <c r="F15" s="7"/>
      <c r="G15" s="7"/>
      <c r="H15" s="7"/>
    </row>
    <row r="16" customFormat="false" ht="54.75" hidden="false" customHeight="true" outlineLevel="0" collapsed="false">
      <c r="A16" s="4" t="s">
        <v>399</v>
      </c>
      <c r="B16" s="5" t="s">
        <v>400</v>
      </c>
      <c r="C16" s="4" t="s">
        <v>401</v>
      </c>
      <c r="D16" s="5" t="s">
        <v>402</v>
      </c>
      <c r="E16" s="4" t="s">
        <v>403</v>
      </c>
      <c r="F16" s="4" t="s">
        <v>11</v>
      </c>
      <c r="G16" s="3" t="s">
        <v>399</v>
      </c>
    </row>
    <row r="17" customFormat="false" ht="15" hidden="false" customHeight="true" outlineLevel="0" collapsed="false">
      <c r="A17" s="1" t="s">
        <v>404</v>
      </c>
      <c r="B17" s="11" t="n">
        <f aca="false">$C$10*(1-(1+G17)^(-5))/G17</f>
        <v>37.4277746234773</v>
      </c>
      <c r="C17" s="11" t="n">
        <f aca="false">$C$8</f>
        <v>44</v>
      </c>
      <c r="D17" s="11" t="n">
        <f aca="false">(C17-B17)*(1+G17)^5</f>
        <v>7.73435773836096</v>
      </c>
      <c r="E17" s="33" t="n">
        <f aca="false">D17/C17</f>
        <v>0.175780857690022</v>
      </c>
      <c r="F17" s="3" t="s">
        <v>405</v>
      </c>
      <c r="G17" s="12" t="n">
        <v>0.0331</v>
      </c>
      <c r="H17" s="3" t="s">
        <v>406</v>
      </c>
    </row>
    <row r="18" customFormat="false" ht="15" hidden="false" customHeight="true" outlineLevel="0" collapsed="false">
      <c r="A18" s="1" t="s">
        <v>407</v>
      </c>
      <c r="B18" s="11" t="n">
        <f aca="false">$C$10*(1-(1+G18)^(-5))/G18</f>
        <v>34.7309394119893</v>
      </c>
      <c r="C18" s="11" t="n">
        <f aca="false">$C$8</f>
        <v>44</v>
      </c>
      <c r="D18" s="11" t="n">
        <f aca="false">(C18-B18)*(1+G18)^5</f>
        <v>12.4040939592</v>
      </c>
      <c r="E18" s="33" t="n">
        <f aca="false">D18/C18</f>
        <v>0.281911226345454</v>
      </c>
      <c r="G18" s="12" t="n">
        <v>0.06</v>
      </c>
    </row>
    <row r="19" customFormat="false" ht="15" hidden="false" customHeight="true" outlineLevel="0" collapsed="false">
      <c r="A19" s="1" t="s">
        <v>408</v>
      </c>
      <c r="B19" s="11" t="n">
        <f aca="false">$C$10*(1-(1+G19)^(-5))/G19</f>
        <v>32.9198942557088</v>
      </c>
      <c r="C19" s="11" t="n">
        <f aca="false">$C$8</f>
        <v>44</v>
      </c>
      <c r="D19" s="11" t="n">
        <f aca="false">(C19-B19)*(1+G19)^5</f>
        <v>16.280310464</v>
      </c>
      <c r="E19" s="33" t="n">
        <f aca="false">D19/C19</f>
        <v>0.370007056</v>
      </c>
      <c r="G19" s="12" t="n">
        <v>0.08</v>
      </c>
    </row>
    <row r="20" customFormat="false" ht="15" hidden="false" customHeight="true" outlineLevel="0" collapsed="false">
      <c r="A20" s="1" t="s">
        <v>409</v>
      </c>
      <c r="B20" s="11" t="n">
        <f aca="false">$C$10*(1-(1+G20)^(-5))/G20</f>
        <v>31.2550369137727</v>
      </c>
      <c r="C20" s="11" t="n">
        <f aca="false">$C$8</f>
        <v>44</v>
      </c>
      <c r="D20" s="11" t="n">
        <f aca="false">(C20-B20)*(1+G20)^5</f>
        <v>20.5258905</v>
      </c>
      <c r="E20" s="33" t="n">
        <f aca="false">D20/C20</f>
        <v>0.466497511363636</v>
      </c>
      <c r="F20" s="34" t="s">
        <v>410</v>
      </c>
      <c r="G20" s="12" t="n">
        <v>0.1</v>
      </c>
    </row>
    <row r="21" customFormat="false" ht="15" hidden="false" customHeight="true" outlineLevel="0" collapsed="false">
      <c r="A21" s="1" t="s">
        <v>411</v>
      </c>
      <c r="B21" s="11" t="n">
        <f aca="false">$C$10*(1-(1+G21)^(-5))/G21</f>
        <v>28.9995717514196</v>
      </c>
      <c r="C21" s="11" t="n">
        <f aca="false">$C$8</f>
        <v>44</v>
      </c>
      <c r="D21" s="11" t="n">
        <f aca="false">(C21-B21)*(1+G21)^5</f>
        <v>27.63731670975</v>
      </c>
      <c r="E21" s="33" t="n">
        <f aca="false">D21/C21</f>
        <v>0.6281208343125</v>
      </c>
      <c r="G21" s="12" t="n">
        <v>0.13</v>
      </c>
    </row>
    <row r="22" customFormat="false" ht="15" hidden="false" customHeight="true" outlineLevel="0" collapsed="false">
      <c r="A22" s="3" t="s">
        <v>412</v>
      </c>
      <c r="B22" s="24" t="n">
        <v>0.0616740150304683</v>
      </c>
      <c r="C22" s="24" t="n">
        <v>0.0236781469784959</v>
      </c>
      <c r="D22" s="24" t="n">
        <v>0.0790525323734297</v>
      </c>
      <c r="E22" s="24" t="n">
        <v>0.0423379998661479</v>
      </c>
      <c r="F22" s="3" t="s">
        <v>413</v>
      </c>
    </row>
    <row r="23" customFormat="false" ht="15" hidden="false" customHeight="true" outlineLevel="0" collapsed="false">
      <c r="A23" s="6" t="s">
        <v>414</v>
      </c>
      <c r="B23" s="7"/>
      <c r="C23" s="7"/>
      <c r="D23" s="7"/>
      <c r="E23" s="7"/>
      <c r="F23" s="7"/>
      <c r="G23" s="7"/>
      <c r="H23" s="7"/>
    </row>
    <row r="24" customFormat="false" ht="27.75" hidden="false" customHeight="true" outlineLevel="0" collapsed="false">
      <c r="A24" s="4" t="s">
        <v>415</v>
      </c>
      <c r="B24" s="4" t="s">
        <v>416</v>
      </c>
      <c r="C24" s="5" t="s">
        <v>417</v>
      </c>
      <c r="D24" s="4" t="s">
        <v>418</v>
      </c>
      <c r="E24" s="4" t="s">
        <v>419</v>
      </c>
      <c r="F24" s="4" t="s">
        <v>420</v>
      </c>
      <c r="G24" s="4" t="s">
        <v>421</v>
      </c>
      <c r="H24" s="4" t="s">
        <v>422</v>
      </c>
    </row>
    <row r="25" customFormat="false" ht="41.25" hidden="false" customHeight="true" outlineLevel="0" collapsed="false">
      <c r="A25" s="1" t="s">
        <v>423</v>
      </c>
      <c r="B25" s="11" t="n">
        <f aca="false">外部價格換算!I7</f>
        <v>8.73333333333333</v>
      </c>
      <c r="C25" s="11" t="n">
        <f aca="false">'TK 拆解'!G66</f>
        <v>9.35311859805586</v>
      </c>
      <c r="D25" s="11" t="n">
        <f aca="false">B25-C25</f>
        <v>-0.619785264722527</v>
      </c>
      <c r="E25" s="11" t="n">
        <f aca="false">B25/C25</f>
        <v>0.933734907964136</v>
      </c>
      <c r="F25" s="30" t="s">
        <v>424</v>
      </c>
      <c r="G25" s="30" t="s">
        <v>425</v>
      </c>
      <c r="H25" s="27" t="s">
        <v>426</v>
      </c>
    </row>
    <row r="26" customFormat="false" ht="41.25" hidden="false" customHeight="true" outlineLevel="0" collapsed="false">
      <c r="A26" s="1" t="s">
        <v>427</v>
      </c>
      <c r="B26" s="11" t="n">
        <f aca="false">外部價格換算!I9</f>
        <v>11.6</v>
      </c>
      <c r="C26" s="11" t="n">
        <f aca="false">'TK 拆解'!E66</f>
        <v>10.8864110021101</v>
      </c>
      <c r="D26" s="11" t="n">
        <f aca="false">B26-C26</f>
        <v>0.713588997889945</v>
      </c>
      <c r="E26" s="11" t="n">
        <f aca="false">B26/C26</f>
        <v>1.06554859978662</v>
      </c>
      <c r="F26" s="30" t="s">
        <v>428</v>
      </c>
      <c r="G26" s="30" t="s">
        <v>429</v>
      </c>
      <c r="H26" s="30" t="s">
        <v>430</v>
      </c>
    </row>
    <row r="27" customFormat="false" ht="27.75" hidden="false" customHeight="true" outlineLevel="0" collapsed="false">
      <c r="A27" s="1" t="s">
        <v>431</v>
      </c>
      <c r="B27" s="11" t="n">
        <f aca="false">外部價格換算!I10</f>
        <v>20</v>
      </c>
      <c r="C27" s="11" t="n">
        <f aca="false">'TK 拆解'!E66</f>
        <v>10.8864110021101</v>
      </c>
      <c r="D27" s="11" t="n">
        <f aca="false">B27-C27</f>
        <v>9.11358899788995</v>
      </c>
      <c r="E27" s="11" t="n">
        <f aca="false">B27/C27</f>
        <v>1.83715275825279</v>
      </c>
      <c r="F27" s="30" t="s">
        <v>432</v>
      </c>
      <c r="G27" s="30" t="s">
        <v>433</v>
      </c>
      <c r="H27" s="30" t="s">
        <v>434</v>
      </c>
    </row>
    <row r="28" customFormat="false" ht="27.75" hidden="false" customHeight="true" outlineLevel="0" collapsed="false">
      <c r="A28" s="1" t="s">
        <v>435</v>
      </c>
      <c r="B28" s="11" t="n">
        <f aca="false">外部價格換算!I12</f>
        <v>16</v>
      </c>
      <c r="C28" s="11" t="n">
        <f aca="false">'TK 拆解'!F66</f>
        <v>12.2254710045841</v>
      </c>
      <c r="D28" s="11" t="n">
        <f aca="false">B28-C28</f>
        <v>3.7745289954159</v>
      </c>
      <c r="E28" s="11" t="n">
        <f aca="false">B28/C28</f>
        <v>1.30874303280426</v>
      </c>
      <c r="F28" s="30" t="s">
        <v>436</v>
      </c>
      <c r="G28" s="30" t="s">
        <v>437</v>
      </c>
      <c r="H28" s="30" t="s">
        <v>438</v>
      </c>
    </row>
    <row r="29" customFormat="false" ht="15" hidden="false" customHeight="true" outlineLevel="0" collapsed="false">
      <c r="A29" s="1" t="s">
        <v>439</v>
      </c>
      <c r="B29" s="11" t="n">
        <f aca="false">外部價格換算!I13</f>
        <v>13.3333333333333</v>
      </c>
      <c r="C29" s="11" t="n">
        <f aca="false">'TK 拆解'!F66</f>
        <v>12.2254710045841</v>
      </c>
      <c r="D29" s="11" t="n">
        <f aca="false">B29-C29</f>
        <v>1.10786232874923</v>
      </c>
      <c r="E29" s="11" t="n">
        <f aca="false">B29/C29</f>
        <v>1.09061919400355</v>
      </c>
      <c r="F29" s="30" t="s">
        <v>440</v>
      </c>
      <c r="G29" s="30" t="s">
        <v>440</v>
      </c>
      <c r="H29" s="30" t="s">
        <v>440</v>
      </c>
    </row>
    <row r="30" customFormat="false" ht="54.75" hidden="false" customHeight="true" outlineLevel="0" collapsed="false">
      <c r="A30" s="1" t="s">
        <v>441</v>
      </c>
      <c r="B30" s="11" t="n">
        <f aca="false">外部價格換算!I17</f>
        <v>14.4528277015352</v>
      </c>
      <c r="C30" s="11" t="n">
        <f aca="false">'TK 拆解'!G66</f>
        <v>9.35311859805586</v>
      </c>
      <c r="D30" s="11" t="n">
        <f aca="false">B30-C30</f>
        <v>5.09970910347932</v>
      </c>
      <c r="E30" s="11" t="n">
        <f aca="false">B30/C30</f>
        <v>1.54524157370776</v>
      </c>
      <c r="F30" s="30" t="s">
        <v>442</v>
      </c>
      <c r="G30" s="30" t="s">
        <v>443</v>
      </c>
      <c r="H30" s="27" t="s">
        <v>444</v>
      </c>
    </row>
    <row r="31" customFormat="false" ht="41.25" hidden="false" customHeight="true" outlineLevel="0" collapsed="false">
      <c r="A31" s="1" t="s">
        <v>445</v>
      </c>
      <c r="B31" s="11" t="n">
        <f aca="false">外部價格換算!I20</f>
        <v>15.9139542144</v>
      </c>
      <c r="C31" s="11" t="n">
        <f aca="false">'TK 拆解'!C66</f>
        <v>9.70308728611469</v>
      </c>
      <c r="D31" s="11" t="n">
        <f aca="false">B31-C31</f>
        <v>6.21086692828531</v>
      </c>
      <c r="E31" s="11" t="n">
        <f aca="false">B31/C31</f>
        <v>1.64009183316048</v>
      </c>
      <c r="F31" s="30" t="s">
        <v>446</v>
      </c>
      <c r="G31" s="30" t="s">
        <v>447</v>
      </c>
      <c r="H31" s="27" t="s">
        <v>448</v>
      </c>
    </row>
    <row r="32" customFormat="false" ht="27.75" hidden="false" customHeight="true" outlineLevel="0" collapsed="false">
      <c r="A32" s="1" t="s">
        <v>449</v>
      </c>
      <c r="B32" s="11" t="n">
        <f aca="false">外部價格換算!I26</f>
        <v>11.6132676923077</v>
      </c>
      <c r="C32" s="11" t="n">
        <f aca="false">'TK 拆解'!E66</f>
        <v>10.8864110021101</v>
      </c>
      <c r="D32" s="11" t="n">
        <f aca="false">B32-C32</f>
        <v>0.726856690197637</v>
      </c>
      <c r="E32" s="11" t="n">
        <f aca="false">B32/C32</f>
        <v>1.06676733866255</v>
      </c>
      <c r="F32" s="30" t="s">
        <v>450</v>
      </c>
      <c r="G32" s="27" t="s">
        <v>451</v>
      </c>
      <c r="H32" s="27" t="s">
        <v>452</v>
      </c>
    </row>
    <row r="34" customFormat="false" ht="15" hidden="false" customHeight="true" outlineLevel="0" collapsed="false">
      <c r="A34" s="6" t="s">
        <v>453</v>
      </c>
      <c r="B34" s="7"/>
      <c r="C34" s="7"/>
      <c r="D34" s="7"/>
      <c r="E34" s="7"/>
      <c r="F34" s="7"/>
      <c r="G34" s="7"/>
      <c r="H34" s="7"/>
    </row>
    <row r="35" customFormat="false" ht="27.75" hidden="false" customHeight="true" outlineLevel="0" collapsed="false">
      <c r="A35" s="4" t="s">
        <v>415</v>
      </c>
      <c r="B35" s="4" t="s">
        <v>454</v>
      </c>
      <c r="C35" s="5" t="s">
        <v>455</v>
      </c>
      <c r="D35" s="5" t="s">
        <v>456</v>
      </c>
      <c r="E35" s="5" t="s">
        <v>457</v>
      </c>
      <c r="F35" s="5" t="s">
        <v>458</v>
      </c>
      <c r="G35" s="5" t="s">
        <v>459</v>
      </c>
      <c r="H35" s="4" t="s">
        <v>11</v>
      </c>
    </row>
    <row r="36" customFormat="false" ht="15" hidden="false" customHeight="true" outlineLevel="0" collapsed="false">
      <c r="A36" s="1" t="s">
        <v>460</v>
      </c>
      <c r="B36" s="11" t="n">
        <f aca="false">外部價格換算!I6</f>
        <v>9.7</v>
      </c>
      <c r="C36" s="11" t="n">
        <f aca="false">$B36/'TK 拆解'!C66</f>
        <v>0.999681824348925</v>
      </c>
      <c r="D36" s="11" t="n">
        <f aca="false">$B36/'TK 拆解'!D66</f>
        <v>1.09875601307176</v>
      </c>
      <c r="E36" s="11" t="n">
        <f aca="false">$B36/'TK 拆解'!E66</f>
        <v>0.891019087752603</v>
      </c>
      <c r="F36" s="11" t="n">
        <f aca="false">$B36/'TK 拆解'!F66</f>
        <v>0.793425463637585</v>
      </c>
      <c r="G36" s="11" t="n">
        <f aca="false">$B36/'TK 拆解'!G66</f>
        <v>1.0370872451052</v>
      </c>
      <c r="H36" s="3" t="s">
        <v>461</v>
      </c>
    </row>
    <row r="37" customFormat="false" ht="15" hidden="false" customHeight="true" outlineLevel="0" collapsed="false">
      <c r="A37" s="1" t="s">
        <v>462</v>
      </c>
      <c r="B37" s="11" t="n">
        <f aca="false">外部價格換算!I12</f>
        <v>16</v>
      </c>
      <c r="C37" s="11" t="n">
        <f aca="false">$B37/'TK 拆解'!C66</f>
        <v>1.64895971026627</v>
      </c>
      <c r="D37" s="11" t="n">
        <f aca="false">$B37/'TK 拆解'!D66</f>
        <v>1.81238105248951</v>
      </c>
      <c r="E37" s="11" t="n">
        <f aca="false">$B37/'TK 拆解'!E66</f>
        <v>1.46972220660223</v>
      </c>
      <c r="F37" s="11" t="n">
        <f aca="false">$B37/'TK 拆解'!F66</f>
        <v>1.30874303280426</v>
      </c>
      <c r="G37" s="11" t="n">
        <f aca="false">$B37/'TK 拆解'!G66</f>
        <v>1.71065937336941</v>
      </c>
      <c r="H37" s="1" t="s">
        <v>463</v>
      </c>
    </row>
    <row r="38" customFormat="false" ht="15" hidden="false" customHeight="true" outlineLevel="0" collapsed="false">
      <c r="A38" s="1" t="s">
        <v>464</v>
      </c>
      <c r="B38" s="11" t="n">
        <f aca="false">外部價格換算!I13</f>
        <v>13.3333333333333</v>
      </c>
      <c r="C38" s="11" t="n">
        <f aca="false">$B38/'TK 拆解'!C66</f>
        <v>1.37413309188856</v>
      </c>
      <c r="D38" s="11" t="n">
        <f aca="false">$B38/'TK 拆解'!D66</f>
        <v>1.51031754374126</v>
      </c>
      <c r="E38" s="11" t="n">
        <f aca="false">$B38/'TK 拆解'!E66</f>
        <v>1.22476850550186</v>
      </c>
      <c r="F38" s="11" t="n">
        <f aca="false">$B38/'TK 拆解'!F66</f>
        <v>1.09061919400355</v>
      </c>
      <c r="G38" s="11" t="n">
        <f aca="false">$B38/'TK 拆解'!G66</f>
        <v>1.42554947780784</v>
      </c>
    </row>
    <row r="39" customFormat="false" ht="15" hidden="false" customHeight="true" outlineLevel="0" collapsed="false">
      <c r="A39" s="1" t="s">
        <v>465</v>
      </c>
      <c r="B39" s="11" t="n">
        <f aca="false">外部價格換算!I16</f>
        <v>13.04</v>
      </c>
      <c r="C39" s="11" t="n">
        <f aca="false">$B39/'TK 拆解'!C66</f>
        <v>1.34390216386701</v>
      </c>
      <c r="D39" s="11" t="n">
        <f aca="false">$B39/'TK 拆解'!D66</f>
        <v>1.47709055777895</v>
      </c>
      <c r="E39" s="11" t="n">
        <f aca="false">$B39/'TK 拆解'!E66</f>
        <v>1.19782359838082</v>
      </c>
      <c r="F39" s="11" t="n">
        <f aca="false">$B39/'TK 拆解'!F66</f>
        <v>1.06662557173548</v>
      </c>
      <c r="G39" s="11" t="n">
        <f aca="false">$B39/'TK 拆解'!G66</f>
        <v>1.39418738929607</v>
      </c>
      <c r="H39" s="3" t="s">
        <v>466</v>
      </c>
    </row>
    <row r="40" customFormat="false" ht="15" hidden="false" customHeight="true" outlineLevel="0" collapsed="false">
      <c r="A40" s="1" t="s">
        <v>467</v>
      </c>
      <c r="B40" s="11" t="n">
        <f aca="false">外部價格換算!I17</f>
        <v>14.4528277015352</v>
      </c>
      <c r="C40" s="11" t="n">
        <f aca="false">$B40/'TK 拆解'!C66</f>
        <v>1.48950816120323</v>
      </c>
      <c r="D40" s="11" t="n">
        <f aca="false">$B40/'TK 拆解'!D66</f>
        <v>1.63712694257236</v>
      </c>
      <c r="E40" s="11" t="n">
        <f aca="false">$B40/'TK 拆解'!E66</f>
        <v>1.32760261382138</v>
      </c>
      <c r="F40" s="11" t="n">
        <f aca="false">$B40/'TK 拆解'!F66</f>
        <v>1.18218984741904</v>
      </c>
      <c r="G40" s="11" t="n">
        <f aca="false">$B40/'TK 拆解'!G66</f>
        <v>1.54524157370776</v>
      </c>
    </row>
    <row r="41" customFormat="false" ht="15" hidden="false" customHeight="true" outlineLevel="0" collapsed="false">
      <c r="A41" s="1" t="s">
        <v>468</v>
      </c>
      <c r="B41" s="11" t="n">
        <f aca="false">外部價格換算!I7</f>
        <v>8.73333333333333</v>
      </c>
      <c r="C41" s="11" t="n">
        <f aca="false">$B41/'TK 拆解'!C66</f>
        <v>0.900057175187005</v>
      </c>
      <c r="D41" s="11" t="n">
        <f aca="false">$B41/'TK 拆解'!D66</f>
        <v>0.989257991150522</v>
      </c>
      <c r="E41" s="11" t="n">
        <f aca="false">$B41/'TK 拆解'!E66</f>
        <v>0.802223371103718</v>
      </c>
      <c r="F41" s="11" t="n">
        <f aca="false">$B41/'TK 拆解'!F66</f>
        <v>0.714355572072328</v>
      </c>
      <c r="G41" s="11" t="n">
        <f aca="false">$B41/'TK 拆解'!G66</f>
        <v>0.933734907964136</v>
      </c>
    </row>
    <row r="43" customFormat="false" ht="15" hidden="false" customHeight="true" outlineLevel="0" collapsed="false">
      <c r="A43" s="6" t="s">
        <v>469</v>
      </c>
      <c r="B43" s="7"/>
      <c r="C43" s="7"/>
      <c r="D43" s="7"/>
      <c r="E43" s="7"/>
      <c r="F43" s="7"/>
      <c r="G43" s="7"/>
      <c r="H43" s="7"/>
    </row>
    <row r="44" customFormat="false" ht="15" hidden="false" customHeight="true" outlineLevel="0" collapsed="false">
      <c r="A44" s="4" t="s">
        <v>470</v>
      </c>
      <c r="B44" s="4" t="s">
        <v>195</v>
      </c>
      <c r="C44" s="4" t="s">
        <v>196</v>
      </c>
      <c r="D44" s="4" t="s">
        <v>471</v>
      </c>
      <c r="E44" s="4" t="s">
        <v>472</v>
      </c>
      <c r="F44" s="4" t="s">
        <v>11</v>
      </c>
    </row>
    <row r="45" customFormat="false" ht="15" hidden="false" customHeight="true" outlineLevel="0" collapsed="false">
      <c r="A45" s="1" t="s">
        <v>473</v>
      </c>
      <c r="B45" s="11" t="n">
        <f aca="false">MIN(外部價格換算!N6,外部價格換算!N7)</f>
        <v>0.891019087752603</v>
      </c>
      <c r="C45" s="11" t="n">
        <f aca="false">MAX(外部價格換算!N6,外部價格換算!N8,外部價格換算!N26*1)</f>
        <v>1.12048188955696</v>
      </c>
      <c r="D45" s="1" t="s">
        <v>474</v>
      </c>
      <c r="E45" s="3" t="s">
        <v>475</v>
      </c>
      <c r="F45" s="3" t="s">
        <v>476</v>
      </c>
    </row>
    <row r="46" customFormat="false" ht="15" hidden="false" customHeight="true" outlineLevel="0" collapsed="false">
      <c r="A46" s="1" t="s">
        <v>477</v>
      </c>
      <c r="B46" s="11" t="n">
        <f aca="false">MIN(外部價格換算!N12,外部價格換算!N13,外部價格換算!N31,外部價格換算!N32)</f>
        <v>0.981557274603198</v>
      </c>
      <c r="C46" s="11" t="n">
        <f aca="false">MAX(外部價格換算!N12,外部價格換算!N13,外部價格換算!N31,外部價格換算!N32)</f>
        <v>1.30874303280426</v>
      </c>
      <c r="D46" s="1" t="s">
        <v>478</v>
      </c>
      <c r="E46" s="3" t="s">
        <v>479</v>
      </c>
    </row>
    <row r="47" customFormat="false" ht="15" hidden="false" customHeight="true" outlineLevel="0" collapsed="false">
      <c r="A47" s="1" t="s">
        <v>480</v>
      </c>
      <c r="B47" s="11" t="n">
        <f aca="false">外部價格換算!O20</f>
        <v>1.14806428321234</v>
      </c>
      <c r="C47" s="11" t="n">
        <f aca="false">外部價格換算!P21</f>
        <v>2.04201157093103</v>
      </c>
      <c r="D47" s="1" t="s">
        <v>481</v>
      </c>
      <c r="E47" s="3" t="s">
        <v>482</v>
      </c>
      <c r="F47" s="3" t="s">
        <v>483</v>
      </c>
    </row>
    <row r="48" customFormat="false" ht="15" hidden="false" customHeight="true" outlineLevel="0" collapsed="false">
      <c r="A48" s="1" t="s">
        <v>484</v>
      </c>
      <c r="B48" s="11" t="n">
        <f aca="false">外部價格換算!N10</f>
        <v>1.83715275825279</v>
      </c>
      <c r="C48" s="11" t="n">
        <f aca="false">外部價格換算!P11</f>
        <v>4.59288189563197</v>
      </c>
      <c r="D48" s="1" t="s">
        <v>485</v>
      </c>
      <c r="E48" s="3" t="s">
        <v>486</v>
      </c>
    </row>
    <row r="49" customFormat="false" ht="15" hidden="false" customHeight="true" outlineLevel="0" collapsed="false">
      <c r="A49" s="1" t="s">
        <v>487</v>
      </c>
      <c r="B49" s="11" t="n">
        <f aca="false">MIN(外部價格換算!N17,外部價格換算!N16)</f>
        <v>1.39418738929607</v>
      </c>
      <c r="C49" s="11" t="n">
        <f aca="false">MAX(外部價格換算!N17,外部價格換算!N16)</f>
        <v>1.54524157370776</v>
      </c>
      <c r="D49" s="1" t="s">
        <v>488</v>
      </c>
      <c r="E49" s="3" t="s">
        <v>489</v>
      </c>
      <c r="F49" s="3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70"/>
    <col collapsed="false" customWidth="true" hidden="false" outlineLevel="0" max="4" min="4" style="1" width="50"/>
    <col collapsed="false" customWidth="true" hidden="false" outlineLevel="0" max="7" min="5" style="1" width="22"/>
    <col collapsed="false" customWidth="true" hidden="false" outlineLevel="0" max="8" min="8" style="1" width="50"/>
  </cols>
  <sheetData>
    <row r="1" customFormat="false" ht="15" hidden="false" customHeight="true" outlineLevel="0" collapsed="false">
      <c r="A1" s="5" t="s">
        <v>188</v>
      </c>
      <c r="B1" s="4" t="s">
        <v>2</v>
      </c>
      <c r="C1" s="4" t="s">
        <v>491</v>
      </c>
      <c r="D1" s="4" t="s">
        <v>492</v>
      </c>
      <c r="E1" s="4" t="s">
        <v>493</v>
      </c>
      <c r="F1" s="4" t="s">
        <v>10</v>
      </c>
      <c r="G1" s="4" t="s">
        <v>494</v>
      </c>
      <c r="H1" s="4" t="s">
        <v>495</v>
      </c>
    </row>
    <row r="2" customFormat="false" ht="41.25" hidden="false" customHeight="true" outlineLevel="0" collapsed="false">
      <c r="A2" s="27" t="s">
        <v>496</v>
      </c>
      <c r="B2" s="27" t="s">
        <v>497</v>
      </c>
      <c r="C2" s="30" t="s">
        <v>498</v>
      </c>
      <c r="D2" s="27" t="s">
        <v>499</v>
      </c>
      <c r="E2" s="27" t="s">
        <v>500</v>
      </c>
      <c r="F2" s="27" t="s">
        <v>501</v>
      </c>
      <c r="G2" s="30" t="s">
        <v>502</v>
      </c>
      <c r="H2" s="27" t="s">
        <v>503</v>
      </c>
    </row>
    <row r="3" customFormat="false" ht="54.75" hidden="false" customHeight="true" outlineLevel="0" collapsed="false">
      <c r="A3" s="27" t="s">
        <v>504</v>
      </c>
      <c r="B3" s="27" t="s">
        <v>505</v>
      </c>
      <c r="C3" s="30" t="s">
        <v>506</v>
      </c>
      <c r="D3" s="27" t="s">
        <v>507</v>
      </c>
      <c r="E3" s="27" t="s">
        <v>508</v>
      </c>
      <c r="F3" s="27" t="s">
        <v>287</v>
      </c>
      <c r="G3" s="30" t="s">
        <v>509</v>
      </c>
      <c r="H3" s="27" t="s">
        <v>510</v>
      </c>
    </row>
    <row r="4" customFormat="false" ht="27.75" hidden="false" customHeight="true" outlineLevel="0" collapsed="false">
      <c r="A4" s="27" t="s">
        <v>511</v>
      </c>
      <c r="B4" s="27" t="s">
        <v>512</v>
      </c>
      <c r="C4" s="27" t="s">
        <v>513</v>
      </c>
      <c r="D4" s="27" t="s">
        <v>514</v>
      </c>
      <c r="E4" s="27" t="s">
        <v>515</v>
      </c>
      <c r="F4" s="27" t="s">
        <v>516</v>
      </c>
      <c r="G4" s="30" t="s">
        <v>517</v>
      </c>
      <c r="H4" s="27" t="s">
        <v>318</v>
      </c>
    </row>
    <row r="5" customFormat="false" ht="41.25" hidden="false" customHeight="true" outlineLevel="0" collapsed="false">
      <c r="A5" s="27" t="s">
        <v>518</v>
      </c>
      <c r="B5" s="27" t="s">
        <v>519</v>
      </c>
      <c r="C5" s="27" t="s">
        <v>520</v>
      </c>
      <c r="D5" s="27" t="s">
        <v>521</v>
      </c>
      <c r="E5" s="27" t="s">
        <v>522</v>
      </c>
      <c r="F5" s="27" t="s">
        <v>523</v>
      </c>
      <c r="G5" s="30" t="s">
        <v>524</v>
      </c>
      <c r="H5" s="30" t="s">
        <v>525</v>
      </c>
    </row>
    <row r="6" customFormat="false" ht="41.25" hidden="false" customHeight="true" outlineLevel="0" collapsed="false">
      <c r="A6" s="27" t="s">
        <v>526</v>
      </c>
      <c r="B6" s="27" t="s">
        <v>527</v>
      </c>
      <c r="C6" s="30" t="s">
        <v>528</v>
      </c>
      <c r="D6" s="27" t="s">
        <v>529</v>
      </c>
      <c r="E6" s="27" t="s">
        <v>515</v>
      </c>
      <c r="F6" s="27" t="s">
        <v>530</v>
      </c>
      <c r="G6" s="30" t="s">
        <v>531</v>
      </c>
      <c r="H6" s="30" t="s">
        <v>532</v>
      </c>
    </row>
    <row r="7" customFormat="false" ht="27.75" hidden="false" customHeight="true" outlineLevel="0" collapsed="false">
      <c r="A7" s="27" t="s">
        <v>253</v>
      </c>
      <c r="B7" s="27" t="s">
        <v>533</v>
      </c>
      <c r="C7" s="30" t="s">
        <v>534</v>
      </c>
      <c r="D7" s="27" t="s">
        <v>535</v>
      </c>
      <c r="E7" s="27" t="s">
        <v>536</v>
      </c>
      <c r="F7" s="27" t="s">
        <v>287</v>
      </c>
      <c r="G7" s="30" t="s">
        <v>537</v>
      </c>
      <c r="H7" s="30" t="s">
        <v>538</v>
      </c>
    </row>
    <row r="8" customFormat="false" ht="54.75" hidden="false" customHeight="true" outlineLevel="0" collapsed="false">
      <c r="A8" s="27" t="s">
        <v>264</v>
      </c>
      <c r="B8" s="27" t="s">
        <v>539</v>
      </c>
      <c r="C8" s="30" t="s">
        <v>540</v>
      </c>
      <c r="D8" s="27" t="s">
        <v>541</v>
      </c>
      <c r="E8" s="27" t="s">
        <v>542</v>
      </c>
      <c r="F8" s="27" t="s">
        <v>543</v>
      </c>
      <c r="G8" s="30" t="s">
        <v>544</v>
      </c>
      <c r="H8" s="27" t="s">
        <v>545</v>
      </c>
    </row>
    <row r="9" customFormat="false" ht="54.75" hidden="false" customHeight="true" outlineLevel="0" collapsed="false">
      <c r="A9" s="27" t="s">
        <v>281</v>
      </c>
      <c r="B9" s="27" t="s">
        <v>546</v>
      </c>
      <c r="C9" s="27" t="s">
        <v>547</v>
      </c>
      <c r="D9" s="27" t="s">
        <v>548</v>
      </c>
      <c r="E9" s="27" t="s">
        <v>549</v>
      </c>
      <c r="F9" s="27" t="s">
        <v>294</v>
      </c>
      <c r="G9" s="30" t="s">
        <v>550</v>
      </c>
      <c r="H9" s="30" t="s">
        <v>551</v>
      </c>
    </row>
    <row r="10" customFormat="false" ht="27.75" hidden="false" customHeight="true" outlineLevel="0" collapsed="false">
      <c r="A10" s="27" t="s">
        <v>307</v>
      </c>
      <c r="B10" s="27" t="s">
        <v>552</v>
      </c>
      <c r="C10" s="27" t="s">
        <v>553</v>
      </c>
      <c r="D10" s="27" t="s">
        <v>554</v>
      </c>
      <c r="E10" s="27" t="s">
        <v>555</v>
      </c>
      <c r="F10" s="27" t="s">
        <v>556</v>
      </c>
      <c r="G10" s="30" t="s">
        <v>517</v>
      </c>
      <c r="H10" s="30" t="s">
        <v>557</v>
      </c>
    </row>
    <row r="11" customFormat="false" ht="41.25" hidden="false" customHeight="true" outlineLevel="0" collapsed="false">
      <c r="A11" s="27" t="s">
        <v>323</v>
      </c>
      <c r="B11" s="27" t="s">
        <v>558</v>
      </c>
      <c r="C11" s="30" t="s">
        <v>559</v>
      </c>
      <c r="D11" s="27" t="s">
        <v>560</v>
      </c>
      <c r="E11" s="27" t="s">
        <v>561</v>
      </c>
      <c r="F11" s="27" t="s">
        <v>562</v>
      </c>
      <c r="G11" s="30" t="s">
        <v>563</v>
      </c>
      <c r="H11" s="27" t="s">
        <v>564</v>
      </c>
    </row>
    <row r="12" customFormat="false" ht="41.25" hidden="false" customHeight="true" outlineLevel="0" collapsed="false">
      <c r="A12" s="27" t="s">
        <v>334</v>
      </c>
      <c r="B12" s="27" t="s">
        <v>565</v>
      </c>
      <c r="C12" s="27" t="s">
        <v>566</v>
      </c>
      <c r="D12" s="27" t="s">
        <v>567</v>
      </c>
      <c r="E12" s="27" t="s">
        <v>568</v>
      </c>
      <c r="F12" s="27" t="s">
        <v>332</v>
      </c>
      <c r="G12" s="30" t="s">
        <v>509</v>
      </c>
      <c r="H12" s="27" t="s">
        <v>569</v>
      </c>
    </row>
    <row r="13" customFormat="false" ht="41.25" hidden="false" customHeight="true" outlineLevel="0" collapsed="false">
      <c r="A13" s="27" t="s">
        <v>342</v>
      </c>
      <c r="B13" s="30" t="s">
        <v>570</v>
      </c>
      <c r="C13" s="27" t="s">
        <v>571</v>
      </c>
      <c r="D13" s="27" t="s">
        <v>572</v>
      </c>
      <c r="E13" s="27" t="s">
        <v>515</v>
      </c>
      <c r="F13" s="27" t="s">
        <v>287</v>
      </c>
      <c r="G13" s="30" t="s">
        <v>573</v>
      </c>
      <c r="H13" s="30" t="s">
        <v>574</v>
      </c>
    </row>
    <row r="14" customFormat="false" ht="27.75" hidden="false" customHeight="true" outlineLevel="0" collapsed="false">
      <c r="A14" s="27" t="s">
        <v>354</v>
      </c>
      <c r="B14" s="30" t="s">
        <v>575</v>
      </c>
      <c r="C14" s="27" t="s">
        <v>576</v>
      </c>
      <c r="D14" s="27" t="s">
        <v>577</v>
      </c>
      <c r="E14" s="27" t="s">
        <v>578</v>
      </c>
      <c r="F14" s="27" t="s">
        <v>363</v>
      </c>
      <c r="G14" s="30" t="s">
        <v>579</v>
      </c>
      <c r="H14" s="30" t="s">
        <v>580</v>
      </c>
    </row>
    <row r="15" customFormat="false" ht="27.75" hidden="false" customHeight="true" outlineLevel="0" collapsed="false">
      <c r="A15" s="27" t="s">
        <v>360</v>
      </c>
      <c r="B15" s="27" t="s">
        <v>581</v>
      </c>
      <c r="C15" s="27" t="s">
        <v>582</v>
      </c>
      <c r="D15" s="27" t="s">
        <v>583</v>
      </c>
      <c r="E15" s="27" t="s">
        <v>515</v>
      </c>
      <c r="F15" s="27" t="s">
        <v>584</v>
      </c>
      <c r="G15" s="30" t="s">
        <v>517</v>
      </c>
      <c r="H15" s="30" t="s">
        <v>585</v>
      </c>
    </row>
    <row r="16" customFormat="false" ht="41.25" hidden="false" customHeight="true" outlineLevel="0" collapsed="false">
      <c r="A16" s="27" t="s">
        <v>586</v>
      </c>
      <c r="B16" s="30" t="s">
        <v>587</v>
      </c>
      <c r="C16" s="30" t="s">
        <v>588</v>
      </c>
      <c r="D16" s="27" t="s">
        <v>589</v>
      </c>
      <c r="E16" s="27" t="s">
        <v>590</v>
      </c>
      <c r="F16" s="27" t="s">
        <v>318</v>
      </c>
      <c r="G16" s="30" t="s">
        <v>591</v>
      </c>
      <c r="H16" s="27" t="s">
        <v>318</v>
      </c>
    </row>
    <row r="17" customFormat="false" ht="41.25" hidden="false" customHeight="true" outlineLevel="0" collapsed="false">
      <c r="A17" s="27" t="s">
        <v>592</v>
      </c>
      <c r="B17" s="30" t="s">
        <v>593</v>
      </c>
      <c r="C17" s="30" t="s">
        <v>594</v>
      </c>
      <c r="D17" s="30" t="s">
        <v>440</v>
      </c>
      <c r="E17" s="27" t="s">
        <v>590</v>
      </c>
      <c r="F17" s="27" t="s">
        <v>318</v>
      </c>
      <c r="G17" s="30" t="s">
        <v>591</v>
      </c>
      <c r="H17" s="27" t="s">
        <v>318</v>
      </c>
    </row>
    <row r="18" customFormat="false" ht="27.75" hidden="false" customHeight="true" outlineLevel="0" collapsed="false">
      <c r="A18" s="27" t="s">
        <v>595</v>
      </c>
      <c r="B18" s="30" t="s">
        <v>596</v>
      </c>
      <c r="C18" s="30" t="s">
        <v>597</v>
      </c>
      <c r="D18" s="27" t="s">
        <v>318</v>
      </c>
      <c r="E18" s="27" t="s">
        <v>598</v>
      </c>
      <c r="F18" s="27" t="s">
        <v>318</v>
      </c>
      <c r="G18" s="30" t="s">
        <v>599</v>
      </c>
      <c r="H18" s="30" t="s">
        <v>600</v>
      </c>
    </row>
    <row r="19" customFormat="false" ht="41.25" hidden="false" customHeight="true" outlineLevel="0" collapsed="false">
      <c r="A19" s="27" t="s">
        <v>601</v>
      </c>
      <c r="B19" s="30" t="s">
        <v>602</v>
      </c>
      <c r="C19" s="27" t="s">
        <v>603</v>
      </c>
      <c r="D19" s="27" t="s">
        <v>318</v>
      </c>
      <c r="E19" s="27" t="s">
        <v>598</v>
      </c>
      <c r="F19" s="27" t="s">
        <v>318</v>
      </c>
      <c r="G19" s="27" t="s">
        <v>318</v>
      </c>
      <c r="H19" s="27" t="s">
        <v>318</v>
      </c>
    </row>
    <row r="20" customFormat="false" ht="28.35" hidden="false" customHeight="false" outlineLevel="0" collapsed="false">
      <c r="A20" s="27" t="s">
        <v>369</v>
      </c>
      <c r="B20" s="27" t="s">
        <v>604</v>
      </c>
      <c r="C20" s="27" t="s">
        <v>605</v>
      </c>
      <c r="D20" s="27" t="s">
        <v>606</v>
      </c>
      <c r="E20" s="27" t="s">
        <v>607</v>
      </c>
      <c r="F20" s="27" t="s">
        <v>294</v>
      </c>
      <c r="G20" s="32" t="s">
        <v>608</v>
      </c>
      <c r="H20" s="32" t="s">
        <v>609</v>
      </c>
    </row>
    <row r="21" customFormat="false" ht="28.35" hidden="false" customHeight="false" outlineLevel="0" collapsed="false">
      <c r="A21" s="27" t="s">
        <v>610</v>
      </c>
      <c r="B21" s="27" t="s">
        <v>611</v>
      </c>
      <c r="C21" s="27" t="s">
        <v>612</v>
      </c>
      <c r="D21" s="27" t="s">
        <v>613</v>
      </c>
      <c r="E21" s="27" t="s">
        <v>614</v>
      </c>
      <c r="F21" s="32" t="s">
        <v>615</v>
      </c>
      <c r="G21" s="32" t="s">
        <v>517</v>
      </c>
      <c r="H21" s="27" t="s">
        <v>616</v>
      </c>
    </row>
    <row r="22" customFormat="false" ht="68.65" hidden="false" customHeight="false" outlineLevel="0" collapsed="false">
      <c r="A22" s="27" t="s">
        <v>617</v>
      </c>
      <c r="B22" s="27" t="s">
        <v>618</v>
      </c>
      <c r="C22" s="27" t="s">
        <v>619</v>
      </c>
      <c r="D22" s="27" t="s">
        <v>620</v>
      </c>
      <c r="E22" s="27" t="s">
        <v>621</v>
      </c>
      <c r="F22" s="27" t="s">
        <v>622</v>
      </c>
      <c r="G22" s="32" t="s">
        <v>623</v>
      </c>
      <c r="H22" s="32" t="s">
        <v>624</v>
      </c>
    </row>
    <row r="23" customFormat="false" ht="55.2" hidden="false" customHeight="false" outlineLevel="0" collapsed="false">
      <c r="A23" s="27" t="s">
        <v>625</v>
      </c>
      <c r="B23" s="27" t="s">
        <v>626</v>
      </c>
      <c r="C23" s="32" t="s">
        <v>627</v>
      </c>
      <c r="D23" s="27" t="s">
        <v>628</v>
      </c>
      <c r="E23" s="27" t="s">
        <v>598</v>
      </c>
      <c r="F23" s="27" t="s">
        <v>629</v>
      </c>
      <c r="G23" s="32" t="s">
        <v>630</v>
      </c>
      <c r="H23" s="27" t="s">
        <v>631</v>
      </c>
    </row>
    <row r="24" customFormat="false" ht="28.35" hidden="false" customHeight="false" outlineLevel="0" collapsed="false">
      <c r="A24" s="27" t="s">
        <v>632</v>
      </c>
      <c r="B24" s="27" t="s">
        <v>633</v>
      </c>
      <c r="C24" s="32" t="s">
        <v>634</v>
      </c>
      <c r="D24" s="27" t="s">
        <v>635</v>
      </c>
      <c r="E24" s="27" t="s">
        <v>598</v>
      </c>
      <c r="F24" s="27" t="s">
        <v>629</v>
      </c>
      <c r="G24" s="32" t="s">
        <v>636</v>
      </c>
      <c r="H24" s="27" t="s">
        <v>318</v>
      </c>
    </row>
    <row r="25" customFormat="false" ht="41.75" hidden="false" customHeight="false" outlineLevel="0" collapsed="false">
      <c r="A25" s="27" t="s">
        <v>637</v>
      </c>
      <c r="B25" s="27" t="s">
        <v>638</v>
      </c>
      <c r="C25" s="27" t="s">
        <v>639</v>
      </c>
      <c r="D25" s="27" t="s">
        <v>640</v>
      </c>
      <c r="E25" s="27" t="s">
        <v>641</v>
      </c>
      <c r="F25" s="27" t="s">
        <v>642</v>
      </c>
      <c r="G25" s="32" t="s">
        <v>524</v>
      </c>
      <c r="H25" s="27" t="s">
        <v>643</v>
      </c>
    </row>
    <row r="26" customFormat="false" ht="28.35" hidden="false" customHeight="false" outlineLevel="0" collapsed="false">
      <c r="A26" s="27" t="s">
        <v>644</v>
      </c>
      <c r="B26" s="27" t="s">
        <v>645</v>
      </c>
      <c r="C26" s="32" t="s">
        <v>646</v>
      </c>
      <c r="D26" s="27" t="s">
        <v>647</v>
      </c>
      <c r="E26" s="27" t="s">
        <v>590</v>
      </c>
      <c r="F26" s="27" t="s">
        <v>556</v>
      </c>
      <c r="G26" s="32" t="s">
        <v>517</v>
      </c>
      <c r="H26" s="32" t="s">
        <v>648</v>
      </c>
    </row>
    <row r="27" customFormat="false" ht="189.55" hidden="false" customHeight="false" outlineLevel="0" collapsed="false">
      <c r="A27" s="27" t="s">
        <v>649</v>
      </c>
      <c r="B27" s="27" t="s">
        <v>650</v>
      </c>
      <c r="C27" s="27" t="s">
        <v>651</v>
      </c>
      <c r="D27" s="27" t="s">
        <v>652</v>
      </c>
      <c r="E27" s="27" t="s">
        <v>598</v>
      </c>
      <c r="F27" s="27" t="s">
        <v>653</v>
      </c>
      <c r="G27" s="32" t="s">
        <v>654</v>
      </c>
      <c r="H27" s="32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50"/>
    <col collapsed="false" customWidth="true" hidden="false" outlineLevel="0" max="4" min="4" style="1" width="28"/>
    <col collapsed="false" customWidth="true" hidden="false" outlineLevel="0" max="5" min="5" style="1" width="48"/>
    <col collapsed="false" customWidth="true" hidden="false" outlineLevel="0" max="6" min="6" style="1" width="28"/>
    <col collapsed="false" customWidth="true" hidden="false" outlineLevel="0" max="7" min="7" style="0" width="60"/>
  </cols>
  <sheetData>
    <row r="1" customFormat="false" ht="15" hidden="false" customHeight="true" outlineLevel="0" collapsed="false">
      <c r="A1" s="5" t="s">
        <v>656</v>
      </c>
      <c r="B1" s="4" t="s">
        <v>657</v>
      </c>
      <c r="C1" s="4" t="s">
        <v>658</v>
      </c>
      <c r="D1" s="4" t="s">
        <v>659</v>
      </c>
      <c r="E1" s="4" t="s">
        <v>660</v>
      </c>
      <c r="F1" s="4" t="s">
        <v>661</v>
      </c>
      <c r="G1" s="35" t="s">
        <v>662</v>
      </c>
    </row>
    <row r="2" customFormat="false" ht="27.75" hidden="false" customHeight="true" outlineLevel="0" collapsed="false">
      <c r="A2" s="27" t="n">
        <v>1</v>
      </c>
      <c r="B2" s="30" t="s">
        <v>663</v>
      </c>
      <c r="C2" s="30" t="s">
        <v>664</v>
      </c>
      <c r="D2" s="30" t="s">
        <v>665</v>
      </c>
      <c r="E2" s="30" t="s">
        <v>666</v>
      </c>
      <c r="F2" s="30" t="s">
        <v>667</v>
      </c>
      <c r="G2" s="32" t="s">
        <v>668</v>
      </c>
    </row>
    <row r="3" customFormat="false" ht="41.25" hidden="false" customHeight="true" outlineLevel="0" collapsed="false">
      <c r="A3" s="27" t="n">
        <v>2</v>
      </c>
      <c r="B3" s="27" t="s">
        <v>669</v>
      </c>
      <c r="C3" s="30" t="s">
        <v>670</v>
      </c>
      <c r="D3" s="27" t="s">
        <v>671</v>
      </c>
      <c r="E3" s="27" t="s">
        <v>672</v>
      </c>
      <c r="F3" s="27" t="s">
        <v>673</v>
      </c>
      <c r="G3" s="32" t="s">
        <v>674</v>
      </c>
    </row>
    <row r="4" customFormat="false" ht="27.75" hidden="false" customHeight="true" outlineLevel="0" collapsed="false">
      <c r="A4" s="27" t="n">
        <v>3</v>
      </c>
      <c r="B4" s="27" t="s">
        <v>675</v>
      </c>
      <c r="C4" s="27" t="s">
        <v>676</v>
      </c>
      <c r="D4" s="27" t="s">
        <v>677</v>
      </c>
      <c r="E4" s="30" t="s">
        <v>678</v>
      </c>
      <c r="F4" s="30" t="s">
        <v>679</v>
      </c>
      <c r="G4" s="32" t="s">
        <v>680</v>
      </c>
    </row>
    <row r="5" customFormat="false" ht="27.75" hidden="false" customHeight="true" outlineLevel="0" collapsed="false">
      <c r="A5" s="27" t="n">
        <v>4</v>
      </c>
      <c r="B5" s="30" t="s">
        <v>681</v>
      </c>
      <c r="C5" s="30" t="s">
        <v>682</v>
      </c>
      <c r="D5" s="30" t="s">
        <v>683</v>
      </c>
      <c r="E5" s="30" t="s">
        <v>684</v>
      </c>
      <c r="F5" s="30" t="s">
        <v>679</v>
      </c>
      <c r="G5" s="32" t="s">
        <v>685</v>
      </c>
    </row>
    <row r="6" customFormat="false" ht="27.75" hidden="false" customHeight="true" outlineLevel="0" collapsed="false">
      <c r="A6" s="27" t="n">
        <v>5</v>
      </c>
      <c r="B6" s="27" t="s">
        <v>686</v>
      </c>
      <c r="C6" s="30" t="s">
        <v>687</v>
      </c>
      <c r="D6" s="30" t="s">
        <v>688</v>
      </c>
      <c r="E6" s="30" t="s">
        <v>689</v>
      </c>
      <c r="F6" s="30" t="s">
        <v>690</v>
      </c>
      <c r="G6" s="32" t="s">
        <v>691</v>
      </c>
    </row>
    <row r="7" customFormat="false" ht="27.75" hidden="false" customHeight="true" outlineLevel="0" collapsed="false">
      <c r="A7" s="27" t="n">
        <v>6</v>
      </c>
      <c r="B7" s="27" t="s">
        <v>692</v>
      </c>
      <c r="C7" s="30" t="s">
        <v>693</v>
      </c>
      <c r="D7" s="30" t="s">
        <v>694</v>
      </c>
      <c r="E7" s="30" t="s">
        <v>695</v>
      </c>
      <c r="F7" s="30" t="s">
        <v>667</v>
      </c>
      <c r="G7" s="32" t="s">
        <v>696</v>
      </c>
    </row>
    <row r="8" customFormat="false" ht="27.75" hidden="false" customHeight="true" outlineLevel="0" collapsed="false">
      <c r="A8" s="27" t="n">
        <v>7</v>
      </c>
      <c r="B8" s="27" t="s">
        <v>697</v>
      </c>
      <c r="C8" s="30" t="s">
        <v>698</v>
      </c>
      <c r="D8" s="30" t="s">
        <v>699</v>
      </c>
      <c r="E8" s="30" t="s">
        <v>700</v>
      </c>
      <c r="F8" s="30" t="s">
        <v>701</v>
      </c>
      <c r="G8" s="32" t="s">
        <v>702</v>
      </c>
    </row>
    <row r="9" customFormat="false" ht="27.75" hidden="false" customHeight="true" outlineLevel="0" collapsed="false">
      <c r="A9" s="27" t="n">
        <v>8</v>
      </c>
      <c r="B9" s="30" t="s">
        <v>703</v>
      </c>
      <c r="C9" s="30" t="s">
        <v>704</v>
      </c>
      <c r="D9" s="30" t="s">
        <v>705</v>
      </c>
      <c r="E9" s="30" t="s">
        <v>706</v>
      </c>
      <c r="F9" s="30" t="s">
        <v>707</v>
      </c>
      <c r="G9" s="32" t="s">
        <v>708</v>
      </c>
    </row>
    <row r="10" customFormat="false" ht="28.35" hidden="false" customHeight="false" outlineLevel="0" collapsed="false">
      <c r="A10" s="27" t="n">
        <v>9</v>
      </c>
      <c r="B10" s="27" t="s">
        <v>709</v>
      </c>
      <c r="C10" s="32" t="s">
        <v>710</v>
      </c>
      <c r="D10" s="32" t="s">
        <v>711</v>
      </c>
      <c r="E10" s="32" t="s">
        <v>712</v>
      </c>
      <c r="F10" s="27" t="s">
        <v>713</v>
      </c>
      <c r="G10" s="32" t="s">
        <v>714</v>
      </c>
    </row>
    <row r="11" customFormat="false" ht="28.35" hidden="false" customHeight="false" outlineLevel="0" collapsed="false">
      <c r="A11" s="27" t="n">
        <v>10</v>
      </c>
      <c r="B11" s="27" t="s">
        <v>715</v>
      </c>
      <c r="C11" s="32" t="s">
        <v>716</v>
      </c>
      <c r="D11" s="32" t="s">
        <v>717</v>
      </c>
      <c r="E11" s="32" t="s">
        <v>718</v>
      </c>
      <c r="F11" s="27" t="s">
        <v>719</v>
      </c>
      <c r="G11" s="32" t="s">
        <v>720</v>
      </c>
    </row>
    <row r="12" customFormat="false" ht="28.35" hidden="false" customHeight="false" outlineLevel="0" collapsed="false">
      <c r="A12" s="27" t="n">
        <v>11</v>
      </c>
      <c r="B12" s="27" t="s">
        <v>721</v>
      </c>
      <c r="C12" s="32" t="s">
        <v>722</v>
      </c>
      <c r="D12" s="32" t="s">
        <v>723</v>
      </c>
      <c r="E12" s="32" t="s">
        <v>724</v>
      </c>
      <c r="F12" s="27" t="s">
        <v>725</v>
      </c>
      <c r="G12" s="32" t="s">
        <v>726</v>
      </c>
    </row>
    <row r="13" customFormat="false" ht="41.75" hidden="false" customHeight="false" outlineLevel="0" collapsed="false">
      <c r="A13" s="27" t="n">
        <v>12</v>
      </c>
      <c r="B13" s="32" t="s">
        <v>727</v>
      </c>
      <c r="C13" s="32" t="s">
        <v>728</v>
      </c>
      <c r="D13" s="32" t="s">
        <v>717</v>
      </c>
      <c r="E13" s="32" t="s">
        <v>729</v>
      </c>
      <c r="F13" s="27" t="s">
        <v>730</v>
      </c>
    </row>
    <row r="14" customFormat="false" ht="28.35" hidden="false" customHeight="false" outlineLevel="0" collapsed="false">
      <c r="A14" s="27" t="n">
        <v>13</v>
      </c>
      <c r="B14" s="27" t="s">
        <v>731</v>
      </c>
      <c r="C14" s="32" t="s">
        <v>732</v>
      </c>
      <c r="D14" s="27" t="s">
        <v>733</v>
      </c>
      <c r="E14" s="32" t="s">
        <v>734</v>
      </c>
      <c r="F14" s="27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36" t="s">
        <v>736</v>
      </c>
    </row>
    <row r="2" customFormat="false" ht="15" hidden="false" customHeight="false" outlineLevel="0" collapsed="false">
      <c r="A2" s="37" t="s">
        <v>737</v>
      </c>
    </row>
    <row r="5" customFormat="false" ht="15" hidden="false" customHeight="false" outlineLevel="0" collapsed="false">
      <c r="A5" s="38" t="s">
        <v>738</v>
      </c>
      <c r="B5" s="39"/>
      <c r="C5" s="39"/>
      <c r="D5" s="39"/>
      <c r="E5" s="39"/>
      <c r="F5" s="39"/>
      <c r="G5" s="39"/>
      <c r="H5" s="39"/>
      <c r="I5" s="39"/>
    </row>
    <row r="6" customFormat="false" ht="28.35" hidden="false" customHeight="false" outlineLevel="0" collapsed="false">
      <c r="A6" s="40" t="s">
        <v>739</v>
      </c>
      <c r="B6" s="40" t="s">
        <v>740</v>
      </c>
      <c r="C6" s="40" t="s">
        <v>741</v>
      </c>
      <c r="D6" s="5" t="s">
        <v>742</v>
      </c>
      <c r="E6" s="5" t="s">
        <v>743</v>
      </c>
      <c r="F6" s="40" t="s">
        <v>744</v>
      </c>
      <c r="G6" s="40" t="s">
        <v>745</v>
      </c>
      <c r="H6" s="40" t="s">
        <v>746</v>
      </c>
      <c r="I6" s="40" t="s">
        <v>747</v>
      </c>
      <c r="J6" s="40" t="s">
        <v>748</v>
      </c>
      <c r="K6" s="40" t="s">
        <v>749</v>
      </c>
    </row>
    <row r="7" customFormat="false" ht="41.75" hidden="false" customHeight="false" outlineLevel="0" collapsed="false">
      <c r="A7" s="27" t="s">
        <v>750</v>
      </c>
      <c r="B7" s="28" t="n">
        <v>300</v>
      </c>
      <c r="C7" s="28" t="n">
        <v>5</v>
      </c>
      <c r="D7" s="28" t="n">
        <v>5</v>
      </c>
      <c r="E7" s="27" t="s">
        <v>284</v>
      </c>
      <c r="F7" s="29" t="n">
        <f aca="false">B7/C7</f>
        <v>60</v>
      </c>
      <c r="G7" s="29" t="n">
        <f aca="false">F7/D7</f>
        <v>12</v>
      </c>
      <c r="H7" s="29" t="n">
        <f aca="false">G7/'TK 拆解'!F66</f>
        <v>0.981557274603198</v>
      </c>
      <c r="I7" s="29" t="n">
        <f aca="false">G7/'TK 拆解'!E66</f>
        <v>1.10229165495167</v>
      </c>
      <c r="J7" s="29" t="n">
        <f aca="false">G7/'TK 拆解'!G66</f>
        <v>1.28299453002706</v>
      </c>
      <c r="K7" s="27" t="s">
        <v>751</v>
      </c>
    </row>
    <row r="8" customFormat="false" ht="15" hidden="false" customHeight="false" outlineLevel="0" collapsed="false">
      <c r="A8" s="27" t="s">
        <v>752</v>
      </c>
      <c r="B8" s="28" t="n">
        <v>300</v>
      </c>
      <c r="C8" s="28" t="n">
        <v>5</v>
      </c>
      <c r="D8" s="28" t="n">
        <v>5</v>
      </c>
      <c r="E8" s="32" t="s">
        <v>753</v>
      </c>
      <c r="F8" s="29" t="n">
        <f aca="false">B8/C8</f>
        <v>60</v>
      </c>
      <c r="G8" s="29" t="n">
        <f aca="false">F8/(D8/'TK 拆解'!C9)</f>
        <v>14.4</v>
      </c>
      <c r="H8" s="29" t="n">
        <f aca="false">G8/'TK 拆解'!F66</f>
        <v>1.17786872952384</v>
      </c>
      <c r="I8" s="29" t="n">
        <f aca="false">G8/'TK 拆解'!E66</f>
        <v>1.32274998594201</v>
      </c>
      <c r="J8" s="29" t="n">
        <f aca="false">G8/'TK 拆解'!G66</f>
        <v>1.53959343603247</v>
      </c>
      <c r="K8" s="32" t="s">
        <v>440</v>
      </c>
    </row>
    <row r="9" customFormat="false" ht="28.35" hidden="false" customHeight="false" outlineLevel="0" collapsed="false">
      <c r="A9" s="27" t="s">
        <v>754</v>
      </c>
      <c r="B9" s="28" t="n">
        <v>300</v>
      </c>
      <c r="C9" s="28" t="n">
        <v>5</v>
      </c>
      <c r="D9" s="28" t="n">
        <v>4.5</v>
      </c>
      <c r="E9" s="27" t="s">
        <v>284</v>
      </c>
      <c r="F9" s="29" t="n">
        <f aca="false">B9/C9</f>
        <v>60</v>
      </c>
      <c r="G9" s="29" t="n">
        <f aca="false">F9/D9</f>
        <v>13.3333333333333</v>
      </c>
      <c r="H9" s="29" t="n">
        <f aca="false">G9/'TK 拆解'!F66</f>
        <v>1.09061919400355</v>
      </c>
      <c r="I9" s="29" t="n">
        <f aca="false">G9/'TK 拆解'!E66</f>
        <v>1.22476850550186</v>
      </c>
      <c r="J9" s="29" t="n">
        <f aca="false">G9/'TK 拆解'!G66</f>
        <v>1.42554947780784</v>
      </c>
      <c r="K9" s="27" t="s">
        <v>755</v>
      </c>
    </row>
    <row r="10" customFormat="false" ht="15" hidden="false" customHeight="false" outlineLevel="0" collapsed="false">
      <c r="A10" s="27" t="s">
        <v>756</v>
      </c>
      <c r="B10" s="28" t="n">
        <v>300</v>
      </c>
      <c r="C10" s="28" t="n">
        <v>5</v>
      </c>
      <c r="D10" s="28" t="n">
        <v>4.5</v>
      </c>
      <c r="E10" s="32" t="s">
        <v>753</v>
      </c>
      <c r="F10" s="29" t="n">
        <f aca="false">B10/C10</f>
        <v>60</v>
      </c>
      <c r="G10" s="29" t="n">
        <f aca="false">F10/(D10/'TK 拆解'!C9)</f>
        <v>16</v>
      </c>
      <c r="H10" s="29" t="n">
        <f aca="false">G10/'TK 拆解'!F66</f>
        <v>1.30874303280426</v>
      </c>
      <c r="I10" s="29" t="n">
        <f aca="false">G10/'TK 拆解'!E66</f>
        <v>1.46972220660223</v>
      </c>
      <c r="J10" s="29" t="n">
        <f aca="false">G10/'TK 拆解'!G66</f>
        <v>1.71065937336941</v>
      </c>
      <c r="K10" s="32" t="s">
        <v>440</v>
      </c>
    </row>
    <row r="11" customFormat="false" ht="55.2" hidden="false" customHeight="false" outlineLevel="0" collapsed="false">
      <c r="A11" s="41" t="s">
        <v>757</v>
      </c>
    </row>
    <row r="13" customFormat="false" ht="15" hidden="false" customHeight="false" outlineLevel="0" collapsed="false">
      <c r="A13" s="38" t="s">
        <v>758</v>
      </c>
      <c r="B13" s="39"/>
      <c r="C13" s="39"/>
      <c r="D13" s="39"/>
      <c r="E13" s="39"/>
      <c r="F13" s="39"/>
      <c r="G13" s="39"/>
      <c r="H13" s="39"/>
      <c r="I13" s="39"/>
    </row>
    <row r="14" customFormat="false" ht="55.2" hidden="false" customHeight="false" outlineLevel="0" collapsed="false">
      <c r="A14" s="40" t="s">
        <v>2</v>
      </c>
      <c r="B14" s="5" t="s">
        <v>759</v>
      </c>
      <c r="C14" s="5" t="s">
        <v>760</v>
      </c>
      <c r="D14" s="40" t="s">
        <v>3</v>
      </c>
      <c r="E14" s="40" t="s">
        <v>761</v>
      </c>
    </row>
    <row r="15" customFormat="false" ht="55.2" hidden="false" customHeight="false" outlineLevel="0" collapsed="false">
      <c r="A15" s="32" t="s">
        <v>762</v>
      </c>
      <c r="B15" s="28" t="n">
        <v>16.3</v>
      </c>
      <c r="C15" s="28" t="n">
        <v>16</v>
      </c>
      <c r="D15" s="27" t="s">
        <v>104</v>
      </c>
      <c r="E15" s="27" t="s">
        <v>763</v>
      </c>
    </row>
    <row r="16" customFormat="false" ht="41.75" hidden="false" customHeight="false" outlineLevel="0" collapsed="false">
      <c r="A16" s="32" t="s">
        <v>764</v>
      </c>
      <c r="B16" s="28" t="n">
        <v>0.6</v>
      </c>
      <c r="D16" s="27" t="s">
        <v>742</v>
      </c>
      <c r="E16" s="32" t="s">
        <v>765</v>
      </c>
    </row>
    <row r="17" customFormat="false" ht="15" hidden="false" customHeight="false" outlineLevel="0" collapsed="false">
      <c r="A17" s="32" t="s">
        <v>766</v>
      </c>
      <c r="B17" s="28" t="n">
        <v>1.9</v>
      </c>
      <c r="D17" s="27" t="s">
        <v>742</v>
      </c>
      <c r="E17" s="32" t="s">
        <v>440</v>
      </c>
    </row>
    <row r="18" customFormat="false" ht="28.35" hidden="false" customHeight="false" outlineLevel="0" collapsed="false">
      <c r="A18" s="32" t="s">
        <v>767</v>
      </c>
      <c r="B18" s="29" t="n">
        <f aca="false">(B16+B17)/2</f>
        <v>1.25</v>
      </c>
      <c r="D18" s="27" t="s">
        <v>742</v>
      </c>
      <c r="E18" s="27" t="s">
        <v>768</v>
      </c>
    </row>
    <row r="19" customFormat="false" ht="15" hidden="false" customHeight="false" outlineLevel="0" collapsed="false">
      <c r="A19" s="32" t="s">
        <v>769</v>
      </c>
      <c r="B19" s="42" t="n">
        <f aca="false">(B17-B16)/LN(B17/B16)</f>
        <v>1.12780698259266</v>
      </c>
      <c r="D19" s="27" t="s">
        <v>742</v>
      </c>
      <c r="E19" s="27" t="s">
        <v>770</v>
      </c>
    </row>
    <row r="20" customFormat="false" ht="28.35" hidden="false" customHeight="false" outlineLevel="0" collapsed="false">
      <c r="A20" s="32" t="s">
        <v>771</v>
      </c>
      <c r="B20" s="29" t="n">
        <f aca="false">B15/B18</f>
        <v>13.04</v>
      </c>
      <c r="C20" s="29" t="n">
        <f aca="false">C15/B18</f>
        <v>12.8</v>
      </c>
      <c r="D20" s="27" t="s">
        <v>68</v>
      </c>
      <c r="E20" s="27" t="s">
        <v>772</v>
      </c>
    </row>
    <row r="21" customFormat="false" ht="28.35" hidden="false" customHeight="false" outlineLevel="0" collapsed="false">
      <c r="A21" s="32" t="s">
        <v>773</v>
      </c>
      <c r="B21" s="29" t="n">
        <f aca="false">B15/B19</f>
        <v>14.4528277015351</v>
      </c>
      <c r="C21" s="29" t="n">
        <f aca="false">C15/B19</f>
        <v>14.1868247377032</v>
      </c>
      <c r="D21" s="27" t="s">
        <v>68</v>
      </c>
      <c r="E21" s="27" t="s">
        <v>774</v>
      </c>
    </row>
    <row r="22" customFormat="false" ht="15" hidden="false" customHeight="false" outlineLevel="0" collapsed="false">
      <c r="A22" s="32" t="s">
        <v>775</v>
      </c>
      <c r="B22" s="29" t="n">
        <f aca="false">B20/'TK 拆解'!G66</f>
        <v>1.39418738929607</v>
      </c>
      <c r="C22" s="29" t="n">
        <f aca="false">C20/'TK 拆解'!G66</f>
        <v>1.36852749869553</v>
      </c>
      <c r="D22" s="27" t="s">
        <v>26</v>
      </c>
      <c r="E22" s="27" t="s">
        <v>776</v>
      </c>
    </row>
    <row r="23" customFormat="false" ht="15" hidden="false" customHeight="false" outlineLevel="0" collapsed="false">
      <c r="A23" s="32" t="s">
        <v>777</v>
      </c>
      <c r="B23" s="29" t="n">
        <f aca="false">B21/'TK 拆解'!G66</f>
        <v>1.54524157370776</v>
      </c>
      <c r="C23" s="29" t="n">
        <f aca="false">C21/'TK 拆解'!G66</f>
        <v>1.51680154474381</v>
      </c>
      <c r="D23" s="27" t="s">
        <v>26</v>
      </c>
      <c r="E23" s="27" t="s">
        <v>778</v>
      </c>
    </row>
    <row r="24" customFormat="false" ht="15" hidden="false" customHeight="false" outlineLevel="0" collapsed="false">
      <c r="A24" s="43" t="s">
        <v>779</v>
      </c>
    </row>
    <row r="25" customFormat="false" ht="15" hidden="false" customHeight="false" outlineLevel="0" collapsed="false">
      <c r="A25" s="40" t="s">
        <v>780</v>
      </c>
      <c r="B25" s="5" t="s">
        <v>781</v>
      </c>
      <c r="C25" s="5" t="s">
        <v>782</v>
      </c>
      <c r="D25" s="40" t="s">
        <v>3</v>
      </c>
      <c r="E25" s="40" t="s">
        <v>11</v>
      </c>
    </row>
    <row r="26" customFormat="false" ht="28.35" hidden="false" customHeight="false" outlineLevel="0" collapsed="false">
      <c r="A26" s="32" t="s">
        <v>783</v>
      </c>
      <c r="B26" s="29" t="n">
        <f aca="false">0.93*'TK 拆解'!G66*B18</f>
        <v>10.8730003702399</v>
      </c>
      <c r="C26" s="29" t="n">
        <f aca="false">0.93*'TK 拆解'!G66*B18</f>
        <v>10.8730003702399</v>
      </c>
      <c r="D26" s="27" t="s">
        <v>104</v>
      </c>
      <c r="E26" s="32" t="s">
        <v>784</v>
      </c>
    </row>
    <row r="27" customFormat="false" ht="28.35" hidden="false" customHeight="false" outlineLevel="0" collapsed="false">
      <c r="A27" s="32" t="s">
        <v>785</v>
      </c>
      <c r="B27" s="29" t="n">
        <f aca="false">B15-B26</f>
        <v>5.42699962976006</v>
      </c>
      <c r="C27" s="29" t="n">
        <f aca="false">C15-C26</f>
        <v>5.12699962976006</v>
      </c>
      <c r="D27" s="27" t="s">
        <v>104</v>
      </c>
      <c r="E27" s="32" t="s">
        <v>786</v>
      </c>
    </row>
    <row r="28" customFormat="false" ht="15" hidden="false" customHeight="false" outlineLevel="0" collapsed="false">
      <c r="A28" s="32" t="s">
        <v>787</v>
      </c>
      <c r="B28" s="44" t="n">
        <f aca="false">B27/B15</f>
        <v>0.332944762561967</v>
      </c>
      <c r="C28" s="44" t="n">
        <f aca="false">C27/C15</f>
        <v>0.320437476860004</v>
      </c>
      <c r="D28" s="27" t="s">
        <v>14</v>
      </c>
      <c r="E28" s="27"/>
    </row>
    <row r="29" customFormat="false" ht="15" hidden="false" customHeight="false" outlineLevel="0" collapsed="false">
      <c r="A29" s="32" t="s">
        <v>788</v>
      </c>
      <c r="B29" s="29" t="n">
        <f aca="false">0.93*'TK 拆解'!G66*B19</f>
        <v>9.81011659143137</v>
      </c>
      <c r="C29" s="29" t="n">
        <f aca="false">0.93*'TK 拆解'!G66*B19</f>
        <v>9.81011659143137</v>
      </c>
      <c r="D29" s="27" t="s">
        <v>104</v>
      </c>
      <c r="E29" s="27"/>
    </row>
    <row r="30" customFormat="false" ht="15" hidden="false" customHeight="false" outlineLevel="0" collapsed="false">
      <c r="A30" s="32" t="s">
        <v>789</v>
      </c>
      <c r="B30" s="29" t="n">
        <f aca="false">B15-B29</f>
        <v>6.48988340856863</v>
      </c>
      <c r="C30" s="29" t="n">
        <f aca="false">C15-C29</f>
        <v>6.18988340856863</v>
      </c>
      <c r="D30" s="27" t="s">
        <v>104</v>
      </c>
      <c r="E30" s="27" t="s">
        <v>790</v>
      </c>
    </row>
    <row r="31" customFormat="false" ht="15" hidden="false" customHeight="false" outlineLevel="0" collapsed="false">
      <c r="A31" s="32" t="s">
        <v>787</v>
      </c>
      <c r="B31" s="44" t="n">
        <f aca="false">B30/B15</f>
        <v>0.398152356353904</v>
      </c>
      <c r="C31" s="44" t="n">
        <f aca="false">C30/C15</f>
        <v>0.386867713035539</v>
      </c>
      <c r="D31" s="27" t="s">
        <v>14</v>
      </c>
      <c r="E31" s="27"/>
    </row>
    <row r="32" customFormat="false" ht="15" hidden="false" customHeight="false" outlineLevel="0" collapsed="false">
      <c r="A32" s="43" t="s">
        <v>791</v>
      </c>
    </row>
    <row r="33" customFormat="false" ht="15" hidden="false" customHeight="false" outlineLevel="0" collapsed="false">
      <c r="A33" s="40" t="s">
        <v>792</v>
      </c>
      <c r="B33" s="40" t="s">
        <v>793</v>
      </c>
      <c r="C33" s="40" t="s">
        <v>794</v>
      </c>
      <c r="D33" s="40" t="s">
        <v>795</v>
      </c>
      <c r="E33" s="40" t="s">
        <v>796</v>
      </c>
      <c r="F33" s="40" t="s">
        <v>797</v>
      </c>
    </row>
    <row r="34" customFormat="false" ht="82.05" hidden="false" customHeight="false" outlineLevel="0" collapsed="false">
      <c r="A34" s="27" t="s">
        <v>798</v>
      </c>
      <c r="B34" s="32" t="s">
        <v>799</v>
      </c>
      <c r="C34" s="32" t="s">
        <v>800</v>
      </c>
      <c r="D34" s="32" t="s">
        <v>801</v>
      </c>
      <c r="E34" s="32" t="s">
        <v>802</v>
      </c>
      <c r="F34" s="27" t="s">
        <v>803</v>
      </c>
    </row>
    <row r="35" customFormat="false" ht="108.95" hidden="false" customHeight="false" outlineLevel="0" collapsed="false">
      <c r="A35" s="27" t="s">
        <v>804</v>
      </c>
      <c r="B35" s="32" t="s">
        <v>805</v>
      </c>
      <c r="C35" s="29" t="n">
        <f aca="false">B20*1000000000/('TK 拆解'!G35*8760)</f>
        <v>2.35708570039688</v>
      </c>
      <c r="D35" s="32" t="s">
        <v>806</v>
      </c>
      <c r="E35" s="27" t="s">
        <v>16</v>
      </c>
      <c r="F35" s="27" t="s">
        <v>807</v>
      </c>
    </row>
    <row r="36" customFormat="false" ht="82.05" hidden="false" customHeight="false" outlineLevel="0" collapsed="false">
      <c r="A36" s="27" t="s">
        <v>808</v>
      </c>
      <c r="B36" s="32" t="s">
        <v>809</v>
      </c>
      <c r="C36" s="32" t="s">
        <v>810</v>
      </c>
      <c r="D36" s="27" t="s">
        <v>811</v>
      </c>
      <c r="E36" s="27" t="s">
        <v>24</v>
      </c>
      <c r="F36" s="27" t="s">
        <v>812</v>
      </c>
    </row>
    <row r="37" customFormat="false" ht="82.05" hidden="false" customHeight="false" outlineLevel="0" collapsed="false">
      <c r="A37" s="27" t="s">
        <v>813</v>
      </c>
      <c r="B37" s="32" t="s">
        <v>814</v>
      </c>
      <c r="C37" s="29" t="n">
        <f aca="false">B15/(B18/'TK 拆解'!C9)</f>
        <v>15.648</v>
      </c>
      <c r="D37" s="32" t="s">
        <v>815</v>
      </c>
      <c r="E37" s="27" t="s">
        <v>16</v>
      </c>
      <c r="F37" s="27" t="s">
        <v>816</v>
      </c>
    </row>
    <row r="38" customFormat="false" ht="41.75" hidden="false" customHeight="false" outlineLevel="0" collapsed="false">
      <c r="A38" s="27" t="s">
        <v>817</v>
      </c>
      <c r="B38" s="32" t="s">
        <v>818</v>
      </c>
      <c r="C38" s="32" t="s">
        <v>819</v>
      </c>
      <c r="D38" s="27" t="s">
        <v>820</v>
      </c>
      <c r="E38" s="32" t="s">
        <v>821</v>
      </c>
      <c r="F38" s="27" t="s">
        <v>822</v>
      </c>
    </row>
    <row r="39" customFormat="false" ht="41.75" hidden="false" customHeight="false" outlineLevel="0" collapsed="false">
      <c r="A39" s="27" t="s">
        <v>823</v>
      </c>
      <c r="B39" s="32" t="s">
        <v>824</v>
      </c>
      <c r="C39" s="32" t="s">
        <v>819</v>
      </c>
      <c r="D39" s="32" t="s">
        <v>825</v>
      </c>
      <c r="E39" s="27" t="s">
        <v>24</v>
      </c>
      <c r="F39" s="32" t="s">
        <v>826</v>
      </c>
    </row>
    <row r="40" customFormat="false" ht="108.95" hidden="false" customHeight="false" outlineLevel="0" collapsed="false">
      <c r="A40" s="32" t="s">
        <v>827</v>
      </c>
      <c r="B40" s="27"/>
      <c r="D40" s="27" t="s">
        <v>828</v>
      </c>
      <c r="E40" s="27"/>
      <c r="F40" s="27"/>
    </row>
    <row r="42" customFormat="false" ht="15" hidden="false" customHeight="false" outlineLevel="0" collapsed="false">
      <c r="A42" s="38" t="s">
        <v>829</v>
      </c>
      <c r="B42" s="39"/>
      <c r="C42" s="39"/>
      <c r="D42" s="39"/>
      <c r="E42" s="39"/>
      <c r="F42" s="39"/>
      <c r="G42" s="39"/>
      <c r="H42" s="39"/>
      <c r="I42" s="39"/>
    </row>
    <row r="43" customFormat="false" ht="15" hidden="false" customHeight="false" outlineLevel="0" collapsed="false">
      <c r="A43" s="40" t="s">
        <v>2</v>
      </c>
      <c r="B43" s="5" t="s">
        <v>830</v>
      </c>
      <c r="C43" s="40" t="s">
        <v>3</v>
      </c>
      <c r="D43" s="5" t="s">
        <v>198</v>
      </c>
      <c r="E43" s="5" t="s">
        <v>831</v>
      </c>
      <c r="F43" s="40" t="s">
        <v>11</v>
      </c>
    </row>
    <row r="44" customFormat="false" ht="28.35" hidden="false" customHeight="false" outlineLevel="0" collapsed="false">
      <c r="A44" s="27" t="s">
        <v>832</v>
      </c>
      <c r="B44" s="28" t="n">
        <v>5.8</v>
      </c>
      <c r="C44" s="27" t="s">
        <v>104</v>
      </c>
      <c r="F44" s="32" t="s">
        <v>833</v>
      </c>
    </row>
    <row r="45" customFormat="false" ht="15" hidden="false" customHeight="false" outlineLevel="0" collapsed="false">
      <c r="A45" s="32" t="s">
        <v>834</v>
      </c>
      <c r="B45" s="28" t="n">
        <v>0.2</v>
      </c>
      <c r="C45" s="27" t="s">
        <v>835</v>
      </c>
      <c r="F45" s="32" t="s">
        <v>833</v>
      </c>
    </row>
    <row r="46" customFormat="false" ht="41.75" hidden="false" customHeight="false" outlineLevel="0" collapsed="false">
      <c r="A46" s="27" t="s">
        <v>836</v>
      </c>
      <c r="B46" s="29" t="n">
        <f aca="false">B44/B45</f>
        <v>29</v>
      </c>
      <c r="C46" s="27" t="s">
        <v>837</v>
      </c>
      <c r="D46" s="29" t="n">
        <f aca="false">'TK 拆解'!E39</f>
        <v>32.237224</v>
      </c>
      <c r="E46" s="29" t="n">
        <f aca="false">B46/D46</f>
        <v>0.899581179818709</v>
      </c>
      <c r="F46" s="27" t="s">
        <v>838</v>
      </c>
    </row>
    <row r="47" customFormat="false" ht="68.65" hidden="false" customHeight="false" outlineLevel="0" collapsed="false">
      <c r="A47" s="32" t="s">
        <v>839</v>
      </c>
      <c r="B47" s="45" t="n">
        <v>9</v>
      </c>
      <c r="C47" s="27" t="s">
        <v>75</v>
      </c>
      <c r="D47" s="29" t="n">
        <f aca="false">'TK 拆解'!E46*1000/'TK 拆解'!E7</f>
        <v>12.67</v>
      </c>
      <c r="E47" s="29" t="n">
        <f aca="false">B47/D47</f>
        <v>0.710339384372534</v>
      </c>
      <c r="F47" s="27" t="s">
        <v>840</v>
      </c>
    </row>
    <row r="48" customFormat="false" ht="15" hidden="false" customHeight="false" outlineLevel="0" collapsed="false">
      <c r="A48" s="32" t="s">
        <v>841</v>
      </c>
      <c r="B48" s="45" t="n">
        <v>11</v>
      </c>
      <c r="C48" s="27" t="s">
        <v>75</v>
      </c>
      <c r="D48" s="29" t="n">
        <f aca="false">'TK 拆解'!E46*1000/'TK 拆解'!E7</f>
        <v>12.67</v>
      </c>
      <c r="E48" s="29" t="n">
        <f aca="false">B48/D48</f>
        <v>0.868192580899763</v>
      </c>
      <c r="F48" s="27"/>
    </row>
    <row r="49" customFormat="false" ht="41.75" hidden="false" customHeight="false" outlineLevel="0" collapsed="false">
      <c r="A49" s="27" t="s">
        <v>842</v>
      </c>
      <c r="B49" s="28" t="n">
        <v>3</v>
      </c>
      <c r="C49" s="27" t="s">
        <v>75</v>
      </c>
      <c r="F49" s="32" t="s">
        <v>843</v>
      </c>
    </row>
    <row r="50" customFormat="false" ht="15" hidden="false" customHeight="false" outlineLevel="0" collapsed="false">
      <c r="A50" s="27" t="s">
        <v>844</v>
      </c>
      <c r="B50" s="28" t="n">
        <v>2</v>
      </c>
      <c r="C50" s="27" t="s">
        <v>75</v>
      </c>
      <c r="F50" s="32" t="s">
        <v>845</v>
      </c>
    </row>
    <row r="51" customFormat="false" ht="28.35" hidden="false" customHeight="false" outlineLevel="0" collapsed="false">
      <c r="A51" s="32" t="s">
        <v>846</v>
      </c>
      <c r="B51" s="46" t="n">
        <f aca="false">B47+B49+B50</f>
        <v>14</v>
      </c>
      <c r="C51" s="27" t="s">
        <v>75</v>
      </c>
      <c r="D51" s="46" t="n">
        <f aca="false">B48+B49+B50</f>
        <v>16</v>
      </c>
      <c r="F51" s="32" t="s">
        <v>847</v>
      </c>
    </row>
    <row r="52" customFormat="false" ht="55.2" hidden="false" customHeight="false" outlineLevel="0" collapsed="false">
      <c r="A52" s="47" t="s">
        <v>848</v>
      </c>
    </row>
    <row r="53" customFormat="false" ht="41.75" hidden="false" customHeight="false" outlineLevel="0" collapsed="false">
      <c r="A53" s="40" t="s">
        <v>849</v>
      </c>
      <c r="B53" s="5" t="s">
        <v>850</v>
      </c>
      <c r="C53" s="5" t="s">
        <v>851</v>
      </c>
      <c r="D53" s="5" t="s">
        <v>852</v>
      </c>
      <c r="E53" s="5" t="s">
        <v>853</v>
      </c>
      <c r="F53" s="5" t="s">
        <v>854</v>
      </c>
      <c r="G53" s="40" t="s">
        <v>855</v>
      </c>
      <c r="H53" s="40" t="s">
        <v>856</v>
      </c>
    </row>
    <row r="54" customFormat="false" ht="15" hidden="false" customHeight="false" outlineLevel="0" collapsed="false">
      <c r="A54" s="27" t="s">
        <v>857</v>
      </c>
      <c r="B54" s="29" t="n">
        <f aca="false">B46+B49</f>
        <v>32</v>
      </c>
      <c r="C54" s="48" t="n">
        <v>10</v>
      </c>
      <c r="D54" s="29" t="n">
        <f aca="false">'TK 拆解'!E39</f>
        <v>32.237224</v>
      </c>
      <c r="E54" s="29" t="n">
        <f aca="false">'TK 拆解'!E46</f>
        <v>12.67</v>
      </c>
      <c r="F54" s="29" t="n">
        <f aca="false">B54/D54</f>
        <v>0.99264130186892</v>
      </c>
      <c r="G54" s="29" t="n">
        <f aca="false">C54/E54</f>
        <v>0.789265982636148</v>
      </c>
      <c r="H54" s="29" t="n">
        <f aca="false">(C54-E54)*(('TK 拆解'!E54+'TK 拆解'!E62+0.005*'TK 拆解'!E46)/'TK 拆解'!E46)</f>
        <v>-0.383245443453024</v>
      </c>
    </row>
    <row r="55" customFormat="false" ht="15" hidden="false" customHeight="false" outlineLevel="0" collapsed="false">
      <c r="A55" s="27" t="s">
        <v>858</v>
      </c>
      <c r="B55" s="29" t="n">
        <f aca="false">B46</f>
        <v>29</v>
      </c>
      <c r="C55" s="48" t="n">
        <v>13</v>
      </c>
      <c r="D55" s="29" t="n">
        <f aca="false">'TK 拆解'!E39</f>
        <v>32.237224</v>
      </c>
      <c r="E55" s="29" t="n">
        <f aca="false">'TK 拆解'!E46</f>
        <v>12.67</v>
      </c>
      <c r="F55" s="29" t="n">
        <f aca="false">B55/D55</f>
        <v>0.899581179818709</v>
      </c>
      <c r="G55" s="29" t="n">
        <f aca="false">C55/E55</f>
        <v>1.02604577742699</v>
      </c>
      <c r="H55" s="29" t="n">
        <f aca="false">(C55-E55)*(('TK 拆解'!E54+'TK 拆解'!E62+0.005*'TK 拆解'!E46)/'TK 拆解'!E46)</f>
        <v>0.0473674143593625</v>
      </c>
    </row>
    <row r="56" customFormat="false" ht="15" hidden="false" customHeight="false" outlineLevel="0" collapsed="false">
      <c r="A56" s="27" t="s">
        <v>859</v>
      </c>
      <c r="B56" s="29" t="n">
        <f aca="false">B46</f>
        <v>29</v>
      </c>
      <c r="C56" s="48" t="n">
        <v>15</v>
      </c>
      <c r="D56" s="29" t="n">
        <f aca="false">'TK 拆解'!E39</f>
        <v>32.237224</v>
      </c>
      <c r="E56" s="29" t="n">
        <f aca="false">'TK 拆解'!E46</f>
        <v>12.67</v>
      </c>
      <c r="F56" s="29" t="n">
        <f aca="false">B56/D56</f>
        <v>0.899581179818709</v>
      </c>
      <c r="G56" s="29" t="n">
        <f aca="false">C56/E56</f>
        <v>1.18389897395422</v>
      </c>
      <c r="H56" s="29" t="n">
        <f aca="false">(C56-E56)*(('TK 拆解'!E54+'TK 拆解'!E62+0.005*'TK 拆解'!E46)/'TK 拆解'!E46)</f>
        <v>0.334442652900954</v>
      </c>
    </row>
    <row r="57" customFormat="false" ht="95.5" hidden="false" customHeight="false" outlineLevel="0" collapsed="false">
      <c r="A57" s="41" t="s">
        <v>860</v>
      </c>
    </row>
    <row r="58" customFormat="false" ht="122.35" hidden="false" customHeight="false" outlineLevel="0" collapsed="false">
      <c r="A58" s="32" t="s">
        <v>861</v>
      </c>
      <c r="B58" s="42" t="n">
        <f aca="false">0.15*9.7</f>
        <v>1.455</v>
      </c>
      <c r="C58" s="27" t="s">
        <v>68</v>
      </c>
      <c r="D58" s="29" t="n">
        <f aca="false">'TK 拆解'!E65</f>
        <v>1.98263481314457</v>
      </c>
      <c r="E58" s="29" t="n">
        <f aca="false">B58/D58</f>
        <v>0.733871911435009</v>
      </c>
      <c r="F58" s="27" t="s">
        <v>862</v>
      </c>
    </row>
    <row r="60" customFormat="false" ht="15" hidden="false" customHeight="false" outlineLevel="0" collapsed="false">
      <c r="A60" s="38" t="s">
        <v>863</v>
      </c>
      <c r="B60" s="39"/>
      <c r="C60" s="39"/>
      <c r="D60" s="39"/>
      <c r="E60" s="39"/>
      <c r="F60" s="39"/>
      <c r="G60" s="39"/>
      <c r="H60" s="39"/>
      <c r="I60" s="39"/>
    </row>
    <row r="61" customFormat="false" ht="28.35" hidden="false" customHeight="false" outlineLevel="0" collapsed="false">
      <c r="A61" s="40" t="s">
        <v>864</v>
      </c>
      <c r="B61" s="5" t="s">
        <v>865</v>
      </c>
      <c r="C61" s="5" t="s">
        <v>866</v>
      </c>
      <c r="D61" s="40" t="s">
        <v>867</v>
      </c>
      <c r="E61" s="40" t="s">
        <v>868</v>
      </c>
      <c r="F61" s="40" t="s">
        <v>869</v>
      </c>
    </row>
    <row r="62" customFormat="false" ht="28.35" hidden="false" customHeight="false" outlineLevel="0" collapsed="false">
      <c r="A62" s="27" t="s">
        <v>870</v>
      </c>
      <c r="B62" s="49" t="n">
        <f aca="false">'TK 拆解'!C35</f>
        <v>718048</v>
      </c>
      <c r="C62" s="29" t="n">
        <f aca="false">'TK 拆解'!C76</f>
        <v>1.54259654785589</v>
      </c>
      <c r="D62" s="29" t="s">
        <v>871</v>
      </c>
      <c r="E62" s="29" t="n">
        <f aca="false">D62/C62</f>
        <v>1.64009183316048</v>
      </c>
      <c r="F62" s="27" t="s">
        <v>332</v>
      </c>
    </row>
    <row r="63" customFormat="false" ht="15" hidden="false" customHeight="false" outlineLevel="0" collapsed="false">
      <c r="A63" s="27" t="s">
        <v>872</v>
      </c>
      <c r="B63" s="49" t="n">
        <f aca="false">'TK 拆解'!C35</f>
        <v>718048</v>
      </c>
      <c r="C63" s="29" t="n">
        <f aca="false">'TK 拆解'!C76</f>
        <v>1.54259654785589</v>
      </c>
      <c r="D63" s="29" t="s">
        <v>873</v>
      </c>
      <c r="E63" s="29" t="n">
        <f aca="false">D63/C63</f>
        <v>2.04201157093103</v>
      </c>
      <c r="F63" s="27" t="s">
        <v>287</v>
      </c>
    </row>
    <row r="64" customFormat="false" ht="28.35" hidden="false" customHeight="false" outlineLevel="0" collapsed="false">
      <c r="A64" s="32" t="s">
        <v>874</v>
      </c>
      <c r="B64" s="49" t="n">
        <f aca="false">'TK 拆解'!G35</f>
        <v>631536</v>
      </c>
      <c r="C64" s="29" t="n">
        <f aca="false">'TK 拆解'!G76</f>
        <v>1.69065200165595</v>
      </c>
      <c r="D64" s="29" t="n">
        <f aca="false">B20*1000000000/(B64*8760)</f>
        <v>2.35708570039688</v>
      </c>
      <c r="E64" s="29" t="n">
        <f aca="false">D64/C64</f>
        <v>1.39418738929607</v>
      </c>
      <c r="F64" s="27" t="s">
        <v>875</v>
      </c>
    </row>
    <row r="65" customFormat="false" ht="28.35" hidden="false" customHeight="false" outlineLevel="0" collapsed="false">
      <c r="A65" s="27" t="s">
        <v>876</v>
      </c>
      <c r="B65" s="49" t="n">
        <f aca="false">'TK 拆解'!E35</f>
        <v>487008</v>
      </c>
      <c r="C65" s="29" t="n">
        <f aca="false">'TK 拆解'!E76</f>
        <v>2.55178761329595</v>
      </c>
      <c r="D65" s="29" t="n">
        <f aca="false">9.7*1000000000/(B65*8760)</f>
        <v>2.27369147133735</v>
      </c>
      <c r="E65" s="29" t="n">
        <f aca="false">D65/C65</f>
        <v>0.891019087752603</v>
      </c>
      <c r="F65" s="27" t="s">
        <v>877</v>
      </c>
    </row>
    <row r="66" customFormat="false" ht="28.35" hidden="false" customHeight="false" outlineLevel="0" collapsed="false">
      <c r="A66" s="27" t="s">
        <v>878</v>
      </c>
      <c r="B66" s="49" t="n">
        <f aca="false">'TK 拆解'!E35</f>
        <v>487008</v>
      </c>
      <c r="C66" s="29" t="n">
        <f aca="false">'TK 拆解'!E76</f>
        <v>2.55178761329595</v>
      </c>
      <c r="D66" s="29" t="n">
        <f aca="false">6200000000/5/52000/8760</f>
        <v>2.72216368106779</v>
      </c>
      <c r="E66" s="29" t="n">
        <f aca="false">D66/C66</f>
        <v>1.06676733866255</v>
      </c>
      <c r="F66" s="27" t="s">
        <v>584</v>
      </c>
    </row>
    <row r="67" customFormat="false" ht="28.35" hidden="false" customHeight="false" outlineLevel="0" collapsed="false">
      <c r="A67" s="27" t="s">
        <v>879</v>
      </c>
      <c r="B67" s="49" t="n">
        <f aca="false">'TK 拆解'!F35</f>
        <v>291744</v>
      </c>
      <c r="C67" s="29" t="n">
        <f aca="false">'TK 拆解'!F76</f>
        <v>4.78365180724219</v>
      </c>
      <c r="D67" s="29" t="n">
        <f aca="false">G7*1000000000/(B67*8760)</f>
        <v>4.69542823056731</v>
      </c>
      <c r="E67" s="29" t="n">
        <f aca="false">D67/C67</f>
        <v>0.981557274603198</v>
      </c>
      <c r="F67" s="27" t="s">
        <v>294</v>
      </c>
    </row>
    <row r="68" customFormat="false" ht="108.95" hidden="false" customHeight="false" outlineLevel="0" collapsed="false">
      <c r="A68" s="41" t="s">
        <v>880</v>
      </c>
    </row>
    <row r="70" customFormat="false" ht="15" hidden="false" customHeight="false" outlineLevel="0" collapsed="false">
      <c r="A70" s="38" t="s">
        <v>881</v>
      </c>
      <c r="B70" s="39"/>
      <c r="C70" s="39"/>
      <c r="D70" s="39"/>
      <c r="E70" s="39"/>
      <c r="F70" s="39"/>
      <c r="G70" s="39"/>
      <c r="H70" s="39"/>
      <c r="I70" s="39"/>
    </row>
    <row r="71" customFormat="false" ht="28.35" hidden="false" customHeight="false" outlineLevel="0" collapsed="false">
      <c r="A71" s="40" t="s">
        <v>2</v>
      </c>
      <c r="B71" s="5" t="s">
        <v>882</v>
      </c>
      <c r="C71" s="5" t="s">
        <v>883</v>
      </c>
      <c r="D71" s="40" t="s">
        <v>11</v>
      </c>
    </row>
    <row r="72" customFormat="false" ht="15" hidden="false" customHeight="false" outlineLevel="0" collapsed="false">
      <c r="A72" s="32" t="s">
        <v>884</v>
      </c>
      <c r="B72" s="28" t="n">
        <v>2575</v>
      </c>
      <c r="C72" s="28" t="n">
        <v>582.3</v>
      </c>
      <c r="D72" s="27" t="s">
        <v>885</v>
      </c>
    </row>
    <row r="73" customFormat="false" ht="15" hidden="false" customHeight="false" outlineLevel="0" collapsed="false">
      <c r="A73" s="32" t="s">
        <v>886</v>
      </c>
      <c r="B73" s="28" t="n">
        <v>879</v>
      </c>
      <c r="C73" s="28" t="n">
        <v>133.6</v>
      </c>
      <c r="D73" s="27"/>
    </row>
    <row r="74" customFormat="false" ht="15" hidden="false" customHeight="false" outlineLevel="0" collapsed="false">
      <c r="A74" s="32" t="s">
        <v>887</v>
      </c>
      <c r="B74" s="28" t="n">
        <v>1507</v>
      </c>
      <c r="D74" s="27" t="s">
        <v>888</v>
      </c>
    </row>
    <row r="75" customFormat="false" ht="55.2" hidden="false" customHeight="false" outlineLevel="0" collapsed="false">
      <c r="A75" s="32" t="s">
        <v>889</v>
      </c>
      <c r="B75" s="28" t="n">
        <v>1400</v>
      </c>
      <c r="C75" s="28" t="n">
        <v>259.7</v>
      </c>
      <c r="D75" s="27" t="s">
        <v>890</v>
      </c>
    </row>
    <row r="76" customFormat="false" ht="15" hidden="false" customHeight="false" outlineLevel="0" collapsed="false">
      <c r="A76" s="32" t="s">
        <v>891</v>
      </c>
      <c r="B76" s="44" t="n">
        <f aca="false">B73/B72</f>
        <v>0.341359223300971</v>
      </c>
      <c r="C76" s="44" t="n">
        <f aca="false">C73/C72</f>
        <v>0.229434999141336</v>
      </c>
      <c r="D76" s="27"/>
    </row>
    <row r="77" customFormat="false" ht="15" hidden="false" customHeight="false" outlineLevel="0" collapsed="false">
      <c r="A77" s="32" t="s">
        <v>892</v>
      </c>
      <c r="B77" s="44" t="n">
        <f aca="false">B75/B72</f>
        <v>0.54368932038835</v>
      </c>
      <c r="C77" s="44" t="n">
        <f aca="false">C75/C72</f>
        <v>0.44599003949854</v>
      </c>
      <c r="D77" s="27"/>
    </row>
    <row r="78" customFormat="false" ht="28.35" hidden="false" customHeight="false" outlineLevel="0" collapsed="false">
      <c r="A78" s="32" t="s">
        <v>893</v>
      </c>
      <c r="B78" s="46" t="n">
        <f aca="false">B72-B73-B74</f>
        <v>189</v>
      </c>
      <c r="D78" s="32" t="s">
        <v>894</v>
      </c>
    </row>
    <row r="79" customFormat="false" ht="15" hidden="false" customHeight="false" outlineLevel="0" collapsed="false">
      <c r="A79" s="27" t="s">
        <v>895</v>
      </c>
      <c r="B79" s="50" t="n">
        <f aca="false">B78/B72</f>
        <v>0.0733980582524272</v>
      </c>
      <c r="D79" s="27"/>
    </row>
    <row r="80" customFormat="false" ht="149.25" hidden="false" customHeight="false" outlineLevel="0" collapsed="false">
      <c r="A80" s="27" t="s">
        <v>896</v>
      </c>
      <c r="B80" s="44" t="n">
        <f aca="false">('TK 拆解'!G54+'TK 拆解'!G60+'TK 拆解'!G62+'TK 拆解'!G63+0.005*'TK 拆解'!G46)/'TK 拆解'!G66</f>
        <v>0.301117708134952</v>
      </c>
      <c r="D80" s="27" t="s">
        <v>897</v>
      </c>
    </row>
    <row r="81" customFormat="false" ht="82.05" hidden="false" customHeight="false" outlineLevel="0" collapsed="false">
      <c r="A81" s="27" t="s">
        <v>898</v>
      </c>
      <c r="B81" s="44" t="n">
        <f aca="false">'TK 拆解'!G39/'TK 拆解'!E11/'TK 拆解'!G66</f>
        <v>0.465302877791437</v>
      </c>
      <c r="D81" s="27" t="s">
        <v>899</v>
      </c>
    </row>
    <row r="82" customFormat="false" ht="68.65" hidden="false" customHeight="false" outlineLevel="0" collapsed="false">
      <c r="A82" s="27" t="s">
        <v>900</v>
      </c>
      <c r="B82" s="51" t="n">
        <v>1</v>
      </c>
      <c r="D82" s="32" t="s">
        <v>901</v>
      </c>
    </row>
    <row r="83" customFormat="false" ht="28.35" hidden="false" customHeight="false" outlineLevel="0" collapsed="false">
      <c r="A83" s="27" t="s">
        <v>902</v>
      </c>
      <c r="B83" s="51" t="n">
        <v>1.5</v>
      </c>
      <c r="D83" s="27" t="s">
        <v>903</v>
      </c>
    </row>
    <row r="84" customFormat="false" ht="15" hidden="false" customHeight="false" outlineLevel="0" collapsed="false">
      <c r="A84" s="32" t="s">
        <v>904</v>
      </c>
      <c r="B84" s="29" t="n">
        <f aca="false">(B82+B83)/2</f>
        <v>1.25</v>
      </c>
      <c r="D84" s="27"/>
    </row>
    <row r="85" customFormat="false" ht="41.75" hidden="false" customHeight="false" outlineLevel="0" collapsed="false">
      <c r="A85" s="32" t="s">
        <v>905</v>
      </c>
      <c r="B85" s="29" t="n">
        <f aca="false">B72*4/1000/B84</f>
        <v>8.24</v>
      </c>
      <c r="D85" s="27" t="s">
        <v>906</v>
      </c>
    </row>
    <row r="86" customFormat="false" ht="15" hidden="false" customHeight="false" outlineLevel="0" collapsed="false">
      <c r="A86" s="27" t="s">
        <v>907</v>
      </c>
      <c r="B86" s="29" t="n">
        <f aca="false">B85/'TK 拆解'!G66</f>
        <v>0.880989577285245</v>
      </c>
      <c r="D86" s="27"/>
    </row>
    <row r="87" customFormat="false" ht="55.2" hidden="false" customHeight="false" outlineLevel="0" collapsed="false">
      <c r="A87" s="32" t="s">
        <v>908</v>
      </c>
      <c r="B87" s="29" t="n">
        <f aca="false">B85*1000000000/('TK 拆解'!G35*8760)</f>
        <v>1.48944679227533</v>
      </c>
      <c r="D87" s="32" t="s">
        <v>909</v>
      </c>
    </row>
    <row r="88" customFormat="false" ht="41.75" hidden="false" customHeight="false" outlineLevel="0" collapsed="false">
      <c r="A88" s="27" t="s">
        <v>910</v>
      </c>
      <c r="B88" s="27" t="s">
        <v>911</v>
      </c>
      <c r="C88" s="27"/>
      <c r="D88" s="32" t="s">
        <v>912</v>
      </c>
    </row>
    <row r="89" customFormat="false" ht="55.2" hidden="false" customHeight="false" outlineLevel="0" collapsed="false">
      <c r="A89" s="32" t="s">
        <v>913</v>
      </c>
      <c r="B89" s="27" t="s">
        <v>914</v>
      </c>
      <c r="C89" s="27"/>
      <c r="D89" s="32" t="s">
        <v>915</v>
      </c>
    </row>
    <row r="91" customFormat="false" ht="15" hidden="false" customHeight="false" outlineLevel="0" collapsed="false">
      <c r="A91" s="38" t="s">
        <v>916</v>
      </c>
      <c r="B91" s="39"/>
      <c r="C91" s="39"/>
      <c r="D91" s="39"/>
      <c r="E91" s="39"/>
      <c r="F91" s="39"/>
      <c r="G91" s="39"/>
      <c r="H91" s="39"/>
      <c r="I91" s="39"/>
    </row>
    <row r="92" customFormat="false" ht="41.75" hidden="false" customHeight="false" outlineLevel="0" collapsed="false">
      <c r="A92" s="41" t="s">
        <v>917</v>
      </c>
    </row>
    <row r="93" customFormat="false" ht="15" hidden="false" customHeight="false" outlineLevel="0" collapsed="false">
      <c r="A93" s="5" t="s">
        <v>918</v>
      </c>
      <c r="B93" s="40" t="s">
        <v>919</v>
      </c>
      <c r="C93" s="40" t="s">
        <v>920</v>
      </c>
      <c r="D93" s="40" t="s">
        <v>470</v>
      </c>
      <c r="E93" s="40" t="s">
        <v>11</v>
      </c>
    </row>
    <row r="94" customFormat="false" ht="28.35" hidden="false" customHeight="false" outlineLevel="0" collapsed="false">
      <c r="A94" s="27" t="s">
        <v>921</v>
      </c>
      <c r="B94" s="52" t="n">
        <v>0.15</v>
      </c>
      <c r="C94" s="53" t="n">
        <v>1300</v>
      </c>
      <c r="D94" s="27" t="s">
        <v>922</v>
      </c>
      <c r="E94" s="27" t="s">
        <v>923</v>
      </c>
    </row>
    <row r="95" customFormat="false" ht="28.35" hidden="false" customHeight="false" outlineLevel="0" collapsed="false">
      <c r="A95" s="27" t="s">
        <v>924</v>
      </c>
      <c r="B95" s="52" t="n">
        <v>0.11</v>
      </c>
      <c r="C95" s="53" t="n">
        <v>3190</v>
      </c>
      <c r="D95" s="27" t="s">
        <v>922</v>
      </c>
      <c r="E95" s="27" t="s">
        <v>923</v>
      </c>
    </row>
    <row r="96" customFormat="false" ht="28.35" hidden="false" customHeight="false" outlineLevel="0" collapsed="false">
      <c r="A96" s="27" t="s">
        <v>925</v>
      </c>
      <c r="B96" s="52" t="n">
        <v>0.09</v>
      </c>
      <c r="C96" s="53" t="n">
        <v>3000</v>
      </c>
      <c r="D96" s="27" t="s">
        <v>922</v>
      </c>
      <c r="E96" s="27" t="s">
        <v>923</v>
      </c>
    </row>
    <row r="97" customFormat="false" ht="28.35" hidden="false" customHeight="false" outlineLevel="0" collapsed="false">
      <c r="A97" s="27" t="s">
        <v>926</v>
      </c>
      <c r="B97" s="52" t="n">
        <v>0.09</v>
      </c>
      <c r="C97" s="53" t="n">
        <v>2215</v>
      </c>
      <c r="D97" s="27" t="s">
        <v>922</v>
      </c>
      <c r="E97" s="27" t="s">
        <v>923</v>
      </c>
    </row>
    <row r="98" customFormat="false" ht="28.35" hidden="false" customHeight="false" outlineLevel="0" collapsed="false">
      <c r="A98" s="27" t="s">
        <v>927</v>
      </c>
      <c r="B98" s="52" t="n">
        <v>0.09</v>
      </c>
      <c r="C98" s="53" t="n">
        <v>1101</v>
      </c>
      <c r="D98" s="27" t="s">
        <v>922</v>
      </c>
      <c r="E98" s="27" t="s">
        <v>923</v>
      </c>
    </row>
    <row r="99" customFormat="false" ht="28.35" hidden="false" customHeight="false" outlineLevel="0" collapsed="false">
      <c r="A99" s="27" t="s">
        <v>928</v>
      </c>
      <c r="B99" s="52" t="n">
        <v>0.07</v>
      </c>
      <c r="C99" s="53" t="n">
        <v>2837</v>
      </c>
      <c r="D99" s="27" t="s">
        <v>922</v>
      </c>
      <c r="E99" s="27" t="s">
        <v>923</v>
      </c>
    </row>
    <row r="100" customFormat="false" ht="28.35" hidden="false" customHeight="false" outlineLevel="0" collapsed="false">
      <c r="A100" s="27" t="s">
        <v>929</v>
      </c>
      <c r="B100" s="52" t="n">
        <v>0.1</v>
      </c>
      <c r="C100" s="53" t="n">
        <v>2000</v>
      </c>
      <c r="D100" s="32" t="s">
        <v>930</v>
      </c>
      <c r="E100" s="27" t="s">
        <v>923</v>
      </c>
    </row>
    <row r="101" customFormat="false" ht="28.35" hidden="false" customHeight="false" outlineLevel="0" collapsed="false">
      <c r="A101" s="27" t="s">
        <v>931</v>
      </c>
      <c r="B101" s="52" t="n">
        <v>0.1</v>
      </c>
      <c r="C101" s="53" t="n">
        <v>1750</v>
      </c>
      <c r="D101" s="32" t="s">
        <v>930</v>
      </c>
      <c r="E101" s="27" t="s">
        <v>923</v>
      </c>
    </row>
    <row r="102" customFormat="false" ht="28.35" hidden="false" customHeight="false" outlineLevel="0" collapsed="false">
      <c r="A102" s="27" t="s">
        <v>932</v>
      </c>
      <c r="B102" s="52" t="n">
        <v>0.1</v>
      </c>
      <c r="C102" s="53" t="n">
        <v>2750</v>
      </c>
      <c r="D102" s="32" t="s">
        <v>930</v>
      </c>
      <c r="E102" s="27" t="s">
        <v>923</v>
      </c>
    </row>
    <row r="103" customFormat="false" ht="28.35" hidden="false" customHeight="false" outlineLevel="0" collapsed="false">
      <c r="A103" s="27" t="s">
        <v>933</v>
      </c>
      <c r="B103" s="52" t="n">
        <v>0.1</v>
      </c>
      <c r="C103" s="53" t="n">
        <v>1250</v>
      </c>
      <c r="D103" s="32" t="s">
        <v>930</v>
      </c>
      <c r="E103" s="27" t="s">
        <v>923</v>
      </c>
    </row>
    <row r="104" customFormat="false" ht="28.35" hidden="false" customHeight="false" outlineLevel="0" collapsed="false">
      <c r="A104" s="27" t="s">
        <v>934</v>
      </c>
      <c r="B104" s="52" t="n">
        <v>0.09</v>
      </c>
      <c r="C104" s="53" t="n">
        <v>2279</v>
      </c>
      <c r="D104" s="32" t="s">
        <v>930</v>
      </c>
      <c r="E104" s="27" t="s">
        <v>923</v>
      </c>
    </row>
    <row r="105" customFormat="false" ht="28.35" hidden="false" customHeight="false" outlineLevel="0" collapsed="false">
      <c r="A105" s="27" t="s">
        <v>935</v>
      </c>
      <c r="B105" s="52" t="n">
        <v>0.02</v>
      </c>
      <c r="C105" s="53" t="n">
        <v>2588</v>
      </c>
      <c r="D105" s="32" t="s">
        <v>936</v>
      </c>
      <c r="E105" s="27" t="s">
        <v>923</v>
      </c>
    </row>
    <row r="106" customFormat="false" ht="28.35" hidden="false" customHeight="false" outlineLevel="0" collapsed="false">
      <c r="A106" s="27" t="s">
        <v>937</v>
      </c>
      <c r="B106" s="52" t="n">
        <v>0.02</v>
      </c>
      <c r="C106" s="53" t="n">
        <v>4000</v>
      </c>
      <c r="D106" s="32" t="s">
        <v>936</v>
      </c>
      <c r="E106" s="27" t="s">
        <v>923</v>
      </c>
    </row>
    <row r="107" customFormat="false" ht="28.35" hidden="false" customHeight="false" outlineLevel="0" collapsed="false">
      <c r="A107" s="27" t="s">
        <v>938</v>
      </c>
      <c r="B107" s="52" t="n">
        <v>0.11</v>
      </c>
      <c r="C107" s="53" t="n">
        <v>4220</v>
      </c>
      <c r="D107" s="32" t="s">
        <v>930</v>
      </c>
      <c r="E107" s="27" t="s">
        <v>923</v>
      </c>
    </row>
    <row r="108" customFormat="false" ht="28.35" hidden="false" customHeight="false" outlineLevel="0" collapsed="false">
      <c r="A108" s="27" t="s">
        <v>939</v>
      </c>
      <c r="B108" s="52" t="n">
        <v>0.09</v>
      </c>
      <c r="C108" s="53" t="n">
        <v>882</v>
      </c>
      <c r="D108" s="32" t="s">
        <v>930</v>
      </c>
      <c r="E108" s="27" t="s">
        <v>923</v>
      </c>
    </row>
    <row r="109" customFormat="false" ht="28.35" hidden="false" customHeight="false" outlineLevel="0" collapsed="false">
      <c r="A109" s="27" t="s">
        <v>940</v>
      </c>
      <c r="B109" s="52" t="n">
        <v>0.12</v>
      </c>
      <c r="C109" s="53" t="n">
        <v>189</v>
      </c>
      <c r="D109" s="32" t="s">
        <v>930</v>
      </c>
      <c r="E109" s="27" t="s">
        <v>923</v>
      </c>
    </row>
    <row r="110" customFormat="false" ht="41.75" hidden="false" customHeight="false" outlineLevel="0" collapsed="false">
      <c r="A110" s="32" t="s">
        <v>941</v>
      </c>
      <c r="B110" s="50" t="n">
        <f aca="false">SUMPRODUCT(B94:B109,C94:C109)/SUM(C94:C109)</f>
        <v>0.084134342212596</v>
      </c>
      <c r="C110" s="49" t="n">
        <f aca="false">SUM(C94:C109)</f>
        <v>35551</v>
      </c>
      <c r="D110" s="27"/>
      <c r="E110" s="27" t="s">
        <v>942</v>
      </c>
    </row>
    <row r="111" customFormat="false" ht="15" hidden="false" customHeight="false" outlineLevel="0" collapsed="false">
      <c r="A111" s="32" t="s">
        <v>943</v>
      </c>
      <c r="B111" s="50" t="n">
        <f aca="false">SUMPRODUCT((D94:D109&lt;&gt;"可轉債")*B94:B109*C94:C109)/SUMPRODUCT((D94:D109&lt;&gt;"可轉債")*C94:C109)</f>
        <v>0.0987225080274834</v>
      </c>
      <c r="D111" s="27"/>
      <c r="E111" s="27" t="s">
        <v>16</v>
      </c>
    </row>
    <row r="112" customFormat="false" ht="15" hidden="false" customHeight="false" outlineLevel="0" collapsed="false">
      <c r="A112" s="32" t="s">
        <v>944</v>
      </c>
      <c r="B112" s="50" t="n">
        <f aca="false">SUMPRODUCT((D94:D109="DDTL")*B94:B109*C94:C109)/SUMPRODUCT((D94:D109="DDTL")*C94:C109)</f>
        <v>0.0962346991130983</v>
      </c>
      <c r="D112" s="27"/>
      <c r="E112" s="27" t="s">
        <v>16</v>
      </c>
    </row>
    <row r="113" customFormat="false" ht="28.35" hidden="false" customHeight="false" outlineLevel="0" collapsed="false">
      <c r="A113" s="27" t="s">
        <v>945</v>
      </c>
      <c r="B113" s="50" t="n">
        <f aca="false">640*4/C110</f>
        <v>0.0720092261821046</v>
      </c>
      <c r="D113" s="27"/>
      <c r="E113" s="27" t="s">
        <v>946</v>
      </c>
    </row>
    <row r="114" customFormat="false" ht="82.05" hidden="false" customHeight="false" outlineLevel="0" collapsed="false">
      <c r="A114" s="27" t="s">
        <v>947</v>
      </c>
      <c r="B114" s="54" t="n">
        <v>0.0331</v>
      </c>
      <c r="D114" s="27"/>
      <c r="E114" s="27" t="s">
        <v>948</v>
      </c>
    </row>
    <row r="115" customFormat="false" ht="28.35" hidden="false" customHeight="false" outlineLevel="0" collapsed="false">
      <c r="A115" s="27" t="s">
        <v>949</v>
      </c>
      <c r="B115" s="50" t="n">
        <f aca="false">'TK 拆解'!E10</f>
        <v>0.1</v>
      </c>
      <c r="D115" s="27"/>
      <c r="E115" s="27" t="s">
        <v>31</v>
      </c>
    </row>
    <row r="116" customFormat="false" ht="55.2" hidden="false" customHeight="false" outlineLevel="0" collapsed="false">
      <c r="A116" s="41" t="s">
        <v>950</v>
      </c>
    </row>
    <row r="118" customFormat="false" ht="28.35" hidden="false" customHeight="false" outlineLevel="0" collapsed="false">
      <c r="A118" s="5" t="s">
        <v>951</v>
      </c>
      <c r="B118" s="5" t="s">
        <v>952</v>
      </c>
      <c r="C118" s="5" t="s">
        <v>953</v>
      </c>
      <c r="D118" s="5" t="s">
        <v>954</v>
      </c>
      <c r="E118" s="40" t="s">
        <v>955</v>
      </c>
      <c r="F118" s="40" t="s">
        <v>956</v>
      </c>
      <c r="G118" s="40" t="s">
        <v>957</v>
      </c>
      <c r="H118" s="40" t="s">
        <v>958</v>
      </c>
      <c r="I118" s="40" t="s">
        <v>959</v>
      </c>
    </row>
    <row r="119" customFormat="false" ht="15" hidden="false" customHeight="false" outlineLevel="0" collapsed="false">
      <c r="A119" s="27" t="s">
        <v>960</v>
      </c>
      <c r="B119" s="48" t="n">
        <f aca="false">B46+B49</f>
        <v>32</v>
      </c>
      <c r="C119" s="48" t="n">
        <v>10</v>
      </c>
      <c r="D119" s="42" t="n">
        <f aca="false">(B119-'TK 拆解'!E39)*'TK 拆解'!E10/(1-(1+'TK 拆解'!E10)^(-'TK 拆解'!E11))</f>
        <v>-0.0544683811991537</v>
      </c>
      <c r="E119" s="42" t="n">
        <f aca="false">(C119-'TK 拆解'!E46)*'TK 拆解'!E54/'TK 拆解'!E46</f>
        <v>-0.316495443453024</v>
      </c>
      <c r="F119" s="42" t="n">
        <f aca="false">0.15*9.7-'TK 拆解'!E65</f>
        <v>-0.527634813144573</v>
      </c>
      <c r="G119" s="42" t="n">
        <f aca="false">H119-D119-E119-F119</f>
        <v>-0.287812364313306</v>
      </c>
      <c r="H119" s="42" t="n">
        <f aca="false">9.7-'TK 拆解'!E66</f>
        <v>-1.18641100211006</v>
      </c>
      <c r="I119" s="44" t="n">
        <f aca="false">G119/H119</f>
        <v>0.242590774867584</v>
      </c>
    </row>
    <row r="120" customFormat="false" ht="15" hidden="false" customHeight="false" outlineLevel="0" collapsed="false">
      <c r="A120" s="27" t="s">
        <v>961</v>
      </c>
      <c r="B120" s="48" t="n">
        <f aca="false">B46</f>
        <v>29</v>
      </c>
      <c r="C120" s="48" t="n">
        <v>13</v>
      </c>
      <c r="D120" s="42" t="n">
        <f aca="false">(B120-'TK 拆解'!E39)*'TK 拆解'!E10/(1-(1+'TK 拆解'!E10)^(-'TK 拆解'!E11))</f>
        <v>-0.743290522287155</v>
      </c>
      <c r="E120" s="42" t="n">
        <f aca="false">(C120-'TK 拆解'!E46)*'TK 拆解'!E54/'TK 拆解'!E46</f>
        <v>0.0391174143593625</v>
      </c>
      <c r="F120" s="42" t="n">
        <f aca="false">0.15*9.7-'TK 拆解'!E65</f>
        <v>-0.527634813144573</v>
      </c>
      <c r="G120" s="42" t="n">
        <f aca="false">H120-D120-E120-F120</f>
        <v>0.0453969189623095</v>
      </c>
      <c r="H120" s="42" t="n">
        <f aca="false">9.7-'TK 拆解'!E66</f>
        <v>-1.18641100211006</v>
      </c>
      <c r="I120" s="44" t="n">
        <f aca="false">G120/H120</f>
        <v>-0.0382640744915297</v>
      </c>
    </row>
    <row r="121" customFormat="false" ht="15" hidden="false" customHeight="false" outlineLevel="0" collapsed="false">
      <c r="A121" s="27" t="s">
        <v>962</v>
      </c>
      <c r="B121" s="48" t="n">
        <f aca="false">B46</f>
        <v>29</v>
      </c>
      <c r="C121" s="48" t="n">
        <v>15</v>
      </c>
      <c r="D121" s="42" t="n">
        <f aca="false">(B121-'TK 拆解'!E39)*'TK 拆解'!E10/(1-(1+'TK 拆解'!E10)^(-'TK 拆解'!E11))</f>
        <v>-0.743290522287155</v>
      </c>
      <c r="E121" s="42" t="n">
        <f aca="false">(C121-'TK 拆解'!E46)*'TK 拆解'!E54/'TK 拆解'!E46</f>
        <v>0.276192652900954</v>
      </c>
      <c r="F121" s="42" t="n">
        <f aca="false">0.15*9.7-'TK 拆解'!E65</f>
        <v>-0.527634813144573</v>
      </c>
      <c r="G121" s="42" t="n">
        <f aca="false">H121-D121-E121-F121</f>
        <v>-0.191678319579282</v>
      </c>
      <c r="H121" s="42" t="n">
        <f aca="false">9.7-'TK 拆解'!E66</f>
        <v>-1.18641100211006</v>
      </c>
      <c r="I121" s="44" t="n">
        <f aca="false">G121/H121</f>
        <v>0.161561481845986</v>
      </c>
    </row>
    <row r="122" customFormat="false" ht="82.05" hidden="false" customHeight="false" outlineLevel="0" collapsed="false">
      <c r="A122" s="41" t="s">
        <v>963</v>
      </c>
    </row>
    <row r="123" customFormat="false" ht="28.35" hidden="false" customHeight="false" outlineLevel="0" collapsed="false">
      <c r="A123" s="40" t="s">
        <v>964</v>
      </c>
      <c r="B123" s="40" t="s">
        <v>965</v>
      </c>
      <c r="C123" s="40" t="s">
        <v>966</v>
      </c>
      <c r="D123" s="40" t="s">
        <v>11</v>
      </c>
    </row>
    <row r="124" customFormat="false" ht="28.35" hidden="false" customHeight="false" outlineLevel="0" collapsed="false">
      <c r="A124" s="27" t="s">
        <v>967</v>
      </c>
      <c r="B124" s="50" t="n">
        <v>0.0902251768770876</v>
      </c>
      <c r="C124" s="50" t="n">
        <v>0.0718799483496657</v>
      </c>
      <c r="D124" s="32" t="s">
        <v>968</v>
      </c>
    </row>
    <row r="125" customFormat="false" ht="28.35" hidden="false" customHeight="false" outlineLevel="0" collapsed="false">
      <c r="A125" s="27" t="s">
        <v>969</v>
      </c>
      <c r="B125" s="50" t="n">
        <v>0.101506699451234</v>
      </c>
      <c r="C125" s="50" t="n">
        <v>0.0837541071211492</v>
      </c>
      <c r="D125" s="32" t="s">
        <v>968</v>
      </c>
    </row>
    <row r="126" customFormat="false" ht="28.35" hidden="false" customHeight="false" outlineLevel="0" collapsed="false">
      <c r="A126" s="27" t="s">
        <v>970</v>
      </c>
      <c r="B126" s="50" t="n">
        <v>0.093926343332646</v>
      </c>
      <c r="C126" s="50" t="n">
        <v>0.0768570214096538</v>
      </c>
      <c r="D126" s="32" t="s">
        <v>968</v>
      </c>
    </row>
    <row r="127" customFormat="false" ht="55.2" hidden="false" customHeight="false" outlineLevel="0" collapsed="false">
      <c r="A127" s="41" t="s">
        <v>971</v>
      </c>
    </row>
    <row r="129" customFormat="false" ht="15" hidden="false" customHeight="false" outlineLevel="0" collapsed="false">
      <c r="A129" s="5" t="s">
        <v>972</v>
      </c>
      <c r="B129" s="40" t="s">
        <v>973</v>
      </c>
      <c r="C129" s="5"/>
      <c r="D129" s="40" t="s">
        <v>11</v>
      </c>
    </row>
    <row r="130" customFormat="false" ht="55.2" hidden="false" customHeight="false" outlineLevel="0" collapsed="false">
      <c r="A130" s="32" t="s">
        <v>974</v>
      </c>
      <c r="B130" s="29" t="n">
        <f aca="false">B72*4/1000/B84</f>
        <v>8.24</v>
      </c>
      <c r="D130" s="32" t="s">
        <v>975</v>
      </c>
    </row>
    <row r="131" customFormat="false" ht="28.35" hidden="false" customHeight="false" outlineLevel="0" collapsed="false">
      <c r="A131" s="32" t="s">
        <v>976</v>
      </c>
      <c r="B131" s="29" t="n">
        <f aca="false">B130*'TK 拆解'!C9</f>
        <v>9.888</v>
      </c>
      <c r="D131" s="32" t="s">
        <v>977</v>
      </c>
    </row>
    <row r="132" customFormat="false" ht="15" hidden="false" customHeight="false" outlineLevel="0" collapsed="false">
      <c r="A132" s="27" t="s">
        <v>978</v>
      </c>
      <c r="B132" s="29" t="n">
        <f aca="false">B130/'TK 拆解'!G66</f>
        <v>0.880989577285245</v>
      </c>
      <c r="C132" s="29" t="n">
        <f aca="false">B131/'TK 拆解'!G66</f>
        <v>1.05718749274229</v>
      </c>
      <c r="D132" s="27"/>
    </row>
    <row r="133" customFormat="false" ht="68.65" hidden="false" customHeight="false" outlineLevel="0" collapsed="false">
      <c r="A133" s="32" t="s">
        <v>979</v>
      </c>
      <c r="B133" s="50" t="n">
        <f aca="false">0.05+(B130-'TK 拆解'!G80)/('TK 拆解'!G81-'TK 拆解'!G80)*0.03</f>
        <v>0.0583417039461151</v>
      </c>
      <c r="D133" s="32" t="s">
        <v>980</v>
      </c>
    </row>
    <row r="134" customFormat="false" ht="28.35" hidden="false" customHeight="false" outlineLevel="0" collapsed="false">
      <c r="A134" s="32" t="s">
        <v>981</v>
      </c>
      <c r="B134" s="50" t="n">
        <f aca="false">0.1+(B131-'TK 拆解'!G82)/('TK 拆解'!G83-'TK 拆解'!G82)*0.03</f>
        <v>0.118748417688062</v>
      </c>
      <c r="D134" s="32" t="s">
        <v>982</v>
      </c>
    </row>
    <row r="135" customFormat="false" ht="15" hidden="false" customHeight="false" outlineLevel="0" collapsed="false">
      <c r="A135" s="32" t="s">
        <v>983</v>
      </c>
      <c r="B135" s="46" t="n">
        <f aca="false">B72-B73-B74</f>
        <v>189</v>
      </c>
      <c r="D135" s="27" t="s">
        <v>45</v>
      </c>
    </row>
    <row r="136" customFormat="false" ht="41.75" hidden="false" customHeight="false" outlineLevel="0" collapsed="false">
      <c r="A136" s="32" t="s">
        <v>984</v>
      </c>
      <c r="B136" s="46" t="n">
        <f aca="false">B135+49</f>
        <v>238</v>
      </c>
      <c r="C136" s="50" t="n">
        <f aca="false">B136/B72</f>
        <v>0.0924271844660194</v>
      </c>
      <c r="D136" s="27" t="s">
        <v>985</v>
      </c>
    </row>
    <row r="137" customFormat="false" ht="28.35" hidden="false" customHeight="false" outlineLevel="0" collapsed="false">
      <c r="A137" s="32" t="s">
        <v>986</v>
      </c>
      <c r="B137" s="44" t="n">
        <f aca="false">640/B72</f>
        <v>0.248543689320388</v>
      </c>
      <c r="D137" s="32" t="s">
        <v>987</v>
      </c>
    </row>
    <row r="138" customFormat="false" ht="122.35" hidden="false" customHeight="false" outlineLevel="0" collapsed="false">
      <c r="A138" s="41" t="s">
        <v>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2026-10-23T05:41:41Z</dcterms:created>
  <dc:creator>openpyxl</dc:creator>
  <dc:description/>
  <dc:language>en-US</dc:language>
  <cp:lastModifiedBy/>
  <dcterms:modified xsi:type="dcterms:W3CDTF">2026-10-23T06:17:04Z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