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逐列建議" sheetId="2" state="visible" r:id="rId2"/>
    <sheet xmlns:r="http://schemas.openxmlformats.org/officeDocument/2006/relationships" name="2_升級名稱" sheetId="3" state="visible" r:id="rId3"/>
    <sheet xmlns:r="http://schemas.openxmlformats.org/officeDocument/2006/relationships" name="3_需Andy判斷" sheetId="4" state="visible" r:id="rId4"/>
    <sheet xmlns:r="http://schemas.openxmlformats.org/officeDocument/2006/relationships" name="4_接進Checks" sheetId="5" state="visible" r:id="rId5"/>
    <sheet xmlns:r="http://schemas.openxmlformats.org/officeDocument/2006/relationships" name="5_鏡像頁同列" sheetId="6" state="visible" r:id="rId6"/>
  </sheets>
  <definedNames>
    <definedName name="_xlnm._FilterDatabase" localSheetId="1" hidden="1">'1_逐列建議'!$A$2:$P$279</definedName>
    <definedName name="_xlnm._FilterDatabase" localSheetId="2" hidden="1">'2_升級名稱'!$A$2:$L$17</definedName>
    <definedName name="_xlnm._FilterDatabase" localSheetId="3" hidden="1">'3_需Andy判斷'!$A$1:$I$36</definedName>
    <definedName name="_xlnm._FilterDatabase" localSheetId="4" hidden="1">'4_接進Checks'!$A$1:$G$8</definedName>
    <definedName name="_xlnm._FilterDatabase" localSheetId="5" hidden="1">'5_鏡像頁同列'!$A$2:$F$2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4-3 A 段｜v13.1（20261017_Tokenomics_v13.1.xlsx）B 級死格逐列建議（唯讀；全簿公式格 51,610；死格 3,604，其中已標用途 1,239、無『用途』標記的 B 級 2,365＝fixture 基準名單）</t>
        </is>
      </c>
    </row>
    <row r="3">
      <c r="A3" s="2" t="inlineStr">
        <is>
          <t>處置</t>
        </is>
      </c>
      <c r="B3" s="2" t="inlineStr">
        <is>
          <t>列數</t>
        </is>
      </c>
      <c r="C3" s="2" t="inlineStr">
        <is>
          <t>格數</t>
        </is>
      </c>
      <c r="D3" s="2" t="inlineStr">
        <is>
          <t>其中需 Andy 判斷（列）</t>
        </is>
      </c>
      <c r="E3" s="2" t="inlineStr">
        <is>
          <t>需 Andy 判斷（格）</t>
        </is>
      </c>
    </row>
    <row r="4">
      <c r="A4" t="inlineStr">
        <is>
          <t>保留：顯示用</t>
        </is>
      </c>
      <c r="B4" t="n">
        <v>155</v>
      </c>
      <c r="C4" t="n">
        <v>1540</v>
      </c>
      <c r="D4" t="n">
        <v>0</v>
      </c>
      <c r="E4" t="n">
        <v>0</v>
      </c>
    </row>
    <row r="5">
      <c r="A5" t="inlineStr">
        <is>
          <t>刪除</t>
        </is>
      </c>
      <c r="B5" t="n">
        <v>72</v>
      </c>
      <c r="C5" t="n">
        <v>509</v>
      </c>
      <c r="D5" t="n">
        <v>19</v>
      </c>
      <c r="E5" t="n">
        <v>78</v>
      </c>
    </row>
    <row r="6">
      <c r="A6" t="inlineStr">
        <is>
          <t>升級</t>
        </is>
      </c>
      <c r="B6" t="n">
        <v>15</v>
      </c>
      <c r="C6" t="n">
        <v>125</v>
      </c>
      <c r="D6" t="n">
        <v>15</v>
      </c>
      <c r="E6" t="n">
        <v>125</v>
      </c>
    </row>
    <row r="7">
      <c r="A7" t="inlineStr">
        <is>
          <t>接進 Checks</t>
        </is>
      </c>
      <c r="B7" t="n">
        <v>7</v>
      </c>
      <c r="C7" t="n">
        <v>45</v>
      </c>
      <c r="D7" t="n">
        <v>0</v>
      </c>
      <c r="E7" t="n">
        <v>0</v>
      </c>
    </row>
    <row r="8">
      <c r="A8" t="inlineStr">
        <is>
          <t>升級（隨附上游）</t>
        </is>
      </c>
      <c r="B8" t="n">
        <v>27</v>
      </c>
      <c r="C8" t="n">
        <v>141</v>
      </c>
      <c r="D8" t="n">
        <v>0</v>
      </c>
      <c r="E8" t="n">
        <v>0</v>
      </c>
    </row>
    <row r="9">
      <c r="A9" t="inlineStr">
        <is>
          <t>需 Andy 判斷</t>
        </is>
      </c>
      <c r="B9" t="n">
        <v>1</v>
      </c>
      <c r="C9" t="n">
        <v>5</v>
      </c>
      <c r="D9" t="n">
        <v>1</v>
      </c>
      <c r="E9" t="n">
        <v>5</v>
      </c>
    </row>
    <row r="10">
      <c r="A10" t="inlineStr">
        <is>
          <t>合計</t>
        </is>
      </c>
      <c r="B10" t="n">
        <v>277</v>
      </c>
      <c r="C10" t="n">
        <v>2365</v>
      </c>
      <c r="D10" t="n">
        <v>35</v>
      </c>
      <c r="E10" t="n">
        <v>208</v>
      </c>
    </row>
    <row r="12">
      <c r="A12" s="1" t="inlineStr">
        <is>
          <t>依頁與處置（格數）</t>
        </is>
      </c>
    </row>
    <row r="13">
      <c r="A13" s="2" t="inlineStr">
        <is>
          <t>頁</t>
        </is>
      </c>
      <c r="B13" s="2" t="inlineStr">
        <is>
          <t>保留：顯示用</t>
        </is>
      </c>
      <c r="C13" s="2" t="inlineStr">
        <is>
          <t>刪除</t>
        </is>
      </c>
      <c r="D13" s="2" t="inlineStr">
        <is>
          <t>升級</t>
        </is>
      </c>
      <c r="E13" s="2" t="inlineStr">
        <is>
          <t>接進 Checks</t>
        </is>
      </c>
      <c r="F13" s="2" t="inlineStr">
        <is>
          <t>升級（隨附上游）</t>
        </is>
      </c>
      <c r="G13" s="2" t="inlineStr">
        <is>
          <t>需 Andy 判斷</t>
        </is>
      </c>
      <c r="H13" s="2" t="inlineStr">
        <is>
          <t>合計</t>
        </is>
      </c>
    </row>
    <row r="14">
      <c r="A14" t="inlineStr">
        <is>
          <t>Perf_Batch</t>
        </is>
      </c>
      <c r="B14" t="n">
        <v>546</v>
      </c>
      <c r="C14" t="n">
        <v>0</v>
      </c>
      <c r="D14" t="n">
        <v>0</v>
      </c>
      <c r="E14" t="n">
        <v>17</v>
      </c>
      <c r="F14" t="n">
        <v>0</v>
      </c>
      <c r="G14" t="n">
        <v>0</v>
      </c>
      <c r="H14" t="n">
        <v>563</v>
      </c>
    </row>
    <row r="15">
      <c r="A15" t="inlineStr">
        <is>
          <t>Theory_Rev</t>
        </is>
      </c>
      <c r="B15" t="n">
        <v>313</v>
      </c>
      <c r="C15" t="n">
        <v>105</v>
      </c>
      <c r="D15" t="n">
        <v>45</v>
      </c>
      <c r="E15" t="n">
        <v>0</v>
      </c>
      <c r="F15" t="n">
        <v>0</v>
      </c>
      <c r="G15" t="n">
        <v>0</v>
      </c>
      <c r="H15" t="n">
        <v>463</v>
      </c>
    </row>
    <row r="16">
      <c r="A16" t="inlineStr">
        <is>
          <t>Training</t>
        </is>
      </c>
      <c r="B16" t="n">
        <v>195</v>
      </c>
      <c r="C16" t="n">
        <v>60</v>
      </c>
      <c r="D16" t="n">
        <v>30</v>
      </c>
      <c r="E16" t="n">
        <v>0</v>
      </c>
      <c r="F16" t="n">
        <v>60</v>
      </c>
      <c r="G16" t="n">
        <v>0</v>
      </c>
      <c r="H16" t="n">
        <v>345</v>
      </c>
    </row>
    <row r="17">
      <c r="A17" t="inlineStr">
        <is>
          <t>Harness</t>
        </is>
      </c>
      <c r="B17" t="n">
        <v>90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  <c r="H17" t="n">
        <v>215</v>
      </c>
    </row>
    <row r="18">
      <c r="A18" t="inlineStr">
        <is>
          <t>Cap_In</t>
        </is>
      </c>
      <c r="B18" t="n">
        <v>68</v>
      </c>
      <c r="C18" t="n">
        <v>16</v>
      </c>
      <c r="D18" t="n">
        <v>30</v>
      </c>
      <c r="E18" t="n">
        <v>11</v>
      </c>
      <c r="F18" t="n">
        <v>81</v>
      </c>
      <c r="G18" t="n">
        <v>0</v>
      </c>
      <c r="H18" t="n">
        <v>206</v>
      </c>
    </row>
    <row r="19">
      <c r="A19" t="inlineStr">
        <is>
          <t>Perf</t>
        </is>
      </c>
      <c r="B19" t="n">
        <v>75</v>
      </c>
      <c r="C19" t="n">
        <v>0</v>
      </c>
      <c r="D19" t="n">
        <v>0</v>
      </c>
      <c r="E19" t="n">
        <v>15</v>
      </c>
      <c r="F19" t="n">
        <v>0</v>
      </c>
      <c r="G19" t="n">
        <v>0</v>
      </c>
      <c r="H19" t="n">
        <v>90</v>
      </c>
    </row>
    <row r="20">
      <c r="A20" t="inlineStr">
        <is>
          <t>DC_Cost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</v>
      </c>
    </row>
    <row r="21">
      <c r="A21" t="inlineStr">
        <is>
          <t>Cache_Store</t>
        </is>
      </c>
      <c r="B21" t="n">
        <v>0</v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90</v>
      </c>
    </row>
    <row r="22">
      <c r="A22" t="inlineStr">
        <is>
          <t>Amortize</t>
        </is>
      </c>
      <c r="B22" t="n">
        <v>75</v>
      </c>
      <c r="C22" t="n">
        <v>0</v>
      </c>
      <c r="D22" t="n">
        <v>15</v>
      </c>
      <c r="E22" t="n">
        <v>0</v>
      </c>
      <c r="F22" t="n">
        <v>0</v>
      </c>
      <c r="G22" t="n">
        <v>0</v>
      </c>
      <c r="H22" t="n">
        <v>90</v>
      </c>
    </row>
    <row r="23">
      <c r="A23" t="inlineStr">
        <is>
          <t>Workload</t>
        </is>
      </c>
      <c r="B23" t="n">
        <v>0</v>
      </c>
      <c r="C23" t="n">
        <v>50</v>
      </c>
      <c r="D23" t="n">
        <v>5</v>
      </c>
      <c r="E23" t="n">
        <v>0</v>
      </c>
      <c r="F23" t="n">
        <v>0</v>
      </c>
      <c r="G23" t="n">
        <v>0</v>
      </c>
      <c r="H23" t="n">
        <v>55</v>
      </c>
    </row>
    <row r="24">
      <c r="A24" t="inlineStr">
        <is>
          <t>Unit_Cost</t>
        </is>
      </c>
      <c r="B24" t="n">
        <v>0</v>
      </c>
      <c r="C24" t="n">
        <v>45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</row>
    <row r="25">
      <c r="A25" t="inlineStr">
        <is>
          <t>Fleet_1GW</t>
        </is>
      </c>
      <c r="B25" t="n">
        <v>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</v>
      </c>
    </row>
    <row r="26">
      <c r="A26" t="inlineStr">
        <is>
          <t>Price_Frontier</t>
        </is>
      </c>
      <c r="B26" t="n">
        <v>15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21</v>
      </c>
    </row>
    <row r="27">
      <c r="A27" t="inlineStr">
        <is>
          <t>Har_In</t>
        </is>
      </c>
      <c r="B27" t="n">
        <v>8</v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13</v>
      </c>
    </row>
    <row r="28">
      <c r="A28" t="inlineStr">
        <is>
          <t>Spec_Rack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</row>
    <row r="29">
      <c r="A29" t="inlineStr">
        <is>
          <t>Arch</t>
        </is>
      </c>
      <c r="B29" t="n">
        <v>2</v>
      </c>
      <c r="C29" t="n">
        <v>6</v>
      </c>
      <c r="D29" t="n">
        <v>0</v>
      </c>
      <c r="E29" t="n">
        <v>0</v>
      </c>
      <c r="F29" t="n">
        <v>0</v>
      </c>
      <c r="G29" t="n">
        <v>0</v>
      </c>
      <c r="H29" t="n">
        <v>8</v>
      </c>
    </row>
    <row r="30">
      <c r="A30" t="inlineStr">
        <is>
          <t>Serving</t>
        </is>
      </c>
      <c r="B30" t="n">
        <v>0</v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</row>
    <row r="31">
      <c r="A31" t="inlineStr">
        <is>
          <t>L1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</row>
    <row r="32">
      <c r="A32" t="inlineStr">
        <is>
          <t>Train_In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</row>
    <row r="33">
      <c r="A33" t="inlineStr">
        <is>
          <t>Alloc_In</t>
        </is>
      </c>
      <c r="B33" t="n">
        <v>0</v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2</v>
      </c>
    </row>
    <row r="34">
      <c r="A34" t="inlineStr">
        <is>
          <t>Tech_Registry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6">
      <c r="A36" s="1" t="inlineStr">
        <is>
          <t>4-0 規則編號（依 v13.1 重判）</t>
        </is>
      </c>
    </row>
    <row r="37">
      <c r="A37" s="2" t="inlineStr">
        <is>
          <t>規則</t>
        </is>
      </c>
      <c r="B37" s="2" t="inlineStr">
        <is>
          <t>列數</t>
        </is>
      </c>
      <c r="C37" s="2" t="inlineStr">
        <is>
          <t>格數</t>
        </is>
      </c>
    </row>
    <row r="38">
      <c r="A38" t="inlineStr">
        <is>
          <t>R04</t>
        </is>
      </c>
      <c r="B38" t="n">
        <v>1</v>
      </c>
      <c r="C38" t="n">
        <v>2</v>
      </c>
    </row>
    <row r="39">
      <c r="A39" t="inlineStr">
        <is>
          <t>R07</t>
        </is>
      </c>
      <c r="B39" t="n">
        <v>5</v>
      </c>
      <c r="C39" t="n">
        <v>5</v>
      </c>
    </row>
    <row r="40">
      <c r="A40" t="inlineStr">
        <is>
          <t>R12</t>
        </is>
      </c>
      <c r="B40" t="n">
        <v>1</v>
      </c>
      <c r="C40" t="n">
        <v>5</v>
      </c>
    </row>
    <row r="41">
      <c r="A41" t="inlineStr">
        <is>
          <t>R16</t>
        </is>
      </c>
      <c r="B41" t="n">
        <v>62</v>
      </c>
      <c r="C41" t="n">
        <v>198</v>
      </c>
    </row>
    <row r="42">
      <c r="A42" t="inlineStr">
        <is>
          <t>R21</t>
        </is>
      </c>
      <c r="B42" t="n">
        <v>10</v>
      </c>
      <c r="C42" t="n">
        <v>36</v>
      </c>
    </row>
    <row r="43">
      <c r="A43" t="inlineStr">
        <is>
          <t>R22a</t>
        </is>
      </c>
      <c r="B43" t="n">
        <v>130</v>
      </c>
      <c r="C43" t="n">
        <v>1398</v>
      </c>
    </row>
    <row r="44">
      <c r="A44" t="inlineStr">
        <is>
          <t>R22b</t>
        </is>
      </c>
      <c r="B44" t="n">
        <v>68</v>
      </c>
      <c r="C44" t="n">
        <v>721</v>
      </c>
    </row>
    <row r="46">
      <c r="A46" t="inlineStr">
        <is>
          <t>預估 B 段完成後公式格總數：51,610 − 刪除 509 ＝ 51,101（若連同鏡像頁同列複本格一併清除，再減 0 ＝ 51,101）</t>
        </is>
      </c>
    </row>
    <row r="47">
      <c r="A47" t="inlineStr">
        <is>
          <t>預估 B 段後死格：3,604 − 刪除 509 − 升級／隨附／接進 Checks 後成為核心 311 ＝ 2,784（保留顯示用的格仍為死格，但補『用途』標記後不再是『無標記』）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0" customWidth="1" min="3" max="3"/>
    <col width="12" customWidth="1" min="4" max="4"/>
    <col width="7" customWidth="1" min="5" max="5"/>
    <col width="12" customWidth="1" min="6" max="6"/>
    <col width="8" customWidth="1" min="7" max="7"/>
    <col width="16" customWidth="1" min="8" max="8"/>
    <col width="10" customWidth="1" min="9" max="9"/>
    <col width="24" customWidth="1" min="10" max="10"/>
    <col width="80" customWidth="1" min="11" max="11"/>
    <col width="10" customWidth="1" min="12" max="12"/>
    <col width="50" customWidth="1" min="13" max="13"/>
    <col width="30" customWidth="1" min="14" max="14"/>
    <col width="18" customWidth="1" min="15" max="15"/>
    <col width="10" customWidth="1" min="16" max="16"/>
  </cols>
  <sheetData>
    <row r="1" ht="60" customHeight="1">
      <c r="A1" s="3" t="inlineStr">
        <is>
          <t>每列＝v13.1 一個 B 級死格列（同列內各欄合併）。處置四選一（升級／保留：顯示用／接進 Checks／刪除），不確定者標『需 Andy 判斷』；『升級（隨附上游）』＝本身不新增名稱，但因下游列升級而成為核心。問題編號對應工作單『已知問題清單』1–11，— 表示不回答任何一題。</t>
        </is>
      </c>
    </row>
    <row r="2">
      <c r="A2" s="4" t="inlineStr">
        <is>
          <t>頁</t>
        </is>
      </c>
      <c r="B2" s="4" t="inlineStr">
        <is>
          <t>列</t>
        </is>
      </c>
      <c r="C2" s="4" t="inlineStr">
        <is>
          <t>標籤</t>
        </is>
      </c>
      <c r="D2" s="4" t="inlineStr">
        <is>
          <t>代表值</t>
        </is>
      </c>
      <c r="E2" s="4" t="inlineStr">
        <is>
          <t>格數</t>
        </is>
      </c>
      <c r="F2" s="4" t="inlineStr">
        <is>
          <t>格範圍</t>
        </is>
      </c>
      <c r="G2" s="4" t="inlineStr">
        <is>
          <t>4-0 規則</t>
        </is>
      </c>
      <c r="H2" s="4" t="inlineStr">
        <is>
          <t>處置</t>
        </is>
      </c>
      <c r="I2" s="4" t="inlineStr">
        <is>
          <t>回答的問題（編號）</t>
        </is>
      </c>
      <c r="J2" s="4" t="inlineStr">
        <is>
          <t>建議名稱（升級時）</t>
        </is>
      </c>
      <c r="K2" s="4" t="inlineStr">
        <is>
          <t>理由</t>
        </is>
      </c>
      <c r="L2" s="4" t="inlineStr">
        <is>
          <t>是否需 Andy 判斷</t>
        </is>
      </c>
      <c r="M2" s="4" t="inlineStr">
        <is>
          <t>代表公式</t>
        </is>
      </c>
      <c r="N2" s="4" t="inlineStr">
        <is>
          <t>文件引用（檔名）</t>
        </is>
      </c>
      <c r="O2" s="4" t="inlineStr">
        <is>
          <t>鏡像頁同列公式格</t>
        </is>
      </c>
      <c r="P2" s="4" t="inlineStr">
        <is>
          <t>承重頁（Load_Bearing）</t>
        </is>
      </c>
    </row>
    <row r="3">
      <c r="A3" s="3" t="inlineStr">
        <is>
          <t>Spec_Rack</t>
        </is>
      </c>
      <c r="B3" s="3" t="n">
        <v>28</v>
      </c>
      <c r="C3" s="3" t="inlineStr">
        <is>
          <t>Scale-up 域 GPU 數</t>
        </is>
      </c>
      <c r="D3" s="3" t="inlineStr">
        <is>
          <t>8</t>
        </is>
      </c>
      <c r="E3" s="3" t="n">
        <v>5</v>
      </c>
      <c r="F3" s="3" t="inlineStr">
        <is>
          <t>C28:G28</t>
        </is>
      </c>
      <c r="G3" s="3" t="inlineStr">
        <is>
          <t>R22b</t>
        </is>
      </c>
      <c r="H3" s="3" t="inlineStr">
        <is>
          <t>保留：顯示用</t>
        </is>
      </c>
      <c r="I3" s="3" t="inlineStr">
        <is>
          <t>—</t>
        </is>
      </c>
      <c r="J3" s="3" t="inlineStr"/>
      <c r="K3" s="3" t="inlineStr">
        <is>
          <t>規格表列（Scale-up 域 GPU 數＝SRC_HW_053，Gov_Map 登錄）；刪除會讓 Gov_Map 登錄落空（原則 4 治理材料不刪）。補『用途』標記。</t>
        </is>
      </c>
      <c r="L3" s="3" t="inlineStr">
        <is>
          <t>否</t>
        </is>
      </c>
      <c r="M3" s="3">
        <f>SRC_HW_053</f>
        <v/>
      </c>
      <c r="N3" s="3" t="inlineStr">
        <is>
          <t>Tokenomics_builder_v5.md</t>
        </is>
      </c>
      <c r="O3" s="3" t="inlineStr"/>
      <c r="P3" s="3" t="inlineStr">
        <is>
          <t>是</t>
        </is>
      </c>
    </row>
    <row r="4">
      <c r="A4" s="3" t="inlineStr">
        <is>
          <t>Spec_Rack</t>
        </is>
      </c>
      <c r="B4" s="3" t="n">
        <v>36</v>
      </c>
      <c r="C4" s="3" t="inlineStr">
        <is>
          <t>Ridge point（FLOP/byte）</t>
        </is>
      </c>
      <c r="D4" s="3" t="inlineStr">
        <is>
          <t>590.746269</t>
        </is>
      </c>
      <c r="E4" s="3" t="n">
        <v>5</v>
      </c>
      <c r="F4" s="3" t="inlineStr">
        <is>
          <t>C36:G36</t>
        </is>
      </c>
      <c r="G4" s="3" t="inlineStr">
        <is>
          <t>R22a</t>
        </is>
      </c>
      <c r="H4" s="3" t="inlineStr">
        <is>
          <t>保留：顯示用</t>
        </is>
      </c>
      <c r="I4" s="3" t="inlineStr">
        <is>
          <t>—</t>
        </is>
      </c>
      <c r="J4" s="3" t="inlineStr"/>
      <c r="K4" s="3" t="inlineStr">
        <is>
          <t>roofline 推導鏈的讀數（ridge point＝峰值÷頻寬；建模精神 1a 要求露出推導鏈）；同表其他列是核心格。</t>
        </is>
      </c>
      <c r="L4" s="3" t="inlineStr">
        <is>
          <t>否</t>
        </is>
      </c>
      <c r="M4" s="3">
        <f>C35*1000/C26</f>
        <v/>
      </c>
      <c r="N4" s="3" t="inlineStr"/>
      <c r="O4" s="3" t="inlineStr"/>
      <c r="P4" s="3" t="inlineStr">
        <is>
          <t>是</t>
        </is>
      </c>
    </row>
    <row r="5">
      <c r="A5" s="3" t="inlineStr">
        <is>
          <t>Arch</t>
        </is>
      </c>
      <c r="B5" s="3" t="n">
        <v>15</v>
      </c>
      <c r="C5" s="3" t="inlineStr">
        <is>
          <t>vocab</t>
        </is>
      </c>
      <c r="D5" s="3" t="inlineStr">
        <is>
          <t>129280</t>
        </is>
      </c>
      <c r="E5" s="3" t="n">
        <v>2</v>
      </c>
      <c r="F5" s="3" t="inlineStr">
        <is>
          <t>C15:D15</t>
        </is>
      </c>
      <c r="G5" s="3" t="inlineStr">
        <is>
          <t>R22b</t>
        </is>
      </c>
      <c r="H5" s="3" t="inlineStr">
        <is>
          <t>保留：顯示用</t>
        </is>
      </c>
      <c r="I5" s="3" t="inlineStr">
        <is>
          <t>—</t>
        </is>
      </c>
      <c r="J5" s="3" t="inlineStr"/>
      <c r="K5" s="3" t="inlineStr">
        <is>
          <t>架構規格列（vocab＝SRC_MOD_014，Gov_Map 登錄）；刪除會讓 Gov_Map 登錄落空。補『用途』標記。</t>
        </is>
      </c>
      <c r="L5" s="3" t="inlineStr">
        <is>
          <t>否</t>
        </is>
      </c>
      <c r="M5" s="3">
        <f>SRC_MOD_014</f>
        <v/>
      </c>
      <c r="N5" s="3" t="inlineStr">
        <is>
          <t>Tokenomics_builder_v5.md</t>
        </is>
      </c>
      <c r="O5" s="3" t="inlineStr"/>
      <c r="P5" s="3" t="inlineStr">
        <is>
          <t>是</t>
        </is>
      </c>
    </row>
    <row r="6">
      <c r="A6" s="3" t="inlineStr">
        <is>
          <t>Arch</t>
        </is>
      </c>
      <c r="B6" s="3" t="n">
        <v>26</v>
      </c>
      <c r="C6" s="3" t="inlineStr">
        <is>
          <t>Embedding＋LM head 參數</t>
        </is>
      </c>
      <c r="D6" s="3" t="inlineStr">
        <is>
          <t>1.059062</t>
        </is>
      </c>
      <c r="E6" s="3" t="n">
        <v>3</v>
      </c>
      <c r="F6" s="3" t="inlineStr">
        <is>
          <t>C26:E26</t>
        </is>
      </c>
      <c r="G6" s="3" t="inlineStr">
        <is>
          <t>R22a</t>
        </is>
      </c>
      <c r="H6" s="3" t="inlineStr">
        <is>
          <t>刪除</t>
        </is>
      </c>
      <c r="I6" s="3" t="inlineStr">
        <is>
          <t>—</t>
        </is>
      </c>
      <c r="J6" s="3" t="inlineStr"/>
      <c r="K6" s="3" t="inlineStr">
        <is>
          <t>Embedding＋LM head 參數：只由 vocab 推出、無任何下游、不回答任何一題；非專家參數另由第 28 列推導。Arch 為承重頁，刪除需 Andy 確認。</t>
        </is>
      </c>
      <c r="L6" s="3" t="inlineStr">
        <is>
          <t>是</t>
        </is>
      </c>
      <c r="M6" s="3">
        <f>C15*C9*2/1000000000</f>
        <v/>
      </c>
      <c r="N6" s="3" t="inlineStr"/>
      <c r="O6" s="3" t="inlineStr"/>
      <c r="P6" s="3" t="inlineStr">
        <is>
          <t>是</t>
        </is>
      </c>
    </row>
    <row r="7">
      <c r="A7" s="3" t="inlineStr">
        <is>
          <t>Arch</t>
        </is>
      </c>
      <c r="B7" s="3" t="n">
        <v>31</v>
      </c>
      <c r="C7" s="3" t="inlineStr">
        <is>
          <t>128K 上下文每序列 KV</t>
        </is>
      </c>
      <c r="D7" s="3" t="inlineStr">
        <is>
          <t>0.35776</t>
        </is>
      </c>
      <c r="E7" s="3" t="n">
        <v>3</v>
      </c>
      <c r="F7" s="3" t="inlineStr">
        <is>
          <t>C31:E31</t>
        </is>
      </c>
      <c r="G7" s="3" t="inlineStr">
        <is>
          <t>R22a</t>
        </is>
      </c>
      <c r="H7" s="3" t="inlineStr">
        <is>
          <t>刪除</t>
        </is>
      </c>
      <c r="I7" s="3" t="inlineStr">
        <is>
          <t>—</t>
        </is>
      </c>
      <c r="J7" s="3" t="inlineStr"/>
      <c r="K7" s="3" t="inlineStr">
        <is>
          <t>128K 上下文每序列 KV：衍生診斷，無下游；Perf 用 KV bytes/token 自行乘上下文長度（單一定義在 Perf）。Arch 為承重頁，需 Andy 確認。</t>
        </is>
      </c>
      <c r="L7" s="3" t="inlineStr">
        <is>
          <t>是</t>
        </is>
      </c>
      <c r="M7" s="3">
        <f>C25*CST_CtxKV/1000000000</f>
        <v/>
      </c>
      <c r="N7" s="3" t="inlineStr"/>
      <c r="O7" s="3" t="inlineStr"/>
      <c r="P7" s="3" t="inlineStr">
        <is>
          <t>是</t>
        </is>
      </c>
    </row>
    <row r="8">
      <c r="A8" s="3" t="inlineStr">
        <is>
          <t>Serving</t>
        </is>
      </c>
      <c r="B8" s="3" t="n">
        <v>25</v>
      </c>
      <c r="C8" s="3" t="inlineStr">
        <is>
          <t>decode 平均上下文</t>
        </is>
      </c>
      <c r="D8" s="3" t="inlineStr">
        <is>
          <t>8704</t>
        </is>
      </c>
      <c r="E8" s="3" t="n">
        <v>3</v>
      </c>
      <c r="F8" s="3" t="inlineStr">
        <is>
          <t>C25:E25</t>
        </is>
      </c>
      <c r="G8" s="3" t="inlineStr">
        <is>
          <t>R22a</t>
        </is>
      </c>
      <c r="H8" s="3" t="inlineStr">
        <is>
          <t>刪除</t>
        </is>
      </c>
      <c r="I8" s="3" t="inlineStr">
        <is>
          <t>—</t>
        </is>
      </c>
      <c r="J8" s="3" t="inlineStr"/>
      <c r="K8" s="3" t="inlineStr">
        <is>
          <t>decode 平均上下文＝ISL＋OSL/2：與 Perf 第 45 列同式（Perf 才是被取用者）；原則 1 同一定義只存一處。Serving 為承重頁，需 Andy 確認。</t>
        </is>
      </c>
      <c r="L8" s="3" t="inlineStr">
        <is>
          <t>是</t>
        </is>
      </c>
      <c r="M8" s="3">
        <f>C23+C24/2</f>
        <v/>
      </c>
      <c r="N8" s="3" t="inlineStr"/>
      <c r="O8" s="3" t="inlineStr"/>
      <c r="P8" s="3" t="inlineStr">
        <is>
          <t>是</t>
        </is>
      </c>
    </row>
    <row r="9">
      <c r="A9" s="3" t="inlineStr">
        <is>
          <t>Serving</t>
        </is>
      </c>
      <c r="B9" s="3" t="n">
        <v>26</v>
      </c>
      <c r="C9" s="3" t="inlineStr">
        <is>
          <t>prefill 平均位置</t>
        </is>
      </c>
      <c r="D9" s="3" t="inlineStr">
        <is>
          <t>4096</t>
        </is>
      </c>
      <c r="E9" s="3" t="n">
        <v>3</v>
      </c>
      <c r="F9" s="3" t="inlineStr">
        <is>
          <t>C26:E26</t>
        </is>
      </c>
      <c r="G9" s="3" t="inlineStr">
        <is>
          <t>R22a</t>
        </is>
      </c>
      <c r="H9" s="3" t="inlineStr">
        <is>
          <t>刪除</t>
        </is>
      </c>
      <c r="I9" s="3" t="inlineStr">
        <is>
          <t>—</t>
        </is>
      </c>
      <c r="J9" s="3" t="inlineStr"/>
      <c r="K9" s="3" t="inlineStr">
        <is>
          <t>prefill 平均位置＝ISL/2：與 Perf 第 46 列同式。同上。</t>
        </is>
      </c>
      <c r="L9" s="3" t="inlineStr">
        <is>
          <t>是</t>
        </is>
      </c>
      <c r="M9" s="3">
        <f>C23/2</f>
        <v/>
      </c>
      <c r="N9" s="3" t="inlineStr"/>
      <c r="O9" s="3" t="inlineStr"/>
      <c r="P9" s="3" t="inlineStr">
        <is>
          <t>是</t>
        </is>
      </c>
    </row>
    <row r="10">
      <c r="A10" s="3" t="inlineStr">
        <is>
          <t>Workload</t>
        </is>
      </c>
      <c r="B10" s="3" t="n">
        <v>17</v>
      </c>
      <c r="C10" s="3" t="inlineStr">
        <is>
          <t>harness 混合權重 w（Tech_Registry T12 開關 × 採用比例）</t>
        </is>
      </c>
      <c r="D10" s="3" t="inlineStr">
        <is>
          <t>0</t>
        </is>
      </c>
      <c r="E10" s="3" t="n">
        <v>5</v>
      </c>
      <c r="F10" s="3" t="inlineStr">
        <is>
          <t>C17:G17</t>
        </is>
      </c>
      <c r="G10" s="3" t="inlineStr">
        <is>
          <t>R22a</t>
        </is>
      </c>
      <c r="H10" s="3" t="inlineStr">
        <is>
          <t>刪除</t>
        </is>
      </c>
      <c r="I10" s="3" t="inlineStr">
        <is>
          <t>—</t>
        </is>
      </c>
      <c r="J10" s="3" t="inlineStr"/>
      <c r="K10" s="3" t="inlineStr">
        <is>
          <t>harness 混合權重 w 的顯示複本（＝B5_W＝IF_HarW 已具名輸出）；原則 1。Workload 為承重頁，需 Andy 確認。</t>
        </is>
      </c>
      <c r="L10" s="3" t="inlineStr">
        <is>
          <t>是</t>
        </is>
      </c>
      <c r="M10" s="3">
        <f>B5_W</f>
        <v/>
      </c>
      <c r="N10" s="3" t="inlineStr"/>
      <c r="O10" s="3" t="inlineStr"/>
      <c r="P10" s="3" t="inlineStr">
        <is>
          <t>是</t>
        </is>
      </c>
    </row>
    <row r="11">
      <c r="A11" s="3" t="inlineStr">
        <is>
          <t>Workload</t>
        </is>
      </c>
      <c r="B11" s="3" t="n">
        <v>36</v>
      </c>
      <c r="C11" s="3" t="inlineStr">
        <is>
          <t>decode 平均上下文</t>
        </is>
      </c>
      <c r="D11" s="3" t="inlineStr">
        <is>
          <t>2750</t>
        </is>
      </c>
      <c r="E11" s="3" t="n">
        <v>5</v>
      </c>
      <c r="F11" s="3" t="inlineStr">
        <is>
          <t>C36:G36</t>
        </is>
      </c>
      <c r="G11" s="3" t="inlineStr">
        <is>
          <t>R22a</t>
        </is>
      </c>
      <c r="H11" s="3" t="inlineStr">
        <is>
          <t>刪除</t>
        </is>
      </c>
      <c r="I11" s="3" t="inlineStr">
        <is>
          <t>—</t>
        </is>
      </c>
      <c r="J11" s="3" t="inlineStr"/>
      <c r="K11" s="3" t="inlineStr">
        <is>
          <t>任務 decode 平均上下文：無下游，Perf 不讀 Workload 的上下文；不回答任何一題。需 Andy 確認（承重頁）。</t>
        </is>
      </c>
      <c r="L11" s="3" t="inlineStr">
        <is>
          <t>是</t>
        </is>
      </c>
      <c r="M11" s="3">
        <f>C6+C7+(C18-1)/2*C23*C26+(C19+C9)/2</f>
        <v/>
      </c>
      <c r="N11" s="3" t="inlineStr"/>
      <c r="O11" s="3" t="inlineStr"/>
      <c r="P11" s="3" t="inlineStr">
        <is>
          <t>是</t>
        </is>
      </c>
    </row>
    <row r="12">
      <c r="A12" s="3" t="inlineStr">
        <is>
          <t>Workload</t>
        </is>
      </c>
      <c r="B12" s="3" t="n">
        <v>37</v>
      </c>
      <c r="C12" s="3" t="inlineStr">
        <is>
          <t>思考占 decode</t>
        </is>
      </c>
      <c r="D12" s="3" t="inlineStr">
        <is>
          <t>0</t>
        </is>
      </c>
      <c r="E12" s="3" t="n">
        <v>5</v>
      </c>
      <c r="F12" s="3" t="inlineStr">
        <is>
          <t>C37:G37</t>
        </is>
      </c>
      <c r="G12" s="3" t="inlineStr">
        <is>
          <t>R22a</t>
        </is>
      </c>
      <c r="H12" s="3" t="inlineStr">
        <is>
          <t>刪除</t>
        </is>
      </c>
      <c r="I12" s="3" t="inlineStr">
        <is>
          <t>—</t>
        </is>
      </c>
      <c r="J12" s="3" t="inlineStr"/>
      <c r="K12" s="3" t="inlineStr">
        <is>
          <t>思考占 decode：衍生比例，可由 Workload 第 19 與 9 列推得；無下游。需 Andy 確認（承重頁）。</t>
        </is>
      </c>
      <c r="L12" s="3" t="inlineStr">
        <is>
          <t>是</t>
        </is>
      </c>
      <c r="M12" s="3">
        <f>IF(C19+C9&gt;0,C19/(C19+C9),0)</f>
        <v/>
      </c>
      <c r="N12" s="3" t="inlineStr"/>
      <c r="O12" s="3" t="inlineStr"/>
      <c r="P12" s="3" t="inlineStr">
        <is>
          <t>是</t>
        </is>
      </c>
    </row>
    <row r="13">
      <c r="A13" s="3" t="inlineStr">
        <is>
          <t>Workload</t>
        </is>
      </c>
      <c r="B13" s="3" t="n">
        <v>38</v>
      </c>
      <c r="C13" s="3" t="inlineStr">
        <is>
          <t>總 token ÷ 一般聊天</t>
        </is>
      </c>
      <c r="D13" s="3" t="inlineStr">
        <is>
          <t>1</t>
        </is>
      </c>
      <c r="E13" s="3" t="n">
        <v>5</v>
      </c>
      <c r="F13" s="3" t="inlineStr">
        <is>
          <t>C38:G38</t>
        </is>
      </c>
      <c r="G13" s="3" t="inlineStr">
        <is>
          <t>R22a</t>
        </is>
      </c>
      <c r="H13" s="3" t="inlineStr">
        <is>
          <t>升級</t>
        </is>
      </c>
      <c r="I13" s="3" t="inlineStr">
        <is>
          <t>9</t>
        </is>
      </c>
      <c r="J13" s="3" t="inlineStr">
        <is>
          <t>IF_TaskTokMult</t>
        </is>
      </c>
      <c r="K13" s="3" t="inlineStr">
        <is>
          <t>各任務總 token ÷ 一般聊天＝harness 與 agent 用量對 token 的放大倍數（本模型 1／2.07／9.2／36.8／498 對 Anthropic 揭露 4／15，第 40 列已標對照）。目前下游只能自行加總 IF_TaskTok* 再相除。</t>
        </is>
      </c>
      <c r="L13" s="3" t="inlineStr">
        <is>
          <t>是</t>
        </is>
      </c>
      <c r="M13" s="3">
        <f>C35/$C$35</f>
        <v/>
      </c>
      <c r="N13" s="3" t="inlineStr"/>
      <c r="O13" s="3" t="inlineStr"/>
      <c r="P13" s="3" t="inlineStr">
        <is>
          <t>是</t>
        </is>
      </c>
    </row>
    <row r="14">
      <c r="A14" s="3" t="inlineStr">
        <is>
          <t>Workload</t>
        </is>
      </c>
      <c r="B14" s="3" t="n">
        <v>39</v>
      </c>
      <c r="C14" s="3" t="inlineStr">
        <is>
          <t>總 token ÷ 推理聊天</t>
        </is>
      </c>
      <c r="D14" s="3" t="inlineStr">
        <is>
          <t>0.483871</t>
        </is>
      </c>
      <c r="E14" s="3" t="n">
        <v>5</v>
      </c>
      <c r="F14" s="3" t="inlineStr">
        <is>
          <t>C39:G39</t>
        </is>
      </c>
      <c r="G14" s="3" t="inlineStr">
        <is>
          <t>R22a</t>
        </is>
      </c>
      <c r="H14" s="3" t="inlineStr">
        <is>
          <t>刪除</t>
        </is>
      </c>
      <c r="I14" s="3" t="inlineStr">
        <is>
          <t>—</t>
        </is>
      </c>
      <c r="J14" s="3" t="inlineStr"/>
      <c r="K14" s="3" t="inlineStr">
        <is>
          <t>總 token ÷ 推理聊天：第 38 列換一個分母，沒有獨立資訊。需 Andy 確認（承重頁）。</t>
        </is>
      </c>
      <c r="L14" s="3" t="inlineStr">
        <is>
          <t>是</t>
        </is>
      </c>
      <c r="M14" s="3">
        <f>C35/$D$35</f>
        <v/>
      </c>
      <c r="N14" s="3" t="inlineStr"/>
      <c r="O14" s="3" t="inlineStr"/>
      <c r="P14" s="3" t="inlineStr">
        <is>
          <t>是</t>
        </is>
      </c>
    </row>
    <row r="15">
      <c r="A15" s="3" t="inlineStr">
        <is>
          <t>Workload</t>
        </is>
      </c>
      <c r="B15" s="3" t="n">
        <v>43</v>
      </c>
      <c r="C15" s="3" t="inlineStr">
        <is>
          <t>VR200 × Luna</t>
        </is>
      </c>
      <c r="D15" s="3" t="inlineStr">
        <is>
          <t>8.6e-05</t>
        </is>
      </c>
      <c r="E15" s="3" t="n">
        <v>5</v>
      </c>
      <c r="F15" s="3" t="inlineStr">
        <is>
          <t>C43:G43</t>
        </is>
      </c>
      <c r="G15" s="3" t="inlineStr">
        <is>
          <t>R22b</t>
        </is>
      </c>
      <c r="H15" s="3" t="inlineStr">
        <is>
          <t>刪除</t>
        </is>
      </c>
      <c r="I15" s="3" t="inlineStr">
        <is>
          <t>—</t>
        </is>
      </c>
      <c r="J15" s="3" t="inlineStr"/>
      <c r="K15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15" s="3" t="inlineStr">
        <is>
          <t>是</t>
        </is>
      </c>
      <c r="M15" s="3">
        <f>IF(ISNUMBER(Unit_Cost!M21),(C32*Unit_Cost!M19+C33*Unit_Cost!M20+C34*Unit_Cost!M21)/1000000,"SLO 不可達")</f>
        <v/>
      </c>
      <c r="N15" s="3" t="inlineStr">
        <is>
          <t>20261015_稽核0_報告.md</t>
        </is>
      </c>
      <c r="O15" s="3" t="inlineStr"/>
      <c r="P15" s="3" t="inlineStr">
        <is>
          <t>是</t>
        </is>
      </c>
    </row>
    <row r="16">
      <c r="A16" s="3" t="inlineStr">
        <is>
          <t>Workload</t>
        </is>
      </c>
      <c r="B16" s="3" t="n">
        <v>44</v>
      </c>
      <c r="C16" s="3" t="inlineStr">
        <is>
          <t>VR200 × Sol</t>
        </is>
      </c>
      <c r="D16" s="3" t="inlineStr">
        <is>
          <t>0.000279</t>
        </is>
      </c>
      <c r="E16" s="3" t="n">
        <v>5</v>
      </c>
      <c r="F16" s="3" t="inlineStr">
        <is>
          <t>C44:G44</t>
        </is>
      </c>
      <c r="G16" s="3" t="inlineStr">
        <is>
          <t>R22b</t>
        </is>
      </c>
      <c r="H16" s="3" t="inlineStr">
        <is>
          <t>刪除</t>
        </is>
      </c>
      <c r="I16" s="3" t="inlineStr">
        <is>
          <t>—</t>
        </is>
      </c>
      <c r="J16" s="3" t="inlineStr"/>
      <c r="K16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16" s="3" t="inlineStr">
        <is>
          <t>是</t>
        </is>
      </c>
      <c r="M16" s="3">
        <f>IF(ISNUMBER(Unit_Cost!M34),(C32*Unit_Cost!M32+C33*Unit_Cost!M33+C34*Unit_Cost!M34)/1000000,"SLO 不可達")</f>
        <v/>
      </c>
      <c r="N16" s="3" t="inlineStr">
        <is>
          <t>20261015_稽核0_報告.md</t>
        </is>
      </c>
      <c r="O16" s="3" t="inlineStr"/>
      <c r="P16" s="3" t="inlineStr">
        <is>
          <t>是</t>
        </is>
      </c>
    </row>
    <row r="17">
      <c r="A17" s="3" t="inlineStr">
        <is>
          <t>Workload</t>
        </is>
      </c>
      <c r="B17" s="3" t="n">
        <v>45</v>
      </c>
      <c r="C17" s="3" t="inlineStr">
        <is>
          <t>VR200 × Astra</t>
        </is>
      </c>
      <c r="D17" s="3" t="inlineStr">
        <is>
          <t>0.00129</t>
        </is>
      </c>
      <c r="E17" s="3" t="n">
        <v>5</v>
      </c>
      <c r="F17" s="3" t="inlineStr">
        <is>
          <t>C45:G45</t>
        </is>
      </c>
      <c r="G17" s="3" t="inlineStr">
        <is>
          <t>R22b</t>
        </is>
      </c>
      <c r="H17" s="3" t="inlineStr">
        <is>
          <t>刪除</t>
        </is>
      </c>
      <c r="I17" s="3" t="inlineStr">
        <is>
          <t>—</t>
        </is>
      </c>
      <c r="J17" s="3" t="inlineStr"/>
      <c r="K17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17" s="3" t="inlineStr">
        <is>
          <t>是</t>
        </is>
      </c>
      <c r="M17" s="3">
        <f>IF(ISNUMBER(Unit_Cost!M47),(C32*Unit_Cost!M45+C33*Unit_Cost!M46+C34*Unit_Cost!M47)/1000000,"SLO 不可達")</f>
        <v/>
      </c>
      <c r="N17" s="3" t="inlineStr">
        <is>
          <t>20261015_稽核0_報告.md</t>
        </is>
      </c>
      <c r="O17" s="3" t="inlineStr"/>
      <c r="P17" s="3" t="inlineStr">
        <is>
          <t>是</t>
        </is>
      </c>
    </row>
    <row r="18">
      <c r="A18" s="3" t="inlineStr">
        <is>
          <t>Workload</t>
        </is>
      </c>
      <c r="B18" s="3" t="n">
        <v>46</v>
      </c>
      <c r="C18" s="3" t="inlineStr">
        <is>
          <t>GB300 × Luna</t>
        </is>
      </c>
      <c r="D18" s="3" t="inlineStr">
        <is>
          <t>0.00011</t>
        </is>
      </c>
      <c r="E18" s="3" t="n">
        <v>5</v>
      </c>
      <c r="F18" s="3" t="inlineStr">
        <is>
          <t>C46:G46</t>
        </is>
      </c>
      <c r="G18" s="3" t="inlineStr">
        <is>
          <t>R22b</t>
        </is>
      </c>
      <c r="H18" s="3" t="inlineStr">
        <is>
          <t>刪除</t>
        </is>
      </c>
      <c r="I18" s="3" t="inlineStr">
        <is>
          <t>—</t>
        </is>
      </c>
      <c r="J18" s="3" t="inlineStr"/>
      <c r="K18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18" s="3" t="inlineStr">
        <is>
          <t>是</t>
        </is>
      </c>
      <c r="M18" s="3">
        <f>IF(ISNUMBER(Unit_Cost!J21),(C32*Unit_Cost!J19+C33*Unit_Cost!J20+C34*Unit_Cost!J21)/1000000,"SLO 不可達")</f>
        <v/>
      </c>
      <c r="N18" s="3" t="inlineStr">
        <is>
          <t>20261015_稽核0_報告.md</t>
        </is>
      </c>
      <c r="O18" s="3" t="inlineStr"/>
      <c r="P18" s="3" t="inlineStr">
        <is>
          <t>是</t>
        </is>
      </c>
    </row>
    <row r="19">
      <c r="A19" s="3" t="inlineStr">
        <is>
          <t>Workload</t>
        </is>
      </c>
      <c r="B19" s="3" t="n">
        <v>47</v>
      </c>
      <c r="C19" s="3" t="inlineStr">
        <is>
          <t>GB300 × Sol</t>
        </is>
      </c>
      <c r="D19" s="3" t="inlineStr">
        <is>
          <t>0.000374</t>
        </is>
      </c>
      <c r="E19" s="3" t="n">
        <v>5</v>
      </c>
      <c r="F19" s="3" t="inlineStr">
        <is>
          <t>C47:G47</t>
        </is>
      </c>
      <c r="G19" s="3" t="inlineStr">
        <is>
          <t>R22b</t>
        </is>
      </c>
      <c r="H19" s="3" t="inlineStr">
        <is>
          <t>刪除</t>
        </is>
      </c>
      <c r="I19" s="3" t="inlineStr">
        <is>
          <t>—</t>
        </is>
      </c>
      <c r="J19" s="3" t="inlineStr"/>
      <c r="K19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19" s="3" t="inlineStr">
        <is>
          <t>是</t>
        </is>
      </c>
      <c r="M19" s="3">
        <f>IF(ISNUMBER(Unit_Cost!J34),(C32*Unit_Cost!J32+C33*Unit_Cost!J33+C34*Unit_Cost!J34)/1000000,"SLO 不可達")</f>
        <v/>
      </c>
      <c r="N19" s="3" t="inlineStr">
        <is>
          <t>20261015_稽核0_報告.md</t>
        </is>
      </c>
      <c r="O19" s="3" t="inlineStr"/>
      <c r="P19" s="3" t="inlineStr">
        <is>
          <t>是</t>
        </is>
      </c>
    </row>
    <row r="20">
      <c r="A20" s="3" t="inlineStr">
        <is>
          <t>Workload</t>
        </is>
      </c>
      <c r="B20" s="3" t="n">
        <v>48</v>
      </c>
      <c r="C20" s="3" t="inlineStr">
        <is>
          <t>GB300 × Astra</t>
        </is>
      </c>
      <c r="D20" s="3" t="inlineStr">
        <is>
          <t>0.002046</t>
        </is>
      </c>
      <c r="E20" s="3" t="n">
        <v>5</v>
      </c>
      <c r="F20" s="3" t="inlineStr">
        <is>
          <t>C48:G48</t>
        </is>
      </c>
      <c r="G20" s="3" t="inlineStr">
        <is>
          <t>R22b</t>
        </is>
      </c>
      <c r="H20" s="3" t="inlineStr">
        <is>
          <t>刪除</t>
        </is>
      </c>
      <c r="I20" s="3" t="inlineStr">
        <is>
          <t>—</t>
        </is>
      </c>
      <c r="J20" s="3" t="inlineStr"/>
      <c r="K20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  <c r="L20" s="3" t="inlineStr">
        <is>
          <t>是</t>
        </is>
      </c>
      <c r="M20" s="3">
        <f>IF(ISNUMBER(Unit_Cost!J47),(C32*Unit_Cost!J45+C33*Unit_Cost!J46+C34*Unit_Cost!J47)/1000000,"SLO 不可達")</f>
        <v/>
      </c>
      <c r="N20" s="3" t="inlineStr">
        <is>
          <t>20261015_稽核0_報告.md</t>
        </is>
      </c>
      <c r="O20" s="3" t="inlineStr"/>
      <c r="P20" s="3" t="inlineStr">
        <is>
          <t>是</t>
        </is>
      </c>
    </row>
    <row r="21">
      <c r="A21" s="3" t="inlineStr">
        <is>
          <t>Tech_Registry</t>
        </is>
      </c>
      <c r="B21" s="3" t="n">
        <v>30</v>
      </c>
      <c r="C21" s="3" t="inlineStr">
        <is>
          <t>H_HAR</t>
        </is>
      </c>
      <c r="D21" s="3" t="inlineStr">
        <is>
          <t>1</t>
        </is>
      </c>
      <c r="E21" s="3" t="n">
        <v>1</v>
      </c>
      <c r="F21" s="3" t="inlineStr">
        <is>
          <t>E30</t>
        </is>
      </c>
      <c r="G21" s="3" t="inlineStr">
        <is>
          <t>R22a</t>
        </is>
      </c>
      <c r="H21" s="3" t="inlineStr">
        <is>
          <t>保留：顯示用</t>
        </is>
      </c>
      <c r="I21" s="3" t="inlineStr">
        <is>
          <t>—</t>
        </is>
      </c>
      <c r="J21" s="3" t="inlineStr"/>
      <c r="K21" s="3" t="inlineStr">
        <is>
          <t>掛鉤彙總表（E20–E29 是核心格）的形狀；H_HAR 的實際作用在 Workload 的 B5_W（T12 開關），此格為同表一致的彙總讀數。</t>
        </is>
      </c>
      <c r="L21" s="3" t="inlineStr">
        <is>
          <t>否</t>
        </is>
      </c>
      <c r="M21" s="3">
        <f>EXP(SUMPRODUCT(($C$5:$C$16="H_HAR")*LN($P$5:$P$16)))</f>
        <v/>
      </c>
      <c r="N21" s="3" t="inlineStr"/>
      <c r="O21" s="3" t="inlineStr"/>
      <c r="P21" s="3" t="inlineStr"/>
    </row>
    <row r="22">
      <c r="A22" s="3" t="inlineStr">
        <is>
          <t>Perf</t>
        </is>
      </c>
      <c r="B22" s="3" t="n">
        <v>73</v>
      </c>
      <c r="C22" s="3" t="inlineStr">
        <is>
          <t>權重占可用 HBM</t>
        </is>
      </c>
      <c r="D22" s="3" t="inlineStr">
        <is>
          <t>0.135624</t>
        </is>
      </c>
      <c r="E22" s="3" t="n">
        <v>15</v>
      </c>
      <c r="F22" s="3" t="inlineStr">
        <is>
          <t>C73:Q73</t>
        </is>
      </c>
      <c r="G22" s="3" t="inlineStr">
        <is>
          <t>R22a</t>
        </is>
      </c>
      <c r="H22" s="3" t="inlineStr">
        <is>
          <t>保留：顯示用</t>
        </is>
      </c>
      <c r="I22" s="3" t="inlineStr">
        <is>
          <t>—</t>
        </is>
      </c>
      <c r="J22" s="3" t="inlineStr"/>
      <c r="K22" s="3" t="inlineStr">
        <is>
          <t>記憶體配置（E 節）的讀數：權重／KV 占可用 HBM；建模精神 1a 的推導鏈；與 Perf_Batch 同列鏡像（D13 常設測試），刪單邊會使鏡像測試失敗。</t>
        </is>
      </c>
      <c r="L22" s="3" t="inlineStr">
        <is>
          <t>否</t>
        </is>
      </c>
      <c r="M22" s="3">
        <f>C72/C69</f>
        <v/>
      </c>
      <c r="N22" s="3" t="inlineStr">
        <is>
          <t>20261015_稽核2_報告.md</t>
        </is>
      </c>
      <c r="O22" s="3" t="inlineStr"/>
      <c r="P22" s="3" t="inlineStr"/>
    </row>
    <row r="23">
      <c r="A23" s="3" t="inlineStr">
        <is>
          <t>Perf</t>
        </is>
      </c>
      <c r="B23" s="3" t="n">
        <v>89</v>
      </c>
      <c r="C23" s="3" t="inlineStr">
        <is>
          <t>實際每用戶速度</t>
        </is>
      </c>
      <c r="D23" s="3" t="inlineStr">
        <is>
          <t>84.300059</t>
        </is>
      </c>
      <c r="E23" s="3" t="n">
        <v>15</v>
      </c>
      <c r="F23" s="3" t="inlineStr">
        <is>
          <t>C89:Q89</t>
        </is>
      </c>
      <c r="G23" s="3" t="inlineStr">
        <is>
          <t>R22a</t>
        </is>
      </c>
      <c r="H23" s="3" t="inlineStr">
        <is>
          <t>接進 Checks</t>
        </is>
      </c>
      <c r="I23" s="3" t="inlineStr">
        <is>
          <t>—</t>
        </is>
      </c>
      <c r="J23" s="3" t="inlineStr"/>
      <c r="K23" s="3" t="inlineStr">
        <is>
          <t>實際每用戶速度須 ≥ Serving SLO（B* 取 SLO 與 HBM 上限的較小者，故恆成立；程式或輸入出錯時才會失敗）。屬驗證材料，可寫成能失敗的檢查（原則 4）。Perf 與 Perf_Batch 合為一條檢查。</t>
        </is>
      </c>
      <c r="L23" s="3" t="inlineStr">
        <is>
          <t>否</t>
        </is>
      </c>
      <c r="M23" s="3">
        <f>IF(C87&gt;0,C49/((C79+C87*C83)/1000),0)</f>
        <v/>
      </c>
      <c r="N23" s="3" t="inlineStr">
        <is>
          <t>20261015_稽核2_報告.md</t>
        </is>
      </c>
      <c r="O23" s="3" t="inlineStr"/>
      <c r="P23" s="3" t="inlineStr"/>
    </row>
    <row r="24">
      <c r="A24" s="3" t="inlineStr">
        <is>
          <t>Perf</t>
        </is>
      </c>
      <c r="B24" s="3" t="n">
        <v>91</v>
      </c>
      <c r="C24" s="3" t="inlineStr">
        <is>
          <t>KV 占可用 HBM</t>
        </is>
      </c>
      <c r="D24" s="3" t="inlineStr">
        <is>
          <t>0.002965</t>
        </is>
      </c>
      <c r="E24" s="3" t="n">
        <v>15</v>
      </c>
      <c r="F24" s="3" t="inlineStr">
        <is>
          <t>C91:Q91</t>
        </is>
      </c>
      <c r="G24" s="3" t="inlineStr">
        <is>
          <t>R22a</t>
        </is>
      </c>
      <c r="H24" s="3" t="inlineStr">
        <is>
          <t>保留：顯示用</t>
        </is>
      </c>
      <c r="I24" s="3" t="inlineStr">
        <is>
          <t>—</t>
        </is>
      </c>
      <c r="J24" s="3" t="inlineStr"/>
      <c r="K24" s="3" t="inlineStr">
        <is>
          <t>記憶體配置（E 節）的讀數：權重／KV 占可用 HBM；建模精神 1a 的推導鏈；與 Perf_Batch 同列鏡像（D13 常設測試），刪單邊會使鏡像測試失敗。</t>
        </is>
      </c>
      <c r="L24" s="3" t="inlineStr">
        <is>
          <t>否</t>
        </is>
      </c>
      <c r="M24" s="3">
        <f>C87*C34*C45/1000000000/C69</f>
        <v/>
      </c>
      <c r="N24" s="3" t="inlineStr">
        <is>
          <t>20261015_稽核2_報告.md</t>
        </is>
      </c>
      <c r="O24" s="3" t="inlineStr"/>
      <c r="P24" s="3" t="inlineStr"/>
    </row>
    <row r="25">
      <c r="A25" s="3" t="inlineStr">
        <is>
          <t>Perf</t>
        </is>
      </c>
      <c r="B25" s="3" t="n">
        <v>94</v>
      </c>
      <c r="C25" s="3" t="inlineStr">
        <is>
          <t>prefill GPU 占比</t>
        </is>
      </c>
      <c r="D25" s="3" t="inlineStr">
        <is>
          <t>0.255639</t>
        </is>
      </c>
      <c r="E25" s="3" t="n">
        <v>15</v>
      </c>
      <c r="F25" s="3" t="inlineStr">
        <is>
          <t>C94:Q94</t>
        </is>
      </c>
      <c r="G25" s="3" t="inlineStr">
        <is>
          <t>R22b</t>
        </is>
      </c>
      <c r="H25" s="3" t="inlineStr">
        <is>
          <t>保留：顯示用</t>
        </is>
      </c>
      <c r="I25" s="3" t="inlineStr">
        <is>
          <t>—</t>
        </is>
      </c>
      <c r="J25" s="3" t="inlineStr"/>
      <c r="K25" s="3" t="inlineStr">
        <is>
          <t>P:D 配比（prefill GPU 占比，內部名稱 DRV_PreShare）：每架產出推導鏈的讀數；Perf 第 118 列讀它；與 Perf_Batch 鏡像。</t>
        </is>
      </c>
      <c r="L25" s="3" t="inlineStr">
        <is>
          <t>否</t>
        </is>
      </c>
      <c r="M25" s="3">
        <f>IF(ISNUMBER(C93),IF(C93&gt;0,((C43*(1-B4_CacheHit))/C75)/C93,0),C93)</f>
        <v/>
      </c>
      <c r="N25" s="3" t="inlineStr">
        <is>
          <t>20261015_v5.36.md、20261015_v5.36A_查證.md、20261015_稽核2_報告.md、Tokenomics_builder_v5.md</t>
        </is>
      </c>
      <c r="O25" s="3" t="inlineStr"/>
      <c r="P25" s="3" t="inlineStr"/>
    </row>
    <row r="26">
      <c r="A26" s="3" t="inlineStr">
        <is>
          <t>Perf</t>
        </is>
      </c>
      <c r="B26" s="3" t="n">
        <v>99</v>
      </c>
      <c r="C26" s="3" t="inlineStr">
        <is>
          <t>每 GW decode 產出</t>
        </is>
      </c>
      <c r="D26" s="3" t="inlineStr">
        <is>
          <t>12469804501.1635</t>
        </is>
      </c>
      <c r="E26" s="3" t="n">
        <v>15</v>
      </c>
      <c r="F26" s="3" t="inlineStr">
        <is>
          <t>C99:Q99</t>
        </is>
      </c>
      <c r="G26" s="3" t="inlineStr">
        <is>
          <t>R22a</t>
        </is>
      </c>
      <c r="H26" s="3" t="inlineStr">
        <is>
          <t>保留：顯示用</t>
        </is>
      </c>
      <c r="I26" s="3" t="inlineStr">
        <is>
          <t>5</t>
        </is>
      </c>
      <c r="J26" s="3" t="inlineStr"/>
      <c r="K26" s="3" t="inlineStr">
        <is>
          <t>每 GW decode 產出：token 類型拆分的讀數（IF_TokRackD_* 具名、IF_RacksPerGW 具名，下游可相乘）；因與 Perf_Batch 第 99 列鏡像（D13），單邊刪除會破壞鏡像測試，故保留。</t>
        </is>
      </c>
      <c r="L26" s="3" t="inlineStr">
        <is>
          <t>否</t>
        </is>
      </c>
      <c r="M26" s="3">
        <f>IF(ISNUMBER(C96),C96*C25*8760*3600/1000000,C96)</f>
        <v/>
      </c>
      <c r="N26" s="3" t="inlineStr">
        <is>
          <t>20261015_稽核0_報告.md、Tokenomics_builder_v5.md</t>
        </is>
      </c>
      <c r="O26" s="3" t="inlineStr"/>
      <c r="P26" s="3" t="inlineStr"/>
    </row>
    <row r="27">
      <c r="A27" s="3" t="inlineStr">
        <is>
          <t>Perf</t>
        </is>
      </c>
      <c r="B27" s="3" t="n">
        <v>118</v>
      </c>
      <c r="C27" s="3" t="inlineStr">
        <is>
          <t>每 decode token 實際能量（平均用電口徑）</t>
        </is>
      </c>
      <c r="D27" s="3" t="inlineStr">
        <is>
          <t>1.385504</t>
        </is>
      </c>
      <c r="E27" s="3" t="n">
        <v>15</v>
      </c>
      <c r="F27" s="3" t="inlineStr">
        <is>
          <t>C118:Q118</t>
        </is>
      </c>
      <c r="G27" s="3" t="inlineStr">
        <is>
          <t>R22a</t>
        </is>
      </c>
      <c r="H27" s="3" t="inlineStr">
        <is>
          <t>保留：顯示用</t>
        </is>
      </c>
      <c r="I27" s="3" t="inlineStr">
        <is>
          <t>—</t>
        </is>
      </c>
      <c r="J27" s="3" t="inlineStr"/>
      <c r="K27" s="3" t="inlineStr">
        <is>
          <t>每 decode token 實際能量（平均用電口徑）：能量閉合（J 節）的讀數；與 Perf_Batch 鏡像。</t>
        </is>
      </c>
      <c r="L27" s="3" t="inlineStr">
        <is>
          <t>否</t>
        </is>
      </c>
      <c r="M27" s="3">
        <f>IF(ISNUMBER(C96),IF(C96&gt;0,C115*1000*(1-C94)/C96,0),C96)</f>
        <v/>
      </c>
      <c r="N27" s="3" t="inlineStr"/>
      <c r="O27" s="3" t="inlineStr"/>
      <c r="P27" s="3" t="inlineStr"/>
    </row>
    <row r="28">
      <c r="A28" s="3" t="inlineStr">
        <is>
          <t>Unit_Cost</t>
        </is>
      </c>
      <c r="B28" s="3" t="n">
        <v>23</v>
      </c>
      <c r="C28" s="3" t="inlineStr">
        <is>
          <t>參考請求混合 $/M 總 token — 經濟、100%</t>
        </is>
      </c>
      <c r="D28" s="3" t="inlineStr">
        <is>
          <t>0.079418</t>
        </is>
      </c>
      <c r="E28" s="3" t="n">
        <v>15</v>
      </c>
      <c r="F28" s="3" t="inlineStr">
        <is>
          <t>C23:Q23</t>
        </is>
      </c>
      <c r="G28" s="3" t="inlineStr">
        <is>
          <t>R22a</t>
        </is>
      </c>
      <c r="H28" s="3" t="inlineStr">
        <is>
          <t>刪除</t>
        </is>
      </c>
      <c r="I28" s="3" t="inlineStr">
        <is>
          <t>6</t>
        </is>
      </c>
      <c r="J28" s="3" t="inlineStr"/>
      <c r="K28" s="3" t="inlineStr">
        <is>
          <t>『參考請求混合 $/M 總 token（經濟、100%）』：混合數字，Amortize 第 14／23／33 列已有含快取儲存的『參考請求混合服務成本』（IF_FullCost* 的基礎），單價的唯一定義在那裡（原則 1）；三層級分項成本 IF_CostPre／CostDec／CostCache 已具名。</t>
        </is>
      </c>
      <c r="L28" s="3" t="inlineStr">
        <is>
          <t>否</t>
        </is>
      </c>
      <c r="M28" s="3">
        <f>IF(ISNUMBER(C18),(Serving!$C$23*C16+Serving!$C$24*C18)/(Serving!$C$23+Serving!$C$24),C18)</f>
        <v/>
      </c>
      <c r="N28" s="3" t="inlineStr"/>
      <c r="O28" s="3" t="inlineStr"/>
      <c r="P28" s="3" t="inlineStr"/>
    </row>
    <row r="29">
      <c r="A29" s="3" t="inlineStr">
        <is>
          <t>Unit_Cost</t>
        </is>
      </c>
      <c r="B29" s="3" t="n">
        <v>36</v>
      </c>
      <c r="C29" s="3" t="inlineStr">
        <is>
          <t>參考請求混合 $/M 總 token — 經濟、100%</t>
        </is>
      </c>
      <c r="D29" s="3" t="inlineStr">
        <is>
          <t>0.267526</t>
        </is>
      </c>
      <c r="E29" s="3" t="n">
        <v>15</v>
      </c>
      <c r="F29" s="3" t="inlineStr">
        <is>
          <t>C36:Q36</t>
        </is>
      </c>
      <c r="G29" s="3" t="inlineStr">
        <is>
          <t>R22a</t>
        </is>
      </c>
      <c r="H29" s="3" t="inlineStr">
        <is>
          <t>刪除</t>
        </is>
      </c>
      <c r="I29" s="3" t="inlineStr">
        <is>
          <t>6</t>
        </is>
      </c>
      <c r="J29" s="3" t="inlineStr"/>
      <c r="K29" s="3" t="inlineStr">
        <is>
          <t>『參考請求混合 $/M 總 token（經濟、100%）』：混合數字，Amortize 第 14／23／33 列已有含快取儲存的『參考請求混合服務成本』（IF_FullCost* 的基礎），單價的唯一定義在那裡（原則 1）；三層級分項成本 IF_CostPre／CostDec／CostCache 已具名。</t>
        </is>
      </c>
      <c r="L29" s="3" t="inlineStr">
        <is>
          <t>否</t>
        </is>
      </c>
      <c r="M29" s="3">
        <f>IF(ISNUMBER(C31),(Serving!$D$23*C29+Serving!$D$24*C31)/(Serving!$D$23+Serving!$D$24),C31)</f>
        <v/>
      </c>
      <c r="N29" s="3" t="inlineStr"/>
      <c r="O29" s="3" t="inlineStr"/>
      <c r="P29" s="3" t="inlineStr"/>
    </row>
    <row r="30">
      <c r="A30" s="3" t="inlineStr">
        <is>
          <t>Unit_Cost</t>
        </is>
      </c>
      <c r="B30" s="3" t="n">
        <v>49</v>
      </c>
      <c r="C30" s="3" t="inlineStr">
        <is>
          <t>參考請求混合 $/M 總 token — 經濟、100%</t>
        </is>
      </c>
      <c r="D30" s="3" t="inlineStr">
        <is>
          <t>1.215058</t>
        </is>
      </c>
      <c r="E30" s="3" t="n">
        <v>15</v>
      </c>
      <c r="F30" s="3" t="inlineStr">
        <is>
          <t>C49:Q49</t>
        </is>
      </c>
      <c r="G30" s="3" t="inlineStr">
        <is>
          <t>R22a</t>
        </is>
      </c>
      <c r="H30" s="3" t="inlineStr">
        <is>
          <t>刪除</t>
        </is>
      </c>
      <c r="I30" s="3" t="inlineStr">
        <is>
          <t>6</t>
        </is>
      </c>
      <c r="J30" s="3" t="inlineStr"/>
      <c r="K30" s="3" t="inlineStr">
        <is>
          <t>『參考請求混合 $/M 總 token（經濟、100%）』：混合數字，Amortize 第 14／23／33 列已有含快取儲存的『參考請求混合服務成本』（IF_FullCost* 的基礎），單價的唯一定義在那裡（原則 1）；三層級分項成本 IF_CostPre／CostDec／CostCache 已具名。</t>
        </is>
      </c>
      <c r="L30" s="3" t="inlineStr">
        <is>
          <t>否</t>
        </is>
      </c>
      <c r="M30" s="3">
        <f>IF(ISNUMBER(C44),(Serving!$E$23*C42+Serving!$E$24*C44)/(Serving!$E$23+Serving!$E$24),C44)</f>
        <v/>
      </c>
      <c r="N30" s="3" t="inlineStr"/>
      <c r="O30" s="3" t="inlineStr"/>
      <c r="P30" s="3" t="inlineStr"/>
    </row>
    <row r="31">
      <c r="A31" s="3" t="inlineStr">
        <is>
          <t>DC_Cost</t>
        </is>
      </c>
      <c r="B31" s="3" t="n">
        <v>34</v>
      </c>
      <c r="C31" s="3" t="inlineStr">
        <is>
          <t>每 GPU 資本支出（含廠房）</t>
        </is>
      </c>
      <c r="D31" s="3" t="inlineStr">
        <is>
          <t>44.05314</t>
        </is>
      </c>
      <c r="E31" s="3" t="n">
        <v>15</v>
      </c>
      <c r="F31" s="3" t="inlineStr">
        <is>
          <t>C34:Q34</t>
        </is>
      </c>
      <c r="G31" s="3" t="inlineStr">
        <is>
          <t>R22a</t>
        </is>
      </c>
      <c r="H31" s="3" t="inlineStr">
        <is>
          <t>保留：顯示用</t>
        </is>
      </c>
      <c r="I31" s="3" t="inlineStr">
        <is>
          <t>5</t>
        </is>
      </c>
      <c r="J31" s="3" t="inlineStr"/>
      <c r="K31" s="3" t="inlineStr">
        <is>
          <t>敏感度頁（Sensitivity）有同列同標籤的列，常設測試以此核心列為逐格比對基準；刪核心列＝該敏感度列失去比對、變成孤兒定義（6b(a) 敏感度頁保留）。下游已有 IF_Capex*／IF_HoldEcon／IF_AvgDraw 等 具名輸出，核心列保留並補『用途』標記。</t>
        </is>
      </c>
      <c r="L31" s="3" t="inlineStr">
        <is>
          <t>否</t>
        </is>
      </c>
      <c r="M31" s="3">
        <f>C33*1000000/C14</f>
        <v/>
      </c>
      <c r="N31" s="3" t="inlineStr"/>
      <c r="O31" s="3" t="inlineStr"/>
      <c r="P31" s="3" t="inlineStr"/>
    </row>
    <row r="32">
      <c r="A32" s="3" t="inlineStr">
        <is>
          <t>DC_Cost</t>
        </is>
      </c>
      <c r="B32" s="3" t="n">
        <v>35</v>
      </c>
      <c r="C32" s="3" t="inlineStr">
        <is>
          <t>每 MW IT 資本支出</t>
        </is>
      </c>
      <c r="D32" s="3" t="inlineStr">
        <is>
          <t>31.632269</t>
        </is>
      </c>
      <c r="E32" s="3" t="n">
        <v>15</v>
      </c>
      <c r="F32" s="3" t="inlineStr">
        <is>
          <t>C35:Q35</t>
        </is>
      </c>
      <c r="G32" s="3" t="inlineStr">
        <is>
          <t>R22a</t>
        </is>
      </c>
      <c r="H32" s="3" t="inlineStr">
        <is>
          <t>保留：顯示用</t>
        </is>
      </c>
      <c r="I32" s="3" t="inlineStr">
        <is>
          <t>5</t>
        </is>
      </c>
      <c r="J32" s="3" t="inlineStr"/>
      <c r="K32" s="3" t="inlineStr">
        <is>
          <t>敏感度頁（Sensitivity）有同列同標籤的列，常設測試以此核心列為逐格比對基準；刪核心列＝該敏感度列失去比對、變成孤兒定義（6b(a) 敏感度頁保留）。下游已有 IF_Capex*／IF_HoldEcon／IF_AvgDraw 等 具名輸出，核心列保留並補『用途』標記。</t>
        </is>
      </c>
      <c r="L32" s="3" t="inlineStr">
        <is>
          <t>否</t>
        </is>
      </c>
      <c r="M32" s="3">
        <f>C33*1000/C8</f>
        <v/>
      </c>
      <c r="N32" s="3" t="inlineStr"/>
      <c r="O32" s="3" t="inlineStr"/>
      <c r="P32" s="3" t="inlineStr"/>
    </row>
    <row r="33">
      <c r="A33" s="3" t="inlineStr">
        <is>
          <t>DC_Cost</t>
        </is>
      </c>
      <c r="B33" s="3" t="n">
        <v>59</v>
      </c>
      <c r="C33" s="3" t="inlineStr">
        <is>
          <t>每架小時持有成本 — 經濟</t>
        </is>
      </c>
      <c r="D33" s="3" t="inlineStr">
        <is>
          <t>34.548636</t>
        </is>
      </c>
      <c r="E33" s="3" t="n">
        <v>15</v>
      </c>
      <c r="F33" s="3" t="inlineStr">
        <is>
          <t>C59:Q59</t>
        </is>
      </c>
      <c r="G33" s="3" t="inlineStr">
        <is>
          <t>R22a</t>
        </is>
      </c>
      <c r="H33" s="3" t="inlineStr">
        <is>
          <t>保留：顯示用</t>
        </is>
      </c>
      <c r="I33" s="3" t="inlineStr">
        <is>
          <t>5</t>
        </is>
      </c>
      <c r="J33" s="3" t="inlineStr"/>
      <c r="K33" s="3" t="inlineStr">
        <is>
          <t>敏感度頁（Sensitivity）有同列同標籤的列，常設測試以此核心列為逐格比對基準；刪核心列＝該敏感度列失去比對、變成孤兒定義（6b(a) 敏感度頁保留）。下游已有 IF_Capex*／IF_HoldEcon／IF_AvgDraw 等 具名輸出，核心列保留並補『用途』標記。</t>
        </is>
      </c>
      <c r="L33" s="3" t="inlineStr">
        <is>
          <t>否</t>
        </is>
      </c>
      <c r="M33" s="3">
        <f>C55*1000000000/(C12*8760)</f>
        <v/>
      </c>
      <c r="N33" s="3" t="inlineStr"/>
      <c r="O33" s="3" t="inlineStr"/>
      <c r="P33" s="3" t="inlineStr"/>
    </row>
    <row r="34">
      <c r="A34" s="3" t="inlineStr">
        <is>
          <t>DC_Cost</t>
        </is>
      </c>
      <c r="B34" s="3" t="n">
        <v>60</v>
      </c>
      <c r="C34" s="3" t="inlineStr">
        <is>
          <t>年用電（設施端）</t>
        </is>
      </c>
      <c r="D34" s="3" t="inlineStr">
        <is>
          <t>6.7452</t>
        </is>
      </c>
      <c r="E34" s="3" t="n">
        <v>15</v>
      </c>
      <c r="F34" s="3" t="inlineStr">
        <is>
          <t>C60:Q60</t>
        </is>
      </c>
      <c r="G34" s="3" t="inlineStr">
        <is>
          <t>R22a</t>
        </is>
      </c>
      <c r="H34" s="3" t="inlineStr">
        <is>
          <t>保留：顯示用</t>
        </is>
      </c>
      <c r="I34" s="3" t="inlineStr">
        <is>
          <t>5</t>
        </is>
      </c>
      <c r="J34" s="3" t="inlineStr"/>
      <c r="K34" s="3" t="inlineStr">
        <is>
          <t>敏感度頁（Sensitivity）有同列同標籤的列，常設測試以此核心列為逐格比對基準；刪核心列＝該敏感度列失去比對、變成孤兒定義（6b(a) 敏感度頁保留）。下游已有 IF_Capex*／IF_HoldEcon／IF_AvgDraw 等 具名輸出，核心列保留並補『用途』標記。</t>
        </is>
      </c>
      <c r="L34" s="3" t="inlineStr">
        <is>
          <t>否</t>
        </is>
      </c>
      <c r="M34" s="3">
        <f>C8*C41*C15*8760/1000000</f>
        <v/>
      </c>
      <c r="N34" s="3" t="inlineStr"/>
      <c r="O34" s="3" t="inlineStr"/>
      <c r="P34" s="3" t="inlineStr"/>
    </row>
    <row r="35">
      <c r="A35" s="3" t="inlineStr">
        <is>
          <t>DC_Cost</t>
        </is>
      </c>
      <c r="B35" s="3" t="n">
        <v>61</v>
      </c>
      <c r="C35" s="3" t="inlineStr">
        <is>
          <t>資本回收占經濟口徑</t>
        </is>
      </c>
      <c r="D35" s="3" t="inlineStr">
        <is>
          <t>0.836222</t>
        </is>
      </c>
      <c r="E35" s="3" t="n">
        <v>15</v>
      </c>
      <c r="F35" s="3" t="inlineStr">
        <is>
          <t>C61:Q61</t>
        </is>
      </c>
      <c r="G35" s="3" t="inlineStr">
        <is>
          <t>R22a</t>
        </is>
      </c>
      <c r="H35" s="3" t="inlineStr">
        <is>
          <t>保留：顯示用</t>
        </is>
      </c>
      <c r="I35" s="3" t="inlineStr">
        <is>
          <t>5</t>
        </is>
      </c>
      <c r="J35" s="3" t="inlineStr"/>
      <c r="K35" s="3" t="inlineStr">
        <is>
          <t>成本結構讀數（資本回收占經濟口徑、電費占經濟口徑）：同節第 57–58 列為核心格；供人讀取成本組成，下游以 IF_Depr*／IF_PowerCost 自算。</t>
        </is>
      </c>
      <c r="L35" s="3" t="inlineStr">
        <is>
          <t>否</t>
        </is>
      </c>
      <c r="M35" s="3">
        <f>(C53+C54)/C55</f>
        <v/>
      </c>
      <c r="N35" s="3" t="inlineStr"/>
      <c r="O35" s="3" t="inlineStr"/>
      <c r="P35" s="3" t="inlineStr"/>
    </row>
    <row r="36">
      <c r="A36" s="3" t="inlineStr">
        <is>
          <t>DC_Cost</t>
        </is>
      </c>
      <c r="B36" s="3" t="n">
        <v>62</v>
      </c>
      <c r="C36" s="3" t="inlineStr">
        <is>
          <t>電費占經濟口徑</t>
        </is>
      </c>
      <c r="D36" s="3" t="inlineStr">
        <is>
          <t>0.059595</t>
        </is>
      </c>
      <c r="E36" s="3" t="n">
        <v>15</v>
      </c>
      <c r="F36" s="3" t="inlineStr">
        <is>
          <t>C62:Q62</t>
        </is>
      </c>
      <c r="G36" s="3" t="inlineStr">
        <is>
          <t>R22a</t>
        </is>
      </c>
      <c r="H36" s="3" t="inlineStr">
        <is>
          <t>保留：顯示用</t>
        </is>
      </c>
      <c r="I36" s="3" t="inlineStr">
        <is>
          <t>5</t>
        </is>
      </c>
      <c r="J36" s="3" t="inlineStr"/>
      <c r="K36" s="3" t="inlineStr">
        <is>
          <t>成本結構讀數（資本回收占經濟口徑、電費占經濟口徑）：同節第 57–58 列為核心格；供人讀取成本組成，下游以 IF_Depr*／IF_PowerCost 自算。</t>
        </is>
      </c>
      <c r="L36" s="3" t="inlineStr">
        <is>
          <t>否</t>
        </is>
      </c>
      <c r="M36" s="3">
        <f>C43/C55</f>
        <v/>
      </c>
      <c r="N36" s="3" t="inlineStr"/>
      <c r="O36" s="3" t="inlineStr"/>
      <c r="P36" s="3" t="inlineStr"/>
    </row>
    <row r="37">
      <c r="A37" s="3" t="inlineStr">
        <is>
          <t>Train_In</t>
        </is>
      </c>
      <c r="B37" s="3" t="n">
        <v>44</v>
      </c>
      <c r="C37" s="3" t="inlineStr">
        <is>
          <t>DeepSeek R1 RL GPU 小時 ÷ V3 預訓練</t>
        </is>
      </c>
      <c r="D37" s="3" t="inlineStr">
        <is>
          <t>0.05518</t>
        </is>
      </c>
      <c r="E37" s="3" t="n">
        <v>1</v>
      </c>
      <c r="F37" s="3" t="inlineStr">
        <is>
          <t>C44</t>
        </is>
      </c>
      <c r="G37" s="3" t="inlineStr">
        <is>
          <t>R22b</t>
        </is>
      </c>
      <c r="H37" s="3" t="inlineStr">
        <is>
          <t>保留：顯示用</t>
        </is>
      </c>
      <c r="I37" s="3" t="inlineStr">
        <is>
          <t>8</t>
        </is>
      </c>
      <c r="J37" s="3" t="inlineStr"/>
      <c r="K37" s="3" t="inlineStr">
        <is>
          <t>RL 占比的外部對照（DeepSeek R1 RL 為 V3 預訓練 0.055、Grok 4 宣稱 1.0）；Gov_Map 登錄，Checks 第 157–158 列已拿模型 RL 占比對外部。Train_In 為承重頁，不刪。</t>
        </is>
      </c>
      <c r="L37" s="3" t="inlineStr">
        <is>
          <t>否</t>
        </is>
      </c>
      <c r="M37" s="3">
        <f>SRC_MOD_034/SRC_MOD_040</f>
        <v/>
      </c>
      <c r="N37" s="3" t="inlineStr">
        <is>
          <t>20261005_v5.18.md、Tokenomics_builder_v5.md</t>
        </is>
      </c>
      <c r="O37" s="3" t="inlineStr"/>
      <c r="P37" s="3" t="inlineStr">
        <is>
          <t>是</t>
        </is>
      </c>
    </row>
    <row r="38">
      <c r="A38" s="3" t="inlineStr">
        <is>
          <t>Train_In</t>
        </is>
      </c>
      <c r="B38" s="3" t="n">
        <v>45</v>
      </c>
      <c r="C38" s="3" t="inlineStr">
        <is>
          <t>Grok 4 RL ÷ 預訓練（宣稱）</t>
        </is>
      </c>
      <c r="D38" s="3" t="inlineStr">
        <is>
          <t>1</t>
        </is>
      </c>
      <c r="E38" s="3" t="n">
        <v>1</v>
      </c>
      <c r="F38" s="3" t="inlineStr">
        <is>
          <t>C45</t>
        </is>
      </c>
      <c r="G38" s="3" t="inlineStr">
        <is>
          <t>R22b</t>
        </is>
      </c>
      <c r="H38" s="3" t="inlineStr">
        <is>
          <t>保留：顯示用</t>
        </is>
      </c>
      <c r="I38" s="3" t="inlineStr">
        <is>
          <t>8</t>
        </is>
      </c>
      <c r="J38" s="3" t="inlineStr"/>
      <c r="K38" s="3" t="inlineStr">
        <is>
          <t>RL 占比的外部對照（DeepSeek R1 RL 為 V3 預訓練 0.055、Grok 4 宣稱 1.0）；Gov_Map 登錄，Checks 第 157–158 列已拿模型 RL 占比對外部。Train_In 為承重頁，不刪。</t>
        </is>
      </c>
      <c r="L38" s="3" t="inlineStr">
        <is>
          <t>否</t>
        </is>
      </c>
      <c r="M38" s="3">
        <f>SRC_MOD_036</f>
        <v/>
      </c>
      <c r="N38" s="3" t="inlineStr">
        <is>
          <t>Tokenomics_builder_v5.md</t>
        </is>
      </c>
      <c r="O38" s="3" t="inlineStr"/>
      <c r="P38" s="3" t="inlineStr">
        <is>
          <t>是</t>
        </is>
      </c>
    </row>
    <row r="39">
      <c r="A39" s="3" t="inlineStr">
        <is>
          <t>Perf_Batch</t>
        </is>
      </c>
      <c r="B39" s="3" t="n">
        <v>12</v>
      </c>
      <c r="C39" s="3" t="inlineStr">
        <is>
          <t>權重 bytes/param 倍數（H_WB）</t>
        </is>
      </c>
      <c r="D39" s="3" t="inlineStr">
        <is>
          <t>1</t>
        </is>
      </c>
      <c r="E39" s="3" t="n">
        <v>2</v>
      </c>
      <c r="F39" s="3" t="inlineStr">
        <is>
          <t>R12:S12</t>
        </is>
      </c>
      <c r="G39" s="3" t="inlineStr">
        <is>
          <t>R04</t>
        </is>
      </c>
      <c r="H39" s="3" t="inlineStr">
        <is>
          <t>保留：顯示用</t>
        </is>
      </c>
      <c r="I39" s="3" t="inlineStr">
        <is>
          <t>—</t>
        </is>
      </c>
      <c r="J39" s="3" t="inlineStr"/>
      <c r="K39" s="3" t="inlineStr">
        <is>
          <t>R–S 欄（VR200 以 FP8 rollout 的未接線情境，4-0 R04）該列的 H_WB 讀取；其餘 R–S 列已標『情境對照（未接線）』，此列補齊同一標記。</t>
        </is>
      </c>
      <c r="L39" s="3" t="inlineStr">
        <is>
          <t>否</t>
        </is>
      </c>
      <c r="M39" s="3">
        <f>Tech_Registry!$E$24</f>
        <v/>
      </c>
      <c r="N39" s="3" t="inlineStr"/>
      <c r="O39" s="3" t="inlineStr"/>
      <c r="P39" s="3" t="inlineStr"/>
    </row>
    <row r="40">
      <c r="A40" s="3" t="inlineStr">
        <is>
          <t>Perf_Batch</t>
        </is>
      </c>
      <c r="B40" s="3" t="n">
        <v>22</v>
      </c>
      <c r="C40" s="3" t="inlineStr">
        <is>
          <t>GPU 封裝／架</t>
        </is>
      </c>
      <c r="D40" s="3" t="inlineStr">
        <is>
          <t>32</t>
        </is>
      </c>
      <c r="E40" s="3" t="n">
        <v>17</v>
      </c>
      <c r="F40" s="3" t="inlineStr">
        <is>
          <t>C22:S22</t>
        </is>
      </c>
      <c r="G40" s="3" t="inlineStr">
        <is>
          <t>R22b</t>
        </is>
      </c>
      <c r="H40" s="3" t="inlineStr">
        <is>
          <t>保留：顯示用</t>
        </is>
      </c>
      <c r="I40" s="3" t="inlineStr">
        <is>
          <t>—</t>
        </is>
      </c>
      <c r="J40" s="3" t="inlineStr"/>
      <c r="K40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0" s="3" t="inlineStr">
        <is>
          <t>否</t>
        </is>
      </c>
      <c r="M40" s="3">
        <f>INDEX(Spec_Rack!$C$6:$G$6,C$6)</f>
        <v/>
      </c>
      <c r="N40" s="3" t="inlineStr"/>
      <c r="O40" s="3" t="inlineStr"/>
      <c r="P40" s="3" t="inlineStr"/>
    </row>
    <row r="41">
      <c r="A41" s="3" t="inlineStr">
        <is>
          <t>Perf_Batch</t>
        </is>
      </c>
      <c r="B41" s="3" t="n">
        <v>23</v>
      </c>
      <c r="C41" s="3" t="inlineStr">
        <is>
          <t>GPU 功率</t>
        </is>
      </c>
      <c r="D41" s="3" t="inlineStr">
        <is>
          <t>700</t>
        </is>
      </c>
      <c r="E41" s="3" t="n">
        <v>17</v>
      </c>
      <c r="F41" s="3" t="inlineStr">
        <is>
          <t>C23:S23</t>
        </is>
      </c>
      <c r="G41" s="3" t="inlineStr">
        <is>
          <t>R22b</t>
        </is>
      </c>
      <c r="H41" s="3" t="inlineStr">
        <is>
          <t>保留：顯示用</t>
        </is>
      </c>
      <c r="I41" s="3" t="inlineStr">
        <is>
          <t>—</t>
        </is>
      </c>
      <c r="J41" s="3" t="inlineStr"/>
      <c r="K41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1" s="3" t="inlineStr">
        <is>
          <t>否</t>
        </is>
      </c>
      <c r="M41" s="3">
        <f>INDEX(Spec_Rack!$C$33:$G$33,C$6)</f>
        <v/>
      </c>
      <c r="N41" s="3" t="inlineStr"/>
      <c r="O41" s="3" t="inlineStr"/>
      <c r="P41" s="3" t="inlineStr"/>
    </row>
    <row r="42">
      <c r="A42" s="3" t="inlineStr">
        <is>
          <t>Perf_Batch</t>
        </is>
      </c>
      <c r="B42" s="3" t="n">
        <v>24</v>
      </c>
      <c r="C42" s="3" t="inlineStr">
        <is>
          <t>HBM 存取能量</t>
        </is>
      </c>
      <c r="D42" s="3" t="inlineStr">
        <is>
          <t>31</t>
        </is>
      </c>
      <c r="E42" s="3" t="n">
        <v>17</v>
      </c>
      <c r="F42" s="3" t="inlineStr">
        <is>
          <t>C24:S24</t>
        </is>
      </c>
      <c r="G42" s="3" t="inlineStr">
        <is>
          <t>R22b</t>
        </is>
      </c>
      <c r="H42" s="3" t="inlineStr">
        <is>
          <t>保留：顯示用</t>
        </is>
      </c>
      <c r="I42" s="3" t="inlineStr">
        <is>
          <t>—</t>
        </is>
      </c>
      <c r="J42" s="3" t="inlineStr"/>
      <c r="K42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2" s="3" t="inlineStr">
        <is>
          <t>否</t>
        </is>
      </c>
      <c r="M42" s="3">
        <f>INDEX(Spec_Rack!$C$34:$G$34,C$6)</f>
        <v/>
      </c>
      <c r="N42" s="3" t="inlineStr"/>
      <c r="O42" s="3" t="inlineStr"/>
      <c r="P42" s="3" t="inlineStr"/>
    </row>
    <row r="43">
      <c r="A43" s="3" t="inlineStr">
        <is>
          <t>Perf_Batch</t>
        </is>
      </c>
      <c r="B43" s="3" t="n">
        <v>25</v>
      </c>
      <c r="C43" s="3" t="inlineStr">
        <is>
          <t>每 GW 機架數（功率情境）</t>
        </is>
      </c>
      <c r="D43" s="3" t="inlineStr">
        <is>
          <t>22439</t>
        </is>
      </c>
      <c r="E43" s="3" t="n">
        <v>17</v>
      </c>
      <c r="F43" s="3" t="inlineStr">
        <is>
          <t>C25:S25</t>
        </is>
      </c>
      <c r="G43" s="3" t="inlineStr">
        <is>
          <t>R22b</t>
        </is>
      </c>
      <c r="H43" s="3" t="inlineStr">
        <is>
          <t>保留：顯示用</t>
        </is>
      </c>
      <c r="I43" s="3" t="inlineStr">
        <is>
          <t>—</t>
        </is>
      </c>
      <c r="J43" s="3" t="inlineStr"/>
      <c r="K43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3" s="3" t="inlineStr">
        <is>
          <t>否</t>
        </is>
      </c>
      <c r="M43" s="3">
        <f>INDEX(DC_Cost!$C$12:$Q$12,3*(C$6-1)+2)/CTL_GW</f>
        <v/>
      </c>
      <c r="N43" s="3" t="inlineStr"/>
      <c r="O43" s="3" t="inlineStr"/>
      <c r="P43" s="3" t="inlineStr"/>
    </row>
    <row r="44">
      <c r="A44" s="3" t="inlineStr">
        <is>
          <t>Perf_Batch</t>
        </is>
      </c>
      <c r="B44" s="3" t="n">
        <v>26</v>
      </c>
      <c r="C44" s="3" t="inlineStr">
        <is>
          <t>每架配電設計功率</t>
        </is>
      </c>
      <c r="D44" s="3" t="inlineStr">
        <is>
          <t>41</t>
        </is>
      </c>
      <c r="E44" s="3" t="n">
        <v>17</v>
      </c>
      <c r="F44" s="3" t="inlineStr">
        <is>
          <t>C26:S26</t>
        </is>
      </c>
      <c r="G44" s="3" t="inlineStr">
        <is>
          <t>R22b</t>
        </is>
      </c>
      <c r="H44" s="3" t="inlineStr">
        <is>
          <t>保留：顯示用</t>
        </is>
      </c>
      <c r="I44" s="3" t="inlineStr">
        <is>
          <t>—</t>
        </is>
      </c>
      <c r="J44" s="3" t="inlineStr"/>
      <c r="K44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4" s="3" t="inlineStr">
        <is>
          <t>否</t>
        </is>
      </c>
      <c r="M44" s="3">
        <f>INDEX(DC_Cost!$C$11:$Q$11,3*(C$6-1)+2)</f>
        <v/>
      </c>
      <c r="N44" s="3" t="inlineStr"/>
      <c r="O44" s="3" t="inlineStr"/>
      <c r="P44" s="3" t="inlineStr"/>
    </row>
    <row r="45">
      <c r="A45" s="3" t="inlineStr">
        <is>
          <t>Perf_Batch</t>
        </is>
      </c>
      <c r="B45" s="3" t="n">
        <v>62</v>
      </c>
      <c r="C45" s="3" t="inlineStr">
        <is>
          <t>快取載入頻寬</t>
        </is>
      </c>
      <c r="D45" s="3" t="inlineStr">
        <is>
          <t>0.1</t>
        </is>
      </c>
      <c r="E45" s="3" t="n">
        <v>17</v>
      </c>
      <c r="F45" s="3" t="inlineStr">
        <is>
          <t>C62:S62</t>
        </is>
      </c>
      <c r="G45" s="3" t="inlineStr">
        <is>
          <t>R22b</t>
        </is>
      </c>
      <c r="H45" s="3" t="inlineStr">
        <is>
          <t>保留：顯示用</t>
        </is>
      </c>
      <c r="I45" s="3" t="inlineStr">
        <is>
          <t>—</t>
        </is>
      </c>
      <c r="J45" s="3" t="inlineStr"/>
      <c r="K45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5" s="3" t="inlineStr">
        <is>
          <t>否</t>
        </is>
      </c>
      <c r="M45" s="3">
        <f>Serving!$C$15</f>
        <v/>
      </c>
      <c r="N45" s="3" t="inlineStr"/>
      <c r="O45" s="3" t="inlineStr"/>
      <c r="P45" s="3" t="inlineStr"/>
    </row>
    <row r="46">
      <c r="A46" s="3" t="inlineStr">
        <is>
          <t>Perf_Batch</t>
        </is>
      </c>
      <c r="B46" s="3" t="n">
        <v>73</v>
      </c>
      <c r="C46" s="3" t="inlineStr">
        <is>
          <t>權重占可用 HBM</t>
        </is>
      </c>
      <c r="D46" s="3" t="inlineStr">
        <is>
          <t>0.135624</t>
        </is>
      </c>
      <c r="E46" s="3" t="n">
        <v>17</v>
      </c>
      <c r="F46" s="3" t="inlineStr">
        <is>
          <t>C73:S73</t>
        </is>
      </c>
      <c r="G46" s="3" t="inlineStr">
        <is>
          <t>R22a</t>
        </is>
      </c>
      <c r="H46" s="3" t="inlineStr">
        <is>
          <t>保留：顯示用</t>
        </is>
      </c>
      <c r="I46" s="3" t="inlineStr">
        <is>
          <t>—</t>
        </is>
      </c>
      <c r="J46" s="3" t="inlineStr"/>
      <c r="K46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6" s="3" t="inlineStr">
        <is>
          <t>否</t>
        </is>
      </c>
      <c r="M46" s="3">
        <f>C72/C69</f>
        <v/>
      </c>
      <c r="N46" s="3" t="inlineStr"/>
      <c r="O46" s="3" t="inlineStr"/>
      <c r="P46" s="3" t="inlineStr"/>
    </row>
    <row r="47">
      <c r="A47" s="3" t="inlineStr">
        <is>
          <t>Perf_Batch</t>
        </is>
      </c>
      <c r="B47" s="3" t="n">
        <v>84</v>
      </c>
      <c r="C47" s="3" t="inlineStr">
        <is>
          <t>每序列綁定項</t>
        </is>
      </c>
      <c r="D47" s="3" t="inlineStr">
        <is>
          <t>算力</t>
        </is>
      </c>
      <c r="E47" s="3" t="n">
        <v>17</v>
      </c>
      <c r="F47" s="3" t="inlineStr">
        <is>
          <t>C84:S84</t>
        </is>
      </c>
      <c r="G47" s="3" t="inlineStr">
        <is>
          <t>R22b</t>
        </is>
      </c>
      <c r="H47" s="3" t="inlineStr">
        <is>
          <t>保留：顯示用</t>
        </is>
      </c>
      <c r="I47" s="3" t="inlineStr">
        <is>
          <t>—</t>
        </is>
      </c>
      <c r="J47" s="3" t="inlineStr"/>
      <c r="K47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7" s="3" t="inlineStr">
        <is>
          <t>否</t>
        </is>
      </c>
      <c r="M47" s="3">
        <f>IF(C83=C80,"算力",IF(C83=C81,"KV 頻寬","EP 通訊"))</f>
        <v/>
      </c>
      <c r="N47" s="3" t="inlineStr"/>
      <c r="O47" s="3" t="inlineStr"/>
      <c r="P47" s="3" t="inlineStr"/>
    </row>
    <row r="48">
      <c r="A48" s="3" t="inlineStr">
        <is>
          <t>Perf_Batch</t>
        </is>
      </c>
      <c r="B48" s="3" t="n">
        <v>89</v>
      </c>
      <c r="C48" s="3" t="inlineStr">
        <is>
          <t>實際每用戶速度</t>
        </is>
      </c>
      <c r="D48" s="3" t="inlineStr">
        <is>
          <t>20</t>
        </is>
      </c>
      <c r="E48" s="3" t="n">
        <v>17</v>
      </c>
      <c r="F48" s="3" t="inlineStr">
        <is>
          <t>C89:S89</t>
        </is>
      </c>
      <c r="G48" s="3" t="inlineStr">
        <is>
          <t>R22a</t>
        </is>
      </c>
      <c r="H48" s="3" t="inlineStr">
        <is>
          <t>接進 Checks</t>
        </is>
      </c>
      <c r="I48" s="3" t="inlineStr">
        <is>
          <t>—</t>
        </is>
      </c>
      <c r="J48" s="3" t="inlineStr"/>
      <c r="K48" s="3" t="inlineStr">
        <is>
          <t>實際每用戶速度須 ≥ 速度下限；與 Perf 第 89 列合為一條檢查（見該列）。</t>
        </is>
      </c>
      <c r="L48" s="3" t="inlineStr">
        <is>
          <t>否</t>
        </is>
      </c>
      <c r="M48" s="3">
        <f>IF(C87&gt;0,C49/((C79+C87*C83)/1000),0)</f>
        <v/>
      </c>
      <c r="N48" s="3" t="inlineStr"/>
      <c r="O48" s="3" t="inlineStr"/>
      <c r="P48" s="3" t="inlineStr"/>
    </row>
    <row r="49">
      <c r="A49" s="3" t="inlineStr">
        <is>
          <t>Perf_Batch</t>
        </is>
      </c>
      <c r="B49" s="3" t="n">
        <v>90</v>
      </c>
      <c r="C49" s="3" t="inlineStr">
        <is>
          <t>綁定約束（文字「SLO 不可達」＝decode 不可達；「TTFT 不可達」＝首 token 時間超過上限；兩者皆不符時顯示 SLO；v6.2）</t>
        </is>
      </c>
      <c r="D49" s="3" t="inlineStr">
        <is>
          <t>SLO（算力）</t>
        </is>
      </c>
      <c r="E49" s="3" t="n">
        <v>17</v>
      </c>
      <c r="F49" s="3" t="inlineStr">
        <is>
          <t>C90:S90</t>
        </is>
      </c>
      <c r="G49" s="3" t="inlineStr">
        <is>
          <t>R22a</t>
        </is>
      </c>
      <c r="H49" s="3" t="inlineStr">
        <is>
          <t>保留：顯示用</t>
        </is>
      </c>
      <c r="I49" s="3" t="inlineStr">
        <is>
          <t>—</t>
        </is>
      </c>
      <c r="J49" s="3" t="inlineStr"/>
      <c r="K49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49" s="3" t="inlineStr">
        <is>
          <t>否</t>
        </is>
      </c>
      <c r="M49" s="3">
        <f>IF(C87&lt;=0,"SLO 不可達",IF(C77&lt;&gt;"是","TTFT 不可達",IF(C85&lt;=C86,"SLO（"&amp;C84&amp;"）","HBM 容量")))</f>
        <v/>
      </c>
      <c r="N49" s="3" t="inlineStr">
        <is>
          <t>20261016_大批次修正_獨立查核.md</t>
        </is>
      </c>
      <c r="O49" s="3" t="inlineStr"/>
      <c r="P49" s="3" t="inlineStr"/>
    </row>
    <row r="50">
      <c r="A50" s="3" t="inlineStr">
        <is>
          <t>Perf_Batch</t>
        </is>
      </c>
      <c r="B50" s="3" t="n">
        <v>91</v>
      </c>
      <c r="C50" s="3" t="inlineStr">
        <is>
          <t>KV 占可用 HBM</t>
        </is>
      </c>
      <c r="D50" s="3" t="inlineStr">
        <is>
          <t>0.019635</t>
        </is>
      </c>
      <c r="E50" s="3" t="n">
        <v>17</v>
      </c>
      <c r="F50" s="3" t="inlineStr">
        <is>
          <t>C91:S91</t>
        </is>
      </c>
      <c r="G50" s="3" t="inlineStr">
        <is>
          <t>R22a</t>
        </is>
      </c>
      <c r="H50" s="3" t="inlineStr">
        <is>
          <t>保留：顯示用</t>
        </is>
      </c>
      <c r="I50" s="3" t="inlineStr">
        <is>
          <t>—</t>
        </is>
      </c>
      <c r="J50" s="3" t="inlineStr"/>
      <c r="K50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0" s="3" t="inlineStr">
        <is>
          <t>否</t>
        </is>
      </c>
      <c r="M50" s="3">
        <f>C87*C34*C45/1000000000/C69</f>
        <v/>
      </c>
      <c r="N50" s="3" t="inlineStr"/>
      <c r="O50" s="3" t="inlineStr"/>
      <c r="P50" s="3" t="inlineStr"/>
    </row>
    <row r="51">
      <c r="A51" s="3" t="inlineStr">
        <is>
          <t>Perf_Batch</t>
        </is>
      </c>
      <c r="B51" s="3" t="n">
        <v>93</v>
      </c>
      <c r="C51" s="3" t="inlineStr">
        <is>
          <t>每請求 GPU 秒（文字「SLO 不可達」＝decode 不可達；「TTFT 不可達」＝首 token 時間超過上限；兩者皆不符時顯示 SLO；v6.0 D8、v6.2）</t>
        </is>
      </c>
      <c r="D51" s="3" t="inlineStr">
        <is>
          <t>7.079905</t>
        </is>
      </c>
      <c r="E51" s="3" t="n">
        <v>17</v>
      </c>
      <c r="F51" s="3" t="inlineStr">
        <is>
          <t>C93:S93</t>
        </is>
      </c>
      <c r="G51" s="3" t="inlineStr">
        <is>
          <t>R22b</t>
        </is>
      </c>
      <c r="H51" s="3" t="inlineStr">
        <is>
          <t>保留：顯示用</t>
        </is>
      </c>
      <c r="I51" s="3" t="inlineStr">
        <is>
          <t>—</t>
        </is>
      </c>
      <c r="J51" s="3" t="inlineStr"/>
      <c r="K51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1" s="3" t="inlineStr">
        <is>
          <t>否</t>
        </is>
      </c>
      <c r="M51" s="3">
        <f>IF(ISNUMBER(C88),IF(C88&gt;0,IF(C77="是",C43/C75+C44/C88,"TTFT 不可達"),"SLO 不可達"),"SLO 不可達")</f>
        <v/>
      </c>
      <c r="N51" s="3" t="inlineStr">
        <is>
          <t>20261015_稽核修正1.md</t>
        </is>
      </c>
      <c r="O51" s="3" t="inlineStr"/>
      <c r="P51" s="3" t="inlineStr"/>
    </row>
    <row r="52">
      <c r="A52" s="3" t="inlineStr">
        <is>
          <t>Perf_Batch</t>
        </is>
      </c>
      <c r="B52" s="3" t="n">
        <v>94</v>
      </c>
      <c r="C52" s="3" t="inlineStr">
        <is>
          <t>prefill GPU 占比</t>
        </is>
      </c>
      <c r="D52" s="3" t="inlineStr">
        <is>
          <t>0.062994</t>
        </is>
      </c>
      <c r="E52" s="3" t="n">
        <v>17</v>
      </c>
      <c r="F52" s="3" t="inlineStr">
        <is>
          <t>C94:S94</t>
        </is>
      </c>
      <c r="G52" s="3" t="inlineStr">
        <is>
          <t>R22b</t>
        </is>
      </c>
      <c r="H52" s="3" t="inlineStr">
        <is>
          <t>保留：顯示用</t>
        </is>
      </c>
      <c r="I52" s="3" t="inlineStr">
        <is>
          <t>—</t>
        </is>
      </c>
      <c r="J52" s="3" t="inlineStr"/>
      <c r="K52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2" s="3" t="inlineStr">
        <is>
          <t>否</t>
        </is>
      </c>
      <c r="M52" s="3">
        <f>IF(ISNUMBER(C93),IF(C93&gt;0,(C43/C75)/C93,0),C93)</f>
        <v/>
      </c>
      <c r="N52" s="3" t="inlineStr"/>
      <c r="O52" s="3" t="inlineStr"/>
      <c r="P52" s="3" t="inlineStr"/>
    </row>
    <row r="53">
      <c r="A53" s="3" t="inlineStr">
        <is>
          <t>Perf_Batch</t>
        </is>
      </c>
      <c r="B53" s="3" t="n">
        <v>95</v>
      </c>
      <c r="C53" s="3" t="inlineStr">
        <is>
          <t>每架總 tok/s</t>
        </is>
      </c>
      <c r="D53" s="3" t="inlineStr">
        <is>
          <t>55539.730458</t>
        </is>
      </c>
      <c r="E53" s="3" t="n">
        <v>17</v>
      </c>
      <c r="F53" s="3" t="inlineStr">
        <is>
          <t>C95:S95</t>
        </is>
      </c>
      <c r="G53" s="3" t="inlineStr">
        <is>
          <t>R22b</t>
        </is>
      </c>
      <c r="H53" s="3" t="inlineStr">
        <is>
          <t>保留：顯示用</t>
        </is>
      </c>
      <c r="I53" s="3" t="inlineStr">
        <is>
          <t>—</t>
        </is>
      </c>
      <c r="J53" s="3" t="inlineStr"/>
      <c r="K53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3" s="3" t="inlineStr">
        <is>
          <t>否</t>
        </is>
      </c>
      <c r="M53" s="3">
        <f>IF(ISNUMBER(C93),IF(C93&gt;0,C22*(C43+C44)/C93,0),C93)</f>
        <v/>
      </c>
      <c r="N53" s="3" t="inlineStr"/>
      <c r="O53" s="3" t="inlineStr"/>
      <c r="P53" s="3" t="inlineStr"/>
    </row>
    <row r="54">
      <c r="A54" s="3" t="inlineStr">
        <is>
          <t>Perf_Batch</t>
        </is>
      </c>
      <c r="B54" s="3" t="n">
        <v>96</v>
      </c>
      <c r="C54" s="3" t="inlineStr">
        <is>
          <t>每架 decode tok/s</t>
        </is>
      </c>
      <c r="D54" s="3" t="inlineStr">
        <is>
          <t>37026.486972</t>
        </is>
      </c>
      <c r="E54" s="3" t="n">
        <v>17</v>
      </c>
      <c r="F54" s="3" t="inlineStr">
        <is>
          <t>C96:S96</t>
        </is>
      </c>
      <c r="G54" s="3" t="inlineStr">
        <is>
          <t>R22b</t>
        </is>
      </c>
      <c r="H54" s="3" t="inlineStr">
        <is>
          <t>保留：顯示用</t>
        </is>
      </c>
      <c r="I54" s="3" t="inlineStr">
        <is>
          <t>—</t>
        </is>
      </c>
      <c r="J54" s="3" t="inlineStr"/>
      <c r="K54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4" s="3" t="inlineStr">
        <is>
          <t>否</t>
        </is>
      </c>
      <c r="M54" s="3">
        <f>IF(ISNUMBER(C95),C95*C44/(C43+C44),C95)</f>
        <v/>
      </c>
      <c r="N54" s="3" t="inlineStr"/>
      <c r="O54" s="3" t="inlineStr"/>
      <c r="P54" s="3" t="inlineStr"/>
    </row>
    <row r="55">
      <c r="A55" s="3" t="inlineStr">
        <is>
          <t>Perf_Batch</t>
        </is>
      </c>
      <c r="B55" s="3" t="n">
        <v>97</v>
      </c>
      <c r="C55" s="3" t="inlineStr">
        <is>
          <t>每架 prefill tok/s</t>
        </is>
      </c>
      <c r="D55" s="3" t="inlineStr">
        <is>
          <t>18513.243486</t>
        </is>
      </c>
      <c r="E55" s="3" t="n">
        <v>17</v>
      </c>
      <c r="F55" s="3" t="inlineStr">
        <is>
          <t>C97:S97</t>
        </is>
      </c>
      <c r="G55" s="3" t="inlineStr">
        <is>
          <t>R22b</t>
        </is>
      </c>
      <c r="H55" s="3" t="inlineStr">
        <is>
          <t>保留：顯示用</t>
        </is>
      </c>
      <c r="I55" s="3" t="inlineStr">
        <is>
          <t>—</t>
        </is>
      </c>
      <c r="J55" s="3" t="inlineStr"/>
      <c r="K55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5" s="3" t="inlineStr">
        <is>
          <t>否</t>
        </is>
      </c>
      <c r="M55" s="3">
        <f>IF(ISNUMBER(C95),C95-C96,C95)</f>
        <v/>
      </c>
      <c r="N55" s="3" t="inlineStr"/>
      <c r="O55" s="3" t="inlineStr"/>
      <c r="P55" s="3" t="inlineStr"/>
    </row>
    <row r="56">
      <c r="A56" s="3" t="inlineStr">
        <is>
          <t>Perf_Batch</t>
        </is>
      </c>
      <c r="B56" s="3" t="n">
        <v>98</v>
      </c>
      <c r="C56" s="3" t="inlineStr">
        <is>
          <t>每 GW 總產出</t>
        </is>
      </c>
      <c r="D56" s="3" t="inlineStr">
        <is>
          <t>39301929586.3401</t>
        </is>
      </c>
      <c r="E56" s="3" t="n">
        <v>17</v>
      </c>
      <c r="F56" s="3" t="inlineStr">
        <is>
          <t>C98:S98</t>
        </is>
      </c>
      <c r="G56" s="3" t="inlineStr">
        <is>
          <t>R22a</t>
        </is>
      </c>
      <c r="H56" s="3" t="inlineStr">
        <is>
          <t>保留：顯示用</t>
        </is>
      </c>
      <c r="I56" s="3" t="inlineStr">
        <is>
          <t>—</t>
        </is>
      </c>
      <c r="J56" s="3" t="inlineStr"/>
      <c r="K56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6" s="3" t="inlineStr">
        <is>
          <t>否</t>
        </is>
      </c>
      <c r="M56" s="3">
        <f>IF(ISNUMBER(C95),C95*C25*8760*3600/1000000,C95)</f>
        <v/>
      </c>
      <c r="N56" s="3" t="inlineStr"/>
      <c r="O56" s="3" t="inlineStr"/>
      <c r="P56" s="3" t="inlineStr"/>
    </row>
    <row r="57">
      <c r="A57" s="3" t="inlineStr">
        <is>
          <t>Perf_Batch</t>
        </is>
      </c>
      <c r="B57" s="3" t="n">
        <v>99</v>
      </c>
      <c r="C57" s="3" t="inlineStr">
        <is>
          <t>每 GW decode 產出</t>
        </is>
      </c>
      <c r="D57" s="3" t="inlineStr">
        <is>
          <t>26201286390.8934</t>
        </is>
      </c>
      <c r="E57" s="3" t="n">
        <v>17</v>
      </c>
      <c r="F57" s="3" t="inlineStr">
        <is>
          <t>C99:S99</t>
        </is>
      </c>
      <c r="G57" s="3" t="inlineStr">
        <is>
          <t>R22a</t>
        </is>
      </c>
      <c r="H57" s="3" t="inlineStr">
        <is>
          <t>保留：顯示用</t>
        </is>
      </c>
      <c r="I57" s="3" t="inlineStr">
        <is>
          <t>—</t>
        </is>
      </c>
      <c r="J57" s="3" t="inlineStr"/>
      <c r="K57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7" s="3" t="inlineStr">
        <is>
          <t>否</t>
        </is>
      </c>
      <c r="M57" s="3">
        <f>IF(ISNUMBER(C96),C96*C25*8760*3600/1000000,C96)</f>
        <v/>
      </c>
      <c r="N57" s="3" t="inlineStr"/>
      <c r="O57" s="3" t="inlineStr"/>
      <c r="P57" s="3" t="inlineStr"/>
    </row>
    <row r="58">
      <c r="A58" s="3" t="inlineStr">
        <is>
          <t>Perf_Batch</t>
        </is>
      </c>
      <c r="B58" s="3" t="n">
        <v>102</v>
      </c>
      <c r="C58" s="3" t="inlineStr">
        <is>
          <t>快取命中 prefill（KV 載入）</t>
        </is>
      </c>
      <c r="D58" s="3" t="inlineStr">
        <is>
          <t>0.02795</t>
        </is>
      </c>
      <c r="E58" s="3" t="n">
        <v>17</v>
      </c>
      <c r="F58" s="3" t="inlineStr">
        <is>
          <t>C102:S102</t>
        </is>
      </c>
      <c r="G58" s="3" t="inlineStr">
        <is>
          <t>R22a</t>
        </is>
      </c>
      <c r="H58" s="3" t="inlineStr">
        <is>
          <t>保留：顯示用</t>
        </is>
      </c>
      <c r="I58" s="3" t="inlineStr">
        <is>
          <t>—</t>
        </is>
      </c>
      <c r="J58" s="3" t="inlineStr"/>
      <c r="K58" s="3" t="inlineStr">
        <is>
          <t>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8" s="3" t="inlineStr">
        <is>
          <t>否</t>
        </is>
      </c>
      <c r="M58" s="3">
        <f>1000000*C34/(C62*1000000000000)</f>
        <v/>
      </c>
      <c r="N58" s="3" t="inlineStr"/>
      <c r="O58" s="3" t="inlineStr"/>
      <c r="P58" s="3" t="inlineStr"/>
    </row>
    <row r="59">
      <c r="A59" s="3" t="inlineStr">
        <is>
          <t>Perf_Batch</t>
        </is>
      </c>
      <c r="B59" s="3" t="n">
        <v>107</v>
      </c>
      <c r="C59" s="3" t="inlineStr">
        <is>
          <t>運算能量</t>
        </is>
      </c>
      <c r="D59" s="3" t="inlineStr">
        <is>
          <t>0.212228</t>
        </is>
      </c>
      <c r="E59" s="3" t="n">
        <v>17</v>
      </c>
      <c r="F59" s="3" t="inlineStr">
        <is>
          <t>C107:S107</t>
        </is>
      </c>
      <c r="G59" s="3" t="inlineStr">
        <is>
          <t>R22b</t>
        </is>
      </c>
      <c r="H59" s="3" t="inlineStr">
        <is>
          <t>保留：顯示用</t>
        </is>
      </c>
      <c r="I59" s="3" t="inlineStr">
        <is>
          <t>—</t>
        </is>
      </c>
      <c r="J59" s="3" t="inlineStr"/>
      <c r="K59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59" s="3" t="inlineStr">
        <is>
          <t>否</t>
        </is>
      </c>
      <c r="M59" s="3">
        <f>C23*Energy!$C$5/(C14*1000000000000000)*1000000000000</f>
        <v/>
      </c>
      <c r="N59" s="3" t="inlineStr"/>
      <c r="O59" s="3" t="inlineStr"/>
      <c r="P59" s="3" t="inlineStr"/>
    </row>
    <row r="60">
      <c r="A60" s="3" t="inlineStr">
        <is>
          <t>Perf_Batch</t>
        </is>
      </c>
      <c r="B60" s="3" t="n">
        <v>108</v>
      </c>
      <c r="C60" s="3" t="inlineStr">
        <is>
          <t>EP 通訊能量</t>
        </is>
      </c>
      <c r="D60" s="3" t="inlineStr">
        <is>
          <t>40</t>
        </is>
      </c>
      <c r="E60" s="3" t="n">
        <v>17</v>
      </c>
      <c r="F60" s="3" t="inlineStr">
        <is>
          <t>C108:S108</t>
        </is>
      </c>
      <c r="G60" s="3" t="inlineStr">
        <is>
          <t>R22b</t>
        </is>
      </c>
      <c r="H60" s="3" t="inlineStr">
        <is>
          <t>保留：顯示用</t>
        </is>
      </c>
      <c r="I60" s="3" t="inlineStr">
        <is>
          <t>—</t>
        </is>
      </c>
      <c r="J60" s="3" t="inlineStr"/>
      <c r="K60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0" s="3" t="inlineStr">
        <is>
          <t>否</t>
        </is>
      </c>
      <c r="M60" s="3">
        <f>IF(C$6=1,Energy!$C$7,Energy!$C$6)</f>
        <v/>
      </c>
      <c r="N60" s="3" t="inlineStr"/>
      <c r="O60" s="3" t="inlineStr"/>
      <c r="P60" s="3" t="inlineStr"/>
    </row>
    <row r="61">
      <c r="A61" s="3" t="inlineStr">
        <is>
          <t>Perf_Batch</t>
        </is>
      </c>
      <c r="B61" s="3" t="n">
        <v>109</v>
      </c>
      <c r="C61" s="3" t="inlineStr">
        <is>
          <t>decode FLOPs/接受 token（含草稿驗證）</t>
        </is>
      </c>
      <c r="D61" s="3" t="inlineStr">
        <is>
          <t>61.140461</t>
        </is>
      </c>
      <c r="E61" s="3" t="n">
        <v>17</v>
      </c>
      <c r="F61" s="3" t="inlineStr">
        <is>
          <t>C109:S109</t>
        </is>
      </c>
      <c r="G61" s="3" t="inlineStr">
        <is>
          <t>R22b</t>
        </is>
      </c>
      <c r="H61" s="3" t="inlineStr">
        <is>
          <t>保留：顯示用</t>
        </is>
      </c>
      <c r="I61" s="3" t="inlineStr">
        <is>
          <t>—</t>
        </is>
      </c>
      <c r="J61" s="3" t="inlineStr"/>
      <c r="K61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1" s="3" t="inlineStr">
        <is>
          <t>否</t>
        </is>
      </c>
      <c r="M61" s="3">
        <f>(C47+1)*C65/C49</f>
        <v/>
      </c>
      <c r="N61" s="3" t="inlineStr"/>
      <c r="O61" s="3" t="inlineStr"/>
      <c r="P61" s="3" t="inlineStr"/>
    </row>
    <row r="62">
      <c r="A62" s="3" t="inlineStr">
        <is>
          <t>Perf_Batch</t>
        </is>
      </c>
      <c r="B62" s="3" t="n">
        <v>110</v>
      </c>
      <c r="C62" s="3" t="inlineStr">
        <is>
          <t>decode HBM 讀取/接受 token</t>
        </is>
      </c>
      <c r="D62" s="3" t="inlineStr">
        <is>
          <t>0.071477</t>
        </is>
      </c>
      <c r="E62" s="3" t="n">
        <v>17</v>
      </c>
      <c r="F62" s="3" t="inlineStr">
        <is>
          <t>C110:S110</t>
        </is>
      </c>
      <c r="G62" s="3" t="inlineStr">
        <is>
          <t>R22b</t>
        </is>
      </c>
      <c r="H62" s="3" t="inlineStr">
        <is>
          <t>保留：顯示用</t>
        </is>
      </c>
      <c r="I62" s="3" t="inlineStr">
        <is>
          <t>—</t>
        </is>
      </c>
      <c r="J62" s="3" t="inlineStr"/>
      <c r="K62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2" s="3" t="inlineStr">
        <is>
          <t>否</t>
        </is>
      </c>
      <c r="M62" s="3">
        <f>IF(C87&gt;0,(C72+C87*C34*C45/1000000000)/(C87*C49),0)</f>
        <v/>
      </c>
      <c r="N62" s="3" t="inlineStr"/>
      <c r="O62" s="3" t="inlineStr"/>
      <c r="P62" s="3" t="inlineStr"/>
    </row>
    <row r="63">
      <c r="A63" s="3" t="inlineStr">
        <is>
          <t>Perf_Batch</t>
        </is>
      </c>
      <c r="B63" s="3" t="n">
        <v>111</v>
      </c>
      <c r="C63" s="3" t="inlineStr">
        <is>
          <t>decode EP 傳輸/接受 token</t>
        </is>
      </c>
      <c r="D63" s="3" t="inlineStr">
        <is>
          <t>0.005006</t>
        </is>
      </c>
      <c r="E63" s="3" t="n">
        <v>17</v>
      </c>
      <c r="F63" s="3" t="inlineStr">
        <is>
          <t>C111:S111</t>
        </is>
      </c>
      <c r="G63" s="3" t="inlineStr">
        <is>
          <t>R22b</t>
        </is>
      </c>
      <c r="H63" s="3" t="inlineStr">
        <is>
          <t>保留：顯示用</t>
        </is>
      </c>
      <c r="I63" s="3" t="inlineStr">
        <is>
          <t>—</t>
        </is>
      </c>
      <c r="J63" s="3" t="inlineStr"/>
      <c r="K63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3" s="3" t="inlineStr">
        <is>
          <t>否</t>
        </is>
      </c>
      <c r="M63" s="3">
        <f>(C47+1)*C29*C31*C30*C59/C49/1000000000</f>
        <v/>
      </c>
      <c r="N63" s="3" t="inlineStr"/>
      <c r="O63" s="3" t="inlineStr"/>
      <c r="P63" s="3" t="inlineStr"/>
    </row>
    <row r="64">
      <c r="A64" s="3" t="inlineStr">
        <is>
          <t>Perf_Batch</t>
        </is>
      </c>
      <c r="B64" s="3" t="n">
        <v>112</v>
      </c>
      <c r="C64" s="3" t="inlineStr">
        <is>
          <t>decode 物理下限能量</t>
        </is>
      </c>
      <c r="D64" s="3" t="inlineStr">
        <is>
          <t>0.015392</t>
        </is>
      </c>
      <c r="E64" s="3" t="n">
        <v>17</v>
      </c>
      <c r="F64" s="3" t="inlineStr">
        <is>
          <t>C112:S112</t>
        </is>
      </c>
      <c r="G64" s="3" t="inlineStr">
        <is>
          <t>R22b</t>
        </is>
      </c>
      <c r="H64" s="3" t="inlineStr">
        <is>
          <t>保留：顯示用</t>
        </is>
      </c>
      <c r="I64" s="3" t="inlineStr">
        <is>
          <t>—</t>
        </is>
      </c>
      <c r="J64" s="3" t="inlineStr"/>
      <c r="K64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4" s="3" t="inlineStr">
        <is>
          <t>否</t>
        </is>
      </c>
      <c r="M64" s="3">
        <f>(C109*C107+C110*C24+C111*C108)/1000</f>
        <v/>
      </c>
      <c r="N64" s="3" t="inlineStr"/>
      <c r="O64" s="3" t="inlineStr"/>
      <c r="P64" s="3" t="inlineStr"/>
    </row>
    <row r="65">
      <c r="A65" s="3" t="inlineStr">
        <is>
          <t>Perf_Batch</t>
        </is>
      </c>
      <c r="B65" s="3" t="n">
        <v>113</v>
      </c>
      <c r="C65" s="3" t="inlineStr">
        <is>
          <t>prefill 物理下限能量</t>
        </is>
      </c>
      <c r="D65" s="3" t="inlineStr">
        <is>
          <t>0.006856</t>
        </is>
      </c>
      <c r="E65" s="3" t="n">
        <v>17</v>
      </c>
      <c r="F65" s="3" t="inlineStr">
        <is>
          <t>C113:S113</t>
        </is>
      </c>
      <c r="G65" s="3" t="inlineStr">
        <is>
          <t>R22b</t>
        </is>
      </c>
      <c r="H65" s="3" t="inlineStr">
        <is>
          <t>保留：顯示用</t>
        </is>
      </c>
      <c r="I65" s="3" t="inlineStr">
        <is>
          <t>—</t>
        </is>
      </c>
      <c r="J65" s="3" t="inlineStr"/>
      <c r="K65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5" s="3" t="inlineStr">
        <is>
          <t>否</t>
        </is>
      </c>
      <c r="M65" s="3">
        <f>C67*C107/1000</f>
        <v/>
      </c>
      <c r="N65" s="3" t="inlineStr"/>
      <c r="O65" s="3" t="inlineStr"/>
      <c r="P65" s="3" t="inlineStr"/>
    </row>
    <row r="66">
      <c r="A66" s="3" t="inlineStr">
        <is>
          <t>Perf_Batch</t>
        </is>
      </c>
      <c r="B66" s="3" t="n">
        <v>114</v>
      </c>
      <c r="C66" s="3" t="inlineStr">
        <is>
          <t>物理下限功率（每架）</t>
        </is>
      </c>
      <c r="D66" s="3" t="inlineStr">
        <is>
          <t>0.696835</t>
        </is>
      </c>
      <c r="E66" s="3" t="n">
        <v>17</v>
      </c>
      <c r="F66" s="3" t="inlineStr">
        <is>
          <t>C114:S114</t>
        </is>
      </c>
      <c r="G66" s="3" t="inlineStr">
        <is>
          <t>R22b</t>
        </is>
      </c>
      <c r="H66" s="3" t="inlineStr">
        <is>
          <t>保留：顯示用</t>
        </is>
      </c>
      <c r="I66" s="3" t="inlineStr">
        <is>
          <t>—</t>
        </is>
      </c>
      <c r="J66" s="3" t="inlineStr"/>
      <c r="K66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6" s="3" t="inlineStr">
        <is>
          <t>否</t>
        </is>
      </c>
      <c r="M66" s="3">
        <f>IF(ISNUMBER(C95),(C97*C113+C96*C112)/1000,C95)</f>
        <v/>
      </c>
      <c r="N66" s="3" t="inlineStr"/>
      <c r="O66" s="3" t="inlineStr"/>
      <c r="P66" s="3" t="inlineStr"/>
    </row>
    <row r="67">
      <c r="A67" s="3" t="inlineStr">
        <is>
          <t>Perf_Batch</t>
        </is>
      </c>
      <c r="B67" s="3" t="n">
        <v>115</v>
      </c>
      <c r="C67" s="3" t="inlineStr">
        <is>
          <t>機架平均用電（Block 1 假設）</t>
        </is>
      </c>
      <c r="D67" s="3" t="inlineStr">
        <is>
          <t>32.8</t>
        </is>
      </c>
      <c r="E67" s="3" t="n">
        <v>17</v>
      </c>
      <c r="F67" s="3" t="inlineStr">
        <is>
          <t>C115:S115</t>
        </is>
      </c>
      <c r="G67" s="3" t="inlineStr">
        <is>
          <t>R22b</t>
        </is>
      </c>
      <c r="H67" s="3" t="inlineStr">
        <is>
          <t>保留：顯示用</t>
        </is>
      </c>
      <c r="I67" s="3" t="inlineStr">
        <is>
          <t>—</t>
        </is>
      </c>
      <c r="J67" s="3" t="inlineStr"/>
      <c r="K67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7" s="3" t="inlineStr">
        <is>
          <t>否</t>
        </is>
      </c>
      <c r="M67" s="3">
        <f>C26*Inputs!$E$10</f>
        <v/>
      </c>
      <c r="N67" s="3" t="inlineStr"/>
      <c r="O67" s="3" t="inlineStr"/>
      <c r="P67" s="3" t="inlineStr"/>
    </row>
    <row r="68">
      <c r="A68" s="3" t="inlineStr">
        <is>
          <t>Perf_Batch</t>
        </is>
      </c>
      <c r="B68" s="3" t="n">
        <v>116</v>
      </c>
      <c r="C68" s="3" t="inlineStr">
        <is>
          <t>閉合比（下限 ÷ 平均用電；須 ≤ 100%）</t>
        </is>
      </c>
      <c r="D68" s="3" t="inlineStr">
        <is>
          <t>0.021245</t>
        </is>
      </c>
      <c r="E68" s="3" t="n">
        <v>17</v>
      </c>
      <c r="F68" s="3" t="inlineStr">
        <is>
          <t>C116:S116</t>
        </is>
      </c>
      <c r="G68" s="3" t="inlineStr">
        <is>
          <t>R22a</t>
        </is>
      </c>
      <c r="H68" s="3" t="inlineStr">
        <is>
          <t>保留：顯示用</t>
        </is>
      </c>
      <c r="I68" s="3" t="inlineStr">
        <is>
          <t>—</t>
        </is>
      </c>
      <c r="J68" s="3" t="inlineStr"/>
      <c r="K68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8" s="3" t="inlineStr">
        <is>
          <t>否</t>
        </is>
      </c>
      <c r="M68" s="3">
        <f>IF(ISNUMBER(C114),IF(C115&gt;0,C114/C115,0),C114)</f>
        <v/>
      </c>
      <c r="N68" s="3" t="inlineStr"/>
      <c r="O68" s="3" t="inlineStr"/>
      <c r="P68" s="3" t="inlineStr"/>
    </row>
    <row r="69">
      <c r="A69" s="3" t="inlineStr">
        <is>
          <t>Perf_Batch</t>
        </is>
      </c>
      <c r="B69" s="3" t="n">
        <v>117</v>
      </c>
      <c r="C69" s="3" t="inlineStr">
        <is>
          <t>tokens／焦耳（總 token，平均用電口徑）</t>
        </is>
      </c>
      <c r="D69" s="3" t="inlineStr">
        <is>
          <t>1.693284</t>
        </is>
      </c>
      <c r="E69" s="3" t="n">
        <v>17</v>
      </c>
      <c r="F69" s="3" t="inlineStr">
        <is>
          <t>C117:S117</t>
        </is>
      </c>
      <c r="G69" s="3" t="inlineStr">
        <is>
          <t>R22a</t>
        </is>
      </c>
      <c r="H69" s="3" t="inlineStr">
        <is>
          <t>保留：顯示用</t>
        </is>
      </c>
      <c r="I69" s="3" t="inlineStr">
        <is>
          <t>—</t>
        </is>
      </c>
      <c r="J69" s="3" t="inlineStr"/>
      <c r="K69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69" s="3" t="inlineStr">
        <is>
          <t>否</t>
        </is>
      </c>
      <c r="M69" s="3">
        <f>IF(ISNUMBER(C95),C95/(C115*1000),C95)</f>
        <v/>
      </c>
      <c r="N69" s="3" t="inlineStr"/>
      <c r="O69" s="3" t="inlineStr"/>
      <c r="P69" s="3" t="inlineStr"/>
    </row>
    <row r="70">
      <c r="A70" s="3" t="inlineStr">
        <is>
          <t>Perf_Batch</t>
        </is>
      </c>
      <c r="B70" s="3" t="n">
        <v>118</v>
      </c>
      <c r="C70" s="3" t="inlineStr">
        <is>
          <t>每 decode token 實際能量（平均用電口徑）</t>
        </is>
      </c>
      <c r="D70" s="3" t="inlineStr">
        <is>
          <t>0.830049</t>
        </is>
      </c>
      <c r="E70" s="3" t="n">
        <v>17</v>
      </c>
      <c r="F70" s="3" t="inlineStr">
        <is>
          <t>C118:S118</t>
        </is>
      </c>
      <c r="G70" s="3" t="inlineStr">
        <is>
          <t>R22a</t>
        </is>
      </c>
      <c r="H70" s="3" t="inlineStr">
        <is>
          <t>保留：顯示用</t>
        </is>
      </c>
      <c r="I70" s="3" t="inlineStr">
        <is>
          <t>—</t>
        </is>
      </c>
      <c r="J70" s="3" t="inlineStr"/>
      <c r="K70" s="3" t="inlineStr">
        <is>
          <t>能量閉合（J 節）的逐步讀數；Perf_Batch 的能量閉合不進 Checks（Checks B26 只讀 Perf 第 116 列）。與 Perf 逐列鏡像（D13；test_perf_batch_differs_only_on_whitelist_rows 以 Perf 為準逐格比對）：批次引擎沿用同一條推導鏈，Training 只取其中幾列，其餘列不進輸出但屬鏡像形狀；刪除須連同 Perf／Perf_Prod 同列並改白名單，收益小。補『用途』標記。</t>
        </is>
      </c>
      <c r="L70" s="3" t="inlineStr">
        <is>
          <t>否</t>
        </is>
      </c>
      <c r="M70" s="3">
        <f>IF(ISNUMBER(C96),IF(C96&gt;0,C115*1000*(1-C94)/C96,0),C96)</f>
        <v/>
      </c>
      <c r="N70" s="3" t="inlineStr"/>
      <c r="O70" s="3" t="inlineStr"/>
      <c r="P70" s="3" t="inlineStr"/>
    </row>
    <row r="71">
      <c r="A71" s="3" t="inlineStr">
        <is>
          <t>Perf_Batch</t>
        </is>
      </c>
      <c r="B71" s="3" t="n">
        <v>120</v>
      </c>
      <c r="C71" s="3" t="inlineStr">
        <is>
          <t>decode 有效 MFU（對 Perf 計算用峰值）</t>
        </is>
      </c>
      <c r="D71" s="3" t="inlineStr">
        <is>
          <t>0.024159</t>
        </is>
      </c>
      <c r="E71" s="3" t="n">
        <v>17</v>
      </c>
      <c r="F71" s="3" t="inlineStr">
        <is>
          <t>C120:S120</t>
        </is>
      </c>
      <c r="G71" s="3" t="inlineStr">
        <is>
          <t>R22a</t>
        </is>
      </c>
      <c r="H71" s="3" t="inlineStr">
        <is>
          <t>保留：顯示用</t>
        </is>
      </c>
      <c r="I71" s="3" t="inlineStr">
        <is>
          <t>8</t>
        </is>
      </c>
      <c r="J71" s="3" t="inlineStr"/>
      <c r="K71" s="3" t="inlineStr">
        <is>
          <t>Perf_Batch 專屬閱讀列（D13 白名單）：decode 有效 MFU（對 Perf 峰值／對 FP8 訓練峰值），用來解讀 IF_RLMFU_*（RL 有效 MFU 只有幾 %）為何偏低。</t>
        </is>
      </c>
      <c r="L71" s="3" t="inlineStr">
        <is>
          <t>否</t>
        </is>
      </c>
      <c r="M71" s="3">
        <f>IF(C88&gt;0,C88*C65*1000000000/(C14*1000000000000000),0)</f>
        <v/>
      </c>
      <c r="N71" s="3" t="inlineStr"/>
      <c r="O71" s="3" t="inlineStr"/>
      <c r="P71" s="3" t="inlineStr"/>
    </row>
    <row r="72">
      <c r="A72" s="3" t="inlineStr">
        <is>
          <t>Perf_Batch</t>
        </is>
      </c>
      <c r="B72" s="3" t="n">
        <v>121</v>
      </c>
      <c r="C72" s="3" t="inlineStr">
        <is>
          <t>decode 有效 MFU（對 FP8 訓練峰值）</t>
        </is>
      </c>
      <c r="D72" s="3" t="inlineStr">
        <is>
          <t>0.024159</t>
        </is>
      </c>
      <c r="E72" s="3" t="n">
        <v>17</v>
      </c>
      <c r="F72" s="3" t="inlineStr">
        <is>
          <t>C121:S121</t>
        </is>
      </c>
      <c r="G72" s="3" t="inlineStr">
        <is>
          <t>R22a</t>
        </is>
      </c>
      <c r="H72" s="3" t="inlineStr">
        <is>
          <t>保留：顯示用</t>
        </is>
      </c>
      <c r="I72" s="3" t="inlineStr">
        <is>
          <t>8</t>
        </is>
      </c>
      <c r="J72" s="3" t="inlineStr"/>
      <c r="K72" s="3" t="inlineStr">
        <is>
          <t>Perf_Batch 專屬閱讀列（D13 白名單）：decode 有效 MFU（對 Perf 峰值／對 FP8 訓練峰值），用來解讀 IF_RLMFU_*（RL 有效 MFU 只有幾 %）為何偏低。</t>
        </is>
      </c>
      <c r="L72" s="3" t="inlineStr">
        <is>
          <t>否</t>
        </is>
      </c>
      <c r="M72" s="3">
        <f>IF(C88&gt;0,C88*C65*1000000000/(INDEX(Spec_Rack!$C$40:$G$40,C$6)*1000000000000000),0)</f>
        <v/>
      </c>
      <c r="N72" s="3" t="inlineStr"/>
      <c r="O72" s="3" t="inlineStr"/>
      <c r="P72" s="3" t="inlineStr"/>
    </row>
    <row r="73">
      <c r="A73" s="3" t="inlineStr">
        <is>
          <t>Training</t>
        </is>
      </c>
      <c r="B73" s="3" t="n">
        <v>19</v>
      </c>
      <c r="C73" s="3" t="inlineStr">
        <is>
          <t>每 GPU 小時持有成本 — 經濟（基準成本）</t>
        </is>
      </c>
      <c r="D73" s="3" t="inlineStr">
        <is>
          <t>1.542597</t>
        </is>
      </c>
      <c r="E73" s="3" t="n">
        <v>15</v>
      </c>
      <c r="F73" s="3" t="inlineStr">
        <is>
          <t>C19:Q19</t>
        </is>
      </c>
      <c r="G73" s="3" t="inlineStr">
        <is>
          <t>R22b</t>
        </is>
      </c>
      <c r="H73" s="3" t="inlineStr">
        <is>
          <t>保留：顯示用</t>
        </is>
      </c>
      <c r="I73" s="3" t="inlineStr">
        <is>
          <t>8</t>
        </is>
      </c>
      <c r="J73" s="3" t="inlineStr"/>
      <c r="K73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73" s="3" t="inlineStr">
        <is>
          <t>否</t>
        </is>
      </c>
      <c r="M73" s="3">
        <f>INDEX(DC_Cost!$C$58:$Q$58,3*(C$6-1)+2)</f>
        <v/>
      </c>
      <c r="N73" s="3" t="inlineStr"/>
      <c r="O73" s="3" t="inlineStr"/>
      <c r="P73" s="3" t="inlineStr"/>
    </row>
    <row r="74">
      <c r="A74" s="3" t="inlineStr">
        <is>
          <t>Training</t>
        </is>
      </c>
      <c r="B74" s="3" t="n">
        <v>20</v>
      </c>
      <c r="C74" s="3" t="inlineStr">
        <is>
          <t>每 GPU 小時持有成本 — 會計（基準成本）</t>
        </is>
      </c>
      <c r="D74" s="3" t="inlineStr">
        <is>
          <t>1.129413</t>
        </is>
      </c>
      <c r="E74" s="3" t="n">
        <v>15</v>
      </c>
      <c r="F74" s="3" t="inlineStr">
        <is>
          <t>C20:Q20</t>
        </is>
      </c>
      <c r="G74" s="3" t="inlineStr">
        <is>
          <t>R22b</t>
        </is>
      </c>
      <c r="H74" s="3" t="inlineStr">
        <is>
          <t>保留：顯示用</t>
        </is>
      </c>
      <c r="I74" s="3" t="inlineStr">
        <is>
          <t>8</t>
        </is>
      </c>
      <c r="J74" s="3" t="inlineStr"/>
      <c r="K74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74" s="3" t="inlineStr">
        <is>
          <t>否</t>
        </is>
      </c>
      <c r="M74" s="3">
        <f>INDEX(DC_Cost!$C$57:$Q$57,3*(C$6-1)+2)</f>
        <v/>
      </c>
      <c r="N74" s="3" t="inlineStr"/>
      <c r="O74" s="3" t="inlineStr"/>
      <c r="P74" s="3" t="inlineStr"/>
    </row>
    <row r="75">
      <c r="A75" s="3" t="inlineStr">
        <is>
          <t>Training</t>
        </is>
      </c>
      <c r="B75" s="3" t="n">
        <v>79</v>
      </c>
      <c r="C75" s="3" t="inlineStr">
        <is>
          <t>RL ÷ 預訓練（FLOPs）</t>
        </is>
      </c>
      <c r="D75" s="3" t="inlineStr">
        <is>
          <t>0.13997</t>
        </is>
      </c>
      <c r="E75" s="3" t="n">
        <v>15</v>
      </c>
      <c r="F75" s="3" t="inlineStr">
        <is>
          <t>C79:Q79</t>
        </is>
      </c>
      <c r="G75" s="3" t="inlineStr">
        <is>
          <t>R22a</t>
        </is>
      </c>
      <c r="H75" s="3" t="inlineStr">
        <is>
          <t>保留：顯示用</t>
        </is>
      </c>
      <c r="I75" s="3" t="inlineStr">
        <is>
          <t>8</t>
        </is>
      </c>
      <c r="J75" s="3" t="inlineStr"/>
      <c r="K75" s="3" t="inlineStr">
        <is>
          <t>RL ÷ 預訓練（FLOPs 口徑，內部名稱 TRN_RLRatioF）：與 GPU 小時口徑（TRN_RLRatioH＝第 78 列，已進 L1_RLshare_*）並列的對照；Grok 4 宣稱值（Train_In 第 45 列）為算力口徑，需此列對照。</t>
        </is>
      </c>
      <c r="L75" s="3" t="inlineStr">
        <is>
          <t>否</t>
        </is>
      </c>
      <c r="M75" s="3">
        <f>C76/C35</f>
        <v/>
      </c>
      <c r="N75" s="3" t="inlineStr"/>
      <c r="O75" s="3" t="inlineStr"/>
      <c r="P75" s="3" t="inlineStr"/>
    </row>
    <row r="76">
      <c r="A76" s="3" t="inlineStr">
        <is>
          <t>Training</t>
        </is>
      </c>
      <c r="B76" s="3" t="n">
        <v>96</v>
      </c>
      <c r="C76" s="3" t="inlineStr">
        <is>
          <t>生成層級 decode FLOPs/token</t>
        </is>
      </c>
      <c r="D76" s="3" t="inlineStr">
        <is>
          <t>521.061274</t>
        </is>
      </c>
      <c r="E76" s="3" t="n">
        <v>15</v>
      </c>
      <c r="F76" s="3" t="inlineStr">
        <is>
          <t>C96:Q96</t>
        </is>
      </c>
      <c r="G76" s="3" t="inlineStr">
        <is>
          <t>R22b</t>
        </is>
      </c>
      <c r="H76" s="3" t="inlineStr">
        <is>
          <t>升級（隨附上游）</t>
        </is>
      </c>
      <c r="I76" s="3" t="inlineStr">
        <is>
          <t>8</t>
        </is>
      </c>
      <c r="J76" s="3" t="inlineStr"/>
      <c r="K76" s="3" t="inlineStr">
        <is>
          <t>合成資料 FLOPs 的上游（生成層級 decode FLOPs/token）；隨 Training 第 109 列升級而成為核心。</t>
        </is>
      </c>
      <c r="L76" s="3" t="inlineStr">
        <is>
          <t>否</t>
        </is>
      </c>
      <c r="M76" s="3">
        <f>INDEX(Perf_Batch!$C$65:$Q$65,3*(C$6-1)+C94)</f>
        <v/>
      </c>
      <c r="N76" s="3" t="inlineStr"/>
      <c r="O76" s="3" t="inlineStr"/>
      <c r="P76" s="3" t="inlineStr"/>
    </row>
    <row r="77">
      <c r="A77" s="3" t="inlineStr">
        <is>
          <t>Training</t>
        </is>
      </c>
      <c r="B77" s="3" t="n">
        <v>98</v>
      </c>
      <c r="C77" s="3" t="inlineStr">
        <is>
          <t>合成資料 FLOPs</t>
        </is>
      </c>
      <c r="D77" s="3" t="inlineStr">
        <is>
          <t>5.210612736e+23</t>
        </is>
      </c>
      <c r="E77" s="3" t="n">
        <v>15</v>
      </c>
      <c r="F77" s="3" t="inlineStr">
        <is>
          <t>C98:Q98</t>
        </is>
      </c>
      <c r="G77" s="3" t="inlineStr">
        <is>
          <t>R22b</t>
        </is>
      </c>
      <c r="H77" s="3" t="inlineStr">
        <is>
          <t>升級（隨附上游）</t>
        </is>
      </c>
      <c r="I77" s="3" t="inlineStr">
        <is>
          <t>8</t>
        </is>
      </c>
      <c r="J77" s="3" t="inlineStr"/>
      <c r="K77" s="3" t="inlineStr">
        <is>
          <t>最終訓練 FLOPs（第 109 列）的加項（合成資料、評測）；隨第 109 列升級而成為核心。</t>
        </is>
      </c>
      <c r="L77" s="3" t="inlineStr">
        <is>
          <t>否</t>
        </is>
      </c>
      <c r="M77" s="3">
        <f>C93*1000000000000*C96*1000000000</f>
        <v/>
      </c>
      <c r="N77" s="3" t="inlineStr"/>
      <c r="O77" s="3" t="inlineStr"/>
      <c r="P77" s="3" t="inlineStr"/>
    </row>
    <row r="78">
      <c r="A78" s="3" t="inlineStr">
        <is>
          <t>Training</t>
        </is>
      </c>
      <c r="B78" s="3" t="n">
        <v>101</v>
      </c>
      <c r="C78" s="3" t="inlineStr">
        <is>
          <t>評測 FLOPs</t>
        </is>
      </c>
      <c r="D78" s="3" t="inlineStr">
        <is>
          <t>7.7434393673728e+20</t>
        </is>
      </c>
      <c r="E78" s="3" t="n">
        <v>15</v>
      </c>
      <c r="F78" s="3" t="inlineStr">
        <is>
          <t>C101:Q101</t>
        </is>
      </c>
      <c r="G78" s="3" t="inlineStr">
        <is>
          <t>R22b</t>
        </is>
      </c>
      <c r="H78" s="3" t="inlineStr">
        <is>
          <t>升級（隨附上游）</t>
        </is>
      </c>
      <c r="I78" s="3" t="inlineStr">
        <is>
          <t>8</t>
        </is>
      </c>
      <c r="J78" s="3" t="inlineStr"/>
      <c r="K78" s="3" t="inlineStr">
        <is>
          <t>最終訓練 FLOPs（第 109 列）的加項（合成資料、評測）；隨第 109 列升級而成為核心。</t>
        </is>
      </c>
      <c r="L78" s="3" t="inlineStr">
        <is>
          <t>否</t>
        </is>
      </c>
      <c r="M78" s="3">
        <f>C99*1000000000000*C61*1000000000</f>
        <v/>
      </c>
      <c r="N78" s="3" t="inlineStr"/>
      <c r="O78" s="3" t="inlineStr"/>
      <c r="P78" s="3" t="inlineStr"/>
    </row>
    <row r="79">
      <c r="A79" s="3" t="inlineStr">
        <is>
          <t>Training</t>
        </is>
      </c>
      <c r="B79" s="3" t="n">
        <v>109</v>
      </c>
      <c r="C79" s="3" t="inlineStr">
        <is>
          <t>最終訓練 FLOPs</t>
        </is>
      </c>
      <c r="D79" s="3" t="inlineStr">
        <is>
          <t>4.80829842560294e+24</t>
        </is>
      </c>
      <c r="E79" s="3" t="n">
        <v>15</v>
      </c>
      <c r="F79" s="3" t="inlineStr">
        <is>
          <t>C109:Q109</t>
        </is>
      </c>
      <c r="G79" s="3" t="inlineStr">
        <is>
          <t>R22a</t>
        </is>
      </c>
      <c r="H79" s="3" t="inlineStr">
        <is>
          <t>升級</t>
        </is>
      </c>
      <c r="I79" s="3" t="inlineStr">
        <is>
          <t>8</t>
        </is>
      </c>
      <c r="J79" s="3" t="inlineStr">
        <is>
          <t>IF_TrainFLOP_Luna／_Sol／_Astra</t>
        </is>
      </c>
      <c r="K79" s="3" t="inlineStr">
        <is>
          <t>最終訓練 FLOPs（預訓練＋長上下文＋後訓練＋合成資料＋評測）：『訓練一個模型要多少算力』的 FLOPs 表達；Epoch 的 Astra 估計（L1_PretrainFLOP_Astra_Ext）為含後訓練的叢集總算力，需同口徑的模型端對照（現有 L1_PretrainFLOP_Astra 只含預訓練）。</t>
        </is>
      </c>
      <c r="L79" s="3" t="inlineStr">
        <is>
          <t>是</t>
        </is>
      </c>
      <c r="M79" s="3">
        <f>C107+C108+C98+C101</f>
        <v/>
      </c>
      <c r="N79" s="3" t="inlineStr"/>
      <c r="O79" s="3" t="inlineStr"/>
      <c r="P79" s="3" t="inlineStr"/>
    </row>
    <row r="80">
      <c r="A80" s="3" t="inlineStr">
        <is>
          <t>Training</t>
        </is>
      </c>
      <c r="B80" s="3" t="n">
        <v>112</v>
      </c>
      <c r="C80" s="3" t="inlineStr">
        <is>
          <t>推論型 GPU 小時</t>
        </is>
      </c>
      <c r="D80" s="3" t="inlineStr">
        <is>
          <t>4501200.868764</t>
        </is>
      </c>
      <c r="E80" s="3" t="n">
        <v>15</v>
      </c>
      <c r="F80" s="3" t="inlineStr">
        <is>
          <t>C112:Q112</t>
        </is>
      </c>
      <c r="G80" s="3" t="inlineStr">
        <is>
          <t>R22b</t>
        </is>
      </c>
      <c r="H80" s="3" t="inlineStr">
        <is>
          <t>升級（隨附上游）</t>
        </is>
      </c>
      <c r="I80" s="3" t="inlineStr">
        <is>
          <t>8</t>
        </is>
      </c>
      <c r="J80" s="3" t="inlineStr"/>
      <c r="K80" s="3" t="inlineStr">
        <is>
          <t>推論型 GPU 小時：第 114 列『推論型占最終訓練』的分子；隨第 114 列升級。</t>
        </is>
      </c>
      <c r="L80" s="3" t="inlineStr">
        <is>
          <t>否</t>
        </is>
      </c>
      <c r="M80" s="3">
        <f>IF(AND(ISNUMBER(C65),ISNUMBER(C86),ISNUMBER(C97),ISNUMBER(C100)),C65+C74+C86+C87+C97+C100,"SLO 不可達")</f>
        <v/>
      </c>
      <c r="N80" s="3" t="inlineStr"/>
      <c r="O80" s="3" t="inlineStr"/>
      <c r="P80" s="3" t="inlineStr"/>
    </row>
    <row r="81">
      <c r="A81" s="3" t="inlineStr">
        <is>
          <t>Training</t>
        </is>
      </c>
      <c r="B81" s="3" t="n">
        <v>113</v>
      </c>
      <c r="C81" s="3" t="inlineStr">
        <is>
          <t>反向傳播型 GPU 小時</t>
        </is>
      </c>
      <c r="D81" s="3" t="inlineStr">
        <is>
          <t>2790868.587245</t>
        </is>
      </c>
      <c r="E81" s="3" t="n">
        <v>15</v>
      </c>
      <c r="F81" s="3" t="inlineStr">
        <is>
          <t>C113:Q113</t>
        </is>
      </c>
      <c r="G81" s="3" t="inlineStr">
        <is>
          <t>R22a</t>
        </is>
      </c>
      <c r="H81" s="3" t="inlineStr">
        <is>
          <t>保留：顯示用</t>
        </is>
      </c>
      <c r="I81" s="3" t="inlineStr">
        <is>
          <t>8</t>
        </is>
      </c>
      <c r="J81" s="3" t="inlineStr"/>
      <c r="K81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81" s="3" t="inlineStr">
        <is>
          <t>否</t>
        </is>
      </c>
      <c r="M81" s="3">
        <f>C36+C43+C51+C72+C89</f>
        <v/>
      </c>
      <c r="N81" s="3" t="inlineStr"/>
      <c r="O81" s="3" t="inlineStr"/>
      <c r="P81" s="3" t="inlineStr"/>
    </row>
    <row r="82">
      <c r="A82" s="3" t="inlineStr">
        <is>
          <t>Training</t>
        </is>
      </c>
      <c r="B82" s="3" t="n">
        <v>114</v>
      </c>
      <c r="C82" s="3" t="inlineStr">
        <is>
          <t>推論型占最終訓練</t>
        </is>
      </c>
      <c r="D82" s="3" t="inlineStr">
        <is>
          <t>0.617273</t>
        </is>
      </c>
      <c r="E82" s="3" t="n">
        <v>15</v>
      </c>
      <c r="F82" s="3" t="inlineStr">
        <is>
          <t>C114:Q114</t>
        </is>
      </c>
      <c r="G82" s="3" t="inlineStr">
        <is>
          <t>R22a</t>
        </is>
      </c>
      <c r="H82" s="3" t="inlineStr">
        <is>
          <t>升級</t>
        </is>
      </c>
      <c r="I82" s="3" t="inlineStr">
        <is>
          <t>8</t>
        </is>
      </c>
      <c r="J82" s="3" t="inlineStr">
        <is>
          <t>IF_TrainInferShare_Luna／_Sol／_Astra</t>
        </is>
      </c>
      <c r="K82" s="3" t="inlineStr">
        <is>
          <t>推論型（rollout、合成資料、評測、蒸餾教師）占最終訓練 GPU 小時 0.62：『訓練 GPU 小時主要是推論還是反向傳播』是 J11 的設計輸出，屬訓練構成（問 8 同類）；目前只有內部名稱 TRN_InferShare。</t>
        </is>
      </c>
      <c r="L82" s="3" t="inlineStr">
        <is>
          <t>是</t>
        </is>
      </c>
      <c r="M82" s="3">
        <f>IF(AND(ISNUMBER(C112),ISNUMBER(C106)),C112/C106,"SLO 不可達")</f>
        <v/>
      </c>
      <c r="N82" s="3" t="inlineStr"/>
      <c r="O82" s="3" t="inlineStr"/>
      <c r="P82" s="3" t="inlineStr"/>
    </row>
    <row r="83">
      <c r="A83" s="3" t="inlineStr">
        <is>
          <t>Training</t>
        </is>
      </c>
      <c r="B83" s="3" t="n">
        <v>115</v>
      </c>
      <c r="C83" s="3" t="inlineStr">
        <is>
          <t>最終訓練成本 — 經濟</t>
        </is>
      </c>
      <c r="D83" s="3" t="inlineStr">
        <is>
          <t>11.248721</t>
        </is>
      </c>
      <c r="E83" s="3" t="n">
        <v>15</v>
      </c>
      <c r="F83" s="3" t="inlineStr">
        <is>
          <t>C115:Q115</t>
        </is>
      </c>
      <c r="G83" s="3" t="inlineStr">
        <is>
          <t>R22a</t>
        </is>
      </c>
      <c r="H83" s="3" t="inlineStr">
        <is>
          <t>保留：顯示用</t>
        </is>
      </c>
      <c r="I83" s="3" t="inlineStr">
        <is>
          <t>8</t>
        </is>
      </c>
      <c r="J83" s="3" t="inlineStr"/>
      <c r="K83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83" s="3" t="inlineStr">
        <is>
          <t>否</t>
        </is>
      </c>
      <c r="M83" s="3">
        <f>IF(AND(ISNUMBER(C106)),C106*C19/1000000,"SLO 不可達")</f>
        <v/>
      </c>
      <c r="N83" s="3" t="inlineStr"/>
      <c r="O83" s="3" t="inlineStr"/>
      <c r="P83" s="3" t="inlineStr"/>
    </row>
    <row r="84">
      <c r="A84" s="3" t="inlineStr">
        <is>
          <t>Training</t>
        </is>
      </c>
      <c r="B84" s="3" t="n">
        <v>116</v>
      </c>
      <c r="C84" s="3" t="inlineStr">
        <is>
          <t>最終訓練成本 — 會計</t>
        </is>
      </c>
      <c r="D84" s="3" t="inlineStr">
        <is>
          <t>8.235756</t>
        </is>
      </c>
      <c r="E84" s="3" t="n">
        <v>15</v>
      </c>
      <c r="F84" s="3" t="inlineStr">
        <is>
          <t>C116:Q116</t>
        </is>
      </c>
      <c r="G84" s="3" t="inlineStr">
        <is>
          <t>R22a</t>
        </is>
      </c>
      <c r="H84" s="3" t="inlineStr">
        <is>
          <t>保留：顯示用</t>
        </is>
      </c>
      <c r="I84" s="3" t="inlineStr">
        <is>
          <t>8</t>
        </is>
      </c>
      <c r="J84" s="3" t="inlineStr"/>
      <c r="K84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84" s="3" t="inlineStr">
        <is>
          <t>否</t>
        </is>
      </c>
      <c r="M84" s="3">
        <f>IF(AND(ISNUMBER(C106)),C106*C20/1000000,"SLO 不可達")</f>
        <v/>
      </c>
      <c r="N84" s="3" t="inlineStr"/>
      <c r="O84" s="3" t="inlineStr"/>
      <c r="P84" s="3" t="inlineStr"/>
    </row>
    <row r="85">
      <c r="A85" s="3" t="inlineStr">
        <is>
          <t>Training</t>
        </is>
      </c>
      <c r="B85" s="3" t="n">
        <v>121</v>
      </c>
      <c r="C85" s="3" t="inlineStr">
        <is>
          <t>其中：研發實驗（型態未拆分）</t>
        </is>
      </c>
      <c r="D85" s="3" t="inlineStr">
        <is>
          <t>51044486.19206</t>
        </is>
      </c>
      <c r="E85" s="3" t="n">
        <v>15</v>
      </c>
      <c r="F85" s="3" t="inlineStr">
        <is>
          <t>C121:Q121</t>
        </is>
      </c>
      <c r="G85" s="3" t="inlineStr">
        <is>
          <t>R22b</t>
        </is>
      </c>
      <c r="H85" s="3" t="inlineStr">
        <is>
          <t>保留：顯示用</t>
        </is>
      </c>
      <c r="I85" s="3" t="inlineStr">
        <is>
          <t>8</t>
        </is>
      </c>
      <c r="J85" s="3" t="inlineStr"/>
      <c r="K85" s="3" t="inlineStr">
        <is>
          <t>『其中：研發實驗（型態未拆分）』：K 節用途×型態表（第 125–129 列）的上游；K 節保留（見該列）。</t>
        </is>
      </c>
      <c r="L85" s="3" t="inlineStr">
        <is>
          <t>否</t>
        </is>
      </c>
      <c r="M85" s="3">
        <f>IF(AND(ISNUMBER(C120),ISNUMBER(C106)),C120-C106,"SLO 不可達")</f>
        <v/>
      </c>
      <c r="N85" s="3" t="inlineStr"/>
      <c r="O85" s="3" t="inlineStr"/>
      <c r="P85" s="3" t="inlineStr"/>
    </row>
    <row r="86">
      <c r="A86" s="3" t="inlineStr">
        <is>
          <t>Training</t>
        </is>
      </c>
      <c r="B86" s="3" t="n">
        <v>122</v>
      </c>
      <c r="C86" s="3" t="inlineStr">
        <is>
          <t>研發計畫成本 — 經濟</t>
        </is>
      </c>
      <c r="D86" s="3" t="inlineStr">
        <is>
          <t>89.989769</t>
        </is>
      </c>
      <c r="E86" s="3" t="n">
        <v>15</v>
      </c>
      <c r="F86" s="3" t="inlineStr">
        <is>
          <t>C122:Q122</t>
        </is>
      </c>
      <c r="G86" s="3" t="inlineStr">
        <is>
          <t>R22b</t>
        </is>
      </c>
      <c r="H86" s="3" t="inlineStr">
        <is>
          <t>保留：顯示用</t>
        </is>
      </c>
      <c r="I86" s="3" t="inlineStr">
        <is>
          <t>8</t>
        </is>
      </c>
      <c r="J86" s="3" t="inlineStr"/>
      <c r="K86" s="3" t="inlineStr">
        <is>
          <t>敏感度頁（Sens_Train）有同列同標籤的列，常設測試以此核心列為逐格比對基準；刪核心列＝該敏感度列失去比對、變成孤兒定義（6b(a) 敏感度頁保留）。下游已有 IF_TrainCost_*／IF_ProgCost_*／IF_GPUhrEcon 具名輸出，核心列保留並補『用途』標記。</t>
        </is>
      </c>
      <c r="L86" s="3" t="inlineStr">
        <is>
          <t>否</t>
        </is>
      </c>
      <c r="M86" s="3">
        <f>IF(AND(ISNUMBER(C120)),C120*C19/1000000,"SLO 不可達")</f>
        <v/>
      </c>
      <c r="N86" s="3" t="inlineStr"/>
      <c r="O86" s="3" t="inlineStr"/>
      <c r="P86" s="3" t="inlineStr"/>
    </row>
    <row r="87">
      <c r="A87" s="3" t="inlineStr">
        <is>
          <t>Training</t>
        </is>
      </c>
      <c r="B87" s="3" t="n">
        <v>125</v>
      </c>
      <c r="C87" s="3" t="inlineStr">
        <is>
          <t>預訓練（含長上下文）｜反向傳播型</t>
        </is>
      </c>
      <c r="D87" s="3" t="inlineStr">
        <is>
          <t>2323127.22502</t>
        </is>
      </c>
      <c r="E87" s="3" t="n">
        <v>15</v>
      </c>
      <c r="F87" s="3" t="inlineStr">
        <is>
          <t>C125:Q125</t>
        </is>
      </c>
      <c r="G87" s="3" t="inlineStr">
        <is>
          <t>R22a</t>
        </is>
      </c>
      <c r="H87" s="3" t="inlineStr">
        <is>
          <t>保留：顯示用</t>
        </is>
      </c>
      <c r="I87" s="3" t="inlineStr">
        <is>
          <t>8</t>
        </is>
      </c>
      <c r="J87" s="3" t="inlineStr"/>
      <c r="K87" s="3" t="inlineStr">
        <is>
          <t>K 節『用途×型態』GPU 小時表（預訓練／後訓練推論型／後訓練反向傳播型／合成資料與評測／研發實驗）：J11 的設計輸出，表的各列合計等於 IF_TrainGPUh 與 IF_ProgGPUh（具名）；為表的形狀整體保留，下游以 IF_ 名稱取總量。</t>
        </is>
      </c>
      <c r="L87" s="3" t="inlineStr">
        <is>
          <t>否</t>
        </is>
      </c>
      <c r="M87" s="3">
        <f>C103</f>
        <v/>
      </c>
      <c r="N87" s="3" t="inlineStr"/>
      <c r="O87" s="3" t="inlineStr"/>
      <c r="P87" s="3" t="inlineStr"/>
    </row>
    <row r="88">
      <c r="A88" s="3" t="inlineStr">
        <is>
          <t>Training</t>
        </is>
      </c>
      <c r="B88" s="3" t="n">
        <v>126</v>
      </c>
      <c r="C88" s="3" t="inlineStr">
        <is>
          <t>後訓練｜推論型（rollout、參考、蒸餾學生與教師）</t>
        </is>
      </c>
      <c r="D88" s="3" t="inlineStr">
        <is>
          <t>689181.096248</t>
        </is>
      </c>
      <c r="E88" s="3" t="n">
        <v>15</v>
      </c>
      <c r="F88" s="3" t="inlineStr">
        <is>
          <t>C126:Q126</t>
        </is>
      </c>
      <c r="G88" s="3" t="inlineStr">
        <is>
          <t>R22a</t>
        </is>
      </c>
      <c r="H88" s="3" t="inlineStr">
        <is>
          <t>保留：顯示用</t>
        </is>
      </c>
      <c r="I88" s="3" t="inlineStr">
        <is>
          <t>8</t>
        </is>
      </c>
      <c r="J88" s="3" t="inlineStr"/>
      <c r="K88" s="3" t="inlineStr">
        <is>
          <t>K 節『用途×型態』GPU 小時表（預訓練／後訓練推論型／後訓練反向傳播型／合成資料與評測／研發實驗）：J11 的設計輸出，表的各列合計等於 IF_TrainGPUh 與 IF_ProgGPUh（具名）；為表的形狀整體保留，下游以 IF_ 名稱取總量。</t>
        </is>
      </c>
      <c r="L88" s="3" t="inlineStr">
        <is>
          <t>否</t>
        </is>
      </c>
      <c r="M88" s="3">
        <f>IF(AND(ISNUMBER(C65),ISNUMBER(C86)),C65+C74+C86+C87,"SLO 不可達")</f>
        <v/>
      </c>
      <c r="N88" s="3" t="inlineStr"/>
      <c r="O88" s="3" t="inlineStr"/>
      <c r="P88" s="3" t="inlineStr"/>
    </row>
    <row r="89">
      <c r="A89" s="3" t="inlineStr">
        <is>
          <t>Training</t>
        </is>
      </c>
      <c r="B89" s="3" t="n">
        <v>127</v>
      </c>
      <c r="C89" s="3" t="inlineStr">
        <is>
          <t>後訓練｜反向傳播型（SFT、RL trainer、學生更新）</t>
        </is>
      </c>
      <c r="D89" s="3" t="inlineStr">
        <is>
          <t>467741.362225</t>
        </is>
      </c>
      <c r="E89" s="3" t="n">
        <v>15</v>
      </c>
      <c r="F89" s="3" t="inlineStr">
        <is>
          <t>C127:Q127</t>
        </is>
      </c>
      <c r="G89" s="3" t="inlineStr">
        <is>
          <t>R22a</t>
        </is>
      </c>
      <c r="H89" s="3" t="inlineStr">
        <is>
          <t>保留：顯示用</t>
        </is>
      </c>
      <c r="I89" s="3" t="inlineStr">
        <is>
          <t>8</t>
        </is>
      </c>
      <c r="J89" s="3" t="inlineStr"/>
      <c r="K89" s="3" t="inlineStr">
        <is>
          <t>K 節『用途×型態』GPU 小時表（預訓練／後訓練推論型／後訓練反向傳播型／合成資料與評測／研發實驗）：J11 的設計輸出，表的各列合計等於 IF_TrainGPUh 與 IF_ProgGPUh（具名）；為表的形狀整體保留，下游以 IF_ 名稱取總量。</t>
        </is>
      </c>
      <c r="L89" s="3" t="inlineStr">
        <is>
          <t>否</t>
        </is>
      </c>
      <c r="M89" s="3">
        <f>C51+C72+C89</f>
        <v/>
      </c>
      <c r="N89" s="3" t="inlineStr"/>
      <c r="O89" s="3" t="inlineStr"/>
      <c r="P89" s="3" t="inlineStr"/>
    </row>
    <row r="90">
      <c r="A90" s="3" t="inlineStr">
        <is>
          <t>Training</t>
        </is>
      </c>
      <c r="B90" s="3" t="n">
        <v>128</v>
      </c>
      <c r="C90" s="3" t="inlineStr">
        <is>
          <t>合成資料與評測｜推論型</t>
        </is>
      </c>
      <c r="D90" s="3" t="inlineStr">
        <is>
          <t>3812019.772516</t>
        </is>
      </c>
      <c r="E90" s="3" t="n">
        <v>15</v>
      </c>
      <c r="F90" s="3" t="inlineStr">
        <is>
          <t>C128:Q128</t>
        </is>
      </c>
      <c r="G90" s="3" t="inlineStr">
        <is>
          <t>R22a</t>
        </is>
      </c>
      <c r="H90" s="3" t="inlineStr">
        <is>
          <t>保留：顯示用</t>
        </is>
      </c>
      <c r="I90" s="3" t="inlineStr">
        <is>
          <t>8</t>
        </is>
      </c>
      <c r="J90" s="3" t="inlineStr"/>
      <c r="K90" s="3" t="inlineStr">
        <is>
          <t>K 節『用途×型態』GPU 小時表（預訓練／後訓練推論型／後訓練反向傳播型／合成資料與評測／研發實驗）：J11 的設計輸出，表的各列合計等於 IF_TrainGPUh 與 IF_ProgGPUh（具名）；為表的形狀整體保留，下游以 IF_ 名稱取總量。</t>
        </is>
      </c>
      <c r="L90" s="3" t="inlineStr">
        <is>
          <t>否</t>
        </is>
      </c>
      <c r="M90" s="3">
        <f>IF(AND(ISNUMBER(C105)),C105,"SLO 不可達")</f>
        <v/>
      </c>
      <c r="N90" s="3" t="inlineStr"/>
      <c r="O90" s="3" t="inlineStr"/>
      <c r="P90" s="3" t="inlineStr"/>
    </row>
    <row r="91">
      <c r="A91" s="3" t="inlineStr">
        <is>
          <t>Training</t>
        </is>
      </c>
      <c r="B91" s="3" t="n">
        <v>129</v>
      </c>
      <c r="C91" s="3" t="inlineStr">
        <is>
          <t>研發實驗｜未拆分</t>
        </is>
      </c>
      <c r="D91" s="3" t="inlineStr">
        <is>
          <t>51044486.19206</t>
        </is>
      </c>
      <c r="E91" s="3" t="n">
        <v>15</v>
      </c>
      <c r="F91" s="3" t="inlineStr">
        <is>
          <t>C129:Q129</t>
        </is>
      </c>
      <c r="G91" s="3" t="inlineStr">
        <is>
          <t>R22a</t>
        </is>
      </c>
      <c r="H91" s="3" t="inlineStr">
        <is>
          <t>保留：顯示用</t>
        </is>
      </c>
      <c r="I91" s="3" t="inlineStr">
        <is>
          <t>8</t>
        </is>
      </c>
      <c r="J91" s="3" t="inlineStr"/>
      <c r="K91" s="3" t="inlineStr">
        <is>
          <t>K 節『用途×型態』GPU 小時表（預訓練／後訓練推論型／後訓練反向傳播型／合成資料與評測／研發實驗）：J11 的設計輸出，表的各列合計等於 IF_TrainGPUh 與 IF_ProgGPUh（具名）；為表的形狀整體保留，下游以 IF_ 名稱取總量。</t>
        </is>
      </c>
      <c r="L91" s="3" t="inlineStr">
        <is>
          <t>否</t>
        </is>
      </c>
      <c r="M91" s="3">
        <f>IF(AND(ISNUMBER(C121)),C121,"SLO 不可達")</f>
        <v/>
      </c>
      <c r="N91" s="3" t="inlineStr"/>
      <c r="O91" s="3" t="inlineStr"/>
      <c r="P91" s="3" t="inlineStr"/>
    </row>
    <row r="92">
      <c r="A92" s="3" t="inlineStr">
        <is>
          <t>Training</t>
        </is>
      </c>
      <c r="B92" s="3" t="n">
        <v>131</v>
      </c>
      <c r="C92" s="3" t="inlineStr">
        <is>
          <t>家族最終訓練 GPU 小時</t>
        </is>
      </c>
      <c r="D92" s="3" t="inlineStr">
        <is>
          <t>150867933.059569</t>
        </is>
      </c>
      <c r="E92" s="3" t="n">
        <v>15</v>
      </c>
      <c r="F92" s="3" t="inlineStr">
        <is>
          <t>C131:Q131</t>
        </is>
      </c>
      <c r="G92" s="3" t="inlineStr">
        <is>
          <t>R22a</t>
        </is>
      </c>
      <c r="H92" s="3" t="inlineStr">
        <is>
          <t>刪除</t>
        </is>
      </c>
      <c r="I92" s="3" t="inlineStr">
        <is>
          <t>3</t>
        </is>
      </c>
      <c r="J92" s="3" t="inlineStr"/>
      <c r="K92" s="3" t="inlineStr">
        <is>
          <t>模型家族合計（三層級加總）：IF_TrainGPUh_*／IF_ProgGPUh_*／IF_ProgCost_*／IF_ProgGWyr_* 皆已具名，加總即得；第 134 列與 Fleet_1GW 第 33 列同值（原則 1）。</t>
        </is>
      </c>
      <c r="L92" s="3" t="inlineStr">
        <is>
          <t>否</t>
        </is>
      </c>
      <c r="M92" s="3">
        <f>IF(COUNT(INDEX($C$106:$Q$106,1,3*(C$6-1)+1):INDEX($C$106:$Q$106,1,3*(C$6-1)+3))=3,SUMIF($C$6:$Q$6,C$6,$C$106:$Q$106),"SLO 不可達")</f>
        <v/>
      </c>
      <c r="N92" s="3" t="inlineStr"/>
      <c r="O92" s="3" t="inlineStr"/>
      <c r="P92" s="3" t="inlineStr"/>
    </row>
    <row r="93">
      <c r="A93" s="3" t="inlineStr">
        <is>
          <t>Training</t>
        </is>
      </c>
      <c r="B93" s="3" t="n">
        <v>132</v>
      </c>
      <c r="C93" s="3" t="inlineStr">
        <is>
          <t>家族研發計畫 GPU 小時</t>
        </is>
      </c>
      <c r="D93" s="3" t="inlineStr">
        <is>
          <t>1206943464.47655</t>
        </is>
      </c>
      <c r="E93" s="3" t="n">
        <v>15</v>
      </c>
      <c r="F93" s="3" t="inlineStr">
        <is>
          <t>C132:Q132</t>
        </is>
      </c>
      <c r="G93" s="3" t="inlineStr">
        <is>
          <t>R22a</t>
        </is>
      </c>
      <c r="H93" s="3" t="inlineStr">
        <is>
          <t>刪除</t>
        </is>
      </c>
      <c r="I93" s="3" t="inlineStr">
        <is>
          <t>3</t>
        </is>
      </c>
      <c r="J93" s="3" t="inlineStr"/>
      <c r="K93" s="3" t="inlineStr">
        <is>
          <t>模型家族合計（三層級加總）：IF_TrainGPUh_*／IF_ProgGPUh_*／IF_ProgCost_*／IF_ProgGWyr_* 皆已具名，加總即得；第 134 列與 Fleet_1GW 第 33 列同值（原則 1）。</t>
        </is>
      </c>
      <c r="L93" s="3" t="inlineStr">
        <is>
          <t>否</t>
        </is>
      </c>
      <c r="M93" s="3">
        <f>IF(COUNT(INDEX($C$120:$Q$120,1,3*(C$6-1)+1):INDEX($C$120:$Q$120,1,3*(C$6-1)+3))=3,SUMIF($C$6:$Q$6,C$6,$C$120:$Q$120),"SLO 不可達")</f>
        <v/>
      </c>
      <c r="N93" s="3" t="inlineStr"/>
      <c r="O93" s="3" t="inlineStr"/>
      <c r="P93" s="3" t="inlineStr"/>
    </row>
    <row r="94">
      <c r="A94" s="3" t="inlineStr">
        <is>
          <t>Training</t>
        </is>
      </c>
      <c r="B94" s="3" t="n">
        <v>133</v>
      </c>
      <c r="C94" s="3" t="inlineStr">
        <is>
          <t>家族研發計畫成本 — 經濟</t>
        </is>
      </c>
      <c r="D94" s="3" t="inlineStr">
        <is>
          <t>1861.826822</t>
        </is>
      </c>
      <c r="E94" s="3" t="n">
        <v>15</v>
      </c>
      <c r="F94" s="3" t="inlineStr">
        <is>
          <t>C133:Q133</t>
        </is>
      </c>
      <c r="G94" s="3" t="inlineStr">
        <is>
          <t>R22a</t>
        </is>
      </c>
      <c r="H94" s="3" t="inlineStr">
        <is>
          <t>刪除</t>
        </is>
      </c>
      <c r="I94" s="3" t="inlineStr">
        <is>
          <t>3</t>
        </is>
      </c>
      <c r="J94" s="3" t="inlineStr"/>
      <c r="K94" s="3" t="inlineStr">
        <is>
          <t>模型家族合計（三層級加總）：IF_TrainGPUh_*／IF_ProgGPUh_*／IF_ProgCost_*／IF_ProgGWyr_* 皆已具名，加總即得；第 134 列與 Fleet_1GW 第 33 列同值（原則 1）。</t>
        </is>
      </c>
      <c r="L94" s="3" t="inlineStr">
        <is>
          <t>否</t>
        </is>
      </c>
      <c r="M94" s="3">
        <f>IF(COUNT(INDEX($C$122:$Q$122,1,3*(C$6-1)+1):INDEX($C$122:$Q$122,1,3*(C$6-1)+3))=3,SUMIF($C$6:$Q$6,C$6,$C$122:$Q$122),"SLO 不可達")</f>
        <v/>
      </c>
      <c r="N94" s="3" t="inlineStr"/>
      <c r="O94" s="3" t="inlineStr"/>
      <c r="P94" s="3" t="inlineStr"/>
    </row>
    <row r="95">
      <c r="A95" s="3" t="inlineStr">
        <is>
          <t>Training</t>
        </is>
      </c>
      <c r="B95" s="3" t="n">
        <v>134</v>
      </c>
      <c r="C95" s="3" t="inlineStr">
        <is>
          <t>家族研發計畫占 1 GW 一年</t>
        </is>
      </c>
      <c r="D95" s="3" t="inlineStr">
        <is>
          <t>0.19188</t>
        </is>
      </c>
      <c r="E95" s="3" t="n">
        <v>15</v>
      </c>
      <c r="F95" s="3" t="inlineStr">
        <is>
          <t>C134:Q134</t>
        </is>
      </c>
      <c r="G95" s="3" t="inlineStr">
        <is>
          <t>R22a</t>
        </is>
      </c>
      <c r="H95" s="3" t="inlineStr">
        <is>
          <t>刪除</t>
        </is>
      </c>
      <c r="I95" s="3" t="inlineStr">
        <is>
          <t>3</t>
        </is>
      </c>
      <c r="J95" s="3" t="inlineStr"/>
      <c r="K95" s="3" t="inlineStr">
        <is>
          <t>模型家族合計（三層級加總）：IF_TrainGPUh_*／IF_ProgGPUh_*／IF_ProgCost_*／IF_ProgGWyr_* 皆已具名，加總即得；第 134 列與 Fleet_1GW 第 33 列同值（原則 1）。</t>
        </is>
      </c>
      <c r="L95" s="3" t="inlineStr">
        <is>
          <t>否</t>
        </is>
      </c>
      <c r="M95" s="3">
        <f>IF(COUNT(INDEX($C$123:$Q$123,1,3*(C$6-1)+1):INDEX($C$123:$Q$123,1,3*(C$6-1)+3))=3,SUMIF($C$6:$Q$6,C$6,$C$123:$Q$123),"SLO 不可達")</f>
        <v/>
      </c>
      <c r="N95" s="3" t="inlineStr"/>
      <c r="O95" s="3" t="inlineStr"/>
      <c r="P95" s="3" t="inlineStr"/>
    </row>
    <row r="96">
      <c r="A96" s="3" t="inlineStr">
        <is>
          <t>Cap_In</t>
        </is>
      </c>
      <c r="B96" s="3" t="n">
        <v>71</v>
      </c>
      <c r="C96" s="3" t="inlineStr">
        <is>
          <t>API 占比（＝1 − 訂閱占比；其他＝0：A 段第 6 節「扣訂閱後餘額」）</t>
        </is>
      </c>
      <c r="D96" s="3" t="inlineStr">
        <is>
          <t>0.3</t>
        </is>
      </c>
      <c r="E96" s="3" t="n">
        <v>3</v>
      </c>
      <c r="F96" s="3" t="inlineStr">
        <is>
          <t>C71:E71</t>
        </is>
      </c>
      <c r="G96" s="3" t="inlineStr">
        <is>
          <t>R16</t>
        </is>
      </c>
      <c r="H96" s="3" t="inlineStr">
        <is>
          <t>保留：顯示用</t>
        </is>
      </c>
      <c r="I96" s="3" t="inlineStr">
        <is>
          <t>1</t>
        </is>
      </c>
      <c r="J96" s="3" t="inlineStr"/>
      <c r="K96" s="3" t="inlineStr">
        <is>
          <t>H1 營收二分（訂閱／API）：第 96 列（外部 token 的 API 路線 m，已標用途）與 J11 非文字對照（第 128、129 列）的分子；與 H8-1 三分法（第 135–137 列）口徑不同（舊法把席次算入訂閱），兩者並存是設計（H5 表列出多個 m 讀法）。</t>
        </is>
      </c>
      <c r="L96" s="3" t="inlineStr">
        <is>
          <t>否</t>
        </is>
      </c>
      <c r="M96" s="3">
        <f>1-C70</f>
        <v/>
      </c>
      <c r="N96" s="3" t="inlineStr">
        <is>
          <t>20261011_v5.32.md、20261014_v5.34.md、Tokenomics_builder_v5.md</t>
        </is>
      </c>
      <c r="O96" s="3" t="inlineStr"/>
      <c r="P96" s="3" t="inlineStr">
        <is>
          <t>是</t>
        </is>
      </c>
    </row>
    <row r="97">
      <c r="A97" s="3" t="inlineStr">
        <is>
          <t>Cap_In</t>
        </is>
      </c>
      <c r="B97" s="3" t="n">
        <v>72</v>
      </c>
      <c r="C97" s="3" t="inlineStr">
        <is>
          <t>訂閱營收</t>
        </is>
      </c>
      <c r="D97" s="3" t="inlineStr">
        <is>
          <t>9.149</t>
        </is>
      </c>
      <c r="E97" s="3" t="n">
        <v>3</v>
      </c>
      <c r="F97" s="3" t="inlineStr">
        <is>
          <t>C72:E72</t>
        </is>
      </c>
      <c r="G97" s="3" t="inlineStr">
        <is>
          <t>R16</t>
        </is>
      </c>
      <c r="H97" s="3" t="inlineStr">
        <is>
          <t>保留：顯示用</t>
        </is>
      </c>
      <c r="I97" s="3" t="inlineStr">
        <is>
          <t>1</t>
        </is>
      </c>
      <c r="J97" s="3" t="inlineStr"/>
      <c r="K97" s="3" t="inlineStr">
        <is>
          <t>H1 營收二分（訂閱／API）：第 96 列（外部 token 的 API 路線 m，已標用途）與 J11 非文字對照（第 128、129 列）的分子；與 H8-1 三分法（第 135–137 列）口徑不同（舊法把席次算入訂閱），兩者並存是設計（H5 表列出多個 m 讀法）。</t>
        </is>
      </c>
      <c r="L97" s="3" t="inlineStr">
        <is>
          <t>否</t>
        </is>
      </c>
      <c r="M97" s="3">
        <f>C69*C70</f>
        <v/>
      </c>
      <c r="N97" s="3" t="inlineStr">
        <is>
          <t>20261011_v5.32.md、Tokenomics_builder_v5.md</t>
        </is>
      </c>
      <c r="O97" s="3" t="inlineStr"/>
      <c r="P97" s="3" t="inlineStr">
        <is>
          <t>是</t>
        </is>
      </c>
    </row>
    <row r="98">
      <c r="A98" s="3" t="inlineStr">
        <is>
          <t>Cap_In</t>
        </is>
      </c>
      <c r="B98" s="3" t="n">
        <v>73</v>
      </c>
      <c r="C98" s="3" t="inlineStr">
        <is>
          <t>API 營收</t>
        </is>
      </c>
      <c r="D98" s="3" t="inlineStr">
        <is>
          <t>3.921</t>
        </is>
      </c>
      <c r="E98" s="3" t="n">
        <v>3</v>
      </c>
      <c r="F98" s="3" t="inlineStr">
        <is>
          <t>C73:E73</t>
        </is>
      </c>
      <c r="G98" s="3" t="inlineStr">
        <is>
          <t>R16</t>
        </is>
      </c>
      <c r="H98" s="3" t="inlineStr">
        <is>
          <t>保留：顯示用</t>
        </is>
      </c>
      <c r="I98" s="3" t="inlineStr">
        <is>
          <t>1</t>
        </is>
      </c>
      <c r="J98" s="3" t="inlineStr"/>
      <c r="K98" s="3" t="inlineStr">
        <is>
          <t>H1 營收二分（訂閱／API）：第 96 列（外部 token 的 API 路線 m，已標用途）與 J11 非文字對照（第 128、129 列）的分子；與 H8-1 三分法（第 135–137 列）口徑不同（舊法把席次算入訂閱），兩者並存是設計（H5 表列出多個 m 讀法）。</t>
        </is>
      </c>
      <c r="L98" s="3" t="inlineStr">
        <is>
          <t>否</t>
        </is>
      </c>
      <c r="M98" s="3">
        <f>C69*C71</f>
        <v/>
      </c>
      <c r="N98" s="3" t="inlineStr">
        <is>
          <t>20261011_v5.32.md、Tokenomics_builder_v5.md</t>
        </is>
      </c>
      <c r="O98" s="3" t="inlineStr"/>
      <c r="P98" s="3" t="inlineStr">
        <is>
          <t>是</t>
        </is>
      </c>
    </row>
    <row r="99">
      <c r="A99" s="3" t="inlineStr">
        <is>
          <t>Cap_In</t>
        </is>
      </c>
      <c r="B99" s="3" t="n">
        <v>75</v>
      </c>
      <c r="C99" s="3" t="inlineStr">
        <is>
          <t>ChatGPT 消費訂閱數 — 2025-01</t>
        </is>
      </c>
      <c r="D99" s="3" t="inlineStr">
        <is>
          <t>15.5</t>
        </is>
      </c>
      <c r="E99" s="3" t="n">
        <v>1</v>
      </c>
      <c r="F99" s="3" t="inlineStr">
        <is>
          <t>C75</t>
        </is>
      </c>
      <c r="G99" s="3" t="inlineStr">
        <is>
          <t>R16</t>
        </is>
      </c>
      <c r="H99" s="3" t="inlineStr">
        <is>
          <t>保留：顯示用</t>
        </is>
      </c>
      <c r="I99" s="3" t="inlineStr">
        <is>
          <t>1</t>
        </is>
      </c>
      <c r="J99" s="3" t="inlineStr"/>
      <c r="K99" s="3" t="inlineStr">
        <is>
          <t>H2 訂閱人數（SRC_DEM_024／025／026／019 的複本與 2025 期間平均）：訂閱 m 的每人直覺檢查（第 84 列）與 ARPU（第 161 列）的上游，Gov_Map 登錄；J6 設計。</t>
        </is>
      </c>
      <c r="L99" s="3" t="inlineStr">
        <is>
          <t>否</t>
        </is>
      </c>
      <c r="M99" s="3">
        <f>SRC_DEM_024</f>
        <v/>
      </c>
      <c r="N99" s="3" t="inlineStr">
        <is>
          <t>20261011_v5.32.md、Tokenomics_builder_v5.md</t>
        </is>
      </c>
      <c r="O99" s="3" t="inlineStr"/>
      <c r="P99" s="3" t="inlineStr">
        <is>
          <t>是</t>
        </is>
      </c>
    </row>
    <row r="100">
      <c r="A100" s="3" t="inlineStr">
        <is>
          <t>Cap_In</t>
        </is>
      </c>
      <c r="B100" s="3" t="n">
        <v>76</v>
      </c>
      <c r="C100" s="3" t="inlineStr">
        <is>
          <t>ChatGPT 消費訂閱數 — 2025-03／04</t>
        </is>
      </c>
      <c r="D100" s="3" t="inlineStr">
        <is>
          <t>20</t>
        </is>
      </c>
      <c r="E100" s="3" t="n">
        <v>1</v>
      </c>
      <c r="F100" s="3" t="inlineStr">
        <is>
          <t>C76</t>
        </is>
      </c>
      <c r="G100" s="3" t="inlineStr">
        <is>
          <t>R16</t>
        </is>
      </c>
      <c r="H100" s="3" t="inlineStr">
        <is>
          <t>保留：顯示用</t>
        </is>
      </c>
      <c r="I100" s="3" t="inlineStr">
        <is>
          <t>1</t>
        </is>
      </c>
      <c r="J100" s="3" t="inlineStr"/>
      <c r="K100" s="3" t="inlineStr">
        <is>
          <t>H2 訂閱人數（SRC_DEM_024／025／026／019 的複本與 2025 期間平均）：訂閱 m 的每人直覺檢查（第 84 列）與 ARPU（第 161 列）的上游，Gov_Map 登錄；J6 設計。</t>
        </is>
      </c>
      <c r="L100" s="3" t="inlineStr">
        <is>
          <t>否</t>
        </is>
      </c>
      <c r="M100" s="3">
        <f>SRC_DEM_025</f>
        <v/>
      </c>
      <c r="N100" s="3" t="inlineStr">
        <is>
          <t>20261011_v5.32.md、Tokenomics_builder_v5.md</t>
        </is>
      </c>
      <c r="O100" s="3" t="inlineStr"/>
      <c r="P100" s="3" t="inlineStr">
        <is>
          <t>是</t>
        </is>
      </c>
    </row>
    <row r="101">
      <c r="A101" s="3" t="inlineStr">
        <is>
          <t>Cap_In</t>
        </is>
      </c>
      <c r="B101" s="3" t="n">
        <v>77</v>
      </c>
      <c r="C101" s="3" t="inlineStr">
        <is>
          <t>ChatGPT 消費訂閱數 — 2025-07</t>
        </is>
      </c>
      <c r="D101" s="3" t="inlineStr">
        <is>
          <t>35</t>
        </is>
      </c>
      <c r="E101" s="3" t="n">
        <v>1</v>
      </c>
      <c r="F101" s="3" t="inlineStr">
        <is>
          <t>C77</t>
        </is>
      </c>
      <c r="G101" s="3" t="inlineStr">
        <is>
          <t>R16</t>
        </is>
      </c>
      <c r="H101" s="3" t="inlineStr">
        <is>
          <t>保留：顯示用</t>
        </is>
      </c>
      <c r="I101" s="3" t="inlineStr">
        <is>
          <t>1</t>
        </is>
      </c>
      <c r="J101" s="3" t="inlineStr"/>
      <c r="K101" s="3" t="inlineStr">
        <is>
          <t>H2 訂閱人數（SRC_DEM_024／025／026／019 的複本與 2025 期間平均）：訂閱 m 的每人直覺檢查（第 84 列）與 ARPU（第 161 列）的上游，Gov_Map 登錄；J6 設計。</t>
        </is>
      </c>
      <c r="L101" s="3" t="inlineStr">
        <is>
          <t>否</t>
        </is>
      </c>
      <c r="M101" s="3">
        <f>SRC_DEM_026</f>
        <v/>
      </c>
      <c r="N101" s="3" t="inlineStr">
        <is>
          <t>20261011_v5.32.md、Tokenomics_builder_v5.md</t>
        </is>
      </c>
      <c r="O101" s="3" t="inlineStr"/>
      <c r="P101" s="3" t="inlineStr">
        <is>
          <t>是</t>
        </is>
      </c>
    </row>
    <row r="102">
      <c r="A102" s="3" t="inlineStr">
        <is>
          <t>Cap_In</t>
        </is>
      </c>
      <c r="B102" s="3" t="n">
        <v>78</v>
      </c>
      <c r="C102" s="3" t="inlineStr">
        <is>
          <t>ChatGPT 消費訂閱數 — 2026-02-27</t>
        </is>
      </c>
      <c r="D102" s="3" t="inlineStr">
        <is>
          <t>50</t>
        </is>
      </c>
      <c r="E102" s="3" t="n">
        <v>1</v>
      </c>
      <c r="F102" s="3" t="inlineStr">
        <is>
          <t>C78</t>
        </is>
      </c>
      <c r="G102" s="3" t="inlineStr">
        <is>
          <t>R16</t>
        </is>
      </c>
      <c r="H102" s="3" t="inlineStr">
        <is>
          <t>保留：顯示用</t>
        </is>
      </c>
      <c r="I102" s="3" t="inlineStr">
        <is>
          <t>1</t>
        </is>
      </c>
      <c r="J102" s="3" t="inlineStr"/>
      <c r="K102" s="3" t="inlineStr">
        <is>
          <t>H2 訂閱人數（SRC_DEM_024／025／026／019 的複本與 2025 期間平均）：訂閱 m 的每人直覺檢查（第 84 列）與 ARPU（第 161 列）的上游，Gov_Map 登錄；J6 設計。</t>
        </is>
      </c>
      <c r="L102" s="3" t="inlineStr">
        <is>
          <t>否</t>
        </is>
      </c>
      <c r="M102" s="3">
        <f>SRC_DEM_019</f>
        <v/>
      </c>
      <c r="N102" s="3" t="inlineStr">
        <is>
          <t>20261011_v5.32.md、Tokenomics_builder_v5.md</t>
        </is>
      </c>
      <c r="O102" s="3" t="inlineStr"/>
      <c r="P102" s="3" t="inlineStr">
        <is>
          <t>是</t>
        </is>
      </c>
    </row>
    <row r="103">
      <c r="A103" s="3" t="inlineStr">
        <is>
          <t>Cap_In</t>
        </is>
      </c>
      <c r="B103" s="3" t="n">
        <v>79</v>
      </c>
      <c r="C103" s="3" t="inlineStr">
        <is>
          <t>2025 期間平均訂閱數（＝(2025-01 ＋ 2026-02) ÷ 2：首尾平均，線性成長近似；J6 (a)）</t>
        </is>
      </c>
      <c r="D103" s="3" t="inlineStr">
        <is>
          <t>32.75</t>
        </is>
      </c>
      <c r="E103" s="3" t="n">
        <v>3</v>
      </c>
      <c r="F103" s="3" t="inlineStr">
        <is>
          <t>C79:E79</t>
        </is>
      </c>
      <c r="G103" s="3" t="inlineStr">
        <is>
          <t>R16</t>
        </is>
      </c>
      <c r="H103" s="3" t="inlineStr">
        <is>
          <t>保留：顯示用</t>
        </is>
      </c>
      <c r="I103" s="3" t="inlineStr">
        <is>
          <t>1</t>
        </is>
      </c>
      <c r="J103" s="3" t="inlineStr"/>
      <c r="K103" s="3" t="inlineStr">
        <is>
          <t>H2 訂閱人數（SRC_DEM_024／025／026／019 的複本與 2025 期間平均）：訂閱 m 的每人直覺檢查（第 84 列）與 ARPU（第 161 列）的上游，Gov_Map 登錄；J6 設計。</t>
        </is>
      </c>
      <c r="L103" s="3" t="inlineStr">
        <is>
          <t>否</t>
        </is>
      </c>
      <c r="M103" s="3">
        <f>(C75+C78)/2</f>
        <v/>
      </c>
      <c r="N103" s="3" t="inlineStr">
        <is>
          <t>20261011_v5.32.md、Tokenomics_builder_v5.md</t>
        </is>
      </c>
      <c r="O103" s="3" t="inlineStr"/>
      <c r="P103" s="3" t="inlineStr">
        <is>
          <t>是</t>
        </is>
      </c>
    </row>
    <row r="104">
      <c r="A104" s="3" t="inlineStr">
        <is>
          <t>Cap_In</t>
        </is>
      </c>
      <c r="B104" s="3" t="n">
        <v>92</v>
      </c>
      <c r="C104" s="3" t="inlineStr">
        <is>
          <t>隱含 m — 訂閱路線（模型 token）</t>
        </is>
      </c>
      <c r="D104" s="3" t="inlineStr">
        <is>
          <t>3.72949</t>
        </is>
      </c>
      <c r="E104" s="3" t="n">
        <v>3</v>
      </c>
      <c r="F104" s="3" t="inlineStr">
        <is>
          <t>C92:E92</t>
        </is>
      </c>
      <c r="G104" s="3" t="inlineStr">
        <is>
          <t>R16</t>
        </is>
      </c>
      <c r="H104" s="3" t="inlineStr">
        <is>
          <t>保留：顯示用</t>
        </is>
      </c>
      <c r="I104" s="3" t="inlineStr">
        <is>
          <t>1</t>
        </is>
      </c>
      <c r="J104" s="3" t="inlineStr"/>
      <c r="K104" s="3" t="inlineStr">
        <is>
          <t>H5 兩路線隱含 m（模型 token；訂閱 3.73／API 0.99）：H5 表的形狀（第 94、97 列為核心 L1_MImplied／MImplied_Ext，第 96 列已標用途），且是 J11 非文字對照（第 128 列）的基礎；主口徑為 H8-3 三分法（L1_MSub／MAPI／MSeat），此兩列為 v5.32 舊分法的對照，標明口徑。</t>
        </is>
      </c>
      <c r="L104" s="3" t="inlineStr">
        <is>
          <t>否</t>
        </is>
      </c>
      <c r="M104" s="3">
        <f>C72*1000000000/(C81*CAP_Price25Mix)</f>
        <v/>
      </c>
      <c r="N104" s="3" t="inlineStr">
        <is>
          <t>20261011_v5.32.md、Tokenomics_builder_v5.md</t>
        </is>
      </c>
      <c r="O104" s="3" t="inlineStr"/>
      <c r="P104" s="3" t="inlineStr">
        <is>
          <t>是</t>
        </is>
      </c>
    </row>
    <row r="105">
      <c r="A105" s="3" t="inlineStr">
        <is>
          <t>Cap_In</t>
        </is>
      </c>
      <c r="B105" s="3" t="n">
        <v>93</v>
      </c>
      <c r="C105" s="3" t="inlineStr">
        <is>
          <t>隱含 m — API 路線（模型 token）</t>
        </is>
      </c>
      <c r="D105" s="3" t="inlineStr">
        <is>
          <t>0.986638</t>
        </is>
      </c>
      <c r="E105" s="3" t="n">
        <v>3</v>
      </c>
      <c r="F105" s="3" t="inlineStr">
        <is>
          <t>C93:E93</t>
        </is>
      </c>
      <c r="G105" s="3" t="inlineStr">
        <is>
          <t>R16</t>
        </is>
      </c>
      <c r="H105" s="3" t="inlineStr">
        <is>
          <t>保留：顯示用</t>
        </is>
      </c>
      <c r="I105" s="3" t="inlineStr">
        <is>
          <t>1</t>
        </is>
      </c>
      <c r="J105" s="3" t="inlineStr"/>
      <c r="K105" s="3" t="inlineStr">
        <is>
          <t>H5 兩路線隱含 m（模型 token；訂閱 3.73／API 0.99）：H5 表的形狀（第 94、97 列為核心 L1_MImplied／MImplied_Ext，第 96 列已標用途），且是 J11 非文字對照（第 128 列）的基礎；主口徑為 H8-3 三分法（L1_MSub／MAPI／MSeat），此兩列為 v5.32 舊分法的對照，標明口徑。</t>
        </is>
      </c>
      <c r="L105" s="3" t="inlineStr">
        <is>
          <t>否</t>
        </is>
      </c>
      <c r="M105" s="3">
        <f>C73*1000000000/(C82*CAP_Price25Mix)</f>
        <v/>
      </c>
      <c r="N105" s="3" t="inlineStr">
        <is>
          <t>20261011_v5.32.md、Tokenomics_builder_v5.md</t>
        </is>
      </c>
      <c r="O105" s="3" t="inlineStr"/>
      <c r="P105" s="3" t="inlineStr">
        <is>
          <t>是</t>
        </is>
      </c>
    </row>
    <row r="106">
      <c r="A106" s="3" t="inlineStr">
        <is>
          <t>Cap_In</t>
        </is>
      </c>
      <c r="B106" s="3" t="n">
        <v>99</v>
      </c>
      <c r="C106" s="3" t="inlineStr">
        <is>
          <t>Claude Code 企業平均花費（列價）</t>
        </is>
      </c>
      <c r="D106" s="3" t="inlineStr">
        <is>
          <t>13</t>
        </is>
      </c>
      <c r="E106" s="3" t="n">
        <v>3</v>
      </c>
      <c r="F106" s="3" t="inlineStr">
        <is>
          <t>C99:E99</t>
        </is>
      </c>
      <c r="G106" s="3" t="inlineStr">
        <is>
          <t>R16</t>
        </is>
      </c>
      <c r="H106" s="3" t="inlineStr">
        <is>
          <t>保留：顯示用</t>
        </is>
      </c>
      <c r="I106" s="3" t="inlineStr">
        <is>
          <t>1</t>
        </is>
      </c>
      <c r="J106" s="3" t="inlineStr"/>
      <c r="K106" s="3" t="inlineStr">
        <is>
          <t>H6 程式代理對照鏈（Claude Code 企業平均花費、每開發者每月列價用量）：第 103 列『程式代理訂閱 m』對照的上游。</t>
        </is>
      </c>
      <c r="L106" s="3" t="inlineStr">
        <is>
          <t>否</t>
        </is>
      </c>
      <c r="M106" s="3">
        <f>SRC_DEM_044</f>
        <v/>
      </c>
      <c r="N106" s="3" t="inlineStr">
        <is>
          <t>20261011_v5.32.md、Tokenomics_builder_v5.md</t>
        </is>
      </c>
      <c r="O106" s="3" t="inlineStr"/>
      <c r="P106" s="3" t="inlineStr">
        <is>
          <t>是</t>
        </is>
      </c>
    </row>
    <row r="107">
      <c r="A107" s="3" t="inlineStr">
        <is>
          <t>Cap_In</t>
        </is>
      </c>
      <c r="B107" s="3" t="n">
        <v>101</v>
      </c>
      <c r="C107" s="3" t="inlineStr">
        <is>
          <t>每開發者每月列價用量</t>
        </is>
      </c>
      <c r="D107" s="3" t="inlineStr">
        <is>
          <t>273</t>
        </is>
      </c>
      <c r="E107" s="3" t="n">
        <v>3</v>
      </c>
      <c r="F107" s="3" t="inlineStr">
        <is>
          <t>C101:E101</t>
        </is>
      </c>
      <c r="G107" s="3" t="inlineStr">
        <is>
          <t>R16</t>
        </is>
      </c>
      <c r="H107" s="3" t="inlineStr">
        <is>
          <t>保留：顯示用</t>
        </is>
      </c>
      <c r="I107" s="3" t="inlineStr">
        <is>
          <t>1</t>
        </is>
      </c>
      <c r="J107" s="3" t="inlineStr"/>
      <c r="K107" s="3" t="inlineStr">
        <is>
          <t>H6 程式代理對照鏈（Claude Code 企業平均花費、每開發者每月列價用量）：第 103 列『程式代理訂閱 m』對照的上游。</t>
        </is>
      </c>
      <c r="L107" s="3" t="inlineStr">
        <is>
          <t>否</t>
        </is>
      </c>
      <c r="M107" s="3">
        <f>C99*C100</f>
        <v/>
      </c>
      <c r="N107" s="3" t="inlineStr">
        <is>
          <t>20261011_v5.32.md、Tokenomics_builder_v5.md</t>
        </is>
      </c>
      <c r="O107" s="3" t="inlineStr"/>
      <c r="P107" s="3" t="inlineStr">
        <is>
          <t>是</t>
        </is>
      </c>
    </row>
    <row r="108">
      <c r="A108" s="3" t="inlineStr">
        <is>
          <t>Cap_In</t>
        </is>
      </c>
      <c r="B108" s="3" t="n">
        <v>109</v>
      </c>
      <c r="C108" s="3" t="inlineStr">
        <is>
          <t>支出路線服務 GW（經計價倍數與請求形狀修正）＝AL_ServeGWSpend ÷ AL_SpendBasis × AL_Kappa</t>
        </is>
      </c>
      <c r="D108" s="3" t="inlineStr">
        <is>
          <t>Alloc 第 61 列（SRC_DEM_004 ÷ 世代組合持有成本；v5.3</t>
        </is>
      </c>
      <c r="E108" s="3" t="n">
        <v>1</v>
      </c>
      <c r="F108" s="3" t="inlineStr">
        <is>
          <t>G109</t>
        </is>
      </c>
      <c r="G108" s="3" t="inlineStr">
        <is>
          <t>R21</t>
        </is>
      </c>
      <c r="H108" s="3" t="inlineStr">
        <is>
          <t>保留：顯示用</t>
        </is>
      </c>
      <c r="I108" s="3" t="inlineStr">
        <is>
          <t>—</t>
        </is>
      </c>
      <c r="J108" s="3" t="inlineStr"/>
      <c r="K108" s="3" t="inlineStr">
        <is>
          <t>說明欄的動態文字公式（以 TEXT() 帶出現值，取代寫死的過時數字；4-0 SL13／SL14 的修法）；屬原則 2。</t>
        </is>
      </c>
      <c r="L108" s="3" t="inlineStr">
        <is>
          <t>否</t>
        </is>
      </c>
      <c r="M108" s="3">
        <f>"Alloc 第 61 列（SRC_DEM_004 ÷ 世代組合持有成本；v5.36 起 OpenAI 端 "&amp;IF(ISNUMBER(SRC_DEM_004),TEXT(SRC_DEM_004,"0.0"),"—")&amp;"）÷ Alloc_In 計價倍數（現值 "&amp;IF(ISNUMBER(AL_SpendBasis),TEXT(AL_SpendBasis,"0.00"),"—")&amp;"；D 欄取低</f>
        <v/>
      </c>
      <c r="N108" s="3" t="inlineStr">
        <is>
          <t>20261013_v5.33.md、20261015_v5.36.md、20261015_稽核1_報告.md、20261015_稽核修正3B.md</t>
        </is>
      </c>
      <c r="O108" s="3" t="inlineStr"/>
      <c r="P108" s="3" t="inlineStr">
        <is>
          <t>是</t>
        </is>
      </c>
    </row>
    <row r="109">
      <c r="A109" s="3" t="inlineStr">
        <is>
          <t>Cap_In</t>
        </is>
      </c>
      <c r="B109" s="3" t="n">
        <v>116</v>
      </c>
      <c r="C109" s="3" t="inlineStr">
        <is>
          <t>機隊付費 token（點估計）＝服務 GW × 修正 ÷（1 ÷ 付費產能 ＋ r ÷ 免費產能）</t>
        </is>
      </c>
      <c r="D109" s="3" t="inlineStr">
        <is>
          <t xml:space="preserve">r 取模型（第 r 列）；A 段 3.2 節 2025 組合變體約 8.2 × </t>
        </is>
      </c>
      <c r="E109" s="3" t="n">
        <v>1</v>
      </c>
      <c r="F109" s="3" t="inlineStr">
        <is>
          <t>G116</t>
        </is>
      </c>
      <c r="G109" s="3" t="inlineStr">
        <is>
          <t>R21</t>
        </is>
      </c>
      <c r="H109" s="3" t="inlineStr">
        <is>
          <t>保留：顯示用</t>
        </is>
      </c>
      <c r="I109" s="3" t="inlineStr">
        <is>
          <t>—</t>
        </is>
      </c>
      <c r="J109" s="3" t="inlineStr"/>
      <c r="K109" s="3" t="inlineStr">
        <is>
          <t>說明欄的動態文字公式（以 TEXT() 帶出現值，取代寫死的過時數字；4-0 SL13／SL14 的修法）；屬原則 2。</t>
        </is>
      </c>
      <c r="L109" s="3" t="inlineStr">
        <is>
          <t>否</t>
        </is>
      </c>
      <c r="M109" s="3">
        <f>"r 取模型（第 r 列）；A 段 3.2 節 2025 組合變體約 8.2 × 10⁹（報告當時值；現值 "&amp;IF(ISNUMBER(C116/1000000000),TEXT(C116/1000000000,"0.0"),"—")&amp;" × 10⁹）"</f>
        <v/>
      </c>
      <c r="N109" s="3" t="inlineStr">
        <is>
          <t>20261013_v5.33.md、Tokenomics_builder_v5.md</t>
        </is>
      </c>
      <c r="O109" s="3" t="inlineStr"/>
      <c r="P109" s="3" t="inlineStr">
        <is>
          <t>是</t>
        </is>
      </c>
    </row>
    <row r="110">
      <c r="A110" s="3" t="inlineStr">
        <is>
          <t>Cap_In</t>
        </is>
      </c>
      <c r="B110" s="3" t="n">
        <v>118</v>
      </c>
      <c r="C110" s="3" t="inlineStr">
        <is>
          <t>機隊付費 token 上限（上限讀法）＝服務 GW × 付費產能比 ÷（1 ÷ 付費產能 ＋ r ÷ 免費產能）　→ L1_TokCeiling</t>
        </is>
      </c>
      <c r="D110" s="3" t="inlineStr">
        <is>
          <t>A 段 3.2 節約 12.0 × 10⁹（報告當時值；現值 25.8 × 10</t>
        </is>
      </c>
      <c r="E110" s="3" t="n">
        <v>1</v>
      </c>
      <c r="F110" s="3" t="inlineStr">
        <is>
          <t>G118</t>
        </is>
      </c>
      <c r="G110" s="3" t="inlineStr">
        <is>
          <t>R21</t>
        </is>
      </c>
      <c r="H110" s="3" t="inlineStr">
        <is>
          <t>保留：顯示用</t>
        </is>
      </c>
      <c r="I110" s="3" t="inlineStr">
        <is>
          <t>—</t>
        </is>
      </c>
      <c r="J110" s="3" t="inlineStr"/>
      <c r="K110" s="3" t="inlineStr">
        <is>
          <t>說明欄的動態文字公式（以 TEXT() 帶出現值，取代寫死的過時數字；4-0 SL13／SL14 的修法）；屬原則 2。</t>
        </is>
      </c>
      <c r="L110" s="3" t="inlineStr">
        <is>
          <t>否</t>
        </is>
      </c>
      <c r="M110" s="3">
        <f>"A 段 3.2 節約 12.0 × 10⁹（報告當時值；現值 "&amp;IF(ISNUMBER(C118/1000000000),TEXT(C118/1000000000,"0.0"),"—")&amp;" × 10⁹）；上限 ÷ 需求路線＝L1_ScaleServe ÷（L1_GapSpendBasis × L1_GapUtil）"</f>
        <v/>
      </c>
      <c r="N110" s="3" t="inlineStr">
        <is>
          <t>20261013_v5.33.md、20261015_稽核修正1.md、Tokenomics_builder_v5.md</t>
        </is>
      </c>
      <c r="O110" s="3" t="inlineStr"/>
      <c r="P110" s="3" t="inlineStr">
        <is>
          <t>是</t>
        </is>
      </c>
    </row>
    <row r="111">
      <c r="A111" s="3" t="inlineStr">
        <is>
          <t>Cap_In</t>
        </is>
      </c>
      <c r="B111" s="3" t="n">
        <v>119</v>
      </c>
      <c r="C111" s="3" t="inlineStr">
        <is>
          <t>機隊 m（點估計）＝營收 ÷（機隊付費 token × 2025 年度機隊口徑混合有效單價（AL_PriceFleet25：可達層級重新正規化；v6.3 K1））｜m 同時含 API 實際折扣以外的訂閱收入對 API 等值比率（2025 約</t>
        </is>
      </c>
      <c r="D111" s="3" t="inlineStr">
        <is>
          <t>分子同 H1（毛額，SRC_DEM_007）；單價同 H4；A 段 2025 組</t>
        </is>
      </c>
      <c r="E111" s="3" t="n">
        <v>1</v>
      </c>
      <c r="F111" s="3" t="inlineStr">
        <is>
          <t>G119</t>
        </is>
      </c>
      <c r="G111" s="3" t="inlineStr">
        <is>
          <t>R21</t>
        </is>
      </c>
      <c r="H111" s="3" t="inlineStr">
        <is>
          <t>保留：顯示用</t>
        </is>
      </c>
      <c r="I111" s="3" t="inlineStr">
        <is>
          <t>—</t>
        </is>
      </c>
      <c r="J111" s="3" t="inlineStr"/>
      <c r="K111" s="3" t="inlineStr">
        <is>
          <t>說明欄的動態文字公式（以 TEXT() 帶出現值，取代寫死的過時數字；4-0 SL13／SL14 的修法）；屬原則 2。</t>
        </is>
      </c>
      <c r="L111" s="3" t="inlineStr">
        <is>
          <t>否</t>
        </is>
      </c>
      <c r="M111" s="3">
        <f>"分子同 H1（毛額，SRC_DEM_007）；單價同 H4；A 段 2025 組合約 0.81（報告當時值；現值 "&amp;IF(ISNUMBER(C119),TEXT(C119,"0.00"),"—")&amp;"）"</f>
        <v/>
      </c>
      <c r="N111" s="3" t="inlineStr">
        <is>
          <t>20261013_v5.33.md、20261016_稽核修正2-1b.md、20261016_稽核修正2.md、Tokenomics_builder_v5.md</t>
        </is>
      </c>
      <c r="O111" s="3" t="inlineStr"/>
      <c r="P111" s="3" t="inlineStr">
        <is>
          <t>是</t>
        </is>
      </c>
    </row>
    <row r="112">
      <c r="A112" s="3" t="inlineStr">
        <is>
          <t>Cap_In</t>
        </is>
      </c>
      <c r="B112" s="3" t="n">
        <v>121</v>
      </c>
      <c r="C112" s="3" t="inlineStr">
        <is>
          <t>m 下限（上限讀法）＝營收 ÷（機隊付費 token 上限 × 2025 年度機隊口徑混合有效單價（AL_PriceFleet25：可達層級重新正規化；v6.3 K1））</t>
        </is>
      </c>
      <c r="D112" s="3" t="inlineStr">
        <is>
          <t>0.300967</t>
        </is>
      </c>
      <c r="E112" s="3" t="n">
        <v>4</v>
      </c>
      <c r="F112" s="3" t="inlineStr">
        <is>
          <t>C121:G121</t>
        </is>
      </c>
      <c r="G112" s="3" t="inlineStr">
        <is>
          <t>R16</t>
        </is>
      </c>
      <c r="H112" s="3" t="inlineStr">
        <is>
          <t>升級</t>
        </is>
      </c>
      <c r="I112" s="3" t="inlineStr">
        <is>
          <t>1</t>
        </is>
      </c>
      <c r="J112" s="3" t="inlineStr">
        <is>
          <t>L1_MFleetFloor（含 _Lo／_Hi）</t>
        </is>
      </c>
      <c r="K112" s="3" t="inlineStr">
        <is>
          <t>m 下限（上限讀法）0.301：『m 不可能低於此值』的物理下界，目前只出現在說明文字。注意 L1_MFleet_Lo（0.184）低於這個下限，兩者的區間定義不同（前者含 τ 區間），升級後下游才看得到這個衝突。</t>
        </is>
      </c>
      <c r="L112" s="3" t="inlineStr">
        <is>
          <t>是</t>
        </is>
      </c>
      <c r="M112" s="3">
        <f>IF(ISNUMBER(C118),SRC_DEM_007*1000000000/(C118*AL_PriceFleet25),AL_UnavailTxt)</f>
        <v/>
      </c>
      <c r="N112" s="3" t="inlineStr">
        <is>
          <t>20261013_v5.33.md、20261015_v5.36.md、20261015_稽核修正1.md、20261016_稽核修正2-1b.md</t>
        </is>
      </c>
      <c r="O112" s="3" t="inlineStr"/>
      <c r="P112" s="3" t="inlineStr">
        <is>
          <t>是</t>
        </is>
      </c>
    </row>
    <row r="113">
      <c r="A113" s="3" t="inlineStr">
        <is>
          <t>Cap_In</t>
        </is>
      </c>
      <c r="B113" s="3" t="n">
        <v>123</v>
      </c>
      <c r="C113" s="3" t="inlineStr">
        <is>
          <t>m＝1 所需付費 token</t>
        </is>
      </c>
      <c r="D113" s="3" t="inlineStr">
        <is>
          <t>7778650668.95205</t>
        </is>
      </c>
      <c r="E113" s="3" t="n">
        <v>3</v>
      </c>
      <c r="F113" s="3" t="inlineStr">
        <is>
          <t>C123:E123</t>
        </is>
      </c>
      <c r="G113" s="3" t="inlineStr">
        <is>
          <t>R16</t>
        </is>
      </c>
      <c r="H113" s="3" t="inlineStr">
        <is>
          <t>保留：顯示用</t>
        </is>
      </c>
      <c r="I113" s="3" t="inlineStr">
        <is>
          <t>1</t>
        </is>
      </c>
      <c r="J113" s="3" t="inlineStr"/>
      <c r="K113" s="3" t="inlineStr">
        <is>
          <t>『必須為真』補列（m＝1／0.6／0.3 所需付費 token）：Andy 要求的反向檢查，對照機隊 token 判斷 m 是否可能；v5.33 B3。</t>
        </is>
      </c>
      <c r="L113" s="3" t="inlineStr">
        <is>
          <t>否</t>
        </is>
      </c>
      <c r="M113" s="3">
        <f>IF(ISNUMBER(AL_PriceFleet25),SRC_DEM_007*1000000000/(1*AL_PriceFleet25),AL_PriceFleet25)</f>
        <v/>
      </c>
      <c r="N113" s="3" t="inlineStr">
        <is>
          <t>20261013_v5.33.md、20261016_稽核修正2-1b.md、Tokenomics_builder_v5.md</t>
        </is>
      </c>
      <c r="O113" s="3" t="inlineStr"/>
      <c r="P113" s="3" t="inlineStr">
        <is>
          <t>是</t>
        </is>
      </c>
    </row>
    <row r="114">
      <c r="A114" s="3" t="inlineStr">
        <is>
          <t>Cap_In</t>
        </is>
      </c>
      <c r="B114" s="3" t="n">
        <v>124</v>
      </c>
      <c r="C114" s="3" t="inlineStr">
        <is>
          <t>m＝0.6 所需付費 token</t>
        </is>
      </c>
      <c r="D114" s="3" t="inlineStr">
        <is>
          <t>12964417781.5868</t>
        </is>
      </c>
      <c r="E114" s="3" t="n">
        <v>3</v>
      </c>
      <c r="F114" s="3" t="inlineStr">
        <is>
          <t>C124:E124</t>
        </is>
      </c>
      <c r="G114" s="3" t="inlineStr">
        <is>
          <t>R16</t>
        </is>
      </c>
      <c r="H114" s="3" t="inlineStr">
        <is>
          <t>保留：顯示用</t>
        </is>
      </c>
      <c r="I114" s="3" t="inlineStr">
        <is>
          <t>1</t>
        </is>
      </c>
      <c r="J114" s="3" t="inlineStr"/>
      <c r="K114" s="3" t="inlineStr">
        <is>
          <t>『必須為真』補列（m＝1／0.6／0.3 所需付費 token）：Andy 要求的反向檢查，對照機隊 token 判斷 m 是否可能；v5.33 B3。</t>
        </is>
      </c>
      <c r="L114" s="3" t="inlineStr">
        <is>
          <t>否</t>
        </is>
      </c>
      <c r="M114" s="3">
        <f>IF(ISNUMBER(AL_PriceFleet25),SRC_DEM_007*1000000000/(0.6*AL_PriceFleet25),AL_PriceFleet25)</f>
        <v/>
      </c>
      <c r="N114" s="3" t="inlineStr">
        <is>
          <t>20261013_v5.33.md、20261015_稽核修正1.md、20261016_稽核修正2-1b.md、Tokenomics_builder_v5.md</t>
        </is>
      </c>
      <c r="O114" s="3" t="inlineStr"/>
      <c r="P114" s="3" t="inlineStr">
        <is>
          <t>是</t>
        </is>
      </c>
    </row>
    <row r="115">
      <c r="A115" s="3" t="inlineStr">
        <is>
          <t>Cap_In</t>
        </is>
      </c>
      <c r="B115" s="3" t="n">
        <v>125</v>
      </c>
      <c r="C115" s="3" t="inlineStr">
        <is>
          <t>m＝0.3 所需付費 token</t>
        </is>
      </c>
      <c r="D115" s="3" t="inlineStr">
        <is>
          <t>25928835563.1735</t>
        </is>
      </c>
      <c r="E115" s="3" t="n">
        <v>3</v>
      </c>
      <c r="F115" s="3" t="inlineStr">
        <is>
          <t>C125:E125</t>
        </is>
      </c>
      <c r="G115" s="3" t="inlineStr">
        <is>
          <t>R16</t>
        </is>
      </c>
      <c r="H115" s="3" t="inlineStr">
        <is>
          <t>保留：顯示用</t>
        </is>
      </c>
      <c r="I115" s="3" t="inlineStr">
        <is>
          <t>1</t>
        </is>
      </c>
      <c r="J115" s="3" t="inlineStr"/>
      <c r="K115" s="3" t="inlineStr">
        <is>
          <t>『必須為真』補列（m＝1／0.6／0.3 所需付費 token）：Andy 要求的反向檢查，對照機隊 token 判斷 m 是否可能；v5.33 B3。</t>
        </is>
      </c>
      <c r="L115" s="3" t="inlineStr">
        <is>
          <t>否</t>
        </is>
      </c>
      <c r="M115" s="3">
        <f>IF(ISNUMBER(AL_PriceFleet25),SRC_DEM_007*1000000000/(0.3*AL_PriceFleet25),AL_PriceFleet25)</f>
        <v/>
      </c>
      <c r="N115" s="3" t="inlineStr">
        <is>
          <t>20261013_v5.33.md、20261016_稽核修正2-1b.md、Tokenomics_builder_v5.md</t>
        </is>
      </c>
      <c r="O115" s="3" t="inlineStr"/>
      <c r="P115" s="3" t="inlineStr">
        <is>
          <t>是</t>
        </is>
      </c>
    </row>
    <row r="116">
      <c r="A116" s="3" t="inlineStr">
        <is>
          <t>Cap_In</t>
        </is>
      </c>
      <c r="B116" s="3" t="n">
        <v>128</v>
      </c>
      <c r="C116" s="3" t="inlineStr">
        <is>
          <t>扣除非文字後 — 訂閱路線隱含 m（模型 token）</t>
        </is>
      </c>
      <c r="D116" s="3" t="inlineStr">
        <is>
          <t>3.356541</t>
        </is>
      </c>
      <c r="E116" s="3" t="n">
        <v>3</v>
      </c>
      <c r="F116" s="3" t="inlineStr">
        <is>
          <t>C128:E128</t>
        </is>
      </c>
      <c r="G116" s="3" t="inlineStr">
        <is>
          <t>R16</t>
        </is>
      </c>
      <c r="H116" s="3" t="inlineStr">
        <is>
          <t>保留：顯示用</t>
        </is>
      </c>
      <c r="I116" s="3" t="inlineStr">
        <is>
          <t>1</t>
        </is>
      </c>
      <c r="J116" s="3" t="inlineStr"/>
      <c r="K116" s="3" t="inlineStr">
        <is>
          <t>J11 非文字服務份額對照（訂閱 m 扣除非文字後 3.36、合併 1.89）：敏感度讀數，Assumed 0.05／0.10／0.20 的影響。</t>
        </is>
      </c>
      <c r="L116" s="3" t="inlineStr">
        <is>
          <t>否</t>
        </is>
      </c>
      <c r="M116" s="3">
        <f>C72*(1-C127)*1000000000/(C81*CAP_Price25Mix)</f>
        <v/>
      </c>
      <c r="N116" s="3" t="inlineStr">
        <is>
          <t>20261013_v5.33.md、Tokenomics_builder_v5.md</t>
        </is>
      </c>
      <c r="O116" s="3" t="inlineStr"/>
      <c r="P116" s="3" t="inlineStr">
        <is>
          <t>是</t>
        </is>
      </c>
    </row>
    <row r="117">
      <c r="A117" s="3" t="inlineStr">
        <is>
          <t>Cap_In</t>
        </is>
      </c>
      <c r="B117" s="3" t="n">
        <v>129</v>
      </c>
      <c r="C117" s="3" t="inlineStr">
        <is>
          <t>扣除非文字後 — 合併隱含 m（模型 token）</t>
        </is>
      </c>
      <c r="D117" s="3" t="inlineStr">
        <is>
          <t>1.891181</t>
        </is>
      </c>
      <c r="E117" s="3" t="n">
        <v>3</v>
      </c>
      <c r="F117" s="3" t="inlineStr">
        <is>
          <t>C129:E129</t>
        </is>
      </c>
      <c r="G117" s="3" t="inlineStr">
        <is>
          <t>R16</t>
        </is>
      </c>
      <c r="H117" s="3" t="inlineStr">
        <is>
          <t>保留：顯示用</t>
        </is>
      </c>
      <c r="I117" s="3" t="inlineStr">
        <is>
          <t>1</t>
        </is>
      </c>
      <c r="J117" s="3" t="inlineStr"/>
      <c r="K117" s="3" t="inlineStr">
        <is>
          <t>J11 非文字服務份額對照（訂閱 m 扣除非文字後 3.36、合併 1.89）：敏感度讀數，Assumed 0.05／0.10／0.20 的影響。</t>
        </is>
      </c>
      <c r="L117" s="3" t="inlineStr">
        <is>
          <t>否</t>
        </is>
      </c>
      <c r="M117" s="3">
        <f>(C72*(1-C127)+C73)*1000000000/(C83*CAP_Price25Mix)</f>
        <v/>
      </c>
      <c r="N117" s="3" t="inlineStr">
        <is>
          <t>20261013_v5.33.md、Tokenomics_builder_v5.md</t>
        </is>
      </c>
      <c r="O117" s="3" t="inlineStr"/>
      <c r="P117" s="3" t="inlineStr">
        <is>
          <t>是</t>
        </is>
      </c>
    </row>
    <row r="118">
      <c r="A118" s="3" t="inlineStr">
        <is>
          <t>Cap_In</t>
        </is>
      </c>
      <c r="B118" s="3" t="n">
        <v>138</v>
      </c>
      <c r="C118" s="3" t="inlineStr">
        <is>
          <t>API 占比（顯示；＝API 營收 ÷ 營收）</t>
        </is>
      </c>
      <c r="D118" s="3" t="inlineStr">
        <is>
          <t>0.2</t>
        </is>
      </c>
      <c r="E118" s="3" t="n">
        <v>3</v>
      </c>
      <c r="F118" s="3" t="inlineStr">
        <is>
          <t>C138:E138</t>
        </is>
      </c>
      <c r="G118" s="3" t="inlineStr">
        <is>
          <t>R16</t>
        </is>
      </c>
      <c r="H118" s="3" t="inlineStr">
        <is>
          <t>刪除</t>
        </is>
      </c>
      <c r="I118" s="3" t="inlineStr">
        <is>
          <t>1</t>
        </is>
      </c>
      <c r="J118" s="3" t="inlineStr"/>
      <c r="K118" s="3" t="inlineStr">
        <is>
          <t>API 占比（顯示）：與 H10-1 第 190 列、H8-1 第 137 列÷第 69 列同義；原則 1。需 Andy 確認（承重頁）。</t>
        </is>
      </c>
      <c r="L118" s="3" t="inlineStr">
        <is>
          <t>是</t>
        </is>
      </c>
      <c r="M118" s="3">
        <f>C137/C69</f>
        <v/>
      </c>
      <c r="N118" s="3" t="inlineStr">
        <is>
          <t>20261014_v5.34.md、20261015_稽核2_報告.md</t>
        </is>
      </c>
      <c r="O118" s="3" t="inlineStr"/>
      <c r="P118" s="3" t="inlineStr">
        <is>
          <t>是</t>
        </is>
      </c>
    </row>
    <row r="119">
      <c r="A119" s="3" t="inlineStr">
        <is>
          <t>Cap_In</t>
        </is>
      </c>
      <c r="B119" s="3" t="n">
        <v>147</v>
      </c>
      <c r="C119" s="3" t="inlineStr">
        <is>
          <t>m_整體（token 加權）＝Σ營收 ÷（Σtoken × 單價）</t>
        </is>
      </c>
      <c r="D119" s="3" t="inlineStr">
        <is>
          <t>2.033528</t>
        </is>
      </c>
      <c r="E119" s="3" t="n">
        <v>3</v>
      </c>
      <c r="F119" s="3" t="inlineStr">
        <is>
          <t>C147:E147</t>
        </is>
      </c>
      <c r="G119" s="3" t="inlineStr">
        <is>
          <t>R16</t>
        </is>
      </c>
      <c r="H119" s="3" t="inlineStr">
        <is>
          <t>接進 Checks</t>
        </is>
      </c>
      <c r="I119" s="3" t="inlineStr">
        <is>
          <t>1</t>
        </is>
      </c>
      <c r="J119" s="3" t="inlineStr"/>
      <c r="K119" s="3" t="inlineStr">
        <is>
          <t>m_整體（token 加權）須等於 L1_MImplied（第 94 列）：第 148 列已有『自我檢查』但只顯示、不進 Checks；寫成 Checks 的能失敗檢查（容差 1e-9）。</t>
        </is>
      </c>
      <c r="L119" s="3" t="inlineStr">
        <is>
          <t>否</t>
        </is>
      </c>
      <c r="M119" s="3">
        <f>(C135+C136+C137)*1000000000/((C140+C141+C142)*CAP_Price25Mix)</f>
        <v/>
      </c>
      <c r="N119" s="3" t="inlineStr">
        <is>
          <t>20261014_v5.34.md</t>
        </is>
      </c>
      <c r="O119" s="3" t="inlineStr"/>
      <c r="P119" s="3" t="inlineStr">
        <is>
          <t>是</t>
        </is>
      </c>
    </row>
    <row r="120">
      <c r="A120" s="3" t="inlineStr">
        <is>
          <t>Cap_In</t>
        </is>
      </c>
      <c r="B120" s="3" t="n">
        <v>161</v>
      </c>
      <c r="C120" s="3" t="inlineStr">
        <is>
          <t>消費訂閱 ARPU（$／人·年）＝消費訂閱營收 ÷ 2025 期間平均訂閱數（H2 第 79 列）</t>
        </is>
      </c>
      <c r="D120" s="3" t="inlineStr">
        <is>
          <t>279.358779</t>
        </is>
      </c>
      <c r="E120" s="3" t="n">
        <v>3</v>
      </c>
      <c r="F120" s="3" t="inlineStr">
        <is>
          <t>C161:E161</t>
        </is>
      </c>
      <c r="G120" s="3" t="inlineStr">
        <is>
          <t>R16</t>
        </is>
      </c>
      <c r="H120" s="3" t="inlineStr">
        <is>
          <t>保留：顯示用</t>
        </is>
      </c>
      <c r="I120" s="3" t="inlineStr">
        <is>
          <t>1</t>
        </is>
      </c>
      <c r="J120" s="3" t="inlineStr"/>
      <c r="K120" s="3" t="inlineStr">
        <is>
          <t>H8-6 『必須為真』補列（訂閱 ARPU 279 $/人·年；m_訂閱＝1 需每訂閱者年 token 166）：與第 84 列、第 164 列並列的每人檢查。</t>
        </is>
      </c>
      <c r="L120" s="3" t="inlineStr">
        <is>
          <t>否</t>
        </is>
      </c>
      <c r="M120" s="3">
        <f>C135*1000000000/(C79*1000000)</f>
        <v/>
      </c>
      <c r="N120" s="3" t="inlineStr">
        <is>
          <t>20261014_v5.34.md</t>
        </is>
      </c>
      <c r="O120" s="3" t="inlineStr"/>
      <c r="P120" s="3" t="inlineStr">
        <is>
          <t>是</t>
        </is>
      </c>
    </row>
    <row r="121">
      <c r="A121" s="3" t="inlineStr">
        <is>
          <t>Cap_In</t>
        </is>
      </c>
      <c r="B121" s="3" t="n">
        <v>162</v>
      </c>
      <c r="C121" s="3" t="inlineStr">
        <is>
          <t>m_消費訂閱＝1 所需每訂閱者年 token＝ARPU ÷ 單價</t>
        </is>
      </c>
      <c r="D121" s="3" t="inlineStr">
        <is>
          <t>166.261236</t>
        </is>
      </c>
      <c r="E121" s="3" t="n">
        <v>3</v>
      </c>
      <c r="F121" s="3" t="inlineStr">
        <is>
          <t>C162:E162</t>
        </is>
      </c>
      <c r="G121" s="3" t="inlineStr">
        <is>
          <t>R16</t>
        </is>
      </c>
      <c r="H121" s="3" t="inlineStr">
        <is>
          <t>保留：顯示用</t>
        </is>
      </c>
      <c r="I121" s="3" t="inlineStr">
        <is>
          <t>1</t>
        </is>
      </c>
      <c r="J121" s="3" t="inlineStr"/>
      <c r="K121" s="3" t="inlineStr">
        <is>
          <t>H8-6 『必須為真』補列（訂閱 ARPU 279 $/人·年；m_訂閱＝1 需每訂閱者年 token 166）：與第 84 列、第 164 列並列的每人檢查。</t>
        </is>
      </c>
      <c r="L121" s="3" t="inlineStr">
        <is>
          <t>否</t>
        </is>
      </c>
      <c r="M121" s="3">
        <f>C161/CAP_Price25Mix</f>
        <v/>
      </c>
      <c r="N121" s="3" t="inlineStr">
        <is>
          <t>20261014_v5.34.md</t>
        </is>
      </c>
      <c r="O121" s="3" t="inlineStr"/>
      <c r="P121" s="3" t="inlineStr">
        <is>
          <t>是</t>
        </is>
      </c>
    </row>
    <row r="122">
      <c r="A122" s="3" t="inlineStr">
        <is>
          <t>Cap_In</t>
        </is>
      </c>
      <c r="B122" s="3" t="n">
        <v>173</v>
      </c>
      <c r="C122" s="3" t="inlineStr">
        <is>
          <t>付費 token — 上限路線（H7 第 118 列；L1_TokCeiling）</t>
        </is>
      </c>
      <c r="D122" s="3" t="inlineStr">
        <is>
          <t>25845516859.6077</t>
        </is>
      </c>
      <c r="E122" s="3" t="n">
        <v>3</v>
      </c>
      <c r="F122" s="3" t="inlineStr">
        <is>
          <t>C173:E173</t>
        </is>
      </c>
      <c r="G122" s="3" t="inlineStr">
        <is>
          <t>R16</t>
        </is>
      </c>
      <c r="H122" s="3" t="inlineStr">
        <is>
          <t>保留：顯示用</t>
        </is>
      </c>
      <c r="I122" s="3" t="inlineStr">
        <is>
          <t>4</t>
        </is>
      </c>
      <c r="J122" s="3" t="inlineStr"/>
      <c r="K122" s="3" t="inlineStr">
        <is>
          <t>H9 token 帳三路線（需求／支出／上限）的上限路線：與 L1_TokCeiling 同值，但為三路線表的形狀（第 171–172 列已標用途），並供第 175 列。</t>
        </is>
      </c>
      <c r="L122" s="3" t="inlineStr">
        <is>
          <t>否</t>
        </is>
      </c>
      <c r="M122" s="3">
        <f>C118</f>
        <v/>
      </c>
      <c r="N122" s="3" t="inlineStr">
        <is>
          <t>20261014_v5.34.md、20261015_稽核修正1.md</t>
        </is>
      </c>
      <c r="O122" s="3" t="inlineStr"/>
      <c r="P122" s="3" t="inlineStr">
        <is>
          <t>是</t>
        </is>
      </c>
    </row>
    <row r="123">
      <c r="A123" s="3" t="inlineStr">
        <is>
          <t>Cap_In</t>
        </is>
      </c>
      <c r="B123" s="3" t="n">
        <v>175</v>
      </c>
      <c r="C123" s="3" t="inlineStr">
        <is>
          <t>殘差：需求 ÷ 上限</t>
        </is>
      </c>
      <c r="D123" s="3" t="inlineStr">
        <is>
          <t>0.148002</t>
        </is>
      </c>
      <c r="E123" s="3" t="n">
        <v>4</v>
      </c>
      <c r="F123" s="3" t="inlineStr">
        <is>
          <t>C175:G175</t>
        </is>
      </c>
      <c r="G123" s="3" t="inlineStr">
        <is>
          <t>R16</t>
        </is>
      </c>
      <c r="H123" s="3" t="inlineStr">
        <is>
          <t>接進 Checks</t>
        </is>
      </c>
      <c r="I123" s="3" t="inlineStr">
        <is>
          <t>4</t>
        </is>
      </c>
      <c r="J123" s="3" t="inlineStr"/>
      <c r="K123" s="3" t="inlineStr">
        <is>
          <t>殘差：需求 ÷ 上限須 ≤ 1（需求 token 不可能超過機隊有效產能上限；現值 0.148）。現有 Checks M4 只檢查需求÷點估計（0.5–2 之外為 WARN）；上限讀法可寫成必然失敗的檢查。G175 為說明文字（同類動態文字，保留）。</t>
        </is>
      </c>
      <c r="L123" s="3" t="inlineStr">
        <is>
          <t>否</t>
        </is>
      </c>
      <c r="M123" s="3">
        <f>IF(ISNUMBER(C173),C171/C173,AL_UnavailTxt)</f>
        <v/>
      </c>
      <c r="N123" s="3" t="inlineStr">
        <is>
          <t>20261014_v5.34.md、20261015_稽核修正1.md</t>
        </is>
      </c>
      <c r="O123" s="3" t="inlineStr"/>
      <c r="P123" s="3" t="inlineStr">
        <is>
          <t>是</t>
        </is>
      </c>
    </row>
    <row r="124">
      <c r="A124" s="3" t="inlineStr">
        <is>
          <t>Cap_In</t>
        </is>
      </c>
      <c r="B124" s="3" t="n">
        <v>176</v>
      </c>
      <c r="C124" s="3" t="inlineStr">
        <is>
          <t>閉合解：令需求 token（付費＋免費）佔滿機隊有效產能所需的每則 token 數 τ*（三步）；錨點 τ* ≈ 38,186</t>
        </is>
      </c>
      <c r="D124" s="3" t="inlineStr">
        <is>
          <t xml:space="preserve">閉合解：令需求 token（付費＋免費）佔滿機隊有效產能所需的每則 token </t>
        </is>
      </c>
      <c r="E124" s="3" t="n">
        <v>1</v>
      </c>
      <c r="F124" s="3" t="inlineStr">
        <is>
          <t>A176</t>
        </is>
      </c>
      <c r="G124" s="3" t="inlineStr">
        <is>
          <t>R16</t>
        </is>
      </c>
      <c r="H124" s="3" t="inlineStr">
        <is>
          <t>保留：顯示用</t>
        </is>
      </c>
      <c r="I124" s="3" t="inlineStr">
        <is>
          <t>10</t>
        </is>
      </c>
      <c r="J124" s="3" t="inlineStr"/>
      <c r="K124" s="3" t="inlineStr">
        <is>
          <t>閉合解標題的動態文字（以 TEXT() 帶出 τ* 現值，取代過時的 13,950；4-0 SL07 的修法）。</t>
        </is>
      </c>
      <c r="L124" s="3" t="inlineStr">
        <is>
          <t>否</t>
        </is>
      </c>
      <c r="M124" s="3">
        <f>"閉合解：令需求 token（付費＋免費）佔滿機隊有效產能所需的每則 token 數 τ*（三步）；錨點 τ* ≈ "&amp;IF(ISNUMBER(C179),TEXT(C179,"#,##0"),"—")</f>
        <v/>
      </c>
      <c r="N124" s="3" t="inlineStr">
        <is>
          <t>20261014_v5.34.md</t>
        </is>
      </c>
      <c r="O124" s="3" t="inlineStr"/>
      <c r="P124" s="3" t="inlineStr">
        <is>
          <t>是</t>
        </is>
      </c>
    </row>
    <row r="125">
      <c r="A125" s="3" t="inlineStr">
        <is>
          <t>Cap_In</t>
        </is>
      </c>
      <c r="B125" s="3" t="n">
        <v>185</v>
      </c>
      <c r="C125" s="3" t="inlineStr">
        <is>
          <t>營收（$B／年；2026 欄＝季營收 × 4；FY2026 為內部預測 Assumed）</t>
        </is>
      </c>
      <c r="D125" s="3" t="inlineStr">
        <is>
          <t>13.07</t>
        </is>
      </c>
      <c r="E125" s="3" t="n">
        <v>3</v>
      </c>
      <c r="F125" s="3" t="inlineStr">
        <is>
          <t>C185:E185</t>
        </is>
      </c>
      <c r="G125" s="3" t="inlineStr">
        <is>
          <t>R16</t>
        </is>
      </c>
      <c r="H125" s="3" t="inlineStr">
        <is>
          <t>升級（隨附上游）</t>
        </is>
      </c>
      <c r="I125" s="3" t="inlineStr">
        <is>
          <t>1</t>
        </is>
      </c>
      <c r="J125" s="3" t="inlineStr"/>
      <c r="K125" s="3" t="inlineStr">
        <is>
          <t>H10 m 季度序列（2025／2026 Q1／Q2／FY2026）的分子、分母、單價與機隊 token 推導；隨第 206–209、223 列升級為 L1_M*_Ser 後成為核心。</t>
        </is>
      </c>
      <c r="L125" s="3" t="inlineStr">
        <is>
          <t>否</t>
        </is>
      </c>
      <c r="M125" s="3">
        <f>SRC_DEM_007</f>
        <v/>
      </c>
      <c r="N125" s="3" t="inlineStr">
        <is>
          <t>20261014_v5.34.md、20261014_v5.35.md</t>
        </is>
      </c>
      <c r="O125" s="3" t="inlineStr"/>
      <c r="P125" s="3" t="inlineStr">
        <is>
          <t>是</t>
        </is>
      </c>
    </row>
    <row r="126">
      <c r="A126" s="3" t="inlineStr">
        <is>
          <t>Cap_In</t>
        </is>
      </c>
      <c r="B126" s="3" t="n">
        <v>187</v>
      </c>
      <c r="C126" s="3" t="inlineStr">
        <is>
          <t>m 分子營收＝營收 − 廣告</t>
        </is>
      </c>
      <c r="D126" s="3" t="inlineStr">
        <is>
          <t>13.07</t>
        </is>
      </c>
      <c r="E126" s="3" t="n">
        <v>4</v>
      </c>
      <c r="F126" s="3" t="inlineStr">
        <is>
          <t>C187:F187</t>
        </is>
      </c>
      <c r="G126" s="3" t="inlineStr">
        <is>
          <t>R16</t>
        </is>
      </c>
      <c r="H126" s="3" t="inlineStr">
        <is>
          <t>升級（隨附上游）</t>
        </is>
      </c>
      <c r="I126" s="3" t="inlineStr">
        <is>
          <t>1</t>
        </is>
      </c>
      <c r="J126" s="3" t="inlineStr"/>
      <c r="K126" s="3" t="inlineStr">
        <is>
          <t>H10 m 季度序列（2025／2026 Q1／Q2／FY2026）的分子、分母、單價與機隊 token 推導；隨第 206–209、223 列升級為 L1_M*_Ser 後成為核心。</t>
        </is>
      </c>
      <c r="L126" s="3" t="inlineStr">
        <is>
          <t>否</t>
        </is>
      </c>
      <c r="M126" s="3">
        <f>C185-C186</f>
        <v/>
      </c>
      <c r="N126" s="3" t="inlineStr">
        <is>
          <t>20261014_v5.34.md、20261014_v5.35.md</t>
        </is>
      </c>
      <c r="O126" s="3" t="inlineStr"/>
      <c r="P126" s="3" t="inlineStr">
        <is>
          <t>是</t>
        </is>
      </c>
    </row>
    <row r="127">
      <c r="A127" s="3" t="inlineStr">
        <is>
          <t>Cap_In</t>
        </is>
      </c>
      <c r="B127" s="3" t="n">
        <v>188</v>
      </c>
      <c r="C127" s="3" t="inlineStr">
        <is>
          <t>營收份額：消費訂閱（每欄各自輸入；2025 連結 H1）</t>
        </is>
      </c>
      <c r="D127" s="3" t="inlineStr">
        <is>
          <t>0.7</t>
        </is>
      </c>
      <c r="E127" s="3" t="n">
        <v>1</v>
      </c>
      <c r="F127" s="3" t="inlineStr">
        <is>
          <t>C188</t>
        </is>
      </c>
      <c r="G127" s="3" t="inlineStr">
        <is>
          <t>R16</t>
        </is>
      </c>
      <c r="H127" s="3" t="inlineStr">
        <is>
          <t>升級（隨附上游）</t>
        </is>
      </c>
      <c r="I127" s="3" t="inlineStr">
        <is>
          <t>1</t>
        </is>
      </c>
      <c r="J127" s="3" t="inlineStr"/>
      <c r="K127" s="3" t="inlineStr">
        <is>
          <t>H10 m 季度序列（2025／2026 Q1／Q2／FY2026）的分子、分母、單價與機隊 token 推導；隨第 206–209、223 列升級為 L1_M*_Ser 後成為核心。</t>
        </is>
      </c>
      <c r="L127" s="3" t="inlineStr">
        <is>
          <t>否</t>
        </is>
      </c>
      <c r="M127" s="3">
        <f>C70</f>
        <v/>
      </c>
      <c r="N127" s="3" t="inlineStr">
        <is>
          <t>20261014_v5.34.md、20261014_v5.35.md</t>
        </is>
      </c>
      <c r="O127" s="3" t="inlineStr"/>
      <c r="P127" s="3" t="inlineStr">
        <is>
          <t>是</t>
        </is>
      </c>
    </row>
    <row r="128">
      <c r="A128" s="3" t="inlineStr">
        <is>
          <t>Cap_In</t>
        </is>
      </c>
      <c r="B128" s="3" t="n">
        <v>189</v>
      </c>
      <c r="C128" s="3" t="inlineStr">
        <is>
          <t>營收份額：商用席次（每欄各自輸入；2025 連結 H8）</t>
        </is>
      </c>
      <c r="D128" s="3" t="inlineStr">
        <is>
          <t>0.1</t>
        </is>
      </c>
      <c r="E128" s="3" t="n">
        <v>1</v>
      </c>
      <c r="F128" s="3" t="inlineStr">
        <is>
          <t>C189</t>
        </is>
      </c>
      <c r="G128" s="3" t="inlineStr">
        <is>
          <t>R16</t>
        </is>
      </c>
      <c r="H128" s="3" t="inlineStr">
        <is>
          <t>升級（隨附上游）</t>
        </is>
      </c>
      <c r="I128" s="3" t="inlineStr">
        <is>
          <t>1</t>
        </is>
      </c>
      <c r="J128" s="3" t="inlineStr"/>
      <c r="K128" s="3" t="inlineStr">
        <is>
          <t>H10 m 季度序列（2025／2026 Q1／Q2／FY2026）的分子、分母、單價與機隊 token 推導；隨第 206–209、223 列升級為 L1_M*_Ser 後成為核心。</t>
        </is>
      </c>
      <c r="L128" s="3" t="inlineStr">
        <is>
          <t>否</t>
        </is>
      </c>
      <c r="M128" s="3">
        <f>C131</f>
        <v/>
      </c>
      <c r="N128" s="3" t="inlineStr">
        <is>
          <t>20261014_v5.34.md、20261014_v5.35.md</t>
        </is>
      </c>
      <c r="O128" s="3" t="inlineStr"/>
      <c r="P128" s="3" t="inlineStr">
        <is>
          <t>是</t>
        </is>
      </c>
    </row>
    <row r="129">
      <c r="A129" s="3" t="inlineStr">
        <is>
          <t>Cap_In</t>
        </is>
      </c>
      <c r="B129" s="3" t="n">
        <v>190</v>
      </c>
      <c r="C129" s="3" t="inlineStr">
        <is>
          <t>營收份額：API（＝1 − 消費訂閱 − 商用席次）</t>
        </is>
      </c>
      <c r="D129" s="3" t="inlineStr">
        <is>
          <t>0.2</t>
        </is>
      </c>
      <c r="E129" s="3" t="n">
        <v>4</v>
      </c>
      <c r="F129" s="3" t="inlineStr">
        <is>
          <t>C190:F190</t>
        </is>
      </c>
      <c r="G129" s="3" t="inlineStr">
        <is>
          <t>R16</t>
        </is>
      </c>
      <c r="H129" s="3" t="inlineStr">
        <is>
          <t>升級（隨附上游）</t>
        </is>
      </c>
      <c r="I129" s="3" t="inlineStr">
        <is>
          <t>1</t>
        </is>
      </c>
      <c r="J129" s="3" t="inlineStr"/>
      <c r="K129" s="3" t="inlineStr">
        <is>
          <t>H10 m 季度序列（2025／2026 Q1／Q2／FY2026）的分子、分母、單價與機隊 token 推導；隨第 206–209、223 列升級為 L1_M*_Ser 後成為核心。</t>
        </is>
      </c>
      <c r="L129" s="3" t="inlineStr">
        <is>
          <t>否</t>
        </is>
      </c>
      <c r="M129" s="3">
        <f>1-C188-C189</f>
        <v/>
      </c>
      <c r="N129" s="3" t="inlineStr">
        <is>
          <t>20261014_v5.34.md、20261014_v5.35.md</t>
        </is>
      </c>
      <c r="O129" s="3" t="inlineStr"/>
      <c r="P129" s="3" t="inlineStr">
        <is>
          <t>是</t>
        </is>
      </c>
    </row>
    <row r="130">
      <c r="A130" s="3" t="inlineStr">
        <is>
          <t>Cap_In</t>
        </is>
      </c>
      <c r="B130" s="3" t="n">
        <v>191</v>
      </c>
      <c r="C130" s="3" t="inlineStr">
        <is>
          <t>消費訂閱營收＝m 分子營收 × 份額</t>
        </is>
      </c>
      <c r="D130" s="3" t="inlineStr">
        <is>
          <t>9.149</t>
        </is>
      </c>
      <c r="E130" s="3" t="n">
        <v>4</v>
      </c>
      <c r="F130" s="3" t="inlineStr">
        <is>
          <t>C191:F191</t>
        </is>
      </c>
      <c r="G130" s="3" t="inlineStr">
        <is>
          <t>R16</t>
        </is>
      </c>
      <c r="H130" s="3" t="inlineStr">
        <is>
          <t>升級（隨附上游）</t>
        </is>
      </c>
      <c r="I130" s="3" t="inlineStr">
        <is>
          <t>1</t>
        </is>
      </c>
      <c r="J130" s="3" t="inlineStr"/>
      <c r="K130" s="3" t="inlineStr">
        <is>
          <t>H10 m 季度序列（2025／2026 Q1／Q2／FY2026）的分子、分母、單價與機隊 token 推導；隨第 206–209、223 列升級為 L1_M*_Ser 後成為核心。</t>
        </is>
      </c>
      <c r="L130" s="3" t="inlineStr">
        <is>
          <t>否</t>
        </is>
      </c>
      <c r="M130" s="3">
        <f>C187*C188</f>
        <v/>
      </c>
      <c r="N130" s="3" t="inlineStr">
        <is>
          <t>20261014_v5.34.md、20261014_v5.35.md</t>
        </is>
      </c>
      <c r="O130" s="3" t="inlineStr"/>
      <c r="P130" s="3" t="inlineStr">
        <is>
          <t>是</t>
        </is>
      </c>
    </row>
    <row r="131">
      <c r="A131" s="3" t="inlineStr">
        <is>
          <t>Cap_In</t>
        </is>
      </c>
      <c r="B131" s="3" t="n">
        <v>192</v>
      </c>
      <c r="C131" s="3" t="inlineStr">
        <is>
          <t>商用席次營收＝m 分子營收 × 份額</t>
        </is>
      </c>
      <c r="D131" s="3" t="inlineStr">
        <is>
          <t>1.307</t>
        </is>
      </c>
      <c r="E131" s="3" t="n">
        <v>4</v>
      </c>
      <c r="F131" s="3" t="inlineStr">
        <is>
          <t>C192:F192</t>
        </is>
      </c>
      <c r="G131" s="3" t="inlineStr">
        <is>
          <t>R16</t>
        </is>
      </c>
      <c r="H131" s="3" t="inlineStr">
        <is>
          <t>升級（隨附上游）</t>
        </is>
      </c>
      <c r="I131" s="3" t="inlineStr">
        <is>
          <t>1</t>
        </is>
      </c>
      <c r="J131" s="3" t="inlineStr"/>
      <c r="K131" s="3" t="inlineStr">
        <is>
          <t>H10 m 季度序列（2025／2026 Q1／Q2／FY2026）的分子、分母、單價與機隊 token 推導；隨第 206–209、223 列升級為 L1_M*_Ser 後成為核心。</t>
        </is>
      </c>
      <c r="L131" s="3" t="inlineStr">
        <is>
          <t>否</t>
        </is>
      </c>
      <c r="M131" s="3">
        <f>C187*C189</f>
        <v/>
      </c>
      <c r="N131" s="3" t="inlineStr">
        <is>
          <t>20261014_v5.34.md、20261014_v5.35.md</t>
        </is>
      </c>
      <c r="O131" s="3" t="inlineStr"/>
      <c r="P131" s="3" t="inlineStr">
        <is>
          <t>是</t>
        </is>
      </c>
    </row>
    <row r="132">
      <c r="A132" s="3" t="inlineStr">
        <is>
          <t>Cap_In</t>
        </is>
      </c>
      <c r="B132" s="3" t="n">
        <v>193</v>
      </c>
      <c r="C132" s="3" t="inlineStr">
        <is>
          <t>API 營收＝m 分子營收 × 份額</t>
        </is>
      </c>
      <c r="D132" s="3" t="inlineStr">
        <is>
          <t>2.614</t>
        </is>
      </c>
      <c r="E132" s="3" t="n">
        <v>4</v>
      </c>
      <c r="F132" s="3" t="inlineStr">
        <is>
          <t>C193:F193</t>
        </is>
      </c>
      <c r="G132" s="3" t="inlineStr">
        <is>
          <t>R16</t>
        </is>
      </c>
      <c r="H132" s="3" t="inlineStr">
        <is>
          <t>升級（隨附上游）</t>
        </is>
      </c>
      <c r="I132" s="3" t="inlineStr">
        <is>
          <t>1</t>
        </is>
      </c>
      <c r="J132" s="3" t="inlineStr"/>
      <c r="K132" s="3" t="inlineStr">
        <is>
          <t>H10 m 季度序列（2025／2026 Q1／Q2／FY2026）的分子、分母、單價與機隊 token 推導；隨第 206–209、223 列升級為 L1_M*_Ser 後成為核心。</t>
        </is>
      </c>
      <c r="L132" s="3" t="inlineStr">
        <is>
          <t>否</t>
        </is>
      </c>
      <c r="M132" s="3">
        <f>C187*C190</f>
        <v/>
      </c>
      <c r="N132" s="3" t="inlineStr">
        <is>
          <t>20261014_v5.34.md、20261014_v5.35.md</t>
        </is>
      </c>
      <c r="O132" s="3" t="inlineStr"/>
      <c r="P132" s="3" t="inlineStr">
        <is>
          <t>是</t>
        </is>
      </c>
    </row>
    <row r="133">
      <c r="A133" s="3" t="inlineStr">
        <is>
          <t>Cap_In</t>
        </is>
      </c>
      <c r="B133" s="3" t="n">
        <v>196</v>
      </c>
      <c r="C133" s="3" t="inlineStr">
        <is>
          <t>API token（M tok/年）：2025＝AL_DAPI；2026 Q1／Q2＝SRC_DEM_011 時點值年化；FY2026＝× 年均倍數</t>
        </is>
      </c>
      <c r="D133" s="3" t="inlineStr">
        <is>
          <t>2365200000</t>
        </is>
      </c>
      <c r="E133" s="3" t="n">
        <v>4</v>
      </c>
      <c r="F133" s="3" t="inlineStr">
        <is>
          <t>C196:F196</t>
        </is>
      </c>
      <c r="G133" s="3" t="inlineStr">
        <is>
          <t>R16</t>
        </is>
      </c>
      <c r="H133" s="3" t="inlineStr">
        <is>
          <t>升級（隨附上游）</t>
        </is>
      </c>
      <c r="I133" s="3" t="inlineStr">
        <is>
          <t>1</t>
        </is>
      </c>
      <c r="J133" s="3" t="inlineStr"/>
      <c r="K133" s="3" t="inlineStr">
        <is>
          <t>H10 m 季度序列（2025／2026 Q1／Q2／FY2026）的分子、分母、單價與機隊 token 推導；隨第 206–209、223 列升級為 L1_M*_Ser 後成為核心。</t>
        </is>
      </c>
      <c r="L133" s="3" t="inlineStr">
        <is>
          <t>否</t>
        </is>
      </c>
      <c r="M133" s="3">
        <f>AL_DAPI</f>
        <v/>
      </c>
      <c r="N133" s="3" t="inlineStr">
        <is>
          <t>20261014_v5.34.md、20261014_v5.35.md</t>
        </is>
      </c>
      <c r="O133" s="3" t="inlineStr"/>
      <c r="P133" s="3" t="inlineStr">
        <is>
          <t>是</t>
        </is>
      </c>
    </row>
    <row r="134">
      <c r="A134" s="3" t="inlineStr">
        <is>
          <t>Cap_In</t>
        </is>
      </c>
      <c r="B134" s="3" t="n">
        <v>197</v>
      </c>
      <c r="C134" s="3" t="inlineStr">
        <is>
          <t>ChatGPT 每日則數（B 則/日；2026 為 Derived：週活比例放大）</t>
        </is>
      </c>
      <c r="D134" s="3" t="inlineStr">
        <is>
          <t>2.5</t>
        </is>
      </c>
      <c r="E134" s="3" t="n">
        <v>1</v>
      </c>
      <c r="F134" s="3" t="inlineStr">
        <is>
          <t>C197</t>
        </is>
      </c>
      <c r="G134" s="3" t="inlineStr">
        <is>
          <t>R16</t>
        </is>
      </c>
      <c r="H134" s="3" t="inlineStr">
        <is>
          <t>升級（隨附上游）</t>
        </is>
      </c>
      <c r="I134" s="3" t="inlineStr">
        <is>
          <t>1</t>
        </is>
      </c>
      <c r="J134" s="3" t="inlineStr"/>
      <c r="K134" s="3" t="inlineStr">
        <is>
          <t>H10 m 季度序列（2025／2026 Q1／Q2／FY2026）的分子、分母、單價與機隊 token 推導；隨第 206–209、223 列升級為 L1_M*_Ser 後成為核心。</t>
        </is>
      </c>
      <c r="L134" s="3" t="inlineStr">
        <is>
          <t>否</t>
        </is>
      </c>
      <c r="M134" s="3">
        <f>SRC_DEM_012</f>
        <v/>
      </c>
      <c r="N134" s="3" t="inlineStr">
        <is>
          <t>20261014_v5.34.md、20261014_v5.35.md</t>
        </is>
      </c>
      <c r="O134" s="3" t="inlineStr"/>
      <c r="P134" s="3" t="inlineStr">
        <is>
          <t>是</t>
        </is>
      </c>
    </row>
    <row r="135">
      <c r="A135" s="3" t="inlineStr">
        <is>
          <t>Cap_In</t>
        </is>
      </c>
      <c r="B135" s="3" t="n">
        <v>198</v>
      </c>
      <c r="C135" s="3" t="inlineStr">
        <is>
          <t>ChatGPT 付費 token＝則數 × 1e9 × AL_TokPerPrompt × 365 ÷ 1e6 ×（1 − AL_FreeShare）</t>
        </is>
      </c>
      <c r="D135" s="3" t="inlineStr">
        <is>
          <t>1460000000</t>
        </is>
      </c>
      <c r="E135" s="3" t="n">
        <v>4</v>
      </c>
      <c r="F135" s="3" t="inlineStr">
        <is>
          <t>C198:F198</t>
        </is>
      </c>
      <c r="G135" s="3" t="inlineStr">
        <is>
          <t>R16</t>
        </is>
      </c>
      <c r="H135" s="3" t="inlineStr">
        <is>
          <t>升級（隨附上游）</t>
        </is>
      </c>
      <c r="I135" s="3" t="inlineStr">
        <is>
          <t>1</t>
        </is>
      </c>
      <c r="J135" s="3" t="inlineStr"/>
      <c r="K135" s="3" t="inlineStr">
        <is>
          <t>H10 m 季度序列（2025／2026 Q1／Q2／FY2026）的分子、分母、單價與機隊 token 推導；隨第 206–209、223 列升級為 L1_M*_Ser 後成為核心。</t>
        </is>
      </c>
      <c r="L135" s="3" t="inlineStr">
        <is>
          <t>否</t>
        </is>
      </c>
      <c r="M135" s="3">
        <f>C197*1000000000*AL_TokPerPrompt*365/1000000*(1-AL_FreeShare)</f>
        <v/>
      </c>
      <c r="N135" s="3" t="inlineStr">
        <is>
          <t>20261014_v5.34.md、20261014_v5.35.md</t>
        </is>
      </c>
      <c r="O135" s="3" t="inlineStr"/>
      <c r="P135" s="3" t="inlineStr">
        <is>
          <t>是</t>
        </is>
      </c>
    </row>
    <row r="136">
      <c r="A136" s="3" t="inlineStr">
        <is>
          <t>Cap_In</t>
        </is>
      </c>
      <c r="B136" s="3" t="n">
        <v>199</v>
      </c>
      <c r="C136" s="3" t="inlineStr">
        <is>
          <t>ChatGPT 免費 token＝則數 × 1e9 × AL_TokPerPrompt × 365 ÷ 1e6 × AL_FreeShare</t>
        </is>
      </c>
      <c r="D136" s="3" t="inlineStr">
        <is>
          <t>2190000000</t>
        </is>
      </c>
      <c r="E136" s="3" t="n">
        <v>4</v>
      </c>
      <c r="F136" s="3" t="inlineStr">
        <is>
          <t>C199:F199</t>
        </is>
      </c>
      <c r="G136" s="3" t="inlineStr">
        <is>
          <t>R16</t>
        </is>
      </c>
      <c r="H136" s="3" t="inlineStr">
        <is>
          <t>升級（隨附上游）</t>
        </is>
      </c>
      <c r="I136" s="3" t="inlineStr">
        <is>
          <t>1</t>
        </is>
      </c>
      <c r="J136" s="3" t="inlineStr"/>
      <c r="K136" s="3" t="inlineStr">
        <is>
          <t>H10 m 季度序列（2025／2026 Q1／Q2／FY2026）的分子、分母、單價與機隊 token 推導；隨第 206–209、223 列升級為 L1_M*_Ser 後成為核心。</t>
        </is>
      </c>
      <c r="L136" s="3" t="inlineStr">
        <is>
          <t>否</t>
        </is>
      </c>
      <c r="M136" s="3">
        <f>C197*1000000000*AL_TokPerPrompt*365/1000000*AL_FreeShare</f>
        <v/>
      </c>
      <c r="N136" s="3" t="inlineStr">
        <is>
          <t>20261014_v5.34.md、20261014_v5.35.md</t>
        </is>
      </c>
      <c r="O136" s="3" t="inlineStr"/>
      <c r="P136" s="3" t="inlineStr">
        <is>
          <t>是</t>
        </is>
      </c>
    </row>
    <row r="137">
      <c r="A137" s="3" t="inlineStr">
        <is>
          <t>Cap_In</t>
        </is>
      </c>
      <c r="B137" s="3" t="n">
        <v>200</v>
      </c>
      <c r="C137" s="3" t="inlineStr">
        <is>
          <t>2026 消費訂閱占 ChatGPT 付費 token 份額（J23 (3)；Assumed；2025 連結 H8）</t>
        </is>
      </c>
      <c r="D137" s="3" t="inlineStr">
        <is>
          <t>0.75</t>
        </is>
      </c>
      <c r="E137" s="3" t="n">
        <v>3</v>
      </c>
      <c r="F137" s="3" t="inlineStr">
        <is>
          <t>C200:F200</t>
        </is>
      </c>
      <c r="G137" s="3" t="inlineStr">
        <is>
          <t>R16</t>
        </is>
      </c>
      <c r="H137" s="3" t="inlineStr">
        <is>
          <t>升級（隨附上游）</t>
        </is>
      </c>
      <c r="I137" s="3" t="inlineStr">
        <is>
          <t>1</t>
        </is>
      </c>
      <c r="J137" s="3" t="inlineStr"/>
      <c r="K137" s="3" t="inlineStr">
        <is>
          <t>H10 m 季度序列（2025／2026 Q1／Q2／FY2026）的分子、分母、單價與機隊 token 推導；隨第 206–209、223 列升級為 L1_M*_Ser 後成為核心。</t>
        </is>
      </c>
      <c r="L137" s="3" t="inlineStr">
        <is>
          <t>否</t>
        </is>
      </c>
      <c r="M137" s="3">
        <f>$C$132</f>
        <v/>
      </c>
      <c r="N137" s="3" t="inlineStr">
        <is>
          <t>20261014_v5.34.md、20261014_v5.35.md</t>
        </is>
      </c>
      <c r="O137" s="3" t="inlineStr"/>
      <c r="P137" s="3" t="inlineStr">
        <is>
          <t>是</t>
        </is>
      </c>
    </row>
    <row r="138">
      <c r="A138" s="3" t="inlineStr">
        <is>
          <t>Cap_In</t>
        </is>
      </c>
      <c r="B138" s="3" t="n">
        <v>201</v>
      </c>
      <c r="C138" s="3" t="inlineStr">
        <is>
          <t>消費訂閱 token＝ChatGPT 付費 token × 消費份額（第 200 列）</t>
        </is>
      </c>
      <c r="D138" s="3" t="inlineStr">
        <is>
          <t>1095000000</t>
        </is>
      </c>
      <c r="E138" s="3" t="n">
        <v>4</v>
      </c>
      <c r="F138" s="3" t="inlineStr">
        <is>
          <t>C201:F201</t>
        </is>
      </c>
      <c r="G138" s="3" t="inlineStr">
        <is>
          <t>R16</t>
        </is>
      </c>
      <c r="H138" s="3" t="inlineStr">
        <is>
          <t>升級（隨附上游）</t>
        </is>
      </c>
      <c r="I138" s="3" t="inlineStr">
        <is>
          <t>1</t>
        </is>
      </c>
      <c r="J138" s="3" t="inlineStr"/>
      <c r="K138" s="3" t="inlineStr">
        <is>
          <t>H10 m 季度序列（2025／2026 Q1／Q2／FY2026）的分子、分母、單價與機隊 token 推導；隨第 206–209、223 列升級為 L1_M*_Ser 後成為核心。</t>
        </is>
      </c>
      <c r="L138" s="3" t="inlineStr">
        <is>
          <t>否</t>
        </is>
      </c>
      <c r="M138" s="3">
        <f>C198*C200</f>
        <v/>
      </c>
      <c r="N138" s="3" t="inlineStr">
        <is>
          <t>20261014_v5.34.md、20261014_v5.35.md</t>
        </is>
      </c>
      <c r="O138" s="3" t="inlineStr"/>
      <c r="P138" s="3" t="inlineStr">
        <is>
          <t>是</t>
        </is>
      </c>
    </row>
    <row r="139">
      <c r="A139" s="3" t="inlineStr">
        <is>
          <t>Cap_In</t>
        </is>
      </c>
      <c r="B139" s="3" t="n">
        <v>202</v>
      </c>
      <c r="C139" s="3" t="inlineStr">
        <is>
          <t>商用席次 token＝ChatGPT 付費 token ×（1 − 消費份額）</t>
        </is>
      </c>
      <c r="D139" s="3" t="inlineStr">
        <is>
          <t>365000000</t>
        </is>
      </c>
      <c r="E139" s="3" t="n">
        <v>4</v>
      </c>
      <c r="F139" s="3" t="inlineStr">
        <is>
          <t>C202:F202</t>
        </is>
      </c>
      <c r="G139" s="3" t="inlineStr">
        <is>
          <t>R16</t>
        </is>
      </c>
      <c r="H139" s="3" t="inlineStr">
        <is>
          <t>升級（隨附上游）</t>
        </is>
      </c>
      <c r="I139" s="3" t="inlineStr">
        <is>
          <t>1</t>
        </is>
      </c>
      <c r="J139" s="3" t="inlineStr"/>
      <c r="K139" s="3" t="inlineStr">
        <is>
          <t>H10 m 季度序列（2025／2026 Q1／Q2／FY2026）的分子、分母、單價與機隊 token 推導；隨第 206–209、223 列升級為 L1_M*_Ser 後成為核心。</t>
        </is>
      </c>
      <c r="L139" s="3" t="inlineStr">
        <is>
          <t>否</t>
        </is>
      </c>
      <c r="M139" s="3">
        <f>C198*(1-C200)</f>
        <v/>
      </c>
      <c r="N139" s="3" t="inlineStr">
        <is>
          <t>20261014_v5.34.md、20261014_v5.35.md</t>
        </is>
      </c>
      <c r="O139" s="3" t="inlineStr"/>
      <c r="P139" s="3" t="inlineStr">
        <is>
          <t>是</t>
        </is>
      </c>
    </row>
    <row r="140">
      <c r="A140" s="3" t="inlineStr">
        <is>
          <t>Cap_In</t>
        </is>
      </c>
      <c r="B140" s="3" t="n">
        <v>204</v>
      </c>
      <c r="C140" s="3" t="inlineStr">
        <is>
          <t>L_price（I 節；顯示用，不進 m）</t>
        </is>
      </c>
      <c r="D140" s="3" t="inlineStr">
        <is>
          <t>0.7412</t>
        </is>
      </c>
      <c r="E140" s="3" t="n">
        <v>4</v>
      </c>
      <c r="F140" s="3" t="inlineStr">
        <is>
          <t>C204:F204</t>
        </is>
      </c>
      <c r="G140" s="3" t="inlineStr">
        <is>
          <t>R16</t>
        </is>
      </c>
      <c r="H140" s="3" t="inlineStr">
        <is>
          <t>刪除</t>
        </is>
      </c>
      <c r="I140" s="3" t="inlineStr">
        <is>
          <t>—</t>
        </is>
      </c>
      <c r="J140" s="3" t="inlineStr"/>
      <c r="K140" s="3" t="inlineStr">
        <is>
          <t>L_price 逐期複本（四欄都等於第 232 列；『顯示用，不進 m』）；L1_LPrice 已具名；原則 1。需 Andy 確認（承重頁）。</t>
        </is>
      </c>
      <c r="L140" s="3" t="inlineStr">
        <is>
          <t>是</t>
        </is>
      </c>
      <c r="M140" s="3">
        <f>$C$232</f>
        <v/>
      </c>
      <c r="N140" s="3" t="inlineStr">
        <is>
          <t>20261014_v5.34.md、20261014_v5.35.md</t>
        </is>
      </c>
      <c r="O140" s="3" t="inlineStr"/>
      <c r="P140" s="3" t="inlineStr">
        <is>
          <t>是</t>
        </is>
      </c>
    </row>
    <row r="141">
      <c r="A141" s="3" t="inlineStr">
        <is>
          <t>Cap_In</t>
        </is>
      </c>
      <c r="B141" s="3" t="n">
        <v>205</v>
      </c>
      <c r="C141" s="3" t="inlineStr">
        <is>
          <t>付費 token 混合有效單價（C 欄＝2025 年度 CAP_Price25Mix（v9.0 M6，與 H5 同口徑）；D–F 欄＝H4 第 90 列，2026 快照）</t>
        </is>
      </c>
      <c r="D141" s="3" t="inlineStr">
        <is>
          <t>1.68024</t>
        </is>
      </c>
      <c r="E141" s="3" t="n">
        <v>4</v>
      </c>
      <c r="F141" s="3" t="inlineStr">
        <is>
          <t>C205:F205</t>
        </is>
      </c>
      <c r="G141" s="3" t="inlineStr">
        <is>
          <t>R16</t>
        </is>
      </c>
      <c r="H141" s="3" t="inlineStr">
        <is>
          <t>升級（隨附上游）</t>
        </is>
      </c>
      <c r="I141" s="3" t="inlineStr">
        <is>
          <t>1</t>
        </is>
      </c>
      <c r="J141" s="3" t="inlineStr"/>
      <c r="K141" s="3" t="inlineStr">
        <is>
          <t>H10 m 季度序列（2025／2026 Q1／Q2／FY2026）的分子、分母、單價與機隊 token 推導；隨第 206–209、223 列升級為 L1_M*_Ser 後成為核心。</t>
        </is>
      </c>
      <c r="L141" s="3" t="inlineStr">
        <is>
          <t>否</t>
        </is>
      </c>
      <c r="M141" s="3">
        <f>CAP_Price25Mix</f>
        <v/>
      </c>
      <c r="N141" s="3" t="inlineStr">
        <is>
          <t>20261014_v5.34.md、20261014_v5.35.md</t>
        </is>
      </c>
      <c r="O141" s="3" t="inlineStr"/>
      <c r="P141" s="3" t="inlineStr">
        <is>
          <t>是</t>
        </is>
      </c>
    </row>
    <row r="142">
      <c r="A142" s="3" t="inlineStr">
        <is>
          <t>Cap_In</t>
        </is>
      </c>
      <c r="B142" s="3" t="n">
        <v>206</v>
      </c>
      <c r="C142" s="3" t="inlineStr">
        <is>
          <t>m_API</t>
        </is>
      </c>
      <c r="D142" s="3" t="inlineStr">
        <is>
          <t>0.657758</t>
        </is>
      </c>
      <c r="E142" s="3" t="n">
        <v>4</v>
      </c>
      <c r="F142" s="3" t="inlineStr">
        <is>
          <t>C206:F206</t>
        </is>
      </c>
      <c r="G142" s="3" t="inlineStr">
        <is>
          <t>R16</t>
        </is>
      </c>
      <c r="H142" s="3" t="inlineStr">
        <is>
          <t>升級</t>
        </is>
      </c>
      <c r="I142" s="3" t="inlineStr">
        <is>
          <t>1</t>
        </is>
      </c>
      <c r="J142" s="3" t="inlineStr">
        <is>
          <t>L1_MAPI_Ser</t>
        </is>
      </c>
      <c r="K142" s="3" t="inlineStr">
        <is>
          <t>m_API 的季度序列（2025 0.66／2026 Q1 0.29／Q2 0.34／FY 0.35）：『m 是多少、由哪些分項組成』的時間序列，目前 L1_MAPI 只有 2025 單點。</t>
        </is>
      </c>
      <c r="L142" s="3" t="inlineStr">
        <is>
          <t>是</t>
        </is>
      </c>
      <c r="M142" s="3">
        <f>C144</f>
        <v/>
      </c>
      <c r="N142" s="3" t="inlineStr">
        <is>
          <t>20261014_v5.34.md、20261014_v5.35.md、Tokenomics_builder_v5.md</t>
        </is>
      </c>
      <c r="O142" s="3" t="inlineStr"/>
      <c r="P142" s="3" t="inlineStr">
        <is>
          <t>是</t>
        </is>
      </c>
    </row>
    <row r="143">
      <c r="A143" s="3" t="inlineStr">
        <is>
          <t>Cap_In</t>
        </is>
      </c>
      <c r="B143" s="3" t="n">
        <v>207</v>
      </c>
      <c r="C143" s="3" t="inlineStr">
        <is>
          <t>m_消費訂閱</t>
        </is>
      </c>
      <c r="D143" s="3" t="inlineStr">
        <is>
          <t>4.972653</t>
        </is>
      </c>
      <c r="E143" s="3" t="n">
        <v>4</v>
      </c>
      <c r="F143" s="3" t="inlineStr">
        <is>
          <t>C207:F207</t>
        </is>
      </c>
      <c r="G143" s="3" t="inlineStr">
        <is>
          <t>R16</t>
        </is>
      </c>
      <c r="H143" s="3" t="inlineStr">
        <is>
          <t>升級</t>
        </is>
      </c>
      <c r="I143" s="3" t="inlineStr">
        <is>
          <t>1</t>
        </is>
      </c>
      <c r="J143" s="3" t="inlineStr">
        <is>
          <t>L1_MSub_Ser</t>
        </is>
      </c>
      <c r="K143" s="3" t="inlineStr">
        <is>
          <t>m_消費訂閱的季度序列。</t>
        </is>
      </c>
      <c r="L143" s="3" t="inlineStr">
        <is>
          <t>是</t>
        </is>
      </c>
      <c r="M143" s="3">
        <f>C145</f>
        <v/>
      </c>
      <c r="N143" s="3" t="inlineStr">
        <is>
          <t>20261014_v5.34.md、20261014_v5.35.md、Tokenomics_builder_v5.md</t>
        </is>
      </c>
      <c r="O143" s="3" t="inlineStr"/>
      <c r="P143" s="3" t="inlineStr">
        <is>
          <t>是</t>
        </is>
      </c>
    </row>
    <row r="144">
      <c r="A144" s="3" t="inlineStr">
        <is>
          <t>Cap_In</t>
        </is>
      </c>
      <c r="B144" s="3" t="n">
        <v>208</v>
      </c>
      <c r="C144" s="3" t="inlineStr">
        <is>
          <t>m_商用席次</t>
        </is>
      </c>
      <c r="D144" s="3" t="inlineStr">
        <is>
          <t>2.131137</t>
        </is>
      </c>
      <c r="E144" s="3" t="n">
        <v>4</v>
      </c>
      <c r="F144" s="3" t="inlineStr">
        <is>
          <t>C208:F208</t>
        </is>
      </c>
      <c r="G144" s="3" t="inlineStr">
        <is>
          <t>R16</t>
        </is>
      </c>
      <c r="H144" s="3" t="inlineStr">
        <is>
          <t>升級</t>
        </is>
      </c>
      <c r="I144" s="3" t="inlineStr">
        <is>
          <t>1</t>
        </is>
      </c>
      <c r="J144" s="3" t="inlineStr">
        <is>
          <t>L1_MSeat_Ser</t>
        </is>
      </c>
      <c r="K144" s="3" t="inlineStr">
        <is>
          <t>m_商用席次的季度序列（FY2026 8.04，席次占比與 token 份額為 Assumed）。</t>
        </is>
      </c>
      <c r="L144" s="3" t="inlineStr">
        <is>
          <t>是</t>
        </is>
      </c>
      <c r="M144" s="3">
        <f>C146</f>
        <v/>
      </c>
      <c r="N144" s="3" t="inlineStr">
        <is>
          <t>20261014_v5.34.md、20261014_v5.35.md、Tokenomics_builder_v5.md</t>
        </is>
      </c>
      <c r="O144" s="3" t="inlineStr"/>
      <c r="P144" s="3" t="inlineStr">
        <is>
          <t>是</t>
        </is>
      </c>
    </row>
    <row r="145">
      <c r="A145" s="3" t="inlineStr">
        <is>
          <t>Cap_In</t>
        </is>
      </c>
      <c r="B145" s="3" t="n">
        <v>209</v>
      </c>
      <c r="C145" s="3" t="inlineStr">
        <is>
          <t>m_整體＝m 分子營收 ÷（(API token ＋ ChatGPT 付費 token) × 單價）</t>
        </is>
      </c>
      <c r="D145" s="3" t="inlineStr">
        <is>
          <t>2.033528</t>
        </is>
      </c>
      <c r="E145" s="3" t="n">
        <v>4</v>
      </c>
      <c r="F145" s="3" t="inlineStr">
        <is>
          <t>C209:F209</t>
        </is>
      </c>
      <c r="G145" s="3" t="inlineStr">
        <is>
          <t>R16</t>
        </is>
      </c>
      <c r="H145" s="3" t="inlineStr">
        <is>
          <t>升級</t>
        </is>
      </c>
      <c r="I145" s="3" t="inlineStr">
        <is>
          <t>1</t>
        </is>
      </c>
      <c r="J145" s="3" t="inlineStr">
        <is>
          <t>L1_MImplied_Ser</t>
        </is>
      </c>
      <c r="K145" s="3" t="inlineStr">
        <is>
          <t>m_整體（合併）的季度序列。</t>
        </is>
      </c>
      <c r="L145" s="3" t="inlineStr">
        <is>
          <t>是</t>
        </is>
      </c>
      <c r="M145" s="3">
        <f>C94</f>
        <v/>
      </c>
      <c r="N145" s="3" t="inlineStr">
        <is>
          <t>20261014_v5.34.md、20261014_v5.35.md、Tokenomics_builder_v5.md</t>
        </is>
      </c>
      <c r="O145" s="3" t="inlineStr"/>
      <c r="P145" s="3" t="inlineStr">
        <is>
          <t>是</t>
        </is>
      </c>
    </row>
    <row r="146">
      <c r="A146" s="3" t="inlineStr">
        <is>
          <t>Cap_In</t>
        </is>
      </c>
      <c r="B146" s="3" t="n">
        <v>215</v>
      </c>
      <c r="C146" s="3" t="inlineStr">
        <is>
          <t>世代組合合計（應為 100%）</t>
        </is>
      </c>
      <c r="D146" s="3" t="inlineStr">
        <is>
          <t>1</t>
        </is>
      </c>
      <c r="E146" s="3" t="n">
        <v>4</v>
      </c>
      <c r="F146" s="3" t="inlineStr">
        <is>
          <t>C215:F215</t>
        </is>
      </c>
      <c r="G146" s="3" t="inlineStr">
        <is>
          <t>R16</t>
        </is>
      </c>
      <c r="H146" s="3" t="inlineStr">
        <is>
          <t>接進 Checks</t>
        </is>
      </c>
      <c r="I146" s="3" t="inlineStr">
        <is>
          <t>—</t>
        </is>
      </c>
      <c r="J146" s="3" t="inlineStr"/>
      <c r="K146" s="3" t="inlineStr">
        <is>
          <t>2026 服務世代組合合計須為 100%（D–F 欄是藍字輸入，可能被改壞）；寫成 Checks 的能失敗檢查，與 Checks D104（Alloc_In 2025 組合）並列。</t>
        </is>
      </c>
      <c r="L146" s="3" t="inlineStr">
        <is>
          <t>否</t>
        </is>
      </c>
      <c r="M146" s="3">
        <f>C211+C212+C213+C214</f>
        <v/>
      </c>
      <c r="N146" s="3" t="inlineStr">
        <is>
          <t>20261014_v5.34.md、20261014_v5.35.md、20261016_稽核修正2.md</t>
        </is>
      </c>
      <c r="O146" s="3" t="inlineStr"/>
      <c r="P146" s="3" t="inlineStr">
        <is>
          <t>是</t>
        </is>
      </c>
    </row>
    <row r="147">
      <c r="A147" s="3" t="inlineStr">
        <is>
          <t>Cap_In</t>
        </is>
      </c>
      <c r="B147" s="3" t="n">
        <v>216</v>
      </c>
      <c r="C147" s="3" t="inlineStr">
        <is>
          <t>推論支出（$B；OpenAI 端；2025＝SRC_DEM_004、2026＝SRC_DEM_070）</t>
        </is>
      </c>
      <c r="D147" s="3" t="inlineStr">
        <is>
          <t>8.4</t>
        </is>
      </c>
      <c r="E147" s="3" t="n">
        <v>4</v>
      </c>
      <c r="F147" s="3" t="inlineStr">
        <is>
          <t>C216:F216</t>
        </is>
      </c>
      <c r="G147" s="3" t="inlineStr">
        <is>
          <t>R16</t>
        </is>
      </c>
      <c r="H147" s="3" t="inlineStr">
        <is>
          <t>升級（隨附上游）</t>
        </is>
      </c>
      <c r="I147" s="3" t="inlineStr">
        <is>
          <t>1</t>
        </is>
      </c>
      <c r="J147" s="3" t="inlineStr"/>
      <c r="K147" s="3" t="inlineStr">
        <is>
          <t>H10 m 季度序列（2025／2026 Q1／Q2／FY2026）的分子、分母、單價與機隊 token 推導；隨第 206–209、223 列升級為 L1_M*_Ser 後成為核心。</t>
        </is>
      </c>
      <c r="L147" s="3" t="inlineStr">
        <is>
          <t>否</t>
        </is>
      </c>
      <c r="M147" s="3">
        <f>SRC_DEM_004</f>
        <v/>
      </c>
      <c r="N147" s="3" t="inlineStr">
        <is>
          <t>20261014_v5.34.md、20261014_v5.35.md、20261015_v5.36.md、20261016_稽核修正2.md</t>
        </is>
      </c>
      <c r="O147" s="3" t="inlineStr"/>
      <c r="P147" s="3" t="inlineStr">
        <is>
          <t>是</t>
        </is>
      </c>
    </row>
    <row r="148">
      <c r="A148" s="3" t="inlineStr">
        <is>
          <t>Cap_In</t>
        </is>
      </c>
      <c r="B148" s="3" t="n">
        <v>217</v>
      </c>
      <c r="C148" s="3" t="inlineStr">
        <is>
          <t>世代組合持有成本＝Σ 組合 × IF_HoldEcon（AL_HoldGen）</t>
        </is>
      </c>
      <c r="D148" s="3" t="inlineStr">
        <is>
          <t>9.353119</t>
        </is>
      </c>
      <c r="E148" s="3" t="n">
        <v>4</v>
      </c>
      <c r="F148" s="3" t="inlineStr">
        <is>
          <t>C217:F217</t>
        </is>
      </c>
      <c r="G148" s="3" t="inlineStr">
        <is>
          <t>R16</t>
        </is>
      </c>
      <c r="H148" s="3" t="inlineStr">
        <is>
          <t>升級（隨附上游）</t>
        </is>
      </c>
      <c r="I148" s="3" t="inlineStr">
        <is>
          <t>1</t>
        </is>
      </c>
      <c r="J148" s="3" t="inlineStr"/>
      <c r="K148" s="3" t="inlineStr">
        <is>
          <t>H10 m 季度序列（2025／2026 Q1／Q2／FY2026）的分子、分母、單價與機隊 token 推導；隨第 206–209、223 列升級為 L1_M*_Ser 後成為核心。</t>
        </is>
      </c>
      <c r="L148" s="3" t="inlineStr">
        <is>
          <t>否</t>
        </is>
      </c>
      <c r="M148" s="3">
        <f>SUMPRODUCT(AL_ShareGen,AL_HoldGen)</f>
        <v/>
      </c>
      <c r="N148" s="3" t="inlineStr">
        <is>
          <t>20261014_v5.34.md、20261014_v5.35.md、20261016_稽核修正2.md</t>
        </is>
      </c>
      <c r="O148" s="3" t="inlineStr"/>
      <c r="P148" s="3" t="inlineStr">
        <is>
          <t>是</t>
        </is>
      </c>
    </row>
    <row r="149">
      <c r="A149" s="3" t="inlineStr">
        <is>
          <t>Cap_In</t>
        </is>
      </c>
      <c r="B149" s="3" t="n">
        <v>218</v>
      </c>
      <c r="C149" s="3" t="inlineStr">
        <is>
          <t>支出路線服務 GW ÷ 計價倍數 × 利用率修正 × κ＝推論支出 ÷ 持有成本 ÷ AL_SpendBasis ×（AL_UtilActual × CTL_ProdDerate）÷ IF_Util × AL_Kappa</t>
        </is>
      </c>
      <c r="D149" s="3" t="inlineStr">
        <is>
          <t>0.613699</t>
        </is>
      </c>
      <c r="E149" s="3" t="n">
        <v>4</v>
      </c>
      <c r="F149" s="3" t="inlineStr">
        <is>
          <t>C218:F218</t>
        </is>
      </c>
      <c r="G149" s="3" t="inlineStr">
        <is>
          <t>R16</t>
        </is>
      </c>
      <c r="H149" s="3" t="inlineStr">
        <is>
          <t>升級（隨附上游）</t>
        </is>
      </c>
      <c r="I149" s="3" t="inlineStr">
        <is>
          <t>1</t>
        </is>
      </c>
      <c r="J149" s="3" t="inlineStr"/>
      <c r="K149" s="3" t="inlineStr">
        <is>
          <t>H10 m 季度序列（2025／2026 Q1／Q2／FY2026）的分子、分母、單價與機隊 token 推導；隨第 206–209、223 列升級為 L1_M*_Ser 後成為核心。</t>
        </is>
      </c>
      <c r="L149" s="3" t="inlineStr">
        <is>
          <t>否</t>
        </is>
      </c>
      <c r="M149" s="3">
        <f>C216/C217/AL_SpendBasis*(AL_UtilActual*CTL_ProdDerate)/IF_Util*AL_Kappa</f>
        <v/>
      </c>
      <c r="N149" s="3" t="inlineStr">
        <is>
          <t>20261014_v5.34.md、20261014_v5.35.md、20261015_v5.36.md、20261015_稽核1_報告.md</t>
        </is>
      </c>
      <c r="O149" s="3" t="inlineStr"/>
      <c r="P149" s="3" t="inlineStr">
        <is>
          <t>是</t>
        </is>
      </c>
    </row>
    <row r="150">
      <c r="A150" s="3" t="inlineStr">
        <is>
          <t>Cap_In</t>
        </is>
      </c>
      <c r="B150" s="3" t="n">
        <v>219</v>
      </c>
      <c r="C150" s="3" t="inlineStr">
        <is>
          <t>世代組合後每 GW 年產能（付費；AL_CapPaid 加權）</t>
        </is>
      </c>
      <c r="D150" s="3" t="inlineStr">
        <is>
          <t>36113797739.3207</t>
        </is>
      </c>
      <c r="E150" s="3" t="n">
        <v>4</v>
      </c>
      <c r="F150" s="3" t="inlineStr">
        <is>
          <t>C219:F219</t>
        </is>
      </c>
      <c r="G150" s="3" t="inlineStr">
        <is>
          <t>R16</t>
        </is>
      </c>
      <c r="H150" s="3" t="inlineStr">
        <is>
          <t>升級（隨附上游）</t>
        </is>
      </c>
      <c r="I150" s="3" t="inlineStr">
        <is>
          <t>1</t>
        </is>
      </c>
      <c r="J150" s="3" t="inlineStr"/>
      <c r="K150" s="3" t="inlineStr">
        <is>
          <t>H10 m 季度序列（2025／2026 Q1／Q2／FY2026）的分子、分母、單價與機隊 token 推導；隨第 206–209、223 列升級為 L1_M*_Ser 後成為核心。</t>
        </is>
      </c>
      <c r="L150" s="3" t="inlineStr">
        <is>
          <t>否</t>
        </is>
      </c>
      <c r="M150" s="3">
        <f>AL_BlendPaid</f>
        <v/>
      </c>
      <c r="N150" s="3" t="inlineStr">
        <is>
          <t>20261014_v5.34.md、20261014_v5.35.md、20261016_稽核修正2.md</t>
        </is>
      </c>
      <c r="O150" s="3" t="inlineStr"/>
      <c r="P150" s="3" t="inlineStr">
        <is>
          <t>是</t>
        </is>
      </c>
    </row>
    <row r="151">
      <c r="A151" s="3" t="inlineStr">
        <is>
          <t>Cap_In</t>
        </is>
      </c>
      <c r="B151" s="3" t="n">
        <v>220</v>
      </c>
      <c r="C151" s="3" t="inlineStr">
        <is>
          <t>世代組合後每 GW 年產能（免費；AL_CapFree 加權）</t>
        </is>
      </c>
      <c r="D151" s="3" t="inlineStr">
        <is>
          <t>128845573400.042</t>
        </is>
      </c>
      <c r="E151" s="3" t="n">
        <v>4</v>
      </c>
      <c r="F151" s="3" t="inlineStr">
        <is>
          <t>C220:F220</t>
        </is>
      </c>
      <c r="G151" s="3" t="inlineStr">
        <is>
          <t>R16</t>
        </is>
      </c>
      <c r="H151" s="3" t="inlineStr">
        <is>
          <t>升級（隨附上游）</t>
        </is>
      </c>
      <c r="I151" s="3" t="inlineStr">
        <is>
          <t>1</t>
        </is>
      </c>
      <c r="J151" s="3" t="inlineStr"/>
      <c r="K151" s="3" t="inlineStr">
        <is>
          <t>H10 m 季度序列（2025／2026 Q1／Q2／FY2026）的分子、分母、單價與機隊 token 推導；隨第 206–209、223 列升級為 L1_M*_Ser 後成為核心。</t>
        </is>
      </c>
      <c r="L151" s="3" t="inlineStr">
        <is>
          <t>否</t>
        </is>
      </c>
      <c r="M151" s="3">
        <f>AL_BlendFree</f>
        <v/>
      </c>
      <c r="N151" s="3" t="inlineStr">
        <is>
          <t>20261014_v5.34.md、20261014_v5.35.md、20261016_稽核修正2.md</t>
        </is>
      </c>
      <c r="O151" s="3" t="inlineStr"/>
      <c r="P151" s="3" t="inlineStr">
        <is>
          <t>是</t>
        </is>
      </c>
    </row>
    <row r="152">
      <c r="A152" s="3" t="inlineStr">
        <is>
          <t>Cap_In</t>
        </is>
      </c>
      <c r="B152" s="3" t="n">
        <v>221</v>
      </c>
      <c r="C152" s="3" t="inlineStr">
        <is>
          <t>免費 ÷ 付費 token 比 r＝ChatGPT 免費 token ÷（API token ＋ ChatGPT 付費 token）</t>
        </is>
      </c>
      <c r="D152" s="3" t="inlineStr">
        <is>
          <t>0.572519</t>
        </is>
      </c>
      <c r="E152" s="3" t="n">
        <v>4</v>
      </c>
      <c r="F152" s="3" t="inlineStr">
        <is>
          <t>C221:F221</t>
        </is>
      </c>
      <c r="G152" s="3" t="inlineStr">
        <is>
          <t>R16</t>
        </is>
      </c>
      <c r="H152" s="3" t="inlineStr">
        <is>
          <t>升級（隨附上游）</t>
        </is>
      </c>
      <c r="I152" s="3" t="inlineStr">
        <is>
          <t>1</t>
        </is>
      </c>
      <c r="J152" s="3" t="inlineStr"/>
      <c r="K152" s="3" t="inlineStr">
        <is>
          <t>H10 m 季度序列（2025／2026 Q1／Q2／FY2026）的分子、分母、單價與機隊 token 推導；隨第 206–209、223 列升級為 L1_M*_Ser 後成為核心。</t>
        </is>
      </c>
      <c r="L152" s="3" t="inlineStr">
        <is>
          <t>否</t>
        </is>
      </c>
      <c r="M152" s="3">
        <f>C199/(C196+C198)</f>
        <v/>
      </c>
      <c r="N152" s="3" t="inlineStr">
        <is>
          <t>20261014_v5.34.md、20261014_v5.35.md、20261016_稽核修正2.md</t>
        </is>
      </c>
      <c r="O152" s="3" t="inlineStr"/>
      <c r="P152" s="3" t="inlineStr">
        <is>
          <t>是</t>
        </is>
      </c>
    </row>
    <row r="153">
      <c r="A153" s="3" t="inlineStr">
        <is>
          <t>Cap_In</t>
        </is>
      </c>
      <c r="B153" s="3" t="n">
        <v>222</v>
      </c>
      <c r="C153" s="3" t="inlineStr">
        <is>
          <t>機隊付費 token（點估計）＝服務 GW × 修正 ÷（1 ÷ 付費產能 ＋ r ÷ 免費產能）</t>
        </is>
      </c>
      <c r="D153" s="3" t="inlineStr">
        <is>
          <t>19098300660.0604</t>
        </is>
      </c>
      <c r="E153" s="3" t="n">
        <v>4</v>
      </c>
      <c r="F153" s="3" t="inlineStr">
        <is>
          <t>C222:F222</t>
        </is>
      </c>
      <c r="G153" s="3" t="inlineStr">
        <is>
          <t>R16</t>
        </is>
      </c>
      <c r="H153" s="3" t="inlineStr">
        <is>
          <t>升級（隨附上游）</t>
        </is>
      </c>
      <c r="I153" s="3" t="inlineStr">
        <is>
          <t>1</t>
        </is>
      </c>
      <c r="J153" s="3" t="inlineStr"/>
      <c r="K153" s="3" t="inlineStr">
        <is>
          <t>H10 m 季度序列（2025／2026 Q1／Q2／FY2026）的分子、分母、單價與機隊 token 推導；隨第 206–209、223 列升級為 L1_M*_Ser 後成為核心。</t>
        </is>
      </c>
      <c r="L153" s="3" t="inlineStr">
        <is>
          <t>否</t>
        </is>
      </c>
      <c r="M153" s="3">
        <f>C116</f>
        <v/>
      </c>
      <c r="N153" s="3" t="inlineStr">
        <is>
          <t>20261014_v5.34.md、20261014_v5.35.md、20261016_稽核修正2.md、Tokenomics_builder_v5.md</t>
        </is>
      </c>
      <c r="O153" s="3" t="inlineStr"/>
      <c r="P153" s="3" t="inlineStr">
        <is>
          <t>是</t>
        </is>
      </c>
    </row>
    <row r="154">
      <c r="A154" s="3" t="inlineStr">
        <is>
          <t>Cap_In</t>
        </is>
      </c>
      <c r="B154" s="3" t="n">
        <v>223</v>
      </c>
      <c r="C154" s="3" t="inlineStr">
        <is>
          <t>m_fleet＝m 分子營收 ÷（機隊付費 token × 機隊口徑單價 B4_PriceFleet；Cap_In K 節；v6.3 K1）</t>
        </is>
      </c>
      <c r="D154" s="3" t="inlineStr">
        <is>
          <t>0.407295</t>
        </is>
      </c>
      <c r="E154" s="3" t="n">
        <v>4</v>
      </c>
      <c r="F154" s="3" t="inlineStr">
        <is>
          <t>C223:F223</t>
        </is>
      </c>
      <c r="G154" s="3" t="inlineStr">
        <is>
          <t>R16</t>
        </is>
      </c>
      <c r="H154" s="3" t="inlineStr">
        <is>
          <t>升級</t>
        </is>
      </c>
      <c r="I154" s="3" t="inlineStr">
        <is>
          <t>1</t>
        </is>
      </c>
      <c r="J154" s="3" t="inlineStr">
        <is>
          <t>L1_MFleet_Ser</t>
        </is>
      </c>
      <c r="K154" s="3" t="inlineStr">
        <is>
          <t>m_fleet（機隊口徑）的季度序列（2025 0.41／2026 Q1 0.20／Q2 0.23／FY 0.30）：問 1『由哪些分項組成』中的機隊項，目前 L1_MFleet 只有 2025 單點。</t>
        </is>
      </c>
      <c r="L154" s="3" t="inlineStr">
        <is>
          <t>是</t>
        </is>
      </c>
      <c r="M154" s="3">
        <f>C119</f>
        <v/>
      </c>
      <c r="N154" s="3" t="inlineStr">
        <is>
          <t>20261014_v5.34.md、20261014_v5.35.md、20261016_稽核修正2.md、Tokenomics_builder_v5.md</t>
        </is>
      </c>
      <c r="O154" s="3" t="inlineStr"/>
      <c r="P154" s="3" t="inlineStr">
        <is>
          <t>是</t>
        </is>
      </c>
    </row>
    <row r="155">
      <c r="A155" s="3" t="inlineStr">
        <is>
          <t>Cap_In</t>
        </is>
      </c>
      <c r="B155" s="3" t="n">
        <v>231</v>
      </c>
      <c r="C155" s="3" t="inlineStr">
        <is>
          <t>k＝LN(1 ＋ g)</t>
        </is>
      </c>
      <c r="D155" s="3" t="inlineStr">
        <is>
          <t>-0.105361</t>
        </is>
      </c>
      <c r="E155" s="3" t="n">
        <v>3</v>
      </c>
      <c r="F155" s="3" t="inlineStr">
        <is>
          <t>C231:E231</t>
        </is>
      </c>
      <c r="G155" s="3" t="inlineStr">
        <is>
          <t>R16</t>
        </is>
      </c>
      <c r="H155" s="3" t="inlineStr">
        <is>
          <t>刪除</t>
        </is>
      </c>
      <c r="I155" s="3" t="inlineStr">
        <is>
          <t>—</t>
        </is>
      </c>
      <c r="J155" s="3" t="inlineStr"/>
      <c r="K155" s="3" t="inlineStr">
        <is>
          <t>k＝LN(1＋g)：中間量；第 232 列的 L_price 公式自帶 LN，沒有讀它。需 Andy 確認（承重頁）。</t>
        </is>
      </c>
      <c r="L155" s="3" t="inlineStr">
        <is>
          <t>是</t>
        </is>
      </c>
      <c r="M155" s="3">
        <f>LN(1+C226)</f>
        <v/>
      </c>
      <c r="N155" s="3" t="inlineStr">
        <is>
          <t>20261014_v5.35.md</t>
        </is>
      </c>
      <c r="O155" s="3" t="inlineStr"/>
      <c r="P155" s="3" t="inlineStr">
        <is>
          <t>是</t>
        </is>
      </c>
    </row>
    <row r="156">
      <c r="A156" s="3" t="inlineStr">
        <is>
          <t>Cap_In</t>
        </is>
      </c>
      <c r="B156" s="3" t="n">
        <v>240</v>
      </c>
      <c r="C156" s="3" t="inlineStr">
        <is>
          <t>回本所需 L（2025 機隊口徑；m＝L1_MFleet；D 欄 m＝L1_MFleet_Hi、E 欄 L1_MFleet_Lo）　→ L1_LReqFleet</t>
        </is>
      </c>
      <c r="D156" s="3" t="inlineStr">
        <is>
          <t>v8.0 L4：L1_FleetBreakeven2025（Alloc K 節）</t>
        </is>
      </c>
      <c r="E156" s="3" t="n">
        <v>1</v>
      </c>
      <c r="F156" s="3" t="inlineStr">
        <is>
          <t>G240</t>
        </is>
      </c>
      <c r="G156" s="3" t="inlineStr">
        <is>
          <t>R21</t>
        </is>
      </c>
      <c r="H156" s="3" t="inlineStr">
        <is>
          <t>保留：顯示用</t>
        </is>
      </c>
      <c r="I156" s="3" t="inlineStr">
        <is>
          <t>2</t>
        </is>
      </c>
      <c r="J156" s="3" t="inlineStr"/>
      <c r="K156" s="3" t="inlineStr">
        <is>
          <t>說明欄動態文字（現值取代過時的 0.530；4-0 SL11 的修法）。</t>
        </is>
      </c>
      <c r="L156" s="3" t="inlineStr">
        <is>
          <t>否</t>
        </is>
      </c>
      <c r="M156" s="3">
        <f>"v8.0 L4：L1_FleetBreakeven2025（Alloc K 節）÷（IF_Util × CTL_ProdDerate × m）；基準值見 L1_LReqFleet；v7.0 的 VR200 口徑（當時 0.530，現值 "&amp;IF(ISNUMBER(C288),TEXT(C288,"0.000"),"—")&amp;"）保留於 M 節對照列"</f>
        <v/>
      </c>
      <c r="N156" s="3" t="inlineStr">
        <is>
          <t>20261014_v5.35.md、20261016_稽核修正2.md、Tokenomics_builder_v5.md</t>
        </is>
      </c>
      <c r="O156" s="3" t="inlineStr"/>
      <c r="P156" s="3" t="inlineStr">
        <is>
          <t>是</t>
        </is>
      </c>
    </row>
    <row r="157">
      <c r="A157" s="3" t="inlineStr">
        <is>
          <t>Cap_In</t>
        </is>
      </c>
      <c r="B157" s="3" t="n">
        <v>241</v>
      </c>
      <c r="C157" s="3" t="inlineStr">
        <is>
          <t>回本所需 L（2025 機隊口徑；m＝L1_MAPI；D 欄 m＝L1_MAPI_Hi、E 欄 L1_MAPI_Lo）</t>
        </is>
      </c>
      <c r="D157" s="3" t="inlineStr">
        <is>
          <t>1.245228</t>
        </is>
      </c>
      <c r="E157" s="3" t="n">
        <v>3</v>
      </c>
      <c r="F157" s="3" t="inlineStr">
        <is>
          <t>C241:E241</t>
        </is>
      </c>
      <c r="G157" s="3" t="inlineStr">
        <is>
          <t>R16</t>
        </is>
      </c>
      <c r="H157" s="3" t="inlineStr">
        <is>
          <t>保留：顯示用</t>
        </is>
      </c>
      <c r="I157" s="3" t="inlineStr">
        <is>
          <t>2</t>
        </is>
      </c>
      <c r="J157" s="3" t="inlineStr"/>
      <c r="K157" s="3" t="inlineStr">
        <is>
          <t>I-7 『必須為真』：回本所需 L 以 m＝L1_MAPI 計（1.25，另有 D／E 欄 m 高低端）；第 243 列判讀讀它。契約已定回本結論取恆等式讀法 L1_LReqFleet_Id，第三種讀法不升級，留作對照。</t>
        </is>
      </c>
      <c r="L157" s="3" t="inlineStr">
        <is>
          <t>否</t>
        </is>
      </c>
      <c r="M157" s="3">
        <f>IF(AND(ISNUMBER(L1_FleetBreakeven2025),ISNUMBER(L1_MAPI)),L1_FleetBreakeven2025/(IF_Util*CTL_ProdDerate*L1_MAPI),"m 非數字（本情境）")</f>
        <v/>
      </c>
      <c r="N157" s="3" t="inlineStr">
        <is>
          <t>20261014_v5.35.md、20261016_稽核修正2-3.md、20261016_稽核修正2.md、Tokenomics_builder_v5.md</t>
        </is>
      </c>
      <c r="O157" s="3" t="inlineStr"/>
      <c r="P157" s="3" t="inlineStr">
        <is>
          <t>是</t>
        </is>
      </c>
    </row>
    <row r="158">
      <c r="A158" s="3" t="inlineStr">
        <is>
          <t>Cap_In</t>
        </is>
      </c>
      <c r="B158" s="3" t="n">
        <v>245</v>
      </c>
      <c r="C158" s="3" t="inlineStr">
        <is>
          <t>請求形狀修正 κ（Alloc_In；AL_Kappa）　→ L1_GapISL＝1 ÷ κ</t>
        </is>
      </c>
      <c r="D158" s="3" t="inlineStr">
        <is>
          <t>1</t>
        </is>
      </c>
      <c r="E158" s="3" t="n">
        <v>3</v>
      </c>
      <c r="F158" s="3" t="inlineStr">
        <is>
          <t>C245:E245</t>
        </is>
      </c>
      <c r="G158" s="3" t="inlineStr">
        <is>
          <t>R16</t>
        </is>
      </c>
      <c r="H158" s="3" t="inlineStr">
        <is>
          <t>刪除</t>
        </is>
      </c>
      <c r="I158" s="3" t="inlineStr">
        <is>
          <t>—</t>
        </is>
      </c>
      <c r="J158" s="3" t="inlineStr"/>
      <c r="K158" s="3" t="inlineStr">
        <is>
          <t>請求形狀修正 κ 的複本（＝AL_Kappa；L1_GapISL＝1÷κ 已具名）；原則 1。需 Andy 確認（承重頁）。</t>
        </is>
      </c>
      <c r="L158" s="3" t="inlineStr">
        <is>
          <t>是</t>
        </is>
      </c>
      <c r="M158" s="3">
        <f>AL_Kappa</f>
        <v/>
      </c>
      <c r="N158" s="3" t="inlineStr">
        <is>
          <t>20261015_v5.36.md、20261015_稽核2_報告.md</t>
        </is>
      </c>
      <c r="O158" s="3" t="inlineStr"/>
      <c r="P158" s="3" t="inlineStr">
        <is>
          <t>是</t>
        </is>
      </c>
    </row>
    <row r="159">
      <c r="A159" s="3" t="inlineStr">
        <is>
          <t>Cap_In</t>
        </is>
      </c>
      <c r="B159" s="3" t="n">
        <v>255</v>
      </c>
      <c r="C159" s="3" t="inlineStr">
        <is>
          <t>缺口恆等式：L1_ScaleServe ÷（計價倍數 × IF_Util ÷（實際利用率 × 生產折減 × κ））</t>
        </is>
      </c>
      <c r="D159" s="3" t="inlineStr">
        <is>
          <t>基準 4.993（現值，隨輸入變動；舊說明寫 2.207＝1 ÷ 閉合比 0.4</t>
        </is>
      </c>
      <c r="E159" s="3" t="n">
        <v>1</v>
      </c>
      <c r="F159" s="3" t="inlineStr">
        <is>
          <t>G255</t>
        </is>
      </c>
      <c r="G159" s="3" t="inlineStr">
        <is>
          <t>R21</t>
        </is>
      </c>
      <c r="H159" s="3" t="inlineStr">
        <is>
          <t>保留：顯示用</t>
        </is>
      </c>
      <c r="I159" s="3" t="inlineStr">
        <is>
          <t>4</t>
        </is>
      </c>
      <c r="J159" s="3" t="inlineStr"/>
      <c r="K159" s="3" t="inlineStr">
        <is>
          <t>缺口恆等式的說明動態文字（現值取代過時的 2.207；4-0 SL12）。</t>
        </is>
      </c>
      <c r="L159" s="3" t="inlineStr">
        <is>
          <t>否</t>
        </is>
      </c>
      <c r="M159" s="3">
        <f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</f>
        <v/>
      </c>
      <c r="N159" s="3" t="inlineStr">
        <is>
          <t>20261015_v5.36.md、20261015_稽核修正3B.md、20261016_稽核修正2.md、Tokenomics_builder_v5.md</t>
        </is>
      </c>
      <c r="O159" s="3" t="inlineStr"/>
      <c r="P159" s="3" t="inlineStr">
        <is>
          <t>是</t>
        </is>
      </c>
    </row>
    <row r="160">
      <c r="A160" s="3" t="inlineStr">
        <is>
          <t>Cap_In</t>
        </is>
      </c>
      <c r="B160" s="3" t="n">
        <v>269</v>
      </c>
      <c r="C160" s="3" t="inlineStr">
        <is>
          <t>機隊口徑單價 ÷ 完整層級組合單價</t>
        </is>
      </c>
      <c r="D160" s="3" t="inlineStr">
        <is>
          <t>1</t>
        </is>
      </c>
      <c r="E160" s="3" t="n">
        <v>4</v>
      </c>
      <c r="F160" s="3" t="inlineStr">
        <is>
          <t>C269:F269</t>
        </is>
      </c>
      <c r="G160" s="3" t="inlineStr">
        <is>
          <t>R16</t>
        </is>
      </c>
      <c r="H160" s="3" t="inlineStr">
        <is>
          <t>保留：顯示用</t>
        </is>
      </c>
      <c r="I160" s="3" t="inlineStr">
        <is>
          <t>4</t>
        </is>
      </c>
      <c r="J160" s="3" t="inlineStr"/>
      <c r="K160" s="3" t="inlineStr">
        <is>
          <t>機隊口徑單價 ÷ 完整層級組合單價（D10 的保留處；Alloc 側已合併）：顯示排除不可達層級對單價的影響（&lt;1＝被排除層級單價較高）。</t>
        </is>
      </c>
      <c r="L160" s="3" t="inlineStr">
        <is>
          <t>否</t>
        </is>
      </c>
      <c r="M160" s="3">
        <f>IF(ISNUMBER(C267),C267/C268,C267)</f>
        <v/>
      </c>
      <c r="N160" s="3" t="inlineStr">
        <is>
          <t>20261016_瘦身4-2.md、20261016_稽核修正2-1b.md</t>
        </is>
      </c>
      <c r="O160" s="3" t="inlineStr"/>
      <c r="P160" s="3" t="inlineStr">
        <is>
          <t>是</t>
        </is>
      </c>
    </row>
    <row r="161">
      <c r="A161" s="3" t="inlineStr">
        <is>
          <t>Cap_In</t>
        </is>
      </c>
      <c r="B161" s="3" t="n">
        <v>282</v>
      </c>
      <c r="C161" s="3" t="inlineStr">
        <is>
          <t>2025 混合有效單價 ÷ 2026 快照（第 90 列）</t>
        </is>
      </c>
      <c r="D161" s="3" t="inlineStr">
        <is>
          <t>0.85697</t>
        </is>
      </c>
      <c r="E161" s="3" t="n">
        <v>3</v>
      </c>
      <c r="F161" s="3" t="inlineStr">
        <is>
          <t>C282:E282</t>
        </is>
      </c>
      <c r="G161" s="3" t="inlineStr">
        <is>
          <t>R16</t>
        </is>
      </c>
      <c r="H161" s="3" t="inlineStr">
        <is>
          <t>刪除</t>
        </is>
      </c>
      <c r="I161" s="3" t="inlineStr">
        <is>
          <t>—</t>
        </is>
      </c>
      <c r="J161" s="3" t="inlineStr"/>
      <c r="K161" s="3" t="inlineStr">
        <is>
          <t>2025 混合有效單價 ÷ 2026 快照：L1_Price25Mix（具名）與第 90 列相除即得。需 Andy 確認（承重頁）。</t>
        </is>
      </c>
      <c r="L161" s="3" t="inlineStr">
        <is>
          <t>是</t>
        </is>
      </c>
      <c r="M161" s="3">
        <f>C281/$C$90</f>
        <v/>
      </c>
      <c r="N161" s="3" t="inlineStr"/>
      <c r="O161" s="3" t="inlineStr"/>
      <c r="P161" s="3" t="inlineStr">
        <is>
          <t>是</t>
        </is>
      </c>
    </row>
    <row r="162">
      <c r="A162" s="3" t="inlineStr">
        <is>
          <t>Cap_In</t>
        </is>
      </c>
      <c r="B162" s="3" t="n">
        <v>284</v>
      </c>
      <c r="C162" s="3" t="inlineStr">
        <is>
          <t>m（2026 牌價對照）＝營收 ÷（機隊付費 token × AL_PriceFleet）：v7.0 口徑，單價為 2026 快照，不是 2025 年度單價</t>
        </is>
      </c>
      <c r="D162" s="3" t="inlineStr">
        <is>
          <t>v7.0 當時的 L1_MFleet 值為 0.5565（歷史值）；本列現值 0</t>
        </is>
      </c>
      <c r="E162" s="3" t="n">
        <v>1</v>
      </c>
      <c r="F162" s="3" t="inlineStr">
        <is>
          <t>G284</t>
        </is>
      </c>
      <c r="G162" s="3" t="inlineStr">
        <is>
          <t>R21</t>
        </is>
      </c>
      <c r="H162" s="3" t="inlineStr">
        <is>
          <t>保留：顯示用</t>
        </is>
      </c>
      <c r="I162" s="3" t="inlineStr">
        <is>
          <t>1</t>
        </is>
      </c>
      <c r="J162" s="3" t="inlineStr"/>
      <c r="K162" s="3" t="inlineStr">
        <is>
          <t>說明動態文字（v7.0 歷史值標示為歷史，現值隨公式）。</t>
        </is>
      </c>
      <c r="L162" s="3" t="inlineStr">
        <is>
          <t>否</t>
        </is>
      </c>
      <c r="M162" s="3">
        <f>"v7.0 當時的 L1_MFleet 值為 0.5565（歷史值）；本列現值 "&amp;IF(ISNUMBER(C284),TEXT(C284,"0.0000"),"—")&amp;"（公式，隨輸入變動）；D2 之前的混用口徑，只作對照 → L1_MFleet_Px2026"</f>
        <v/>
      </c>
      <c r="N162" s="3" t="inlineStr"/>
      <c r="O162" s="3" t="inlineStr"/>
      <c r="P162" s="3" t="inlineStr">
        <is>
          <t>是</t>
        </is>
      </c>
    </row>
    <row r="163">
      <c r="A163" s="3" t="inlineStr">
        <is>
          <t>Cap_In</t>
        </is>
      </c>
      <c r="B163" s="3" t="n">
        <v>285</v>
      </c>
      <c r="C163" s="3" t="inlineStr">
        <is>
          <t>m（2025 單價取低端）＝營收 ÷（機隊付費 token × AL_PriceFleet25_Lo）</t>
        </is>
      </c>
      <c r="D163" s="3" t="inlineStr">
        <is>
          <t>0.783007</t>
        </is>
      </c>
      <c r="E163" s="3" t="n">
        <v>3</v>
      </c>
      <c r="F163" s="3" t="inlineStr">
        <is>
          <t>C285:E285</t>
        </is>
      </c>
      <c r="G163" s="3" t="inlineStr">
        <is>
          <t>R16</t>
        </is>
      </c>
      <c r="H163" s="3" t="inlineStr">
        <is>
          <t>升級</t>
        </is>
      </c>
      <c r="I163" s="3" t="inlineStr">
        <is>
          <t>1</t>
        </is>
      </c>
      <c r="J163" s="3" t="inlineStr">
        <is>
          <t>L1_MFleet_P25Lo</t>
        </is>
      </c>
      <c r="K163" s="3" t="inlineStr">
        <is>
          <t>m 以 2025 單價低端計（0.78，D／E 欄為 τ 區間端點）。契約第 4 節明定『價格區間不交叉進 m 的 _Lo／_Hi』，所以價格不確定性造成的 m 範圍（0.24–0.78）目前下游完全看不到。</t>
        </is>
      </c>
      <c r="L163" s="3" t="inlineStr">
        <is>
          <t>是</t>
        </is>
      </c>
      <c r="M163" s="3">
        <f>IF(ISNUMBER(C116),SRC_DEM_007*1000000000/(C116*AL_PriceFleet25_Lo),AL_UnavailTxt)</f>
        <v/>
      </c>
      <c r="N163" s="3" t="inlineStr"/>
      <c r="O163" s="3" t="inlineStr"/>
      <c r="P163" s="3" t="inlineStr">
        <is>
          <t>是</t>
        </is>
      </c>
    </row>
    <row r="164">
      <c r="A164" s="3" t="inlineStr">
        <is>
          <t>Cap_In</t>
        </is>
      </c>
      <c r="B164" s="3" t="n">
        <v>286</v>
      </c>
      <c r="C164" s="3" t="inlineStr">
        <is>
          <t>m（2025 單價取高端）＝營收 ÷（機隊付費 token × AL_PriceFleet25_Hi）</t>
        </is>
      </c>
      <c r="D164" s="3" t="inlineStr">
        <is>
          <t>0.236138</t>
        </is>
      </c>
      <c r="E164" s="3" t="n">
        <v>3</v>
      </c>
      <c r="F164" s="3" t="inlineStr">
        <is>
          <t>C286:E286</t>
        </is>
      </c>
      <c r="G164" s="3" t="inlineStr">
        <is>
          <t>R16</t>
        </is>
      </c>
      <c r="H164" s="3" t="inlineStr">
        <is>
          <t>升級</t>
        </is>
      </c>
      <c r="I164" s="3" t="inlineStr">
        <is>
          <t>1</t>
        </is>
      </c>
      <c r="J164" s="3" t="inlineStr">
        <is>
          <t>L1_MFleet_P25Hi</t>
        </is>
      </c>
      <c r="K164" s="3" t="inlineStr">
        <is>
          <t>m 以 2025 單價高端計（0.24）。同上。</t>
        </is>
      </c>
      <c r="L164" s="3" t="inlineStr">
        <is>
          <t>是</t>
        </is>
      </c>
      <c r="M164" s="3">
        <f>IF(ISNUMBER(C116),SRC_DEM_007*1000000000/(C116*AL_PriceFleet25_Hi),AL_UnavailTxt)</f>
        <v/>
      </c>
      <c r="N164" s="3" t="inlineStr"/>
      <c r="O164" s="3" t="inlineStr"/>
      <c r="P164" s="3" t="inlineStr">
        <is>
          <t>是</t>
        </is>
      </c>
    </row>
    <row r="165">
      <c r="A165" s="3" t="inlineStr">
        <is>
          <t>Cap_In</t>
        </is>
      </c>
      <c r="B165" s="3" t="n">
        <v>288</v>
      </c>
      <c r="C165" s="3" t="inlineStr">
        <is>
          <t>回本所需 L（VR200 新建、2026 單價、固定模型；不與 2025 m 比較）＝L1_FleetBreakeven ÷（IF_Util × CTL_ProdDerate × m（2026 牌價對照））　→ L1_LReqFleet_V</t>
        </is>
      </c>
      <c r="D165" s="3" t="inlineStr">
        <is>
          <t>v7.0 當時的 L1_LReqFleet 值為 0.5304（歷史值，原樣保留</t>
        </is>
      </c>
      <c r="E165" s="3" t="n">
        <v>1</v>
      </c>
      <c r="F165" s="3" t="inlineStr">
        <is>
          <t>G288</t>
        </is>
      </c>
      <c r="G165" s="3" t="inlineStr">
        <is>
          <t>R21</t>
        </is>
      </c>
      <c r="H165" s="3" t="inlineStr">
        <is>
          <t>保留：顯示用</t>
        </is>
      </c>
      <c r="I165" s="3" t="inlineStr">
        <is>
          <t>2</t>
        </is>
      </c>
      <c r="J165" s="3" t="inlineStr"/>
      <c r="K165" s="3" t="inlineStr">
        <is>
          <t>說明動態文字（現值取代過時的 0.5304；4-0 SL11）。</t>
        </is>
      </c>
      <c r="L165" s="3" t="inlineStr">
        <is>
          <t>否</t>
        </is>
      </c>
      <c r="M165" s="3">
        <f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/>
      </c>
      <c r="N165" s="3" t="inlineStr"/>
      <c r="O165" s="3" t="inlineStr"/>
      <c r="P165" s="3" t="inlineStr">
        <is>
          <t>是</t>
        </is>
      </c>
    </row>
    <row r="166">
      <c r="A166" s="3" t="inlineStr">
        <is>
          <t>Price_Frontier</t>
        </is>
      </c>
      <c r="B166" s="3" t="n">
        <v>23</v>
      </c>
      <c r="C166" s="3" t="inlineStr">
        <is>
          <t>層級能力門檻（OpenAI 層級模型的指數）</t>
        </is>
      </c>
      <c r="D166" s="3" t="inlineStr">
        <is>
          <t>37</t>
        </is>
      </c>
      <c r="E166" s="3" t="n">
        <v>3</v>
      </c>
      <c r="F166" s="3" t="inlineStr">
        <is>
          <t>C23:E23</t>
        </is>
      </c>
      <c r="G166" s="3" t="inlineStr">
        <is>
          <t>R22a</t>
        </is>
      </c>
      <c r="H166" s="3" t="inlineStr">
        <is>
          <t>刪除</t>
        </is>
      </c>
      <c r="I166" s="3" t="inlineStr">
        <is>
          <t>—</t>
        </is>
      </c>
      <c r="J166" s="3" t="inlineStr"/>
      <c r="K166" s="3" t="inlineStr">
        <is>
          <t>層級能力門檻複本（＝第 6–8 列）：第 24 列以 INDEX 自取，沒有讀它。</t>
        </is>
      </c>
      <c r="L166" s="3" t="inlineStr">
        <is>
          <t>否</t>
        </is>
      </c>
      <c r="M166" s="3">
        <f>$C$6</f>
        <v/>
      </c>
      <c r="N166" s="3" t="inlineStr"/>
      <c r="O166" s="3" t="inlineStr"/>
      <c r="P166" s="3" t="inlineStr"/>
    </row>
    <row r="167">
      <c r="A167" s="3" t="inlineStr">
        <is>
          <t>Price_Frontier</t>
        </is>
      </c>
      <c r="B167" s="3" t="n">
        <v>27</v>
      </c>
      <c r="C167" s="3" t="inlineStr">
        <is>
          <t>前緣 新鮮輸入（表列、時段加權）</t>
        </is>
      </c>
      <c r="D167" s="3" t="inlineStr">
        <is>
          <t>0.1</t>
        </is>
      </c>
      <c r="E167" s="3" t="n">
        <v>3</v>
      </c>
      <c r="F167" s="3" t="inlineStr">
        <is>
          <t>C27:E27</t>
        </is>
      </c>
      <c r="G167" s="3" t="inlineStr">
        <is>
          <t>R22a</t>
        </is>
      </c>
      <c r="H167" s="3" t="inlineStr">
        <is>
          <t>保留：顯示用</t>
        </is>
      </c>
      <c r="I167" s="3" t="inlineStr">
        <is>
          <t>6</t>
        </is>
      </c>
      <c r="J167" s="3" t="inlineStr"/>
      <c r="K167" s="3" t="inlineStr">
        <is>
          <t>前緣模型的新鮮輸入／快取輸入／輸出分項牌價（表列、時段加權）：B 節前緣表的形狀（第 24–26 列是核心格），按 token 類型的前緣單價；下游以 IF_FrontRef_*（混合）取用。</t>
        </is>
      </c>
      <c r="L167" s="3" t="inlineStr">
        <is>
          <t>否</t>
        </is>
      </c>
      <c r="M167" s="3">
        <f>INDEX($E$6:$E$18,MATCH(C25,$K$6:$K$18,0))</f>
        <v/>
      </c>
      <c r="N167" s="3" t="inlineStr"/>
      <c r="O167" s="3" t="inlineStr"/>
      <c r="P167" s="3" t="inlineStr"/>
    </row>
    <row r="168">
      <c r="A168" s="3" t="inlineStr">
        <is>
          <t>Price_Frontier</t>
        </is>
      </c>
      <c r="B168" s="3" t="n">
        <v>28</v>
      </c>
      <c r="C168" s="3" t="inlineStr">
        <is>
          <t>前緣 快取輸入</t>
        </is>
      </c>
      <c r="D168" s="3" t="inlineStr">
        <is>
          <t>0.01</t>
        </is>
      </c>
      <c r="E168" s="3" t="n">
        <v>3</v>
      </c>
      <c r="F168" s="3" t="inlineStr">
        <is>
          <t>C28:E28</t>
        </is>
      </c>
      <c r="G168" s="3" t="inlineStr">
        <is>
          <t>R22a</t>
        </is>
      </c>
      <c r="H168" s="3" t="inlineStr">
        <is>
          <t>保留：顯示用</t>
        </is>
      </c>
      <c r="I168" s="3" t="inlineStr">
        <is>
          <t>6</t>
        </is>
      </c>
      <c r="J168" s="3" t="inlineStr"/>
      <c r="K168" s="3" t="inlineStr">
        <is>
          <t>前緣模型的新鮮輸入／快取輸入／輸出分項牌價（表列、時段加權）：B 節前緣表的形狀（第 24–26 列是核心格），按 token 類型的前緣單價；下游以 IF_FrontRef_*（混合）取用。</t>
        </is>
      </c>
      <c r="L168" s="3" t="inlineStr">
        <is>
          <t>否</t>
        </is>
      </c>
      <c r="M168" s="3">
        <f>INDEX($F$6:$F$18,MATCH(C25,$K$6:$K$18,0))</f>
        <v/>
      </c>
      <c r="N168" s="3" t="inlineStr"/>
      <c r="O168" s="3" t="inlineStr"/>
      <c r="P168" s="3" t="inlineStr"/>
    </row>
    <row r="169">
      <c r="A169" s="3" t="inlineStr">
        <is>
          <t>Price_Frontier</t>
        </is>
      </c>
      <c r="B169" s="3" t="n">
        <v>29</v>
      </c>
      <c r="C169" s="3" t="inlineStr">
        <is>
          <t>前緣 輸出（含思考）</t>
        </is>
      </c>
      <c r="D169" s="3" t="inlineStr">
        <is>
          <t>0.5</t>
        </is>
      </c>
      <c r="E169" s="3" t="n">
        <v>3</v>
      </c>
      <c r="F169" s="3" t="inlineStr">
        <is>
          <t>C29:E29</t>
        </is>
      </c>
      <c r="G169" s="3" t="inlineStr">
        <is>
          <t>R22a</t>
        </is>
      </c>
      <c r="H169" s="3" t="inlineStr">
        <is>
          <t>保留：顯示用</t>
        </is>
      </c>
      <c r="I169" s="3" t="inlineStr">
        <is>
          <t>6</t>
        </is>
      </c>
      <c r="J169" s="3" t="inlineStr"/>
      <c r="K169" s="3" t="inlineStr">
        <is>
          <t>前緣模型的新鮮輸入／快取輸入／輸出分項牌價（表列、時段加權）：B 節前緣表的形狀（第 24–26 列是核心格），按 token 類型的前緣單價；下游以 IF_FrontRef_*（混合）取用。</t>
        </is>
      </c>
      <c r="L169" s="3" t="inlineStr">
        <is>
          <t>否</t>
        </is>
      </c>
      <c r="M169" s="3">
        <f>INDEX($G$6:$G$18,MATCH(C25,$K$6:$K$18,0))</f>
        <v/>
      </c>
      <c r="N169" s="3" t="inlineStr"/>
      <c r="O169" s="3" t="inlineStr"/>
      <c r="P169" s="3" t="inlineStr"/>
    </row>
    <row r="170">
      <c r="A170" s="3" t="inlineStr">
        <is>
          <t>Price_Frontier</t>
        </is>
      </c>
      <c r="B170" s="3" t="n">
        <v>30</v>
      </c>
      <c r="C170" s="3" t="inlineStr">
        <is>
          <t>OpenAI 溢價（OpenAI ÷ 前緣；1＝OpenAI 即前緣）</t>
        </is>
      </c>
      <c r="D170" s="3" t="inlineStr">
        <is>
          <t>1</t>
        </is>
      </c>
      <c r="E170" s="3" t="n">
        <v>3</v>
      </c>
      <c r="F170" s="3" t="inlineStr">
        <is>
          <t>C30:E30</t>
        </is>
      </c>
      <c r="G170" s="3" t="inlineStr">
        <is>
          <t>R22a</t>
        </is>
      </c>
      <c r="H170" s="3" t="inlineStr">
        <is>
          <t>刪除</t>
        </is>
      </c>
      <c r="I170" s="3" t="inlineStr">
        <is>
          <t>7</t>
        </is>
      </c>
      <c r="J170" s="3" t="inlineStr"/>
      <c r="K170" s="3" t="inlineStr">
        <is>
          <t>OpenAI 溢價（OpenAI ÷ 前緣）：L1_Ans7 已答 Sol，IF_PriceRef_*／IF_FrontRef_* 皆具名，其餘層級相除即得。</t>
        </is>
      </c>
      <c r="L170" s="3" t="inlineStr">
        <is>
          <t>否</t>
        </is>
      </c>
      <c r="M170" s="3">
        <f>C24/C25</f>
        <v/>
      </c>
      <c r="N170" s="3" t="inlineStr"/>
      <c r="O170" s="3" t="inlineStr"/>
      <c r="P170" s="3" t="inlineStr"/>
    </row>
    <row r="171">
      <c r="A171" s="3" t="inlineStr">
        <is>
          <t>Price_Frontier</t>
        </is>
      </c>
      <c r="B171" s="3" t="n">
        <v>32</v>
      </c>
      <c r="C171" s="3" t="inlineStr">
        <is>
          <t>中國廠商 合格者最低 模型</t>
        </is>
      </c>
      <c r="D171" s="3" t="inlineStr">
        <is>
          <t>GLM-5.3-Flash</t>
        </is>
      </c>
      <c r="E171" s="3" t="n">
        <v>3</v>
      </c>
      <c r="F171" s="3" t="inlineStr">
        <is>
          <t>C32:E32</t>
        </is>
      </c>
      <c r="G171" s="3" t="inlineStr">
        <is>
          <t>R22a</t>
        </is>
      </c>
      <c r="H171" s="3" t="inlineStr">
        <is>
          <t>保留：顯示用</t>
        </is>
      </c>
      <c r="I171" s="3" t="inlineStr">
        <is>
          <t>11</t>
        </is>
      </c>
      <c r="J171" s="3" t="inlineStr"/>
      <c r="K171" s="3" t="inlineStr">
        <is>
          <t>中國廠商合格者最低（模型名、合格家數）：與已標用途的第 31、33 列同一組對照讀數。</t>
        </is>
      </c>
      <c r="L171" s="3" t="inlineStr">
        <is>
          <t>否</t>
        </is>
      </c>
      <c r="M171" s="3">
        <f>IF(ISNUMBER(C31),INDEX($A$6:$A$18,MATCH(C31,$N$6:$N$18,0)),"—")</f>
        <v/>
      </c>
      <c r="N171" s="3" t="inlineStr"/>
      <c r="O171" s="3" t="inlineStr"/>
      <c r="P171" s="3" t="inlineStr"/>
    </row>
    <row r="172">
      <c r="A172" s="3" t="inlineStr">
        <is>
          <t>Price_Frontier</t>
        </is>
      </c>
      <c r="B172" s="3" t="n">
        <v>34</v>
      </c>
      <c r="C172" s="3" t="inlineStr">
        <is>
          <t>中國廠商 合格家數（候選表中）</t>
        </is>
      </c>
      <c r="D172" s="3" t="inlineStr">
        <is>
          <t>4</t>
        </is>
      </c>
      <c r="E172" s="3" t="n">
        <v>3</v>
      </c>
      <c r="F172" s="3" t="inlineStr">
        <is>
          <t>C34:E34</t>
        </is>
      </c>
      <c r="G172" s="3" t="inlineStr">
        <is>
          <t>R22a</t>
        </is>
      </c>
      <c r="H172" s="3" t="inlineStr">
        <is>
          <t>保留：顯示用</t>
        </is>
      </c>
      <c r="I172" s="3" t="inlineStr">
        <is>
          <t>11</t>
        </is>
      </c>
      <c r="J172" s="3" t="inlineStr"/>
      <c r="K172" s="3" t="inlineStr">
        <is>
          <t>中國廠商合格者最低（模型名、合格家數）：與已標用途的第 31、33 列同一組對照讀數。</t>
        </is>
      </c>
      <c r="L172" s="3" t="inlineStr">
        <is>
          <t>否</t>
        </is>
      </c>
      <c r="M172" s="3">
        <f>COUNTIF($N$6:$N$18,"&lt;1E9")</f>
        <v/>
      </c>
      <c r="N172" s="3" t="inlineStr"/>
      <c r="O172" s="3" t="inlineStr"/>
      <c r="P172" s="3" t="inlineStr"/>
    </row>
    <row r="173">
      <c r="A173" s="3" t="inlineStr">
        <is>
          <t>Cache_Store</t>
        </is>
      </c>
      <c r="B173" s="3" t="n">
        <v>18</v>
      </c>
      <c r="C173" s="3" t="inlineStr">
        <is>
          <t>儲存 ÷ 快取命中載入成本（IF_CostCache）</t>
        </is>
      </c>
      <c r="D173" s="3" t="inlineStr">
        <is>
          <t>1.586011</t>
        </is>
      </c>
      <c r="E173" s="3" t="n">
        <v>15</v>
      </c>
      <c r="F173" s="3" t="inlineStr">
        <is>
          <t>C18:Q18</t>
        </is>
      </c>
      <c r="G173" s="3" t="inlineStr">
        <is>
          <t>R22a</t>
        </is>
      </c>
      <c r="H173" s="3" t="inlineStr">
        <is>
          <t>刪除</t>
        </is>
      </c>
      <c r="I173" s="3" t="inlineStr">
        <is>
          <t>6</t>
        </is>
      </c>
      <c r="J173" s="3" t="inlineStr"/>
      <c r="K173" s="3" t="inlineStr">
        <is>
          <t>儲存成本 ÷ 快取命中載入成本、÷ OpenAI 快取輸入有效價：IF_CacheStore_*、IF_CostCache_*、IF_PriceCached_* 皆已具名，相除即得；不回答已知問題。</t>
        </is>
      </c>
      <c r="L173" s="3" t="inlineStr">
        <is>
          <t>否</t>
        </is>
      </c>
      <c r="M173" s="3">
        <f>IF(INDEX(IF_CostCache_Luna,1,C$7)&gt;0,C17/INDEX(IF_CostCache_Luna,1,C$7),0)</f>
        <v/>
      </c>
      <c r="N173" s="3" t="inlineStr"/>
      <c r="O173" s="3" t="inlineStr"/>
      <c r="P173" s="3" t="inlineStr"/>
    </row>
    <row r="174">
      <c r="A174" s="3" t="inlineStr">
        <is>
          <t>Cache_Store</t>
        </is>
      </c>
      <c r="B174" s="3" t="n">
        <v>19</v>
      </c>
      <c r="C174" s="3" t="inlineStr">
        <is>
          <t>儲存 ÷ OpenAI 快取輸入有效價</t>
        </is>
      </c>
      <c r="D174" s="3" t="inlineStr">
        <is>
          <t>0.001662</t>
        </is>
      </c>
      <c r="E174" s="3" t="n">
        <v>15</v>
      </c>
      <c r="F174" s="3" t="inlineStr">
        <is>
          <t>C19:Q19</t>
        </is>
      </c>
      <c r="G174" s="3" t="inlineStr">
        <is>
          <t>R22a</t>
        </is>
      </c>
      <c r="H174" s="3" t="inlineStr">
        <is>
          <t>刪除</t>
        </is>
      </c>
      <c r="I174" s="3" t="inlineStr">
        <is>
          <t>6</t>
        </is>
      </c>
      <c r="J174" s="3" t="inlineStr"/>
      <c r="K174" s="3" t="inlineStr">
        <is>
          <t>儲存成本 ÷ 快取命中載入成本、÷ OpenAI 快取輸入有效價：IF_CacheStore_*、IF_CostCache_*、IF_PriceCached_* 皆已具名，相除即得；不回答已知問題。</t>
        </is>
      </c>
      <c r="L174" s="3" t="inlineStr">
        <is>
          <t>否</t>
        </is>
      </c>
      <c r="M174" s="3">
        <f>C17/INDEX(B4_EffCache,1,1)</f>
        <v/>
      </c>
      <c r="N174" s="3" t="inlineStr"/>
      <c r="O174" s="3" t="inlineStr"/>
      <c r="P174" s="3" t="inlineStr"/>
    </row>
    <row r="175">
      <c r="A175" s="3" t="inlineStr">
        <is>
          <t>Cache_Store</t>
        </is>
      </c>
      <c r="B175" s="3" t="n">
        <v>24</v>
      </c>
      <c r="C175" s="3" t="inlineStr">
        <is>
          <t>儲存 ÷ 快取命中載入成本（IF_CostCache）</t>
        </is>
      </c>
      <c r="D175" s="3" t="inlineStr">
        <is>
          <t>1.586011</t>
        </is>
      </c>
      <c r="E175" s="3" t="n">
        <v>15</v>
      </c>
      <c r="F175" s="3" t="inlineStr">
        <is>
          <t>C24:Q24</t>
        </is>
      </c>
      <c r="G175" s="3" t="inlineStr">
        <is>
          <t>R22a</t>
        </is>
      </c>
      <c r="H175" s="3" t="inlineStr">
        <is>
          <t>刪除</t>
        </is>
      </c>
      <c r="I175" s="3" t="inlineStr">
        <is>
          <t>6</t>
        </is>
      </c>
      <c r="J175" s="3" t="inlineStr"/>
      <c r="K175" s="3" t="inlineStr">
        <is>
          <t>儲存成本 ÷ 快取命中載入成本、÷ OpenAI 快取輸入有效價：IF_CacheStore_*、IF_CostCache_*、IF_PriceCached_* 皆已具名，相除即得；不回答已知問題。</t>
        </is>
      </c>
      <c r="L175" s="3" t="inlineStr">
        <is>
          <t>否</t>
        </is>
      </c>
      <c r="M175" s="3">
        <f>IF(INDEX(IF_CostCache_Sol,1,C$7)&gt;0,C23/INDEX(IF_CostCache_Sol,1,C$7),0)</f>
        <v/>
      </c>
      <c r="N175" s="3" t="inlineStr"/>
      <c r="O175" s="3" t="inlineStr"/>
      <c r="P175" s="3" t="inlineStr"/>
    </row>
    <row r="176">
      <c r="A176" s="3" t="inlineStr">
        <is>
          <t>Cache_Store</t>
        </is>
      </c>
      <c r="B176" s="3" t="n">
        <v>25</v>
      </c>
      <c r="C176" s="3" t="inlineStr">
        <is>
          <t>儲存 ÷ OpenAI 快取輸入有效價</t>
        </is>
      </c>
      <c r="D176" s="3" t="inlineStr">
        <is>
          <t>0.000118</t>
        </is>
      </c>
      <c r="E176" s="3" t="n">
        <v>15</v>
      </c>
      <c r="F176" s="3" t="inlineStr">
        <is>
          <t>C25:Q25</t>
        </is>
      </c>
      <c r="G176" s="3" t="inlineStr">
        <is>
          <t>R22a</t>
        </is>
      </c>
      <c r="H176" s="3" t="inlineStr">
        <is>
          <t>刪除</t>
        </is>
      </c>
      <c r="I176" s="3" t="inlineStr">
        <is>
          <t>6</t>
        </is>
      </c>
      <c r="J176" s="3" t="inlineStr"/>
      <c r="K176" s="3" t="inlineStr">
        <is>
          <t>儲存成本 ÷ 快取命中載入成本、÷ OpenAI 快取輸入有效價：IF_CacheStore_*、IF_CostCache_*、IF_PriceCached_* 皆已具名，相除即得；不回答已知問題。</t>
        </is>
      </c>
      <c r="L176" s="3" t="inlineStr">
        <is>
          <t>否</t>
        </is>
      </c>
      <c r="M176" s="3">
        <f>C23/INDEX(B4_EffCache,1,2)</f>
        <v/>
      </c>
      <c r="N176" s="3" t="inlineStr"/>
      <c r="O176" s="3" t="inlineStr"/>
      <c r="P176" s="3" t="inlineStr"/>
    </row>
    <row r="177">
      <c r="A177" s="3" t="inlineStr">
        <is>
          <t>Cache_Store</t>
        </is>
      </c>
      <c r="B177" s="3" t="n">
        <v>30</v>
      </c>
      <c r="C177" s="3" t="inlineStr">
        <is>
          <t>儲存 ÷ 快取命中載入成本（IF_CostCache）</t>
        </is>
      </c>
      <c r="D177" s="3" t="inlineStr">
        <is>
          <t>1.586011</t>
        </is>
      </c>
      <c r="E177" s="3" t="n">
        <v>15</v>
      </c>
      <c r="F177" s="3" t="inlineStr">
        <is>
          <t>C30:Q30</t>
        </is>
      </c>
      <c r="G177" s="3" t="inlineStr">
        <is>
          <t>R22a</t>
        </is>
      </c>
      <c r="H177" s="3" t="inlineStr">
        <is>
          <t>刪除</t>
        </is>
      </c>
      <c r="I177" s="3" t="inlineStr">
        <is>
          <t>6</t>
        </is>
      </c>
      <c r="J177" s="3" t="inlineStr"/>
      <c r="K177" s="3" t="inlineStr">
        <is>
          <t>儲存成本 ÷ 快取命中載入成本、÷ OpenAI 快取輸入有效價：IF_CacheStore_*、IF_CostCache_*、IF_PriceCached_* 皆已具名，相除即得；不回答已知問題。</t>
        </is>
      </c>
      <c r="L177" s="3" t="inlineStr">
        <is>
          <t>否</t>
        </is>
      </c>
      <c r="M177" s="3">
        <f>IF(INDEX(IF_CostCache_Astra,1,C$7)&gt;0,C29/INDEX(IF_CostCache_Astra,1,C$7),0)</f>
        <v/>
      </c>
      <c r="N177" s="3" t="inlineStr"/>
      <c r="O177" s="3" t="inlineStr"/>
      <c r="P177" s="3" t="inlineStr"/>
    </row>
    <row r="178">
      <c r="A178" s="3" t="inlineStr">
        <is>
          <t>Cache_Store</t>
        </is>
      </c>
      <c r="B178" s="3" t="n">
        <v>31</v>
      </c>
      <c r="C178" s="3" t="inlineStr">
        <is>
          <t>儲存 ÷ OpenAI 快取輸入有效價</t>
        </is>
      </c>
      <c r="D178" s="3" t="inlineStr">
        <is>
          <t>0.000342</t>
        </is>
      </c>
      <c r="E178" s="3" t="n">
        <v>15</v>
      </c>
      <c r="F178" s="3" t="inlineStr">
        <is>
          <t>C31:Q31</t>
        </is>
      </c>
      <c r="G178" s="3" t="inlineStr">
        <is>
          <t>R22a</t>
        </is>
      </c>
      <c r="H178" s="3" t="inlineStr">
        <is>
          <t>刪除</t>
        </is>
      </c>
      <c r="I178" s="3" t="inlineStr">
        <is>
          <t>6</t>
        </is>
      </c>
      <c r="J178" s="3" t="inlineStr"/>
      <c r="K178" s="3" t="inlineStr">
        <is>
          <t>儲存成本 ÷ 快取命中載入成本、÷ OpenAI 快取輸入有效價：IF_CacheStore_*、IF_CostCache_*、IF_PriceCached_* 皆已具名，相除即得；不回答已知問題。</t>
        </is>
      </c>
      <c r="L178" s="3" t="inlineStr">
        <is>
          <t>否</t>
        </is>
      </c>
      <c r="M178" s="3">
        <f>C29/INDEX(B4_EffCache,1,3)</f>
        <v/>
      </c>
      <c r="N178" s="3" t="inlineStr"/>
      <c r="O178" s="3" t="inlineStr"/>
      <c r="P178" s="3" t="inlineStr"/>
    </row>
    <row r="179">
      <c r="A179" s="3" t="inlineStr">
        <is>
          <t>Fleet_1GW</t>
        </is>
      </c>
      <c r="B179" s="3" t="n">
        <v>14</v>
      </c>
      <c r="C179" s="3" t="inlineStr">
        <is>
          <t>最終訓練</t>
        </is>
      </c>
      <c r="D179" s="3" t="inlineStr">
        <is>
          <t>0.07375</t>
        </is>
      </c>
      <c r="E179" s="3" t="n">
        <v>15</v>
      </c>
      <c r="F179" s="3" t="inlineStr">
        <is>
          <t>C14:Q14</t>
        </is>
      </c>
      <c r="G179" s="3" t="inlineStr">
        <is>
          <t>R22a</t>
        </is>
      </c>
      <c r="H179" s="3" t="inlineStr">
        <is>
          <t>保留：顯示用</t>
        </is>
      </c>
      <c r="I179" s="3" t="inlineStr">
        <is>
          <t>3</t>
        </is>
      </c>
      <c r="J179" s="3" t="inlineStr"/>
      <c r="K179" s="3" t="inlineStr">
        <is>
          <t>A 節用途配置（最終訓練、研發實驗各占 1 GW 多少）：與第 10–13 列同表（服務／訓練＋研發是核心格）；研發占總算力的參考機隊讀數（B4_Serve、IF_RDMult 皆具名）。</t>
        </is>
      </c>
      <c r="L179" s="3" t="inlineStr">
        <is>
          <t>否</t>
        </is>
      </c>
      <c r="M179" s="3">
        <f>(1-B4_Serve)/IF_RDMult</f>
        <v/>
      </c>
      <c r="N179" s="3" t="inlineStr">
        <is>
          <t>20261015_稽核1_報告.md</t>
        </is>
      </c>
      <c r="O179" s="3" t="inlineStr"/>
      <c r="P179" s="3" t="inlineStr"/>
    </row>
    <row r="180">
      <c r="A180" s="3" t="inlineStr">
        <is>
          <t>Fleet_1GW</t>
        </is>
      </c>
      <c r="B180" s="3" t="n">
        <v>15</v>
      </c>
      <c r="C180" s="3" t="inlineStr">
        <is>
          <t>研發實驗（不含最終訓練）</t>
        </is>
      </c>
      <c r="D180" s="3" t="inlineStr">
        <is>
          <t>0.51625</t>
        </is>
      </c>
      <c r="E180" s="3" t="n">
        <v>15</v>
      </c>
      <c r="F180" s="3" t="inlineStr">
        <is>
          <t>C15:Q15</t>
        </is>
      </c>
      <c r="G180" s="3" t="inlineStr">
        <is>
          <t>R22a</t>
        </is>
      </c>
      <c r="H180" s="3" t="inlineStr">
        <is>
          <t>保留：顯示用</t>
        </is>
      </c>
      <c r="I180" s="3" t="inlineStr">
        <is>
          <t>3</t>
        </is>
      </c>
      <c r="J180" s="3" t="inlineStr"/>
      <c r="K180" s="3" t="inlineStr">
        <is>
          <t>A 節用途配置（最終訓練、研發實驗各占 1 GW 多少）：與第 10–13 列同表（服務／訓練＋研發是核心格）；研發占總算力的參考機隊讀數（B4_Serve、IF_RDMult 皆具名）。</t>
        </is>
      </c>
      <c r="L180" s="3" t="inlineStr">
        <is>
          <t>否</t>
        </is>
      </c>
      <c r="M180" s="3">
        <f>(1-B4_Serve)*(1-1/IF_RDMult)</f>
        <v/>
      </c>
      <c r="N180" s="3" t="inlineStr">
        <is>
          <t>20261015_稽核1_報告.md</t>
        </is>
      </c>
      <c r="O180" s="3" t="inlineStr"/>
      <c r="P180" s="3" t="inlineStr"/>
    </row>
    <row r="181">
      <c r="A181" s="3" t="inlineStr">
        <is>
          <t>Fleet_1GW</t>
        </is>
      </c>
      <c r="B181" s="3" t="n">
        <v>43</v>
      </c>
      <c r="C181" s="3" t="inlineStr">
        <is>
          <t>排除層級（SLO 不可達者；無＝全部可達）</t>
        </is>
      </c>
      <c r="D181" s="3" t="inlineStr">
        <is>
          <t>無</t>
        </is>
      </c>
      <c r="E181" s="3" t="n">
        <v>15</v>
      </c>
      <c r="F181" s="3" t="inlineStr">
        <is>
          <t>C43:Q43</t>
        </is>
      </c>
      <c r="G181" s="3" t="inlineStr">
        <is>
          <t>R22a</t>
        </is>
      </c>
      <c r="H181" s="3" t="inlineStr">
        <is>
          <t>保留：顯示用</t>
        </is>
      </c>
      <c r="I181" s="3" t="inlineStr">
        <is>
          <t>—</t>
        </is>
      </c>
      <c r="J181" s="3" t="inlineStr"/>
      <c r="K181" s="3" t="inlineStr">
        <is>
          <t>排除層級（SLO 不可達者）的文字讀數：D 節可達旗標（核心）的人讀摘要；稽核修正 2 引用。</t>
        </is>
      </c>
      <c r="L181" s="3" t="inlineStr">
        <is>
          <t>否</t>
        </is>
      </c>
      <c r="M181" s="3">
        <f>IF(C38*C39*C40=1,"無",TRIM(IF(C38=0,"Luna ","")&amp;IF(C39=0,"Sol ","")&amp;IF(C40=0,"Astra","")))</f>
        <v/>
      </c>
      <c r="N181" s="3" t="inlineStr">
        <is>
          <t>20261016_稽核修正2.md</t>
        </is>
      </c>
      <c r="O181" s="3" t="inlineStr"/>
      <c r="P181" s="3" t="inlineStr"/>
    </row>
    <row r="182">
      <c r="A182" s="3" t="inlineStr">
        <is>
          <t>Amortize</t>
        </is>
      </c>
      <c r="B182" s="3" t="n">
        <v>16</v>
      </c>
      <c r="C182" s="3" t="inlineStr">
        <is>
          <t>由上而下 ÷ 自下而上</t>
        </is>
      </c>
      <c r="D182" s="3" t="inlineStr">
        <is>
          <t>3.142215</t>
        </is>
      </c>
      <c r="E182" s="3" t="n">
        <v>15</v>
      </c>
      <c r="F182" s="3" t="inlineStr">
        <is>
          <t>C16:Q16</t>
        </is>
      </c>
      <c r="G182" s="3" t="inlineStr">
        <is>
          <t>R22a</t>
        </is>
      </c>
      <c r="H182" s="3" t="inlineStr">
        <is>
          <t>保留：顯示用</t>
        </is>
      </c>
      <c r="I182" s="3" t="inlineStr">
        <is>
          <t>2</t>
        </is>
      </c>
      <c r="J182" s="3" t="inlineStr"/>
      <c r="K182" s="3" t="inlineStr">
        <is>
          <t>由上而下 ÷ 自下而上攤提：K6 並列兩種攤提口徑的比值（3.1／4.2／0.86），是選預設口徑 (c) 的依據，稽核修正 2-1b 引用。</t>
        </is>
      </c>
      <c r="L182" s="3" t="inlineStr">
        <is>
          <t>否</t>
        </is>
      </c>
      <c r="M182" s="3">
        <f>IF(AND(ISNUMBER(C13),ISNUMBER(C15)),IF(C13&gt;0,C15/C13,0),"SLO 不可達")</f>
        <v/>
      </c>
      <c r="N182" s="3" t="inlineStr">
        <is>
          <t>20261016_稽核修正2-1b.md</t>
        </is>
      </c>
      <c r="O182" s="3" t="inlineStr"/>
      <c r="P182" s="3" t="inlineStr"/>
    </row>
    <row r="183">
      <c r="A183" s="3" t="inlineStr">
        <is>
          <t>Amortize</t>
        </is>
      </c>
      <c r="B183" s="3" t="n">
        <v>25</v>
      </c>
      <c r="C183" s="3" t="inlineStr">
        <is>
          <t>由上而下 ÷ 自下而上</t>
        </is>
      </c>
      <c r="D183" s="3" t="inlineStr">
        <is>
          <t>4.246572</t>
        </is>
      </c>
      <c r="E183" s="3" t="n">
        <v>15</v>
      </c>
      <c r="F183" s="3" t="inlineStr">
        <is>
          <t>C25:Q25</t>
        </is>
      </c>
      <c r="G183" s="3" t="inlineStr">
        <is>
          <t>R22a</t>
        </is>
      </c>
      <c r="H183" s="3" t="inlineStr">
        <is>
          <t>保留：顯示用</t>
        </is>
      </c>
      <c r="I183" s="3" t="inlineStr">
        <is>
          <t>2</t>
        </is>
      </c>
      <c r="J183" s="3" t="inlineStr"/>
      <c r="K183" s="3" t="inlineStr">
        <is>
          <t>由上而下 ÷ 自下而上攤提：K6 並列兩種攤提口徑的比值（3.1／4.2／0.86），是選預設口徑 (c) 的依據，稽核修正 2-1b 引用。</t>
        </is>
      </c>
      <c r="L183" s="3" t="inlineStr">
        <is>
          <t>否</t>
        </is>
      </c>
      <c r="M183" s="3">
        <f>IF(AND(ISNUMBER(C22),ISNUMBER(C24)),IF(C22&gt;0,C24/C22,0),"SLO 不可達")</f>
        <v/>
      </c>
      <c r="N183" s="3" t="inlineStr">
        <is>
          <t>20261016_稽核修正2-1b.md</t>
        </is>
      </c>
      <c r="O183" s="3" t="inlineStr"/>
      <c r="P183" s="3" t="inlineStr"/>
    </row>
    <row r="184">
      <c r="A184" s="3" t="inlineStr">
        <is>
          <t>Amortize</t>
        </is>
      </c>
      <c r="B184" s="3" t="n">
        <v>26</v>
      </c>
      <c r="C184" s="3" t="inlineStr">
        <is>
          <t>回本所需溢價 ÷ 觀測層級價差（本層級 − 下一層級 OpenAI 有效混合單價）</t>
        </is>
      </c>
      <c r="D184" s="3" t="inlineStr">
        <is>
          <t>0.074695</t>
        </is>
      </c>
      <c r="E184" s="3" t="n">
        <v>15</v>
      </c>
      <c r="F184" s="3" t="inlineStr">
        <is>
          <t>C26:Q26</t>
        </is>
      </c>
      <c r="G184" s="3" t="inlineStr">
        <is>
          <t>R22a</t>
        </is>
      </c>
      <c r="H184" s="3" t="inlineStr">
        <is>
          <t>保留：顯示用</t>
        </is>
      </c>
      <c r="I184" s="3" t="inlineStr">
        <is>
          <t>2</t>
        </is>
      </c>
      <c r="J184" s="3" t="inlineStr"/>
      <c r="K184" s="3" t="inlineStr">
        <is>
          <t>回本所需溢價 ÷ 觀測層級價差：層級版的回本讀數（&lt;1＝觀測價差足以回本）；IF_AmortBU_* 與 IF_PriceRef_* 皆具名，下游可自算。</t>
        </is>
      </c>
      <c r="L184" s="3" t="inlineStr">
        <is>
          <t>否</t>
        </is>
      </c>
      <c r="M184" s="3">
        <f>IF(ISNUMBER(C22),C22/(INDEX(B4_EffRef,1,2)-INDEX(B4_EffRef,1,1)),"SLO 不可達")</f>
        <v/>
      </c>
      <c r="N184" s="3" t="inlineStr">
        <is>
          <t>20261016_稽核修正2-1b.md</t>
        </is>
      </c>
      <c r="O184" s="3" t="inlineStr"/>
      <c r="P184" s="3" t="inlineStr"/>
    </row>
    <row r="185">
      <c r="A185" s="3" t="inlineStr">
        <is>
          <t>Amortize</t>
        </is>
      </c>
      <c r="B185" s="3" t="n">
        <v>35</v>
      </c>
      <c r="C185" s="3" t="inlineStr">
        <is>
          <t>由上而下 ÷ 自下而上</t>
        </is>
      </c>
      <c r="D185" s="3" t="inlineStr">
        <is>
          <t>0.861328</t>
        </is>
      </c>
      <c r="E185" s="3" t="n">
        <v>15</v>
      </c>
      <c r="F185" s="3" t="inlineStr">
        <is>
          <t>C35:Q35</t>
        </is>
      </c>
      <c r="G185" s="3" t="inlineStr">
        <is>
          <t>R22a</t>
        </is>
      </c>
      <c r="H185" s="3" t="inlineStr">
        <is>
          <t>保留：顯示用</t>
        </is>
      </c>
      <c r="I185" s="3" t="inlineStr">
        <is>
          <t>2</t>
        </is>
      </c>
      <c r="J185" s="3" t="inlineStr"/>
      <c r="K185" s="3" t="inlineStr">
        <is>
          <t>由上而下 ÷ 自下而上攤提：K6 並列兩種攤提口徑的比值（3.1／4.2／0.86），是選預設口徑 (c) 的依據，稽核修正 2-1b 引用。</t>
        </is>
      </c>
      <c r="L185" s="3" t="inlineStr">
        <is>
          <t>否</t>
        </is>
      </c>
      <c r="M185" s="3">
        <f>IF(AND(ISNUMBER(C32),ISNUMBER(C34)),IF(C32&gt;0,C34/C32,0),"SLO 不可達")</f>
        <v/>
      </c>
      <c r="N185" s="3" t="inlineStr">
        <is>
          <t>20261016_稽核修正2-1b.md</t>
        </is>
      </c>
      <c r="O185" s="3" t="inlineStr"/>
      <c r="P185" s="3" t="inlineStr"/>
    </row>
    <row r="186">
      <c r="A186" s="3" t="inlineStr">
        <is>
          <t>Amortize</t>
        </is>
      </c>
      <c r="B186" s="3" t="n">
        <v>36</v>
      </c>
      <c r="C186" s="3" t="inlineStr">
        <is>
          <t>回本所需溢價 ÷ 觀測層級價差（本層級 − 下一層級 OpenAI 有效混合單價）</t>
        </is>
      </c>
      <c r="D186" s="3" t="inlineStr">
        <is>
          <t>0.432107</t>
        </is>
      </c>
      <c r="E186" s="3" t="n">
        <v>15</v>
      </c>
      <c r="F186" s="3" t="inlineStr">
        <is>
          <t>C36:Q36</t>
        </is>
      </c>
      <c r="G186" s="3" t="inlineStr">
        <is>
          <t>R22a</t>
        </is>
      </c>
      <c r="H186" s="3" t="inlineStr">
        <is>
          <t>保留：顯示用</t>
        </is>
      </c>
      <c r="I186" s="3" t="inlineStr">
        <is>
          <t>2</t>
        </is>
      </c>
      <c r="J186" s="3" t="inlineStr"/>
      <c r="K186" s="3" t="inlineStr">
        <is>
          <t>回本所需溢價 ÷ 觀測層級價差：層級版的回本讀數（&lt;1＝觀測價差足以回本）；IF_AmortBU_* 與 IF_PriceRef_* 皆具名，下游可自算。</t>
        </is>
      </c>
      <c r="L186" s="3" t="inlineStr">
        <is>
          <t>否</t>
        </is>
      </c>
      <c r="M186" s="3">
        <f>IF(ISNUMBER(C32),C32/(INDEX(B4_EffRef,1,3)-INDEX(B4_EffRef,1,2)),"SLO 不可達")</f>
        <v/>
      </c>
      <c r="N186" s="3" t="inlineStr">
        <is>
          <t>20261016_稽核修正2-1b.md</t>
        </is>
      </c>
      <c r="O186" s="3" t="inlineStr"/>
      <c r="P186" s="3" t="inlineStr"/>
    </row>
    <row r="187">
      <c r="A187" s="3" t="inlineStr">
        <is>
          <t>Amortize</t>
        </is>
      </c>
      <c r="B187" s="3" t="n">
        <v>49</v>
      </c>
      <c r="C187" s="3" t="inlineStr">
        <is>
          <t>(d) 攤提占付費營收（各層級相同）</t>
        </is>
      </c>
      <c r="D187" s="3" t="inlineStr">
        <is>
          <t>0.599632</t>
        </is>
      </c>
      <c r="E187" s="3" t="n">
        <v>15</v>
      </c>
      <c r="F187" s="3" t="inlineStr">
        <is>
          <t>C49:Q49</t>
        </is>
      </c>
      <c r="G187" s="3" t="inlineStr">
        <is>
          <t>R22a</t>
        </is>
      </c>
      <c r="H187" s="3" t="inlineStr">
        <is>
          <t>升級</t>
        </is>
      </c>
      <c r="I187" s="3" t="inlineStr">
        <is>
          <t>2</t>
        </is>
      </c>
      <c r="J187" s="3" t="inlineStr">
        <is>
          <t>IF_AmortRevShare</t>
        </is>
      </c>
      <c r="K187" s="3" t="inlineStr">
        <is>
          <t>(d) 攤提占付費營收 0.60：訓練攤提吃掉付費營收多少，是『回本嗎』在營收側的直接讀法（各層級相同，故為合計口徑）。目前下游只能自行用 IF_AmortRev_* 與營收相除。</t>
        </is>
      </c>
      <c r="L187" s="3" t="inlineStr">
        <is>
          <t>是</t>
        </is>
      </c>
      <c r="M187" s="3">
        <f>IF(ISNUMBER(C42),IF(C42&gt;0,C39/C42,0),"SLO 不可達")</f>
        <v/>
      </c>
      <c r="N187" s="3" t="inlineStr"/>
      <c r="O187" s="3" t="inlineStr"/>
      <c r="P187" s="3" t="inlineStr"/>
    </row>
    <row r="188">
      <c r="A188" s="3" t="inlineStr">
        <is>
          <t>Theory_Rev</t>
        </is>
      </c>
      <c r="B188" s="3" t="n">
        <v>13</v>
      </c>
      <c r="C188" s="3" t="inlineStr">
        <is>
          <t>理論營收 — 100% 利用率（OpenAI）</t>
        </is>
      </c>
      <c r="D188" s="3" t="inlineStr">
        <is>
          <t>9.018163</t>
        </is>
      </c>
      <c r="E188" s="3" t="n">
        <v>15</v>
      </c>
      <c r="F188" s="3" t="inlineStr">
        <is>
          <t>C13:Q13</t>
        </is>
      </c>
      <c r="G188" s="3" t="inlineStr">
        <is>
          <t>R22a</t>
        </is>
      </c>
      <c r="H188" s="3" t="inlineStr">
        <is>
          <t>刪除</t>
        </is>
      </c>
      <c r="I188" s="3" t="inlineStr">
        <is>
          <t>5</t>
        </is>
      </c>
      <c r="J188" s="3" t="inlineStr"/>
      <c r="K188" s="3" t="inlineStr">
        <is>
          <t>『理論營收 — 100% 利用率（OpenAI）』：Interface 的 IFW_RevGW_*_100（＝第 11／29／47 列 ÷ IF_Util）已是同一量的唯一定義（契約第 2 條要求下游取四層瀑布）；原則 1。</t>
        </is>
      </c>
      <c r="L188" s="3" t="inlineStr">
        <is>
          <t>否</t>
        </is>
      </c>
      <c r="M188" s="3">
        <f>IF(ISNUMBER(INDEX(IF_TokGW_Luna,1,C$7)),INDEX(IF_TokGW_Luna,1,C$7)*INDEX(B4_EffRef,1,1)/1000000000,INDEX(IF_TokGW_Luna,1,C$7))</f>
        <v/>
      </c>
      <c r="N188" s="3" t="inlineStr"/>
      <c r="O188" s="3" t="inlineStr"/>
      <c r="P188" s="3" t="inlineStr"/>
    </row>
    <row r="189">
      <c r="A189" s="3" t="inlineStr">
        <is>
          <t>Theory_Rev</t>
        </is>
      </c>
      <c r="B189" s="3" t="n">
        <v>14</v>
      </c>
      <c r="C189" s="3" t="inlineStr">
        <is>
          <t>年持有成本 — 經濟（IF_HoldEcon）</t>
        </is>
      </c>
      <c r="D189" s="3" t="inlineStr">
        <is>
          <t>6.791075</t>
        </is>
      </c>
      <c r="E189" s="3" t="n">
        <v>15</v>
      </c>
      <c r="F189" s="3" t="inlineStr">
        <is>
          <t>C14:Q14</t>
        </is>
      </c>
      <c r="G189" s="3" t="inlineStr">
        <is>
          <t>R22b</t>
        </is>
      </c>
      <c r="H189" s="3" t="inlineStr">
        <is>
          <t>保留：顯示用</t>
        </is>
      </c>
      <c r="I189" s="3" t="inlineStr">
        <is>
          <t>5</t>
        </is>
      </c>
      <c r="J189" s="3" t="inlineStr"/>
      <c r="K189" s="3" t="inlineStr">
        <is>
          <t>年持有成本複本（IF_HoldEcon）：同表『營收 ÷ 持有成本』比值列（15／16、33／34、51／52）的分母。B 段可改讓比值列直接讀 IF_HoldEcon 再刪此三列。</t>
        </is>
      </c>
      <c r="L189" s="3" t="inlineStr">
        <is>
          <t>否</t>
        </is>
      </c>
      <c r="M189" s="3">
        <f>INDEX(IF_HoldEcon,1,C$7)</f>
        <v/>
      </c>
      <c r="N189" s="3" t="inlineStr"/>
      <c r="O189" s="3" t="inlineStr"/>
      <c r="P189" s="3" t="inlineStr"/>
    </row>
    <row r="190">
      <c r="A190" s="3" t="inlineStr">
        <is>
          <t>Theory_Rev</t>
        </is>
      </c>
      <c r="B190" s="3" t="n">
        <v>15</v>
      </c>
      <c r="C190" s="3" t="inlineStr">
        <is>
          <t>理論營收 ÷ 持有成本</t>
        </is>
      </c>
      <c r="D190" s="3" t="inlineStr">
        <is>
          <t>0.796766</t>
        </is>
      </c>
      <c r="E190" s="3" t="n">
        <v>15</v>
      </c>
      <c r="F190" s="3" t="inlineStr">
        <is>
          <t>C15:Q15</t>
        </is>
      </c>
      <c r="G190" s="3" t="inlineStr">
        <is>
          <t>R22a</t>
        </is>
      </c>
      <c r="H190" s="3" t="inlineStr">
        <is>
          <t>保留：顯示用</t>
        </is>
      </c>
      <c r="I190" s="3" t="inlineStr">
        <is>
          <t>5</t>
        </is>
      </c>
      <c r="J190" s="3" t="inlineStr"/>
      <c r="K190" s="3" t="inlineStr">
        <is>
          <t>理論營收（OpenAI／前緣單價）÷ 持有成本：與已標用途的第 33、73 列同一族（回本讀數）；IF_RevGW_*／IF_HoldEcon 皆具名。</t>
        </is>
      </c>
      <c r="L190" s="3" t="inlineStr">
        <is>
          <t>否</t>
        </is>
      </c>
      <c r="M190" s="3">
        <f>IF(ISNUMBER(C11),C11/C14,C11)</f>
        <v/>
      </c>
      <c r="N190" s="3" t="inlineStr"/>
      <c r="O190" s="3" t="inlineStr"/>
      <c r="P190" s="3" t="inlineStr"/>
    </row>
    <row r="191">
      <c r="A191" s="3" t="inlineStr">
        <is>
          <t>Theory_Rev</t>
        </is>
      </c>
      <c r="B191" s="3" t="n">
        <v>16</v>
      </c>
      <c r="C191" s="3" t="inlineStr">
        <is>
          <t>前緣營收 ÷ 持有成本</t>
        </is>
      </c>
      <c r="D191" s="3" t="inlineStr">
        <is>
          <t>0.796766</t>
        </is>
      </c>
      <c r="E191" s="3" t="n">
        <v>15</v>
      </c>
      <c r="F191" s="3" t="inlineStr">
        <is>
          <t>C16:Q16</t>
        </is>
      </c>
      <c r="G191" s="3" t="inlineStr">
        <is>
          <t>R22a</t>
        </is>
      </c>
      <c r="H191" s="3" t="inlineStr">
        <is>
          <t>保留：顯示用</t>
        </is>
      </c>
      <c r="I191" s="3" t="inlineStr">
        <is>
          <t>5</t>
        </is>
      </c>
      <c r="J191" s="3" t="inlineStr"/>
      <c r="K191" s="3" t="inlineStr">
        <is>
          <t>理論營收（OpenAI／前緣單價）÷ 持有成本：與已標用途的第 33、73 列同一族（回本讀數）；IF_RevGW_*／IF_HoldEcon 皆具名。</t>
        </is>
      </c>
      <c r="L191" s="3" t="inlineStr">
        <is>
          <t>否</t>
        </is>
      </c>
      <c r="M191" s="3">
        <f>IF(ISNUMBER(C12),C12/C14,C12)</f>
        <v/>
      </c>
      <c r="N191" s="3" t="inlineStr"/>
      <c r="O191" s="3" t="inlineStr"/>
      <c r="P191" s="3" t="inlineStr"/>
    </row>
    <row r="192">
      <c r="A192" s="3" t="inlineStr">
        <is>
          <t>Theory_Rev</t>
        </is>
      </c>
      <c r="B192" s="3" t="n">
        <v>19</v>
      </c>
      <c r="C192" s="3" t="inlineStr">
        <is>
          <t>全成本 $/M（服務＋由上而下攤提）</t>
        </is>
      </c>
      <c r="D192" s="3" t="inlineStr">
        <is>
          <t>0.246024</t>
        </is>
      </c>
      <c r="E192" s="3" t="n">
        <v>15</v>
      </c>
      <c r="F192" s="3" t="inlineStr">
        <is>
          <t>C19:Q19</t>
        </is>
      </c>
      <c r="G192" s="3" t="inlineStr">
        <is>
          <t>R22b</t>
        </is>
      </c>
      <c r="H192" s="3" t="inlineStr">
        <is>
          <t>保留：顯示用</t>
        </is>
      </c>
      <c r="I192" s="3" t="inlineStr">
        <is>
          <t>5</t>
        </is>
      </c>
      <c r="J192" s="3" t="inlineStr"/>
      <c r="K192" s="3" t="inlineStr">
        <is>
          <t>全成本 $/M（服務＋由上而下攤提）：K6 三口徑並列中非預設的一支（BU＝IF_FullCost_*、預設＝IF_FullCostDefault_*），稽核修正 1 引用。</t>
        </is>
      </c>
      <c r="L192" s="3" t="inlineStr">
        <is>
          <t>否</t>
        </is>
      </c>
      <c r="M192" s="3">
        <f>IF(AND(ISNUMBER(C17),ISNUMBER(Amortize!C15)),C17+Amortize!C15,"SLO 不可達")</f>
        <v/>
      </c>
      <c r="N192" s="3" t="inlineStr">
        <is>
          <t>20261015_稽核修正1.md</t>
        </is>
      </c>
      <c r="O192" s="3" t="inlineStr"/>
      <c r="P192" s="3" t="inlineStr"/>
    </row>
    <row r="193">
      <c r="A193" s="3" t="inlineStr">
        <is>
          <t>Theory_Rev</t>
        </is>
      </c>
      <c r="B193" s="3" t="n">
        <v>22</v>
      </c>
      <c r="C193" s="3" t="inlineStr">
        <is>
          <t>理論毛利率（OpenAI 單價；自下而上全成本）</t>
        </is>
      </c>
      <c r="D193" s="3" t="inlineStr">
        <is>
          <t>-0.830174</t>
        </is>
      </c>
      <c r="E193" s="3" t="n">
        <v>15</v>
      </c>
      <c r="F193" s="3" t="inlineStr">
        <is>
          <t>C22:Q22</t>
        </is>
      </c>
      <c r="G193" s="3" t="inlineStr">
        <is>
          <t>R22a</t>
        </is>
      </c>
      <c r="H193" s="3" t="inlineStr">
        <is>
          <t>保留：顯示用</t>
        </is>
      </c>
      <c r="I193" s="3" t="inlineStr">
        <is>
          <t>5</t>
        </is>
      </c>
      <c r="J193" s="3" t="inlineStr"/>
      <c r="K193" s="3" t="inlineStr">
        <is>
          <t>理論毛利率的非預設口徑（自下而上、由上而下、前緣單價）：K6 並列比較，稽核修正 1 引用；預設口徑另升級為 IF_GMDefault_*。</t>
        </is>
      </c>
      <c r="L193" s="3" t="inlineStr">
        <is>
          <t>否</t>
        </is>
      </c>
      <c r="M193" s="3">
        <f>IF(ISNUMBER(C18),1-C18/INDEX(B4_EffRef,1,1),"SLO 不可達")</f>
        <v/>
      </c>
      <c r="N193" s="3" t="inlineStr">
        <is>
          <t>20261015_稽核修正1.md</t>
        </is>
      </c>
      <c r="O193" s="3" t="inlineStr"/>
      <c r="P193" s="3" t="inlineStr"/>
    </row>
    <row r="194">
      <c r="A194" s="3" t="inlineStr">
        <is>
          <t>Theory_Rev</t>
        </is>
      </c>
      <c r="B194" s="3" t="n">
        <v>23</v>
      </c>
      <c r="C194" s="3" t="inlineStr">
        <is>
          <t>理論毛利率（OpenAI 單價；由上而下全成本）</t>
        </is>
      </c>
      <c r="D194" s="3" t="inlineStr">
        <is>
          <t>-2.061691</t>
        </is>
      </c>
      <c r="E194" s="3" t="n">
        <v>15</v>
      </c>
      <c r="F194" s="3" t="inlineStr">
        <is>
          <t>C23:Q23</t>
        </is>
      </c>
      <c r="G194" s="3" t="inlineStr">
        <is>
          <t>R22a</t>
        </is>
      </c>
      <c r="H194" s="3" t="inlineStr">
        <is>
          <t>保留：顯示用</t>
        </is>
      </c>
      <c r="I194" s="3" t="inlineStr">
        <is>
          <t>5</t>
        </is>
      </c>
      <c r="J194" s="3" t="inlineStr"/>
      <c r="K194" s="3" t="inlineStr">
        <is>
          <t>理論毛利率的非預設口徑（自下而上、由上而下、前緣單價）：K6 並列比較，稽核修正 1 引用；預設口徑另升級為 IF_GMDefault_*。</t>
        </is>
      </c>
      <c r="L194" s="3" t="inlineStr">
        <is>
          <t>否</t>
        </is>
      </c>
      <c r="M194" s="3">
        <f>IF(ISNUMBER(C19),1-C19/INDEX(B4_EffRef,1,1),"SLO 不可達")</f>
        <v/>
      </c>
      <c r="N194" s="3" t="inlineStr">
        <is>
          <t>20261015_稽核修正1.md</t>
        </is>
      </c>
      <c r="O194" s="3" t="inlineStr"/>
      <c r="P194" s="3" t="inlineStr"/>
    </row>
    <row r="195">
      <c r="A195" s="3" t="inlineStr">
        <is>
          <t>Theory_Rev</t>
        </is>
      </c>
      <c r="B195" s="3" t="n">
        <v>24</v>
      </c>
      <c r="C195" s="3" t="inlineStr">
        <is>
          <t>理論毛利率（OpenAI 單價；K6 預設 (c) 全成本）</t>
        </is>
      </c>
      <c r="D195" s="3" t="inlineStr">
        <is>
          <t>-1.644666</t>
        </is>
      </c>
      <c r="E195" s="3" t="n">
        <v>15</v>
      </c>
      <c r="F195" s="3" t="inlineStr">
        <is>
          <t>C24:Q24</t>
        </is>
      </c>
      <c r="G195" s="3" t="inlineStr">
        <is>
          <t>R22a</t>
        </is>
      </c>
      <c r="H195" s="3" t="inlineStr">
        <is>
          <t>升級</t>
        </is>
      </c>
      <c r="I195" s="3" t="inlineStr">
        <is>
          <t>5</t>
        </is>
      </c>
      <c r="J195" s="3" t="inlineStr">
        <is>
          <t>IF_GMDefault_Luna</t>
        </is>
      </c>
      <c r="K195" s="3" t="inlineStr">
        <is>
          <t>理論毛利率（OpenAI 單價；K6 預設 (c) 全成本）：問 5『毛利，分世代與層級』的預設口徑；目前只有 L1_Ans5_FullMargin 一個格（Sol、VR200）。</t>
        </is>
      </c>
      <c r="L195" s="3" t="inlineStr">
        <is>
          <t>是</t>
        </is>
      </c>
      <c r="M195" s="3">
        <f>IF(ISNUMBER(C20),1-C20/INDEX(B4_EffRef,1,1),"SLO 不可達")</f>
        <v/>
      </c>
      <c r="N195" s="3" t="inlineStr">
        <is>
          <t>20261015_稽核修正1.md</t>
        </is>
      </c>
      <c r="O195" s="3" t="inlineStr"/>
      <c r="P195" s="3" t="inlineStr"/>
    </row>
    <row r="196">
      <c r="A196" s="3" t="inlineStr">
        <is>
          <t>Theory_Rev</t>
        </is>
      </c>
      <c r="B196" s="3" t="n">
        <v>25</v>
      </c>
      <c r="C196" s="3" t="inlineStr">
        <is>
          <t>理論毛利率（前緣單價；由上而下全成本）</t>
        </is>
      </c>
      <c r="D196" s="3" t="inlineStr">
        <is>
          <t>-2.061691</t>
        </is>
      </c>
      <c r="E196" s="3" t="n">
        <v>15</v>
      </c>
      <c r="F196" s="3" t="inlineStr">
        <is>
          <t>C25:Q25</t>
        </is>
      </c>
      <c r="G196" s="3" t="inlineStr">
        <is>
          <t>R22a</t>
        </is>
      </c>
      <c r="H196" s="3" t="inlineStr">
        <is>
          <t>保留：顯示用</t>
        </is>
      </c>
      <c r="I196" s="3" t="inlineStr">
        <is>
          <t>5</t>
        </is>
      </c>
      <c r="J196" s="3" t="inlineStr"/>
      <c r="K196" s="3" t="inlineStr">
        <is>
          <t>理論毛利率的非預設口徑（自下而上、由上而下、前緣單價）：K6 並列比較，稽核修正 1 引用；預設口徑另升級為 IF_GMDefault_*。</t>
        </is>
      </c>
      <c r="L196" s="3" t="inlineStr">
        <is>
          <t>否</t>
        </is>
      </c>
      <c r="M196" s="3">
        <f>IF(ISNUMBER(C19),1-C19/INDEX(B4_FrontRef,1,1),"SLO 不可達")</f>
        <v/>
      </c>
      <c r="N196" s="3" t="inlineStr"/>
      <c r="O196" s="3" t="inlineStr"/>
      <c r="P196" s="3" t="inlineStr"/>
    </row>
    <row r="197">
      <c r="A197" s="3" t="inlineStr">
        <is>
          <t>Theory_Rev</t>
        </is>
      </c>
      <c r="B197" s="3" t="n">
        <v>31</v>
      </c>
      <c r="C197" s="3" t="inlineStr">
        <is>
          <t>理論營收 — 100% 利用率（OpenAI）</t>
        </is>
      </c>
      <c r="D197" s="3" t="inlineStr">
        <is>
          <t>54.055048</t>
        </is>
      </c>
      <c r="E197" s="3" t="n">
        <v>15</v>
      </c>
      <c r="F197" s="3" t="inlineStr">
        <is>
          <t>C31:Q31</t>
        </is>
      </c>
      <c r="G197" s="3" t="inlineStr">
        <is>
          <t>R22a</t>
        </is>
      </c>
      <c r="H197" s="3" t="inlineStr">
        <is>
          <t>刪除</t>
        </is>
      </c>
      <c r="I197" s="3" t="inlineStr">
        <is>
          <t>5</t>
        </is>
      </c>
      <c r="J197" s="3" t="inlineStr"/>
      <c r="K197" s="3" t="inlineStr">
        <is>
          <t>『理論營收 — 100% 利用率（OpenAI）』：Interface 的 IFW_RevGW_*_100（＝第 11／29／47 列 ÷ IF_Util）已是同一量的唯一定義（契約第 2 條要求下游取四層瀑布）；原則 1。</t>
        </is>
      </c>
      <c r="L197" s="3" t="inlineStr">
        <is>
          <t>否</t>
        </is>
      </c>
      <c r="M197" s="3">
        <f>IF(ISNUMBER(INDEX(IF_TokGW_Sol,1,C$7)),INDEX(IF_TokGW_Sol,1,C$7)*INDEX(B4_EffRef,1,2)/1000000000,INDEX(IF_TokGW_Sol,1,C$7))</f>
        <v/>
      </c>
      <c r="N197" s="3" t="inlineStr"/>
      <c r="O197" s="3" t="inlineStr"/>
      <c r="P197" s="3" t="inlineStr"/>
    </row>
    <row r="198">
      <c r="A198" s="3" t="inlineStr">
        <is>
          <t>Theory_Rev</t>
        </is>
      </c>
      <c r="B198" s="3" t="n">
        <v>32</v>
      </c>
      <c r="C198" s="3" t="inlineStr">
        <is>
          <t>年持有成本 — 經濟（IF_HoldEcon）</t>
        </is>
      </c>
      <c r="D198" s="3" t="inlineStr">
        <is>
          <t>6.791075</t>
        </is>
      </c>
      <c r="E198" s="3" t="n">
        <v>14</v>
      </c>
      <c r="F198" s="3" t="inlineStr">
        <is>
          <t>C32:Q32</t>
        </is>
      </c>
      <c r="G198" s="3" t="inlineStr">
        <is>
          <t>R21</t>
        </is>
      </c>
      <c r="H198" s="3" t="inlineStr">
        <is>
          <t>保留：顯示用</t>
        </is>
      </c>
      <c r="I198" s="3" t="inlineStr">
        <is>
          <t>5</t>
        </is>
      </c>
      <c r="J198" s="3" t="inlineStr"/>
      <c r="K198" s="3" t="inlineStr">
        <is>
          <t>年持有成本複本（IF_HoldEcon）：同表『營收 ÷ 持有成本』比值列（15／16、33／34、51／52）的分母。B 段可改讓比值列直接讀 IF_HoldEcon 再刪此三列。</t>
        </is>
      </c>
      <c r="L198" s="3" t="inlineStr">
        <is>
          <t>否</t>
        </is>
      </c>
      <c r="M198" s="3">
        <f>INDEX(IF_HoldEcon,1,C$7)</f>
        <v/>
      </c>
      <c r="N198" s="3" t="inlineStr"/>
      <c r="O198" s="3" t="inlineStr"/>
      <c r="P198" s="3" t="inlineStr"/>
    </row>
    <row r="199">
      <c r="A199" s="3" t="inlineStr">
        <is>
          <t>Theory_Rev</t>
        </is>
      </c>
      <c r="B199" s="3" t="n">
        <v>34</v>
      </c>
      <c r="C199" s="3" t="inlineStr">
        <is>
          <t>前緣營收 ÷ 持有成本</t>
        </is>
      </c>
      <c r="D199" s="3" t="inlineStr">
        <is>
          <t>4.775832</t>
        </is>
      </c>
      <c r="E199" s="3" t="n">
        <v>15</v>
      </c>
      <c r="F199" s="3" t="inlineStr">
        <is>
          <t>C34:Q34</t>
        </is>
      </c>
      <c r="G199" s="3" t="inlineStr">
        <is>
          <t>R22a</t>
        </is>
      </c>
      <c r="H199" s="3" t="inlineStr">
        <is>
          <t>保留：顯示用</t>
        </is>
      </c>
      <c r="I199" s="3" t="inlineStr">
        <is>
          <t>5</t>
        </is>
      </c>
      <c r="J199" s="3" t="inlineStr"/>
      <c r="K199" s="3" t="inlineStr">
        <is>
          <t>理論營收（OpenAI／前緣單價）÷ 持有成本：與已標用途的第 33、73 列同一族（回本讀數）；IF_RevGW_*／IF_HoldEcon 皆具名。</t>
        </is>
      </c>
      <c r="L199" s="3" t="inlineStr">
        <is>
          <t>否</t>
        </is>
      </c>
      <c r="M199" s="3">
        <f>IF(ISNUMBER(C30),C30/C32,C30)</f>
        <v/>
      </c>
      <c r="N199" s="3" t="inlineStr"/>
      <c r="O199" s="3" t="inlineStr"/>
      <c r="P199" s="3" t="inlineStr"/>
    </row>
    <row r="200">
      <c r="A200" s="3" t="inlineStr">
        <is>
          <t>Theory_Rev</t>
        </is>
      </c>
      <c r="B200" s="3" t="n">
        <v>37</v>
      </c>
      <c r="C200" s="3" t="inlineStr">
        <is>
          <t>全成本 $/M（服務＋由上而下攤提）</t>
        </is>
      </c>
      <c r="D200" s="3" t="inlineStr">
        <is>
          <t>0.820815</t>
        </is>
      </c>
      <c r="E200" s="3" t="n">
        <v>15</v>
      </c>
      <c r="F200" s="3" t="inlineStr">
        <is>
          <t>C37:Q37</t>
        </is>
      </c>
      <c r="G200" s="3" t="inlineStr">
        <is>
          <t>R22b</t>
        </is>
      </c>
      <c r="H200" s="3" t="inlineStr">
        <is>
          <t>保留：顯示用</t>
        </is>
      </c>
      <c r="I200" s="3" t="inlineStr">
        <is>
          <t>5</t>
        </is>
      </c>
      <c r="J200" s="3" t="inlineStr"/>
      <c r="K200" s="3" t="inlineStr">
        <is>
          <t>全成本 $/M（服務＋由上而下攤提）：K6 三口徑並列中非預設的一支（BU＝IF_FullCost_*、預設＝IF_FullCostDefault_*），稽核修正 1 引用。</t>
        </is>
      </c>
      <c r="L200" s="3" t="inlineStr">
        <is>
          <t>否</t>
        </is>
      </c>
      <c r="M200" s="3">
        <f>IF(AND(ISNUMBER(C35),ISNUMBER(Amortize!C24)),C35+Amortize!C24,"SLO 不可達")</f>
        <v/>
      </c>
      <c r="N200" s="3" t="inlineStr">
        <is>
          <t>20261015_稽核修正1.md</t>
        </is>
      </c>
      <c r="O200" s="3" t="inlineStr"/>
      <c r="P200" s="3" t="inlineStr"/>
    </row>
    <row r="201">
      <c r="A201" s="3" t="inlineStr">
        <is>
          <t>Theory_Rev</t>
        </is>
      </c>
      <c r="B201" s="3" t="n">
        <v>40</v>
      </c>
      <c r="C201" s="3" t="inlineStr">
        <is>
          <t>理論毛利率（OpenAI 單價；自下而上全成本）</t>
        </is>
      </c>
      <c r="D201" s="3" t="inlineStr">
        <is>
          <t>0.719637</t>
        </is>
      </c>
      <c r="E201" s="3" t="n">
        <v>15</v>
      </c>
      <c r="F201" s="3" t="inlineStr">
        <is>
          <t>C40:Q40</t>
        </is>
      </c>
      <c r="G201" s="3" t="inlineStr">
        <is>
          <t>R22a</t>
        </is>
      </c>
      <c r="H201" s="3" t="inlineStr">
        <is>
          <t>保留：顯示用</t>
        </is>
      </c>
      <c r="I201" s="3" t="inlineStr">
        <is>
          <t>5</t>
        </is>
      </c>
      <c r="J201" s="3" t="inlineStr"/>
      <c r="K201" s="3" t="inlineStr">
        <is>
          <t>理論毛利率的非預設口徑（自下而上、由上而下、前緣單價）：K6 並列比較，稽核修正 1 引用；預設口徑另升級為 IF_GMDefault_*。</t>
        </is>
      </c>
      <c r="L201" s="3" t="inlineStr">
        <is>
          <t>否</t>
        </is>
      </c>
      <c r="M201" s="3">
        <f>IF(ISNUMBER(C36),1-C36/INDEX(B4_EffRef,1,2),"SLO 不可達")</f>
        <v/>
      </c>
      <c r="N201" s="3" t="inlineStr">
        <is>
          <t>20261015_稽核修正1.md</t>
        </is>
      </c>
      <c r="O201" s="3" t="inlineStr"/>
      <c r="P201" s="3" t="inlineStr"/>
    </row>
    <row r="202">
      <c r="A202" s="3" t="inlineStr">
        <is>
          <t>Theory_Rev</t>
        </is>
      </c>
      <c r="B202" s="3" t="n">
        <v>41</v>
      </c>
      <c r="C202" s="3" t="inlineStr">
        <is>
          <t>理論毛利率（OpenAI 單價；由上而下全成本）</t>
        </is>
      </c>
      <c r="D202" s="3" t="inlineStr">
        <is>
          <t>0.48926</t>
        </is>
      </c>
      <c r="E202" s="3" t="n">
        <v>15</v>
      </c>
      <c r="F202" s="3" t="inlineStr">
        <is>
          <t>C41:Q41</t>
        </is>
      </c>
      <c r="G202" s="3" t="inlineStr">
        <is>
          <t>R22a</t>
        </is>
      </c>
      <c r="H202" s="3" t="inlineStr">
        <is>
          <t>保留：顯示用</t>
        </is>
      </c>
      <c r="I202" s="3" t="inlineStr">
        <is>
          <t>5</t>
        </is>
      </c>
      <c r="J202" s="3" t="inlineStr"/>
      <c r="K202" s="3" t="inlineStr">
        <is>
          <t>理論毛利率的非預設口徑（自下而上、由上而下、前緣單價）：K6 並列比較，稽核修正 1 引用；預設口徑另升級為 IF_GMDefault_*。</t>
        </is>
      </c>
      <c r="L202" s="3" t="inlineStr">
        <is>
          <t>否</t>
        </is>
      </c>
      <c r="M202" s="3">
        <f>IF(ISNUMBER(C37),1-C37/INDEX(B4_EffRef,1,2),"SLO 不可達")</f>
        <v/>
      </c>
      <c r="N202" s="3" t="inlineStr">
        <is>
          <t>20261015_稽核修正1.md</t>
        </is>
      </c>
      <c r="O202" s="3" t="inlineStr"/>
      <c r="P202" s="3" t="inlineStr"/>
    </row>
    <row r="203">
      <c r="A203" s="3" t="inlineStr">
        <is>
          <t>Theory_Rev</t>
        </is>
      </c>
      <c r="B203" s="3" t="n">
        <v>42</v>
      </c>
      <c r="C203" s="3" t="inlineStr">
        <is>
          <t>理論毛利率（OpenAI 單價；K6 預設 (c) 全成本）</t>
        </is>
      </c>
      <c r="D203" s="3" t="inlineStr">
        <is>
          <t>0.619101</t>
        </is>
      </c>
      <c r="E203" s="3" t="n">
        <v>15</v>
      </c>
      <c r="F203" s="3" t="inlineStr">
        <is>
          <t>C42:Q42</t>
        </is>
      </c>
      <c r="G203" s="3" t="inlineStr">
        <is>
          <t>R22a</t>
        </is>
      </c>
      <c r="H203" s="3" t="inlineStr">
        <is>
          <t>升級</t>
        </is>
      </c>
      <c r="I203" s="3" t="inlineStr">
        <is>
          <t>5</t>
        </is>
      </c>
      <c r="J203" s="3" t="inlineStr">
        <is>
          <t>IF_GMDefault_Sol</t>
        </is>
      </c>
      <c r="K203" s="3" t="inlineStr">
        <is>
          <t>同上（Sol）。</t>
        </is>
      </c>
      <c r="L203" s="3" t="inlineStr">
        <is>
          <t>是</t>
        </is>
      </c>
      <c r="M203" s="3">
        <f>IF(ISNUMBER(C38),1-C38/INDEX(B4_EffRef,1,2),"SLO 不可達")</f>
        <v/>
      </c>
      <c r="N203" s="3" t="inlineStr">
        <is>
          <t>20261015_稽核修正1.md</t>
        </is>
      </c>
      <c r="O203" s="3" t="inlineStr"/>
      <c r="P203" s="3" t="inlineStr"/>
    </row>
    <row r="204">
      <c r="A204" s="3" t="inlineStr">
        <is>
          <t>Theory_Rev</t>
        </is>
      </c>
      <c r="B204" s="3" t="n">
        <v>43</v>
      </c>
      <c r="C204" s="3" t="inlineStr">
        <is>
          <t>理論毛利率（前緣單價；由上而下全成本）</t>
        </is>
      </c>
      <c r="D204" s="3" t="inlineStr">
        <is>
          <t>0.48926</t>
        </is>
      </c>
      <c r="E204" s="3" t="n">
        <v>15</v>
      </c>
      <c r="F204" s="3" t="inlineStr">
        <is>
          <t>C43:Q43</t>
        </is>
      </c>
      <c r="G204" s="3" t="inlineStr">
        <is>
          <t>R22a</t>
        </is>
      </c>
      <c r="H204" s="3" t="inlineStr">
        <is>
          <t>保留：顯示用</t>
        </is>
      </c>
      <c r="I204" s="3" t="inlineStr">
        <is>
          <t>5</t>
        </is>
      </c>
      <c r="J204" s="3" t="inlineStr"/>
      <c r="K204" s="3" t="inlineStr">
        <is>
          <t>理論毛利率的非預設口徑（自下而上、由上而下、前緣單價）：K6 並列比較，稽核修正 1 引用；預設口徑另升級為 IF_GMDefault_*。</t>
        </is>
      </c>
      <c r="L204" s="3" t="inlineStr">
        <is>
          <t>否</t>
        </is>
      </c>
      <c r="M204" s="3">
        <f>IF(ISNUMBER(C37),1-C37/INDEX(B4_FrontRef,1,2),"SLO 不可達")</f>
        <v/>
      </c>
      <c r="N204" s="3" t="inlineStr"/>
      <c r="O204" s="3" t="inlineStr"/>
      <c r="P204" s="3" t="inlineStr"/>
    </row>
    <row r="205">
      <c r="A205" s="3" t="inlineStr">
        <is>
          <t>Theory_Rev</t>
        </is>
      </c>
      <c r="B205" s="3" t="n">
        <v>49</v>
      </c>
      <c r="C205" s="3" t="inlineStr">
        <is>
          <t>理論營收 — 100% 利用率（OpenAI）</t>
        </is>
      </c>
      <c r="D205" s="3" t="inlineStr">
        <is>
          <t>54.714304</t>
        </is>
      </c>
      <c r="E205" s="3" t="n">
        <v>15</v>
      </c>
      <c r="F205" s="3" t="inlineStr">
        <is>
          <t>C49:Q49</t>
        </is>
      </c>
      <c r="G205" s="3" t="inlineStr">
        <is>
          <t>R22a</t>
        </is>
      </c>
      <c r="H205" s="3" t="inlineStr">
        <is>
          <t>刪除</t>
        </is>
      </c>
      <c r="I205" s="3" t="inlineStr">
        <is>
          <t>5</t>
        </is>
      </c>
      <c r="J205" s="3" t="inlineStr"/>
      <c r="K205" s="3" t="inlineStr">
        <is>
          <t>『理論營收 — 100% 利用率（OpenAI）』：Interface 的 IFW_RevGW_*_100（＝第 11／29／47 列 ÷ IF_Util）已是同一量的唯一定義（契約第 2 條要求下游取四層瀑布）；原則 1。</t>
        </is>
      </c>
      <c r="L205" s="3" t="inlineStr">
        <is>
          <t>否</t>
        </is>
      </c>
      <c r="M205" s="3">
        <f>IF(ISNUMBER(INDEX(IF_TokGW_Astra,1,C$7)),INDEX(IF_TokGW_Astra,1,C$7)*INDEX(B4_EffRef,1,3)/1000000000,INDEX(IF_TokGW_Astra,1,C$7))</f>
        <v/>
      </c>
      <c r="N205" s="3" t="inlineStr"/>
      <c r="O205" s="3" t="inlineStr"/>
      <c r="P205" s="3" t="inlineStr"/>
    </row>
    <row r="206">
      <c r="A206" s="3" t="inlineStr">
        <is>
          <t>Theory_Rev</t>
        </is>
      </c>
      <c r="B206" s="3" t="n">
        <v>50</v>
      </c>
      <c r="C206" s="3" t="inlineStr">
        <is>
          <t>年持有成本 — 經濟（IF_HoldEcon）</t>
        </is>
      </c>
      <c r="D206" s="3" t="inlineStr">
        <is>
          <t>6.791075</t>
        </is>
      </c>
      <c r="E206" s="3" t="n">
        <v>15</v>
      </c>
      <c r="F206" s="3" t="inlineStr">
        <is>
          <t>C50:Q50</t>
        </is>
      </c>
      <c r="G206" s="3" t="inlineStr">
        <is>
          <t>R22b</t>
        </is>
      </c>
      <c r="H206" s="3" t="inlineStr">
        <is>
          <t>保留：顯示用</t>
        </is>
      </c>
      <c r="I206" s="3" t="inlineStr">
        <is>
          <t>5</t>
        </is>
      </c>
      <c r="J206" s="3" t="inlineStr"/>
      <c r="K206" s="3" t="inlineStr">
        <is>
          <t>年持有成本複本（IF_HoldEcon）：同表『營收 ÷ 持有成本』比值列（15／16、33／34、51／52）的分母。B 段可改讓比值列直接讀 IF_HoldEcon 再刪此三列。</t>
        </is>
      </c>
      <c r="L206" s="3" t="inlineStr">
        <is>
          <t>否</t>
        </is>
      </c>
      <c r="M206" s="3">
        <f>INDEX(IF_HoldEcon,1,C$7)</f>
        <v/>
      </c>
      <c r="N206" s="3" t="inlineStr"/>
      <c r="O206" s="3" t="inlineStr"/>
      <c r="P206" s="3" t="inlineStr"/>
    </row>
    <row r="207">
      <c r="A207" s="3" t="inlineStr">
        <is>
          <t>Theory_Rev</t>
        </is>
      </c>
      <c r="B207" s="3" t="n">
        <v>51</v>
      </c>
      <c r="C207" s="3" t="inlineStr">
        <is>
          <t>理論營收 ÷ 持有成本</t>
        </is>
      </c>
      <c r="D207" s="3" t="inlineStr">
        <is>
          <t>4.834078</t>
        </is>
      </c>
      <c r="E207" s="3" t="n">
        <v>15</v>
      </c>
      <c r="F207" s="3" t="inlineStr">
        <is>
          <t>C51:Q51</t>
        </is>
      </c>
      <c r="G207" s="3" t="inlineStr">
        <is>
          <t>R22a</t>
        </is>
      </c>
      <c r="H207" s="3" t="inlineStr">
        <is>
          <t>保留：顯示用</t>
        </is>
      </c>
      <c r="I207" s="3" t="inlineStr">
        <is>
          <t>5</t>
        </is>
      </c>
      <c r="J207" s="3" t="inlineStr"/>
      <c r="K207" s="3" t="inlineStr">
        <is>
          <t>理論營收（OpenAI／前緣單價）÷ 持有成本：與已標用途的第 33、73 列同一族（回本讀數）；IF_RevGW_*／IF_HoldEcon 皆具名。</t>
        </is>
      </c>
      <c r="L207" s="3" t="inlineStr">
        <is>
          <t>否</t>
        </is>
      </c>
      <c r="M207" s="3">
        <f>IF(ISNUMBER(C47),C47/C50,C47)</f>
        <v/>
      </c>
      <c r="N207" s="3" t="inlineStr"/>
      <c r="O207" s="3" t="inlineStr"/>
      <c r="P207" s="3" t="inlineStr"/>
    </row>
    <row r="208">
      <c r="A208" s="3" t="inlineStr">
        <is>
          <t>Theory_Rev</t>
        </is>
      </c>
      <c r="B208" s="3" t="n">
        <v>52</v>
      </c>
      <c r="C208" s="3" t="inlineStr">
        <is>
          <t>前緣營收 ÷ 持有成本</t>
        </is>
      </c>
      <c r="D208" s="3" t="inlineStr">
        <is>
          <t>4.657612</t>
        </is>
      </c>
      <c r="E208" s="3" t="n">
        <v>15</v>
      </c>
      <c r="F208" s="3" t="inlineStr">
        <is>
          <t>C52:Q52</t>
        </is>
      </c>
      <c r="G208" s="3" t="inlineStr">
        <is>
          <t>R22a</t>
        </is>
      </c>
      <c r="H208" s="3" t="inlineStr">
        <is>
          <t>保留：顯示用</t>
        </is>
      </c>
      <c r="I208" s="3" t="inlineStr">
        <is>
          <t>5</t>
        </is>
      </c>
      <c r="J208" s="3" t="inlineStr"/>
      <c r="K208" s="3" t="inlineStr">
        <is>
          <t>理論營收（OpenAI／前緣單價）÷ 持有成本：與已標用途的第 33、73 列同一族（回本讀數）；IF_RevGW_*／IF_HoldEcon 皆具名。</t>
        </is>
      </c>
      <c r="L208" s="3" t="inlineStr">
        <is>
          <t>否</t>
        </is>
      </c>
      <c r="M208" s="3">
        <f>IF(ISNUMBER(C48),C48/C50,C48)</f>
        <v/>
      </c>
      <c r="N208" s="3" t="inlineStr"/>
      <c r="O208" s="3" t="inlineStr"/>
      <c r="P208" s="3" t="inlineStr"/>
    </row>
    <row r="209">
      <c r="A209" s="3" t="inlineStr">
        <is>
          <t>Theory_Rev</t>
        </is>
      </c>
      <c r="B209" s="3" t="n">
        <v>55</v>
      </c>
      <c r="C209" s="3" t="inlineStr">
        <is>
          <t>全成本 $/M（服務＋由上而下攤提）</t>
        </is>
      </c>
      <c r="D209" s="3" t="inlineStr">
        <is>
          <t>4.055212</t>
        </is>
      </c>
      <c r="E209" s="3" t="n">
        <v>15</v>
      </c>
      <c r="F209" s="3" t="inlineStr">
        <is>
          <t>C55:Q55</t>
        </is>
      </c>
      <c r="G209" s="3" t="inlineStr">
        <is>
          <t>R22b</t>
        </is>
      </c>
      <c r="H209" s="3" t="inlineStr">
        <is>
          <t>保留：顯示用</t>
        </is>
      </c>
      <c r="I209" s="3" t="inlineStr">
        <is>
          <t>5</t>
        </is>
      </c>
      <c r="J209" s="3" t="inlineStr"/>
      <c r="K209" s="3" t="inlineStr">
        <is>
          <t>全成本 $/M（服務＋由上而下攤提）：K6 三口徑並列中非預設的一支（BU＝IF_FullCost_*、預設＝IF_FullCostDefault_*），稽核修正 1 引用。</t>
        </is>
      </c>
      <c r="L209" s="3" t="inlineStr">
        <is>
          <t>否</t>
        </is>
      </c>
      <c r="M209" s="3">
        <f>IF(AND(ISNUMBER(C53),ISNUMBER(Amortize!C34)),C53+Amortize!C34,"SLO 不可達")</f>
        <v/>
      </c>
      <c r="N209" s="3" t="inlineStr"/>
      <c r="O209" s="3" t="inlineStr"/>
      <c r="P209" s="3" t="inlineStr"/>
    </row>
    <row r="210">
      <c r="A210" s="3" t="inlineStr">
        <is>
          <t>Theory_Rev</t>
        </is>
      </c>
      <c r="B210" s="3" t="n">
        <v>58</v>
      </c>
      <c r="C210" s="3" t="inlineStr">
        <is>
          <t>理論毛利率（OpenAI 單價；自下而上全成本）</t>
        </is>
      </c>
      <c r="D210" s="3" t="inlineStr">
        <is>
          <t>0.447405</t>
        </is>
      </c>
      <c r="E210" s="3" t="n">
        <v>15</v>
      </c>
      <c r="F210" s="3" t="inlineStr">
        <is>
          <t>C58:Q58</t>
        </is>
      </c>
      <c r="G210" s="3" t="inlineStr">
        <is>
          <t>R22a</t>
        </is>
      </c>
      <c r="H210" s="3" t="inlineStr">
        <is>
          <t>保留：顯示用</t>
        </is>
      </c>
      <c r="I210" s="3" t="inlineStr">
        <is>
          <t>5</t>
        </is>
      </c>
      <c r="J210" s="3" t="inlineStr"/>
      <c r="K210" s="3" t="inlineStr">
        <is>
          <t>理論毛利率的非預設口徑（自下而上、由上而下、前緣單價）：K6 並列比較，稽核修正 1 引用；預設口徑另升級為 IF_GMDefault_*。</t>
        </is>
      </c>
      <c r="L210" s="3" t="inlineStr">
        <is>
          <t>否</t>
        </is>
      </c>
      <c r="M210" s="3">
        <f>IF(ISNUMBER(C54),1-C54/INDEX(B4_EffRef,1,3),"SLO 不可達")</f>
        <v/>
      </c>
      <c r="N210" s="3" t="inlineStr"/>
      <c r="O210" s="3" t="inlineStr"/>
      <c r="P210" s="3" t="inlineStr"/>
    </row>
    <row r="211">
      <c r="A211" s="3" t="inlineStr">
        <is>
          <t>Theory_Rev</t>
        </is>
      </c>
      <c r="B211" s="3" t="n">
        <v>59</v>
      </c>
      <c r="C211" s="3" t="inlineStr">
        <is>
          <t>理論毛利率（OpenAI 單價；由上而下全成本）</t>
        </is>
      </c>
      <c r="D211" s="3" t="inlineStr">
        <is>
          <t>0.495341</t>
        </is>
      </c>
      <c r="E211" s="3" t="n">
        <v>15</v>
      </c>
      <c r="F211" s="3" t="inlineStr">
        <is>
          <t>C59:Q59</t>
        </is>
      </c>
      <c r="G211" s="3" t="inlineStr">
        <is>
          <t>R22a</t>
        </is>
      </c>
      <c r="H211" s="3" t="inlineStr">
        <is>
          <t>保留：顯示用</t>
        </is>
      </c>
      <c r="I211" s="3" t="inlineStr">
        <is>
          <t>5</t>
        </is>
      </c>
      <c r="J211" s="3" t="inlineStr"/>
      <c r="K211" s="3" t="inlineStr">
        <is>
          <t>理論毛利率的非預設口徑（自下而上、由上而下、前緣單價）：K6 並列比較，稽核修正 1 引用；預設口徑另升級為 IF_GMDefault_*。</t>
        </is>
      </c>
      <c r="L211" s="3" t="inlineStr">
        <is>
          <t>否</t>
        </is>
      </c>
      <c r="M211" s="3">
        <f>IF(ISNUMBER(C55),1-C55/INDEX(B4_EffRef,1,3),"SLO 不可達")</f>
        <v/>
      </c>
      <c r="N211" s="3" t="inlineStr"/>
      <c r="O211" s="3" t="inlineStr"/>
      <c r="P211" s="3" t="inlineStr"/>
    </row>
    <row r="212">
      <c r="A212" s="3" t="inlineStr">
        <is>
          <t>Theory_Rev</t>
        </is>
      </c>
      <c r="B212" s="3" t="n">
        <v>60</v>
      </c>
      <c r="C212" s="3" t="inlineStr">
        <is>
          <t>理論毛利率（OpenAI 單價；K6 預設 (c) 全成本）</t>
        </is>
      </c>
      <c r="D212" s="3" t="inlineStr">
        <is>
          <t>-0.042364</t>
        </is>
      </c>
      <c r="E212" s="3" t="n">
        <v>15</v>
      </c>
      <c r="F212" s="3" t="inlineStr">
        <is>
          <t>C60:Q60</t>
        </is>
      </c>
      <c r="G212" s="3" t="inlineStr">
        <is>
          <t>R22a</t>
        </is>
      </c>
      <c r="H212" s="3" t="inlineStr">
        <is>
          <t>升級</t>
        </is>
      </c>
      <c r="I212" s="3" t="inlineStr">
        <is>
          <t>5</t>
        </is>
      </c>
      <c r="J212" s="3" t="inlineStr">
        <is>
          <t>IF_GMDefault_Astra</t>
        </is>
      </c>
      <c r="K212" s="3" t="inlineStr">
        <is>
          <t>同上（Astra）。</t>
        </is>
      </c>
      <c r="L212" s="3" t="inlineStr">
        <is>
          <t>是</t>
        </is>
      </c>
      <c r="M212" s="3">
        <f>IF(ISNUMBER(C56),1-C56/INDEX(B4_EffRef,1,3),"SLO 不可達")</f>
        <v/>
      </c>
      <c r="N212" s="3" t="inlineStr"/>
      <c r="O212" s="3" t="inlineStr"/>
      <c r="P212" s="3" t="inlineStr"/>
    </row>
    <row r="213">
      <c r="A213" s="3" t="inlineStr">
        <is>
          <t>Theory_Rev</t>
        </is>
      </c>
      <c r="B213" s="3" t="n">
        <v>61</v>
      </c>
      <c r="C213" s="3" t="inlineStr">
        <is>
          <t>理論毛利率（前緣單價；由上而下全成本）</t>
        </is>
      </c>
      <c r="D213" s="3" t="inlineStr">
        <is>
          <t>0.476221</t>
        </is>
      </c>
      <c r="E213" s="3" t="n">
        <v>15</v>
      </c>
      <c r="F213" s="3" t="inlineStr">
        <is>
          <t>C61:Q61</t>
        </is>
      </c>
      <c r="G213" s="3" t="inlineStr">
        <is>
          <t>R22a</t>
        </is>
      </c>
      <c r="H213" s="3" t="inlineStr">
        <is>
          <t>保留：顯示用</t>
        </is>
      </c>
      <c r="I213" s="3" t="inlineStr">
        <is>
          <t>5</t>
        </is>
      </c>
      <c r="J213" s="3" t="inlineStr"/>
      <c r="K213" s="3" t="inlineStr">
        <is>
          <t>理論毛利率的非預設口徑（自下而上、由上而下、前緣單價）：K6 並列比較，稽核修正 1 引用；預設口徑另升級為 IF_GMDefault_*。</t>
        </is>
      </c>
      <c r="L213" s="3" t="inlineStr">
        <is>
          <t>否</t>
        </is>
      </c>
      <c r="M213" s="3">
        <f>IF(ISNUMBER(C55),1-C55/INDEX(B4_FrontRef,1,3),"SLO 不可達")</f>
        <v/>
      </c>
      <c r="N213" s="3" t="inlineStr"/>
      <c r="O213" s="3" t="inlineStr"/>
      <c r="P213" s="3" t="inlineStr"/>
    </row>
    <row r="214">
      <c r="A214" s="3" t="inlineStr">
        <is>
          <t>Theory_Rev</t>
        </is>
      </c>
      <c r="B214" s="3" t="n">
        <v>72</v>
      </c>
      <c r="C214" s="3" t="inlineStr">
        <is>
          <t>整個 GW 年持有成本（服務＋訓練＋研發）</t>
        </is>
      </c>
      <c r="D214" s="3" t="inlineStr">
        <is>
          <t>6.791075</t>
        </is>
      </c>
      <c r="E214" s="3" t="n">
        <v>14</v>
      </c>
      <c r="F214" s="3" t="inlineStr">
        <is>
          <t>C72:Q72</t>
        </is>
      </c>
      <c r="G214" s="3" t="inlineStr">
        <is>
          <t>R21</t>
        </is>
      </c>
      <c r="H214" s="3" t="inlineStr">
        <is>
          <t>保留：顯示用</t>
        </is>
      </c>
      <c r="I214" s="3" t="inlineStr">
        <is>
          <t>5</t>
        </is>
      </c>
      <c r="J214" s="3" t="inlineStr"/>
      <c r="K214" s="3" t="inlineStr">
        <is>
          <t>整個 GW 年持有成本複本：第 73 列（已標用途）的分母。</t>
        </is>
      </c>
      <c r="L214" s="3" t="inlineStr">
        <is>
          <t>否</t>
        </is>
      </c>
      <c r="M214" s="3">
        <f>INDEX(IF_HoldEcon,1,C$7)</f>
        <v/>
      </c>
      <c r="N214" s="3" t="inlineStr"/>
      <c r="O214" s="3" t="inlineStr"/>
      <c r="P214" s="3" t="inlineStr"/>
    </row>
    <row r="215">
      <c r="A215" s="3" t="inlineStr">
        <is>
          <t>Theory_Rev</t>
        </is>
      </c>
      <c r="B215" s="3" t="n">
        <v>74</v>
      </c>
      <c r="C215" s="3" t="inlineStr">
        <is>
          <t>服務 token 加權平均有效單價</t>
        </is>
      </c>
      <c r="D215" s="3" t="inlineStr">
        <is>
          <t>0.487711</t>
        </is>
      </c>
      <c r="E215" s="3" t="n">
        <v>15</v>
      </c>
      <c r="F215" s="3" t="inlineStr">
        <is>
          <t>C74:Q74</t>
        </is>
      </c>
      <c r="G215" s="3" t="inlineStr">
        <is>
          <t>R22a</t>
        </is>
      </c>
      <c r="H215" s="3" t="inlineStr">
        <is>
          <t>刪除</t>
        </is>
      </c>
      <c r="I215" s="3" t="inlineStr">
        <is>
          <t>6</t>
        </is>
      </c>
      <c r="J215" s="3" t="inlineStr"/>
      <c r="K215" s="3" t="inlineStr">
        <is>
          <t>服務 token 加權平均有效單價：跨層級混合、不帶層級與 token 類型標籤，違反 CLAUDE.md 第 1a 節『沒有層級的單一混合數字不得作為輸出』；也沒有下游。</t>
        </is>
      </c>
      <c r="L215" s="3" t="inlineStr">
        <is>
          <t>否</t>
        </is>
      </c>
      <c r="M215" s="3">
        <f>IF(Fleet_1GW!C18=1,(IF(ISNUMBER(Fleet_1GW!C21),Fleet_1GW!C21*INDEX(B4_EffRef,1,1),0)+IF(ISNUMBER(Fleet_1GW!C24),Fleet_1GW!C24*INDEX(B4_EffRef,1,2),0)+IF(ISNUMBER(Fleet_1GW!C27),Fleet_1GW!C27*INDEX(B4</f>
        <v/>
      </c>
      <c r="N215" s="3" t="inlineStr"/>
      <c r="O215" s="3" t="inlineStr"/>
      <c r="P215" s="3" t="inlineStr"/>
    </row>
    <row r="216">
      <c r="A216" s="3" t="inlineStr">
        <is>
          <t>Theory_Rev</t>
        </is>
      </c>
      <c r="B216" s="3" t="n">
        <v>78</v>
      </c>
      <c r="C216" s="3" t="inlineStr">
        <is>
          <t>Luna（低層） 每任務營收</t>
        </is>
      </c>
      <c r="D216" s="3" t="inlineStr">
        <is>
          <t>0.000328</t>
        </is>
      </c>
      <c r="E216" s="3" t="n">
        <v>5</v>
      </c>
      <c r="F216" s="3" t="inlineStr">
        <is>
          <t>C78:G78</t>
        </is>
      </c>
      <c r="G216" s="3" t="inlineStr">
        <is>
          <t>R22b</t>
        </is>
      </c>
      <c r="H216" s="3" t="inlineStr">
        <is>
          <t>刪除</t>
        </is>
      </c>
      <c r="I216" s="3" t="inlineStr">
        <is>
          <t>9</t>
        </is>
      </c>
      <c r="J216" s="3" t="inlineStr"/>
      <c r="K216" s="3" t="inlineStr">
        <is>
          <t>每任務營收（Luna／Sol／Astra）：Harness 第 116–124 列（每次嘗試營收）與 IF_RevSucc_*（每成功任務營收）已涵蓋；原則 1。</t>
        </is>
      </c>
      <c r="L216" s="3" t="inlineStr">
        <is>
          <t>否</t>
        </is>
      </c>
      <c r="M216" s="3">
        <f>(Workload!C32*INDEX(B4_EffIn,1,1)+Workload!C33*INDEX(B4_EffCache,1,1)+Workload!C34*INDEX(B4_EffOut,1,1))/1000000</f>
        <v/>
      </c>
      <c r="N216" s="3" t="inlineStr"/>
      <c r="O216" s="3" t="inlineStr"/>
      <c r="P216" s="3" t="inlineStr"/>
    </row>
    <row r="217">
      <c r="A217" s="3" t="inlineStr">
        <is>
          <t>Theory_Rev</t>
        </is>
      </c>
      <c r="B217" s="3" t="n">
        <v>79</v>
      </c>
      <c r="C217" s="3" t="inlineStr">
        <is>
          <t>Sol（中層） 每任務營收</t>
        </is>
      </c>
      <c r="D217" s="3" t="inlineStr">
        <is>
          <t>0.00656</t>
        </is>
      </c>
      <c r="E217" s="3" t="n">
        <v>5</v>
      </c>
      <c r="F217" s="3" t="inlineStr">
        <is>
          <t>C79:G79</t>
        </is>
      </c>
      <c r="G217" s="3" t="inlineStr">
        <is>
          <t>R22b</t>
        </is>
      </c>
      <c r="H217" s="3" t="inlineStr">
        <is>
          <t>刪除</t>
        </is>
      </c>
      <c r="I217" s="3" t="inlineStr">
        <is>
          <t>9</t>
        </is>
      </c>
      <c r="J217" s="3" t="inlineStr"/>
      <c r="K217" s="3" t="inlineStr">
        <is>
          <t>每任務營收（Luna／Sol／Astra）：Harness 第 116–124 列（每次嘗試營收）與 IF_RevSucc_*（每成功任務營收）已涵蓋；原則 1。</t>
        </is>
      </c>
      <c r="L217" s="3" t="inlineStr">
        <is>
          <t>否</t>
        </is>
      </c>
      <c r="M217" s="3">
        <f>(Workload!C32*INDEX(B4_EffIn,1,2)+Workload!C33*INDEX(B4_EffCache,1,2)+Workload!C34*INDEX(B4_EffOut,1,2))/1000000</f>
        <v/>
      </c>
      <c r="N217" s="3" t="inlineStr"/>
      <c r="O217" s="3" t="inlineStr"/>
      <c r="P217" s="3" t="inlineStr"/>
    </row>
    <row r="218">
      <c r="A218" s="3" t="inlineStr">
        <is>
          <t>Theory_Rev</t>
        </is>
      </c>
      <c r="B218" s="3" t="n">
        <v>80</v>
      </c>
      <c r="C218" s="3" t="inlineStr">
        <is>
          <t>Astra（頂層） 每任務營收</t>
        </is>
      </c>
      <c r="D218" s="3" t="inlineStr">
        <is>
          <t>0.0328</t>
        </is>
      </c>
      <c r="E218" s="3" t="n">
        <v>5</v>
      </c>
      <c r="F218" s="3" t="inlineStr">
        <is>
          <t>C80:G80</t>
        </is>
      </c>
      <c r="G218" s="3" t="inlineStr">
        <is>
          <t>R22b</t>
        </is>
      </c>
      <c r="H218" s="3" t="inlineStr">
        <is>
          <t>刪除</t>
        </is>
      </c>
      <c r="I218" s="3" t="inlineStr">
        <is>
          <t>9</t>
        </is>
      </c>
      <c r="J218" s="3" t="inlineStr"/>
      <c r="K218" s="3" t="inlineStr">
        <is>
          <t>每任務營收（Luna／Sol／Astra）：Harness 第 116–124 列（每次嘗試營收）與 IF_RevSucc_*（每成功任務營收）已涵蓋；原則 1。</t>
        </is>
      </c>
      <c r="L218" s="3" t="inlineStr">
        <is>
          <t>否</t>
        </is>
      </c>
      <c r="M218" s="3">
        <f>(Workload!C32*INDEX(B4_EffIn,1,3)+Workload!C33*INDEX(B4_EffCache,1,3)+Workload!C34*INDEX(B4_EffOut,1,3))/1000000</f>
        <v/>
      </c>
      <c r="N218" s="3" t="inlineStr"/>
      <c r="O218" s="3" t="inlineStr"/>
      <c r="P218" s="3" t="inlineStr"/>
    </row>
    <row r="219">
      <c r="A219" s="3" t="inlineStr">
        <is>
          <t>Theory_Rev</t>
        </is>
      </c>
      <c r="B219" s="3" t="n">
        <v>81</v>
      </c>
      <c r="C219" s="3" t="inlineStr">
        <is>
          <t>VR200 × Luna 每任務營收 ÷ 服務成本（Workload）</t>
        </is>
      </c>
      <c r="D219" s="3" t="inlineStr">
        <is>
          <t>3.834944</t>
        </is>
      </c>
      <c r="E219" s="3" t="n">
        <v>5</v>
      </c>
      <c r="F219" s="3" t="inlineStr">
        <is>
          <t>C81:G81</t>
        </is>
      </c>
      <c r="G219" s="3" t="inlineStr">
        <is>
          <t>R22a</t>
        </is>
      </c>
      <c r="H219" s="3" t="inlineStr">
        <is>
          <t>刪除</t>
        </is>
      </c>
      <c r="I219" s="3" t="inlineStr">
        <is>
          <t>9</t>
        </is>
      </c>
      <c r="J219" s="3" t="inlineStr"/>
      <c r="K219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19" s="3" t="inlineStr">
        <is>
          <t>否</t>
        </is>
      </c>
      <c r="M219" s="3">
        <f>IF(ISNUMBER(Workload!C43),IF(Workload!C43&gt;0,C78/Workload!C43,0),"SLO 不可達")</f>
        <v/>
      </c>
      <c r="N219" s="3" t="inlineStr"/>
      <c r="O219" s="3" t="inlineStr"/>
      <c r="P219" s="3" t="inlineStr"/>
    </row>
    <row r="220">
      <c r="A220" s="3" t="inlineStr">
        <is>
          <t>Theory_Rev</t>
        </is>
      </c>
      <c r="B220" s="3" t="n">
        <v>82</v>
      </c>
      <c r="C220" s="3" t="inlineStr">
        <is>
          <t>VR200 × Sol 每任務營收 ÷ 服務成本（Workload）</t>
        </is>
      </c>
      <c r="D220" s="3" t="inlineStr">
        <is>
          <t>23.501459</t>
        </is>
      </c>
      <c r="E220" s="3" t="n">
        <v>5</v>
      </c>
      <c r="F220" s="3" t="inlineStr">
        <is>
          <t>C82:G82</t>
        </is>
      </c>
      <c r="G220" s="3" t="inlineStr">
        <is>
          <t>R22a</t>
        </is>
      </c>
      <c r="H220" s="3" t="inlineStr">
        <is>
          <t>刪除</t>
        </is>
      </c>
      <c r="I220" s="3" t="inlineStr">
        <is>
          <t>9</t>
        </is>
      </c>
      <c r="J220" s="3" t="inlineStr"/>
      <c r="K220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20" s="3" t="inlineStr">
        <is>
          <t>否</t>
        </is>
      </c>
      <c r="M220" s="3">
        <f>IF(ISNUMBER(Workload!C44),IF(Workload!C44&gt;0,C79/Workload!C44,0),"SLO 不可達")</f>
        <v/>
      </c>
      <c r="N220" s="3" t="inlineStr"/>
      <c r="O220" s="3" t="inlineStr"/>
      <c r="P220" s="3" t="inlineStr"/>
    </row>
    <row r="221">
      <c r="A221" s="3" t="inlineStr">
        <is>
          <t>Theory_Rev</t>
        </is>
      </c>
      <c r="B221" s="3" t="n">
        <v>83</v>
      </c>
      <c r="C221" s="3" t="inlineStr">
        <is>
          <t>VR200 × Astra 每任務營收 ÷ 服務成本（Workload）</t>
        </is>
      </c>
      <c r="D221" s="3" t="inlineStr">
        <is>
          <t>25.419974</t>
        </is>
      </c>
      <c r="E221" s="3" t="n">
        <v>5</v>
      </c>
      <c r="F221" s="3" t="inlineStr">
        <is>
          <t>C83:G83</t>
        </is>
      </c>
      <c r="G221" s="3" t="inlineStr">
        <is>
          <t>R22a</t>
        </is>
      </c>
      <c r="H221" s="3" t="inlineStr">
        <is>
          <t>刪除</t>
        </is>
      </c>
      <c r="I221" s="3" t="inlineStr">
        <is>
          <t>9</t>
        </is>
      </c>
      <c r="J221" s="3" t="inlineStr"/>
      <c r="K221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21" s="3" t="inlineStr">
        <is>
          <t>否</t>
        </is>
      </c>
      <c r="M221" s="3">
        <f>IF(ISNUMBER(Workload!C45),IF(Workload!C45&gt;0,C80/Workload!C45,0),"SLO 不可達")</f>
        <v/>
      </c>
      <c r="N221" s="3" t="inlineStr"/>
      <c r="O221" s="3" t="inlineStr"/>
      <c r="P221" s="3" t="inlineStr"/>
    </row>
    <row r="222">
      <c r="A222" s="3" t="inlineStr">
        <is>
          <t>Theory_Rev</t>
        </is>
      </c>
      <c r="B222" s="3" t="n">
        <v>84</v>
      </c>
      <c r="C222" s="3" t="inlineStr">
        <is>
          <t>GB300 × Luna 每任務營收 ÷ 服務成本（Workload）</t>
        </is>
      </c>
      <c r="D222" s="3" t="inlineStr">
        <is>
          <t>2.983939</t>
        </is>
      </c>
      <c r="E222" s="3" t="n">
        <v>5</v>
      </c>
      <c r="F222" s="3" t="inlineStr">
        <is>
          <t>C84:G84</t>
        </is>
      </c>
      <c r="G222" s="3" t="inlineStr">
        <is>
          <t>R22a</t>
        </is>
      </c>
      <c r="H222" s="3" t="inlineStr">
        <is>
          <t>刪除</t>
        </is>
      </c>
      <c r="I222" s="3" t="inlineStr">
        <is>
          <t>9</t>
        </is>
      </c>
      <c r="J222" s="3" t="inlineStr"/>
      <c r="K222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22" s="3" t="inlineStr">
        <is>
          <t>否</t>
        </is>
      </c>
      <c r="M222" s="3">
        <f>IF(ISNUMBER(Workload!C46),IF(Workload!C46&gt;0,C78/Workload!C46,0),"SLO 不可達")</f>
        <v/>
      </c>
      <c r="N222" s="3" t="inlineStr"/>
      <c r="O222" s="3" t="inlineStr"/>
      <c r="P222" s="3" t="inlineStr"/>
    </row>
    <row r="223">
      <c r="A223" s="3" t="inlineStr">
        <is>
          <t>Theory_Rev</t>
        </is>
      </c>
      <c r="B223" s="3" t="n">
        <v>85</v>
      </c>
      <c r="C223" s="3" t="inlineStr">
        <is>
          <t>GB300 × Sol 每任務營收 ÷ 服務成本（Workload）</t>
        </is>
      </c>
      <c r="D223" s="3" t="inlineStr">
        <is>
          <t>17.534744</t>
        </is>
      </c>
      <c r="E223" s="3" t="n">
        <v>5</v>
      </c>
      <c r="F223" s="3" t="inlineStr">
        <is>
          <t>C85:G85</t>
        </is>
      </c>
      <c r="G223" s="3" t="inlineStr">
        <is>
          <t>R22a</t>
        </is>
      </c>
      <c r="H223" s="3" t="inlineStr">
        <is>
          <t>刪除</t>
        </is>
      </c>
      <c r="I223" s="3" t="inlineStr">
        <is>
          <t>9</t>
        </is>
      </c>
      <c r="J223" s="3" t="inlineStr"/>
      <c r="K223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23" s="3" t="inlineStr">
        <is>
          <t>否</t>
        </is>
      </c>
      <c r="M223" s="3">
        <f>IF(ISNUMBER(Workload!C47),IF(Workload!C47&gt;0,C79/Workload!C47,0),"SLO 不可達")</f>
        <v/>
      </c>
      <c r="N223" s="3" t="inlineStr"/>
      <c r="O223" s="3" t="inlineStr"/>
      <c r="P223" s="3" t="inlineStr"/>
    </row>
    <row r="224">
      <c r="A224" s="3" t="inlineStr">
        <is>
          <t>Theory_Rev</t>
        </is>
      </c>
      <c r="B224" s="3" t="n">
        <v>86</v>
      </c>
      <c r="C224" s="3" t="inlineStr">
        <is>
          <t>GB300 × Astra 每任務營收 ÷ 服務成本（Workload）</t>
        </is>
      </c>
      <c r="D224" s="3" t="inlineStr">
        <is>
          <t>16.033037</t>
        </is>
      </c>
      <c r="E224" s="3" t="n">
        <v>5</v>
      </c>
      <c r="F224" s="3" t="inlineStr">
        <is>
          <t>C86:G86</t>
        </is>
      </c>
      <c r="G224" s="3" t="inlineStr">
        <is>
          <t>R22a</t>
        </is>
      </c>
      <c r="H224" s="3" t="inlineStr">
        <is>
          <t>刪除</t>
        </is>
      </c>
      <c r="I224" s="3" t="inlineStr">
        <is>
          <t>9</t>
        </is>
      </c>
      <c r="J224" s="3" t="inlineStr"/>
      <c r="K224" s="3" t="inlineStr">
        <is>
          <t>每任務營收 ÷ 服務成本：兩個分量（Theory_Rev 第 78–80 列、Workload 第 43–48 列）皆為重複的舊簡化版，隨之刪除；Harness 的 IF_RevSucc_*／IF_CostSucc*_* 已具名，相除即得。</t>
        </is>
      </c>
      <c r="L224" s="3" t="inlineStr">
        <is>
          <t>否</t>
        </is>
      </c>
      <c r="M224" s="3">
        <f>IF(ISNUMBER(Workload!C48),IF(Workload!C48&gt;0,C80/Workload!C48,0),"SLO 不可達")</f>
        <v/>
      </c>
      <c r="N224" s="3" t="inlineStr"/>
      <c r="O224" s="3" t="inlineStr"/>
      <c r="P224" s="3" t="inlineStr"/>
    </row>
    <row r="225">
      <c r="A225" s="3" t="inlineStr">
        <is>
          <t>Har_In</t>
        </is>
      </c>
      <c r="B225" s="3" t="n">
        <v>44</v>
      </c>
      <c r="C225" s="3" t="inlineStr">
        <is>
          <t>供應商專屬（1＝是）</t>
        </is>
      </c>
      <c r="D225" s="3" t="inlineStr">
        <is>
          <t>1</t>
        </is>
      </c>
      <c r="E225" s="3" t="n">
        <v>5</v>
      </c>
      <c r="F225" s="3" t="inlineStr">
        <is>
          <t>C44:G44</t>
        </is>
      </c>
      <c r="G225" s="3" t="inlineStr">
        <is>
          <t>R22a</t>
        </is>
      </c>
      <c r="H225" s="3" t="inlineStr">
        <is>
          <t>需 Andy 判斷</t>
        </is>
      </c>
      <c r="I225" s="3" t="inlineStr">
        <is>
          <t>9</t>
        </is>
      </c>
      <c r="J225" s="3" t="inlineStr"/>
      <c r="K225" s="3" t="inlineStr">
        <is>
          <t>『供應商專屬（1＝是）』（內部名稱 B5_SelVendor）沒有任何公式讀取，但 Harness 第 157 列說明稱『選定檔案供應商專屬時，前緣組合綁定該…』。若說明為真，這是未接線的功能（應接進前緣列）；若功能已放棄，應刪除此列與說明。</t>
        </is>
      </c>
      <c r="L225" s="3" t="inlineStr">
        <is>
          <t>是</t>
        </is>
      </c>
      <c r="M225" s="3">
        <f>CHOOSE(B5_Profile-1,C20,C32)</f>
        <v/>
      </c>
      <c r="N225" s="3" t="inlineStr"/>
      <c r="O225" s="3" t="inlineStr"/>
      <c r="P225" s="3" t="inlineStr"/>
    </row>
    <row r="226">
      <c r="A226" s="3" t="inlineStr">
        <is>
          <t>Har_In</t>
        </is>
      </c>
      <c r="B226" s="3" t="n">
        <v>52</v>
      </c>
      <c r="C226" s="3" t="inlineStr">
        <is>
          <t>任務</t>
        </is>
      </c>
      <c r="D226" s="3" t="inlineStr">
        <is>
          <t>一般聊天</t>
        </is>
      </c>
      <c r="E226" s="3" t="n">
        <v>5</v>
      </c>
      <c r="F226" s="3" t="inlineStr">
        <is>
          <t>C52:G52</t>
        </is>
      </c>
      <c r="G226" s="3" t="inlineStr">
        <is>
          <t>R12</t>
        </is>
      </c>
      <c r="H226" s="3" t="inlineStr">
        <is>
          <t>保留：顯示用</t>
        </is>
      </c>
      <c r="I226" s="3" t="inlineStr">
        <is>
          <t>—</t>
        </is>
      </c>
      <c r="J226" s="3" t="inlineStr"/>
      <c r="K226" s="3" t="inlineStr">
        <is>
          <t>任務名稱欄頭（＝Workload 第 4 列）：讓 C 節成功率表能讀；欄頭標籤。</t>
        </is>
      </c>
      <c r="L226" s="3" t="inlineStr">
        <is>
          <t>否</t>
        </is>
      </c>
      <c r="M226" s="3">
        <f>Workload!C4</f>
        <v/>
      </c>
      <c r="N226" s="3" t="inlineStr"/>
      <c r="O226" s="3" t="inlineStr"/>
      <c r="P226" s="3" t="inlineStr"/>
    </row>
    <row r="227">
      <c r="A227" s="3" t="inlineStr">
        <is>
          <t>Har_In</t>
        </is>
      </c>
      <c r="B227" s="3" t="n">
        <v>73</v>
      </c>
      <c r="C227" s="3" t="inlineStr">
        <is>
          <t>ARC-AGI-3：Claude Opus 5 標準 harness</t>
        </is>
      </c>
      <c r="D227" s="3" t="inlineStr">
        <is>
          <t>0.302</t>
        </is>
      </c>
      <c r="E227" s="3" t="n">
        <v>1</v>
      </c>
      <c r="F227" s="3" t="inlineStr">
        <is>
          <t>C73</t>
        </is>
      </c>
      <c r="G227" s="3" t="inlineStr">
        <is>
          <t>R22a</t>
        </is>
      </c>
      <c r="H227" s="3" t="inlineStr">
        <is>
          <t>保留：顯示用</t>
        </is>
      </c>
      <c r="I227" s="3" t="inlineStr">
        <is>
          <t>11</t>
        </is>
      </c>
      <c r="J227" s="3" t="inlineStr"/>
      <c r="K227" s="3" t="inlineStr">
        <is>
          <t>E 節證據點中非中立方或非同條件者（Claude Opus 5 標準／Nvidia 所建 harness；Anthropic 多代理 3.75 倍）：L7 明訂只作對照，同表第 70–72 列為核心；Gov_Map／SRC 登錄。</t>
        </is>
      </c>
      <c r="L227" s="3" t="inlineStr">
        <is>
          <t>否</t>
        </is>
      </c>
      <c r="M227" s="3">
        <f>SRC_HAR_012</f>
        <v/>
      </c>
      <c r="N227" s="3" t="inlineStr">
        <is>
          <t>Tokenomics_builder_v5.md</t>
        </is>
      </c>
      <c r="O227" s="3" t="inlineStr"/>
      <c r="P227" s="3" t="inlineStr"/>
    </row>
    <row r="228">
      <c r="A228" s="3" t="inlineStr">
        <is>
          <t>Har_In</t>
        </is>
      </c>
      <c r="B228" s="3" t="n">
        <v>74</v>
      </c>
      <c r="C228" s="3" t="inlineStr">
        <is>
          <t>ARC-AGI-3：Claude Opus 5 + Nvidia 所建 harness</t>
        </is>
      </c>
      <c r="D228" s="3" t="inlineStr">
        <is>
          <t>1</t>
        </is>
      </c>
      <c r="E228" s="3" t="n">
        <v>1</v>
      </c>
      <c r="F228" s="3" t="inlineStr">
        <is>
          <t>C74</t>
        </is>
      </c>
      <c r="G228" s="3" t="inlineStr">
        <is>
          <t>R22a</t>
        </is>
      </c>
      <c r="H228" s="3" t="inlineStr">
        <is>
          <t>保留：顯示用</t>
        </is>
      </c>
      <c r="I228" s="3" t="inlineStr">
        <is>
          <t>11</t>
        </is>
      </c>
      <c r="J228" s="3" t="inlineStr"/>
      <c r="K228" s="3" t="inlineStr">
        <is>
          <t>E 節證據點中非中立方或非同條件者（Claude Opus 5 標準／Nvidia 所建 harness；Anthropic 多代理 3.75 倍）：L7 明訂只作對照，同表第 70–72 列為核心；Gov_Map／SRC 登錄。</t>
        </is>
      </c>
      <c r="L228" s="3" t="inlineStr">
        <is>
          <t>否</t>
        </is>
      </c>
      <c r="M228" s="3">
        <f>SRC_HAR_015</f>
        <v/>
      </c>
      <c r="N228" s="3" t="inlineStr">
        <is>
          <t>Tokenomics_builder_v5.md</t>
        </is>
      </c>
      <c r="O228" s="3" t="inlineStr"/>
      <c r="P228" s="3" t="inlineStr"/>
    </row>
    <row r="229">
      <c r="A229" s="3" t="inlineStr">
        <is>
          <t>Har_In</t>
        </is>
      </c>
      <c r="B229" s="3" t="n">
        <v>75</v>
      </c>
      <c r="C229" s="3" t="inlineStr">
        <is>
          <t>Anthropic 多代理研究系統（相對單代理）</t>
        </is>
      </c>
      <c r="D229" s="3" t="inlineStr">
        <is>
          <t>3.75</t>
        </is>
      </c>
      <c r="E229" s="3" t="n">
        <v>1</v>
      </c>
      <c r="F229" s="3" t="inlineStr">
        <is>
          <t>E75</t>
        </is>
      </c>
      <c r="G229" s="3" t="inlineStr">
        <is>
          <t>R22a</t>
        </is>
      </c>
      <c r="H229" s="3" t="inlineStr">
        <is>
          <t>保留：顯示用</t>
        </is>
      </c>
      <c r="I229" s="3" t="inlineStr">
        <is>
          <t>11</t>
        </is>
      </c>
      <c r="J229" s="3" t="inlineStr"/>
      <c r="K229" s="3" t="inlineStr">
        <is>
          <t>E 節證據點中非中立方或非同條件者（Claude Opus 5 標準／Nvidia 所建 harness；Anthropic 多代理 3.75 倍）：L7 明訂只作對照，同表第 70–72 列為核心；Gov_Map／SRC 登錄。</t>
        </is>
      </c>
      <c r="L229" s="3" t="inlineStr">
        <is>
          <t>否</t>
        </is>
      </c>
      <c r="M229" s="3">
        <f>SRC_HAR_002/SRC_HAR_001</f>
        <v/>
      </c>
      <c r="N229" s="3" t="inlineStr">
        <is>
          <t>Tokenomics_builder_v5.md</t>
        </is>
      </c>
      <c r="O229" s="3" t="inlineStr"/>
      <c r="P229" s="3" t="inlineStr"/>
    </row>
    <row r="230">
      <c r="A230" s="3" t="inlineStr">
        <is>
          <t>Harness</t>
        </is>
      </c>
      <c r="B230" s="3" t="n">
        <v>44</v>
      </c>
      <c r="C230" s="3" t="inlineStr">
        <is>
          <t>任務總 token</t>
        </is>
      </c>
      <c r="D230" s="3" t="inlineStr">
        <is>
          <t>3000</t>
        </is>
      </c>
      <c r="E230" s="3" t="n">
        <v>5</v>
      </c>
      <c r="F230" s="3" t="inlineStr">
        <is>
          <t>C44:G44</t>
        </is>
      </c>
      <c r="G230" s="3" t="inlineStr">
        <is>
          <t>R22b</t>
        </is>
      </c>
      <c r="H230" s="3" t="inlineStr">
        <is>
          <t>刪除</t>
        </is>
      </c>
      <c r="I230" s="3" t="inlineStr">
        <is>
          <t>9</t>
        </is>
      </c>
      <c r="J230" s="3" t="inlineStr"/>
      <c r="K230" s="3" t="inlineStr">
        <is>
          <t>任務總 token（現行）複本（＝Workload 第 35 列）：只供下列『每成功任務 token』列使用，IF_TaskTok* 已具名。</t>
        </is>
      </c>
      <c r="L230" s="3" t="inlineStr">
        <is>
          <t>否</t>
        </is>
      </c>
      <c r="M230" s="3">
        <f>Workload!C35</f>
        <v/>
      </c>
      <c r="N230" s="3" t="inlineStr"/>
      <c r="O230" s="3" t="inlineStr"/>
      <c r="P230" s="3" t="inlineStr"/>
    </row>
    <row r="231">
      <c r="A231" s="3" t="inlineStr">
        <is>
          <t>Harness</t>
        </is>
      </c>
      <c r="B231" s="3" t="n">
        <v>76</v>
      </c>
      <c r="C231" s="3" t="inlineStr">
        <is>
          <t>每次嘗試成本：GB300 × Luna（低層）｜標準 harness</t>
        </is>
      </c>
      <c r="D231" s="3" t="inlineStr">
        <is>
          <t>0.00011</t>
        </is>
      </c>
      <c r="E231" s="3" t="n">
        <v>5</v>
      </c>
      <c r="F231" s="3" t="inlineStr">
        <is>
          <t>C76:G76</t>
        </is>
      </c>
      <c r="G231" s="3" t="inlineStr">
        <is>
          <t>R22b</t>
        </is>
      </c>
      <c r="H231" s="3" t="inlineStr">
        <is>
          <t>保留：顯示用</t>
        </is>
      </c>
      <c r="I231" s="3" t="inlineStr">
        <is>
          <t>9</t>
        </is>
      </c>
      <c r="J231" s="3" t="inlineStr"/>
      <c r="K231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1" s="3" t="inlineStr">
        <is>
          <t>否</t>
        </is>
      </c>
      <c r="M231" s="3">
        <f>IF(ISNUMBER(Unit_Cost!J21),(C18*Unit_Cost!J19+C19*(Unit_Cost!J20+Cache_Store!J17*C48/B4_Retain)+C20*Unit_Cost!J21)/1000000,"SLO 不可達")</f>
        <v/>
      </c>
      <c r="N231" s="3" t="inlineStr"/>
      <c r="O231" s="3" t="inlineStr"/>
      <c r="P231" s="3" t="inlineStr"/>
    </row>
    <row r="232">
      <c r="A232" s="3" t="inlineStr">
        <is>
          <t>Harness</t>
        </is>
      </c>
      <c r="B232" s="3" t="n">
        <v>78</v>
      </c>
      <c r="C232" s="3" t="inlineStr">
        <is>
          <t>每次嘗試成本：GB300 × Luna（低層）｜選定檔案全採用</t>
        </is>
      </c>
      <c r="D232" s="3" t="inlineStr">
        <is>
          <t>0.00011</t>
        </is>
      </c>
      <c r="E232" s="3" t="n">
        <v>5</v>
      </c>
      <c r="F232" s="3" t="inlineStr">
        <is>
          <t>C78:G78</t>
        </is>
      </c>
      <c r="G232" s="3" t="inlineStr">
        <is>
          <t>R22b</t>
        </is>
      </c>
      <c r="H232" s="3" t="inlineStr">
        <is>
          <t>保留：顯示用</t>
        </is>
      </c>
      <c r="I232" s="3" t="inlineStr">
        <is>
          <t>9</t>
        </is>
      </c>
      <c r="J232" s="3" t="inlineStr"/>
      <c r="K232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2" s="3" t="inlineStr">
        <is>
          <t>否</t>
        </is>
      </c>
      <c r="M232" s="3">
        <f>IF(ISNUMBER(Unit_Cost!J21),(C35*Unit_Cost!J19+C36*(Unit_Cost!J20+Cache_Store!J17*C50/B4_Retain)+C37*Unit_Cost!J21)/1000000,"SLO 不可達")</f>
        <v/>
      </c>
      <c r="N232" s="3" t="inlineStr"/>
      <c r="O232" s="3" t="inlineStr"/>
      <c r="P232" s="3" t="inlineStr"/>
    </row>
    <row r="233">
      <c r="A233" s="3" t="inlineStr">
        <is>
          <t>Harness</t>
        </is>
      </c>
      <c r="B233" s="3" t="n">
        <v>79</v>
      </c>
      <c r="C233" s="3" t="inlineStr">
        <is>
          <t>每次嘗試成本：GB300 × Sol（中層）｜標準 harness</t>
        </is>
      </c>
      <c r="D233" s="3" t="inlineStr">
        <is>
          <t>0.000374</t>
        </is>
      </c>
      <c r="E233" s="3" t="n">
        <v>5</v>
      </c>
      <c r="F233" s="3" t="inlineStr">
        <is>
          <t>C79:G79</t>
        </is>
      </c>
      <c r="G233" s="3" t="inlineStr">
        <is>
          <t>R22b</t>
        </is>
      </c>
      <c r="H233" s="3" t="inlineStr">
        <is>
          <t>保留：顯示用</t>
        </is>
      </c>
      <c r="I233" s="3" t="inlineStr">
        <is>
          <t>9</t>
        </is>
      </c>
      <c r="J233" s="3" t="inlineStr"/>
      <c r="K233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3" s="3" t="inlineStr">
        <is>
          <t>否</t>
        </is>
      </c>
      <c r="M233" s="3">
        <f>IF(ISNUMBER(Unit_Cost!J34),(C18*Unit_Cost!J32+C19*(Unit_Cost!J33+Cache_Store!J23*C48/B4_Retain)+C20*Unit_Cost!J34)/1000000,"SLO 不可達")</f>
        <v/>
      </c>
      <c r="N233" s="3" t="inlineStr"/>
      <c r="O233" s="3" t="inlineStr"/>
      <c r="P233" s="3" t="inlineStr"/>
    </row>
    <row r="234">
      <c r="A234" s="3" t="inlineStr">
        <is>
          <t>Harness</t>
        </is>
      </c>
      <c r="B234" s="3" t="n">
        <v>81</v>
      </c>
      <c r="C234" s="3" t="inlineStr">
        <is>
          <t>每次嘗試成本：GB300 × Sol（中層）｜選定檔案全採用</t>
        </is>
      </c>
      <c r="D234" s="3" t="inlineStr">
        <is>
          <t>0.000374</t>
        </is>
      </c>
      <c r="E234" s="3" t="n">
        <v>5</v>
      </c>
      <c r="F234" s="3" t="inlineStr">
        <is>
          <t>C81:G81</t>
        </is>
      </c>
      <c r="G234" s="3" t="inlineStr">
        <is>
          <t>R22b</t>
        </is>
      </c>
      <c r="H234" s="3" t="inlineStr">
        <is>
          <t>保留：顯示用</t>
        </is>
      </c>
      <c r="I234" s="3" t="inlineStr">
        <is>
          <t>9</t>
        </is>
      </c>
      <c r="J234" s="3" t="inlineStr"/>
      <c r="K234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4" s="3" t="inlineStr">
        <is>
          <t>否</t>
        </is>
      </c>
      <c r="M234" s="3">
        <f>IF(ISNUMBER(Unit_Cost!J34),(C35*Unit_Cost!J32+C36*(Unit_Cost!J33+Cache_Store!J23*C50/B4_Retain)+C37*Unit_Cost!J34)/1000000,"SLO 不可達")</f>
        <v/>
      </c>
      <c r="N234" s="3" t="inlineStr"/>
      <c r="O234" s="3" t="inlineStr"/>
      <c r="P234" s="3" t="inlineStr"/>
    </row>
    <row r="235">
      <c r="A235" s="3" t="inlineStr">
        <is>
          <t>Harness</t>
        </is>
      </c>
      <c r="B235" s="3" t="n">
        <v>82</v>
      </c>
      <c r="C235" s="3" t="inlineStr">
        <is>
          <t>每次嘗試成本：GB300 × Astra（頂層）｜標準 harness</t>
        </is>
      </c>
      <c r="D235" s="3" t="inlineStr">
        <is>
          <t>0.002046</t>
        </is>
      </c>
      <c r="E235" s="3" t="n">
        <v>5</v>
      </c>
      <c r="F235" s="3" t="inlineStr">
        <is>
          <t>C82:G82</t>
        </is>
      </c>
      <c r="G235" s="3" t="inlineStr">
        <is>
          <t>R22b</t>
        </is>
      </c>
      <c r="H235" s="3" t="inlineStr">
        <is>
          <t>保留：顯示用</t>
        </is>
      </c>
      <c r="I235" s="3" t="inlineStr">
        <is>
          <t>9</t>
        </is>
      </c>
      <c r="J235" s="3" t="inlineStr"/>
      <c r="K235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5" s="3" t="inlineStr">
        <is>
          <t>否</t>
        </is>
      </c>
      <c r="M235" s="3">
        <f>IF(ISNUMBER(Unit_Cost!J47),(C18*Unit_Cost!J45+C19*(Unit_Cost!J46+Cache_Store!J29*C48/B4_Retain)+C20*Unit_Cost!J47)/1000000,"SLO 不可達")</f>
        <v/>
      </c>
      <c r="N235" s="3" t="inlineStr"/>
      <c r="O235" s="3" t="inlineStr"/>
      <c r="P235" s="3" t="inlineStr"/>
    </row>
    <row r="236">
      <c r="A236" s="3" t="inlineStr">
        <is>
          <t>Harness</t>
        </is>
      </c>
      <c r="B236" s="3" t="n">
        <v>84</v>
      </c>
      <c r="C236" s="3" t="inlineStr">
        <is>
          <t>每次嘗試成本：GB300 × Astra（頂層）｜選定檔案全採用</t>
        </is>
      </c>
      <c r="D236" s="3" t="inlineStr">
        <is>
          <t>0.002046</t>
        </is>
      </c>
      <c r="E236" s="3" t="n">
        <v>5</v>
      </c>
      <c r="F236" s="3" t="inlineStr">
        <is>
          <t>C84:G84</t>
        </is>
      </c>
      <c r="G236" s="3" t="inlineStr">
        <is>
          <t>R22b</t>
        </is>
      </c>
      <c r="H236" s="3" t="inlineStr">
        <is>
          <t>保留：顯示用</t>
        </is>
      </c>
      <c r="I236" s="3" t="inlineStr">
        <is>
          <t>9</t>
        </is>
      </c>
      <c r="J236" s="3" t="inlineStr"/>
      <c r="K236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6" s="3" t="inlineStr">
        <is>
          <t>否</t>
        </is>
      </c>
      <c r="M236" s="3">
        <f>IF(ISNUMBER(Unit_Cost!J47),(C35*Unit_Cost!J45+C36*(Unit_Cost!J46+Cache_Store!J29*C50/B4_Retain)+C37*Unit_Cost!J47)/1000000,"SLO 不可達")</f>
        <v/>
      </c>
      <c r="N236" s="3" t="inlineStr"/>
      <c r="O236" s="3" t="inlineStr"/>
      <c r="P236" s="3" t="inlineStr"/>
    </row>
    <row r="237">
      <c r="A237" s="3" t="inlineStr">
        <is>
          <t>Harness</t>
        </is>
      </c>
      <c r="B237" s="3" t="n">
        <v>96</v>
      </c>
      <c r="C237" s="3" t="inlineStr">
        <is>
          <t>每成功任務成本：GB300 × Luna（低層）｜標準 harness</t>
        </is>
      </c>
      <c r="D237" s="3" t="inlineStr">
        <is>
          <t>0.000114</t>
        </is>
      </c>
      <c r="E237" s="3" t="n">
        <v>5</v>
      </c>
      <c r="F237" s="3" t="inlineStr">
        <is>
          <t>C96:G96</t>
        </is>
      </c>
      <c r="G237" s="3" t="inlineStr">
        <is>
          <t>R22b</t>
        </is>
      </c>
      <c r="H237" s="3" t="inlineStr">
        <is>
          <t>保留：顯示用</t>
        </is>
      </c>
      <c r="I237" s="3" t="inlineStr">
        <is>
          <t>9</t>
        </is>
      </c>
      <c r="J237" s="3" t="inlineStr"/>
      <c r="K237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7" s="3" t="inlineStr">
        <is>
          <t>否</t>
        </is>
      </c>
      <c r="M237" s="3">
        <f>IF(AND(ISNUMBER(C76),C56&gt;0),C76/C56,"SLO 不可達")</f>
        <v/>
      </c>
      <c r="N237" s="3" t="inlineStr"/>
      <c r="O237" s="3" t="inlineStr"/>
      <c r="P237" s="3" t="inlineStr"/>
    </row>
    <row r="238">
      <c r="A238" s="3" t="inlineStr">
        <is>
          <t>Harness</t>
        </is>
      </c>
      <c r="B238" s="3" t="n">
        <v>98</v>
      </c>
      <c r="C238" s="3" t="inlineStr">
        <is>
          <t>每成功任務成本：GB300 × Luna（低層）｜選定檔案全採用</t>
        </is>
      </c>
      <c r="D238" s="3" t="inlineStr">
        <is>
          <t>0.000114</t>
        </is>
      </c>
      <c r="E238" s="3" t="n">
        <v>5</v>
      </c>
      <c r="F238" s="3" t="inlineStr">
        <is>
          <t>C98:G98</t>
        </is>
      </c>
      <c r="G238" s="3" t="inlineStr">
        <is>
          <t>R22b</t>
        </is>
      </c>
      <c r="H238" s="3" t="inlineStr">
        <is>
          <t>保留：顯示用</t>
        </is>
      </c>
      <c r="I238" s="3" t="inlineStr">
        <is>
          <t>9</t>
        </is>
      </c>
      <c r="J238" s="3" t="inlineStr"/>
      <c r="K238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8" s="3" t="inlineStr">
        <is>
          <t>否</t>
        </is>
      </c>
      <c r="M238" s="3">
        <f>IF(AND(ISNUMBER(C78),C58&gt;0),C78/C58,"SLO 不可達")</f>
        <v/>
      </c>
      <c r="N238" s="3" t="inlineStr"/>
      <c r="O238" s="3" t="inlineStr"/>
      <c r="P238" s="3" t="inlineStr"/>
    </row>
    <row r="239">
      <c r="A239" s="3" t="inlineStr">
        <is>
          <t>Harness</t>
        </is>
      </c>
      <c r="B239" s="3" t="n">
        <v>99</v>
      </c>
      <c r="C239" s="3" t="inlineStr">
        <is>
          <t>每成功任務成本：GB300 × Sol（中層）｜標準 harness</t>
        </is>
      </c>
      <c r="D239" s="3" t="inlineStr">
        <is>
          <t>0.000378</t>
        </is>
      </c>
      <c r="E239" s="3" t="n">
        <v>5</v>
      </c>
      <c r="F239" s="3" t="inlineStr">
        <is>
          <t>C99:G99</t>
        </is>
      </c>
      <c r="G239" s="3" t="inlineStr">
        <is>
          <t>R22b</t>
        </is>
      </c>
      <c r="H239" s="3" t="inlineStr">
        <is>
          <t>保留：顯示用</t>
        </is>
      </c>
      <c r="I239" s="3" t="inlineStr">
        <is>
          <t>9</t>
        </is>
      </c>
      <c r="J239" s="3" t="inlineStr"/>
      <c r="K239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39" s="3" t="inlineStr">
        <is>
          <t>否</t>
        </is>
      </c>
      <c r="M239" s="3">
        <f>IF(AND(ISNUMBER(C79),C59&gt;0),C79/C59,"SLO 不可達")</f>
        <v/>
      </c>
      <c r="N239" s="3" t="inlineStr"/>
      <c r="O239" s="3" t="inlineStr"/>
      <c r="P239" s="3" t="inlineStr"/>
    </row>
    <row r="240">
      <c r="A240" s="3" t="inlineStr">
        <is>
          <t>Harness</t>
        </is>
      </c>
      <c r="B240" s="3" t="n">
        <v>101</v>
      </c>
      <c r="C240" s="3" t="inlineStr">
        <is>
          <t>每成功任務成本：GB300 × Sol（中層）｜選定檔案全採用</t>
        </is>
      </c>
      <c r="D240" s="3" t="inlineStr">
        <is>
          <t>0.000378</t>
        </is>
      </c>
      <c r="E240" s="3" t="n">
        <v>5</v>
      </c>
      <c r="F240" s="3" t="inlineStr">
        <is>
          <t>C101:G101</t>
        </is>
      </c>
      <c r="G240" s="3" t="inlineStr">
        <is>
          <t>R22b</t>
        </is>
      </c>
      <c r="H240" s="3" t="inlineStr">
        <is>
          <t>保留：顯示用</t>
        </is>
      </c>
      <c r="I240" s="3" t="inlineStr">
        <is>
          <t>9</t>
        </is>
      </c>
      <c r="J240" s="3" t="inlineStr"/>
      <c r="K240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40" s="3" t="inlineStr">
        <is>
          <t>否</t>
        </is>
      </c>
      <c r="M240" s="3">
        <f>IF(AND(ISNUMBER(C81),C61&gt;0),C81/C61,"SLO 不可達")</f>
        <v/>
      </c>
      <c r="N240" s="3" t="inlineStr"/>
      <c r="O240" s="3" t="inlineStr"/>
      <c r="P240" s="3" t="inlineStr"/>
    </row>
    <row r="241">
      <c r="A241" s="3" t="inlineStr">
        <is>
          <t>Harness</t>
        </is>
      </c>
      <c r="B241" s="3" t="n">
        <v>102</v>
      </c>
      <c r="C241" s="3" t="inlineStr">
        <is>
          <t>每成功任務成本：GB300 × Astra（頂層）｜標準 harness</t>
        </is>
      </c>
      <c r="D241" s="3" t="inlineStr">
        <is>
          <t>0.00206</t>
        </is>
      </c>
      <c r="E241" s="3" t="n">
        <v>5</v>
      </c>
      <c r="F241" s="3" t="inlineStr">
        <is>
          <t>C102:G102</t>
        </is>
      </c>
      <c r="G241" s="3" t="inlineStr">
        <is>
          <t>R22b</t>
        </is>
      </c>
      <c r="H241" s="3" t="inlineStr">
        <is>
          <t>保留：顯示用</t>
        </is>
      </c>
      <c r="I241" s="3" t="inlineStr">
        <is>
          <t>9</t>
        </is>
      </c>
      <c r="J241" s="3" t="inlineStr"/>
      <c r="K241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41" s="3" t="inlineStr">
        <is>
          <t>否</t>
        </is>
      </c>
      <c r="M241" s="3">
        <f>IF(AND(ISNUMBER(C82),C62&gt;0),C82/C62,"SLO 不可達")</f>
        <v/>
      </c>
      <c r="N241" s="3" t="inlineStr"/>
      <c r="O241" s="3" t="inlineStr"/>
      <c r="P241" s="3" t="inlineStr"/>
    </row>
    <row r="242">
      <c r="A242" s="3" t="inlineStr">
        <is>
          <t>Harness</t>
        </is>
      </c>
      <c r="B242" s="3" t="n">
        <v>104</v>
      </c>
      <c r="C242" s="3" t="inlineStr">
        <is>
          <t>每成功任務成本：GB300 × Astra（頂層）｜選定檔案全採用</t>
        </is>
      </c>
      <c r="D242" s="3" t="inlineStr">
        <is>
          <t>0.00206</t>
        </is>
      </c>
      <c r="E242" s="3" t="n">
        <v>5</v>
      </c>
      <c r="F242" s="3" t="inlineStr">
        <is>
          <t>C104:G104</t>
        </is>
      </c>
      <c r="G242" s="3" t="inlineStr">
        <is>
          <t>R22b</t>
        </is>
      </c>
      <c r="H242" s="3" t="inlineStr">
        <is>
          <t>保留：顯示用</t>
        </is>
      </c>
      <c r="I242" s="3" t="inlineStr">
        <is>
          <t>9</t>
        </is>
      </c>
      <c r="J242" s="3" t="inlineStr"/>
      <c r="K242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42" s="3" t="inlineStr">
        <is>
          <t>否</t>
        </is>
      </c>
      <c r="M242" s="3">
        <f>IF(AND(ISNUMBER(C84),C64&gt;0),C84/C64,"SLO 不可達")</f>
        <v/>
      </c>
      <c r="N242" s="3" t="inlineStr"/>
      <c r="O242" s="3" t="inlineStr"/>
      <c r="P242" s="3" t="inlineStr"/>
    </row>
    <row r="243">
      <c r="A243" s="3" t="inlineStr">
        <is>
          <t>Harness</t>
        </is>
      </c>
      <c r="B243" s="3" t="n">
        <v>105</v>
      </c>
      <c r="C243" s="3" t="inlineStr">
        <is>
          <t>每成功任務 token：Luna（低層）｜標準 harness</t>
        </is>
      </c>
      <c r="D243" s="3" t="inlineStr">
        <is>
          <t>3117.713238</t>
        </is>
      </c>
      <c r="E243" s="3" t="n">
        <v>5</v>
      </c>
      <c r="F243" s="3" t="inlineStr">
        <is>
          <t>C105:G105</t>
        </is>
      </c>
      <c r="G243" s="3" t="inlineStr">
        <is>
          <t>R22a</t>
        </is>
      </c>
      <c r="H243" s="3" t="inlineStr">
        <is>
          <t>刪除</t>
        </is>
      </c>
      <c r="I243" s="3" t="inlineStr">
        <is>
          <t>9</t>
        </is>
      </c>
      <c r="J243" s="3" t="inlineStr"/>
      <c r="K243" s="3" t="inlineStr">
        <is>
          <t>每成功任務 token（標準／現行／選定 × 三層級）＝任務總 token ÷ 成功率；IF_TaskTok*、IF_TaskSucc_*、IF_TaskSuccSel_* 皆已具名，相除即得。</t>
        </is>
      </c>
      <c r="L243" s="3" t="inlineStr">
        <is>
          <t>否</t>
        </is>
      </c>
      <c r="M243" s="3">
        <f>IF(C56&gt;0,C21/C56,0)</f>
        <v/>
      </c>
      <c r="N243" s="3" t="inlineStr"/>
      <c r="O243" s="3" t="inlineStr"/>
      <c r="P243" s="3" t="inlineStr"/>
    </row>
    <row r="244">
      <c r="A244" s="3" t="inlineStr">
        <is>
          <t>Harness</t>
        </is>
      </c>
      <c r="B244" s="3" t="n">
        <v>106</v>
      </c>
      <c r="C244" s="3" t="inlineStr">
        <is>
          <t>每成功任務 token：Luna（低層）｜現行（依 T12 混合）</t>
        </is>
      </c>
      <c r="D244" s="3" t="inlineStr">
        <is>
          <t>3117.713238</t>
        </is>
      </c>
      <c r="E244" s="3" t="n">
        <v>5</v>
      </c>
      <c r="F244" s="3" t="inlineStr">
        <is>
          <t>C106:G106</t>
        </is>
      </c>
      <c r="G244" s="3" t="inlineStr">
        <is>
          <t>R22a</t>
        </is>
      </c>
      <c r="H244" s="3" t="inlineStr">
        <is>
          <t>刪除</t>
        </is>
      </c>
      <c r="I244" s="3" t="inlineStr">
        <is>
          <t>9</t>
        </is>
      </c>
      <c r="J244" s="3" t="inlineStr"/>
      <c r="K244" s="3" t="inlineStr">
        <is>
          <t>每成功任務 token（標準／現行／選定 × 三層級）＝任務總 token ÷ 成功率；IF_TaskTok*、IF_TaskSucc_*、IF_TaskSuccSel_* 皆已具名，相除即得。</t>
        </is>
      </c>
      <c r="L244" s="3" t="inlineStr">
        <is>
          <t>否</t>
        </is>
      </c>
      <c r="M244" s="3">
        <f>IF(C57&gt;0,C44/C57,0)</f>
        <v/>
      </c>
      <c r="N244" s="3" t="inlineStr"/>
      <c r="O244" s="3" t="inlineStr"/>
      <c r="P244" s="3" t="inlineStr"/>
    </row>
    <row r="245">
      <c r="A245" s="3" t="inlineStr">
        <is>
          <t>Harness</t>
        </is>
      </c>
      <c r="B245" s="3" t="n">
        <v>107</v>
      </c>
      <c r="C245" s="3" t="inlineStr">
        <is>
          <t>每成功任務 token：Luna（低層）｜選定檔案全採用</t>
        </is>
      </c>
      <c r="D245" s="3" t="inlineStr">
        <is>
          <t>3117.713238</t>
        </is>
      </c>
      <c r="E245" s="3" t="n">
        <v>5</v>
      </c>
      <c r="F245" s="3" t="inlineStr">
        <is>
          <t>C107:G107</t>
        </is>
      </c>
      <c r="G245" s="3" t="inlineStr">
        <is>
          <t>R22a</t>
        </is>
      </c>
      <c r="H245" s="3" t="inlineStr">
        <is>
          <t>刪除</t>
        </is>
      </c>
      <c r="I245" s="3" t="inlineStr">
        <is>
          <t>9</t>
        </is>
      </c>
      <c r="J245" s="3" t="inlineStr"/>
      <c r="K245" s="3" t="inlineStr">
        <is>
          <t>每成功任務 token（標準／現行／選定 × 三層級）＝任務總 token ÷ 成功率；IF_TaskTok*、IF_TaskSucc_*、IF_TaskSuccSel_* 皆已具名，相除即得。</t>
        </is>
      </c>
      <c r="L245" s="3" t="inlineStr">
        <is>
          <t>否</t>
        </is>
      </c>
      <c r="M245" s="3">
        <f>IF(C58&gt;0,C38/C58,0)</f>
        <v/>
      </c>
      <c r="N245" s="3" t="inlineStr"/>
      <c r="O245" s="3" t="inlineStr"/>
      <c r="P245" s="3" t="inlineStr"/>
    </row>
    <row r="246">
      <c r="A246" s="3" t="inlineStr">
        <is>
          <t>Harness</t>
        </is>
      </c>
      <c r="B246" s="3" t="n">
        <v>108</v>
      </c>
      <c r="C246" s="3" t="inlineStr">
        <is>
          <t>每成功任務 token：Sol（中層）｜標準 harness</t>
        </is>
      </c>
      <c r="D246" s="3" t="inlineStr">
        <is>
          <t>3033.54102</t>
        </is>
      </c>
      <c r="E246" s="3" t="n">
        <v>5</v>
      </c>
      <c r="F246" s="3" t="inlineStr">
        <is>
          <t>C108:G108</t>
        </is>
      </c>
      <c r="G246" s="3" t="inlineStr">
        <is>
          <t>R22a</t>
        </is>
      </c>
      <c r="H246" s="3" t="inlineStr">
        <is>
          <t>刪除</t>
        </is>
      </c>
      <c r="I246" s="3" t="inlineStr">
        <is>
          <t>9</t>
        </is>
      </c>
      <c r="J246" s="3" t="inlineStr"/>
      <c r="K246" s="3" t="inlineStr">
        <is>
          <t>每成功任務 token（標準／現行／選定 × 三層級）＝任務總 token ÷ 成功率；IF_TaskTok*、IF_TaskSucc_*、IF_TaskSuccSel_* 皆已具名，相除即得。</t>
        </is>
      </c>
      <c r="L246" s="3" t="inlineStr">
        <is>
          <t>否</t>
        </is>
      </c>
      <c r="M246" s="3">
        <f>IF(C59&gt;0,C21/C59,0)</f>
        <v/>
      </c>
      <c r="N246" s="3" t="inlineStr"/>
      <c r="O246" s="3" t="inlineStr"/>
      <c r="P246" s="3" t="inlineStr"/>
    </row>
    <row r="247">
      <c r="A247" s="3" t="inlineStr">
        <is>
          <t>Harness</t>
        </is>
      </c>
      <c r="B247" s="3" t="n">
        <v>109</v>
      </c>
      <c r="C247" s="3" t="inlineStr">
        <is>
          <t>每成功任務 token：Sol（中層）｜現行（依 T12 混合）</t>
        </is>
      </c>
      <c r="D247" s="3" t="inlineStr">
        <is>
          <t>3033.54102</t>
        </is>
      </c>
      <c r="E247" s="3" t="n">
        <v>5</v>
      </c>
      <c r="F247" s="3" t="inlineStr">
        <is>
          <t>C109:G109</t>
        </is>
      </c>
      <c r="G247" s="3" t="inlineStr">
        <is>
          <t>R22a</t>
        </is>
      </c>
      <c r="H247" s="3" t="inlineStr">
        <is>
          <t>刪除</t>
        </is>
      </c>
      <c r="I247" s="3" t="inlineStr">
        <is>
          <t>9</t>
        </is>
      </c>
      <c r="J247" s="3" t="inlineStr"/>
      <c r="K247" s="3" t="inlineStr">
        <is>
          <t>每成功任務 token（標準／現行／選定 × 三層級）＝任務總 token ÷ 成功率；IF_TaskTok*、IF_TaskSucc_*、IF_TaskSuccSel_* 皆已具名，相除即得。</t>
        </is>
      </c>
      <c r="L247" s="3" t="inlineStr">
        <is>
          <t>否</t>
        </is>
      </c>
      <c r="M247" s="3">
        <f>IF(C60&gt;0,C44/C60,0)</f>
        <v/>
      </c>
      <c r="N247" s="3" t="inlineStr"/>
      <c r="O247" s="3" t="inlineStr"/>
      <c r="P247" s="3" t="inlineStr"/>
    </row>
    <row r="248">
      <c r="A248" s="3" t="inlineStr">
        <is>
          <t>Harness</t>
        </is>
      </c>
      <c r="B248" s="3" t="n">
        <v>110</v>
      </c>
      <c r="C248" s="3" t="inlineStr">
        <is>
          <t>每成功任務 token：Sol（中層）｜選定檔案全採用</t>
        </is>
      </c>
      <c r="D248" s="3" t="inlineStr">
        <is>
          <t>3033.54102</t>
        </is>
      </c>
      <c r="E248" s="3" t="n">
        <v>5</v>
      </c>
      <c r="F248" s="3" t="inlineStr">
        <is>
          <t>C110:G110</t>
        </is>
      </c>
      <c r="G248" s="3" t="inlineStr">
        <is>
          <t>R22a</t>
        </is>
      </c>
      <c r="H248" s="3" t="inlineStr">
        <is>
          <t>刪除</t>
        </is>
      </c>
      <c r="I248" s="3" t="inlineStr">
        <is>
          <t>9</t>
        </is>
      </c>
      <c r="J248" s="3" t="inlineStr"/>
      <c r="K248" s="3" t="inlineStr">
        <is>
          <t>每成功任務 token（標準／現行／選定 × 三層級）＝任務總 token ÷ 成功率；IF_TaskTok*、IF_TaskSucc_*、IF_TaskSuccSel_* 皆已具名，相除即得。</t>
        </is>
      </c>
      <c r="L248" s="3" t="inlineStr">
        <is>
          <t>否</t>
        </is>
      </c>
      <c r="M248" s="3">
        <f>IF(C61&gt;0,C38/C61,0)</f>
        <v/>
      </c>
      <c r="N248" s="3" t="inlineStr"/>
      <c r="O248" s="3" t="inlineStr"/>
      <c r="P248" s="3" t="inlineStr"/>
    </row>
    <row r="249">
      <c r="A249" s="3" t="inlineStr">
        <is>
          <t>Harness</t>
        </is>
      </c>
      <c r="B249" s="3" t="n">
        <v>111</v>
      </c>
      <c r="C249" s="3" t="inlineStr">
        <is>
          <t>每成功任務 token：Astra（頂層）｜標準 harness</t>
        </is>
      </c>
      <c r="D249" s="3" t="inlineStr">
        <is>
          <t>3019.94361</t>
        </is>
      </c>
      <c r="E249" s="3" t="n">
        <v>5</v>
      </c>
      <c r="F249" s="3" t="inlineStr">
        <is>
          <t>C111:G111</t>
        </is>
      </c>
      <c r="G249" s="3" t="inlineStr">
        <is>
          <t>R22a</t>
        </is>
      </c>
      <c r="H249" s="3" t="inlineStr">
        <is>
          <t>刪除</t>
        </is>
      </c>
      <c r="I249" s="3" t="inlineStr">
        <is>
          <t>9</t>
        </is>
      </c>
      <c r="J249" s="3" t="inlineStr"/>
      <c r="K249" s="3" t="inlineStr">
        <is>
          <t>每成功任務 token（標準／現行／選定 × 三層級）＝任務總 token ÷ 成功率；IF_TaskTok*、IF_TaskSucc_*、IF_TaskSuccSel_* 皆已具名，相除即得。</t>
        </is>
      </c>
      <c r="L249" s="3" t="inlineStr">
        <is>
          <t>否</t>
        </is>
      </c>
      <c r="M249" s="3">
        <f>IF(C62&gt;0,C21/C62,0)</f>
        <v/>
      </c>
      <c r="N249" s="3" t="inlineStr"/>
      <c r="O249" s="3" t="inlineStr"/>
      <c r="P249" s="3" t="inlineStr"/>
    </row>
    <row r="250">
      <c r="A250" s="3" t="inlineStr">
        <is>
          <t>Harness</t>
        </is>
      </c>
      <c r="B250" s="3" t="n">
        <v>112</v>
      </c>
      <c r="C250" s="3" t="inlineStr">
        <is>
          <t>每成功任務 token：Astra（頂層）｜現行（依 T12 混合）</t>
        </is>
      </c>
      <c r="D250" s="3" t="inlineStr">
        <is>
          <t>3019.94361</t>
        </is>
      </c>
      <c r="E250" s="3" t="n">
        <v>5</v>
      </c>
      <c r="F250" s="3" t="inlineStr">
        <is>
          <t>C112:G112</t>
        </is>
      </c>
      <c r="G250" s="3" t="inlineStr">
        <is>
          <t>R22a</t>
        </is>
      </c>
      <c r="H250" s="3" t="inlineStr">
        <is>
          <t>刪除</t>
        </is>
      </c>
      <c r="I250" s="3" t="inlineStr">
        <is>
          <t>9</t>
        </is>
      </c>
      <c r="J250" s="3" t="inlineStr"/>
      <c r="K250" s="3" t="inlineStr">
        <is>
          <t>每成功任務 token（標準／現行／選定 × 三層級）＝任務總 token ÷ 成功率；IF_TaskTok*、IF_TaskSucc_*、IF_TaskSuccSel_* 皆已具名，相除即得。</t>
        </is>
      </c>
      <c r="L250" s="3" t="inlineStr">
        <is>
          <t>否</t>
        </is>
      </c>
      <c r="M250" s="3">
        <f>IF(C63&gt;0,C44/C63,0)</f>
        <v/>
      </c>
      <c r="N250" s="3" t="inlineStr"/>
      <c r="O250" s="3" t="inlineStr"/>
      <c r="P250" s="3" t="inlineStr"/>
    </row>
    <row r="251">
      <c r="A251" s="3" t="inlineStr">
        <is>
          <t>Harness</t>
        </is>
      </c>
      <c r="B251" s="3" t="n">
        <v>113</v>
      </c>
      <c r="C251" s="3" t="inlineStr">
        <is>
          <t>每成功任務 token：Astra（頂層）｜選定檔案全採用</t>
        </is>
      </c>
      <c r="D251" s="3" t="inlineStr">
        <is>
          <t>3019.94361</t>
        </is>
      </c>
      <c r="E251" s="3" t="n">
        <v>5</v>
      </c>
      <c r="F251" s="3" t="inlineStr">
        <is>
          <t>C113:G113</t>
        </is>
      </c>
      <c r="G251" s="3" t="inlineStr">
        <is>
          <t>R22a</t>
        </is>
      </c>
      <c r="H251" s="3" t="inlineStr">
        <is>
          <t>刪除</t>
        </is>
      </c>
      <c r="I251" s="3" t="inlineStr">
        <is>
          <t>9</t>
        </is>
      </c>
      <c r="J251" s="3" t="inlineStr"/>
      <c r="K251" s="3" t="inlineStr">
        <is>
          <t>每成功任務 token（標準／現行／選定 × 三層級）＝任務總 token ÷ 成功率；IF_TaskTok*、IF_TaskSucc_*、IF_TaskSuccSel_* 皆已具名，相除即得。</t>
        </is>
      </c>
      <c r="L251" s="3" t="inlineStr">
        <is>
          <t>否</t>
        </is>
      </c>
      <c r="M251" s="3">
        <f>IF(C64&gt;0,C38/C64,0)</f>
        <v/>
      </c>
      <c r="N251" s="3" t="inlineStr"/>
      <c r="O251" s="3" t="inlineStr"/>
      <c r="P251" s="3" t="inlineStr"/>
    </row>
    <row r="252">
      <c r="A252" s="3" t="inlineStr">
        <is>
          <t>Harness</t>
        </is>
      </c>
      <c r="B252" s="3" t="n">
        <v>116</v>
      </c>
      <c r="C252" s="3" t="inlineStr">
        <is>
          <t>每次嘗試營收：Luna（低層）｜標準 harness</t>
        </is>
      </c>
      <c r="D252" s="3" t="inlineStr">
        <is>
          <t>0.000328</t>
        </is>
      </c>
      <c r="E252" s="3" t="n">
        <v>5</v>
      </c>
      <c r="F252" s="3" t="inlineStr">
        <is>
          <t>C116:G116</t>
        </is>
      </c>
      <c r="G252" s="3" t="inlineStr">
        <is>
          <t>R22b</t>
        </is>
      </c>
      <c r="H252" s="3" t="inlineStr">
        <is>
          <t>刪除</t>
        </is>
      </c>
      <c r="I252" s="3" t="inlineStr">
        <is>
          <t>9</t>
        </is>
      </c>
      <c r="J252" s="3" t="inlineStr"/>
      <c r="K252" s="3" t="inlineStr">
        <is>
          <t>每次嘗試營收（標準／選定）：現行版（第 117／120／123 列）已進 IF_RevSucc_*；標準／選定版沒有下游。</t>
        </is>
      </c>
      <c r="L252" s="3" t="inlineStr">
        <is>
          <t>否</t>
        </is>
      </c>
      <c r="M252" s="3">
        <f>(C18*INDEX(B4_EffIn,1,1)+C19*INDEX(B4_EffCache,1,1)+C20*INDEX(B4_EffOut,1,1))/1000000</f>
        <v/>
      </c>
      <c r="N252" s="3" t="inlineStr"/>
      <c r="O252" s="3" t="inlineStr"/>
      <c r="P252" s="3" t="inlineStr"/>
    </row>
    <row r="253">
      <c r="A253" s="3" t="inlineStr">
        <is>
          <t>Harness</t>
        </is>
      </c>
      <c r="B253" s="3" t="n">
        <v>118</v>
      </c>
      <c r="C253" s="3" t="inlineStr">
        <is>
          <t>每次嘗試營收：Luna（低層）｜選定檔案全採用</t>
        </is>
      </c>
      <c r="D253" s="3" t="inlineStr">
        <is>
          <t>0.000328</t>
        </is>
      </c>
      <c r="E253" s="3" t="n">
        <v>5</v>
      </c>
      <c r="F253" s="3" t="inlineStr">
        <is>
          <t>C118:G118</t>
        </is>
      </c>
      <c r="G253" s="3" t="inlineStr">
        <is>
          <t>R22b</t>
        </is>
      </c>
      <c r="H253" s="3" t="inlineStr">
        <is>
          <t>刪除</t>
        </is>
      </c>
      <c r="I253" s="3" t="inlineStr">
        <is>
          <t>9</t>
        </is>
      </c>
      <c r="J253" s="3" t="inlineStr"/>
      <c r="K253" s="3" t="inlineStr">
        <is>
          <t>每次嘗試營收（標準／選定）：現行版（第 117／120／123 列）已進 IF_RevSucc_*；標準／選定版沒有下游。</t>
        </is>
      </c>
      <c r="L253" s="3" t="inlineStr">
        <is>
          <t>否</t>
        </is>
      </c>
      <c r="M253" s="3">
        <f>(C35*INDEX(B4_EffIn,1,1)+C36*INDEX(B4_EffCache,1,1)+C37*INDEX(B4_EffOut,1,1))/1000000</f>
        <v/>
      </c>
      <c r="N253" s="3" t="inlineStr"/>
      <c r="O253" s="3" t="inlineStr"/>
      <c r="P253" s="3" t="inlineStr"/>
    </row>
    <row r="254">
      <c r="A254" s="3" t="inlineStr">
        <is>
          <t>Harness</t>
        </is>
      </c>
      <c r="B254" s="3" t="n">
        <v>119</v>
      </c>
      <c r="C254" s="3" t="inlineStr">
        <is>
          <t>每次嘗試營收：Sol（中層）｜標準 harness</t>
        </is>
      </c>
      <c r="D254" s="3" t="inlineStr">
        <is>
          <t>0.00656</t>
        </is>
      </c>
      <c r="E254" s="3" t="n">
        <v>5</v>
      </c>
      <c r="F254" s="3" t="inlineStr">
        <is>
          <t>C119:G119</t>
        </is>
      </c>
      <c r="G254" s="3" t="inlineStr">
        <is>
          <t>R22b</t>
        </is>
      </c>
      <c r="H254" s="3" t="inlineStr">
        <is>
          <t>刪除</t>
        </is>
      </c>
      <c r="I254" s="3" t="inlineStr">
        <is>
          <t>9</t>
        </is>
      </c>
      <c r="J254" s="3" t="inlineStr"/>
      <c r="K254" s="3" t="inlineStr">
        <is>
          <t>每次嘗試營收（標準／選定）：現行版（第 117／120／123 列）已進 IF_RevSucc_*；標準／選定版沒有下游。</t>
        </is>
      </c>
      <c r="L254" s="3" t="inlineStr">
        <is>
          <t>否</t>
        </is>
      </c>
      <c r="M254" s="3">
        <f>(C18*INDEX(B4_EffIn,1,2)+C19*INDEX(B4_EffCache,1,2)+C20*INDEX(B4_EffOut,1,2))/1000000</f>
        <v/>
      </c>
      <c r="N254" s="3" t="inlineStr"/>
      <c r="O254" s="3" t="inlineStr"/>
      <c r="P254" s="3" t="inlineStr"/>
    </row>
    <row r="255">
      <c r="A255" s="3" t="inlineStr">
        <is>
          <t>Harness</t>
        </is>
      </c>
      <c r="B255" s="3" t="n">
        <v>121</v>
      </c>
      <c r="C255" s="3" t="inlineStr">
        <is>
          <t>每次嘗試營收：Sol（中層）｜選定檔案全採用</t>
        </is>
      </c>
      <c r="D255" s="3" t="inlineStr">
        <is>
          <t>0.00656</t>
        </is>
      </c>
      <c r="E255" s="3" t="n">
        <v>5</v>
      </c>
      <c r="F255" s="3" t="inlineStr">
        <is>
          <t>C121:G121</t>
        </is>
      </c>
      <c r="G255" s="3" t="inlineStr">
        <is>
          <t>R22b</t>
        </is>
      </c>
      <c r="H255" s="3" t="inlineStr">
        <is>
          <t>刪除</t>
        </is>
      </c>
      <c r="I255" s="3" t="inlineStr">
        <is>
          <t>9</t>
        </is>
      </c>
      <c r="J255" s="3" t="inlineStr"/>
      <c r="K255" s="3" t="inlineStr">
        <is>
          <t>每次嘗試營收（標準／選定）：現行版（第 117／120／123 列）已進 IF_RevSucc_*；標準／選定版沒有下游。</t>
        </is>
      </c>
      <c r="L255" s="3" t="inlineStr">
        <is>
          <t>否</t>
        </is>
      </c>
      <c r="M255" s="3">
        <f>(C35*INDEX(B4_EffIn,1,2)+C36*INDEX(B4_EffCache,1,2)+C37*INDEX(B4_EffOut,1,2))/1000000</f>
        <v/>
      </c>
      <c r="N255" s="3" t="inlineStr"/>
      <c r="O255" s="3" t="inlineStr"/>
      <c r="P255" s="3" t="inlineStr"/>
    </row>
    <row r="256">
      <c r="A256" s="3" t="inlineStr">
        <is>
          <t>Harness</t>
        </is>
      </c>
      <c r="B256" s="3" t="n">
        <v>122</v>
      </c>
      <c r="C256" s="3" t="inlineStr">
        <is>
          <t>每次嘗試營收：Astra（頂層）｜標準 harness</t>
        </is>
      </c>
      <c r="D256" s="3" t="inlineStr">
        <is>
          <t>0.0328</t>
        </is>
      </c>
      <c r="E256" s="3" t="n">
        <v>5</v>
      </c>
      <c r="F256" s="3" t="inlineStr">
        <is>
          <t>C122:G122</t>
        </is>
      </c>
      <c r="G256" s="3" t="inlineStr">
        <is>
          <t>R22b</t>
        </is>
      </c>
      <c r="H256" s="3" t="inlineStr">
        <is>
          <t>刪除</t>
        </is>
      </c>
      <c r="I256" s="3" t="inlineStr">
        <is>
          <t>9</t>
        </is>
      </c>
      <c r="J256" s="3" t="inlineStr"/>
      <c r="K256" s="3" t="inlineStr">
        <is>
          <t>每次嘗試營收（標準／選定）：現行版（第 117／120／123 列）已進 IF_RevSucc_*；標準／選定版沒有下游。</t>
        </is>
      </c>
      <c r="L256" s="3" t="inlineStr">
        <is>
          <t>否</t>
        </is>
      </c>
      <c r="M256" s="3">
        <f>(C18*INDEX(B4_EffIn,1,3)+C19*INDEX(B4_EffCache,1,3)+C20*INDEX(B4_EffOut,1,3))/1000000</f>
        <v/>
      </c>
      <c r="N256" s="3" t="inlineStr"/>
      <c r="O256" s="3" t="inlineStr"/>
      <c r="P256" s="3" t="inlineStr"/>
    </row>
    <row r="257">
      <c r="A257" s="3" t="inlineStr">
        <is>
          <t>Harness</t>
        </is>
      </c>
      <c r="B257" s="3" t="n">
        <v>124</v>
      </c>
      <c r="C257" s="3" t="inlineStr">
        <is>
          <t>每次嘗試營收：Astra（頂層）｜選定檔案全採用</t>
        </is>
      </c>
      <c r="D257" s="3" t="inlineStr">
        <is>
          <t>0.0328</t>
        </is>
      </c>
      <c r="E257" s="3" t="n">
        <v>5</v>
      </c>
      <c r="F257" s="3" t="inlineStr">
        <is>
          <t>C124:G124</t>
        </is>
      </c>
      <c r="G257" s="3" t="inlineStr">
        <is>
          <t>R22b</t>
        </is>
      </c>
      <c r="H257" s="3" t="inlineStr">
        <is>
          <t>刪除</t>
        </is>
      </c>
      <c r="I257" s="3" t="inlineStr">
        <is>
          <t>9</t>
        </is>
      </c>
      <c r="J257" s="3" t="inlineStr"/>
      <c r="K257" s="3" t="inlineStr">
        <is>
          <t>每次嘗試營收（標準／選定）：現行版（第 117／120／123 列）已進 IF_RevSucc_*；標準／選定版沒有下游。</t>
        </is>
      </c>
      <c r="L257" s="3" t="inlineStr">
        <is>
          <t>否</t>
        </is>
      </c>
      <c r="M257" s="3">
        <f>(C35*INDEX(B4_EffIn,1,3)+C36*INDEX(B4_EffCache,1,3)+C37*INDEX(B4_EffOut,1,3))/1000000</f>
        <v/>
      </c>
      <c r="N257" s="3" t="inlineStr"/>
      <c r="O257" s="3" t="inlineStr"/>
      <c r="P257" s="3" t="inlineStr"/>
    </row>
    <row r="258">
      <c r="A258" s="3" t="inlineStr">
        <is>
          <t>Harness</t>
        </is>
      </c>
      <c r="B258" s="3" t="n">
        <v>125</v>
      </c>
      <c r="C258" s="3" t="inlineStr">
        <is>
          <t>每成功任務營收：Luna（低層）｜標準 harness</t>
        </is>
      </c>
      <c r="D258" s="3" t="inlineStr">
        <is>
          <t>0.000341</t>
        </is>
      </c>
      <c r="E258" s="3" t="n">
        <v>5</v>
      </c>
      <c r="F258" s="3" t="inlineStr">
        <is>
          <t>C125:G125</t>
        </is>
      </c>
      <c r="G258" s="3" t="inlineStr">
        <is>
          <t>R22a</t>
        </is>
      </c>
      <c r="H258" s="3" t="inlineStr">
        <is>
          <t>刪除</t>
        </is>
      </c>
      <c r="I258" s="3" t="inlineStr">
        <is>
          <t>9</t>
        </is>
      </c>
      <c r="J258" s="3" t="inlineStr"/>
      <c r="K258" s="3" t="inlineStr">
        <is>
          <t>每成功任務營收（標準／選定）：同上。</t>
        </is>
      </c>
      <c r="L258" s="3" t="inlineStr">
        <is>
          <t>否</t>
        </is>
      </c>
      <c r="M258" s="3">
        <f>IF(C56&gt;0,C116/C56,0)</f>
        <v/>
      </c>
      <c r="N258" s="3" t="inlineStr"/>
      <c r="O258" s="3" t="inlineStr"/>
      <c r="P258" s="3" t="inlineStr"/>
    </row>
    <row r="259">
      <c r="A259" s="3" t="inlineStr">
        <is>
          <t>Harness</t>
        </is>
      </c>
      <c r="B259" s="3" t="n">
        <v>127</v>
      </c>
      <c r="C259" s="3" t="inlineStr">
        <is>
          <t>每成功任務營收：Luna（低層）｜選定檔案全採用</t>
        </is>
      </c>
      <c r="D259" s="3" t="inlineStr">
        <is>
          <t>0.000341</t>
        </is>
      </c>
      <c r="E259" s="3" t="n">
        <v>5</v>
      </c>
      <c r="F259" s="3" t="inlineStr">
        <is>
          <t>C127:G127</t>
        </is>
      </c>
      <c r="G259" s="3" t="inlineStr">
        <is>
          <t>R22a</t>
        </is>
      </c>
      <c r="H259" s="3" t="inlineStr">
        <is>
          <t>刪除</t>
        </is>
      </c>
      <c r="I259" s="3" t="inlineStr">
        <is>
          <t>9</t>
        </is>
      </c>
      <c r="J259" s="3" t="inlineStr"/>
      <c r="K259" s="3" t="inlineStr">
        <is>
          <t>每成功任務營收（標準／選定）：同上。</t>
        </is>
      </c>
      <c r="L259" s="3" t="inlineStr">
        <is>
          <t>否</t>
        </is>
      </c>
      <c r="M259" s="3">
        <f>IF(C58&gt;0,C118/C58,0)</f>
        <v/>
      </c>
      <c r="N259" s="3" t="inlineStr"/>
      <c r="O259" s="3" t="inlineStr"/>
      <c r="P259" s="3" t="inlineStr"/>
    </row>
    <row r="260">
      <c r="A260" s="3" t="inlineStr">
        <is>
          <t>Harness</t>
        </is>
      </c>
      <c r="B260" s="3" t="n">
        <v>128</v>
      </c>
      <c r="C260" s="3" t="inlineStr">
        <is>
          <t>每成功任務營收：Sol（中層）｜標準 harness</t>
        </is>
      </c>
      <c r="D260" s="3" t="inlineStr">
        <is>
          <t>0.006633</t>
        </is>
      </c>
      <c r="E260" s="3" t="n">
        <v>5</v>
      </c>
      <c r="F260" s="3" t="inlineStr">
        <is>
          <t>C128:G128</t>
        </is>
      </c>
      <c r="G260" s="3" t="inlineStr">
        <is>
          <t>R22a</t>
        </is>
      </c>
      <c r="H260" s="3" t="inlineStr">
        <is>
          <t>刪除</t>
        </is>
      </c>
      <c r="I260" s="3" t="inlineStr">
        <is>
          <t>9</t>
        </is>
      </c>
      <c r="J260" s="3" t="inlineStr"/>
      <c r="K260" s="3" t="inlineStr">
        <is>
          <t>每成功任務營收（標準／選定）：同上。</t>
        </is>
      </c>
      <c r="L260" s="3" t="inlineStr">
        <is>
          <t>否</t>
        </is>
      </c>
      <c r="M260" s="3">
        <f>IF(C59&gt;0,C119/C59,0)</f>
        <v/>
      </c>
      <c r="N260" s="3" t="inlineStr"/>
      <c r="O260" s="3" t="inlineStr"/>
      <c r="P260" s="3" t="inlineStr"/>
    </row>
    <row r="261">
      <c r="A261" s="3" t="inlineStr">
        <is>
          <t>Harness</t>
        </is>
      </c>
      <c r="B261" s="3" t="n">
        <v>130</v>
      </c>
      <c r="C261" s="3" t="inlineStr">
        <is>
          <t>每成功任務營收：Sol（中層）｜選定檔案全採用</t>
        </is>
      </c>
      <c r="D261" s="3" t="inlineStr">
        <is>
          <t>0.006633</t>
        </is>
      </c>
      <c r="E261" s="3" t="n">
        <v>5</v>
      </c>
      <c r="F261" s="3" t="inlineStr">
        <is>
          <t>C130:G130</t>
        </is>
      </c>
      <c r="G261" s="3" t="inlineStr">
        <is>
          <t>R22a</t>
        </is>
      </c>
      <c r="H261" s="3" t="inlineStr">
        <is>
          <t>刪除</t>
        </is>
      </c>
      <c r="I261" s="3" t="inlineStr">
        <is>
          <t>9</t>
        </is>
      </c>
      <c r="J261" s="3" t="inlineStr"/>
      <c r="K261" s="3" t="inlineStr">
        <is>
          <t>每成功任務營收（標準／選定）：同上。</t>
        </is>
      </c>
      <c r="L261" s="3" t="inlineStr">
        <is>
          <t>否</t>
        </is>
      </c>
      <c r="M261" s="3">
        <f>IF(C61&gt;0,C121/C61,0)</f>
        <v/>
      </c>
      <c r="N261" s="3" t="inlineStr"/>
      <c r="O261" s="3" t="inlineStr"/>
      <c r="P261" s="3" t="inlineStr"/>
    </row>
    <row r="262">
      <c r="A262" s="3" t="inlineStr">
        <is>
          <t>Harness</t>
        </is>
      </c>
      <c r="B262" s="3" t="n">
        <v>131</v>
      </c>
      <c r="C262" s="3" t="inlineStr">
        <is>
          <t>每成功任務營收：Astra（頂層）｜標準 harness</t>
        </is>
      </c>
      <c r="D262" s="3" t="inlineStr">
        <is>
          <t>0.033018</t>
        </is>
      </c>
      <c r="E262" s="3" t="n">
        <v>5</v>
      </c>
      <c r="F262" s="3" t="inlineStr">
        <is>
          <t>C131:G131</t>
        </is>
      </c>
      <c r="G262" s="3" t="inlineStr">
        <is>
          <t>R22a</t>
        </is>
      </c>
      <c r="H262" s="3" t="inlineStr">
        <is>
          <t>刪除</t>
        </is>
      </c>
      <c r="I262" s="3" t="inlineStr">
        <is>
          <t>9</t>
        </is>
      </c>
      <c r="J262" s="3" t="inlineStr"/>
      <c r="K262" s="3" t="inlineStr">
        <is>
          <t>每成功任務營收（標準／選定）：同上。</t>
        </is>
      </c>
      <c r="L262" s="3" t="inlineStr">
        <is>
          <t>否</t>
        </is>
      </c>
      <c r="M262" s="3">
        <f>IF(C62&gt;0,C122/C62,0)</f>
        <v/>
      </c>
      <c r="N262" s="3" t="inlineStr"/>
      <c r="O262" s="3" t="inlineStr"/>
      <c r="P262" s="3" t="inlineStr"/>
    </row>
    <row r="263">
      <c r="A263" s="3" t="inlineStr">
        <is>
          <t>Harness</t>
        </is>
      </c>
      <c r="B263" s="3" t="n">
        <v>133</v>
      </c>
      <c r="C263" s="3" t="inlineStr">
        <is>
          <t>每成功任務營收：Astra（頂層）｜選定檔案全採用</t>
        </is>
      </c>
      <c r="D263" s="3" t="inlineStr">
        <is>
          <t>0.033018</t>
        </is>
      </c>
      <c r="E263" s="3" t="n">
        <v>5</v>
      </c>
      <c r="F263" s="3" t="inlineStr">
        <is>
          <t>C133:G133</t>
        </is>
      </c>
      <c r="G263" s="3" t="inlineStr">
        <is>
          <t>R22a</t>
        </is>
      </c>
      <c r="H263" s="3" t="inlineStr">
        <is>
          <t>刪除</t>
        </is>
      </c>
      <c r="I263" s="3" t="inlineStr">
        <is>
          <t>9</t>
        </is>
      </c>
      <c r="J263" s="3" t="inlineStr"/>
      <c r="K263" s="3" t="inlineStr">
        <is>
          <t>每成功任務營收（標準／選定）：同上。</t>
        </is>
      </c>
      <c r="L263" s="3" t="inlineStr">
        <is>
          <t>否</t>
        </is>
      </c>
      <c r="M263" s="3">
        <f>IF(C64&gt;0,C124/C64,0)</f>
        <v/>
      </c>
      <c r="N263" s="3" t="inlineStr"/>
      <c r="O263" s="3" t="inlineStr"/>
      <c r="P263" s="3" t="inlineStr"/>
    </row>
    <row r="264">
      <c r="A264" s="3" t="inlineStr">
        <is>
          <t>Harness</t>
        </is>
      </c>
      <c r="B264" s="3" t="n">
        <v>139</v>
      </c>
      <c r="C264" s="3" t="inlineStr">
        <is>
          <t>GB300 × Luna（低層）</t>
        </is>
      </c>
      <c r="D264" s="3" t="inlineStr">
        <is>
          <t>1</t>
        </is>
      </c>
      <c r="E264" s="3" t="n">
        <v>5</v>
      </c>
      <c r="F264" s="3" t="inlineStr">
        <is>
          <t>C139:G139</t>
        </is>
      </c>
      <c r="G264" s="3" t="inlineStr">
        <is>
          <t>R22a</t>
        </is>
      </c>
      <c r="H264" s="3" t="inlineStr">
        <is>
          <t>保留：顯示用</t>
        </is>
      </c>
      <c r="I264" s="3" t="inlineStr">
        <is>
          <t>9</t>
        </is>
      </c>
      <c r="J264" s="3" t="inlineStr"/>
      <c r="K264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64" s="3" t="inlineStr">
        <is>
          <t>否</t>
        </is>
      </c>
      <c r="M264" s="3">
        <f>IF(AND(ISNUMBER(C98),ISNUMBER(C96)),C98/C96,"SLO 不可達")</f>
        <v/>
      </c>
      <c r="N264" s="3" t="inlineStr">
        <is>
          <t>20261015_稽核0_報告.md</t>
        </is>
      </c>
      <c r="O264" s="3" t="inlineStr"/>
      <c r="P264" s="3" t="inlineStr"/>
    </row>
    <row r="265">
      <c r="A265" s="3" t="inlineStr">
        <is>
          <t>Harness</t>
        </is>
      </c>
      <c r="B265" s="3" t="n">
        <v>140</v>
      </c>
      <c r="C265" s="3" t="inlineStr">
        <is>
          <t>GB300 × Sol（中層）</t>
        </is>
      </c>
      <c r="D265" s="3" t="inlineStr">
        <is>
          <t>1</t>
        </is>
      </c>
      <c r="E265" s="3" t="n">
        <v>5</v>
      </c>
      <c r="F265" s="3" t="inlineStr">
        <is>
          <t>C140:G140</t>
        </is>
      </c>
      <c r="G265" s="3" t="inlineStr">
        <is>
          <t>R22a</t>
        </is>
      </c>
      <c r="H265" s="3" t="inlineStr">
        <is>
          <t>保留：顯示用</t>
        </is>
      </c>
      <c r="I265" s="3" t="inlineStr">
        <is>
          <t>9</t>
        </is>
      </c>
      <c r="J265" s="3" t="inlineStr"/>
      <c r="K265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65" s="3" t="inlineStr">
        <is>
          <t>否</t>
        </is>
      </c>
      <c r="M265" s="3">
        <f>IF(AND(ISNUMBER(C101),ISNUMBER(C99)),C101/C99,"SLO 不可達")</f>
        <v/>
      </c>
      <c r="N265" s="3" t="inlineStr">
        <is>
          <t>20261015_稽核0_報告.md</t>
        </is>
      </c>
      <c r="O265" s="3" t="inlineStr"/>
      <c r="P265" s="3" t="inlineStr"/>
    </row>
    <row r="266">
      <c r="A266" s="3" t="inlineStr">
        <is>
          <t>Harness</t>
        </is>
      </c>
      <c r="B266" s="3" t="n">
        <v>141</v>
      </c>
      <c r="C266" s="3" t="inlineStr">
        <is>
          <t>GB300 × Astra（頂層）</t>
        </is>
      </c>
      <c r="D266" s="3" t="inlineStr">
        <is>
          <t>1</t>
        </is>
      </c>
      <c r="E266" s="3" t="n">
        <v>5</v>
      </c>
      <c r="F266" s="3" t="inlineStr">
        <is>
          <t>C141:G141</t>
        </is>
      </c>
      <c r="G266" s="3" t="inlineStr">
        <is>
          <t>R22a</t>
        </is>
      </c>
      <c r="H266" s="3" t="inlineStr">
        <is>
          <t>保留：顯示用</t>
        </is>
      </c>
      <c r="I266" s="3" t="inlineStr">
        <is>
          <t>9</t>
        </is>
      </c>
      <c r="J266" s="3" t="inlineStr"/>
      <c r="K266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66" s="3" t="inlineStr">
        <is>
          <t>否</t>
        </is>
      </c>
      <c r="M266" s="3">
        <f>IF(AND(ISNUMBER(C104),ISNUMBER(C102)),C104/C102,"SLO 不可達")</f>
        <v/>
      </c>
      <c r="N266" s="3" t="inlineStr">
        <is>
          <t>20261015_稽核0_報告.md</t>
        </is>
      </c>
      <c r="O266" s="3" t="inlineStr"/>
      <c r="P266" s="3" t="inlineStr"/>
    </row>
    <row r="267">
      <c r="A267" s="3" t="inlineStr">
        <is>
          <t>Harness</t>
        </is>
      </c>
      <c r="B267" s="3" t="n">
        <v>142</v>
      </c>
      <c r="C267" s="3" t="inlineStr">
        <is>
          <t>成功率比（選定 ÷ 標準）：Luna（低層）</t>
        </is>
      </c>
      <c r="D267" s="3" t="inlineStr">
        <is>
          <t>1</t>
        </is>
      </c>
      <c r="E267" s="3" t="n">
        <v>5</v>
      </c>
      <c r="F267" s="3" t="inlineStr">
        <is>
          <t>C142:G142</t>
        </is>
      </c>
      <c r="G267" s="3" t="inlineStr">
        <is>
          <t>R22a</t>
        </is>
      </c>
      <c r="H267" s="3" t="inlineStr">
        <is>
          <t>刪除</t>
        </is>
      </c>
      <c r="I267" s="3" t="inlineStr">
        <is>
          <t>9</t>
        </is>
      </c>
      <c r="J267" s="3" t="inlineStr"/>
      <c r="K267" s="3" t="inlineStr">
        <is>
          <t>成功率比（選定 ÷ 標準）：IF_TaskSuccSel_*／IF_TaskSucc_* 皆已具名，相除即得。</t>
        </is>
      </c>
      <c r="L267" s="3" t="inlineStr">
        <is>
          <t>否</t>
        </is>
      </c>
      <c r="M267" s="3">
        <f>C58/C56</f>
        <v/>
      </c>
      <c r="N267" s="3" t="inlineStr"/>
      <c r="O267" s="3" t="inlineStr"/>
      <c r="P267" s="3" t="inlineStr"/>
    </row>
    <row r="268">
      <c r="A268" s="3" t="inlineStr">
        <is>
          <t>Harness</t>
        </is>
      </c>
      <c r="B268" s="3" t="n">
        <v>143</v>
      </c>
      <c r="C268" s="3" t="inlineStr">
        <is>
          <t>成功率比（選定 ÷ 標準）：Sol（中層）</t>
        </is>
      </c>
      <c r="D268" s="3" t="inlineStr">
        <is>
          <t>1</t>
        </is>
      </c>
      <c r="E268" s="3" t="n">
        <v>5</v>
      </c>
      <c r="F268" s="3" t="inlineStr">
        <is>
          <t>C143:G143</t>
        </is>
      </c>
      <c r="G268" s="3" t="inlineStr">
        <is>
          <t>R22a</t>
        </is>
      </c>
      <c r="H268" s="3" t="inlineStr">
        <is>
          <t>刪除</t>
        </is>
      </c>
      <c r="I268" s="3" t="inlineStr">
        <is>
          <t>9</t>
        </is>
      </c>
      <c r="J268" s="3" t="inlineStr"/>
      <c r="K268" s="3" t="inlineStr">
        <is>
          <t>成功率比（選定 ÷ 標準）：IF_TaskSuccSel_*／IF_TaskSucc_* 皆已具名，相除即得。</t>
        </is>
      </c>
      <c r="L268" s="3" t="inlineStr">
        <is>
          <t>否</t>
        </is>
      </c>
      <c r="M268" s="3">
        <f>C61/C59</f>
        <v/>
      </c>
      <c r="N268" s="3" t="inlineStr"/>
      <c r="O268" s="3" t="inlineStr"/>
      <c r="P268" s="3" t="inlineStr"/>
    </row>
    <row r="269">
      <c r="A269" s="3" t="inlineStr">
        <is>
          <t>Harness</t>
        </is>
      </c>
      <c r="B269" s="3" t="n">
        <v>144</v>
      </c>
      <c r="C269" s="3" t="inlineStr">
        <is>
          <t>成功率比（選定 ÷ 標準）：Astra（頂層）</t>
        </is>
      </c>
      <c r="D269" s="3" t="inlineStr">
        <is>
          <t>1</t>
        </is>
      </c>
      <c r="E269" s="3" t="n">
        <v>5</v>
      </c>
      <c r="F269" s="3" t="inlineStr">
        <is>
          <t>C144:G144</t>
        </is>
      </c>
      <c r="G269" s="3" t="inlineStr">
        <is>
          <t>R22a</t>
        </is>
      </c>
      <c r="H269" s="3" t="inlineStr">
        <is>
          <t>刪除</t>
        </is>
      </c>
      <c r="I269" s="3" t="inlineStr">
        <is>
          <t>9</t>
        </is>
      </c>
      <c r="J269" s="3" t="inlineStr"/>
      <c r="K269" s="3" t="inlineStr">
        <is>
          <t>成功率比（選定 ÷ 標準）：IF_TaskSuccSel_*／IF_TaskSucc_* 皆已具名，相除即得。</t>
        </is>
      </c>
      <c r="L269" s="3" t="inlineStr">
        <is>
          <t>否</t>
        </is>
      </c>
      <c r="M269" s="3">
        <f>C64/C62</f>
        <v/>
      </c>
      <c r="N269" s="3" t="inlineStr"/>
      <c r="O269" s="3" t="inlineStr"/>
      <c r="P269" s="3" t="inlineStr"/>
    </row>
    <row r="270">
      <c r="A270" s="3" t="inlineStr">
        <is>
          <t>Harness</t>
        </is>
      </c>
      <c r="B270" s="3" t="n">
        <v>154</v>
      </c>
      <c r="C270" s="3" t="inlineStr">
        <is>
          <t>GB300：最低每成功任務成本（p ≥ p_min）</t>
        </is>
      </c>
      <c r="D270" s="3" t="inlineStr">
        <is>
          <t>0.000114</t>
        </is>
      </c>
      <c r="E270" s="3" t="n">
        <v>5</v>
      </c>
      <c r="F270" s="3" t="inlineStr">
        <is>
          <t>C154:G154</t>
        </is>
      </c>
      <c r="G270" s="3" t="inlineStr">
        <is>
          <t>R22b</t>
        </is>
      </c>
      <c r="H270" s="3" t="inlineStr">
        <is>
          <t>保留：顯示用</t>
        </is>
      </c>
      <c r="I270" s="3" t="inlineStr">
        <is>
          <t>9</t>
        </is>
      </c>
      <c r="J270" s="3" t="inlineStr"/>
      <c r="K270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70" s="3" t="inlineStr">
        <is>
          <t>否</t>
        </is>
      </c>
      <c r="M270" s="3">
        <f>IF(OR(AND(ISNUMBER(C96),C56&gt;=B5_PFloor),AND(ISNUMBER(C99),C59&gt;=B5_PFloor),AND(ISNUMBER(C102),C62&gt;=B5_PFloor),AND(ISNUMBER(C98),C58&gt;=B5_PFloor),AND(ISNUMBER(C101),C61&gt;=B5_PFloor),AND(ISNUMBER(C104),C6</f>
        <v/>
      </c>
      <c r="N270" s="3" t="inlineStr"/>
      <c r="O270" s="3" t="inlineStr"/>
      <c r="P270" s="3" t="inlineStr"/>
    </row>
    <row r="271">
      <c r="A271" s="3" t="inlineStr">
        <is>
          <t>Harness</t>
        </is>
      </c>
      <c r="B271" s="3" t="n">
        <v>155</v>
      </c>
      <c r="C271" s="3" t="inlineStr">
        <is>
          <t>GB300：前緣組合（層級｜檔案；p ≥ p_min）</t>
        </is>
      </c>
      <c r="D271" s="3" t="inlineStr">
        <is>
          <t>Luna｜標準</t>
        </is>
      </c>
      <c r="E271" s="3" t="n">
        <v>5</v>
      </c>
      <c r="F271" s="3" t="inlineStr">
        <is>
          <t>C155:G155</t>
        </is>
      </c>
      <c r="G271" s="3" t="inlineStr">
        <is>
          <t>R22a</t>
        </is>
      </c>
      <c r="H271" s="3" t="inlineStr">
        <is>
          <t>保留：顯示用</t>
        </is>
      </c>
      <c r="I271" s="3" t="inlineStr">
        <is>
          <t>9</t>
        </is>
      </c>
      <c r="J271" s="3" t="inlineStr"/>
      <c r="K271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71" s="3" t="inlineStr">
        <is>
          <t>否</t>
        </is>
      </c>
      <c r="M271" s="3">
        <f>IF(ISNUMBER(C154),IF(AND(ISNUMBER(C154),C96=C154,AND(ISNUMBER(C96),C56&gt;=B5_PFloor)),"Luna｜標準",IF(AND(ISNUMBER(C154),C99=C154,AND(ISNUMBER(C99),C59&gt;=B5_PFloor)),"Sol｜標準",IF(AND(ISNUMBER(C154),C102=C15</f>
        <v/>
      </c>
      <c r="N271" s="3" t="inlineStr"/>
      <c r="O271" s="3" t="inlineStr"/>
      <c r="P271" s="3" t="inlineStr"/>
    </row>
    <row r="272">
      <c r="A272" s="3" t="inlineStr">
        <is>
          <t>Harness</t>
        </is>
      </c>
      <c r="B272" s="3" t="n">
        <v>156</v>
      </c>
      <c r="C272" s="3" t="inlineStr">
        <is>
          <t>GB300：前緣組合的成功率 p</t>
        </is>
      </c>
      <c r="D272" s="3" t="inlineStr">
        <is>
          <t>0.962244</t>
        </is>
      </c>
      <c r="E272" s="3" t="n">
        <v>5</v>
      </c>
      <c r="F272" s="3" t="inlineStr">
        <is>
          <t>C156:G156</t>
        </is>
      </c>
      <c r="G272" s="3" t="inlineStr">
        <is>
          <t>R22a</t>
        </is>
      </c>
      <c r="H272" s="3" t="inlineStr">
        <is>
          <t>保留：顯示用</t>
        </is>
      </c>
      <c r="I272" s="3" t="inlineStr">
        <is>
          <t>9</t>
        </is>
      </c>
      <c r="J272" s="3" t="inlineStr"/>
      <c r="K272" s="3" t="inlineStr">
        <is>
          <t>GB300 孿生區塊（每次嘗試成本、每成功任務成本、選定÷標準的 R、前緣）：與 VR200 區塊（IF_HarR_*、L1_Ans8／9 取用）同構；第 149–150 列已標用途並讀取這些列，上游不能單獨刪。下游取 GB300 的現行列（IF_CostSuccGB_*）。</t>
        </is>
      </c>
      <c r="L272" s="3" t="inlineStr">
        <is>
          <t>否</t>
        </is>
      </c>
      <c r="M272" s="3">
        <f>IF(ISNUMBER(C154),IF(AND(ISNUMBER(C154),C96=C154,AND(ISNUMBER(C96),C56&gt;=B5_PFloor)),C56,IF(AND(ISNUMBER(C154),C99=C154,AND(ISNUMBER(C99),C59&gt;=B5_PFloor)),C59,IF(AND(ISNUMBER(C154),C102=C154,AND(ISNUM</f>
        <v/>
      </c>
      <c r="N272" s="3" t="inlineStr"/>
      <c r="O272" s="3" t="inlineStr"/>
      <c r="P272" s="3" t="inlineStr"/>
    </row>
    <row r="273">
      <c r="A273" s="3" t="inlineStr">
        <is>
          <t>Alloc_In</t>
        </is>
      </c>
      <c r="B273" s="3" t="n">
        <v>18</v>
      </c>
      <c r="C273" s="3" t="inlineStr">
        <is>
          <t>服務世代組合合計（應為 100%；Checks H1）</t>
        </is>
      </c>
      <c r="D273" s="3" t="inlineStr">
        <is>
          <t>1</t>
        </is>
      </c>
      <c r="E273" s="3" t="n">
        <v>1</v>
      </c>
      <c r="F273" s="3" t="inlineStr">
        <is>
          <t>C18</t>
        </is>
      </c>
      <c r="G273" s="3" t="inlineStr">
        <is>
          <t>R22a</t>
        </is>
      </c>
      <c r="H273" s="3" t="inlineStr">
        <is>
          <t>接進 Checks</t>
        </is>
      </c>
      <c r="I273" s="3" t="inlineStr">
        <is>
          <t>3</t>
        </is>
      </c>
      <c r="J273" s="3" t="inlineStr"/>
      <c r="K273" s="3" t="inlineStr">
        <is>
          <t>服務世代組合合計（應為 100%）：Checks D104 目前自行重算 SUM(AL_MixGen)；改讓 Checks 讀本格，單一定義（原則 1）且保留失敗能力。</t>
        </is>
      </c>
      <c r="L273" s="3" t="inlineStr">
        <is>
          <t>否</t>
        </is>
      </c>
      <c r="M273" s="3">
        <f>SUM(AL_MixGen)</f>
        <v/>
      </c>
      <c r="N273" s="3" t="inlineStr"/>
      <c r="O273" s="3" t="inlineStr"/>
      <c r="P273" s="3" t="inlineStr">
        <is>
          <t>是</t>
        </is>
      </c>
    </row>
    <row r="274">
      <c r="A274" s="3" t="inlineStr">
        <is>
          <t>Alloc_In</t>
        </is>
      </c>
      <c r="B274" s="3" t="n">
        <v>33</v>
      </c>
      <c r="C274" s="3" t="inlineStr">
        <is>
          <t>研發世代組合合計（應為 100%；Checks Z2）</t>
        </is>
      </c>
      <c r="D274" s="3" t="inlineStr">
        <is>
          <t>1</t>
        </is>
      </c>
      <c r="E274" s="3" t="n">
        <v>1</v>
      </c>
      <c r="F274" s="3" t="inlineStr">
        <is>
          <t>C33</t>
        </is>
      </c>
      <c r="G274" s="3" t="inlineStr">
        <is>
          <t>R22a</t>
        </is>
      </c>
      <c r="H274" s="3" t="inlineStr">
        <is>
          <t>接進 Checks</t>
        </is>
      </c>
      <c r="I274" s="3" t="inlineStr">
        <is>
          <t>3</t>
        </is>
      </c>
      <c r="J274" s="3" t="inlineStr"/>
      <c r="K274" s="3" t="inlineStr">
        <is>
          <t>研發世代組合合計（應為 100%）：Checks D140 目前自行重算四格和；改讓 Checks 讀本格。</t>
        </is>
      </c>
      <c r="L274" s="3" t="inlineStr">
        <is>
          <t>否</t>
        </is>
      </c>
      <c r="M274" s="3">
        <f>AL_RDMixHopper+AL_RDMixGB200+AL_RDMixGB300+AL_RDMixVR200</f>
        <v/>
      </c>
      <c r="N274" s="3" t="inlineStr">
        <is>
          <t>20261016_稽核修正2-3.md</t>
        </is>
      </c>
      <c r="O274" s="3" t="inlineStr"/>
      <c r="P274" s="3" t="inlineStr">
        <is>
          <t>是</t>
        </is>
      </c>
    </row>
    <row r="275">
      <c r="A275" s="3" t="inlineStr">
        <is>
          <t>L1</t>
        </is>
      </c>
      <c r="B275" s="3" t="n">
        <v>52</v>
      </c>
      <c r="C275" s="3" t="inlineStr">
        <is>
          <t>L1_FleetBreakeven</t>
        </is>
      </c>
      <c r="D275" s="3" t="inlineStr">
        <is>
          <t>100% 口徑的機隊營收乘以本乘積即等於持有成本；基準 0.111（現值；v5.</t>
        </is>
      </c>
      <c r="E275" s="3" t="n">
        <v>1</v>
      </c>
      <c r="F275" s="3" t="inlineStr">
        <is>
          <t>I52</t>
        </is>
      </c>
      <c r="G275" s="3" t="inlineStr">
        <is>
          <t>R07</t>
        </is>
      </c>
      <c r="H275" s="3" t="inlineStr">
        <is>
          <t>保留：顯示用</t>
        </is>
      </c>
      <c r="I275" s="3" t="inlineStr">
        <is>
          <t>—</t>
        </is>
      </c>
      <c r="J275" s="3" t="inlineStr"/>
      <c r="K275" s="3" t="inlineStr">
        <is>
          <t>說明欄的動態文字公式（以 TEXT() 帶出現值；4-0 SL01–SL04、SL10 的修法）；屬原則 2。</t>
        </is>
      </c>
      <c r="L275" s="3" t="inlineStr">
        <is>
          <t>否</t>
        </is>
      </c>
      <c r="M275" s="3">
        <f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</f>
        <v/>
      </c>
      <c r="N275" s="3" t="inlineStr">
        <is>
          <t>20261008_v5.29.md、20261011_v5.32A_查證.md、20261014_v5.34.md、20261014_v5.35.md</t>
        </is>
      </c>
      <c r="O275" s="3" t="inlineStr"/>
      <c r="P275" s="3" t="inlineStr"/>
    </row>
    <row r="276">
      <c r="A276" s="3" t="inlineStr">
        <is>
          <t>L1</t>
        </is>
      </c>
      <c r="B276" s="3" t="n">
        <v>68</v>
      </c>
      <c r="C276" s="3" t="inlineStr">
        <is>
          <t>L1_ScaleRD</t>
        </is>
      </c>
      <c r="D276" s="3" t="inlineStr">
        <is>
          <t>基準 6.3（低 0.90、高 12.6）：兩端同幅度偏小的證據（X13 (c)</t>
        </is>
      </c>
      <c r="E276" s="3" t="n">
        <v>1</v>
      </c>
      <c r="F276" s="3" t="inlineStr">
        <is>
          <t>I68</t>
        </is>
      </c>
      <c r="G276" s="3" t="inlineStr">
        <is>
          <t>R07</t>
        </is>
      </c>
      <c r="H276" s="3" t="inlineStr">
        <is>
          <t>保留：顯示用</t>
        </is>
      </c>
      <c r="I276" s="3" t="inlineStr">
        <is>
          <t>—</t>
        </is>
      </c>
      <c r="J276" s="3" t="inlineStr"/>
      <c r="K276" s="3" t="inlineStr">
        <is>
          <t>說明欄的動態文字公式（以 TEXT() 帶出現值；4-0 SL01–SL04、SL10 的修法）；屬原則 2。</t>
        </is>
      </c>
      <c r="L276" s="3" t="inlineStr">
        <is>
          <t>否</t>
        </is>
      </c>
      <c r="M276" s="3">
        <f>"基準 "&amp;IF(ISNUMBER(D68),TEXT(D68,"0.0"),"—")&amp;"（低 "&amp;IF(ISNUMBER(E68),TEXT(E68,"0.00"),"—")&amp;"、高 "&amp;IF(ISNUMBER(F68),TEXT(F68,"0.0"),"—")&amp;"）：兩端同幅度偏小的證據（X13 (c)）；校準用，不得當產能"</f>
        <v/>
      </c>
      <c r="N276" s="3" t="inlineStr">
        <is>
          <t>20261008_v5.29.md、20261014_v5.34.md、20261014_v5.35.md、20261014_v5.35_進度.md</t>
        </is>
      </c>
      <c r="O276" s="3" t="inlineStr"/>
      <c r="P276" s="3" t="inlineStr"/>
    </row>
    <row r="277">
      <c r="A277" s="3" t="inlineStr">
        <is>
          <t>L1</t>
        </is>
      </c>
      <c r="B277" s="3" t="n">
        <v>69</v>
      </c>
      <c r="C277" s="3" t="inlineStr">
        <is>
          <t>L1_ScaleServe</t>
        </is>
      </c>
      <c r="D277" s="3" t="inlineStr">
        <is>
          <t>＝1 ÷ L1_ExtServeGW 的推算÷外部比值，現值 7.31；四項口徑</t>
        </is>
      </c>
      <c r="E277" s="3" t="n">
        <v>1</v>
      </c>
      <c r="F277" s="3" t="inlineStr">
        <is>
          <t>I69</t>
        </is>
      </c>
      <c r="G277" s="3" t="inlineStr">
        <is>
          <t>R07</t>
        </is>
      </c>
      <c r="H277" s="3" t="inlineStr">
        <is>
          <t>保留：顯示用</t>
        </is>
      </c>
      <c r="I277" s="3" t="inlineStr">
        <is>
          <t>—</t>
        </is>
      </c>
      <c r="J277" s="3" t="inlineStr"/>
      <c r="K277" s="3" t="inlineStr">
        <is>
          <t>說明欄的動態文字公式（以 TEXT() 帶出現值；4-0 SL01–SL04、SL10 的修法）；屬原則 2。</t>
        </is>
      </c>
      <c r="L277" s="3" t="inlineStr">
        <is>
          <t>否</t>
        </is>
      </c>
      <c r="M277" s="3">
        <f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/>
      </c>
      <c r="N277" s="3" t="inlineStr">
        <is>
          <t>20261008_v5.29.md、20261011_v5.32A_查證.md、20261012_v5.33A_查證.md、20261014_v5.34.md</t>
        </is>
      </c>
      <c r="O277" s="3" t="inlineStr"/>
      <c r="P277" s="3" t="inlineStr"/>
    </row>
    <row r="278">
      <c r="A278" s="3" t="inlineStr">
        <is>
          <t>L1</t>
        </is>
      </c>
      <c r="B278" s="3" t="n">
        <v>71</v>
      </c>
      <c r="C278" s="3" t="inlineStr">
        <is>
          <t>L1_GapSpendBasis</t>
        </is>
      </c>
      <c r="D278" s="3" t="inlineStr">
        <is>
          <t>基準 0.85（低 0.73、高 1.17；2-4 起改經濟口徑，v5.36 當</t>
        </is>
      </c>
      <c r="E278" s="3" t="n">
        <v>1</v>
      </c>
      <c r="F278" s="3" t="inlineStr">
        <is>
          <t>I71</t>
        </is>
      </c>
      <c r="G278" s="3" t="inlineStr">
        <is>
          <t>R07</t>
        </is>
      </c>
      <c r="H278" s="3" t="inlineStr">
        <is>
          <t>保留：顯示用</t>
        </is>
      </c>
      <c r="I278" s="3" t="inlineStr">
        <is>
          <t>—</t>
        </is>
      </c>
      <c r="J278" s="3" t="inlineStr"/>
      <c r="K278" s="3" t="inlineStr">
        <is>
          <t>說明欄的動態文字公式（以 TEXT() 帶出現值；4-0 SL01–SL04、SL10 的修法）；屬原則 2。</t>
        </is>
      </c>
      <c r="L278" s="3" t="inlineStr">
        <is>
          <t>否</t>
        </is>
      </c>
      <c r="M278" s="3">
        <f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</f>
        <v/>
      </c>
      <c r="N278" s="3" t="inlineStr">
        <is>
          <t>20261008_v5.29.md、20261012_v5.33A_查證.md、20261014_v5.34.md、20261014_v5.35.md</t>
        </is>
      </c>
      <c r="O278" s="3" t="inlineStr"/>
      <c r="P278" s="3" t="inlineStr"/>
    </row>
    <row r="279">
      <c r="A279" s="3" t="inlineStr">
        <is>
          <t>L1</t>
        </is>
      </c>
      <c r="B279" s="3" t="n">
        <v>102</v>
      </c>
      <c r="C279" s="3" t="inlineStr">
        <is>
          <t>L1_MFleet_Px2026</t>
        </is>
      </c>
      <c r="D279" s="3" t="inlineStr">
        <is>
          <t>v7.0 當時的 L1_MFleet 值為 0.5565（歷史值）；本列現值 0</t>
        </is>
      </c>
      <c r="E279" s="3" t="n">
        <v>1</v>
      </c>
      <c r="F279" s="3" t="inlineStr">
        <is>
          <t>I102</t>
        </is>
      </c>
      <c r="G279" s="3" t="inlineStr">
        <is>
          <t>R07</t>
        </is>
      </c>
      <c r="H279" s="3" t="inlineStr">
        <is>
          <t>保留：顯示用</t>
        </is>
      </c>
      <c r="I279" s="3" t="inlineStr">
        <is>
          <t>—</t>
        </is>
      </c>
      <c r="J279" s="3" t="inlineStr"/>
      <c r="K279" s="3" t="inlineStr">
        <is>
          <t>說明欄的動態文字公式（以 TEXT() 帶出現值；4-0 SL01–SL04、SL10 的修法）；屬原則 2。</t>
        </is>
      </c>
      <c r="L279" s="3" t="inlineStr">
        <is>
          <t>否</t>
        </is>
      </c>
      <c r="M279" s="3">
        <f>"v7.0 當時的 L1_MFleet 值為 0.5565（歷史值）；本列現值 "&amp;IF(ISNUMBER(D102),TEXT(D102,"0.0000"),"—")&amp;"（公式，隨輸入變動）；D2 之前把 2025 營收配 2026 牌價。保留作對照，不進回本比較"</f>
        <v/>
      </c>
      <c r="N279" s="3" t="inlineStr">
        <is>
          <t>20261016_稽核修正2-3.md、Tokenomics_builder_v5.md</t>
        </is>
      </c>
      <c r="O279" s="3" t="inlineStr"/>
      <c r="P279" s="3" t="inlineStr"/>
    </row>
  </sheetData>
  <autoFilter ref="A2:P27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40" customWidth="1" min="4" max="4"/>
    <col width="14" customWidth="1" min="5" max="5"/>
    <col width="7" customWidth="1" min="6" max="6"/>
    <col width="22" customWidth="1" min="7" max="7"/>
    <col width="34" customWidth="1" min="8" max="8"/>
    <col width="30" customWidth="1" min="9" max="9"/>
    <col width="50" customWidth="1" min="10" max="10"/>
    <col width="8" customWidth="1" min="11" max="11"/>
    <col width="8" customWidth="1" min="12" max="12"/>
  </cols>
  <sheetData>
    <row r="1" ht="60" customHeight="1">
      <c r="A1" s="3" t="inlineStr">
        <is>
          <t>升級＝新名稱進入下游契約（IF_／L1_），須 Andy 同意。層級與 token 類型標籤依 CLAUDE.md 第 1a 節；『付費 token（混合）』者，Segment B 實作時須確認能否依層級分列，不能者在名稱後註明為混合口徑。</t>
        </is>
      </c>
    </row>
    <row r="2">
      <c r="A2" s="4" t="inlineStr">
        <is>
          <t>建議名稱</t>
        </is>
      </c>
      <c r="B2" s="4" t="inlineStr">
        <is>
          <t>來源頁</t>
        </is>
      </c>
      <c r="C2" s="4" t="inlineStr">
        <is>
          <t>來源列</t>
        </is>
      </c>
      <c r="D2" s="4" t="inlineStr">
        <is>
          <t>標籤</t>
        </is>
      </c>
      <c r="E2" s="4" t="inlineStr">
        <is>
          <t>代表值</t>
        </is>
      </c>
      <c r="F2" s="4" t="inlineStr">
        <is>
          <t>格數</t>
        </is>
      </c>
      <c r="G2" s="4" t="inlineStr">
        <is>
          <t>單位</t>
        </is>
      </c>
      <c r="H2" s="4" t="inlineStr">
        <is>
          <t>模型層級／口徑</t>
        </is>
      </c>
      <c r="I2" s="4" t="inlineStr">
        <is>
          <t>token 類型</t>
        </is>
      </c>
      <c r="J2" s="4" t="inlineStr">
        <is>
          <t>備註</t>
        </is>
      </c>
      <c r="K2" s="4" t="inlineStr">
        <is>
          <t>回答的問題</t>
        </is>
      </c>
      <c r="L2" s="4" t="inlineStr">
        <is>
          <t>需 Andy 判斷</t>
        </is>
      </c>
    </row>
    <row r="3">
      <c r="A3" s="3" t="inlineStr">
        <is>
          <t>L1_MAPI_Ser</t>
        </is>
      </c>
      <c r="B3" s="3" t="inlineStr">
        <is>
          <t>Cap_In</t>
        </is>
      </c>
      <c r="C3" s="3" t="n">
        <v>206</v>
      </c>
      <c r="D3" s="3" t="inlineStr">
        <is>
          <t>m_API</t>
        </is>
      </c>
      <c r="E3" s="3" t="inlineStr">
        <is>
          <t>0.657758</t>
        </is>
      </c>
      <c r="F3" s="3" t="n">
        <v>4</v>
      </c>
      <c r="G3" s="3" t="inlineStr">
        <is>
          <t>倍（營收 ÷ 標價 token 成本）</t>
        </is>
      </c>
      <c r="H3" s="3" t="inlineStr">
        <is>
          <t>API（依模型層級混合，與 L1_MAPI 同口徑）</t>
        </is>
      </c>
      <c r="I3" s="3" t="inlineStr">
        <is>
          <t>新鮮輸入＋快取輸入＋輸出（付費 token，混合）</t>
        </is>
      </c>
      <c r="J3" s="3" t="inlineStr">
        <is>
          <t>C:F＝2025／2026 Q1／Q2／FY2026</t>
        </is>
      </c>
      <c r="K3" s="3" t="inlineStr">
        <is>
          <t>1</t>
        </is>
      </c>
      <c r="L3" s="3" t="inlineStr">
        <is>
          <t>是</t>
        </is>
      </c>
    </row>
    <row r="4">
      <c r="A4" s="3" t="inlineStr">
        <is>
          <t>L1_MSub_Ser</t>
        </is>
      </c>
      <c r="B4" s="3" t="inlineStr">
        <is>
          <t>Cap_In</t>
        </is>
      </c>
      <c r="C4" s="3" t="n">
        <v>207</v>
      </c>
      <c r="D4" s="3" t="inlineStr">
        <is>
          <t>m_消費訂閱</t>
        </is>
      </c>
      <c r="E4" s="3" t="inlineStr">
        <is>
          <t>4.972653</t>
        </is>
      </c>
      <c r="F4" s="3" t="n">
        <v>4</v>
      </c>
      <c r="G4" s="3" t="inlineStr">
        <is>
          <t>倍</t>
        </is>
      </c>
      <c r="H4" s="3" t="inlineStr">
        <is>
          <t>消費訂閱方案</t>
        </is>
      </c>
      <c r="I4" s="3" t="inlineStr">
        <is>
          <t>付費 token（混合）</t>
        </is>
      </c>
      <c r="J4" s="3" t="inlineStr">
        <is>
          <t>同上</t>
        </is>
      </c>
      <c r="K4" s="3" t="inlineStr">
        <is>
          <t>1</t>
        </is>
      </c>
      <c r="L4" s="3" t="inlineStr">
        <is>
          <t>是</t>
        </is>
      </c>
    </row>
    <row r="5">
      <c r="A5" s="3" t="inlineStr">
        <is>
          <t>L1_MSeat_Ser</t>
        </is>
      </c>
      <c r="B5" s="3" t="inlineStr">
        <is>
          <t>Cap_In</t>
        </is>
      </c>
      <c r="C5" s="3" t="n">
        <v>208</v>
      </c>
      <c r="D5" s="3" t="inlineStr">
        <is>
          <t>m_商用席次</t>
        </is>
      </c>
      <c r="E5" s="3" t="inlineStr">
        <is>
          <t>2.131137</t>
        </is>
      </c>
      <c r="F5" s="3" t="n">
        <v>4</v>
      </c>
      <c r="G5" s="3" t="inlineStr">
        <is>
          <t>倍</t>
        </is>
      </c>
      <c r="H5" s="3" t="inlineStr">
        <is>
          <t>商用席次方案</t>
        </is>
      </c>
      <c r="I5" s="3" t="inlineStr">
        <is>
          <t>付費 token（混合）</t>
        </is>
      </c>
      <c r="J5" s="3" t="inlineStr">
        <is>
          <t>同上；席次占比與 token 份額為 Assumed，下游須帶區間</t>
        </is>
      </c>
      <c r="K5" s="3" t="inlineStr">
        <is>
          <t>1</t>
        </is>
      </c>
      <c r="L5" s="3" t="inlineStr">
        <is>
          <t>是</t>
        </is>
      </c>
    </row>
    <row r="6">
      <c r="A6" s="3" t="inlineStr">
        <is>
          <t>L1_MImplied_Ser</t>
        </is>
      </c>
      <c r="B6" s="3" t="inlineStr">
        <is>
          <t>Cap_In</t>
        </is>
      </c>
      <c r="C6" s="3" t="n">
        <v>209</v>
      </c>
      <c r="D6" s="3" t="inlineStr">
        <is>
          <t>m_整體＝m 分子營收 ÷（(API token ＋ ChatGPT 付費 token) × 單價）</t>
        </is>
      </c>
      <c r="E6" s="3" t="inlineStr">
        <is>
          <t>2.033528</t>
        </is>
      </c>
      <c r="F6" s="3" t="n">
        <v>4</v>
      </c>
      <c r="G6" s="3" t="inlineStr">
        <is>
          <t>倍</t>
        </is>
      </c>
      <c r="H6" s="3" t="inlineStr">
        <is>
          <t>整體（token 加權）</t>
        </is>
      </c>
      <c r="I6" s="3" t="inlineStr">
        <is>
          <t>付費 token（混合）</t>
        </is>
      </c>
      <c r="J6" s="3" t="inlineStr">
        <is>
          <t>同上；FY 欄須等於 L1_MImplied 對應口徑</t>
        </is>
      </c>
      <c r="K6" s="3" t="inlineStr">
        <is>
          <t>1</t>
        </is>
      </c>
      <c r="L6" s="3" t="inlineStr">
        <is>
          <t>是</t>
        </is>
      </c>
    </row>
    <row r="7">
      <c r="A7" s="3" t="inlineStr">
        <is>
          <t>L1_MFleet_Ser</t>
        </is>
      </c>
      <c r="B7" s="3" t="inlineStr">
        <is>
          <t>Cap_In</t>
        </is>
      </c>
      <c r="C7" s="3" t="n">
        <v>223</v>
      </c>
      <c r="D7" s="3" t="inlineStr">
        <is>
          <t>m_fleet＝m 分子營收 ÷（機隊付費 token × 機隊口徑單價 B4_PriceFleet；Cap_In K 節；v6.3 K1）</t>
        </is>
      </c>
      <c r="E7" s="3" t="inlineStr">
        <is>
          <t>0.407295</t>
        </is>
      </c>
      <c r="F7" s="3" t="n">
        <v>4</v>
      </c>
      <c r="G7" s="3" t="inlineStr">
        <is>
          <t>倍</t>
        </is>
      </c>
      <c r="H7" s="3" t="inlineStr">
        <is>
          <t>機隊口徑</t>
        </is>
      </c>
      <c r="I7" s="3" t="inlineStr">
        <is>
          <t>付費 token（混合）</t>
        </is>
      </c>
      <c r="J7" s="3" t="inlineStr">
        <is>
          <t>同上</t>
        </is>
      </c>
      <c r="K7" s="3" t="inlineStr">
        <is>
          <t>1</t>
        </is>
      </c>
      <c r="L7" s="3" t="inlineStr">
        <is>
          <t>是</t>
        </is>
      </c>
    </row>
    <row r="8">
      <c r="A8" s="3" t="inlineStr">
        <is>
          <t>L1_MFleetFloor／_Lo／_Hi</t>
        </is>
      </c>
      <c r="B8" s="3" t="inlineStr">
        <is>
          <t>Cap_In</t>
        </is>
      </c>
      <c r="C8" s="3" t="n">
        <v>121</v>
      </c>
      <c r="D8" s="3" t="inlineStr">
        <is>
          <t>m 下限（上限讀法）＝營收 ÷（機隊付費 token 上限 × 2025 年度機隊口徑混合有效單價（AL_PriceFleet25：可達層級重新正規化；v6.3</t>
        </is>
      </c>
      <c r="E8" s="3" t="inlineStr">
        <is>
          <t>0.300967</t>
        </is>
      </c>
      <c r="F8" s="3" t="n">
        <v>4</v>
      </c>
      <c r="G8" s="3" t="inlineStr">
        <is>
          <t>倍</t>
        </is>
      </c>
      <c r="H8" s="3" t="inlineStr">
        <is>
          <t>機隊口徑（上限讀法）</t>
        </is>
      </c>
      <c r="I8" s="3" t="inlineStr">
        <is>
          <t>付費 token（混合）</t>
        </is>
      </c>
      <c r="J8" s="3" t="inlineStr">
        <is>
          <t>與 L1_MFleet_Lo(0.184) 區間定義不同，升級後衝突會露出，需 Andy 定義</t>
        </is>
      </c>
      <c r="K8" s="3" t="inlineStr">
        <is>
          <t>1</t>
        </is>
      </c>
      <c r="L8" s="3" t="inlineStr">
        <is>
          <t>是</t>
        </is>
      </c>
    </row>
    <row r="9">
      <c r="A9" s="3" t="inlineStr">
        <is>
          <t>L1_MFleet_P25Lo</t>
        </is>
      </c>
      <c r="B9" s="3" t="inlineStr">
        <is>
          <t>Cap_In</t>
        </is>
      </c>
      <c r="C9" s="3" t="n">
        <v>285</v>
      </c>
      <c r="D9" s="3" t="inlineStr">
        <is>
          <t>m（2025 單價取低端）＝營收 ÷（機隊付費 token × AL_PriceFleet25_Lo）</t>
        </is>
      </c>
      <c r="E9" s="3" t="inlineStr">
        <is>
          <t>0.783007</t>
        </is>
      </c>
      <c r="F9" s="3" t="n">
        <v>3</v>
      </c>
      <c r="G9" s="3" t="inlineStr">
        <is>
          <t>倍</t>
        </is>
      </c>
      <c r="H9" s="3" t="inlineStr">
        <is>
          <t>機隊口徑，2025 單價取低端</t>
        </is>
      </c>
      <c r="I9" s="3" t="inlineStr">
        <is>
          <t>付費 token（混合）</t>
        </is>
      </c>
      <c r="J9" s="3" t="inlineStr">
        <is>
          <t>契約第 4 節：價格區間不交叉進 _Lo／_Hi，故另立名稱</t>
        </is>
      </c>
      <c r="K9" s="3" t="inlineStr">
        <is>
          <t>1</t>
        </is>
      </c>
      <c r="L9" s="3" t="inlineStr">
        <is>
          <t>是</t>
        </is>
      </c>
    </row>
    <row r="10">
      <c r="A10" s="3" t="inlineStr">
        <is>
          <t>L1_MFleet_P25Hi</t>
        </is>
      </c>
      <c r="B10" s="3" t="inlineStr">
        <is>
          <t>Cap_In</t>
        </is>
      </c>
      <c r="C10" s="3" t="n">
        <v>286</v>
      </c>
      <c r="D10" s="3" t="inlineStr">
        <is>
          <t>m（2025 單價取高端）＝營收 ÷（機隊付費 token × AL_PriceFleet25_Hi）</t>
        </is>
      </c>
      <c r="E10" s="3" t="inlineStr">
        <is>
          <t>0.236138</t>
        </is>
      </c>
      <c r="F10" s="3" t="n">
        <v>3</v>
      </c>
      <c r="G10" s="3" t="inlineStr">
        <is>
          <t>倍</t>
        </is>
      </c>
      <c r="H10" s="3" t="inlineStr">
        <is>
          <t>機隊口徑，2025 單價取高端</t>
        </is>
      </c>
      <c r="I10" s="3" t="inlineStr">
        <is>
          <t>付費 token（混合）</t>
        </is>
      </c>
      <c r="J10" s="3" t="inlineStr">
        <is>
          <t>同上</t>
        </is>
      </c>
      <c r="K10" s="3" t="inlineStr">
        <is>
          <t>1</t>
        </is>
      </c>
      <c r="L10" s="3" t="inlineStr">
        <is>
          <t>是</t>
        </is>
      </c>
    </row>
    <row r="11">
      <c r="A11" s="3" t="inlineStr">
        <is>
          <t>IF_TaskTokMult</t>
        </is>
      </c>
      <c r="B11" s="3" t="inlineStr">
        <is>
          <t>Workload</t>
        </is>
      </c>
      <c r="C11" s="3" t="n">
        <v>38</v>
      </c>
      <c r="D11" s="3" t="inlineStr">
        <is>
          <t>總 token ÷ 一般聊天</t>
        </is>
      </c>
      <c r="E11" s="3" t="inlineStr">
        <is>
          <t>1</t>
        </is>
      </c>
      <c r="F11" s="3" t="n">
        <v>5</v>
      </c>
      <c r="G11" s="3" t="inlineStr">
        <is>
          <t>倍（總 token ÷ 一般聊天）</t>
        </is>
      </c>
      <c r="H11" s="3" t="inlineStr">
        <is>
          <t>任務別（聊天／搜尋／程式／agent／長 agent），非模型層級</t>
        </is>
      </c>
      <c r="I11" s="3" t="inlineStr">
        <is>
          <t>總 token（新鮮＋快取輸入＋思考＋可見輸出）</t>
        </is>
      </c>
      <c r="J11" s="3" t="inlineStr">
        <is>
          <t>橫列＝5 種任務</t>
        </is>
      </c>
      <c r="K11" s="3" t="inlineStr">
        <is>
          <t>9</t>
        </is>
      </c>
      <c r="L11" s="3" t="inlineStr">
        <is>
          <t>是</t>
        </is>
      </c>
    </row>
    <row r="12">
      <c r="A12" s="3" t="inlineStr">
        <is>
          <t>IF_TrainFLOP_Luna／_Sol／_Astra</t>
        </is>
      </c>
      <c r="B12" s="3" t="inlineStr">
        <is>
          <t>Training</t>
        </is>
      </c>
      <c r="C12" s="3" t="n">
        <v>109</v>
      </c>
      <c r="D12" s="3" t="inlineStr">
        <is>
          <t>最終訓練 FLOPs</t>
        </is>
      </c>
      <c r="E12" s="3" t="inlineStr">
        <is>
          <t>4.80829842560294e+24</t>
        </is>
      </c>
      <c r="F12" s="3" t="n">
        <v>15</v>
      </c>
      <c r="G12" s="3" t="inlineStr">
        <is>
          <t>FLOPs（單一模型最終訓練）</t>
        </is>
      </c>
      <c r="H12" s="3" t="inlineStr">
        <is>
          <t>Luna／Sol／Astra 三世代</t>
        </is>
      </c>
      <c r="I12" s="3" t="inlineStr">
        <is>
          <t>不適用（訓練側，非 token 計價）</t>
        </is>
      </c>
      <c r="J12" s="3" t="inlineStr">
        <is>
          <t>預訓練＋長上下文＋後訓練＋合成資料＋評測</t>
        </is>
      </c>
      <c r="K12" s="3" t="inlineStr">
        <is>
          <t>8</t>
        </is>
      </c>
      <c r="L12" s="3" t="inlineStr">
        <is>
          <t>是</t>
        </is>
      </c>
    </row>
    <row r="13">
      <c r="A13" s="3" t="inlineStr">
        <is>
          <t>IF_TrainInferShare_Luna／_Sol／_Astra</t>
        </is>
      </c>
      <c r="B13" s="3" t="inlineStr">
        <is>
          <t>Training</t>
        </is>
      </c>
      <c r="C13" s="3" t="n">
        <v>114</v>
      </c>
      <c r="D13" s="3" t="inlineStr">
        <is>
          <t>推論型占最終訓練</t>
        </is>
      </c>
      <c r="E13" s="3" t="inlineStr">
        <is>
          <t>0.617273</t>
        </is>
      </c>
      <c r="F13" s="3" t="n">
        <v>15</v>
      </c>
      <c r="G13" s="3" t="inlineStr">
        <is>
          <t>比例（0–1）</t>
        </is>
      </c>
      <c r="H13" s="3" t="inlineStr">
        <is>
          <t>三世代</t>
        </is>
      </c>
      <c r="I13" s="3" t="inlineStr">
        <is>
          <t>不適用（GPU 小時構成）</t>
        </is>
      </c>
      <c r="J13" s="3" t="inlineStr">
        <is>
          <t>推論型占最終訓練 GPU 小時</t>
        </is>
      </c>
      <c r="K13" s="3" t="inlineStr">
        <is>
          <t>8</t>
        </is>
      </c>
      <c r="L13" s="3" t="inlineStr">
        <is>
          <t>是</t>
        </is>
      </c>
    </row>
    <row r="14">
      <c r="A14" s="3" t="inlineStr">
        <is>
          <t>IF_GMDefault_Luna</t>
        </is>
      </c>
      <c r="B14" s="3" t="inlineStr">
        <is>
          <t>Theory_Rev</t>
        </is>
      </c>
      <c r="C14" s="3" t="n">
        <v>24</v>
      </c>
      <c r="D14" s="3" t="inlineStr">
        <is>
          <t>理論毛利率（OpenAI 單價；K6 預設 (c) 全成本）</t>
        </is>
      </c>
      <c r="E14" s="3" t="inlineStr">
        <is>
          <t>-1.644666</t>
        </is>
      </c>
      <c r="F14" s="3" t="n">
        <v>15</v>
      </c>
      <c r="G14" s="3" t="inlineStr">
        <is>
          <t>比例（毛利率）</t>
        </is>
      </c>
      <c r="H14" s="3" t="inlineStr">
        <is>
          <t>Luna；OpenAI 單價；K6 預設 (c) 全成本</t>
        </is>
      </c>
      <c r="I14" s="3" t="inlineStr">
        <is>
          <t>付費 token（混合；依層級另列）</t>
        </is>
      </c>
      <c r="J14" s="3" t="inlineStr">
        <is>
          <t>H 欄以後依層級／token 類型分列</t>
        </is>
      </c>
      <c r="K14" s="3" t="inlineStr">
        <is>
          <t>5</t>
        </is>
      </c>
      <c r="L14" s="3" t="inlineStr">
        <is>
          <t>是</t>
        </is>
      </c>
    </row>
    <row r="15">
      <c r="A15" s="3" t="inlineStr">
        <is>
          <t>IF_GMDefault_Sol</t>
        </is>
      </c>
      <c r="B15" s="3" t="inlineStr">
        <is>
          <t>Theory_Rev</t>
        </is>
      </c>
      <c r="C15" s="3" t="n">
        <v>42</v>
      </c>
      <c r="D15" s="3" t="inlineStr">
        <is>
          <t>理論毛利率（OpenAI 單價；K6 預設 (c) 全成本）</t>
        </is>
      </c>
      <c r="E15" s="3" t="inlineStr">
        <is>
          <t>0.619101</t>
        </is>
      </c>
      <c r="F15" s="3" t="n">
        <v>15</v>
      </c>
      <c r="G15" s="3" t="inlineStr">
        <is>
          <t>比例</t>
        </is>
      </c>
      <c r="H15" s="3" t="inlineStr">
        <is>
          <t>Sol</t>
        </is>
      </c>
      <c r="I15" s="3" t="inlineStr">
        <is>
          <t>同上</t>
        </is>
      </c>
      <c r="J15" s="3" t="inlineStr">
        <is>
          <t>同上</t>
        </is>
      </c>
      <c r="K15" s="3" t="inlineStr">
        <is>
          <t>5</t>
        </is>
      </c>
      <c r="L15" s="3" t="inlineStr">
        <is>
          <t>是</t>
        </is>
      </c>
    </row>
    <row r="16">
      <c r="A16" s="3" t="inlineStr">
        <is>
          <t>IF_GMDefault_Astra</t>
        </is>
      </c>
      <c r="B16" s="3" t="inlineStr">
        <is>
          <t>Theory_Rev</t>
        </is>
      </c>
      <c r="C16" s="3" t="n">
        <v>60</v>
      </c>
      <c r="D16" s="3" t="inlineStr">
        <is>
          <t>理論毛利率（OpenAI 單價；K6 預設 (c) 全成本）</t>
        </is>
      </c>
      <c r="E16" s="3" t="inlineStr">
        <is>
          <t>-0.042364</t>
        </is>
      </c>
      <c r="F16" s="3" t="n">
        <v>15</v>
      </c>
      <c r="G16" s="3" t="inlineStr">
        <is>
          <t>比例</t>
        </is>
      </c>
      <c r="H16" s="3" t="inlineStr">
        <is>
          <t>Astra</t>
        </is>
      </c>
      <c r="I16" s="3" t="inlineStr">
        <is>
          <t>同上</t>
        </is>
      </c>
      <c r="J16" s="3" t="inlineStr">
        <is>
          <t>同上</t>
        </is>
      </c>
      <c r="K16" s="3" t="inlineStr">
        <is>
          <t>5</t>
        </is>
      </c>
      <c r="L16" s="3" t="inlineStr">
        <is>
          <t>是</t>
        </is>
      </c>
    </row>
    <row r="17">
      <c r="A17" s="3" t="inlineStr">
        <is>
          <t>IF_AmortRevShare</t>
        </is>
      </c>
      <c r="B17" s="3" t="inlineStr">
        <is>
          <t>Amortize</t>
        </is>
      </c>
      <c r="C17" s="3" t="n">
        <v>49</v>
      </c>
      <c r="D17" s="3" t="inlineStr">
        <is>
          <t>(d) 攤提占付費營收（各層級相同）</t>
        </is>
      </c>
      <c r="E17" s="3" t="inlineStr">
        <is>
          <t>0.599632</t>
        </is>
      </c>
      <c r="F17" s="3" t="n">
        <v>15</v>
      </c>
      <c r="G17" s="3" t="inlineStr">
        <is>
          <t>比例（攤提 ÷ 付費營收）</t>
        </is>
      </c>
      <c r="H17" s="3" t="inlineStr">
        <is>
          <t>各層級相同（合計口徑）</t>
        </is>
      </c>
      <c r="I17" s="3" t="inlineStr">
        <is>
          <t>付費營收（混合）</t>
        </is>
      </c>
      <c r="J17" s="3" t="inlineStr">
        <is>
          <t>各層級相同故不分列</t>
        </is>
      </c>
      <c r="K17" s="3" t="inlineStr">
        <is>
          <t>2</t>
        </is>
      </c>
      <c r="L17" s="3" t="inlineStr">
        <is>
          <t>是</t>
        </is>
      </c>
    </row>
  </sheetData>
  <autoFilter ref="A2:L17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40" customWidth="1" min="4" max="4"/>
    <col width="7" customWidth="1" min="5" max="5"/>
    <col width="14" customWidth="1" min="6" max="6"/>
    <col width="8" customWidth="1" min="7" max="7"/>
    <col width="28" customWidth="1" min="8" max="8"/>
    <col width="90" customWidth="1" min="9" max="9"/>
  </cols>
  <sheetData>
    <row r="1">
      <c r="A1" s="4" t="inlineStr">
        <is>
          <t>分類</t>
        </is>
      </c>
      <c r="B1" s="4" t="inlineStr">
        <is>
          <t>頁</t>
        </is>
      </c>
      <c r="C1" s="4" t="inlineStr">
        <is>
          <t>列</t>
        </is>
      </c>
      <c r="D1" s="4" t="inlineStr">
        <is>
          <t>標籤</t>
        </is>
      </c>
      <c r="E1" s="4" t="inlineStr">
        <is>
          <t>格數</t>
        </is>
      </c>
      <c r="F1" s="4" t="inlineStr">
        <is>
          <t>建議處置</t>
        </is>
      </c>
      <c r="G1" s="4" t="inlineStr">
        <is>
          <t>問題</t>
        </is>
      </c>
      <c r="H1" s="4" t="inlineStr">
        <is>
          <t>建議名稱</t>
        </is>
      </c>
      <c r="I1" s="4" t="inlineStr">
        <is>
          <t>理由</t>
        </is>
      </c>
    </row>
    <row r="2">
      <c r="A2" s="3" t="inlineStr">
        <is>
          <t>刪除承重頁的列</t>
        </is>
      </c>
      <c r="B2" s="3" t="inlineStr">
        <is>
          <t>Arch</t>
        </is>
      </c>
      <c r="C2" s="3" t="n">
        <v>26</v>
      </c>
      <c r="D2" s="3" t="inlineStr">
        <is>
          <t>Embedding＋LM head 參數</t>
        </is>
      </c>
      <c r="E2" s="3" t="n">
        <v>3</v>
      </c>
      <c r="F2" s="3" t="inlineStr">
        <is>
          <t>刪除</t>
        </is>
      </c>
      <c r="G2" s="3" t="inlineStr">
        <is>
          <t>—</t>
        </is>
      </c>
      <c r="H2" s="3" t="inlineStr"/>
      <c r="I2" s="3" t="inlineStr">
        <is>
          <t>Embedding＋LM head 參數：只由 vocab 推出、無任何下游、不回答任何一題；非專家參數另由第 28 列推導。Arch 為承重頁，刪除需 Andy 確認。</t>
        </is>
      </c>
    </row>
    <row r="3">
      <c r="A3" s="3" t="inlineStr">
        <is>
          <t>刪除承重頁的列</t>
        </is>
      </c>
      <c r="B3" s="3" t="inlineStr">
        <is>
          <t>Arch</t>
        </is>
      </c>
      <c r="C3" s="3" t="n">
        <v>31</v>
      </c>
      <c r="D3" s="3" t="inlineStr">
        <is>
          <t>128K 上下文每序列 KV</t>
        </is>
      </c>
      <c r="E3" s="3" t="n">
        <v>3</v>
      </c>
      <c r="F3" s="3" t="inlineStr">
        <is>
          <t>刪除</t>
        </is>
      </c>
      <c r="G3" s="3" t="inlineStr">
        <is>
          <t>—</t>
        </is>
      </c>
      <c r="H3" s="3" t="inlineStr"/>
      <c r="I3" s="3" t="inlineStr">
        <is>
          <t>128K 上下文每序列 KV：衍生診斷，無下游；Perf 用 KV bytes/token 自行乘上下文長度（單一定義在 Perf）。Arch 為承重頁，需 Andy 確認。</t>
        </is>
      </c>
    </row>
    <row r="4">
      <c r="A4" s="3" t="inlineStr">
        <is>
          <t>刪除承重頁的列</t>
        </is>
      </c>
      <c r="B4" s="3" t="inlineStr">
        <is>
          <t>Cap_In</t>
        </is>
      </c>
      <c r="C4" s="3" t="n">
        <v>138</v>
      </c>
      <c r="D4" s="3" t="inlineStr">
        <is>
          <t>API 占比（顯示；＝API 營收 ÷ 營收）</t>
        </is>
      </c>
      <c r="E4" s="3" t="n">
        <v>3</v>
      </c>
      <c r="F4" s="3" t="inlineStr">
        <is>
          <t>刪除</t>
        </is>
      </c>
      <c r="G4" s="3" t="inlineStr">
        <is>
          <t>1</t>
        </is>
      </c>
      <c r="H4" s="3" t="inlineStr"/>
      <c r="I4" s="3" t="inlineStr">
        <is>
          <t>API 占比（顯示）：與 H10-1 第 190 列、H8-1 第 137 列÷第 69 列同義；原則 1。需 Andy 確認（承重頁）。</t>
        </is>
      </c>
    </row>
    <row r="5">
      <c r="A5" s="3" t="inlineStr">
        <is>
          <t>刪除承重頁的列</t>
        </is>
      </c>
      <c r="B5" s="3" t="inlineStr">
        <is>
          <t>Cap_In</t>
        </is>
      </c>
      <c r="C5" s="3" t="n">
        <v>204</v>
      </c>
      <c r="D5" s="3" t="inlineStr">
        <is>
          <t>L_price（I 節；顯示用，不進 m）</t>
        </is>
      </c>
      <c r="E5" s="3" t="n">
        <v>4</v>
      </c>
      <c r="F5" s="3" t="inlineStr">
        <is>
          <t>刪除</t>
        </is>
      </c>
      <c r="G5" s="3" t="inlineStr">
        <is>
          <t>—</t>
        </is>
      </c>
      <c r="H5" s="3" t="inlineStr"/>
      <c r="I5" s="3" t="inlineStr">
        <is>
          <t>L_price 逐期複本（四欄都等於第 232 列；『顯示用，不進 m』）；L1_LPrice 已具名；原則 1。需 Andy 確認（承重頁）。</t>
        </is>
      </c>
    </row>
    <row r="6">
      <c r="A6" s="3" t="inlineStr">
        <is>
          <t>刪除承重頁的列</t>
        </is>
      </c>
      <c r="B6" s="3" t="inlineStr">
        <is>
          <t>Cap_In</t>
        </is>
      </c>
      <c r="C6" s="3" t="n">
        <v>231</v>
      </c>
      <c r="D6" s="3" t="inlineStr">
        <is>
          <t>k＝LN(1 ＋ g)</t>
        </is>
      </c>
      <c r="E6" s="3" t="n">
        <v>3</v>
      </c>
      <c r="F6" s="3" t="inlineStr">
        <is>
          <t>刪除</t>
        </is>
      </c>
      <c r="G6" s="3" t="inlineStr">
        <is>
          <t>—</t>
        </is>
      </c>
      <c r="H6" s="3" t="inlineStr"/>
      <c r="I6" s="3" t="inlineStr">
        <is>
          <t>k＝LN(1＋g)：中間量；第 232 列的 L_price 公式自帶 LN，沒有讀它。需 Andy 確認（承重頁）。</t>
        </is>
      </c>
    </row>
    <row r="7">
      <c r="A7" s="3" t="inlineStr">
        <is>
          <t>刪除承重頁的列</t>
        </is>
      </c>
      <c r="B7" s="3" t="inlineStr">
        <is>
          <t>Cap_In</t>
        </is>
      </c>
      <c r="C7" s="3" t="n">
        <v>245</v>
      </c>
      <c r="D7" s="3" t="inlineStr">
        <is>
          <t>請求形狀修正 κ（Alloc_In；AL_Kappa）　→ L1_GapISL＝1 ÷ κ</t>
        </is>
      </c>
      <c r="E7" s="3" t="n">
        <v>3</v>
      </c>
      <c r="F7" s="3" t="inlineStr">
        <is>
          <t>刪除</t>
        </is>
      </c>
      <c r="G7" s="3" t="inlineStr">
        <is>
          <t>—</t>
        </is>
      </c>
      <c r="H7" s="3" t="inlineStr"/>
      <c r="I7" s="3" t="inlineStr">
        <is>
          <t>請求形狀修正 κ 的複本（＝AL_Kappa；L1_GapISL＝1÷κ 已具名）；原則 1。需 Andy 確認（承重頁）。</t>
        </is>
      </c>
    </row>
    <row r="8">
      <c r="A8" s="3" t="inlineStr">
        <is>
          <t>刪除承重頁的列</t>
        </is>
      </c>
      <c r="B8" s="3" t="inlineStr">
        <is>
          <t>Cap_In</t>
        </is>
      </c>
      <c r="C8" s="3" t="n">
        <v>282</v>
      </c>
      <c r="D8" s="3" t="inlineStr">
        <is>
          <t>2025 混合有效單價 ÷ 2026 快照（第 90 列）</t>
        </is>
      </c>
      <c r="E8" s="3" t="n">
        <v>3</v>
      </c>
      <c r="F8" s="3" t="inlineStr">
        <is>
          <t>刪除</t>
        </is>
      </c>
      <c r="G8" s="3" t="inlineStr">
        <is>
          <t>—</t>
        </is>
      </c>
      <c r="H8" s="3" t="inlineStr"/>
      <c r="I8" s="3" t="inlineStr">
        <is>
          <t>2025 混合有效單價 ÷ 2026 快照：L1_Price25Mix（具名）與第 90 列相除即得。需 Andy 確認（承重頁）。</t>
        </is>
      </c>
    </row>
    <row r="9">
      <c r="A9" s="3" t="inlineStr">
        <is>
          <t>刪除承重頁的列</t>
        </is>
      </c>
      <c r="B9" s="3" t="inlineStr">
        <is>
          <t>Serving</t>
        </is>
      </c>
      <c r="C9" s="3" t="n">
        <v>25</v>
      </c>
      <c r="D9" s="3" t="inlineStr">
        <is>
          <t>decode 平均上下文</t>
        </is>
      </c>
      <c r="E9" s="3" t="n">
        <v>3</v>
      </c>
      <c r="F9" s="3" t="inlineStr">
        <is>
          <t>刪除</t>
        </is>
      </c>
      <c r="G9" s="3" t="inlineStr">
        <is>
          <t>—</t>
        </is>
      </c>
      <c r="H9" s="3" t="inlineStr"/>
      <c r="I9" s="3" t="inlineStr">
        <is>
          <t>decode 平均上下文＝ISL＋OSL/2：與 Perf 第 45 列同式（Perf 才是被取用者）；原則 1 同一定義只存一處。Serving 為承重頁，需 Andy 確認。</t>
        </is>
      </c>
    </row>
    <row r="10">
      <c r="A10" s="3" t="inlineStr">
        <is>
          <t>刪除承重頁的列</t>
        </is>
      </c>
      <c r="B10" s="3" t="inlineStr">
        <is>
          <t>Serving</t>
        </is>
      </c>
      <c r="C10" s="3" t="n">
        <v>26</v>
      </c>
      <c r="D10" s="3" t="inlineStr">
        <is>
          <t>prefill 平均位置</t>
        </is>
      </c>
      <c r="E10" s="3" t="n">
        <v>3</v>
      </c>
      <c r="F10" s="3" t="inlineStr">
        <is>
          <t>刪除</t>
        </is>
      </c>
      <c r="G10" s="3" t="inlineStr">
        <is>
          <t>—</t>
        </is>
      </c>
      <c r="H10" s="3" t="inlineStr"/>
      <c r="I10" s="3" t="inlineStr">
        <is>
          <t>prefill 平均位置＝ISL/2：與 Perf 第 46 列同式。同上。</t>
        </is>
      </c>
    </row>
    <row r="11">
      <c r="A11" s="3" t="inlineStr">
        <is>
          <t>刪除承重頁的列</t>
        </is>
      </c>
      <c r="B11" s="3" t="inlineStr">
        <is>
          <t>Workload</t>
        </is>
      </c>
      <c r="C11" s="3" t="n">
        <v>17</v>
      </c>
      <c r="D11" s="3" t="inlineStr">
        <is>
          <t>harness 混合權重 w（Tech_Registry T12 開關 × 採用比例）</t>
        </is>
      </c>
      <c r="E11" s="3" t="n">
        <v>5</v>
      </c>
      <c r="F11" s="3" t="inlineStr">
        <is>
          <t>刪除</t>
        </is>
      </c>
      <c r="G11" s="3" t="inlineStr">
        <is>
          <t>—</t>
        </is>
      </c>
      <c r="H11" s="3" t="inlineStr"/>
      <c r="I11" s="3" t="inlineStr">
        <is>
          <t>harness 混合權重 w 的顯示複本（＝B5_W＝IF_HarW 已具名輸出）；原則 1。Workload 為承重頁，需 Andy 確認。</t>
        </is>
      </c>
    </row>
    <row r="12">
      <c r="A12" s="3" t="inlineStr">
        <is>
          <t>刪除承重頁的列</t>
        </is>
      </c>
      <c r="B12" s="3" t="inlineStr">
        <is>
          <t>Workload</t>
        </is>
      </c>
      <c r="C12" s="3" t="n">
        <v>36</v>
      </c>
      <c r="D12" s="3" t="inlineStr">
        <is>
          <t>decode 平均上下文</t>
        </is>
      </c>
      <c r="E12" s="3" t="n">
        <v>5</v>
      </c>
      <c r="F12" s="3" t="inlineStr">
        <is>
          <t>刪除</t>
        </is>
      </c>
      <c r="G12" s="3" t="inlineStr">
        <is>
          <t>—</t>
        </is>
      </c>
      <c r="H12" s="3" t="inlineStr"/>
      <c r="I12" s="3" t="inlineStr">
        <is>
          <t>任務 decode 平均上下文：無下游，Perf 不讀 Workload 的上下文；不回答任何一題。需 Andy 確認（承重頁）。</t>
        </is>
      </c>
    </row>
    <row r="13">
      <c r="A13" s="3" t="inlineStr">
        <is>
          <t>刪除承重頁的列</t>
        </is>
      </c>
      <c r="B13" s="3" t="inlineStr">
        <is>
          <t>Workload</t>
        </is>
      </c>
      <c r="C13" s="3" t="n">
        <v>37</v>
      </c>
      <c r="D13" s="3" t="inlineStr">
        <is>
          <t>思考占 decode</t>
        </is>
      </c>
      <c r="E13" s="3" t="n">
        <v>5</v>
      </c>
      <c r="F13" s="3" t="inlineStr">
        <is>
          <t>刪除</t>
        </is>
      </c>
      <c r="G13" s="3" t="inlineStr">
        <is>
          <t>—</t>
        </is>
      </c>
      <c r="H13" s="3" t="inlineStr"/>
      <c r="I13" s="3" t="inlineStr">
        <is>
          <t>思考占 decode：衍生比例，可由 Workload 第 19 與 9 列推得；無下游。需 Andy 確認（承重頁）。</t>
        </is>
      </c>
    </row>
    <row r="14">
      <c r="A14" s="3" t="inlineStr">
        <is>
          <t>刪除承重頁的列</t>
        </is>
      </c>
      <c r="B14" s="3" t="inlineStr">
        <is>
          <t>Workload</t>
        </is>
      </c>
      <c r="C14" s="3" t="n">
        <v>39</v>
      </c>
      <c r="D14" s="3" t="inlineStr">
        <is>
          <t>總 token ÷ 推理聊天</t>
        </is>
      </c>
      <c r="E14" s="3" t="n">
        <v>5</v>
      </c>
      <c r="F14" s="3" t="inlineStr">
        <is>
          <t>刪除</t>
        </is>
      </c>
      <c r="G14" s="3" t="inlineStr">
        <is>
          <t>—</t>
        </is>
      </c>
      <c r="H14" s="3" t="inlineStr"/>
      <c r="I14" s="3" t="inlineStr">
        <is>
          <t>總 token ÷ 推理聊天：第 38 列換一個分母，沒有獨立資訊。需 Andy 確認（承重頁）。</t>
        </is>
      </c>
    </row>
    <row r="15">
      <c r="A15" s="3" t="inlineStr">
        <is>
          <t>刪除承重頁的列</t>
        </is>
      </c>
      <c r="B15" s="3" t="inlineStr">
        <is>
          <t>Workload</t>
        </is>
      </c>
      <c r="C15" s="3" t="n">
        <v>43</v>
      </c>
      <c r="D15" s="3" t="inlineStr">
        <is>
          <t>VR200 × Luna</t>
        </is>
      </c>
      <c r="E15" s="3" t="n">
        <v>5</v>
      </c>
      <c r="F15" s="3" t="inlineStr">
        <is>
          <t>刪除</t>
        </is>
      </c>
      <c r="G15" s="3" t="inlineStr">
        <is>
          <t>—</t>
        </is>
      </c>
      <c r="H15" s="3" t="inlineStr"/>
      <c r="I15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16">
      <c r="A16" s="3" t="inlineStr">
        <is>
          <t>刪除承重頁的列</t>
        </is>
      </c>
      <c r="B16" s="3" t="inlineStr">
        <is>
          <t>Workload</t>
        </is>
      </c>
      <c r="C16" s="3" t="n">
        <v>44</v>
      </c>
      <c r="D16" s="3" t="inlineStr">
        <is>
          <t>VR200 × Sol</t>
        </is>
      </c>
      <c r="E16" s="3" t="n">
        <v>5</v>
      </c>
      <c r="F16" s="3" t="inlineStr">
        <is>
          <t>刪除</t>
        </is>
      </c>
      <c r="G16" s="3" t="inlineStr">
        <is>
          <t>—</t>
        </is>
      </c>
      <c r="H16" s="3" t="inlineStr"/>
      <c r="I16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17">
      <c r="A17" s="3" t="inlineStr">
        <is>
          <t>刪除承重頁的列</t>
        </is>
      </c>
      <c r="B17" s="3" t="inlineStr">
        <is>
          <t>Workload</t>
        </is>
      </c>
      <c r="C17" s="3" t="n">
        <v>45</v>
      </c>
      <c r="D17" s="3" t="inlineStr">
        <is>
          <t>VR200 × Astra</t>
        </is>
      </c>
      <c r="E17" s="3" t="n">
        <v>5</v>
      </c>
      <c r="F17" s="3" t="inlineStr">
        <is>
          <t>刪除</t>
        </is>
      </c>
      <c r="G17" s="3" t="inlineStr">
        <is>
          <t>—</t>
        </is>
      </c>
      <c r="H17" s="3" t="inlineStr"/>
      <c r="I17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18">
      <c r="A18" s="3" t="inlineStr">
        <is>
          <t>刪除承重頁的列</t>
        </is>
      </c>
      <c r="B18" s="3" t="inlineStr">
        <is>
          <t>Workload</t>
        </is>
      </c>
      <c r="C18" s="3" t="n">
        <v>46</v>
      </c>
      <c r="D18" s="3" t="inlineStr">
        <is>
          <t>GB300 × Luna</t>
        </is>
      </c>
      <c r="E18" s="3" t="n">
        <v>5</v>
      </c>
      <c r="F18" s="3" t="inlineStr">
        <is>
          <t>刪除</t>
        </is>
      </c>
      <c r="G18" s="3" t="inlineStr">
        <is>
          <t>—</t>
        </is>
      </c>
      <c r="H18" s="3" t="inlineStr"/>
      <c r="I18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19">
      <c r="A19" s="3" t="inlineStr">
        <is>
          <t>刪除承重頁的列</t>
        </is>
      </c>
      <c r="B19" s="3" t="inlineStr">
        <is>
          <t>Workload</t>
        </is>
      </c>
      <c r="C19" s="3" t="n">
        <v>47</v>
      </c>
      <c r="D19" s="3" t="inlineStr">
        <is>
          <t>GB300 × Sol</t>
        </is>
      </c>
      <c r="E19" s="3" t="n">
        <v>5</v>
      </c>
      <c r="F19" s="3" t="inlineStr">
        <is>
          <t>刪除</t>
        </is>
      </c>
      <c r="G19" s="3" t="inlineStr">
        <is>
          <t>—</t>
        </is>
      </c>
      <c r="H19" s="3" t="inlineStr"/>
      <c r="I19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20">
      <c r="A20" s="3" t="inlineStr">
        <is>
          <t>刪除承重頁的列</t>
        </is>
      </c>
      <c r="B20" s="3" t="inlineStr">
        <is>
          <t>Workload</t>
        </is>
      </c>
      <c r="C20" s="3" t="n">
        <v>48</v>
      </c>
      <c r="D20" s="3" t="inlineStr">
        <is>
          <t>GB300 × Astra</t>
        </is>
      </c>
      <c r="E20" s="3" t="n">
        <v>5</v>
      </c>
      <c r="F20" s="3" t="inlineStr">
        <is>
          <t>刪除</t>
        </is>
      </c>
      <c r="G20" s="3" t="inlineStr">
        <is>
          <t>—</t>
        </is>
      </c>
      <c r="H20" s="3" t="inlineStr"/>
      <c r="I20" s="3" t="inlineStr">
        <is>
          <t>每任務服務成本（VR200／GB300 × 三層級，不含快取儲存）：Harness 第 67–84 列已有含儲存的現行版，且 IF_CostSuccVR／GB_* 已具名；此為較舊的簡化版，原則 1。Theory_Rev 第 81–86 列隨之刪除。需 Andy 確認（承重頁）。</t>
        </is>
      </c>
    </row>
    <row r="21">
      <c r="A21" s="3" t="inlineStr">
        <is>
          <t>升級（新名稱進契約）</t>
        </is>
      </c>
      <c r="B21" s="3" t="inlineStr">
        <is>
          <t>Amortize</t>
        </is>
      </c>
      <c r="C21" s="3" t="n">
        <v>49</v>
      </c>
      <c r="D21" s="3" t="inlineStr">
        <is>
          <t>(d) 攤提占付費營收（各層級相同）</t>
        </is>
      </c>
      <c r="E21" s="3" t="n">
        <v>15</v>
      </c>
      <c r="F21" s="3" t="inlineStr">
        <is>
          <t>升級</t>
        </is>
      </c>
      <c r="G21" s="3" t="inlineStr">
        <is>
          <t>2</t>
        </is>
      </c>
      <c r="H21" s="3" t="inlineStr">
        <is>
          <t>IF_AmortRevShare</t>
        </is>
      </c>
      <c r="I21" s="3" t="inlineStr">
        <is>
          <t>(d) 攤提占付費營收 0.60：訓練攤提吃掉付費營收多少，是『回本嗎』在營收側的直接讀法（各層級相同，故為合計口徑）。目前下游只能自行用 IF_AmortRev_* 與營收相除。</t>
        </is>
      </c>
    </row>
    <row r="22">
      <c r="A22" s="3" t="inlineStr">
        <is>
          <t>升級（新名稱進契約）</t>
        </is>
      </c>
      <c r="B22" s="3" t="inlineStr">
        <is>
          <t>Cap_In</t>
        </is>
      </c>
      <c r="C22" s="3" t="n">
        <v>121</v>
      </c>
      <c r="D22" s="3" t="inlineStr">
        <is>
          <t>m 下限（上限讀法）＝營收 ÷（機隊付費 token 上限 × 2025 年度機隊口徑混合有效單價（AL_PriceFleet25：可達層級重新正規化；v6.3</t>
        </is>
      </c>
      <c r="E22" s="3" t="n">
        <v>4</v>
      </c>
      <c r="F22" s="3" t="inlineStr">
        <is>
          <t>升級</t>
        </is>
      </c>
      <c r="G22" s="3" t="inlineStr">
        <is>
          <t>1</t>
        </is>
      </c>
      <c r="H22" s="3" t="inlineStr">
        <is>
          <t>L1_MFleetFloor（含 _Lo／_Hi）</t>
        </is>
      </c>
      <c r="I22" s="3" t="inlineStr">
        <is>
          <t>m 下限（上限讀法）0.301：『m 不可能低於此值』的物理下界，目前只出現在說明文字。注意 L1_MFleet_Lo（0.184）低於這個下限，兩者的區間定義不同（前者含 τ 區間），升級後下游才看得到這個衝突。</t>
        </is>
      </c>
    </row>
    <row r="23">
      <c r="A23" s="3" t="inlineStr">
        <is>
          <t>升級（新名稱進契約）</t>
        </is>
      </c>
      <c r="B23" s="3" t="inlineStr">
        <is>
          <t>Cap_In</t>
        </is>
      </c>
      <c r="C23" s="3" t="n">
        <v>206</v>
      </c>
      <c r="D23" s="3" t="inlineStr">
        <is>
          <t>m_API</t>
        </is>
      </c>
      <c r="E23" s="3" t="n">
        <v>4</v>
      </c>
      <c r="F23" s="3" t="inlineStr">
        <is>
          <t>升級</t>
        </is>
      </c>
      <c r="G23" s="3" t="inlineStr">
        <is>
          <t>1</t>
        </is>
      </c>
      <c r="H23" s="3" t="inlineStr">
        <is>
          <t>L1_MAPI_Ser</t>
        </is>
      </c>
      <c r="I23" s="3" t="inlineStr">
        <is>
          <t>m_API 的季度序列（2025 0.66／2026 Q1 0.29／Q2 0.34／FY 0.35）：『m 是多少、由哪些分項組成』的時間序列，目前 L1_MAPI 只有 2025 單點。</t>
        </is>
      </c>
    </row>
    <row r="24">
      <c r="A24" s="3" t="inlineStr">
        <is>
          <t>升級（新名稱進契約）</t>
        </is>
      </c>
      <c r="B24" s="3" t="inlineStr">
        <is>
          <t>Cap_In</t>
        </is>
      </c>
      <c r="C24" s="3" t="n">
        <v>207</v>
      </c>
      <c r="D24" s="3" t="inlineStr">
        <is>
          <t>m_消費訂閱</t>
        </is>
      </c>
      <c r="E24" s="3" t="n">
        <v>4</v>
      </c>
      <c r="F24" s="3" t="inlineStr">
        <is>
          <t>升級</t>
        </is>
      </c>
      <c r="G24" s="3" t="inlineStr">
        <is>
          <t>1</t>
        </is>
      </c>
      <c r="H24" s="3" t="inlineStr">
        <is>
          <t>L1_MSub_Ser</t>
        </is>
      </c>
      <c r="I24" s="3" t="inlineStr">
        <is>
          <t>m_消費訂閱的季度序列。</t>
        </is>
      </c>
    </row>
    <row r="25">
      <c r="A25" s="3" t="inlineStr">
        <is>
          <t>升級（新名稱進契約）</t>
        </is>
      </c>
      <c r="B25" s="3" t="inlineStr">
        <is>
          <t>Cap_In</t>
        </is>
      </c>
      <c r="C25" s="3" t="n">
        <v>208</v>
      </c>
      <c r="D25" s="3" t="inlineStr">
        <is>
          <t>m_商用席次</t>
        </is>
      </c>
      <c r="E25" s="3" t="n">
        <v>4</v>
      </c>
      <c r="F25" s="3" t="inlineStr">
        <is>
          <t>升級</t>
        </is>
      </c>
      <c r="G25" s="3" t="inlineStr">
        <is>
          <t>1</t>
        </is>
      </c>
      <c r="H25" s="3" t="inlineStr">
        <is>
          <t>L1_MSeat_Ser</t>
        </is>
      </c>
      <c r="I25" s="3" t="inlineStr">
        <is>
          <t>m_商用席次的季度序列（FY2026 8.04，席次占比與 token 份額為 Assumed）。</t>
        </is>
      </c>
    </row>
    <row r="26">
      <c r="A26" s="3" t="inlineStr">
        <is>
          <t>升級（新名稱進契約）</t>
        </is>
      </c>
      <c r="B26" s="3" t="inlineStr">
        <is>
          <t>Cap_In</t>
        </is>
      </c>
      <c r="C26" s="3" t="n">
        <v>209</v>
      </c>
      <c r="D26" s="3" t="inlineStr">
        <is>
          <t>m_整體＝m 分子營收 ÷（(API token ＋ ChatGPT 付費 token) × 單價）</t>
        </is>
      </c>
      <c r="E26" s="3" t="n">
        <v>4</v>
      </c>
      <c r="F26" s="3" t="inlineStr">
        <is>
          <t>升級</t>
        </is>
      </c>
      <c r="G26" s="3" t="inlineStr">
        <is>
          <t>1</t>
        </is>
      </c>
      <c r="H26" s="3" t="inlineStr">
        <is>
          <t>L1_MImplied_Ser</t>
        </is>
      </c>
      <c r="I26" s="3" t="inlineStr">
        <is>
          <t>m_整體（合併）的季度序列。</t>
        </is>
      </c>
    </row>
    <row r="27">
      <c r="A27" s="3" t="inlineStr">
        <is>
          <t>升級（新名稱進契約）</t>
        </is>
      </c>
      <c r="B27" s="3" t="inlineStr">
        <is>
          <t>Cap_In</t>
        </is>
      </c>
      <c r="C27" s="3" t="n">
        <v>223</v>
      </c>
      <c r="D27" s="3" t="inlineStr">
        <is>
          <t>m_fleet＝m 分子營收 ÷（機隊付費 token × 機隊口徑單價 B4_PriceFleet；Cap_In K 節；v6.3 K1）</t>
        </is>
      </c>
      <c r="E27" s="3" t="n">
        <v>4</v>
      </c>
      <c r="F27" s="3" t="inlineStr">
        <is>
          <t>升級</t>
        </is>
      </c>
      <c r="G27" s="3" t="inlineStr">
        <is>
          <t>1</t>
        </is>
      </c>
      <c r="H27" s="3" t="inlineStr">
        <is>
          <t>L1_MFleet_Ser</t>
        </is>
      </c>
      <c r="I27" s="3" t="inlineStr">
        <is>
          <t>m_fleet（機隊口徑）的季度序列（2025 0.41／2026 Q1 0.20／Q2 0.23／FY 0.30）：問 1『由哪些分項組成』中的機隊項，目前 L1_MFleet 只有 2025 單點。</t>
        </is>
      </c>
    </row>
    <row r="28">
      <c r="A28" s="3" t="inlineStr">
        <is>
          <t>升級（新名稱進契約）</t>
        </is>
      </c>
      <c r="B28" s="3" t="inlineStr">
        <is>
          <t>Cap_In</t>
        </is>
      </c>
      <c r="C28" s="3" t="n">
        <v>285</v>
      </c>
      <c r="D28" s="3" t="inlineStr">
        <is>
          <t>m（2025 單價取低端）＝營收 ÷（機隊付費 token × AL_PriceFleet25_Lo）</t>
        </is>
      </c>
      <c r="E28" s="3" t="n">
        <v>3</v>
      </c>
      <c r="F28" s="3" t="inlineStr">
        <is>
          <t>升級</t>
        </is>
      </c>
      <c r="G28" s="3" t="inlineStr">
        <is>
          <t>1</t>
        </is>
      </c>
      <c r="H28" s="3" t="inlineStr">
        <is>
          <t>L1_MFleet_P25Lo</t>
        </is>
      </c>
      <c r="I28" s="3" t="inlineStr">
        <is>
          <t>m 以 2025 單價低端計（0.78，D／E 欄為 τ 區間端點）。契約第 4 節明定『價格區間不交叉進 m 的 _Lo／_Hi』，所以價格不確定性造成的 m 範圍（0.24–0.78）目前下游完全看不到。</t>
        </is>
      </c>
    </row>
    <row r="29">
      <c r="A29" s="3" t="inlineStr">
        <is>
          <t>升級（新名稱進契約）</t>
        </is>
      </c>
      <c r="B29" s="3" t="inlineStr">
        <is>
          <t>Cap_In</t>
        </is>
      </c>
      <c r="C29" s="3" t="n">
        <v>286</v>
      </c>
      <c r="D29" s="3" t="inlineStr">
        <is>
          <t>m（2025 單價取高端）＝營收 ÷（機隊付費 token × AL_PriceFleet25_Hi）</t>
        </is>
      </c>
      <c r="E29" s="3" t="n">
        <v>3</v>
      </c>
      <c r="F29" s="3" t="inlineStr">
        <is>
          <t>升級</t>
        </is>
      </c>
      <c r="G29" s="3" t="inlineStr">
        <is>
          <t>1</t>
        </is>
      </c>
      <c r="H29" s="3" t="inlineStr">
        <is>
          <t>L1_MFleet_P25Hi</t>
        </is>
      </c>
      <c r="I29" s="3" t="inlineStr">
        <is>
          <t>m 以 2025 單價高端計（0.24）。同上。</t>
        </is>
      </c>
    </row>
    <row r="30">
      <c r="A30" s="3" t="inlineStr">
        <is>
          <t>升級（新名稱進契約）</t>
        </is>
      </c>
      <c r="B30" s="3" t="inlineStr">
        <is>
          <t>Theory_Rev</t>
        </is>
      </c>
      <c r="C30" s="3" t="n">
        <v>24</v>
      </c>
      <c r="D30" s="3" t="inlineStr">
        <is>
          <t>理論毛利率（OpenAI 單價；K6 預設 (c) 全成本）</t>
        </is>
      </c>
      <c r="E30" s="3" t="n">
        <v>15</v>
      </c>
      <c r="F30" s="3" t="inlineStr">
        <is>
          <t>升級</t>
        </is>
      </c>
      <c r="G30" s="3" t="inlineStr">
        <is>
          <t>5</t>
        </is>
      </c>
      <c r="H30" s="3" t="inlineStr">
        <is>
          <t>IF_GMDefault_Luna</t>
        </is>
      </c>
      <c r="I30" s="3" t="inlineStr">
        <is>
          <t>理論毛利率（OpenAI 單價；K6 預設 (c) 全成本）：問 5『毛利，分世代與層級』的預設口徑；目前只有 L1_Ans5_FullMargin 一個格（Sol、VR200）。</t>
        </is>
      </c>
    </row>
    <row r="31">
      <c r="A31" s="3" t="inlineStr">
        <is>
          <t>升級（新名稱進契約）</t>
        </is>
      </c>
      <c r="B31" s="3" t="inlineStr">
        <is>
          <t>Theory_Rev</t>
        </is>
      </c>
      <c r="C31" s="3" t="n">
        <v>42</v>
      </c>
      <c r="D31" s="3" t="inlineStr">
        <is>
          <t>理論毛利率（OpenAI 單價；K6 預設 (c) 全成本）</t>
        </is>
      </c>
      <c r="E31" s="3" t="n">
        <v>15</v>
      </c>
      <c r="F31" s="3" t="inlineStr">
        <is>
          <t>升級</t>
        </is>
      </c>
      <c r="G31" s="3" t="inlineStr">
        <is>
          <t>5</t>
        </is>
      </c>
      <c r="H31" s="3" t="inlineStr">
        <is>
          <t>IF_GMDefault_Sol</t>
        </is>
      </c>
      <c r="I31" s="3" t="inlineStr">
        <is>
          <t>同上（Sol）。</t>
        </is>
      </c>
    </row>
    <row r="32">
      <c r="A32" s="3" t="inlineStr">
        <is>
          <t>升級（新名稱進契約）</t>
        </is>
      </c>
      <c r="B32" s="3" t="inlineStr">
        <is>
          <t>Theory_Rev</t>
        </is>
      </c>
      <c r="C32" s="3" t="n">
        <v>60</v>
      </c>
      <c r="D32" s="3" t="inlineStr">
        <is>
          <t>理論毛利率（OpenAI 單價；K6 預設 (c) 全成本）</t>
        </is>
      </c>
      <c r="E32" s="3" t="n">
        <v>15</v>
      </c>
      <c r="F32" s="3" t="inlineStr">
        <is>
          <t>升級</t>
        </is>
      </c>
      <c r="G32" s="3" t="inlineStr">
        <is>
          <t>5</t>
        </is>
      </c>
      <c r="H32" s="3" t="inlineStr">
        <is>
          <t>IF_GMDefault_Astra</t>
        </is>
      </c>
      <c r="I32" s="3" t="inlineStr">
        <is>
          <t>同上（Astra）。</t>
        </is>
      </c>
    </row>
    <row r="33">
      <c r="A33" s="3" t="inlineStr">
        <is>
          <t>升級（新名稱進契約）</t>
        </is>
      </c>
      <c r="B33" s="3" t="inlineStr">
        <is>
          <t>Training</t>
        </is>
      </c>
      <c r="C33" s="3" t="n">
        <v>109</v>
      </c>
      <c r="D33" s="3" t="inlineStr">
        <is>
          <t>最終訓練 FLOPs</t>
        </is>
      </c>
      <c r="E33" s="3" t="n">
        <v>15</v>
      </c>
      <c r="F33" s="3" t="inlineStr">
        <is>
          <t>升級</t>
        </is>
      </c>
      <c r="G33" s="3" t="inlineStr">
        <is>
          <t>8</t>
        </is>
      </c>
      <c r="H33" s="3" t="inlineStr">
        <is>
          <t>IF_TrainFLOP_Luna／_Sol／_Astra</t>
        </is>
      </c>
      <c r="I33" s="3" t="inlineStr">
        <is>
          <t>最終訓練 FLOPs（預訓練＋長上下文＋後訓練＋合成資料＋評測）：『訓練一個模型要多少算力』的 FLOPs 表達；Epoch 的 Astra 估計（L1_PretrainFLOP_Astra_Ext）為含後訓練的叢集總算力，需同口徑的模型端對照（現有 L1_PretrainFLOP_Astra 只含預訓練）。</t>
        </is>
      </c>
    </row>
    <row r="34">
      <c r="A34" s="3" t="inlineStr">
        <is>
          <t>升級（新名稱進契約）</t>
        </is>
      </c>
      <c r="B34" s="3" t="inlineStr">
        <is>
          <t>Training</t>
        </is>
      </c>
      <c r="C34" s="3" t="n">
        <v>114</v>
      </c>
      <c r="D34" s="3" t="inlineStr">
        <is>
          <t>推論型占最終訓練</t>
        </is>
      </c>
      <c r="E34" s="3" t="n">
        <v>15</v>
      </c>
      <c r="F34" s="3" t="inlineStr">
        <is>
          <t>升級</t>
        </is>
      </c>
      <c r="G34" s="3" t="inlineStr">
        <is>
          <t>8</t>
        </is>
      </c>
      <c r="H34" s="3" t="inlineStr">
        <is>
          <t>IF_TrainInferShare_Luna／_Sol／_Astra</t>
        </is>
      </c>
      <c r="I34" s="3" t="inlineStr">
        <is>
          <t>推論型（rollout、合成資料、評測、蒸餾教師）占最終訓練 GPU 小時 0.62：『訓練 GPU 小時主要是推論還是反向傳播』是 J11 的設計輸出，屬訓練構成（問 8 同類）；目前只有內部名稱 TRN_InferShare。</t>
        </is>
      </c>
    </row>
    <row r="35">
      <c r="A35" s="3" t="inlineStr">
        <is>
          <t>升級（新名稱進契約）</t>
        </is>
      </c>
      <c r="B35" s="3" t="inlineStr">
        <is>
          <t>Workload</t>
        </is>
      </c>
      <c r="C35" s="3" t="n">
        <v>38</v>
      </c>
      <c r="D35" s="3" t="inlineStr">
        <is>
          <t>總 token ÷ 一般聊天</t>
        </is>
      </c>
      <c r="E35" s="3" t="n">
        <v>5</v>
      </c>
      <c r="F35" s="3" t="inlineStr">
        <is>
          <t>升級</t>
        </is>
      </c>
      <c r="G35" s="3" t="inlineStr">
        <is>
          <t>9</t>
        </is>
      </c>
      <c r="H35" s="3" t="inlineStr">
        <is>
          <t>IF_TaskTokMult</t>
        </is>
      </c>
      <c r="I35" s="3" t="inlineStr">
        <is>
          <t>各任務總 token ÷ 一般聊天＝harness 與 agent 用量對 token 的放大倍數（本模型 1／2.07／9.2／36.8／498 對 Anthropic 揭露 4／15，第 40 列已標對照）。目前下游只能自行加總 IF_TaskTok* 再相除。</t>
        </is>
      </c>
    </row>
    <row r="36">
      <c r="A36" s="3" t="inlineStr">
        <is>
          <t>無法決定</t>
        </is>
      </c>
      <c r="B36" s="3" t="inlineStr">
        <is>
          <t>Har_In</t>
        </is>
      </c>
      <c r="C36" s="3" t="n">
        <v>44</v>
      </c>
      <c r="D36" s="3" t="inlineStr">
        <is>
          <t>供應商專屬（1＝是）</t>
        </is>
      </c>
      <c r="E36" s="3" t="n">
        <v>5</v>
      </c>
      <c r="F36" s="3" t="inlineStr">
        <is>
          <t>需 Andy 判斷</t>
        </is>
      </c>
      <c r="G36" s="3" t="inlineStr">
        <is>
          <t>9</t>
        </is>
      </c>
      <c r="H36" s="3" t="inlineStr"/>
      <c r="I36" s="3" t="inlineStr">
        <is>
          <t>『供應商專屬（1＝是）』（內部名稱 B5_SelVendor）沒有任何公式讀取，但 Harness 第 157 列說明稱『選定檔案供應商專屬時，前緣組合綁定該…』。若說明為真，這是未接線的功能（應接進前緣列）；若功能已放棄，應刪除此列與說明。</t>
        </is>
      </c>
    </row>
  </sheetData>
  <autoFilter ref="A1:I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7" customWidth="1" min="4" max="4"/>
    <col width="14" customWidth="1" min="5" max="5"/>
    <col width="8" customWidth="1" min="6" max="6"/>
    <col width="100" customWidth="1" min="7" max="7"/>
  </cols>
  <sheetData>
    <row r="1">
      <c r="A1" s="4" t="inlineStr">
        <is>
          <t>頁</t>
        </is>
      </c>
      <c r="B1" s="4" t="inlineStr">
        <is>
          <t>列</t>
        </is>
      </c>
      <c r="C1" s="4" t="inlineStr">
        <is>
          <t>標籤</t>
        </is>
      </c>
      <c r="D1" s="4" t="inlineStr">
        <is>
          <t>格數</t>
        </is>
      </c>
      <c r="E1" s="4" t="inlineStr">
        <is>
          <t>格範圍</t>
        </is>
      </c>
      <c r="F1" s="4" t="inlineStr">
        <is>
          <t>問題</t>
        </is>
      </c>
      <c r="G1" s="4" t="inlineStr">
        <is>
          <t>接線方式與理由</t>
        </is>
      </c>
    </row>
    <row r="2">
      <c r="A2" s="3" t="inlineStr">
        <is>
          <t>Perf</t>
        </is>
      </c>
      <c r="B2" s="3" t="n">
        <v>89</v>
      </c>
      <c r="C2" s="3" t="inlineStr">
        <is>
          <t>實際每用戶速度</t>
        </is>
      </c>
      <c r="D2" s="3" t="n">
        <v>15</v>
      </c>
      <c r="E2" s="3" t="inlineStr">
        <is>
          <t>C89:Q89</t>
        </is>
      </c>
      <c r="F2" s="3" t="inlineStr">
        <is>
          <t>—</t>
        </is>
      </c>
      <c r="G2" s="3" t="inlineStr">
        <is>
          <t>實際每用戶速度須 ≥ Serving SLO（B* 取 SLO 與 HBM 上限的較小者，故恆成立；程式或輸入出錯時才會失敗）。屬驗證材料，可寫成能失敗的檢查（原則 4）。Perf 與 Perf_Batch 合為一條檢查。</t>
        </is>
      </c>
    </row>
    <row r="3">
      <c r="A3" s="3" t="inlineStr">
        <is>
          <t>Perf_Batch</t>
        </is>
      </c>
      <c r="B3" s="3" t="n">
        <v>89</v>
      </c>
      <c r="C3" s="3" t="inlineStr">
        <is>
          <t>實際每用戶速度</t>
        </is>
      </c>
      <c r="D3" s="3" t="n">
        <v>17</v>
      </c>
      <c r="E3" s="3" t="inlineStr">
        <is>
          <t>C89:S89</t>
        </is>
      </c>
      <c r="F3" s="3" t="inlineStr">
        <is>
          <t>—</t>
        </is>
      </c>
      <c r="G3" s="3" t="inlineStr">
        <is>
          <t>實際每用戶速度須 ≥ 速度下限；與 Perf 第 89 列合為一條檢查（見該列）。</t>
        </is>
      </c>
    </row>
    <row r="4">
      <c r="A4" s="3" t="inlineStr">
        <is>
          <t>Cap_In</t>
        </is>
      </c>
      <c r="B4" s="3" t="n">
        <v>147</v>
      </c>
      <c r="C4" s="3" t="inlineStr">
        <is>
          <t>m_整體（token 加權）＝Σ營收 ÷（Σtoken × 單價）</t>
        </is>
      </c>
      <c r="D4" s="3" t="n">
        <v>3</v>
      </c>
      <c r="E4" s="3" t="inlineStr">
        <is>
          <t>C147:E147</t>
        </is>
      </c>
      <c r="F4" s="3" t="inlineStr">
        <is>
          <t>1</t>
        </is>
      </c>
      <c r="G4" s="3" t="inlineStr">
        <is>
          <t>m_整體（token 加權）須等於 L1_MImplied（第 94 列）：第 148 列已有『自我檢查』但只顯示、不進 Checks；寫成 Checks 的能失敗檢查（容差 1e-9）。</t>
        </is>
      </c>
    </row>
    <row r="5">
      <c r="A5" s="3" t="inlineStr">
        <is>
          <t>Cap_In</t>
        </is>
      </c>
      <c r="B5" s="3" t="n">
        <v>175</v>
      </c>
      <c r="C5" s="3" t="inlineStr">
        <is>
          <t>殘差：需求 ÷ 上限</t>
        </is>
      </c>
      <c r="D5" s="3" t="n">
        <v>4</v>
      </c>
      <c r="E5" s="3" t="inlineStr">
        <is>
          <t>C175:G175</t>
        </is>
      </c>
      <c r="F5" s="3" t="inlineStr">
        <is>
          <t>4</t>
        </is>
      </c>
      <c r="G5" s="3" t="inlineStr">
        <is>
          <t>殘差：需求 ÷ 上限須 ≤ 1（需求 token 不可能超過機隊有效產能上限；現值 0.148）。現有 Checks M4 只檢查需求÷點估計（0.5–2 之外為 WARN）；上限讀法可寫成必然失敗的檢查。G175 為說明文字（同類動態文字，保留）。</t>
        </is>
      </c>
    </row>
    <row r="6">
      <c r="A6" s="3" t="inlineStr">
        <is>
          <t>Cap_In</t>
        </is>
      </c>
      <c r="B6" s="3" t="n">
        <v>215</v>
      </c>
      <c r="C6" s="3" t="inlineStr">
        <is>
          <t>世代組合合計（應為 100%）</t>
        </is>
      </c>
      <c r="D6" s="3" t="n">
        <v>4</v>
      </c>
      <c r="E6" s="3" t="inlineStr">
        <is>
          <t>C215:F215</t>
        </is>
      </c>
      <c r="F6" s="3" t="inlineStr">
        <is>
          <t>—</t>
        </is>
      </c>
      <c r="G6" s="3" t="inlineStr">
        <is>
          <t>2026 服務世代組合合計須為 100%（D–F 欄是藍字輸入，可能被改壞）；寫成 Checks 的能失敗檢查，與 Checks D104（Alloc_In 2025 組合）並列。</t>
        </is>
      </c>
    </row>
    <row r="7">
      <c r="A7" s="3" t="inlineStr">
        <is>
          <t>Alloc_In</t>
        </is>
      </c>
      <c r="B7" s="3" t="n">
        <v>18</v>
      </c>
      <c r="C7" s="3" t="inlineStr">
        <is>
          <t>服務世代組合合計（應為 100%；Checks H1）</t>
        </is>
      </c>
      <c r="D7" s="3" t="n">
        <v>1</v>
      </c>
      <c r="E7" s="3" t="inlineStr">
        <is>
          <t>C18:C18</t>
        </is>
      </c>
      <c r="F7" s="3" t="inlineStr">
        <is>
          <t>3</t>
        </is>
      </c>
      <c r="G7" s="3" t="inlineStr">
        <is>
          <t>服務世代組合合計（應為 100%）：Checks D104 目前自行重算 SUM(AL_MixGen)；改讓 Checks 讀本格，單一定義（原則 1）且保留失敗能力。</t>
        </is>
      </c>
    </row>
    <row r="8">
      <c r="A8" s="3" t="inlineStr">
        <is>
          <t>Alloc_In</t>
        </is>
      </c>
      <c r="B8" s="3" t="n">
        <v>33</v>
      </c>
      <c r="C8" s="3" t="inlineStr">
        <is>
          <t>研發世代組合合計（應為 100%；Checks Z2）</t>
        </is>
      </c>
      <c r="D8" s="3" t="n">
        <v>1</v>
      </c>
      <c r="E8" s="3" t="inlineStr">
        <is>
          <t>C33:C33</t>
        </is>
      </c>
      <c r="F8" s="3" t="inlineStr">
        <is>
          <t>3</t>
        </is>
      </c>
      <c r="G8" s="3" t="inlineStr">
        <is>
          <t>研發世代組合合計（應為 100%）：Checks D140 目前自行重算四格和；改讓 Checks 讀本格。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4" customWidth="1" min="5" max="5"/>
    <col width="80" customWidth="1" min="6" max="6"/>
  </cols>
  <sheetData>
    <row r="1" ht="60" customHeight="1">
      <c r="A1" s="3" t="inlineStr">
        <is>
          <t>依賴檢查：保留／升級列的上游含刪除列＝0 件；『隨附上游』無人讀取＝0 列。</t>
        </is>
      </c>
    </row>
    <row r="2">
      <c r="A2" s="4" t="inlineStr">
        <is>
          <t>頁</t>
        </is>
      </c>
      <c r="B2" s="4" t="inlineStr">
        <is>
          <t>列</t>
        </is>
      </c>
      <c r="C2" s="4" t="inlineStr">
        <is>
          <t>鏡像頁</t>
        </is>
      </c>
      <c r="D2" s="4" t="inlineStr">
        <is>
          <t>鏡像頁同列公式格數</t>
        </is>
      </c>
      <c r="E2" s="4" t="inlineStr">
        <is>
          <t>本列處置</t>
        </is>
      </c>
      <c r="F2" s="4" t="inlineStr">
        <is>
          <t>說明</t>
        </is>
      </c>
    </row>
    <row r="3"/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2026-10-17T00:38:19Z</dcterms:created>
  <dcterms:modified xmlns:dcterms="http://purl.org/dc/terms/" xmlns:xsi="http://www.w3.org/2001/XMLSchema-instance" xsi:type="dcterms:W3CDTF">2026-10-17T00:38:19Z</dcterms:modified>
</cp:coreProperties>
</file>